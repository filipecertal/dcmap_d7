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workbookPr codeName="ThisWorkbook"/>
  <mc:AlternateContent xmlns:mc="http://schemas.openxmlformats.org/markup-compatibility/2006">
    <mc:Choice Requires="x15">
      <x15ac:absPath xmlns:x15ac="http://schemas.microsoft.com/office/spreadsheetml/2010/11/ac" url="C:\Users\nslattery\Documents\To Do\DCMap Website updates\"/>
    </mc:Choice>
  </mc:AlternateContent>
  <bookViews>
    <workbookView xWindow="60" yWindow="90" windowWidth="14190" windowHeight="8595" tabRatio="840"/>
  </bookViews>
  <sheets>
    <sheet name="Table1A List of required stocks" sheetId="45" r:id="rId1"/>
    <sheet name="Table1B Planning of sampling " sheetId="46" r:id="rId2"/>
    <sheet name="Table1C Sampling intensity " sheetId="47" r:id="rId3"/>
    <sheet name="Table1D Recreational Fisheries" sheetId="55" r:id="rId4"/>
    <sheet name="Table1E Anadromous catadromous" sheetId="64" r:id="rId5"/>
    <sheet name="Table1F Incidental by catch" sheetId="65" r:id="rId6"/>
    <sheet name="Table1G List of research survey" sheetId="79" r:id="rId7"/>
    <sheet name="Table1H Research survey data" sheetId="81" r:id="rId8"/>
    <sheet name="Table2A Fishing activity variab" sheetId="56" r:id="rId9"/>
    <sheet name="Table3A  Pop segment fisheries" sheetId="76" r:id="rId10"/>
    <sheet name="Table3B Pop segments aquacultur" sheetId="77" r:id="rId11"/>
    <sheet name="Table3C Pop segments processin" sheetId="78" r:id="rId12"/>
    <sheet name="Table4A Sampling plan descripti" sheetId="71" r:id="rId13"/>
    <sheet name="Table4B Sampling frame descrip" sheetId="72" r:id="rId14"/>
    <sheet name="Table4C Data on the fisheries" sheetId="73" r:id="rId15"/>
    <sheet name="Table4D Landing locations" sheetId="74" r:id="rId16"/>
    <sheet name="Table5A Quality assurance frame" sheetId="44" r:id="rId17"/>
    <sheet name="Table5B Quality assurance frame" sheetId="60" r:id="rId18"/>
    <sheet name="Table6A_Data_availability" sheetId="70" r:id="rId19"/>
    <sheet name="Table7A_Planned Regional_coord" sheetId="61" r:id="rId20"/>
    <sheet name="Table7B_Follow up of Recommenda" sheetId="62" r:id="rId21"/>
    <sheet name="Table7C_Bi- and multilateral " sheetId="63" r:id="rId22"/>
  </sheets>
  <externalReferences>
    <externalReference r:id="rId23"/>
  </externalReferences>
  <definedNames>
    <definedName name="_xlnm._FilterDatabase" localSheetId="0" hidden="1">'Table1A List of required stocks'!$A$4:$N$239</definedName>
    <definedName name="_xlnm._FilterDatabase" localSheetId="2" hidden="1">'Table1C Sampling intensity '!$A$4:$R$469</definedName>
    <definedName name="_xlnm._FilterDatabase" localSheetId="4" hidden="1">'Table1E Anadromous catadromous'!$A$4:$Z$36</definedName>
    <definedName name="_xlnm._FilterDatabase" localSheetId="5" hidden="1">'Table1F Incidental by catch'!$A$6:$W$20</definedName>
    <definedName name="_xlnm._FilterDatabase" localSheetId="6" hidden="1">'Table1G List of research survey'!$A$4:$AN$30</definedName>
    <definedName name="_xlnm._FilterDatabase" localSheetId="7" hidden="1">'Table1H Research survey data'!$A$4:$P$54</definedName>
    <definedName name="_xlnm._FilterDatabase" localSheetId="8" hidden="1">'Table2A Fishing activity variab'!$A$4:$T$108</definedName>
    <definedName name="_xlnm._FilterDatabase" localSheetId="9" hidden="1">'Table3A  Pop segment fisheries'!$A$4:$X$1201</definedName>
    <definedName name="_xlnm._FilterDatabase" localSheetId="10" hidden="1">'Table3B Pop segments aquacultur'!$A$4:$S$272</definedName>
    <definedName name="_xlnm._FilterDatabase" localSheetId="12" hidden="1">'Table4A Sampling plan descripti'!$A$5:$Z$48</definedName>
    <definedName name="_xlnm._FilterDatabase" localSheetId="14" hidden="1">'Table4C Data on the fisheries'!$A$4:$V$36</definedName>
    <definedName name="_xlnm._FilterDatabase" localSheetId="16" hidden="1">'Table5A Quality assurance frame'!$A$5:$U$20</definedName>
    <definedName name="_xlnm._FilterDatabase" localSheetId="19" hidden="1">'Table7A_Planned Regional_coord'!$A$4:$H$66</definedName>
    <definedName name="aa">#REF!</definedName>
    <definedName name="Edd" localSheetId="8">#REF!</definedName>
    <definedName name="Edd">#REF!</definedName>
    <definedName name="Excel_BuiltIn_Print_Area_1_1" localSheetId="3">#REF!</definedName>
    <definedName name="Excel_BuiltIn_Print_Area_1_1" localSheetId="4">#REF!</definedName>
    <definedName name="Excel_BuiltIn_Print_Area_1_1" localSheetId="5">#REF!</definedName>
    <definedName name="Excel_BuiltIn_Print_Area_1_1" localSheetId="6">#REF!</definedName>
    <definedName name="Excel_BuiltIn_Print_Area_1_1" localSheetId="7">#REF!</definedName>
    <definedName name="Excel_BuiltIn_Print_Area_1_1" localSheetId="8">#REF!</definedName>
    <definedName name="Excel_BuiltIn_Print_Area_1_1" localSheetId="16">#REF!</definedName>
    <definedName name="Excel_BuiltIn_Print_Area_1_1" localSheetId="18">#REF!</definedName>
    <definedName name="Excel_BuiltIn_Print_Area_1_1">#REF!</definedName>
    <definedName name="Excel_BuiltIn_Print_Area_1_1_1" localSheetId="3">#REF!</definedName>
    <definedName name="Excel_BuiltIn_Print_Area_1_1_1" localSheetId="5">#REF!</definedName>
    <definedName name="Excel_BuiltIn_Print_Area_1_1_1" localSheetId="6">#REF!</definedName>
    <definedName name="Excel_BuiltIn_Print_Area_1_1_1" localSheetId="7">#REF!</definedName>
    <definedName name="Excel_BuiltIn_Print_Area_1_1_1" localSheetId="8">#REF!</definedName>
    <definedName name="Excel_BuiltIn_Print_Area_1_1_1" localSheetId="16">#REF!</definedName>
    <definedName name="Excel_BuiltIn_Print_Area_1_1_1">#REF!</definedName>
    <definedName name="Excel_BuiltIn_Print_Area_10_1" localSheetId="3">#REF!</definedName>
    <definedName name="Excel_BuiltIn_Print_Area_10_1" localSheetId="5">#REF!</definedName>
    <definedName name="Excel_BuiltIn_Print_Area_10_1" localSheetId="6">#REF!</definedName>
    <definedName name="Excel_BuiltIn_Print_Area_10_1" localSheetId="7">#REF!</definedName>
    <definedName name="Excel_BuiltIn_Print_Area_10_1">#REF!</definedName>
    <definedName name="Excel_BuiltIn_Print_Area_10_1_1" localSheetId="3">#REF!</definedName>
    <definedName name="Excel_BuiltIn_Print_Area_10_1_1" localSheetId="5">#REF!</definedName>
    <definedName name="Excel_BuiltIn_Print_Area_10_1_1" localSheetId="6">#REF!</definedName>
    <definedName name="Excel_BuiltIn_Print_Area_10_1_1" localSheetId="7">#REF!</definedName>
    <definedName name="Excel_BuiltIn_Print_Area_10_1_1" localSheetId="16">#REF!</definedName>
    <definedName name="Excel_BuiltIn_Print_Area_10_1_1">#REF!</definedName>
    <definedName name="Excel_BuiltIn_Print_Area_11_1" localSheetId="3">#REF!</definedName>
    <definedName name="Excel_BuiltIn_Print_Area_11_1" localSheetId="5">#REF!</definedName>
    <definedName name="Excel_BuiltIn_Print_Area_11_1" localSheetId="6">#REF!</definedName>
    <definedName name="Excel_BuiltIn_Print_Area_11_1" localSheetId="7">#REF!</definedName>
    <definedName name="Excel_BuiltIn_Print_Area_11_1">#REF!</definedName>
    <definedName name="Excel_BuiltIn_Print_Area_12_1" localSheetId="3">#REF!</definedName>
    <definedName name="Excel_BuiltIn_Print_Area_12_1" localSheetId="5">#REF!</definedName>
    <definedName name="Excel_BuiltIn_Print_Area_12_1" localSheetId="6">#REF!</definedName>
    <definedName name="Excel_BuiltIn_Print_Area_12_1" localSheetId="7">#REF!</definedName>
    <definedName name="Excel_BuiltIn_Print_Area_12_1">#REF!</definedName>
    <definedName name="Excel_BuiltIn_Print_Area_12_1_1" localSheetId="3">#REF!</definedName>
    <definedName name="Excel_BuiltIn_Print_Area_12_1_1" localSheetId="5">#REF!</definedName>
    <definedName name="Excel_BuiltIn_Print_Area_12_1_1" localSheetId="6">#REF!</definedName>
    <definedName name="Excel_BuiltIn_Print_Area_12_1_1" localSheetId="7">#REF!</definedName>
    <definedName name="Excel_BuiltIn_Print_Area_12_1_1">#REF!</definedName>
    <definedName name="Excel_BuiltIn_Print_Area_14_1" localSheetId="3">#REF!</definedName>
    <definedName name="Excel_BuiltIn_Print_Area_14_1" localSheetId="5">#REF!</definedName>
    <definedName name="Excel_BuiltIn_Print_Area_14_1" localSheetId="6">#REF!</definedName>
    <definedName name="Excel_BuiltIn_Print_Area_14_1" localSheetId="7">#REF!</definedName>
    <definedName name="Excel_BuiltIn_Print_Area_14_1">#REF!</definedName>
    <definedName name="Excel_BuiltIn_Print_Area_15_1" localSheetId="3">#REF!</definedName>
    <definedName name="Excel_BuiltIn_Print_Area_15_1" localSheetId="5">#REF!</definedName>
    <definedName name="Excel_BuiltIn_Print_Area_15_1" localSheetId="6">#REF!</definedName>
    <definedName name="Excel_BuiltIn_Print_Area_15_1" localSheetId="7">#REF!</definedName>
    <definedName name="Excel_BuiltIn_Print_Area_15_1">#REF!</definedName>
    <definedName name="Excel_BuiltIn_Print_Area_24_1" localSheetId="3">#REF!</definedName>
    <definedName name="Excel_BuiltIn_Print_Area_24_1" localSheetId="5">#REF!</definedName>
    <definedName name="Excel_BuiltIn_Print_Area_24_1" localSheetId="6">#REF!</definedName>
    <definedName name="Excel_BuiltIn_Print_Area_24_1" localSheetId="7">#REF!</definedName>
    <definedName name="Excel_BuiltIn_Print_Area_24_1">#REF!</definedName>
    <definedName name="Excel_BuiltIn_Print_Area_4_1" localSheetId="3">#REF!</definedName>
    <definedName name="Excel_BuiltIn_Print_Area_4_1" localSheetId="5">#REF!</definedName>
    <definedName name="Excel_BuiltIn_Print_Area_4_1" localSheetId="6">#REF!</definedName>
    <definedName name="Excel_BuiltIn_Print_Area_4_1" localSheetId="7">#REF!</definedName>
    <definedName name="Excel_BuiltIn_Print_Area_4_1">#REF!</definedName>
    <definedName name="Excel_BuiltIn_Print_Area_5_1" localSheetId="3">#REF!</definedName>
    <definedName name="Excel_BuiltIn_Print_Area_5_1" localSheetId="5">#REF!</definedName>
    <definedName name="Excel_BuiltIn_Print_Area_5_1" localSheetId="6">#REF!</definedName>
    <definedName name="Excel_BuiltIn_Print_Area_5_1" localSheetId="7">#REF!</definedName>
    <definedName name="Excel_BuiltIn_Print_Area_5_1">#REF!</definedName>
    <definedName name="Excel_BuiltIn_Print_Area_7_1" localSheetId="3">#REF!</definedName>
    <definedName name="Excel_BuiltIn_Print_Area_7_1" localSheetId="5">#REF!</definedName>
    <definedName name="Excel_BuiltIn_Print_Area_7_1" localSheetId="6">#REF!</definedName>
    <definedName name="Excel_BuiltIn_Print_Area_7_1" localSheetId="7">#REF!</definedName>
    <definedName name="Excel_BuiltIn_Print_Area_7_1">#REF!</definedName>
    <definedName name="Excel_BuiltIn_Print_Area_8_1" localSheetId="3">#REF!</definedName>
    <definedName name="Excel_BuiltIn_Print_Area_8_1" localSheetId="5">#REF!</definedName>
    <definedName name="Excel_BuiltIn_Print_Area_8_1" localSheetId="6">#REF!</definedName>
    <definedName name="Excel_BuiltIn_Print_Area_8_1" localSheetId="7">#REF!</definedName>
    <definedName name="Excel_BuiltIn_Print_Area_8_1">#REF!</definedName>
    <definedName name="Excel_BuiltIn_Print_Area_9_1" localSheetId="3">#REF!</definedName>
    <definedName name="Excel_BuiltIn_Print_Area_9_1" localSheetId="5">#REF!</definedName>
    <definedName name="Excel_BuiltIn_Print_Area_9_1" localSheetId="6">#REF!</definedName>
    <definedName name="Excel_BuiltIn_Print_Area_9_1" localSheetId="7">#REF!</definedName>
    <definedName name="Excel_BuiltIn_Print_Area_9_1">#REF!</definedName>
    <definedName name="Excel_Builtin_PrintArea_10_1_2">#REF!</definedName>
    <definedName name="fffff">#REF!</definedName>
    <definedName name="g">#REF!</definedName>
    <definedName name="GSA">[1]codification!$A$51:$A$81</definedName>
    <definedName name="nuevo">#REF!</definedName>
    <definedName name="print" localSheetId="3">#REF!</definedName>
    <definedName name="print" localSheetId="4">#REF!</definedName>
    <definedName name="print" localSheetId="5">#REF!</definedName>
    <definedName name="print" localSheetId="6">#REF!</definedName>
    <definedName name="print" localSheetId="7">#REF!</definedName>
    <definedName name="print" localSheetId="18">#REF!</definedName>
    <definedName name="print">#REF!</definedName>
    <definedName name="_xlnm.Print_Area" localSheetId="6">'Table1G List of research survey'!$A$4:$AB$4</definedName>
    <definedName name="_xlnm.Print_Area" localSheetId="7">'Table1H Research survey data'!$A$1:$M$7</definedName>
    <definedName name="_xlnm.Print_Area" localSheetId="9">'Table3A  Pop segment fisheries'!#REF!</definedName>
  </definedNames>
  <calcPr calcId="162913"/>
</workbook>
</file>

<file path=xl/calcChain.xml><?xml version="1.0" encoding="utf-8"?>
<calcChain xmlns="http://schemas.openxmlformats.org/spreadsheetml/2006/main">
  <c r="N82" i="78" l="1"/>
  <c r="N81" i="78"/>
  <c r="N80" i="78"/>
  <c r="N79" i="78"/>
  <c r="N78" i="78"/>
  <c r="N77" i="78"/>
  <c r="N76" i="78"/>
  <c r="N75" i="78"/>
  <c r="N74" i="78"/>
  <c r="N73" i="78"/>
  <c r="N72" i="78"/>
  <c r="N71" i="78"/>
  <c r="N70" i="78"/>
  <c r="N69" i="78"/>
  <c r="N68" i="78"/>
  <c r="N67" i="78"/>
  <c r="N66" i="78"/>
  <c r="N65" i="78"/>
  <c r="N64" i="78"/>
  <c r="N63" i="78"/>
  <c r="N62" i="78"/>
  <c r="N61" i="78"/>
  <c r="N60" i="78"/>
  <c r="N59" i="78"/>
  <c r="N58" i="78"/>
  <c r="N57" i="78"/>
  <c r="N56" i="78"/>
  <c r="N55" i="78"/>
  <c r="N54" i="78"/>
  <c r="N53" i="78"/>
  <c r="N52" i="78"/>
  <c r="N51" i="78"/>
  <c r="N50" i="78"/>
  <c r="N49" i="78"/>
  <c r="N48" i="78"/>
  <c r="N47" i="78"/>
  <c r="N46" i="78"/>
  <c r="N45" i="78"/>
  <c r="N44" i="78"/>
  <c r="N43" i="78"/>
  <c r="N42" i="78"/>
  <c r="N41" i="78"/>
  <c r="N40" i="78"/>
  <c r="N39" i="78"/>
  <c r="N38" i="78"/>
  <c r="N37" i="78"/>
  <c r="N36" i="78"/>
  <c r="N35" i="78"/>
  <c r="N34" i="78"/>
  <c r="N33" i="78"/>
  <c r="N32" i="78"/>
  <c r="N31" i="78"/>
  <c r="N30" i="78"/>
  <c r="N29" i="78"/>
  <c r="N28" i="78"/>
  <c r="N27" i="78"/>
  <c r="N26" i="78"/>
  <c r="N25" i="78"/>
  <c r="N24" i="78"/>
  <c r="N23" i="78"/>
  <c r="N22" i="78"/>
  <c r="N21" i="78"/>
  <c r="N20" i="78"/>
  <c r="N19" i="78"/>
  <c r="N18" i="78"/>
  <c r="N17" i="78"/>
  <c r="N16" i="78"/>
  <c r="N15" i="78"/>
  <c r="N14" i="78"/>
  <c r="N13" i="78"/>
  <c r="N12" i="78"/>
  <c r="N11" i="78"/>
  <c r="N10" i="78"/>
  <c r="N9" i="78"/>
  <c r="N8" i="78"/>
  <c r="N7" i="78"/>
  <c r="N6" i="78"/>
  <c r="N5" i="78"/>
  <c r="Q272" i="77" l="1"/>
  <c r="O272" i="77"/>
  <c r="P272" i="77" s="1"/>
  <c r="Q271" i="77"/>
  <c r="O271" i="77"/>
  <c r="P271" i="77" s="1"/>
  <c r="Q270" i="77"/>
  <c r="P270" i="77"/>
  <c r="O270" i="77"/>
  <c r="Q269" i="77"/>
  <c r="O269" i="77"/>
  <c r="P269" i="77" s="1"/>
  <c r="Q268" i="77"/>
  <c r="O268" i="77"/>
  <c r="P268" i="77" s="1"/>
  <c r="Q267" i="77"/>
  <c r="O267" i="77"/>
  <c r="P267" i="77" s="1"/>
  <c r="Q266" i="77"/>
  <c r="O266" i="77"/>
  <c r="P266" i="77" s="1"/>
  <c r="Q265" i="77"/>
  <c r="O265" i="77"/>
  <c r="P265" i="77" s="1"/>
  <c r="Q264" i="77"/>
  <c r="O264" i="77"/>
  <c r="P264" i="77" s="1"/>
  <c r="Q263" i="77"/>
  <c r="O263" i="77"/>
  <c r="P263" i="77" s="1"/>
  <c r="Q262" i="77"/>
  <c r="O262" i="77"/>
  <c r="P262" i="77" s="1"/>
  <c r="Q261" i="77"/>
  <c r="O261" i="77"/>
  <c r="P261" i="77" s="1"/>
  <c r="Q260" i="77"/>
  <c r="O260" i="77"/>
  <c r="P260" i="77" s="1"/>
  <c r="Q259" i="77"/>
  <c r="O259" i="77"/>
  <c r="P259" i="77" s="1"/>
  <c r="Q258" i="77"/>
  <c r="O258" i="77"/>
  <c r="P258" i="77" s="1"/>
  <c r="Q257" i="77"/>
  <c r="O257" i="77"/>
  <c r="P257" i="77" s="1"/>
  <c r="Q256" i="77"/>
  <c r="O256" i="77"/>
  <c r="P256" i="77" s="1"/>
  <c r="Q255" i="77"/>
  <c r="O255" i="77"/>
  <c r="P255" i="77" s="1"/>
  <c r="Q254" i="77"/>
  <c r="O254" i="77"/>
  <c r="P254" i="77" s="1"/>
  <c r="Q253" i="77"/>
  <c r="O253" i="77"/>
  <c r="P253" i="77" s="1"/>
  <c r="Q252" i="77"/>
  <c r="O252" i="77"/>
  <c r="P252" i="77" s="1"/>
  <c r="Q251" i="77"/>
  <c r="O251" i="77"/>
  <c r="P251" i="77" s="1"/>
  <c r="Q250" i="77"/>
  <c r="P250" i="77"/>
  <c r="O250" i="77"/>
  <c r="Q249" i="77"/>
  <c r="O249" i="77"/>
  <c r="P249" i="77" s="1"/>
  <c r="Q248" i="77"/>
  <c r="O248" i="77"/>
  <c r="P248" i="77" s="1"/>
  <c r="Q247" i="77"/>
  <c r="O247" i="77"/>
  <c r="P247" i="77" s="1"/>
  <c r="Q246" i="77"/>
  <c r="O246" i="77"/>
  <c r="P246" i="77" s="1"/>
  <c r="Q245" i="77"/>
  <c r="O245" i="77"/>
  <c r="P245" i="77" s="1"/>
  <c r="Q244" i="77"/>
  <c r="O244" i="77"/>
  <c r="P244" i="77" s="1"/>
  <c r="Q243" i="77"/>
  <c r="O243" i="77"/>
  <c r="P243" i="77" s="1"/>
  <c r="Q242" i="77"/>
  <c r="O242" i="77"/>
  <c r="P242" i="77" s="1"/>
  <c r="Q241" i="77"/>
  <c r="O241" i="77"/>
  <c r="P241" i="77" s="1"/>
  <c r="Q240" i="77"/>
  <c r="O240" i="77"/>
  <c r="P240" i="77" s="1"/>
  <c r="Q239" i="77"/>
  <c r="O239" i="77"/>
  <c r="P239" i="77" s="1"/>
  <c r="Q238" i="77"/>
  <c r="O238" i="77"/>
  <c r="P238" i="77" s="1"/>
  <c r="Q237" i="77"/>
  <c r="O237" i="77"/>
  <c r="P237" i="77" s="1"/>
  <c r="Q236" i="77"/>
  <c r="O236" i="77"/>
  <c r="P236" i="77" s="1"/>
  <c r="Q235" i="77"/>
  <c r="O235" i="77"/>
  <c r="P235" i="77" s="1"/>
  <c r="Q234" i="77"/>
  <c r="O234" i="77"/>
  <c r="P234" i="77" s="1"/>
  <c r="Q233" i="77"/>
  <c r="O233" i="77"/>
  <c r="P233" i="77" s="1"/>
  <c r="Q232" i="77"/>
  <c r="O232" i="77"/>
  <c r="P232" i="77" s="1"/>
  <c r="Q231" i="77"/>
  <c r="O231" i="77"/>
  <c r="P231" i="77" s="1"/>
  <c r="Q230" i="77"/>
  <c r="P230" i="77"/>
  <c r="O230" i="77"/>
  <c r="Q229" i="77"/>
  <c r="O229" i="77"/>
  <c r="P229" i="77" s="1"/>
  <c r="Q228" i="77"/>
  <c r="O228" i="77"/>
  <c r="P228" i="77" s="1"/>
  <c r="Q227" i="77"/>
  <c r="O227" i="77"/>
  <c r="P227" i="77" s="1"/>
  <c r="Q226" i="77"/>
  <c r="O226" i="77"/>
  <c r="P226" i="77" s="1"/>
  <c r="Q225" i="77"/>
  <c r="O225" i="77"/>
  <c r="P225" i="77" s="1"/>
  <c r="Q224" i="77"/>
  <c r="O224" i="77"/>
  <c r="P224" i="77" s="1"/>
  <c r="Q223" i="77"/>
  <c r="O223" i="77"/>
  <c r="P223" i="77" s="1"/>
  <c r="Q222" i="77"/>
  <c r="O222" i="77"/>
  <c r="P222" i="77" s="1"/>
  <c r="Q221" i="77"/>
  <c r="O221" i="77"/>
  <c r="P221" i="77" s="1"/>
  <c r="Q220" i="77"/>
  <c r="O220" i="77"/>
  <c r="P220" i="77" s="1"/>
  <c r="Q219" i="77"/>
  <c r="O219" i="77"/>
  <c r="P219" i="77" s="1"/>
  <c r="Q218" i="77"/>
  <c r="O218" i="77"/>
  <c r="P218" i="77" s="1"/>
  <c r="Q217" i="77"/>
  <c r="O217" i="77"/>
  <c r="P217" i="77" s="1"/>
  <c r="Q216" i="77"/>
  <c r="O216" i="77"/>
  <c r="P216" i="77" s="1"/>
  <c r="Q215" i="77"/>
  <c r="O215" i="77"/>
  <c r="P215" i="77" s="1"/>
  <c r="Q214" i="77"/>
  <c r="O214" i="77"/>
  <c r="P214" i="77" s="1"/>
  <c r="Q213" i="77"/>
  <c r="O213" i="77"/>
  <c r="P213" i="77" s="1"/>
  <c r="Q212" i="77"/>
  <c r="O212" i="77"/>
  <c r="P212" i="77" s="1"/>
  <c r="Q211" i="77"/>
  <c r="O211" i="77"/>
  <c r="P211" i="77" s="1"/>
  <c r="Q210" i="77"/>
  <c r="O210" i="77"/>
  <c r="P210" i="77" s="1"/>
  <c r="Q209" i="77"/>
  <c r="O209" i="77"/>
  <c r="P209" i="77" s="1"/>
  <c r="Q208" i="77"/>
  <c r="O208" i="77"/>
  <c r="P208" i="77" s="1"/>
  <c r="Q207" i="77"/>
  <c r="O207" i="77"/>
  <c r="P207" i="77" s="1"/>
  <c r="Q206" i="77"/>
  <c r="O206" i="77"/>
  <c r="P206" i="77" s="1"/>
  <c r="Q205" i="77"/>
  <c r="O205" i="77"/>
  <c r="P205" i="77" s="1"/>
  <c r="Q204" i="77"/>
  <c r="O204" i="77"/>
  <c r="P204" i="77" s="1"/>
  <c r="Q203" i="77"/>
  <c r="O203" i="77"/>
  <c r="P203" i="77" s="1"/>
  <c r="Q202" i="77"/>
  <c r="P202" i="77"/>
  <c r="O202" i="77"/>
  <c r="Q201" i="77"/>
  <c r="O201" i="77"/>
  <c r="P201" i="77" s="1"/>
  <c r="Q200" i="77"/>
  <c r="O200" i="77"/>
  <c r="P200" i="77" s="1"/>
  <c r="Q199" i="77"/>
  <c r="O199" i="77"/>
  <c r="P199" i="77" s="1"/>
  <c r="Q198" i="77"/>
  <c r="O198" i="77"/>
  <c r="P198" i="77" s="1"/>
  <c r="Q197" i="77"/>
  <c r="O197" i="77"/>
  <c r="P197" i="77" s="1"/>
  <c r="Q196" i="77"/>
  <c r="O196" i="77"/>
  <c r="P196" i="77" s="1"/>
  <c r="Q195" i="77"/>
  <c r="O195" i="77"/>
  <c r="P195" i="77" s="1"/>
  <c r="Q194" i="77"/>
  <c r="O194" i="77"/>
  <c r="P194" i="77" s="1"/>
  <c r="Q193" i="77"/>
  <c r="O193" i="77"/>
  <c r="P193" i="77" s="1"/>
  <c r="Q192" i="77"/>
  <c r="O192" i="77"/>
  <c r="P192" i="77" s="1"/>
  <c r="Q191" i="77"/>
  <c r="O191" i="77"/>
  <c r="P191" i="77" s="1"/>
  <c r="Q190" i="77"/>
  <c r="O190" i="77"/>
  <c r="P190" i="77" s="1"/>
  <c r="Q189" i="77"/>
  <c r="O189" i="77"/>
  <c r="P189" i="77" s="1"/>
  <c r="Q188" i="77"/>
  <c r="O188" i="77"/>
  <c r="P188" i="77" s="1"/>
  <c r="Q187" i="77"/>
  <c r="O187" i="77"/>
  <c r="P187" i="77" s="1"/>
  <c r="Q186" i="77"/>
  <c r="O186" i="77"/>
  <c r="P186" i="77" s="1"/>
  <c r="Q185" i="77"/>
  <c r="O185" i="77"/>
  <c r="P185" i="77" s="1"/>
  <c r="Q184" i="77"/>
  <c r="O184" i="77"/>
  <c r="P184" i="77" s="1"/>
  <c r="Q183" i="77"/>
  <c r="O183" i="77"/>
  <c r="P183" i="77" s="1"/>
  <c r="Q182" i="77"/>
  <c r="O182" i="77"/>
  <c r="P182" i="77" s="1"/>
  <c r="Q181" i="77"/>
  <c r="O181" i="77"/>
  <c r="P181" i="77" s="1"/>
  <c r="Q180" i="77"/>
  <c r="O180" i="77"/>
  <c r="P180" i="77" s="1"/>
  <c r="Q179" i="77"/>
  <c r="O179" i="77"/>
  <c r="P179" i="77" s="1"/>
  <c r="Q178" i="77"/>
  <c r="O178" i="77"/>
  <c r="P178" i="77" s="1"/>
  <c r="Q177" i="77"/>
  <c r="O177" i="77"/>
  <c r="P177" i="77" s="1"/>
  <c r="Q176" i="77"/>
  <c r="O176" i="77"/>
  <c r="P176" i="77" s="1"/>
  <c r="Q175" i="77"/>
  <c r="O175" i="77"/>
  <c r="P175" i="77" s="1"/>
  <c r="Q174" i="77"/>
  <c r="O174" i="77"/>
  <c r="P174" i="77" s="1"/>
  <c r="Q173" i="77"/>
  <c r="O173" i="77"/>
  <c r="P173" i="77" s="1"/>
  <c r="Q172" i="77"/>
  <c r="O172" i="77"/>
  <c r="P172" i="77" s="1"/>
  <c r="Q171" i="77"/>
  <c r="O171" i="77"/>
  <c r="P171" i="77" s="1"/>
  <c r="Q170" i="77"/>
  <c r="P170" i="77"/>
  <c r="O170" i="77"/>
  <c r="Q169" i="77"/>
  <c r="O169" i="77"/>
  <c r="P169" i="77" s="1"/>
  <c r="Q168" i="77"/>
  <c r="O168" i="77"/>
  <c r="P168" i="77" s="1"/>
  <c r="Q167" i="77"/>
  <c r="O167" i="77"/>
  <c r="P167" i="77" s="1"/>
  <c r="Q166" i="77"/>
  <c r="O166" i="77"/>
  <c r="P166" i="77" s="1"/>
  <c r="Q165" i="77"/>
  <c r="O165" i="77"/>
  <c r="P165" i="77" s="1"/>
  <c r="Q164" i="77"/>
  <c r="O164" i="77"/>
  <c r="P164" i="77" s="1"/>
  <c r="Q163" i="77"/>
  <c r="O163" i="77"/>
  <c r="P163" i="77" s="1"/>
  <c r="Q162" i="77"/>
  <c r="O162" i="77"/>
  <c r="P162" i="77" s="1"/>
  <c r="Q161" i="77"/>
  <c r="O161" i="77"/>
  <c r="P161" i="77" s="1"/>
  <c r="Q160" i="77"/>
  <c r="O160" i="77"/>
  <c r="P160" i="77" s="1"/>
  <c r="Q159" i="77"/>
  <c r="O159" i="77"/>
  <c r="P159" i="77" s="1"/>
  <c r="Q158" i="77"/>
  <c r="O158" i="77"/>
  <c r="P158" i="77" s="1"/>
  <c r="Q157" i="77"/>
  <c r="O157" i="77"/>
  <c r="P157" i="77" s="1"/>
  <c r="Q156" i="77"/>
  <c r="O156" i="77"/>
  <c r="P156" i="77" s="1"/>
  <c r="Q155" i="77"/>
  <c r="O155" i="77"/>
  <c r="P155" i="77" s="1"/>
  <c r="Q154" i="77"/>
  <c r="O154" i="77"/>
  <c r="P154" i="77" s="1"/>
  <c r="Q153" i="77"/>
  <c r="O153" i="77"/>
  <c r="P153" i="77" s="1"/>
  <c r="Q152" i="77"/>
  <c r="O152" i="77"/>
  <c r="P152" i="77" s="1"/>
  <c r="Q151" i="77"/>
  <c r="O151" i="77"/>
  <c r="P151" i="77" s="1"/>
  <c r="Q150" i="77"/>
  <c r="P150" i="77"/>
  <c r="O150" i="77"/>
  <c r="Q149" i="77"/>
  <c r="O149" i="77"/>
  <c r="P149" i="77" s="1"/>
  <c r="Q148" i="77"/>
  <c r="O148" i="77"/>
  <c r="P148" i="77" s="1"/>
  <c r="Q147" i="77"/>
  <c r="O147" i="77"/>
  <c r="P147" i="77" s="1"/>
  <c r="Q146" i="77"/>
  <c r="O146" i="77"/>
  <c r="P146" i="77" s="1"/>
  <c r="Q145" i="77"/>
  <c r="O145" i="77"/>
  <c r="P145" i="77" s="1"/>
  <c r="Q144" i="77"/>
  <c r="O144" i="77"/>
  <c r="P144" i="77" s="1"/>
  <c r="Q143" i="77"/>
  <c r="O143" i="77"/>
  <c r="P143" i="77" s="1"/>
  <c r="Q142" i="77"/>
  <c r="O142" i="77"/>
  <c r="P142" i="77" s="1"/>
  <c r="Q141" i="77"/>
  <c r="O141" i="77"/>
  <c r="P141" i="77" s="1"/>
  <c r="Q140" i="77"/>
  <c r="O140" i="77"/>
  <c r="P140" i="77" s="1"/>
  <c r="Q139" i="77"/>
  <c r="O139" i="77"/>
  <c r="P139" i="77" s="1"/>
  <c r="Q138" i="77"/>
  <c r="O138" i="77"/>
  <c r="P138" i="77" s="1"/>
  <c r="Q137" i="77"/>
  <c r="O137" i="77"/>
  <c r="P137" i="77" s="1"/>
  <c r="Q136" i="77"/>
  <c r="O136" i="77"/>
  <c r="P136" i="77" s="1"/>
  <c r="Q135" i="77"/>
  <c r="O135" i="77"/>
  <c r="P135" i="77" s="1"/>
  <c r="Q134" i="77"/>
  <c r="O134" i="77"/>
  <c r="P134" i="77" s="1"/>
  <c r="Q133" i="77"/>
  <c r="O133" i="77"/>
  <c r="P133" i="77" s="1"/>
  <c r="Q132" i="77"/>
  <c r="O132" i="77"/>
  <c r="P132" i="77" s="1"/>
  <c r="Q131" i="77"/>
  <c r="O131" i="77"/>
  <c r="P131" i="77" s="1"/>
  <c r="Q130" i="77"/>
  <c r="O130" i="77"/>
  <c r="P130" i="77" s="1"/>
  <c r="Q129" i="77"/>
  <c r="O129" i="77"/>
  <c r="P129" i="77" s="1"/>
  <c r="Q128" i="77"/>
  <c r="O128" i="77"/>
  <c r="P128" i="77" s="1"/>
  <c r="Q127" i="77"/>
  <c r="O127" i="77"/>
  <c r="P127" i="77" s="1"/>
  <c r="Q126" i="77"/>
  <c r="O126" i="77"/>
  <c r="P126" i="77" s="1"/>
  <c r="Q125" i="77"/>
  <c r="O125" i="77"/>
  <c r="P125" i="77" s="1"/>
  <c r="Q124" i="77"/>
  <c r="O124" i="77"/>
  <c r="P124" i="77" s="1"/>
  <c r="Q123" i="77"/>
  <c r="O123" i="77"/>
  <c r="P123" i="77" s="1"/>
  <c r="Q122" i="77"/>
  <c r="P122" i="77"/>
  <c r="O122" i="77"/>
  <c r="Q121" i="77"/>
  <c r="O121" i="77"/>
  <c r="P121" i="77" s="1"/>
  <c r="Q120" i="77"/>
  <c r="O120" i="77"/>
  <c r="P120" i="77" s="1"/>
  <c r="Q119" i="77"/>
  <c r="O119" i="77"/>
  <c r="P119" i="77" s="1"/>
  <c r="Q118" i="77"/>
  <c r="O118" i="77"/>
  <c r="P118" i="77" s="1"/>
  <c r="Q117" i="77"/>
  <c r="O117" i="77"/>
  <c r="P117" i="77" s="1"/>
  <c r="Q116" i="77"/>
  <c r="O116" i="77"/>
  <c r="P116" i="77" s="1"/>
  <c r="Q115" i="77"/>
  <c r="O115" i="77"/>
  <c r="P115" i="77" s="1"/>
  <c r="Q114" i="77"/>
  <c r="O114" i="77"/>
  <c r="P114" i="77" s="1"/>
  <c r="Q113" i="77"/>
  <c r="O113" i="77"/>
  <c r="P113" i="77" s="1"/>
  <c r="Q112" i="77"/>
  <c r="O112" i="77"/>
  <c r="P112" i="77" s="1"/>
  <c r="Q111" i="77"/>
  <c r="O111" i="77"/>
  <c r="P111" i="77" s="1"/>
  <c r="Q110" i="77"/>
  <c r="O110" i="77"/>
  <c r="P110" i="77" s="1"/>
  <c r="Q109" i="77"/>
  <c r="O109" i="77"/>
  <c r="P109" i="77" s="1"/>
  <c r="Q108" i="77"/>
  <c r="O108" i="77"/>
  <c r="P108" i="77" s="1"/>
  <c r="Q107" i="77"/>
  <c r="O107" i="77"/>
  <c r="P107" i="77" s="1"/>
  <c r="Q106" i="77"/>
  <c r="O106" i="77"/>
  <c r="P106" i="77" s="1"/>
  <c r="Q105" i="77"/>
  <c r="O105" i="77"/>
  <c r="P105" i="77" s="1"/>
  <c r="Q104" i="77"/>
  <c r="O104" i="77"/>
  <c r="P104" i="77" s="1"/>
  <c r="Q103" i="77"/>
  <c r="O103" i="77"/>
  <c r="P103" i="77" s="1"/>
  <c r="Q102" i="77"/>
  <c r="O102" i="77"/>
  <c r="P102" i="77" s="1"/>
  <c r="Q101" i="77"/>
  <c r="O101" i="77"/>
  <c r="P101" i="77" s="1"/>
  <c r="Q100" i="77"/>
  <c r="O100" i="77"/>
  <c r="P100" i="77" s="1"/>
  <c r="Q99" i="77"/>
  <c r="O99" i="77"/>
  <c r="P99" i="77" s="1"/>
  <c r="Q98" i="77"/>
  <c r="O98" i="77"/>
  <c r="P98" i="77" s="1"/>
  <c r="Q97" i="77"/>
  <c r="O97" i="77"/>
  <c r="P97" i="77" s="1"/>
  <c r="Q96" i="77"/>
  <c r="O96" i="77"/>
  <c r="P96" i="77" s="1"/>
  <c r="Q95" i="77"/>
  <c r="O95" i="77"/>
  <c r="P95" i="77" s="1"/>
  <c r="Q94" i="77"/>
  <c r="O94" i="77"/>
  <c r="P94" i="77" s="1"/>
  <c r="Q93" i="77"/>
  <c r="O93" i="77"/>
  <c r="P93" i="77" s="1"/>
  <c r="Q92" i="77"/>
  <c r="O92" i="77"/>
  <c r="P92" i="77" s="1"/>
  <c r="Q91" i="77"/>
  <c r="O91" i="77"/>
  <c r="P91" i="77" s="1"/>
  <c r="Q90" i="77"/>
  <c r="P90" i="77"/>
  <c r="O90" i="77"/>
  <c r="Q89" i="77"/>
  <c r="O89" i="77"/>
  <c r="P89" i="77" s="1"/>
  <c r="Q88" i="77"/>
  <c r="O88" i="77"/>
  <c r="P88" i="77" s="1"/>
  <c r="Q87" i="77"/>
  <c r="O87" i="77"/>
  <c r="P87" i="77" s="1"/>
  <c r="Q86" i="77"/>
  <c r="O86" i="77"/>
  <c r="P86" i="77" s="1"/>
  <c r="Q85" i="77"/>
  <c r="O85" i="77"/>
  <c r="P85" i="77" s="1"/>
  <c r="Q84" i="77"/>
  <c r="O84" i="77"/>
  <c r="P84" i="77" s="1"/>
  <c r="Q83" i="77"/>
  <c r="O83" i="77"/>
  <c r="P83" i="77" s="1"/>
  <c r="Q82" i="77"/>
  <c r="O82" i="77"/>
  <c r="P82" i="77" s="1"/>
  <c r="Q81" i="77"/>
  <c r="O81" i="77"/>
  <c r="P81" i="77" s="1"/>
  <c r="Q80" i="77"/>
  <c r="O80" i="77"/>
  <c r="P80" i="77" s="1"/>
  <c r="Q79" i="77"/>
  <c r="O79" i="77"/>
  <c r="P79" i="77" s="1"/>
  <c r="Q78" i="77"/>
  <c r="O78" i="77"/>
  <c r="P78" i="77" s="1"/>
  <c r="Q77" i="77"/>
  <c r="O77" i="77"/>
  <c r="P77" i="77" s="1"/>
  <c r="Q76" i="77"/>
  <c r="O76" i="77"/>
  <c r="P76" i="77" s="1"/>
  <c r="Q75" i="77"/>
  <c r="O75" i="77"/>
  <c r="P75" i="77" s="1"/>
  <c r="Q74" i="77"/>
  <c r="O74" i="77"/>
  <c r="P74" i="77" s="1"/>
  <c r="Q73" i="77"/>
  <c r="O73" i="77"/>
  <c r="P73" i="77" s="1"/>
  <c r="Q72" i="77"/>
  <c r="O72" i="77"/>
  <c r="P72" i="77" s="1"/>
  <c r="Q71" i="77"/>
  <c r="O71" i="77"/>
  <c r="P71" i="77" s="1"/>
  <c r="Q70" i="77"/>
  <c r="O70" i="77"/>
  <c r="P70" i="77" s="1"/>
  <c r="Q69" i="77"/>
  <c r="O69" i="77"/>
  <c r="P69" i="77" s="1"/>
  <c r="Q68" i="77"/>
  <c r="O68" i="77"/>
  <c r="P68" i="77" s="1"/>
  <c r="Q67" i="77"/>
  <c r="O67" i="77"/>
  <c r="P67" i="77" s="1"/>
  <c r="Q66" i="77"/>
  <c r="O66" i="77"/>
  <c r="P66" i="77" s="1"/>
  <c r="Q65" i="77"/>
  <c r="O65" i="77"/>
  <c r="P65" i="77" s="1"/>
  <c r="Q64" i="77"/>
  <c r="O64" i="77"/>
  <c r="P64" i="77" s="1"/>
  <c r="Q63" i="77"/>
  <c r="O63" i="77"/>
  <c r="P63" i="77" s="1"/>
  <c r="Q62" i="77"/>
  <c r="O62" i="77"/>
  <c r="P62" i="77" s="1"/>
  <c r="Q61" i="77"/>
  <c r="O61" i="77"/>
  <c r="P61" i="77" s="1"/>
  <c r="Q60" i="77"/>
  <c r="O60" i="77"/>
  <c r="P60" i="77" s="1"/>
  <c r="Q59" i="77"/>
  <c r="O59" i="77"/>
  <c r="P59" i="77" s="1"/>
  <c r="Q58" i="77"/>
  <c r="P58" i="77"/>
  <c r="O58" i="77"/>
  <c r="Q57" i="77"/>
  <c r="O57" i="77"/>
  <c r="P57" i="77" s="1"/>
  <c r="Q56" i="77"/>
  <c r="O56" i="77"/>
  <c r="P56" i="77" s="1"/>
  <c r="Q55" i="77"/>
  <c r="O55" i="77"/>
  <c r="P55" i="77" s="1"/>
  <c r="Q54" i="77"/>
  <c r="O54" i="77"/>
  <c r="P54" i="77" s="1"/>
  <c r="Q53" i="77"/>
  <c r="O53" i="77"/>
  <c r="P53" i="77" s="1"/>
  <c r="Q52" i="77"/>
  <c r="O52" i="77"/>
  <c r="P52" i="77" s="1"/>
  <c r="Q51" i="77"/>
  <c r="O51" i="77"/>
  <c r="P51" i="77" s="1"/>
  <c r="Q50" i="77"/>
  <c r="O50" i="77"/>
  <c r="P50" i="77" s="1"/>
  <c r="Q49" i="77"/>
  <c r="O49" i="77"/>
  <c r="P49" i="77" s="1"/>
  <c r="Q48" i="77"/>
  <c r="O48" i="77"/>
  <c r="P48" i="77" s="1"/>
  <c r="Q47" i="77"/>
  <c r="O47" i="77"/>
  <c r="P47" i="77" s="1"/>
  <c r="Q46" i="77"/>
  <c r="O46" i="77"/>
  <c r="P46" i="77" s="1"/>
  <c r="Q45" i="77"/>
  <c r="O45" i="77"/>
  <c r="P45" i="77" s="1"/>
  <c r="Q44" i="77"/>
  <c r="O44" i="77"/>
  <c r="P44" i="77" s="1"/>
  <c r="Q43" i="77"/>
  <c r="O43" i="77"/>
  <c r="P43" i="77" s="1"/>
  <c r="Q42" i="77"/>
  <c r="O42" i="77"/>
  <c r="P42" i="77" s="1"/>
  <c r="Q41" i="77"/>
  <c r="O41" i="77"/>
  <c r="P41" i="77" s="1"/>
  <c r="Q40" i="77"/>
  <c r="O40" i="77"/>
  <c r="P40" i="77" s="1"/>
  <c r="Q39" i="77"/>
  <c r="O39" i="77"/>
  <c r="P39" i="77" s="1"/>
  <c r="Q38" i="77"/>
  <c r="O38" i="77"/>
  <c r="P38" i="77" s="1"/>
  <c r="Q37" i="77"/>
  <c r="O37" i="77"/>
  <c r="P37" i="77" s="1"/>
  <c r="Q36" i="77"/>
  <c r="O36" i="77"/>
  <c r="P36" i="77" s="1"/>
  <c r="Q35" i="77"/>
  <c r="P35" i="77"/>
  <c r="O35" i="77"/>
  <c r="Q34" i="77"/>
  <c r="O34" i="77"/>
  <c r="P34" i="77" s="1"/>
  <c r="Q33" i="77"/>
  <c r="O33" i="77"/>
  <c r="P33" i="77" s="1"/>
  <c r="Q32" i="77"/>
  <c r="O32" i="77"/>
  <c r="P32" i="77" s="1"/>
  <c r="Q31" i="77"/>
  <c r="O31" i="77"/>
  <c r="P31" i="77" s="1"/>
  <c r="Q30" i="77"/>
  <c r="O30" i="77"/>
  <c r="P30" i="77" s="1"/>
  <c r="Q29" i="77"/>
  <c r="O29" i="77"/>
  <c r="P29" i="77" s="1"/>
  <c r="Q28" i="77"/>
  <c r="O28" i="77"/>
  <c r="P28" i="77" s="1"/>
  <c r="Q27" i="77"/>
  <c r="O27" i="77"/>
  <c r="P27" i="77" s="1"/>
  <c r="Q26" i="77"/>
  <c r="P26" i="77"/>
  <c r="O26" i="77"/>
  <c r="Q25" i="77"/>
  <c r="O25" i="77"/>
  <c r="P25" i="77" s="1"/>
  <c r="Q24" i="77"/>
  <c r="O24" i="77"/>
  <c r="P24" i="77" s="1"/>
  <c r="Q23" i="77"/>
  <c r="P23" i="77"/>
  <c r="O23" i="77"/>
  <c r="Q22" i="77"/>
  <c r="O22" i="77"/>
  <c r="P22" i="77" s="1"/>
  <c r="Q21" i="77"/>
  <c r="O21" i="77"/>
  <c r="P21" i="77" s="1"/>
  <c r="Q20" i="77"/>
  <c r="P20" i="77"/>
  <c r="O20" i="77"/>
  <c r="Q19" i="77"/>
  <c r="O19" i="77"/>
  <c r="P19" i="77" s="1"/>
  <c r="Q18" i="77"/>
  <c r="O18" i="77"/>
  <c r="P18" i="77" s="1"/>
  <c r="Q17" i="77"/>
  <c r="O17" i="77"/>
  <c r="P17" i="77" s="1"/>
  <c r="Q16" i="77"/>
  <c r="O16" i="77"/>
  <c r="P16" i="77" s="1"/>
  <c r="Q15" i="77"/>
  <c r="O15" i="77"/>
  <c r="P15" i="77" s="1"/>
  <c r="Q14" i="77"/>
  <c r="P14" i="77"/>
  <c r="O14" i="77"/>
  <c r="Q13" i="77"/>
  <c r="O13" i="77"/>
  <c r="P13" i="77" s="1"/>
  <c r="Q12" i="77"/>
  <c r="O12" i="77"/>
  <c r="P12" i="77" s="1"/>
  <c r="Q11" i="77"/>
  <c r="P11" i="77"/>
  <c r="O11" i="77"/>
  <c r="Q10" i="77"/>
  <c r="O10" i="77"/>
  <c r="P10" i="77" s="1"/>
  <c r="Q9" i="77"/>
  <c r="O9" i="77"/>
  <c r="P9" i="77" s="1"/>
  <c r="Q8" i="77"/>
  <c r="P8" i="77"/>
  <c r="O8" i="77"/>
  <c r="Q7" i="77"/>
  <c r="O7" i="77"/>
  <c r="P7" i="77" s="1"/>
  <c r="Q6" i="77"/>
  <c r="O6" i="77"/>
  <c r="P6" i="77" s="1"/>
  <c r="Q5" i="77"/>
  <c r="O5" i="77"/>
  <c r="P5" i="77" s="1"/>
  <c r="Q89" i="76"/>
  <c r="Q1201" i="76"/>
  <c r="Q1200" i="76"/>
  <c r="Q1199" i="76"/>
  <c r="Q1198" i="76"/>
  <c r="Q1197" i="76"/>
  <c r="Q1196" i="76"/>
  <c r="Q1195" i="76"/>
  <c r="Q1194" i="76"/>
  <c r="Q1193" i="76"/>
  <c r="Q1192" i="76"/>
  <c r="Q1191" i="76"/>
  <c r="Q1190" i="76"/>
  <c r="Q1189" i="76"/>
  <c r="Q1188" i="76"/>
  <c r="Q1187" i="76"/>
  <c r="Q1186" i="76"/>
  <c r="Q1185" i="76"/>
  <c r="Q1184" i="76"/>
  <c r="Q1183" i="76"/>
  <c r="Q1182" i="76"/>
  <c r="Q1181" i="76"/>
  <c r="Q1180" i="76"/>
  <c r="Q1179" i="76"/>
  <c r="Q1178" i="76"/>
  <c r="Q1177" i="76"/>
  <c r="Q1176" i="76"/>
  <c r="Q1175" i="76"/>
  <c r="Q1174" i="76"/>
  <c r="Q1173" i="76"/>
  <c r="Q1172" i="76"/>
  <c r="Q1171" i="76"/>
  <c r="Q1170" i="76"/>
  <c r="Q1169" i="76"/>
  <c r="Q1168" i="76"/>
  <c r="Q1167" i="76"/>
  <c r="Q1166" i="76"/>
  <c r="Q1165" i="76"/>
  <c r="Q1164" i="76"/>
  <c r="Q1163" i="76"/>
  <c r="Q1162" i="76"/>
  <c r="Q1161" i="76"/>
  <c r="Q1160" i="76"/>
  <c r="Q1159" i="76"/>
  <c r="Q1158" i="76"/>
  <c r="Q1157" i="76"/>
  <c r="Q1156" i="76"/>
  <c r="Q1155" i="76"/>
  <c r="Q1154" i="76"/>
  <c r="Q1153" i="76"/>
  <c r="Q1152" i="76"/>
  <c r="Q1151" i="76"/>
  <c r="Q1150" i="76"/>
  <c r="Q1149" i="76"/>
  <c r="Q1148" i="76"/>
  <c r="Q1147" i="76"/>
  <c r="Q1146" i="76"/>
  <c r="Q1145" i="76"/>
  <c r="Q1144" i="76"/>
  <c r="Q1143" i="76"/>
  <c r="Q1142" i="76"/>
  <c r="Q1141" i="76"/>
  <c r="Q1140" i="76"/>
  <c r="Q1139" i="76"/>
  <c r="Q1138" i="76"/>
  <c r="Q1137" i="76"/>
  <c r="Q1136" i="76"/>
  <c r="Q1135" i="76"/>
  <c r="Q1134" i="76"/>
  <c r="Q1133" i="76"/>
  <c r="Q1132" i="76"/>
  <c r="Q1131" i="76"/>
  <c r="Q1130" i="76"/>
  <c r="Q1129" i="76"/>
  <c r="Q1128" i="76"/>
  <c r="Q1127" i="76"/>
  <c r="Q1126" i="76"/>
  <c r="Q1125" i="76"/>
  <c r="Q1124" i="76"/>
  <c r="Q1123" i="76"/>
  <c r="Q1122" i="76"/>
  <c r="Q1121" i="76"/>
  <c r="Q1120" i="76"/>
  <c r="Q1119" i="76"/>
  <c r="Q1118" i="76"/>
  <c r="Q1117" i="76"/>
  <c r="Q1116" i="76"/>
  <c r="Q1115" i="76"/>
  <c r="Q1114" i="76"/>
  <c r="Q1113" i="76"/>
  <c r="Q1112" i="76"/>
  <c r="Q1111" i="76"/>
  <c r="Q1110" i="76"/>
  <c r="Q1109" i="76"/>
  <c r="Q1108" i="76"/>
  <c r="Q1107" i="76"/>
  <c r="Q1106" i="76"/>
  <c r="Q1105" i="76"/>
  <c r="Q1104" i="76"/>
  <c r="Q1103" i="76"/>
  <c r="Q1102" i="76"/>
  <c r="Q1101" i="76"/>
  <c r="Q1100" i="76"/>
  <c r="Q1099" i="76"/>
  <c r="Q1098" i="76"/>
  <c r="Q1097" i="76"/>
  <c r="Q1096" i="76"/>
  <c r="Q1095" i="76"/>
  <c r="Q1094" i="76"/>
  <c r="Q1093" i="76"/>
  <c r="Q1092" i="76"/>
  <c r="Q1091" i="76"/>
  <c r="Q1090" i="76"/>
  <c r="Q1089" i="76"/>
  <c r="Q1088" i="76"/>
  <c r="Q1087" i="76"/>
  <c r="Q1086" i="76"/>
  <c r="Q1085" i="76"/>
  <c r="Q1084" i="76"/>
  <c r="Q1083" i="76"/>
  <c r="Q1082" i="76"/>
  <c r="Q1081" i="76"/>
  <c r="Q1080" i="76"/>
  <c r="Q1079" i="76"/>
  <c r="Q1078" i="76"/>
  <c r="Q1077" i="76"/>
  <c r="Q1076" i="76"/>
  <c r="Q1075" i="76"/>
  <c r="Q1074" i="76"/>
  <c r="Q1073" i="76"/>
  <c r="Q1072" i="76"/>
  <c r="Q1071" i="76"/>
  <c r="Q1070" i="76"/>
  <c r="Q1069" i="76"/>
  <c r="Q1068" i="76"/>
  <c r="Q1067" i="76"/>
  <c r="Q1066" i="76"/>
  <c r="Q1065" i="76"/>
  <c r="Q1064" i="76"/>
  <c r="Q1063" i="76"/>
  <c r="Q1062" i="76"/>
  <c r="Q1061" i="76"/>
  <c r="Q1060" i="76"/>
  <c r="Q1059" i="76"/>
  <c r="Q1058" i="76"/>
  <c r="Q1057" i="76"/>
  <c r="Q1056" i="76"/>
  <c r="Q1055" i="76"/>
  <c r="Q1054" i="76"/>
  <c r="Q1053" i="76"/>
  <c r="Q1052" i="76"/>
  <c r="Q1051" i="76"/>
  <c r="Q1050" i="76"/>
  <c r="Q1049" i="76"/>
  <c r="Q1048" i="76"/>
  <c r="Q1047" i="76"/>
  <c r="Q1046" i="76"/>
  <c r="Q1045" i="76"/>
  <c r="Q1044" i="76"/>
  <c r="Q1043" i="76"/>
  <c r="Q1042" i="76"/>
  <c r="Q1041" i="76"/>
  <c r="Q1040" i="76"/>
  <c r="Q1039" i="76"/>
  <c r="Q1038" i="76"/>
  <c r="Q1037" i="76"/>
  <c r="Q1036" i="76"/>
  <c r="Q1035" i="76"/>
  <c r="Q1034" i="76"/>
  <c r="Q1033" i="76"/>
  <c r="Q1032" i="76"/>
  <c r="Q1031" i="76"/>
  <c r="Q1030" i="76"/>
  <c r="Q1029" i="76"/>
  <c r="Q1028" i="76"/>
  <c r="Q1027" i="76"/>
  <c r="Q1026" i="76"/>
  <c r="Q1025" i="76"/>
  <c r="Q1024" i="76"/>
  <c r="Q1023" i="76"/>
  <c r="Q1022" i="76"/>
  <c r="Q1021" i="76"/>
  <c r="Q1020" i="76"/>
  <c r="Q1019" i="76"/>
  <c r="Q1018" i="76"/>
  <c r="Q1017" i="76"/>
  <c r="Q1016" i="76"/>
  <c r="Q1015" i="76"/>
  <c r="Q1014" i="76"/>
  <c r="Q1013" i="76"/>
  <c r="Q1012" i="76"/>
  <c r="Q1011" i="76"/>
  <c r="Q1010" i="76"/>
  <c r="Q1009" i="76"/>
  <c r="Q1008" i="76"/>
  <c r="Q1007" i="76"/>
  <c r="Q1006" i="76"/>
  <c r="Q1005" i="76"/>
  <c r="Q1004" i="76"/>
  <c r="Q1003" i="76"/>
  <c r="Q1002" i="76"/>
  <c r="Q1001" i="76"/>
  <c r="Q1000" i="76"/>
  <c r="Q999" i="76"/>
  <c r="Q998" i="76"/>
  <c r="Q997" i="76"/>
  <c r="Q996" i="76"/>
  <c r="Q995" i="76"/>
  <c r="Q994" i="76"/>
  <c r="Q993" i="76"/>
  <c r="Q992" i="76"/>
  <c r="Q991" i="76"/>
  <c r="Q990" i="76"/>
  <c r="Q989" i="76"/>
  <c r="Q988" i="76"/>
  <c r="Q987" i="76"/>
  <c r="Q986" i="76"/>
  <c r="Q985" i="76"/>
  <c r="Q984" i="76"/>
  <c r="Q983" i="76"/>
  <c r="Q982" i="76"/>
  <c r="Q981" i="76"/>
  <c r="Q980" i="76"/>
  <c r="Q979" i="76"/>
  <c r="Q978" i="76"/>
  <c r="Q977" i="76"/>
  <c r="Q976" i="76"/>
  <c r="Q975" i="76"/>
  <c r="Q974" i="76"/>
  <c r="Q973" i="76"/>
  <c r="Q972" i="76"/>
  <c r="Q971" i="76"/>
  <c r="Q970" i="76"/>
  <c r="Q969" i="76"/>
  <c r="Q968" i="76"/>
  <c r="Q967" i="76"/>
  <c r="Q966" i="76"/>
  <c r="Q965" i="76"/>
  <c r="Q964" i="76"/>
  <c r="Q963" i="76"/>
  <c r="Q962" i="76"/>
  <c r="Q961" i="76"/>
  <c r="Q960" i="76"/>
  <c r="Q959" i="76"/>
  <c r="Q958" i="76"/>
  <c r="Q957" i="76"/>
  <c r="Q956" i="76"/>
  <c r="Q955" i="76"/>
  <c r="Q954" i="76"/>
  <c r="Q953" i="76"/>
  <c r="Q952" i="76"/>
  <c r="Q951" i="76"/>
  <c r="Q950" i="76"/>
  <c r="Q949" i="76"/>
  <c r="Q948" i="76"/>
  <c r="Q947" i="76"/>
  <c r="Q946" i="76"/>
  <c r="Q945" i="76"/>
  <c r="Q944" i="76"/>
  <c r="Q943" i="76"/>
  <c r="Q942" i="76"/>
  <c r="Q941" i="76"/>
  <c r="Q940" i="76"/>
  <c r="Q939" i="76"/>
  <c r="Q938" i="76"/>
  <c r="Q937" i="76"/>
  <c r="Q936" i="76"/>
  <c r="Q935" i="76"/>
  <c r="Q934" i="76"/>
  <c r="Q933" i="76"/>
  <c r="Q932" i="76"/>
  <c r="Q931" i="76"/>
  <c r="Q930" i="76"/>
  <c r="Q929" i="76"/>
  <c r="Q928" i="76"/>
  <c r="Q927" i="76"/>
  <c r="Q926" i="76"/>
  <c r="Q925" i="76"/>
  <c r="Q924" i="76"/>
  <c r="Q923" i="76"/>
  <c r="Q922" i="76"/>
  <c r="Q921" i="76"/>
  <c r="Q920" i="76"/>
  <c r="Q919" i="76"/>
  <c r="Q918" i="76"/>
  <c r="Q917" i="76"/>
  <c r="Q916" i="76"/>
  <c r="Q915" i="76"/>
  <c r="Q914" i="76"/>
  <c r="Q913" i="76"/>
  <c r="Q912" i="76"/>
  <c r="Q911" i="76"/>
  <c r="Q910" i="76"/>
  <c r="Q909" i="76"/>
  <c r="Q908" i="76"/>
  <c r="Q907" i="76"/>
  <c r="Q906" i="76"/>
  <c r="O906" i="76"/>
  <c r="Q905" i="76"/>
  <c r="O905" i="76"/>
  <c r="Q904" i="76"/>
  <c r="O904" i="76"/>
  <c r="Q903" i="76"/>
  <c r="O903" i="76"/>
  <c r="Q902" i="76"/>
  <c r="O902" i="76"/>
  <c r="Q901" i="76"/>
  <c r="Q900" i="76"/>
  <c r="Q899" i="76"/>
  <c r="Q898" i="76"/>
  <c r="Q897" i="76"/>
  <c r="Q896" i="76"/>
  <c r="Q895" i="76"/>
  <c r="Q894" i="76"/>
  <c r="Q893" i="76"/>
  <c r="Q892" i="76"/>
  <c r="Q891" i="76"/>
  <c r="Q890" i="76"/>
  <c r="Q889" i="76"/>
  <c r="Q888" i="76"/>
  <c r="Q887" i="76"/>
  <c r="Q886" i="76"/>
  <c r="Q885" i="76"/>
  <c r="Q884" i="76"/>
  <c r="Q883" i="76"/>
  <c r="Q882" i="76"/>
  <c r="Q881" i="76"/>
  <c r="Q880" i="76"/>
  <c r="Q879" i="76"/>
  <c r="Q878" i="76"/>
  <c r="Q877" i="76"/>
  <c r="Q876" i="76"/>
  <c r="Q875" i="76"/>
  <c r="Q874" i="76"/>
  <c r="Q873" i="76"/>
  <c r="Q872" i="76"/>
  <c r="Q871" i="76"/>
  <c r="Q870" i="76"/>
  <c r="Q869" i="76"/>
  <c r="Q868" i="76"/>
  <c r="Q867" i="76"/>
  <c r="Q866" i="76"/>
  <c r="Q865" i="76"/>
  <c r="Q864" i="76"/>
  <c r="Q863" i="76"/>
  <c r="Q862" i="76"/>
  <c r="Q861" i="76"/>
  <c r="Q860" i="76"/>
  <c r="Q859" i="76"/>
  <c r="Q858" i="76"/>
  <c r="Q857" i="76"/>
  <c r="Q856" i="76"/>
  <c r="Q855" i="76"/>
  <c r="Q854" i="76"/>
  <c r="Q853" i="76"/>
  <c r="Q852" i="76"/>
  <c r="Q851" i="76"/>
  <c r="Q850" i="76"/>
  <c r="Q849" i="76"/>
  <c r="Q848" i="76"/>
  <c r="Q847" i="76"/>
  <c r="Q846" i="76"/>
  <c r="Q845" i="76"/>
  <c r="Q844" i="76"/>
  <c r="Q843" i="76"/>
  <c r="Q842" i="76"/>
  <c r="Q841" i="76"/>
  <c r="Q840" i="76"/>
  <c r="Q839" i="76"/>
  <c r="Q838" i="76"/>
  <c r="Q837" i="76"/>
  <c r="Q836" i="76"/>
  <c r="Q835" i="76"/>
  <c r="Q834" i="76"/>
  <c r="Q833" i="76"/>
  <c r="Q832" i="76"/>
  <c r="Q831" i="76"/>
  <c r="Q830" i="76"/>
  <c r="Q829" i="76"/>
  <c r="Q828" i="76"/>
  <c r="Q827" i="76"/>
  <c r="Q826" i="76"/>
  <c r="Q825" i="76"/>
  <c r="Q824" i="76"/>
  <c r="Q823" i="76"/>
  <c r="Q822" i="76"/>
  <c r="Q821" i="76"/>
  <c r="Q820" i="76"/>
  <c r="Q819" i="76"/>
  <c r="Q818" i="76"/>
  <c r="Q817" i="76"/>
  <c r="Q816" i="76"/>
  <c r="Q815" i="76"/>
  <c r="Q814" i="76"/>
  <c r="Q813" i="76"/>
  <c r="Q812" i="76"/>
  <c r="Q811" i="76"/>
  <c r="Q810" i="76"/>
  <c r="Q809" i="76"/>
  <c r="Q808" i="76"/>
  <c r="Q807" i="76"/>
  <c r="Q806" i="76"/>
  <c r="Q805" i="76"/>
  <c r="Q804" i="76"/>
  <c r="Q803" i="76"/>
  <c r="Q802" i="76"/>
  <c r="Q801" i="76"/>
  <c r="Q800" i="76"/>
  <c r="Q799" i="76"/>
  <c r="Q798" i="76"/>
  <c r="Q797" i="76"/>
  <c r="Q796" i="76"/>
  <c r="Q795" i="76"/>
  <c r="Q794" i="76"/>
  <c r="Q793" i="76"/>
  <c r="Q792" i="76"/>
  <c r="Q791" i="76"/>
  <c r="Q790" i="76"/>
  <c r="Q789" i="76"/>
  <c r="Q788" i="76"/>
  <c r="Q787" i="76"/>
  <c r="Q786" i="76"/>
  <c r="Q785" i="76"/>
  <c r="Q784" i="76"/>
  <c r="Q783" i="76"/>
  <c r="Q782" i="76"/>
  <c r="Q781" i="76"/>
  <c r="Q780" i="76"/>
  <c r="Q779" i="76"/>
  <c r="Q778" i="76"/>
  <c r="Q777" i="76"/>
  <c r="Q776" i="76"/>
  <c r="Q775" i="76"/>
  <c r="Q774" i="76"/>
  <c r="Q773" i="76"/>
  <c r="Q772" i="76"/>
  <c r="Q771" i="76"/>
  <c r="Q770" i="76"/>
  <c r="Q769" i="76"/>
  <c r="Q768" i="76"/>
  <c r="Q767" i="76"/>
  <c r="Q766" i="76"/>
  <c r="Q765" i="76"/>
  <c r="Q764" i="76"/>
  <c r="Q763" i="76"/>
  <c r="Q762" i="76"/>
  <c r="Q761" i="76"/>
  <c r="Q760" i="76"/>
  <c r="Q759" i="76"/>
  <c r="Q758" i="76"/>
  <c r="Q757" i="76"/>
  <c r="Q756" i="76"/>
  <c r="Q755" i="76"/>
  <c r="Q754" i="76"/>
  <c r="Q753" i="76"/>
  <c r="Q752" i="76"/>
  <c r="Q751" i="76"/>
  <c r="Q750" i="76"/>
  <c r="Q749" i="76"/>
  <c r="Q748" i="76"/>
  <c r="Q747" i="76"/>
  <c r="Q746" i="76"/>
  <c r="Q745" i="76"/>
  <c r="Q744" i="76"/>
  <c r="Q743" i="76"/>
  <c r="Q742" i="76"/>
  <c r="Q741" i="76"/>
  <c r="Q740" i="76"/>
  <c r="Q739" i="76"/>
  <c r="Q738" i="76"/>
  <c r="Q737" i="76"/>
  <c r="Q736" i="76"/>
  <c r="Q735" i="76"/>
  <c r="Q734" i="76"/>
  <c r="Q733" i="76"/>
  <c r="Q732" i="76"/>
  <c r="Q731" i="76"/>
  <c r="Q730" i="76"/>
  <c r="Q729" i="76"/>
  <c r="Q728" i="76"/>
  <c r="Q727" i="76"/>
  <c r="Q726" i="76"/>
  <c r="Q725" i="76"/>
  <c r="Q724" i="76"/>
  <c r="Q723" i="76"/>
  <c r="Q722" i="76"/>
  <c r="Q721" i="76"/>
  <c r="Q720" i="76"/>
  <c r="Q719" i="76"/>
  <c r="Q718" i="76"/>
  <c r="Q717" i="76"/>
  <c r="Q716" i="76"/>
  <c r="Q715" i="76"/>
  <c r="Q714" i="76"/>
  <c r="Q713" i="76"/>
  <c r="Q712" i="76"/>
  <c r="Q711" i="76"/>
  <c r="Q710" i="76"/>
  <c r="Q709" i="76"/>
  <c r="Q708" i="76"/>
  <c r="Q707" i="76"/>
  <c r="Q706" i="76"/>
  <c r="Q705" i="76"/>
  <c r="Q704" i="76"/>
  <c r="Q703" i="76"/>
  <c r="Q702" i="76"/>
  <c r="Q701" i="76"/>
  <c r="Q700" i="76"/>
  <c r="Q699" i="76"/>
  <c r="Q698" i="76"/>
  <c r="Q697" i="76"/>
  <c r="Q696" i="76"/>
  <c r="Q695" i="76"/>
  <c r="Q694" i="76"/>
  <c r="Q693" i="76"/>
  <c r="Q692" i="76"/>
  <c r="Q691" i="76"/>
  <c r="Q690" i="76"/>
  <c r="Q689" i="76"/>
  <c r="Q688" i="76"/>
  <c r="Q687" i="76"/>
  <c r="Q686" i="76"/>
  <c r="Q685" i="76"/>
  <c r="Q684" i="76"/>
  <c r="Q683" i="76"/>
  <c r="Q682" i="76"/>
  <c r="Q681" i="76"/>
  <c r="Q680" i="76"/>
  <c r="Q679" i="76"/>
  <c r="Q678" i="76"/>
  <c r="Q677" i="76"/>
  <c r="Q676" i="76"/>
  <c r="Q675" i="76"/>
  <c r="Q674" i="76"/>
  <c r="Q673" i="76"/>
  <c r="Q672" i="76"/>
  <c r="Q671" i="76"/>
  <c r="Q670" i="76"/>
  <c r="Q669" i="76"/>
  <c r="Q668" i="76"/>
  <c r="Q667" i="76"/>
  <c r="Q666" i="76"/>
  <c r="Q665" i="76"/>
  <c r="Q664" i="76"/>
  <c r="Q663" i="76"/>
  <c r="Q662" i="76"/>
  <c r="Q661" i="76"/>
  <c r="Q660" i="76"/>
  <c r="Q659" i="76"/>
  <c r="Q658" i="76"/>
  <c r="Q657" i="76"/>
  <c r="Q656" i="76"/>
  <c r="Q655" i="76"/>
  <c r="Q654" i="76"/>
  <c r="Q653" i="76"/>
  <c r="Q652" i="76"/>
  <c r="Q651" i="76"/>
  <c r="Q650" i="76"/>
  <c r="Q649" i="76"/>
  <c r="Q648" i="76"/>
  <c r="Q647" i="76"/>
  <c r="Q646" i="76"/>
  <c r="Q645" i="76"/>
  <c r="Q644" i="76"/>
  <c r="Q643" i="76"/>
  <c r="Q642" i="76"/>
  <c r="Q641" i="76"/>
  <c r="Q640" i="76"/>
  <c r="Q639" i="76"/>
  <c r="Q638" i="76"/>
  <c r="Q637" i="76"/>
  <c r="Q636" i="76"/>
  <c r="Q635" i="76"/>
  <c r="Q634" i="76"/>
  <c r="Q633" i="76"/>
  <c r="Q632" i="76"/>
  <c r="Q631" i="76"/>
  <c r="Q630" i="76"/>
  <c r="Q629" i="76"/>
  <c r="Q628" i="76"/>
  <c r="Q627" i="76"/>
  <c r="Q626" i="76"/>
  <c r="Q625" i="76"/>
  <c r="Q624" i="76"/>
  <c r="Q623" i="76"/>
  <c r="Q622" i="76"/>
  <c r="Q621" i="76"/>
  <c r="Q620" i="76"/>
  <c r="Q619" i="76"/>
  <c r="Q618" i="76"/>
  <c r="Q617" i="76"/>
  <c r="Q616" i="76"/>
  <c r="Q615" i="76"/>
  <c r="Q614" i="76"/>
  <c r="Q613" i="76"/>
  <c r="Q612" i="76"/>
  <c r="Q611" i="76"/>
  <c r="Q610" i="76"/>
  <c r="Q609" i="76"/>
  <c r="Q608" i="76"/>
  <c r="Q607" i="76"/>
  <c r="Q606" i="76"/>
  <c r="Q605" i="76"/>
  <c r="Q604" i="76"/>
  <c r="Q603" i="76"/>
  <c r="Q602" i="76"/>
  <c r="Q601" i="76"/>
  <c r="Q600" i="76"/>
  <c r="Q599" i="76"/>
  <c r="Q598" i="76"/>
  <c r="Q597" i="76"/>
  <c r="Q596" i="76"/>
  <c r="Q595" i="76"/>
  <c r="Q594" i="76"/>
  <c r="Q593" i="76"/>
  <c r="Q592" i="76"/>
  <c r="Q591" i="76"/>
  <c r="Q590" i="76"/>
  <c r="Q589" i="76"/>
  <c r="Q588" i="76"/>
  <c r="Q587" i="76"/>
  <c r="Q586" i="76"/>
  <c r="Q585" i="76"/>
  <c r="Q584" i="76"/>
  <c r="Q583" i="76"/>
  <c r="Q582" i="76"/>
  <c r="Q581" i="76"/>
  <c r="Q580" i="76"/>
  <c r="Q579" i="76"/>
  <c r="Q578" i="76"/>
  <c r="Q577" i="76"/>
  <c r="Q576" i="76"/>
  <c r="Q575" i="76"/>
  <c r="Q574" i="76"/>
  <c r="Q573" i="76"/>
  <c r="Q572" i="76"/>
  <c r="Q571" i="76"/>
  <c r="Q570" i="76"/>
  <c r="Q569" i="76"/>
  <c r="Q568" i="76"/>
  <c r="Q567" i="76"/>
  <c r="Q566" i="76"/>
  <c r="Q565" i="76"/>
  <c r="Q564" i="76"/>
  <c r="Q563" i="76"/>
  <c r="Q562" i="76"/>
  <c r="Q561" i="76"/>
  <c r="Q560" i="76"/>
  <c r="Q559" i="76"/>
  <c r="Q558" i="76"/>
  <c r="Q557" i="76"/>
  <c r="Q556" i="76"/>
  <c r="Q555" i="76"/>
  <c r="Q554" i="76"/>
  <c r="Q553" i="76"/>
  <c r="Q552" i="76"/>
  <c r="Q551" i="76"/>
  <c r="Q550" i="76"/>
  <c r="Q549" i="76"/>
  <c r="Q548" i="76"/>
  <c r="Q547" i="76"/>
  <c r="Q546" i="76"/>
  <c r="Q545" i="76"/>
  <c r="Q544" i="76"/>
  <c r="Q543" i="76"/>
  <c r="Q542" i="76"/>
  <c r="Q541" i="76"/>
  <c r="Q540" i="76"/>
  <c r="Q539" i="76"/>
  <c r="Q538" i="76"/>
  <c r="Q537" i="76"/>
  <c r="Q536" i="76"/>
  <c r="Q535" i="76"/>
  <c r="Q534" i="76"/>
  <c r="Q533" i="76"/>
  <c r="Q532" i="76"/>
  <c r="Q531" i="76"/>
  <c r="Q530" i="76"/>
  <c r="Q529" i="76"/>
  <c r="Q528" i="76"/>
  <c r="Q527" i="76"/>
  <c r="Q526" i="76"/>
  <c r="Q525" i="76"/>
  <c r="Q524" i="76"/>
  <c r="Q523" i="76"/>
  <c r="Q522" i="76"/>
  <c r="Q521" i="76"/>
  <c r="Q520" i="76"/>
  <c r="Q519" i="76"/>
  <c r="Q518" i="76"/>
  <c r="Q517" i="76"/>
  <c r="Q516" i="76"/>
  <c r="Q515" i="76"/>
  <c r="Q514" i="76"/>
  <c r="Q513" i="76"/>
  <c r="Q512" i="76"/>
  <c r="Q511" i="76"/>
  <c r="Q510" i="76"/>
  <c r="Q509" i="76"/>
  <c r="Q508" i="76"/>
  <c r="Q507" i="76"/>
  <c r="Q506" i="76"/>
  <c r="Q505" i="76"/>
  <c r="Q504" i="76"/>
  <c r="Q503" i="76"/>
  <c r="Q502" i="76"/>
  <c r="Q501" i="76"/>
  <c r="Q500" i="76"/>
  <c r="Q499" i="76"/>
  <c r="Q498" i="76"/>
  <c r="Q497" i="76"/>
  <c r="Q496" i="76"/>
  <c r="Q495" i="76"/>
  <c r="Q494" i="76"/>
  <c r="Q493" i="76"/>
  <c r="Q492" i="76"/>
  <c r="Q491" i="76"/>
  <c r="Q490" i="76"/>
  <c r="Q489" i="76"/>
  <c r="Q488" i="76"/>
  <c r="Q487" i="76"/>
  <c r="Q486" i="76"/>
  <c r="Q485" i="76"/>
  <c r="Q484" i="76"/>
  <c r="Q483" i="76"/>
  <c r="Q482" i="76"/>
  <c r="Q481" i="76"/>
  <c r="Q480" i="76"/>
  <c r="Q479" i="76"/>
  <c r="Q478" i="76"/>
  <c r="Q477" i="76"/>
  <c r="Q476" i="76"/>
  <c r="Q475" i="76"/>
  <c r="Q474" i="76"/>
  <c r="Q473" i="76"/>
  <c r="Q472" i="76"/>
  <c r="Q471" i="76"/>
  <c r="Q470" i="76"/>
  <c r="Q469" i="76"/>
  <c r="Q468" i="76"/>
  <c r="Q467" i="76"/>
  <c r="Q466" i="76"/>
  <c r="Q465" i="76"/>
  <c r="Q464" i="76"/>
  <c r="Q463" i="76"/>
  <c r="Q462" i="76"/>
  <c r="Q461" i="76"/>
  <c r="Q460" i="76"/>
  <c r="Q459" i="76"/>
  <c r="Q458" i="76"/>
  <c r="Q457" i="76"/>
  <c r="Q456" i="76"/>
  <c r="Q455" i="76"/>
  <c r="Q454" i="76"/>
  <c r="Q453" i="76"/>
  <c r="Q452" i="76"/>
  <c r="Q451" i="76"/>
  <c r="Q450" i="76"/>
  <c r="Q449" i="76"/>
  <c r="Q448" i="76"/>
  <c r="Q447" i="76"/>
  <c r="Q446" i="76"/>
  <c r="Q445" i="76"/>
  <c r="Q444" i="76"/>
  <c r="Q443" i="76"/>
  <c r="Q442" i="76"/>
  <c r="Q441" i="76"/>
  <c r="Q440" i="76"/>
  <c r="Q439" i="76"/>
  <c r="Q438" i="76"/>
  <c r="Q437" i="76"/>
  <c r="Q436" i="76"/>
  <c r="Q435" i="76"/>
  <c r="Q434" i="76"/>
  <c r="Q433" i="76"/>
  <c r="Q432" i="76"/>
  <c r="Q431" i="76"/>
  <c r="Q430" i="76"/>
  <c r="Q429" i="76"/>
  <c r="Q428" i="76"/>
  <c r="Q427" i="76"/>
  <c r="Q426" i="76"/>
  <c r="Q425" i="76"/>
  <c r="Q424" i="76"/>
  <c r="Q423" i="76"/>
  <c r="Q422" i="76"/>
  <c r="Q421" i="76"/>
  <c r="Q420" i="76"/>
  <c r="Q419" i="76"/>
  <c r="Q418" i="76"/>
  <c r="Q417" i="76"/>
  <c r="Q416" i="76"/>
  <c r="Q415" i="76"/>
  <c r="Q414" i="76"/>
  <c r="Q413" i="76"/>
  <c r="Q412" i="76"/>
  <c r="Q411" i="76"/>
  <c r="Q410" i="76"/>
  <c r="Q409" i="76"/>
  <c r="Q408" i="76"/>
  <c r="Q407" i="76"/>
  <c r="Q406" i="76"/>
  <c r="Q405" i="76"/>
  <c r="Q404" i="76"/>
  <c r="Q403" i="76"/>
  <c r="Q402" i="76"/>
  <c r="Q401" i="76"/>
  <c r="Q400" i="76"/>
  <c r="Q399" i="76"/>
  <c r="Q398" i="76"/>
  <c r="Q397" i="76"/>
  <c r="Q396" i="76"/>
  <c r="Q395" i="76"/>
  <c r="Q394" i="76"/>
  <c r="Q393" i="76"/>
  <c r="Q392" i="76"/>
  <c r="Q391" i="76"/>
  <c r="Q390" i="76"/>
  <c r="Q389" i="76"/>
  <c r="Q388" i="76"/>
  <c r="Q387" i="76"/>
  <c r="Q386" i="76"/>
  <c r="Q385" i="76"/>
  <c r="Q384" i="76"/>
  <c r="Q383" i="76"/>
  <c r="Q382" i="76"/>
  <c r="Q381" i="76"/>
  <c r="Q380" i="76"/>
  <c r="Q379" i="76"/>
  <c r="Q378" i="76"/>
  <c r="Q377" i="76"/>
  <c r="Q376" i="76"/>
  <c r="Q375" i="76"/>
  <c r="Q374" i="76"/>
  <c r="Q373" i="76"/>
  <c r="Q372" i="76"/>
  <c r="Q371" i="76"/>
  <c r="Q370" i="76"/>
  <c r="Q369" i="76"/>
  <c r="Q368" i="76"/>
  <c r="Q367" i="76"/>
  <c r="Q366" i="76"/>
  <c r="Q365" i="76"/>
  <c r="Q364" i="76"/>
  <c r="Q363" i="76"/>
  <c r="Q362" i="76"/>
  <c r="Q361" i="76"/>
  <c r="Q360" i="76"/>
  <c r="Q359" i="76"/>
  <c r="Q358" i="76"/>
  <c r="Q357" i="76"/>
  <c r="Q356" i="76"/>
  <c r="Q355" i="76"/>
  <c r="Q354" i="76"/>
  <c r="Q353" i="76"/>
  <c r="Q352" i="76"/>
  <c r="Q351" i="76"/>
  <c r="Q350" i="76"/>
  <c r="Q349" i="76"/>
  <c r="Q348" i="76"/>
  <c r="Q347" i="76"/>
  <c r="Q346" i="76"/>
  <c r="Q345" i="76"/>
  <c r="Q344" i="76"/>
  <c r="Q343" i="76"/>
  <c r="Q342" i="76"/>
  <c r="Q341" i="76"/>
  <c r="Q340" i="76"/>
  <c r="Q339" i="76"/>
  <c r="Q338" i="76"/>
  <c r="Q337" i="76"/>
  <c r="Q336" i="76"/>
  <c r="Q335" i="76"/>
  <c r="Q334" i="76"/>
  <c r="Q333" i="76"/>
  <c r="Q332" i="76"/>
  <c r="Q331" i="76"/>
  <c r="Q330" i="76"/>
  <c r="Q329" i="76"/>
  <c r="Q328" i="76"/>
  <c r="Q327" i="76"/>
  <c r="Q326" i="76"/>
  <c r="Q325" i="76"/>
  <c r="Q324" i="76"/>
  <c r="Q323" i="76"/>
  <c r="Q322" i="76"/>
  <c r="Q321" i="76"/>
  <c r="Q320" i="76"/>
  <c r="Q319" i="76"/>
  <c r="Q318" i="76"/>
  <c r="Q317" i="76"/>
  <c r="Q316" i="76"/>
  <c r="Q315" i="76"/>
  <c r="Q314" i="76"/>
  <c r="Q313" i="76"/>
  <c r="Q312" i="76"/>
  <c r="Q311" i="76"/>
  <c r="Q310" i="76"/>
  <c r="Q309" i="76"/>
  <c r="Q308" i="76"/>
  <c r="Q307" i="76"/>
  <c r="Q306" i="76"/>
  <c r="Q305" i="76"/>
  <c r="Q304" i="76"/>
  <c r="Q303" i="76"/>
  <c r="Q302" i="76"/>
  <c r="Q301" i="76"/>
  <c r="Q300" i="76"/>
  <c r="Q299" i="76"/>
  <c r="Q298" i="76"/>
  <c r="Q297" i="76"/>
  <c r="Q296" i="76"/>
  <c r="Q295" i="76"/>
  <c r="Q294" i="76"/>
  <c r="Q293" i="76"/>
  <c r="Q292" i="76"/>
  <c r="Q291" i="76"/>
  <c r="Q290" i="76"/>
  <c r="Q289" i="76"/>
  <c r="Q288" i="76"/>
  <c r="Q287" i="76"/>
  <c r="Q286" i="76"/>
  <c r="Q285" i="76"/>
  <c r="Q284" i="76"/>
  <c r="Q283" i="76"/>
  <c r="Q282" i="76"/>
  <c r="Q281" i="76"/>
  <c r="Q280" i="76"/>
  <c r="Q279" i="76"/>
  <c r="Q278" i="76"/>
  <c r="Q277" i="76"/>
  <c r="Q276" i="76"/>
  <c r="Q275" i="76"/>
  <c r="Q274" i="76"/>
  <c r="Q273" i="76"/>
  <c r="Q272" i="76"/>
  <c r="Q271" i="76"/>
  <c r="Q270" i="76"/>
  <c r="Q269" i="76"/>
  <c r="Q268" i="76"/>
  <c r="Q267" i="76"/>
  <c r="Q266" i="76"/>
  <c r="Q265" i="76"/>
  <c r="Q264" i="76"/>
  <c r="Q263" i="76"/>
  <c r="Q262" i="76"/>
  <c r="Q261" i="76"/>
  <c r="Q260" i="76"/>
  <c r="Q259" i="76"/>
  <c r="Q258" i="76"/>
  <c r="Q257" i="76"/>
  <c r="Q256" i="76"/>
  <c r="Q255" i="76"/>
  <c r="Q254" i="76"/>
  <c r="Q253" i="76"/>
  <c r="Q252" i="76"/>
  <c r="Q251" i="76"/>
  <c r="Q250" i="76"/>
  <c r="Q249" i="76"/>
  <c r="Q248" i="76"/>
  <c r="Q247" i="76"/>
  <c r="Q246" i="76"/>
  <c r="Q245" i="76"/>
  <c r="Q244" i="76"/>
  <c r="Q243" i="76"/>
  <c r="Q242" i="76"/>
  <c r="Q241" i="76"/>
  <c r="Q240" i="76"/>
  <c r="Q239" i="76"/>
  <c r="Q238" i="76"/>
  <c r="Q237" i="76"/>
  <c r="Q236" i="76"/>
  <c r="Q235" i="76"/>
  <c r="Q234" i="76"/>
  <c r="Q233" i="76"/>
  <c r="Q232" i="76"/>
  <c r="Q231" i="76"/>
  <c r="Q230" i="76"/>
  <c r="Q229" i="76"/>
  <c r="Q228" i="76"/>
  <c r="Q227" i="76"/>
  <c r="Q226" i="76"/>
  <c r="Q225" i="76"/>
  <c r="Q224" i="76"/>
  <c r="Q223" i="76"/>
  <c r="Q222" i="76"/>
  <c r="Q221" i="76"/>
  <c r="Q220" i="76"/>
  <c r="Q219" i="76"/>
  <c r="Q218" i="76"/>
  <c r="Q217" i="76"/>
  <c r="Q216" i="76"/>
  <c r="Q215" i="76"/>
  <c r="Q214" i="76"/>
  <c r="Q213" i="76"/>
  <c r="Q212" i="76"/>
  <c r="Q211" i="76"/>
  <c r="Q210" i="76"/>
  <c r="Q209" i="76"/>
  <c r="Q208" i="76"/>
  <c r="Q207" i="76"/>
  <c r="Q206" i="76"/>
  <c r="Q205" i="76"/>
  <c r="Q204" i="76"/>
  <c r="Q203" i="76"/>
  <c r="Q202" i="76"/>
  <c r="Q201" i="76"/>
  <c r="Q200" i="76"/>
  <c r="Q199" i="76"/>
  <c r="Q198" i="76"/>
  <c r="Q197" i="76"/>
  <c r="Q196" i="76"/>
  <c r="Q195" i="76"/>
  <c r="Q194" i="76"/>
  <c r="Q193" i="76"/>
  <c r="Q192" i="76"/>
  <c r="Q191" i="76"/>
  <c r="Q190" i="76"/>
  <c r="Q189" i="76"/>
  <c r="Q188" i="76"/>
  <c r="Q187" i="76"/>
  <c r="Q186" i="76"/>
  <c r="Q185" i="76"/>
  <c r="Q184" i="76"/>
  <c r="Q183" i="76"/>
  <c r="Q182" i="76"/>
  <c r="Q181" i="76"/>
  <c r="Q180" i="76"/>
  <c r="Q179" i="76"/>
  <c r="Q178" i="76"/>
  <c r="Q177" i="76"/>
  <c r="Q176" i="76"/>
  <c r="Q175" i="76"/>
  <c r="Q174" i="76"/>
  <c r="Q173" i="76"/>
  <c r="Q172" i="76"/>
  <c r="Q171" i="76"/>
  <c r="Q170" i="76"/>
  <c r="Q169" i="76"/>
  <c r="Q168" i="76"/>
  <c r="Q167" i="76"/>
  <c r="Q166" i="76"/>
  <c r="Q165" i="76"/>
  <c r="Q164" i="76"/>
  <c r="Q163" i="76"/>
  <c r="Q162" i="76"/>
  <c r="Q161" i="76"/>
  <c r="Q160" i="76"/>
  <c r="Q159" i="76"/>
  <c r="Q158" i="76"/>
  <c r="Q157" i="76"/>
  <c r="Q156" i="76"/>
  <c r="Q155" i="76"/>
  <c r="Q154" i="76"/>
  <c r="Q153" i="76"/>
  <c r="Q152" i="76"/>
  <c r="Q151" i="76"/>
  <c r="Q150" i="76"/>
  <c r="Q149" i="76"/>
  <c r="Q148" i="76"/>
  <c r="Q147" i="76"/>
  <c r="Q146" i="76"/>
  <c r="Q145" i="76"/>
  <c r="Q144" i="76"/>
  <c r="Q143" i="76"/>
  <c r="Q142" i="76"/>
  <c r="Q141" i="76"/>
  <c r="Q140" i="76"/>
  <c r="Q139" i="76"/>
  <c r="Q138" i="76"/>
  <c r="Q137" i="76"/>
  <c r="Q136" i="76"/>
  <c r="Q135" i="76"/>
  <c r="Q134" i="76"/>
  <c r="Q133" i="76"/>
  <c r="Q132" i="76"/>
  <c r="Q131" i="76"/>
  <c r="Q130" i="76"/>
  <c r="Q129" i="76"/>
  <c r="Q128" i="76"/>
  <c r="Q127" i="76"/>
  <c r="Q126" i="76"/>
  <c r="Q125" i="76"/>
  <c r="Q124" i="76"/>
  <c r="Q123" i="76"/>
  <c r="Q122" i="76"/>
  <c r="Q121" i="76"/>
  <c r="Q120" i="76"/>
  <c r="Q119" i="76"/>
  <c r="Q118" i="76"/>
  <c r="Q117" i="76"/>
  <c r="Q116" i="76"/>
  <c r="Q115" i="76"/>
  <c r="Q114" i="76"/>
  <c r="Q113" i="76"/>
  <c r="Q112" i="76"/>
  <c r="Q111" i="76"/>
  <c r="Q110" i="76"/>
  <c r="Q109" i="76"/>
  <c r="Q108" i="76"/>
  <c r="Q107" i="76"/>
  <c r="Q106" i="76"/>
  <c r="Q105" i="76"/>
  <c r="Q104" i="76"/>
  <c r="Q103" i="76"/>
  <c r="Q102" i="76"/>
  <c r="Q101" i="76"/>
  <c r="Q100" i="76"/>
  <c r="Q99" i="76"/>
  <c r="Q98" i="76"/>
  <c r="Q97" i="76"/>
  <c r="Q96" i="76"/>
  <c r="Q95" i="76"/>
  <c r="Q94" i="76"/>
  <c r="Q93" i="76"/>
  <c r="Q92" i="76"/>
  <c r="Q91" i="76"/>
  <c r="Q90" i="76"/>
  <c r="Q88" i="76"/>
  <c r="Q87" i="76"/>
  <c r="Q86" i="76"/>
  <c r="Q85" i="76"/>
  <c r="Q84" i="76"/>
  <c r="Q83" i="76"/>
  <c r="Q82" i="76"/>
  <c r="Q81" i="76"/>
  <c r="Q80" i="76"/>
  <c r="Q79" i="76"/>
  <c r="Q78" i="76"/>
  <c r="Q77" i="76"/>
  <c r="Q76" i="76"/>
  <c r="Q75" i="76"/>
  <c r="Q74" i="76"/>
  <c r="Q73" i="76"/>
  <c r="Q72" i="76"/>
  <c r="Q71" i="76"/>
  <c r="Q70" i="76"/>
  <c r="Q69" i="76"/>
  <c r="Q68" i="76"/>
  <c r="Q67" i="76"/>
  <c r="Q66" i="76"/>
  <c r="Q65" i="76"/>
  <c r="Q64" i="76"/>
  <c r="Q63" i="76"/>
  <c r="Q62" i="76"/>
  <c r="Q61" i="76"/>
  <c r="Q60" i="76"/>
  <c r="Q59" i="76"/>
  <c r="Q58" i="76"/>
  <c r="Q57" i="76"/>
  <c r="Q56" i="76"/>
  <c r="Q55" i="76"/>
  <c r="Q54" i="76"/>
  <c r="Q53" i="76"/>
  <c r="Q52" i="76"/>
  <c r="Q51" i="76"/>
  <c r="Q50" i="76"/>
  <c r="Q49" i="76"/>
  <c r="Q48" i="76"/>
  <c r="Q47" i="76"/>
  <c r="Q46" i="76"/>
  <c r="Q45" i="76"/>
  <c r="Q44" i="76"/>
  <c r="Q43" i="76"/>
  <c r="Q42" i="76"/>
  <c r="Q41" i="76"/>
  <c r="Q40" i="76"/>
  <c r="Q39" i="76"/>
  <c r="Q38" i="76"/>
  <c r="Q37" i="76"/>
  <c r="Q36" i="76"/>
  <c r="Q35" i="76"/>
  <c r="Q34" i="76"/>
  <c r="Q33" i="76"/>
  <c r="Q32" i="76"/>
  <c r="Q31" i="76"/>
  <c r="Q30" i="76"/>
  <c r="Q29" i="76"/>
  <c r="Q28" i="76"/>
  <c r="Q27" i="76"/>
  <c r="Q26" i="76"/>
  <c r="Q25" i="76"/>
  <c r="Q24" i="76"/>
  <c r="Q23" i="76"/>
  <c r="Q22" i="76"/>
  <c r="Q21" i="76"/>
  <c r="Q20" i="76"/>
  <c r="Q19" i="76"/>
  <c r="Q18" i="76"/>
  <c r="Q17" i="76"/>
  <c r="Q16" i="76"/>
  <c r="Q15" i="76"/>
  <c r="Q14" i="76"/>
  <c r="Q13" i="76"/>
  <c r="Q12" i="76"/>
  <c r="Q11" i="76"/>
  <c r="Q10" i="76"/>
  <c r="Q9" i="76"/>
  <c r="Q8" i="76"/>
  <c r="Q7" i="76"/>
  <c r="Q6" i="76"/>
  <c r="Q5" i="76"/>
  <c r="V38" i="71" l="1"/>
  <c r="V37" i="71"/>
  <c r="Q34" i="64" l="1"/>
  <c r="Q20" i="64"/>
  <c r="Q22" i="64"/>
  <c r="Q23" i="64"/>
  <c r="Q19" i="64"/>
  <c r="Q17" i="64"/>
  <c r="Q18" i="64"/>
  <c r="Q16" i="64"/>
  <c r="Q15" i="64"/>
  <c r="Q14" i="64"/>
  <c r="Q13" i="64"/>
  <c r="Q12" i="64"/>
  <c r="Q7" i="64"/>
  <c r="Q8" i="64"/>
  <c r="Q9" i="64"/>
  <c r="Q10" i="64"/>
  <c r="Q11" i="64"/>
  <c r="Q6" i="64"/>
  <c r="Q36" i="64"/>
  <c r="Q35" i="64"/>
  <c r="Q33" i="64"/>
  <c r="Q32" i="64"/>
  <c r="Q31" i="64"/>
  <c r="Q30" i="64"/>
  <c r="Q29" i="64"/>
  <c r="Q28" i="64"/>
  <c r="Q27" i="64"/>
  <c r="Q26" i="64"/>
  <c r="Q25" i="64"/>
  <c r="Q24" i="64"/>
  <c r="L43" i="81" l="1"/>
  <c r="L42" i="81"/>
  <c r="L41" i="81"/>
  <c r="L40" i="81"/>
  <c r="L39" i="81"/>
  <c r="N462" i="47" l="1"/>
  <c r="N460" i="47"/>
  <c r="N459" i="47"/>
  <c r="N458" i="47"/>
  <c r="N457" i="47"/>
  <c r="N455" i="47"/>
  <c r="N449" i="47"/>
  <c r="N448" i="47"/>
  <c r="N447" i="47"/>
  <c r="N445" i="47"/>
  <c r="N439" i="47"/>
  <c r="N438" i="47"/>
  <c r="N437" i="47"/>
  <c r="N435" i="47"/>
  <c r="N429" i="47"/>
  <c r="N428" i="47"/>
  <c r="N427" i="47"/>
  <c r="N425" i="47"/>
  <c r="N419" i="47"/>
  <c r="N418" i="47"/>
  <c r="N417" i="47"/>
  <c r="N415" i="47"/>
  <c r="N410" i="47"/>
  <c r="N409" i="47"/>
  <c r="N408" i="47"/>
  <c r="N407" i="47"/>
  <c r="N405" i="47"/>
  <c r="N400" i="47"/>
  <c r="N399" i="47"/>
  <c r="N398" i="47"/>
  <c r="N397" i="47"/>
  <c r="N396" i="47"/>
  <c r="N395" i="47"/>
  <c r="N394" i="47"/>
  <c r="N393" i="47"/>
  <c r="N392" i="47"/>
  <c r="N391" i="47"/>
  <c r="N390" i="47"/>
  <c r="N389" i="47"/>
  <c r="N388" i="47"/>
  <c r="N387" i="47"/>
  <c r="N386" i="47"/>
  <c r="N385" i="47"/>
  <c r="N384" i="47"/>
  <c r="N383" i="47"/>
  <c r="N382" i="47"/>
  <c r="N381" i="47"/>
  <c r="N380" i="47"/>
  <c r="N379" i="47"/>
  <c r="N378" i="47"/>
  <c r="N377" i="47"/>
  <c r="N376" i="47"/>
  <c r="N375" i="47"/>
  <c r="N374" i="47"/>
  <c r="N373" i="47"/>
  <c r="N372" i="47"/>
  <c r="N370" i="47"/>
  <c r="N364" i="47"/>
  <c r="N363" i="47"/>
  <c r="N362" i="47"/>
  <c r="N361" i="47"/>
  <c r="N360" i="47"/>
  <c r="N359" i="47"/>
  <c r="N358" i="47"/>
  <c r="N357" i="47"/>
  <c r="N356" i="47"/>
  <c r="N355" i="47"/>
  <c r="N354" i="47"/>
  <c r="N353" i="47"/>
  <c r="N352" i="47"/>
  <c r="N351" i="47"/>
  <c r="N350" i="47"/>
  <c r="N348" i="47"/>
  <c r="N347" i="47"/>
  <c r="N346" i="47"/>
  <c r="N345" i="47"/>
  <c r="N343" i="47"/>
  <c r="N342" i="47"/>
  <c r="N341" i="47"/>
  <c r="N340" i="47"/>
  <c r="N339" i="47"/>
  <c r="N338" i="47"/>
  <c r="N337" i="47"/>
  <c r="N336" i="47"/>
  <c r="N335" i="47"/>
  <c r="N334" i="47"/>
  <c r="N333" i="47"/>
  <c r="N332" i="47"/>
  <c r="N331" i="47"/>
  <c r="N330" i="47"/>
  <c r="N329" i="47"/>
  <c r="N328" i="47"/>
  <c r="N327" i="47"/>
  <c r="N326" i="47"/>
  <c r="N325" i="47"/>
  <c r="N324" i="47"/>
  <c r="N323" i="47"/>
  <c r="N322" i="47"/>
  <c r="N321" i="47"/>
  <c r="N320" i="47"/>
  <c r="N319" i="47"/>
  <c r="N318" i="47"/>
  <c r="N317" i="47"/>
  <c r="N316" i="47"/>
  <c r="N315" i="47"/>
  <c r="N314" i="47"/>
  <c r="N313" i="47"/>
  <c r="N312" i="47"/>
  <c r="N311" i="47"/>
  <c r="N310" i="47"/>
  <c r="N309" i="47"/>
  <c r="N308" i="47"/>
  <c r="N307" i="47"/>
  <c r="N306" i="47"/>
  <c r="N305" i="47"/>
  <c r="N304" i="47"/>
  <c r="N303" i="47"/>
  <c r="N302" i="47"/>
  <c r="N300" i="47"/>
  <c r="N294" i="47"/>
  <c r="N293" i="47"/>
  <c r="N292" i="47"/>
  <c r="N291" i="47"/>
  <c r="N290" i="47"/>
  <c r="N289" i="47"/>
  <c r="N288" i="47"/>
  <c r="N287" i="47"/>
  <c r="N285" i="47"/>
  <c r="N284" i="47"/>
  <c r="N283" i="47"/>
  <c r="N280" i="47"/>
  <c r="N279" i="47"/>
  <c r="N278" i="47"/>
  <c r="N277" i="47"/>
  <c r="N276" i="47"/>
  <c r="N275" i="47"/>
  <c r="N274" i="47"/>
  <c r="N273" i="47"/>
  <c r="N272" i="47"/>
  <c r="N271" i="47"/>
  <c r="N270" i="47"/>
  <c r="N269" i="47"/>
  <c r="N268" i="47"/>
  <c r="N267" i="47"/>
  <c r="N266" i="47"/>
  <c r="N265" i="47"/>
  <c r="N264" i="47"/>
  <c r="N263" i="47"/>
  <c r="N262" i="47"/>
  <c r="N261" i="47"/>
  <c r="N260" i="47"/>
  <c r="N259" i="47"/>
  <c r="N258" i="47"/>
  <c r="N257" i="47"/>
  <c r="N256" i="47"/>
  <c r="N255" i="47"/>
  <c r="N254" i="47"/>
  <c r="N253" i="47"/>
  <c r="N252" i="47"/>
  <c r="N251" i="47"/>
  <c r="N250" i="47"/>
  <c r="N244" i="47"/>
  <c r="N243" i="47"/>
  <c r="N242" i="47"/>
  <c r="N241" i="47"/>
  <c r="N240" i="47"/>
  <c r="N239" i="47"/>
  <c r="N238" i="47"/>
  <c r="N237" i="47"/>
  <c r="N236" i="47"/>
  <c r="N235" i="47"/>
  <c r="N234" i="47"/>
  <c r="N233" i="47"/>
  <c r="N232" i="47"/>
  <c r="N231" i="47"/>
  <c r="N230" i="47"/>
  <c r="N229" i="47"/>
  <c r="N228" i="47"/>
  <c r="N227" i="47"/>
  <c r="N226" i="47"/>
  <c r="N225" i="47"/>
  <c r="N224" i="47"/>
  <c r="N223" i="47"/>
  <c r="N222" i="47"/>
  <c r="N221" i="47"/>
  <c r="N220" i="47"/>
  <c r="N214" i="47"/>
  <c r="N213" i="47"/>
  <c r="N212" i="47"/>
  <c r="N211" i="47"/>
  <c r="N210" i="47"/>
  <c r="N202" i="47"/>
  <c r="N201" i="47"/>
  <c r="N200" i="47"/>
  <c r="N199" i="47"/>
  <c r="N198" i="47"/>
  <c r="N197" i="47"/>
  <c r="N196" i="47"/>
  <c r="N195" i="47"/>
  <c r="N194" i="47"/>
  <c r="N193" i="47"/>
  <c r="N192" i="47"/>
  <c r="N191" i="47"/>
  <c r="N190" i="47"/>
  <c r="N189" i="47"/>
  <c r="N188" i="47"/>
  <c r="N187" i="47"/>
  <c r="N186" i="47"/>
  <c r="N185" i="47"/>
  <c r="N182" i="47"/>
  <c r="N181" i="47"/>
  <c r="N180" i="47"/>
  <c r="N179" i="47"/>
  <c r="N178" i="47"/>
  <c r="N177" i="47"/>
  <c r="N176" i="47"/>
  <c r="N175" i="47"/>
  <c r="N172" i="47"/>
  <c r="N171" i="47"/>
  <c r="N170" i="47"/>
  <c r="N169" i="47"/>
  <c r="N168" i="47"/>
  <c r="N167" i="47"/>
  <c r="N166" i="47"/>
  <c r="N165" i="47"/>
  <c r="N164" i="47"/>
  <c r="N163" i="47"/>
  <c r="N162" i="47"/>
  <c r="N161" i="47"/>
  <c r="N160" i="47"/>
  <c r="N159" i="47"/>
  <c r="N158" i="47"/>
  <c r="N157" i="47"/>
  <c r="N156" i="47"/>
  <c r="N155" i="47"/>
  <c r="N152" i="47"/>
  <c r="N151" i="47"/>
  <c r="N150" i="47"/>
  <c r="N149" i="47"/>
  <c r="N148" i="47"/>
  <c r="N147" i="47"/>
  <c r="N146" i="47"/>
  <c r="N145" i="47"/>
  <c r="N144" i="47"/>
  <c r="N143" i="47"/>
  <c r="N142" i="47"/>
  <c r="N141" i="47"/>
  <c r="N140" i="47"/>
  <c r="N139" i="47"/>
  <c r="N138" i="47"/>
  <c r="N137" i="47"/>
  <c r="N136" i="47"/>
  <c r="N135" i="47"/>
  <c r="N133" i="47"/>
  <c r="N132" i="47"/>
  <c r="N131" i="47"/>
  <c r="N130" i="47"/>
  <c r="N128" i="47"/>
  <c r="N127" i="47"/>
  <c r="N125" i="47"/>
  <c r="N123" i="47"/>
  <c r="N122" i="47"/>
  <c r="N120" i="47"/>
  <c r="N115" i="47"/>
  <c r="N114" i="47"/>
  <c r="N113" i="47"/>
  <c r="N112" i="47"/>
  <c r="N111" i="47"/>
  <c r="N110" i="47"/>
  <c r="N109" i="47"/>
  <c r="N108" i="47"/>
  <c r="N107" i="47"/>
  <c r="N106" i="47"/>
  <c r="N105" i="47"/>
  <c r="N99" i="47"/>
  <c r="N98" i="47"/>
  <c r="N97" i="47"/>
  <c r="N96" i="47"/>
  <c r="N95" i="47"/>
  <c r="N93" i="47"/>
  <c r="N92" i="47"/>
  <c r="N91" i="47"/>
  <c r="N90" i="47"/>
  <c r="N89" i="47"/>
  <c r="N88" i="47"/>
  <c r="N87" i="47"/>
  <c r="N86" i="47"/>
  <c r="N85" i="47"/>
  <c r="N84" i="47"/>
  <c r="N83" i="47"/>
  <c r="N82" i="47"/>
  <c r="N81" i="47"/>
  <c r="N80" i="47"/>
  <c r="N79" i="47"/>
  <c r="N78" i="47"/>
  <c r="N77" i="47"/>
  <c r="N76" i="47"/>
  <c r="N75" i="47"/>
  <c r="N69" i="47"/>
  <c r="N68" i="47"/>
  <c r="N67" i="47"/>
  <c r="N66" i="47"/>
  <c r="N65" i="47"/>
  <c r="N64" i="47"/>
  <c r="N63" i="47"/>
  <c r="N62" i="47"/>
  <c r="N61" i="47"/>
  <c r="N60" i="47"/>
  <c r="N59" i="47"/>
  <c r="N58" i="47"/>
  <c r="N57" i="47"/>
  <c r="N56" i="47"/>
  <c r="N55" i="47"/>
  <c r="N54" i="47"/>
  <c r="N53" i="47"/>
  <c r="N52" i="47"/>
  <c r="N51" i="47"/>
  <c r="N50" i="47"/>
  <c r="N49" i="47"/>
  <c r="N48" i="47"/>
  <c r="N47" i="47"/>
  <c r="N46" i="47"/>
  <c r="N45" i="47"/>
  <c r="N43" i="47"/>
  <c r="N42" i="47"/>
  <c r="N40" i="47"/>
  <c r="N38" i="47"/>
  <c r="N37" i="47"/>
  <c r="N35" i="47"/>
  <c r="N33" i="47"/>
  <c r="N32" i="47"/>
  <c r="N30" i="47"/>
  <c r="N28" i="47"/>
  <c r="N25" i="47"/>
  <c r="N22" i="47"/>
  <c r="N20" i="47"/>
  <c r="N17" i="47"/>
  <c r="N14" i="47"/>
  <c r="N15" i="47"/>
  <c r="N13" i="47"/>
  <c r="N12" i="47"/>
  <c r="N11" i="47"/>
  <c r="N10" i="47"/>
  <c r="N9" i="47"/>
  <c r="N8" i="47"/>
  <c r="N7" i="47"/>
  <c r="N6" i="47"/>
  <c r="N5" i="47"/>
  <c r="X20" i="71" l="1"/>
  <c r="V39" i="71" l="1"/>
  <c r="V36" i="71"/>
  <c r="V35" i="71"/>
  <c r="V34" i="71"/>
  <c r="V33" i="71"/>
  <c r="V26" i="71"/>
  <c r="V25" i="71"/>
  <c r="V23" i="71"/>
  <c r="V22" i="71"/>
  <c r="V21" i="71"/>
  <c r="V15" i="71"/>
  <c r="V13" i="71"/>
  <c r="V6" i="71"/>
  <c r="R48" i="71" l="1"/>
  <c r="R47" i="71"/>
  <c r="R46" i="71"/>
  <c r="R45" i="71"/>
  <c r="R44" i="71"/>
  <c r="R43" i="71"/>
  <c r="R42" i="71"/>
  <c r="R41" i="71"/>
  <c r="R40" i="71"/>
  <c r="R39" i="71"/>
  <c r="R38" i="71"/>
  <c r="R37" i="71"/>
  <c r="R36" i="71"/>
  <c r="R35" i="71"/>
  <c r="R34" i="71"/>
  <c r="R33" i="71"/>
  <c r="R32" i="71"/>
  <c r="R31" i="71"/>
  <c r="R30" i="71"/>
  <c r="R29" i="71"/>
  <c r="R28" i="71"/>
  <c r="R27" i="71"/>
  <c r="R26" i="71"/>
  <c r="R25" i="71"/>
  <c r="R24" i="71"/>
  <c r="R23" i="71"/>
  <c r="R22" i="71"/>
  <c r="R21" i="71"/>
  <c r="R20" i="71"/>
  <c r="R19" i="71"/>
  <c r="R18" i="71"/>
  <c r="R17" i="71"/>
  <c r="R16" i="71"/>
  <c r="R15" i="71"/>
  <c r="R14" i="71"/>
  <c r="R13" i="71"/>
  <c r="R12" i="71"/>
  <c r="R11" i="71"/>
  <c r="R10" i="71"/>
  <c r="R9" i="71"/>
  <c r="R8" i="71"/>
  <c r="R7" i="71"/>
  <c r="R6" i="71"/>
  <c r="H239" i="45" l="1"/>
  <c r="H238" i="45"/>
  <c r="H237" i="45"/>
  <c r="H236" i="45"/>
  <c r="H235" i="45"/>
  <c r="H234" i="45"/>
  <c r="H233" i="45"/>
  <c r="H232" i="45"/>
  <c r="H231" i="45"/>
  <c r="H230" i="45"/>
  <c r="H229" i="45"/>
  <c r="H228" i="45"/>
  <c r="H227" i="45"/>
  <c r="H226" i="45"/>
  <c r="H225" i="45"/>
  <c r="H224" i="45"/>
  <c r="H223" i="45"/>
  <c r="H222" i="45"/>
  <c r="H221" i="45"/>
  <c r="H220" i="45"/>
  <c r="H219" i="45"/>
  <c r="H218" i="45"/>
  <c r="H217" i="45"/>
</calcChain>
</file>

<file path=xl/sharedStrings.xml><?xml version="1.0" encoding="utf-8"?>
<sst xmlns="http://schemas.openxmlformats.org/spreadsheetml/2006/main" count="30860" uniqueCount="1816">
  <si>
    <t>MS</t>
  </si>
  <si>
    <t>Region</t>
  </si>
  <si>
    <t>Variables</t>
  </si>
  <si>
    <t>Data sources</t>
  </si>
  <si>
    <t>Comments</t>
  </si>
  <si>
    <t>RFMO/RFO/IO</t>
  </si>
  <si>
    <t>Y</t>
  </si>
  <si>
    <t>NA</t>
  </si>
  <si>
    <t>Species</t>
  </si>
  <si>
    <t>Frequency</t>
  </si>
  <si>
    <t>MS participating in sampling</t>
  </si>
  <si>
    <t>Sampling year</t>
  </si>
  <si>
    <t>Sampling design</t>
  </si>
  <si>
    <t>Sampling implementation</t>
  </si>
  <si>
    <t>Data capture</t>
  </si>
  <si>
    <t>Data Storage</t>
  </si>
  <si>
    <t>Data processing</t>
  </si>
  <si>
    <t>Is the sampling design documented?</t>
  </si>
  <si>
    <t>Area / Stock</t>
  </si>
  <si>
    <t>Age</t>
  </si>
  <si>
    <t>Weight</t>
  </si>
  <si>
    <t>Sex ratio</t>
  </si>
  <si>
    <t>Sexual maturity</t>
  </si>
  <si>
    <t>Fecundity</t>
  </si>
  <si>
    <t>MS partcipating in sampling</t>
  </si>
  <si>
    <t xml:space="preserve">
EU TAC (if any)
(%)</t>
  </si>
  <si>
    <t>Average landings in the reference years (tons)</t>
  </si>
  <si>
    <t>Threshold  (Y/N)</t>
  </si>
  <si>
    <t>Name of sampling scheme</t>
  </si>
  <si>
    <t xml:space="preserve">Sampling frame </t>
  </si>
  <si>
    <t xml:space="preserve">Where can documentation on sampling design be found? </t>
  </si>
  <si>
    <t>Are non-responses and refusals recorded?</t>
  </si>
  <si>
    <t>Where can documentation on quality checks for data capture be found?</t>
  </si>
  <si>
    <t>In which national database are data stored?</t>
  </si>
  <si>
    <t>In which international database(s) are data stored?</t>
  </si>
  <si>
    <t xml:space="preserve">Where can documentation on processes to evaluate accuracy be found? </t>
  </si>
  <si>
    <t xml:space="preserve">Comments </t>
  </si>
  <si>
    <t>Selected for sampling  (Y/N)</t>
  </si>
  <si>
    <t>Are quality checks to validate detailed data documented?</t>
  </si>
  <si>
    <t>Are processes to evaluate data accuracy (bias and precision) documented?</t>
  </si>
  <si>
    <t>Are the editing and imputation methods documented?</t>
  </si>
  <si>
    <t xml:space="preserve">Where can documentation on editing and imputation be found? </t>
  </si>
  <si>
    <t>Length</t>
  </si>
  <si>
    <t xml:space="preserve">Sampling year/ period </t>
  </si>
  <si>
    <t>Planned minimum no of individuals to be measured at the national level</t>
  </si>
  <si>
    <t>Planned minimum no of individuals to be measured at the regional level</t>
  </si>
  <si>
    <t>Table1A: List of required stocks</t>
  </si>
  <si>
    <t>Table 1B: Planning of sampling for biological variables</t>
  </si>
  <si>
    <t>Table 1C: Sampling intensity for biological variables</t>
  </si>
  <si>
    <t>Table 5A: Quality assurance framework for biological data</t>
  </si>
  <si>
    <t>2017-2019</t>
  </si>
  <si>
    <t>Achieved number of individuals measured at the national level</t>
  </si>
  <si>
    <t xml:space="preserve">Achieved number of samples </t>
  </si>
  <si>
    <t>Sampling protocol</t>
  </si>
  <si>
    <t>Changes in species landings</t>
  </si>
  <si>
    <t>AR year</t>
  </si>
  <si>
    <t>WP  years</t>
  </si>
  <si>
    <t>WP years</t>
  </si>
  <si>
    <t xml:space="preserve">AR  year </t>
  </si>
  <si>
    <t>Share (%) in EU landings</t>
  </si>
  <si>
    <t>Reference years</t>
  </si>
  <si>
    <t>AR  Comments</t>
  </si>
  <si>
    <t>% of achievement (100*M/J)</t>
  </si>
  <si>
    <t>Table 1D: Recreational fisheries</t>
  </si>
  <si>
    <t>Area/EMU</t>
  </si>
  <si>
    <t>Applicable (Species present in the MS?)</t>
  </si>
  <si>
    <t>Reasons for not sampling</t>
  </si>
  <si>
    <t>Threshold (Y/N)</t>
  </si>
  <si>
    <t>Annual estimate of catch? (Y/N)</t>
  </si>
  <si>
    <t>Annual percentage of released catch? (Y/N)</t>
  </si>
  <si>
    <t>Collection of catch composition data? (Y/N)</t>
  </si>
  <si>
    <t>Type of Survey</t>
  </si>
  <si>
    <t>Estimation of  the yearly weight and numbers of catch (Y/N)</t>
  </si>
  <si>
    <t>Estimation of  the yearly percentage release (Y/N)</t>
  </si>
  <si>
    <t>Evaluated by external experts/bodies (Y/N)</t>
  </si>
  <si>
    <t>Conform with accepted standards Y/N</t>
  </si>
  <si>
    <t>ICES</t>
  </si>
  <si>
    <t>Gadus morhua</t>
  </si>
  <si>
    <t>Anguilla anguilla</t>
  </si>
  <si>
    <t>N</t>
  </si>
  <si>
    <t>Elasmobranchs</t>
  </si>
  <si>
    <t>North Atlantic</t>
  </si>
  <si>
    <t xml:space="preserve">Table 2A: Fishing activity variables data collection strategy </t>
  </si>
  <si>
    <t xml:space="preserve">Supra region </t>
  </si>
  <si>
    <t xml:space="preserve">Variable Group </t>
  </si>
  <si>
    <t>Variable</t>
  </si>
  <si>
    <t xml:space="preserve">Fishing technique </t>
  </si>
  <si>
    <t xml:space="preserve">Length class </t>
  </si>
  <si>
    <t>Metiers (level 6)</t>
  </si>
  <si>
    <t>Data collected  under control regulation appropriate for scientific use (Y/N/I)</t>
  </si>
  <si>
    <t xml:space="preserve">Type of data collected under control regulation used to calculate the estimates </t>
  </si>
  <si>
    <t>Data source for complementary data collection</t>
  </si>
  <si>
    <t>Expected coverage of data collected under control regulation (% of fishing trips)</t>
  </si>
  <si>
    <t>Additional data collection (Y/N)</t>
  </si>
  <si>
    <t xml:space="preserve">Data collection scheme </t>
  </si>
  <si>
    <t>Planned coverage of data collected under complementary data collection (% of fishing trips)</t>
  </si>
  <si>
    <t xml:space="preserve">Achieved coverage of data collected under complementary data collection </t>
  </si>
  <si>
    <t>AR comments</t>
  </si>
  <si>
    <t>Effort</t>
  </si>
  <si>
    <t>Beam trawlers</t>
  </si>
  <si>
    <t>Landings</t>
  </si>
  <si>
    <t>Drift and/or fixed netters</t>
  </si>
  <si>
    <t>Capacity</t>
  </si>
  <si>
    <t>Table 3A: Population segments for collection of economic and social data for fisheries</t>
  </si>
  <si>
    <t>Cluster Name</t>
  </si>
  <si>
    <t>Type of variables (E/S)</t>
  </si>
  <si>
    <t>Data Source</t>
  </si>
  <si>
    <t xml:space="preserve">Type of data collection scheme </t>
  </si>
  <si>
    <t xml:space="preserve">Planned sample rate % </t>
  </si>
  <si>
    <t>Achieved Sample Rate %</t>
  </si>
  <si>
    <t>AR Comment</t>
  </si>
  <si>
    <t>Baltic Sea, North Sea and Eastern Arctic, and North Atlantic</t>
  </si>
  <si>
    <t>E</t>
  </si>
  <si>
    <t>Gross value of landings</t>
  </si>
  <si>
    <t>A - Census</t>
  </si>
  <si>
    <t>Other income</t>
  </si>
  <si>
    <t>C - Non-Probability Sample Survey</t>
  </si>
  <si>
    <t>S</t>
  </si>
  <si>
    <t>Table 3B: Population segments for collection of economic and social data for aquaculture</t>
  </si>
  <si>
    <t>Techniques</t>
  </si>
  <si>
    <t>Species group</t>
  </si>
  <si>
    <t>Data source</t>
  </si>
  <si>
    <t>Threshold Type</t>
  </si>
  <si>
    <t>Turnover</t>
  </si>
  <si>
    <t>Financial accounts</t>
  </si>
  <si>
    <t>Energy costs</t>
  </si>
  <si>
    <t xml:space="preserve">Unpaid labour by gender </t>
  </si>
  <si>
    <t>Table 3C: Population segments for collection of economic and social data for the processing industry</t>
  </si>
  <si>
    <t>Segment</t>
  </si>
  <si>
    <t xml:space="preserve">Variables </t>
  </si>
  <si>
    <t>Companies &lt;= 10</t>
  </si>
  <si>
    <t>Companies 11-49</t>
  </si>
  <si>
    <t>Other operational costs</t>
  </si>
  <si>
    <t>Companies 50-250</t>
  </si>
  <si>
    <t>Table 5B: Quality assurance framework for socio-economic data</t>
  </si>
  <si>
    <t>Institutional environment</t>
  </si>
  <si>
    <t>Statistical processes</t>
  </si>
  <si>
    <t>Statistical Outputs</t>
  </si>
  <si>
    <t>P3 Impartiality and objectiveness</t>
  </si>
  <si>
    <t>P4 Confidentiality</t>
  </si>
  <si>
    <t>P5 Sound methodology</t>
  </si>
  <si>
    <t>P6 Appropriate statistical procedures</t>
  </si>
  <si>
    <t>P7 Non-excessive burden on respondents</t>
  </si>
  <si>
    <t>P8 Cost effectiveness</t>
  </si>
  <si>
    <t>P9 Relevance</t>
  </si>
  <si>
    <t>P10 Accuracy and reliability</t>
  </si>
  <si>
    <t>P11 Timeliness and punctuality</t>
  </si>
  <si>
    <t>P12 coherence and comparability</t>
  </si>
  <si>
    <t>P13 Accessibility and Clarity</t>
  </si>
  <si>
    <t>Sector Name</t>
  </si>
  <si>
    <t>Sampling year/ period</t>
  </si>
  <si>
    <t>RFMO/RFO/IO/NSB</t>
  </si>
  <si>
    <t>Statistically sound sources and methods</t>
  </si>
  <si>
    <t>Error checking</t>
  </si>
  <si>
    <t>Are procedures for confidential data handling in place and documented?</t>
  </si>
  <si>
    <t>Are protocols to enforce confidentiality between DCF partners in place and documented?</t>
  </si>
  <si>
    <t>Are protocols to enforce confidentiality with external users in place and documented?</t>
  </si>
  <si>
    <t>Is sound methodology documented ?</t>
  </si>
  <si>
    <t>Does it follow international standards, guidelines and best practices?</t>
  </si>
  <si>
    <t>Are methodologies consistent at MS, regional and EU level?</t>
  </si>
  <si>
    <t>Is there consistency between administrative and other statistical data?</t>
  </si>
  <si>
    <t>Are there agreements for access and quality of administrative data between partners?</t>
  </si>
  <si>
    <t>Are data collection, entry and coding checked?</t>
  </si>
  <si>
    <t>Are editing and imputation methods used and checked?</t>
  </si>
  <si>
    <t>Are revisions documented and available?</t>
  </si>
  <si>
    <t>Is duplication of data collection avoided?</t>
  </si>
  <si>
    <t>Do automatic techniques for data capture, data coding and validation exist?</t>
  </si>
  <si>
    <t>Are end-users listed and updated?</t>
  </si>
  <si>
    <t>Are sources, intermediate results and outputs regularly assessed and validated?</t>
  </si>
  <si>
    <t xml:space="preserve">Are errors measured and documented? </t>
  </si>
  <si>
    <t>Are procedures in place to ensure timely execution?</t>
  </si>
  <si>
    <t>Are procedures in place to monitor internal coherence?</t>
  </si>
  <si>
    <t>Are statistics comparable over time?</t>
  </si>
  <si>
    <t>Are methodological documents publicly available?</t>
  </si>
  <si>
    <t>Are data stored in databases?</t>
  </si>
  <si>
    <t xml:space="preserve">Where can documentation be found? </t>
  </si>
  <si>
    <t>Table 7A: Planned regional and international coordination</t>
  </si>
  <si>
    <t>Acronym</t>
  </si>
  <si>
    <t>Name of meeting</t>
  </si>
  <si>
    <t>Planned MS participation</t>
  </si>
  <si>
    <t>X</t>
  </si>
  <si>
    <t>Table 7B: Follow-up of recommendations and agreements</t>
  </si>
  <si>
    <t>Source</t>
  </si>
  <si>
    <t xml:space="preserve">Section </t>
  </si>
  <si>
    <t>Topic</t>
  </si>
  <si>
    <t>Recommendation number</t>
  </si>
  <si>
    <t>Recommendation/ Agreement</t>
  </si>
  <si>
    <t>Follow-up action</t>
  </si>
  <si>
    <t>VII</t>
  </si>
  <si>
    <t>all</t>
  </si>
  <si>
    <t>Table7C: Bi- and multilateral agreements</t>
  </si>
  <si>
    <t>MSs</t>
  </si>
  <si>
    <t>Contact persons</t>
  </si>
  <si>
    <t>Content</t>
  </si>
  <si>
    <t>Coordination</t>
  </si>
  <si>
    <t>Description of sampling / sampling protocol / sampling intensity</t>
  </si>
  <si>
    <t xml:space="preserve">Data transmission  </t>
  </si>
  <si>
    <t xml:space="preserve">Access to vessels </t>
  </si>
  <si>
    <t xml:space="preserve">Validity </t>
  </si>
  <si>
    <t>N/A</t>
  </si>
  <si>
    <t>Salmo salar</t>
  </si>
  <si>
    <t>AR Comments</t>
  </si>
  <si>
    <t>Agreed at RCG level?</t>
  </si>
  <si>
    <t>Survey ID</t>
  </si>
  <si>
    <t>Reasons for non-conformity</t>
  </si>
  <si>
    <t>Planned nos</t>
  </si>
  <si>
    <t>Unit</t>
  </si>
  <si>
    <t>Method</t>
  </si>
  <si>
    <t>Fishery / Independent data collection</t>
  </si>
  <si>
    <t>Life stage</t>
  </si>
  <si>
    <t>Water Body</t>
  </si>
  <si>
    <t>Applicable (Y/N)</t>
  </si>
  <si>
    <t>Area</t>
  </si>
  <si>
    <t>Sampling period</t>
  </si>
  <si>
    <t xml:space="preserve">Table 1E: Anadromous and catadromous species data collection in fresh water </t>
  </si>
  <si>
    <t>Sampling period/year(s)</t>
  </si>
  <si>
    <t>Sub-area / Fishing ground</t>
  </si>
  <si>
    <t>Scheme</t>
  </si>
  <si>
    <t>Stratum ID code / Name of the survey</t>
  </si>
  <si>
    <t>Group of vulnerable species</t>
  </si>
  <si>
    <t xml:space="preserve">Expected occurence of recordings </t>
  </si>
  <si>
    <t>Planned number of PSUs</t>
  </si>
  <si>
    <t>Are data stored in a national database?</t>
  </si>
  <si>
    <t>Are data stored in international database(s)?</t>
  </si>
  <si>
    <t>Table 1G: List of research surveys at sea</t>
  </si>
  <si>
    <t>Name of survey</t>
  </si>
  <si>
    <t xml:space="preserve">Acronym </t>
  </si>
  <si>
    <t>Mandatory (Y/N)</t>
  </si>
  <si>
    <t>Agreed at RCG level</t>
  </si>
  <si>
    <t>Days at sea planned</t>
  </si>
  <si>
    <t xml:space="preserve">Planned target </t>
  </si>
  <si>
    <t>Map</t>
  </si>
  <si>
    <t>Relevant international planning group - RFMO/RFO/IO</t>
  </si>
  <si>
    <t>Type of MS participation</t>
  </si>
  <si>
    <t>Days at sea achieved</t>
  </si>
  <si>
    <t>Achieved target</t>
  </si>
  <si>
    <t>Table 1H: Research survey data collection and dissemination</t>
  </si>
  <si>
    <t>Type of data collected</t>
  </si>
  <si>
    <t>Core/ Additional variable</t>
  </si>
  <si>
    <t>Used as basis for advice (Y/N)</t>
  </si>
  <si>
    <t>Relevant International database</t>
  </si>
  <si>
    <t>Indication if AR comments are required by MS</t>
  </si>
  <si>
    <t>C</t>
  </si>
  <si>
    <t>A</t>
  </si>
  <si>
    <t>Table 6A: Data availability</t>
  </si>
  <si>
    <t>Data set</t>
  </si>
  <si>
    <t>Section</t>
  </si>
  <si>
    <t>Variable group</t>
  </si>
  <si>
    <t>Year(s) of WP implementation</t>
  </si>
  <si>
    <t xml:space="preserve">Reference year </t>
  </si>
  <si>
    <t>Final data available after</t>
  </si>
  <si>
    <t>Fleet economic</t>
  </si>
  <si>
    <t>3A</t>
  </si>
  <si>
    <t>Revenue/costs</t>
  </si>
  <si>
    <t>N-1</t>
  </si>
  <si>
    <t>N+1, March 1</t>
  </si>
  <si>
    <t>Aquaculture economic</t>
  </si>
  <si>
    <t>Fishing Activity Variable</t>
  </si>
  <si>
    <t>capacity</t>
  </si>
  <si>
    <t>N+1, January 31</t>
  </si>
  <si>
    <t>landings</t>
  </si>
  <si>
    <t>N+1, March 31</t>
  </si>
  <si>
    <t>Fish processing economic</t>
  </si>
  <si>
    <t>N-2</t>
  </si>
  <si>
    <t>N+1, November 1</t>
  </si>
  <si>
    <t>Conformity</t>
  </si>
  <si>
    <t>Stratum ID code</t>
  </si>
  <si>
    <t>PSU type</t>
  </si>
  <si>
    <t>Catch fractions covered</t>
  </si>
  <si>
    <t>Species/ Stocks covered for estimation of volume and length of catch fractions</t>
  </si>
  <si>
    <t>Seasonality (Temporal strata)</t>
  </si>
  <si>
    <t xml:space="preserve">Average Number of PSU during the reference years         </t>
  </si>
  <si>
    <t xml:space="preserve">Number of unique vessels sampled </t>
  </si>
  <si>
    <t>Table 4A: Sampling plan description for biological data</t>
  </si>
  <si>
    <t>Date when data was available</t>
  </si>
  <si>
    <t>Number of unique vessels with activity in the stratum</t>
  </si>
  <si>
    <t>Table 4B: Sampling frame description for biological data</t>
  </si>
  <si>
    <t>Stratum ID number</t>
  </si>
  <si>
    <t>Stratum</t>
  </si>
  <si>
    <t xml:space="preserve">Sampling frame description </t>
  </si>
  <si>
    <t xml:space="preserve">Method of PSU selection </t>
  </si>
  <si>
    <t>Table 4C: Data on the fisheries by member state</t>
  </si>
  <si>
    <t>Fleet segment / Metier</t>
  </si>
  <si>
    <t>Targeted species / species assemblage</t>
  </si>
  <si>
    <t>Average number of vessels</t>
  </si>
  <si>
    <t xml:space="preserve">Average number of fishing trips </t>
  </si>
  <si>
    <t xml:space="preserve">Average number of fishing days </t>
  </si>
  <si>
    <t xml:space="preserve">Average landings (tons) </t>
  </si>
  <si>
    <t>Average landings (tons) in national ports</t>
  </si>
  <si>
    <t>Average landings (tons) in foreign ports</t>
  </si>
  <si>
    <t>Number of vessels</t>
  </si>
  <si>
    <t>Number of fishing trips</t>
  </si>
  <si>
    <t>Number of fishing days</t>
  </si>
  <si>
    <t>Landings (tons)</t>
  </si>
  <si>
    <t>Landings (tons) in national ports</t>
  </si>
  <si>
    <t>Landings (tons) in foreign ports</t>
  </si>
  <si>
    <t>Table 4D: Landing locations</t>
  </si>
  <si>
    <t>Average landed tonnage of national fleet</t>
  </si>
  <si>
    <t>Average landed tonnage of foreign fleet</t>
  </si>
  <si>
    <t>Unique Survey ID or Name of sampling scheme
(Linked to Table 5A)</t>
  </si>
  <si>
    <t xml:space="preserve">Is the survey part of a pilot study or part of an established programme? 
</t>
  </si>
  <si>
    <t>Are non-response and refusal recorded?
(Linked to Table 5A)</t>
  </si>
  <si>
    <t>Is the sampling design documented?
(Linked to Table 5A)</t>
  </si>
  <si>
    <t>Are the editing and imputation methods documented? (Linked to Table 5A)</t>
  </si>
  <si>
    <t>Achieved numbers</t>
  </si>
  <si>
    <t>% of achievement (100*P/M)</t>
  </si>
  <si>
    <t xml:space="preserve">Table 1F: Incidental by-catch of birds, mammals, reptiles and fish </t>
  </si>
  <si>
    <t>MS participation</t>
  </si>
  <si>
    <t>Period (Month)</t>
  </si>
  <si>
    <t>Frame population</t>
  </si>
  <si>
    <t>Achieved sample number</t>
  </si>
  <si>
    <t>Response Rate %</t>
  </si>
  <si>
    <t>Achieved Sample no/Planned sample no.</t>
  </si>
  <si>
    <t>Area(s)
covered</t>
  </si>
  <si>
    <t>Type of sampling activities</t>
  </si>
  <si>
    <t>International database</t>
  </si>
  <si>
    <t>Indication if AR comments by MS are required concerning effort achieved</t>
  </si>
  <si>
    <t>Indication if AR comments by MS are required concerning temporal and spatial coverage</t>
  </si>
  <si>
    <t>Has there be occurrence of bycatch?</t>
  </si>
  <si>
    <t>Number of PSU sampled in which observers have been instructed to look for bycatch</t>
  </si>
  <si>
    <t>Does your sampling protocol allow for the calculation of observation effort “at haul level” (Y/N)</t>
  </si>
  <si>
    <t>Fish (Y/N/NA)</t>
  </si>
  <si>
    <t>Mammals (Y/N/NA)</t>
  </si>
  <si>
    <t>Birds (Y/N/NA)</t>
  </si>
  <si>
    <t>Reptiles (Y/N/NA)</t>
  </si>
  <si>
    <t>Other (Y/N/NA)</t>
  </si>
  <si>
    <t>Data collected  under control regulation accessible for scientific use (Y/N/I)</t>
  </si>
  <si>
    <t>Informative Data</t>
  </si>
  <si>
    <t>% of achievement (100*Q/N)</t>
  </si>
  <si>
    <t>Number of fishing trips in the stratum</t>
  </si>
  <si>
    <t xml:space="preserve">Number of fishing trips sampled </t>
  </si>
  <si>
    <t>Collection of catch composition data (Y/N)</t>
  </si>
  <si>
    <t xml:space="preserve">AR Comments </t>
  </si>
  <si>
    <t>Total number of PSU in the sampling year</t>
  </si>
  <si>
    <t>Achieved number of PSU in the sampling year</t>
  </si>
  <si>
    <t xml:space="preserve">Is there any mitigation device? (Y/N) </t>
  </si>
  <si>
    <t>In case of financial participation, is payment done? (Y/N)</t>
  </si>
  <si>
    <t>Other data assimilations (Y/N)</t>
  </si>
  <si>
    <t>Was the survey carried out within the official time period? (Y/N)</t>
  </si>
  <si>
    <t>Was the survey carried out within the official survey area? (Y/N)</t>
  </si>
  <si>
    <t>Was the data uploaded to the relevant database? (Y/N)</t>
  </si>
  <si>
    <t>Other data assimilations? (Y/N)</t>
  </si>
  <si>
    <t>Response Rate (%)</t>
  </si>
  <si>
    <t>Number of species with length measurements</t>
  </si>
  <si>
    <t>Total number of length measurements</t>
  </si>
  <si>
    <t>Is the fleet segment/ metier covered by any stratum (Y/N)</t>
  </si>
  <si>
    <t>Type of data collection scheme</t>
  </si>
  <si>
    <t>Data Sources</t>
  </si>
  <si>
    <t>Number of participants</t>
  </si>
  <si>
    <t xml:space="preserve">MS action taken </t>
  </si>
  <si>
    <t>Was the sampling carried out? (Y/N/P)</t>
  </si>
  <si>
    <t>IRL</t>
  </si>
  <si>
    <t>Capros aper</t>
  </si>
  <si>
    <t>North Western waters (ICES areas Vb (only Union waters), VI and VII)</t>
  </si>
  <si>
    <t>V, VI,VII</t>
  </si>
  <si>
    <t>Otoliths collected but not aged</t>
  </si>
  <si>
    <t>Pecten maximus</t>
  </si>
  <si>
    <t>IV, VI, VII</t>
  </si>
  <si>
    <t>Maja squinado</t>
  </si>
  <si>
    <t>M</t>
  </si>
  <si>
    <t>Monthly but only during the fishing season</t>
  </si>
  <si>
    <t>Cancer pagurus</t>
  </si>
  <si>
    <t>all areas</t>
  </si>
  <si>
    <t>Clupea harengus</t>
  </si>
  <si>
    <t>VIaN</t>
  </si>
  <si>
    <t xml:space="preserve">Q </t>
  </si>
  <si>
    <t>VIaS</t>
  </si>
  <si>
    <t>VIIa</t>
  </si>
  <si>
    <t>VIIj</t>
  </si>
  <si>
    <t>Interpreting this as VIIa(S),VIIg and VIIj</t>
  </si>
  <si>
    <t>VIa</t>
  </si>
  <si>
    <t>VIIe-k</t>
  </si>
  <si>
    <t>Glyptocephalus cynoglossus</t>
  </si>
  <si>
    <t>VI, VII</t>
  </si>
  <si>
    <t>Homarus gammarus</t>
  </si>
  <si>
    <t>Lepidorhombus whiffiagonis</t>
  </si>
  <si>
    <t>VI</t>
  </si>
  <si>
    <t>VII, VIIIabd</t>
  </si>
  <si>
    <t>Lophius budegassa</t>
  </si>
  <si>
    <t>IV, VI</t>
  </si>
  <si>
    <t xml:space="preserve">Other </t>
  </si>
  <si>
    <t>Q</t>
  </si>
  <si>
    <t>L,A,W: quarterly; S,M: Annual. Illicia collected but not aged</t>
  </si>
  <si>
    <t>VIIb-k, VIIIabd</t>
  </si>
  <si>
    <t>Lophius piscatorious</t>
  </si>
  <si>
    <t>Melanogrammus aeglefinus</t>
  </si>
  <si>
    <t>L,A,W: quarterly; S,M: Annual</t>
  </si>
  <si>
    <t>VIb</t>
  </si>
  <si>
    <t>VIIb-k</t>
  </si>
  <si>
    <t>Merlangius merlangus</t>
  </si>
  <si>
    <t>Merluccius merluccius</t>
  </si>
  <si>
    <t>IIIa, IV, VI, VII, VIIIab</t>
  </si>
  <si>
    <t>L,A,W: quarterly; S,M: Annual. Otoliths collected but not aged</t>
  </si>
  <si>
    <t>Micromesistius poutassou</t>
  </si>
  <si>
    <t>I-IX, XII, XIV</t>
  </si>
  <si>
    <t>Nephrops norvegicus</t>
  </si>
  <si>
    <t>VII Functional unit</t>
  </si>
  <si>
    <t>L,S,M: quarterly; W: Annual</t>
  </si>
  <si>
    <t>Pleuronectes platessa</t>
  </si>
  <si>
    <t>VIIbc</t>
  </si>
  <si>
    <t>No age-based assessment</t>
  </si>
  <si>
    <t>VIIfg</t>
  </si>
  <si>
    <t>VIIh-k</t>
  </si>
  <si>
    <t>Pollachius pollachius</t>
  </si>
  <si>
    <t>all areas except IX, X</t>
  </si>
  <si>
    <t>Pollachius virens</t>
  </si>
  <si>
    <t>VII, VIII</t>
  </si>
  <si>
    <t>L,A,W: quarterly; S: Annual</t>
  </si>
  <si>
    <t>Scomber scombrus</t>
  </si>
  <si>
    <t>II, IIIa, IV, V, VI, VII, VIII, IX</t>
  </si>
  <si>
    <t>Solea solea</t>
  </si>
  <si>
    <t>VIIhjk</t>
  </si>
  <si>
    <t>Trachurus trachurus</t>
  </si>
  <si>
    <t>IIa, IVa, Vb, VIa, VIIa-c, e-k, VIIIabde</t>
  </si>
  <si>
    <t>Raja brachyura</t>
  </si>
  <si>
    <t>VIIafg</t>
  </si>
  <si>
    <t>Leucoraja naevus</t>
  </si>
  <si>
    <t>VI, VII, VIIIabd</t>
  </si>
  <si>
    <t>Raja montagui</t>
  </si>
  <si>
    <t>VIIaefg</t>
  </si>
  <si>
    <t>Only from surveys</t>
  </si>
  <si>
    <t>Raja clavata</t>
  </si>
  <si>
    <t>Other skates and rays</t>
  </si>
  <si>
    <t>VI, VIIabcefghjk</t>
  </si>
  <si>
    <t>Thunnus alalunga</t>
  </si>
  <si>
    <t>Other</t>
  </si>
  <si>
    <t>ICCAT</t>
  </si>
  <si>
    <t>Atlantic Ocean and adjacent seas</t>
  </si>
  <si>
    <t xml:space="preserve">IRL  </t>
  </si>
  <si>
    <t xml:space="preserve">North Atlantic </t>
  </si>
  <si>
    <t xml:space="preserve">All Areas </t>
  </si>
  <si>
    <t>Demersal at-sea Crustacean at -sea Pelagic at-sea Mollusc at-sea</t>
  </si>
  <si>
    <t>IRL NW 1,IRL NW 2,IRL NW 3,IRL E 1,IRL E 2,IRL E 3,IRL E 4,IRL E 5,IRL E 6,IRL SE 1,IRL SE 2,IRL SE 3,IRL SE 4,IRL SE 5,IRL SE 6,IRL SE 7, IRL SE 8,IRL WSW 1,IRL WSW 2,IRL WSW 3,IRL WSW 4,IRL WSW 5,IRL WSW 6,IRL WSW 7,</t>
  </si>
  <si>
    <t>Bony Fishes</t>
  </si>
  <si>
    <t>x</t>
  </si>
  <si>
    <t xml:space="preserve">Protocols for observation of incidental bycatch  are  currently in place in  off shore catch  observer programme, collection protocols as per WGBYC. Species list will be extended to cover those applicable under Table 1D (EUMAP) and relevant databases updated  </t>
  </si>
  <si>
    <t>Demersal at-sea Crustacean at -sea Pelagic at sea Mollusc at-sea</t>
  </si>
  <si>
    <t xml:space="preserve">Cartilaginous fishes </t>
  </si>
  <si>
    <t>Mammals</t>
  </si>
  <si>
    <t>Birds</t>
  </si>
  <si>
    <t>IRL NW 1,IRL NW 2,IRL NW 3,IRL E 1,IRL E 2,IRL E 3,IRL E 4,IRL E 5,IRL E 6,IRL SE 1,IRL SE 2,IRL SE 3,IRL SE 4,IRL SE 5,IRL SE 6,IRL SE 7,IRL WSW 1,IRL WSW 2,IRL WSW 3,IRL WSW 4,IRL WSW 5,IRL WSW 6,IRL WSW 7,</t>
  </si>
  <si>
    <t>Reptiles</t>
  </si>
  <si>
    <t>Molluscs</t>
  </si>
  <si>
    <t>Demersal at-sea</t>
  </si>
  <si>
    <t xml:space="preserve">IRL NW 1 IRL WSW 1
</t>
  </si>
  <si>
    <t>Crustaceans</t>
  </si>
  <si>
    <t>Zero</t>
  </si>
  <si>
    <t xml:space="preserve">MS has no directed Deep water fishery </t>
  </si>
  <si>
    <t>IRL NW 4, IRL SE 5, IRL WSW 4</t>
  </si>
  <si>
    <t xml:space="preserve">Trammel, tangle and gill nets in the W, NW and SW will have an additional dedicated bycatch study  under the EMFF Marine Biodiversity Scheme   ( see text box pilot study 2 ) </t>
  </si>
  <si>
    <t xml:space="preserve">Birds </t>
  </si>
  <si>
    <t xml:space="preserve">North Sea and Eastern Arctic  </t>
  </si>
  <si>
    <t xml:space="preserve"> Pelagic at sea </t>
  </si>
  <si>
    <t>IRL NE 1, IRL N 1</t>
  </si>
  <si>
    <t xml:space="preserve">Protocols for observation of incidental bycatch  are  currently in place in  off shore catch  observer programme, collection protocols as per WGBYC. Species list will be extended to cover those applicaple under Table 1D and relevant databases updated  </t>
  </si>
  <si>
    <t>Yes</t>
  </si>
  <si>
    <t>Commercial</t>
  </si>
  <si>
    <t>0</t>
  </si>
  <si>
    <t>Sex</t>
  </si>
  <si>
    <t>Maturity</t>
  </si>
  <si>
    <t>Survey</t>
  </si>
  <si>
    <t xml:space="preserve">1 per 1/2 cm per strata </t>
  </si>
  <si>
    <t>Not selected for sampling</t>
  </si>
  <si>
    <t>Commercial sampling only</t>
  </si>
  <si>
    <t>interpret this as VIIa(S),VIIg and VIIj</t>
  </si>
  <si>
    <t xml:space="preserve">interpret this as VIIa(S),VIIg and VIIj  50 per sample </t>
  </si>
  <si>
    <t>Survey only</t>
  </si>
  <si>
    <t xml:space="preserve">As Per IBTS manual  </t>
  </si>
  <si>
    <t xml:space="preserve">ICES Area 6a -West of Scotland   </t>
  </si>
  <si>
    <t>IRL NW 1</t>
  </si>
  <si>
    <t>vessel x trip</t>
  </si>
  <si>
    <t xml:space="preserve">All Species and Stocks  </t>
  </si>
  <si>
    <t xml:space="preserve">annual </t>
  </si>
  <si>
    <t>2013-2015</t>
  </si>
  <si>
    <t>targeting All Demersal species off the NW coast</t>
  </si>
  <si>
    <t xml:space="preserve">Pelagic at-sea </t>
  </si>
  <si>
    <t>IRL NW 2</t>
  </si>
  <si>
    <t>Crustacean  at-sea</t>
  </si>
  <si>
    <t>IRL NW 3</t>
  </si>
  <si>
    <t xml:space="preserve">fishing day </t>
  </si>
  <si>
    <t>targeting Lobster and crab off the NW coast</t>
  </si>
  <si>
    <t>IRL SCO</t>
  </si>
  <si>
    <t xml:space="preserve">Sampling on shore </t>
  </si>
  <si>
    <t>IRL NW 5</t>
  </si>
  <si>
    <t xml:space="preserve">port X day </t>
  </si>
  <si>
    <t xml:space="preserve">Landings </t>
  </si>
  <si>
    <t>Stocks in Table 1a, 1b and 1c</t>
  </si>
  <si>
    <t>IRL SCO DK</t>
  </si>
  <si>
    <t>IRL NW 6</t>
  </si>
  <si>
    <t>Pelagics sampling in the NW region Including bilateral sampling with the UK and DK</t>
  </si>
  <si>
    <t xml:space="preserve">IRL </t>
  </si>
  <si>
    <t>IRL NW 7</t>
  </si>
  <si>
    <t xml:space="preserve">targeting Lobster and crab in the NW region </t>
  </si>
  <si>
    <t>IRL NW 8</t>
  </si>
  <si>
    <t xml:space="preserve">Selected Species and Stocks  </t>
  </si>
  <si>
    <t xml:space="preserve">targeting Whelks in the NW region </t>
  </si>
  <si>
    <t xml:space="preserve"> ICES Area 7a-Irish Sea </t>
  </si>
  <si>
    <t>IRL E 1</t>
  </si>
  <si>
    <t xml:space="preserve">Included as this fishery  targets cod and elasmobranchs in the East </t>
  </si>
  <si>
    <t>IRL E 2</t>
  </si>
  <si>
    <t>7aS Herring sentinal fishery  in the southern part of the Irish Sea</t>
  </si>
  <si>
    <t>IRL E 3</t>
  </si>
  <si>
    <t xml:space="preserve">Nephrops fishery in the East all gears and selectivity measures  </t>
  </si>
  <si>
    <t>Molluscs at-sea</t>
  </si>
  <si>
    <t>IRL E 4</t>
  </si>
  <si>
    <t xml:space="preserve">targeting Whelks  in the East </t>
  </si>
  <si>
    <t>IRL E 5</t>
  </si>
  <si>
    <t xml:space="preserve">targeting Scallops  Ensis and Cerastoderma in the East </t>
  </si>
  <si>
    <t>IRL E 6</t>
  </si>
  <si>
    <t xml:space="preserve">targeting lobster and Crab in the East </t>
  </si>
  <si>
    <t>IRL E 7</t>
  </si>
  <si>
    <t xml:space="preserve">Demersal fish  including that coming from  TBB_DEF_70-99_0_0 </t>
  </si>
  <si>
    <t>IRL E 8</t>
  </si>
  <si>
    <t xml:space="preserve">Nephrops fishery all metiers  Self sampling hence the vessel x trip </t>
  </si>
  <si>
    <t xml:space="preserve">ICES Area 7fgh-Celtic Sea  </t>
  </si>
  <si>
    <t>IRL SE 1</t>
  </si>
  <si>
    <t xml:space="preserve">All Demersal Otterboard Trawlers in the South East  </t>
  </si>
  <si>
    <t>IRL SE 2</t>
  </si>
  <si>
    <t xml:space="preserve">All Demersal Beam Trawlers in the South East </t>
  </si>
  <si>
    <t>IRL SE 3</t>
  </si>
  <si>
    <t xml:space="preserve">All Demersal Seiners in the South East </t>
  </si>
  <si>
    <t>IRL SE 4</t>
  </si>
  <si>
    <t xml:space="preserve">Herring and other pelagics  in the South East </t>
  </si>
  <si>
    <t>IRL SE 5</t>
  </si>
  <si>
    <t xml:space="preserve">All Gillnetters, trammel and tangel netters in the South East </t>
  </si>
  <si>
    <t>IRL SE 6</t>
  </si>
  <si>
    <t xml:space="preserve">Nephrops fishery Included all mesh sizes and selectivity methods Small and Labadie </t>
  </si>
  <si>
    <t>IRL SE 7</t>
  </si>
  <si>
    <t>Scallop fishery in the South East including that in 7bcjk and VII3</t>
  </si>
  <si>
    <t>IRL SE 8</t>
  </si>
  <si>
    <t xml:space="preserve">Lobster and Crab in the SE  </t>
  </si>
  <si>
    <t>IRL SE 9</t>
  </si>
  <si>
    <t>All demersal sampling all gears</t>
  </si>
  <si>
    <t>IRL SE 10</t>
  </si>
  <si>
    <t>All pelagic sampling including that from IRL E 2</t>
  </si>
  <si>
    <t xml:space="preserve">ICES Area 7fgh-Celtic Sea and part 7bcjk West of Ireland </t>
  </si>
  <si>
    <t>IRL SE 11</t>
  </si>
  <si>
    <t xml:space="preserve">All Nephrops sampling  in FU 19, 20-21 22 Self sampling hence the vessel x trip  </t>
  </si>
  <si>
    <t>IRL SE 12</t>
  </si>
  <si>
    <t>Stocks in Table 1a, 1b and 1c and other selected  stocks</t>
  </si>
  <si>
    <t xml:space="preserve">All Crustaceans/Molluscs sampling including that from IRL E 5,6 &amp;7 </t>
  </si>
  <si>
    <t xml:space="preserve">ICES Area 7bcjk West of Ireland </t>
  </si>
  <si>
    <t>IRL WSW 1</t>
  </si>
  <si>
    <t xml:space="preserve">All Demersal Otterboard Trawlers targeting Gadoids  in the West and South West </t>
  </si>
  <si>
    <t>IRL WSW 2</t>
  </si>
  <si>
    <t>All Demersal Otterboard Trawlers targeting Hake Monkfish and Megrim in the West and South West</t>
  </si>
  <si>
    <t>IRL WSW 3</t>
  </si>
  <si>
    <t>All Demersal Seiners in the West and South West</t>
  </si>
  <si>
    <t>IRL WSW 4</t>
  </si>
  <si>
    <t>All Gillnetters, trammel and tangle netters  in the West and South West</t>
  </si>
  <si>
    <t>IRL WSW 5</t>
  </si>
  <si>
    <t xml:space="preserve">All LPF in all Areas </t>
  </si>
  <si>
    <t>IRL WSW 6</t>
  </si>
  <si>
    <t>IRL WSW 7</t>
  </si>
  <si>
    <t>Nephrops fishery Function  Units 16,17 &amp; 19</t>
  </si>
  <si>
    <t>IRL WSW 8</t>
  </si>
  <si>
    <t>Pot fishery for Lobster and Crab in the West and South West</t>
  </si>
  <si>
    <t>IRL WSW 9</t>
  </si>
  <si>
    <t>IRL FRA</t>
  </si>
  <si>
    <t>IRL WSW 10</t>
  </si>
  <si>
    <t>All pelagic sampling including bi lateral sampling with FRA</t>
  </si>
  <si>
    <t>IRL WSW 11</t>
  </si>
  <si>
    <t xml:space="preserve">All Nephrops sampling FU 16&amp;17   Self sampling hence the vessel x trip </t>
  </si>
  <si>
    <t>IRL WSW 12</t>
  </si>
  <si>
    <t xml:space="preserve">All lobster and crab </t>
  </si>
  <si>
    <t>North Sea (ICES areas IIIa and IV), Eastern Arctic (ICES areas I and II)</t>
  </si>
  <si>
    <t>ICES Area IV, VIId -North Sea</t>
  </si>
  <si>
    <t>IRL NE1</t>
  </si>
  <si>
    <t>IRL NE2</t>
  </si>
  <si>
    <t>All SPF</t>
  </si>
  <si>
    <t>ICES Area I,II -Eastern Arctic</t>
  </si>
  <si>
    <t>IRL N1</t>
  </si>
  <si>
    <t xml:space="preserve">All SPF West of Norway </t>
  </si>
  <si>
    <t>IRL N2</t>
  </si>
  <si>
    <t>Northwest Demersal Trawlers</t>
  </si>
  <si>
    <t>Vessels targeting  whitefish mainly fishing in ICES area 6a</t>
  </si>
  <si>
    <t xml:space="preserve">Select from Random list  for area </t>
  </si>
  <si>
    <t xml:space="preserve">Mainly a 6a fishery with some vessels going to 6b as those fisheries come on. Landings from 6b are quite variable additional effort is made to sample these fisheries </t>
  </si>
  <si>
    <t>Northwest Pelagic trawlers</t>
  </si>
  <si>
    <t xml:space="preserve">Vessels targeting pelagic species fishing in ICES area 6a, </t>
  </si>
  <si>
    <t>Mainly large RSW trawlers,  targeting single species in quite distinct time frames. Mainly 1st and 4th Quarter fisheries</t>
  </si>
  <si>
    <t>Northwest inshore potters</t>
  </si>
  <si>
    <t xml:space="preserve">Vessles &lt;15m targeting Crustaceans </t>
  </si>
  <si>
    <t>Mainly lobster and crab</t>
  </si>
  <si>
    <t xml:space="preserve">NW All ports </t>
  </si>
  <si>
    <t xml:space="preserve">2 major ports, Killybegs and Greencastle with the majority of Demersal landings for this area </t>
  </si>
  <si>
    <t xml:space="preserve">Random weekday </t>
  </si>
  <si>
    <t>Includes sampling  of fish transshipped from other landing areas as vessels are highly mobile</t>
  </si>
  <si>
    <t xml:space="preserve">One major NW port KIllybegs with the majority of landings from the Pelagic fleet  and several minor ports </t>
  </si>
  <si>
    <t>Includes the sampling of foreign vessels if fish is landed and processed localy</t>
  </si>
  <si>
    <t xml:space="preserve">minor ports with landings from inshore vessels tagetting Crab and Lobster  </t>
  </si>
  <si>
    <t xml:space="preserve">Random monthly  </t>
  </si>
  <si>
    <t xml:space="preserve">Sampled in some ports but  mainly in processors which receive landings from numerous ports, able to trace back to port/vessel  level  </t>
  </si>
  <si>
    <t xml:space="preserve"> Inshore vessels tagetting Whelks  </t>
  </si>
  <si>
    <t xml:space="preserve">Sampled mainly in a central processor which receives landings from numerous ports, able to trace back to port and vessel  level  </t>
  </si>
  <si>
    <t>East Demersal Trawlers</t>
  </si>
  <si>
    <t>Vessels targeting whitefish in the Irish sea</t>
  </si>
  <si>
    <t xml:space="preserve"> Mainly targets Cod and Elasmobranchs . Observer programme is used to collect additional maturity data on Elasmobranchs  </t>
  </si>
  <si>
    <t xml:space="preserve">East Pelagic Trawlers </t>
  </si>
  <si>
    <t xml:space="preserve">Vessels targeting the inshore component of the Celtic sea Herring stock </t>
  </si>
  <si>
    <t>This fishery is part of the greater Celtic sea Herring Stock, targeted by smaller artisnal  vessels and only open for about 8 weeks in the 4th Quarter</t>
  </si>
  <si>
    <t xml:space="preserve">East Nephrops  Trawlers </t>
  </si>
  <si>
    <t xml:space="preserve">Irish Sea Nephrops </t>
  </si>
  <si>
    <t xml:space="preserve">All selectivity methods combined for fisheries in FU 15. </t>
  </si>
  <si>
    <t xml:space="preserve">East Potters  </t>
  </si>
  <si>
    <t xml:space="preserve">Southern Irish Sea whelk fishery </t>
  </si>
  <si>
    <t>targeting Whelk, not an Annex 1 species but  Exceeds &gt;200 tonnes nationally and &gt;10% of EU landings</t>
  </si>
  <si>
    <t xml:space="preserve">East Dredgers </t>
  </si>
  <si>
    <t xml:space="preserve">targeting lobster and Crab </t>
  </si>
  <si>
    <t xml:space="preserve">All Ports </t>
  </si>
  <si>
    <t xml:space="preserve">2 major ports and numerous processors On shore sampling for all demersal  fisheries  </t>
  </si>
  <si>
    <t xml:space="preserve">Random weekly </t>
  </si>
  <si>
    <t>Main sampling are demersal species from the E, also  sample fish which have been transshipped form other Strata as vessels are highly mobile</t>
  </si>
  <si>
    <t>Nephrops landings into all ports</t>
  </si>
  <si>
    <t xml:space="preserve">Samples of catch and discards collected from vessels as part of the self sampling programme and worked up in laboratories  </t>
  </si>
  <si>
    <t>South East Demersal Trawlers</t>
  </si>
  <si>
    <t xml:space="preserve"> vessels targeting whitefish  mainly in the SE region landing in to all ports </t>
  </si>
  <si>
    <t xml:space="preserve">All Demersal Otterboard Trawlers, main fishery targets Whiting and Haddock  </t>
  </si>
  <si>
    <t>South East Demersal Beam Trawlers</t>
  </si>
  <si>
    <t xml:space="preserve"> Beam trawl fleet  located in 1 major port Kilmore Quay where the majority of the landings take place  </t>
  </si>
  <si>
    <t>Select from Random list  for area. Access is restriced to 2 vessels</t>
  </si>
  <si>
    <t xml:space="preserve">All Demersal Beam Trawlers </t>
  </si>
  <si>
    <t>South East Demersal Seiners</t>
  </si>
  <si>
    <t xml:space="preserve">All demersal Seiners targeting whitefish  </t>
  </si>
  <si>
    <t xml:space="preserve">All Demersal Seiners </t>
  </si>
  <si>
    <t>South East Pelagic Trawlers</t>
  </si>
  <si>
    <t xml:space="preserve">Vessels targeting pelagic species fishing in ICES area 7fgh, </t>
  </si>
  <si>
    <t xml:space="preserve">Mainly the Celtic sea Herring fishery </t>
  </si>
  <si>
    <t>South East Gillnetters</t>
  </si>
  <si>
    <t xml:space="preserve">All ports  </t>
  </si>
  <si>
    <t xml:space="preserve">Majority of this fishery takes place in Q1 targeting Cod with other fishing throughout the year on Pollack, Hake  </t>
  </si>
  <si>
    <t>South East Nephrops Trawlers</t>
  </si>
  <si>
    <t xml:space="preserve">Nephrops fishery </t>
  </si>
  <si>
    <t>Nephrops fishery Included all mesh sizes and selectivity methods Smalls and Labadie FU 19, 20-21 and 22</t>
  </si>
  <si>
    <t>South East Dredgers</t>
  </si>
  <si>
    <t xml:space="preserve">One major port Kilmore Quay </t>
  </si>
  <si>
    <t>Scallop fishery</t>
  </si>
  <si>
    <t xml:space="preserve">South East Potters  </t>
  </si>
  <si>
    <t xml:space="preserve">Potting for Crustaceans  </t>
  </si>
  <si>
    <t xml:space="preserve">Sampling for demersal  in ports and in processors </t>
  </si>
  <si>
    <t xml:space="preserve">Includes fish transshipped from other areas in to processors </t>
  </si>
  <si>
    <t xml:space="preserve">Sampling for Pelagic species in ports and processors  </t>
  </si>
  <si>
    <t xml:space="preserve">All pelagic sampling, mainly the Celtic sea herring fishery but  including that from IRL E 2- Sentinel Herring fishery and other transshipped fish </t>
  </si>
  <si>
    <t>All Nephrops Sampling</t>
  </si>
  <si>
    <t xml:space="preserve">Samples of catch and discards collected from vessels self sampling programme  and worked up in laboratories  </t>
  </si>
  <si>
    <t xml:space="preserve">All  shore based  sampling for other Molluscs and crustaceans  </t>
  </si>
  <si>
    <t xml:space="preserve">Sampling of Whelks, Razor Clams, Cockles Crab and Lobster ashore from both this area and those trans shipped from other areas mainly IRL E </t>
  </si>
  <si>
    <t xml:space="preserve">West South West Demersal Trawlers </t>
  </si>
  <si>
    <t xml:space="preserve">Trawlers targeting mainly gadoids </t>
  </si>
  <si>
    <t>Generally an inshore fishery mainly targettting Gadoids</t>
  </si>
  <si>
    <t xml:space="preserve">Trawlers targeting mainly Hake Monkfish and Megrim  </t>
  </si>
  <si>
    <t xml:space="preserve">Fishery on the 200m line off the west coast </t>
  </si>
  <si>
    <t xml:space="preserve">West South West Demersal Seiners </t>
  </si>
  <si>
    <t xml:space="preserve">Seiners fishing on SW coast, </t>
  </si>
  <si>
    <t xml:space="preserve">Mobile fishery and also fish in SE region  </t>
  </si>
  <si>
    <t>West South West Demersal Gillnetters</t>
  </si>
  <si>
    <t xml:space="preserve">Gillnetters mainly off the SW coast </t>
  </si>
  <si>
    <t xml:space="preserve">Off shore fishery targeting hake and Pollack </t>
  </si>
  <si>
    <t xml:space="preserve">West South West Tuna </t>
  </si>
  <si>
    <t>All Albacore Tuna fisheries in all ICES areas</t>
  </si>
  <si>
    <t xml:space="preserve">Highly mobile fishery and the areas change from year to year depending on environmental conditions </t>
  </si>
  <si>
    <t xml:space="preserve">West South West Pelagic Fisheries  </t>
  </si>
  <si>
    <t xml:space="preserve">Vessels targeting pelagic species fishing in ICES area 7bcjk  </t>
  </si>
  <si>
    <t xml:space="preserve">Mainly  RSW trawlers, generally targeting single species in quite distinct time frames. </t>
  </si>
  <si>
    <t xml:space="preserve">West South West Nephrops  Fisheries  </t>
  </si>
  <si>
    <t xml:space="preserve">Nephrops fishery Included all mesh sizes and selectivity methods Back of the Aran Islands, Porcupine and Jones Bank  FU 17, 16 and part of 19 </t>
  </si>
  <si>
    <t xml:space="preserve">West South West Potters   </t>
  </si>
  <si>
    <t xml:space="preserve">Mainly lobster brown and spider crab but also included some species not on the Annex 1 list  Necora puber Palinurus elephas Carcinus maenas and Palaemon serratus </t>
  </si>
  <si>
    <t xml:space="preserve">Sampling for demersal species in ports and in processors  </t>
  </si>
  <si>
    <t xml:space="preserve">Includes fish transshipped from other areas into processors. Some sampling of foreign landings in Castletownbere if first point of sale is in MS </t>
  </si>
  <si>
    <t xml:space="preserve">All pelagic sampling across all pelagic species commercially caught </t>
  </si>
  <si>
    <t xml:space="preserve">Samples of catch and discards collected from vessels involved self sampling programme  and worked up in laboratories  </t>
  </si>
  <si>
    <t xml:space="preserve">Mainly Brown crab and Lobster </t>
  </si>
  <si>
    <t xml:space="preserve">North East Pelagic Trawlers  </t>
  </si>
  <si>
    <t>Pelagic fisheries in ICESs  Area  IV and VIId</t>
  </si>
  <si>
    <t>Mainly the mackerel fishery and not targetted by the whole fleet, can be difficult to access as vessels are highly mobile and  landings are often into foreign ports</t>
  </si>
  <si>
    <t xml:space="preserve">Pelagic species mainly herring and mackerel, also sampling of foreign landings  </t>
  </si>
  <si>
    <t>Mainly the mackerel fishery and the Atlanto Scando Herring fishery   and not targetted by the whole fleet, can be difficult to access and landings are often into foreign ports</t>
  </si>
  <si>
    <t xml:space="preserve">Pelagic species </t>
  </si>
  <si>
    <t>North Western waters (ICES areas Vb (only Union waters), VI and VII) and North Sea (ICES areas IIIa and IV), Eastern Arctic (ICES areas I and II)</t>
  </si>
  <si>
    <t>IVa, VIa</t>
  </si>
  <si>
    <t>All ports - Pelagic landings</t>
  </si>
  <si>
    <t>Combined two fishing grounds as all landings from these areas are into this group of ports.</t>
  </si>
  <si>
    <t>IV VIId</t>
  </si>
  <si>
    <t>All ports - Inshore shellfish landings</t>
  </si>
  <si>
    <t>All ports - Demersal landings</t>
  </si>
  <si>
    <t>All ports - Nephrops landings</t>
  </si>
  <si>
    <t>VIIbcjk</t>
  </si>
  <si>
    <t>VIIfgh</t>
  </si>
  <si>
    <t>XII</t>
  </si>
  <si>
    <t>* The only way for this table to make sense is to split it by sampling programme (demersal, pelagic etc); otherwise the table would be dominated by the pelagic landings.</t>
  </si>
  <si>
    <t>** Note that there will be duplicate values here: many ports receive landings from multiple fishing grounds and multiple species groups</t>
  </si>
  <si>
    <t>*** rows with less than 10 landings were omitted</t>
  </si>
  <si>
    <t>**** rows with less than 50 tonnes were omitted</t>
  </si>
  <si>
    <t>Landing locations(s) *</t>
  </si>
  <si>
    <t>Average number of locations **</t>
  </si>
  <si>
    <t>Average number of registered landings ***</t>
  </si>
  <si>
    <t>Average landed tonnage ****</t>
  </si>
  <si>
    <t>IRL -SCO</t>
  </si>
  <si>
    <t>leonie.odowd@marine.ie ; m.bell@marlab.ac.uk</t>
  </si>
  <si>
    <t xml:space="preserve"> Vessels fishing on the Irish register, which operate and / or land into Scotland for first point of sale will be sampled as part of the 2014-2016  Annual Work Plans under the requirements of the EC Data Collection Framework (199/2008).  The eventual additional sampling costs will be covered within the Scottish National Sampling Programme from 2014-2016</t>
  </si>
  <si>
    <t xml:space="preserve">The sampling will be for length maturity and age of Demersal and Pelagic landings, sampling will be carried out in accordance with the Scottish National Sampling Programmes. </t>
  </si>
  <si>
    <t>Scotland will send this sampling data to Ireland for inclusion with the Irish assessment working group data sets.  Ireland will then be responsible for submitting the data to the relevant ICES Expert Groups, and to the EC under the requirements of its Data Collection Framework. Scotland will provide the required data for the species that are requested by the relevant ICES Expert Groups, and the data for the additional species to Ireland as and when requested.</t>
  </si>
  <si>
    <t xml:space="preserve">N/A as samplng is on shore </t>
  </si>
  <si>
    <t xml:space="preserve">This agreement commences on January 1, 2014, it ends on December 31, 2016.   </t>
  </si>
  <si>
    <r>
      <t xml:space="preserve">Landings of Scottish vessels into Ireland and of Irish landings into Scotland may change over the period of this bi lateral agreement and will need to be      monitored on an on - going basis.  </t>
    </r>
    <r>
      <rPr>
        <sz val="10"/>
        <rFont val="Arial"/>
        <family val="2"/>
      </rPr>
      <t xml:space="preserve"> AT THE RCMNA 2016 IT WAS AGREED THAT THE EXISTING BI/MULTILATERAL AGREEMENTS WOULD STAND UNTIL THE AGREEMENT OF REGIONAL SAMPLING PLANS</t>
    </r>
  </si>
  <si>
    <t>This approach was recommended by the RCM - NA in their 2016 report.  RCM NA 11: Maintenance of existing bilateral agreements: "RCM NA recommends that, where required, formal bilateral agreements set up for the period from 2014-2016 are carried forward until regional sampling plans are agreed".</t>
  </si>
  <si>
    <t>Fishing vessels on the UK- Scotland register, which operate and / or land for first sale into Ireland, will be sampled by Ireland as part of the 2014-2016 Annual Work Plans under the requirements of the EC Data Collection Framework (199/2008). The eventual additional sampling costs will be covered within the Irish National Sampling Programme from 2014-2016.</t>
  </si>
  <si>
    <t>The samples will be processed and age, sex, length, maturity information recorded.</t>
  </si>
  <si>
    <t xml:space="preserve"> These data will be sent to the Scottish scientist with responsibility for submitting Scottish data to the ICES WGWIDE. Scotland is responsible for submitting the data to the relevant ICES Expert Groups, and to the EC under the requirements of its Data Collection Framework. </t>
  </si>
  <si>
    <t>Landings of Scottish vessels into Ireland and of Irish landings into Scotland may change over the period of this bi lateral agreement and will need to be monitored on an on - going basis. AT THE RCMNA 2016 IT WAS AGREED THAT THE EXISTING BI/MULTILATERAL AGREEMENTS WOULD STAND UNTIL THE AGREEMENT OF REGIONAL SAMPLING PLANS</t>
  </si>
  <si>
    <t xml:space="preserve">IRL -DK </t>
  </si>
  <si>
    <t xml:space="preserve">leonie.odowd@marine.ie; ;Jørgen Dalskov &lt;jd@aqua.dtu.dk&gt; </t>
  </si>
  <si>
    <t>Five Vessels fishing on the Danish register, which operate and / or land for first sale into Ireland, will be sampled as part of the 2014-2016 National Programme under the requirements of the EC Data Collection Framework (199/2008). The eventual additional sampling costs will be covered within the Irish National Sampling Programme from 2014- 2016</t>
  </si>
  <si>
    <t>The sampling will be for length maturity and age of Blue whiting landings, sampling will be carried out in accordance with the Irish National Sampling Programme.</t>
  </si>
  <si>
    <t>The samples will be processed and age, sex, length, maturity information recorded. These data will be sent to the Danish scientist with responsibility for submitting Danish data to the ICES WGWIDE.</t>
  </si>
  <si>
    <t xml:space="preserve"> AT THE RCMNA 2016 IT WAS AGREED THAT THE EXISTING BI/MULTILATERAL AGREEMENTS WOULD STAND UNTIL THE AGREEMENT OF REGIONAL SAMPLING PLANS</t>
  </si>
  <si>
    <t>IRL-FRA</t>
  </si>
  <si>
    <t>Leonie O'Dowd  National Correspondant                            Marie-Bénédicte PEYRAT National Correspondant</t>
  </si>
  <si>
    <t>Fifty four vessels fishing on the French register, which operate and / or land into Ireland and transported for first point of sale to France, will be sampled as part of the 2014-2016 National Programme under the requirements of the EC Data Collection Framework (199/2008). The eventual additional sampling costs will be covered within the French National Sampling Programme from 2014-16</t>
  </si>
  <si>
    <t>The sampling will be for length maturity and age of Hake, Monkfish and Megrim landings, sampling will be carried out in accordance with the French National Sampling Programme.</t>
  </si>
  <si>
    <t>France is responsible for submitting the data to the relevant ICES Expert Groups, and to the EC under the requirements of its Data Collection Framework. France will provide the required data for the species that are requested by the relevant ICES Expert Groups, and the data for the additional species to Ireland as and when requested.</t>
  </si>
  <si>
    <t xml:space="preserve">This agreement commences on September 9, 2014, it ends on December 31, 2016. </t>
  </si>
  <si>
    <t>  In addition, four pelagic vessels fishing on the Irish register which operate and / or land for first sale into France, on an opportunistic basis, will be sampled as part of the 2014-2016 National Programme under the requirements of the EC Data Collection Framework (199/2008). The eventual additional sampling costs will be covered within the Irish National Sampling Programme from 2014-16.</t>
  </si>
  <si>
    <t xml:space="preserve">The sampling will be for length maturity and age of mackerel, horse mackerel and herring landings, sampling will be carried out in accordance with the Irish National Sampling Programme. Also Ten samples of herring, mackerel, horse mackerel and/or albacore tuna will be sampled annually by a contractor based in Douarnenez, France.  This contractor will collect and primary-process the samples and send the data to the Irish Marine Institute where they will be aged. The data will be submitted by the relevant Irish scientist to WGWIDE, HAWG and/or ICCAT. </t>
  </si>
  <si>
    <t>Ireland is responsible for submitting the data to the relevant ICES Expert Groups, and to the EC under the requirements of its Data Collection Framework. Ireland will provide the required data for the species that are requested by the relevant ICES Expert Groups, and the data for the additional species to France as and when requested.</t>
  </si>
  <si>
    <t>IRL-DK</t>
  </si>
  <si>
    <t>Vessels fishing on the Danish register, which operate and / or land for first sale into Ireland, will be sampled as part of the 2017-2019 National Programme under the requirements of the EC Data Collection Framework (199/2008). The eventual additional sampling costs will be covered within the Irish National Sampling Programme from 2017-2019</t>
  </si>
  <si>
    <t>The sampling will be for length, weight and age  of mackerel and Horse mackerel landings, sampling will be carried out in accordance with the Irish National Sampling Programme.</t>
  </si>
  <si>
    <t xml:space="preserve">This agreement commences on January 1, 2017, it ends on December 31, 2017.   </t>
  </si>
  <si>
    <t xml:space="preserve">Currently in discussion on bilateral agreement on boarfish sampling, updated bilateral will be uploaded when finalised. </t>
  </si>
  <si>
    <t>National Coded Wire Tagging programme</t>
  </si>
  <si>
    <t xml:space="preserve">Demersal Trawlers and or Seiners </t>
  </si>
  <si>
    <t>Bottom trawl mixed fishery Demersal Species</t>
  </si>
  <si>
    <t>Both 6a and 6b</t>
  </si>
  <si>
    <t>Pelagic Trawlers</t>
  </si>
  <si>
    <t xml:space="preserve">Small Pelagic Fish </t>
  </si>
  <si>
    <t xml:space="preserve">All SPF from all metiers in IRL NW2 Herring Mackerel, Horse mackerel, Blue Whiting and Sprat </t>
  </si>
  <si>
    <t>Dredgers</t>
  </si>
  <si>
    <t>Whelk fishery</t>
  </si>
  <si>
    <t>Vessels using hooks</t>
  </si>
  <si>
    <t>Hooks and lines, mainly pelagic sampled as part of IRL NW 2</t>
  </si>
  <si>
    <t xml:space="preserve">Drift and or fixed netters </t>
  </si>
  <si>
    <t xml:space="preserve">Demersal </t>
  </si>
  <si>
    <t xml:space="preserve">This fleet will also have the enhanced observer programme for incidental by catch  under the biodiversity scheme </t>
  </si>
  <si>
    <t>Pots and or traps</t>
  </si>
  <si>
    <t xml:space="preserve">Crustaceans </t>
  </si>
  <si>
    <t>all vessels targetting Crab and Lobster IRL NW3</t>
  </si>
  <si>
    <t>Beam Trawlers</t>
  </si>
  <si>
    <t xml:space="preserve">Bottom trawl mixed fishery Demersal Species and Nephrops </t>
  </si>
  <si>
    <t xml:space="preserve">Inshore sentinel vessel fishery </t>
  </si>
  <si>
    <t xml:space="preserve">Irish sea Scallop and razor clam fisheries </t>
  </si>
  <si>
    <t xml:space="preserve">Mainly spring Cod fishery </t>
  </si>
  <si>
    <t>Mainly Brown crab and Lobster</t>
  </si>
  <si>
    <t xml:space="preserve">No sea going programme but will be sampled ashore </t>
  </si>
  <si>
    <t>Transboundary fishery with 7fgh</t>
  </si>
  <si>
    <t>Small Pelagic Fish and Large Pelagic fish</t>
  </si>
  <si>
    <t xml:space="preserve">All SPF: Herring, Mackerel, Horse mackerel, Blue Whiting Boarfish  and Sprat </t>
  </si>
  <si>
    <t xml:space="preserve">local fishery ror scallops in discreet grounds </t>
  </si>
  <si>
    <t xml:space="preserve">Transboundary fishery with 7bcjk, but most of the effort here </t>
  </si>
  <si>
    <t>I II</t>
  </si>
  <si>
    <t xml:space="preserve">* Vesselsl will operate in multiple sub areas and fishing grounds, therefore sum of average number of vessels will be greater than the total number of vessels in MS </t>
  </si>
  <si>
    <t>DCF National co-ordination Meeting</t>
  </si>
  <si>
    <t>DCF NC Meet</t>
  </si>
  <si>
    <t>National Correspondents Meeting</t>
  </si>
  <si>
    <t>LM</t>
  </si>
  <si>
    <t xml:space="preserve">Expert group on data collection </t>
  </si>
  <si>
    <t>PGDATA</t>
  </si>
  <si>
    <t xml:space="preserve">ICES Planning Group on Data Needs for Assessments and Advice </t>
  </si>
  <si>
    <t>PGECON</t>
  </si>
  <si>
    <t>Planning Group on Economic Issues</t>
  </si>
  <si>
    <t>WGCHAIRS</t>
  </si>
  <si>
    <t xml:space="preserve">Annual Meeting of Advisory Working Group Chairs </t>
  </si>
  <si>
    <t>DIG</t>
  </si>
  <si>
    <t>Data and Information Group</t>
  </si>
  <si>
    <t>WGBIODIV</t>
  </si>
  <si>
    <t xml:space="preserve">Working Group on Biodiversity Science </t>
  </si>
  <si>
    <t>WGBIOP</t>
  </si>
  <si>
    <t xml:space="preserve">ICES Working Group on Biological Parameters </t>
  </si>
  <si>
    <t>WGBYC</t>
  </si>
  <si>
    <t xml:space="preserve">Working Group on Bycatch of Protected Species Fishing Behaviour </t>
  </si>
  <si>
    <t>WGCATCH</t>
  </si>
  <si>
    <t xml:space="preserve">ICES Working Group on Commercial Catches Sampling </t>
  </si>
  <si>
    <t>IBTSWG</t>
  </si>
  <si>
    <t xml:space="preserve">International Bottom Trawl Survey Working Group </t>
  </si>
  <si>
    <t>WGBEAM</t>
  </si>
  <si>
    <t xml:space="preserve">Working Group on Beam Trawl Surveys </t>
  </si>
  <si>
    <t>WGFTFB</t>
  </si>
  <si>
    <t xml:space="preserve">ICES-FAO Working Group on Fishing Technology and Fish Behaviour </t>
  </si>
  <si>
    <t>WGIPS</t>
  </si>
  <si>
    <t xml:space="preserve">Working Group of International Pelagic Surveys </t>
  </si>
  <si>
    <t>WGISUR</t>
  </si>
  <si>
    <t xml:space="preserve">Working Group on Integrating Surveys for the Ecosystem Approach </t>
  </si>
  <si>
    <t>WGMEGS</t>
  </si>
  <si>
    <t xml:space="preserve">Working Group on Mackerel and Horse Mackerel Egg Surveys </t>
  </si>
  <si>
    <t>WGNEPS</t>
  </si>
  <si>
    <t xml:space="preserve">Working Group  on Nephrops Surveys </t>
  </si>
  <si>
    <t>WGRFS</t>
  </si>
  <si>
    <t xml:space="preserve">ICES Working Group on Recreational Fisheries Surveys </t>
  </si>
  <si>
    <t>HAWG</t>
  </si>
  <si>
    <t xml:space="preserve">Herring Assessment Working Group for the Area South of 62⁰N </t>
  </si>
  <si>
    <t>WGBIE</t>
  </si>
  <si>
    <t xml:space="preserve">Working Group on the Assessment of Bay of Biscay and Iberian Ecosystem </t>
  </si>
  <si>
    <t>WGCRAB</t>
  </si>
  <si>
    <t>Working Group on the Biology and. Life History of Crabs</t>
  </si>
  <si>
    <t>WGCSE</t>
  </si>
  <si>
    <t xml:space="preserve">Working Group on the Assessment of Celtic Seas Stocks </t>
  </si>
  <si>
    <t>WGDEEP</t>
  </si>
  <si>
    <t>Working Group on the Biology and Assessment of Deep-sea Fisheries Resources</t>
  </si>
  <si>
    <t>WGECO</t>
  </si>
  <si>
    <t xml:space="preserve">Working Group on the Ecosystem Effects of Fishing Activities </t>
  </si>
  <si>
    <t>WGEEL</t>
  </si>
  <si>
    <t>Joint EIFAC/ICES Working Group on Eels</t>
  </si>
  <si>
    <t>WGEF</t>
  </si>
  <si>
    <t>Working Group on Elasmobranch Fishes</t>
  </si>
  <si>
    <t>WGFAST</t>
  </si>
  <si>
    <t xml:space="preserve">Working Group on Fisheries Acoustics Science and Technology </t>
  </si>
  <si>
    <t>WGHANSA</t>
  </si>
  <si>
    <t>Working Group on Southern Horse Mackerel Anchovy and Sardine</t>
  </si>
  <si>
    <t>WGISDAA</t>
  </si>
  <si>
    <t xml:space="preserve">Working Group on Improving use of Survey Data for Assessment and Advice </t>
  </si>
  <si>
    <t>WGNAS</t>
  </si>
  <si>
    <t xml:space="preserve">Working Group on North Atlantic Salmon </t>
  </si>
  <si>
    <t>WGSAM</t>
  </si>
  <si>
    <t>Working Group on Multispecies Assessment Methods</t>
  </si>
  <si>
    <t>WGSCALLOP</t>
  </si>
  <si>
    <t xml:space="preserve">Scallop Assessment Working Group </t>
  </si>
  <si>
    <t>WGWIDE</t>
  </si>
  <si>
    <t xml:space="preserve">Working Group on Widely Distributed Stocks </t>
  </si>
  <si>
    <t>WGDEC</t>
  </si>
  <si>
    <t>Working Group on Deep-water Ecology</t>
  </si>
  <si>
    <t>WGHIST</t>
  </si>
  <si>
    <t>Working Group on the History of Fish and Fisheries</t>
  </si>
  <si>
    <t>WGMHM</t>
  </si>
  <si>
    <t>Working Group on Marine Habitat Mapping</t>
  </si>
  <si>
    <t>WGMIXFISH-Advice</t>
  </si>
  <si>
    <t>Working Group on Mixed Fisheries Advice</t>
  </si>
  <si>
    <t>WGMIXFISH-METH</t>
  </si>
  <si>
    <t xml:space="preserve">Working Group on Mixed Fisheries Advice  - Methodology </t>
  </si>
  <si>
    <t>WGMME</t>
  </si>
  <si>
    <t xml:space="preserve">Working Group on Marine Mammal Ecology </t>
  </si>
  <si>
    <t>WGSFD</t>
  </si>
  <si>
    <t>Working Group on Spatial Fisheries Data</t>
  </si>
  <si>
    <t>WGTC</t>
  </si>
  <si>
    <t xml:space="preserve">Working Group on Target Classification </t>
  </si>
  <si>
    <t>WKARBLUE2</t>
  </si>
  <si>
    <t>Workshop on Age estimation of Blue Whiting (Micromesistius poutassou) ​</t>
  </si>
  <si>
    <t>WKARMAC2</t>
  </si>
  <si>
    <t>Workshop on Age estimation of Mackerel (Scomber scombrus)</t>
  </si>
  <si>
    <t>WKARNSSH</t>
  </si>
  <si>
    <t>Workshop on Age estimation of Norwegian Spring Spawning Herring (Clupea harengus)</t>
  </si>
  <si>
    <t>WKLIFE</t>
  </si>
  <si>
    <t>Workshop on the Development of Assessments based on LIFE history traits and Exploitation Characteristics</t>
  </si>
  <si>
    <t>WKMSHS2</t>
  </si>
  <si>
    <t>Workshop on Sexual Maturity Staging of Herring (Clupea harengus) and Sprat (Sprattus sprattus)</t>
  </si>
  <si>
    <t>WKPELA</t>
  </si>
  <si>
    <t>Benchmark Workshop on Pelagic Stocks</t>
  </si>
  <si>
    <t>WKWIDE</t>
  </si>
  <si>
    <t>Benchmark Workshop on Widely Distributed Stocks</t>
  </si>
  <si>
    <t>Coastal states Blue Whiting</t>
  </si>
  <si>
    <t>NEAFC</t>
  </si>
  <si>
    <t xml:space="preserve">Coastal states mackerel meeting </t>
  </si>
  <si>
    <t xml:space="preserve">Atlantic Albacore stock assessment session </t>
  </si>
  <si>
    <t>Sharks species group intersessional meeting</t>
  </si>
  <si>
    <t>Bluefin species group intersessional meeting</t>
  </si>
  <si>
    <t>Meeting of the Standing Committee on Research and statistics</t>
  </si>
  <si>
    <t>18-&lt; 24 m</t>
  </si>
  <si>
    <t>TBB_DEF_70-99_0_0; TBB_DEF_100-119_0_0</t>
  </si>
  <si>
    <t>Vessel register</t>
  </si>
  <si>
    <t>24-&lt; 40 m</t>
  </si>
  <si>
    <t>Demersal trawlers and/or demersal seiners</t>
  </si>
  <si>
    <t>0-&lt;10 m</t>
  </si>
  <si>
    <t>OTB_CRU_70-99_0_0;  OTB_DEF_70-99_0_0;  OTB_DEF_100-119_0_0</t>
  </si>
  <si>
    <t>10-&lt;12 m</t>
  </si>
  <si>
    <t>OTB_DEF_70-99_0_0; OTB_CRU_70-99_0_0;   OTB_DEF_100-119_0_0; OTB_CRU_100-119_0_0</t>
  </si>
  <si>
    <t>12-&lt;18 m</t>
  </si>
  <si>
    <t>OTB_CRU_70-99_0_0;  OTB_DEF_70-99_0_0;  OTB_DEF_100-119_0_0;  SSC_DEF_100-119_0_0;  OTB_CRU_100-119_0_0;  OTB_DEF_&gt;=120_0_0</t>
  </si>
  <si>
    <t>18-&lt;24 m</t>
  </si>
  <si>
    <t>OTB_DEF_100-119_0_0;  OTB_CRU_70-99_0_0;  OTB_DEF_70-99_0_0;  SSC_DEF_100-119_0_0;  OTB_DEF_&lt;16_0_0;  OTB_CRU_100-119_0_0</t>
  </si>
  <si>
    <t>24-&lt;40 m</t>
  </si>
  <si>
    <t>OTB_DEF_100-119_0_0;  OTB_CRU_70-99_0_0;  OTB_DEF_70-99_0_0;  SSC_DEF_100-119_0_0</t>
  </si>
  <si>
    <t>10-&lt; 12 m</t>
  </si>
  <si>
    <t>PTM_SPF_16-31_0_0;  PTM_SPF_32-69_0_0</t>
  </si>
  <si>
    <t>12-&lt; 18 m</t>
  </si>
  <si>
    <t>PTM_SPF_32-69_0_0; PTM_SPF_100-119_0_0</t>
  </si>
  <si>
    <t>Pelagic trawlers</t>
  </si>
  <si>
    <t>PTM_SPF_16-31_0_0;  PTM_SPF_32-69_0_0;  PTM_SPF_100-119_0_0</t>
  </si>
  <si>
    <t>40 m or larger</t>
  </si>
  <si>
    <t>PTM_SPF_32-69_0_0; PTM_SPF_100-119_0_0;  PTM_LPF_&gt;=120_0_0</t>
  </si>
  <si>
    <t>0-&lt; 10 m</t>
  </si>
  <si>
    <t>GNS_DEF_120-219_0_0;  GNS_DEF_&gt;=220_0_0</t>
  </si>
  <si>
    <t>GNS_DEF_120-219_0_0;  GNS_DEF_&gt;=220_0_0;  GNS_CRU_&gt;=220_0_0;  GTR_DEF_&gt;=220_0_0;  GNS_CRU_120-219_0_0</t>
  </si>
  <si>
    <t>GNS_DEF_120-219_0_0;  GNS_DEF_&gt;=220_0_0;  GNS_CRU_&gt;=220_0_0;  GTR_DEF_&gt;=220_0_0;  GNS_CRU_120-219_0_0; GNS_DEF_10-30_0_0;  GTR_DEF_&gt;=220_0_0</t>
  </si>
  <si>
    <t>DRB_MOL_0_0</t>
  </si>
  <si>
    <t>Vessels using Pots and/or traps</t>
  </si>
  <si>
    <t>FPO_CRU_0-0_0_0</t>
  </si>
  <si>
    <t>FPO_CRU_0-0_0_0;  FPO_MOL_0-0_0_0</t>
  </si>
  <si>
    <t>LHP_SPF_0_0_0</t>
  </si>
  <si>
    <t>Inactive vessels</t>
  </si>
  <si>
    <t>Vessels using active and passive gears*</t>
  </si>
  <si>
    <t>All Métiers</t>
  </si>
  <si>
    <t>Logbook/Register/VMS</t>
  </si>
  <si>
    <t>Sales Notes/Sentinel Vessel Programme</t>
  </si>
  <si>
    <t>Non-Probability Sample Survey</t>
  </si>
  <si>
    <t>Vessels using active and passive gears</t>
  </si>
  <si>
    <t>PTM_SPF_32-69_0_0</t>
  </si>
  <si>
    <t>Landings declaration/Sales notes</t>
  </si>
  <si>
    <t>Extended North - Western waters (ICES area V,VI and VII)</t>
  </si>
  <si>
    <t>North - Western waters (ICES area Vb (only Union waters), VI and VII)</t>
  </si>
  <si>
    <t>North Sea</t>
  </si>
  <si>
    <t>North Sea (ICES Areas IIIa &amp; IV)</t>
  </si>
  <si>
    <t>All</t>
  </si>
  <si>
    <t>Logbook</t>
  </si>
  <si>
    <t>Annual</t>
  </si>
  <si>
    <t>Sales Notes</t>
  </si>
  <si>
    <t>Other Income</t>
  </si>
  <si>
    <t>Questionaire</t>
  </si>
  <si>
    <t xml:space="preserve">Questionaire/Sentinel Logbook </t>
  </si>
  <si>
    <t>Personnel Costs</t>
  </si>
  <si>
    <t>Value of Unpaid Labour</t>
  </si>
  <si>
    <t>Energy Costs</t>
  </si>
  <si>
    <t>Variable Costs</t>
  </si>
  <si>
    <t>Non-variable Costs</t>
  </si>
  <si>
    <t>Operating Subsidies</t>
  </si>
  <si>
    <t>Subsidies on Invesment</t>
  </si>
  <si>
    <t>Consumption of Fixed Capital</t>
  </si>
  <si>
    <t>Value of Physical Capital</t>
  </si>
  <si>
    <t>Value of quota and other fishing rights</t>
  </si>
  <si>
    <t>Engaged Crew</t>
  </si>
  <si>
    <t>Unpaid Labour</t>
  </si>
  <si>
    <t>Energy Consumption</t>
  </si>
  <si>
    <t>Number of Fishing Enterprises</t>
  </si>
  <si>
    <t>Register</t>
  </si>
  <si>
    <t>Employment by Gender</t>
  </si>
  <si>
    <t>FTE by Gender</t>
  </si>
  <si>
    <t>Unpaid Labour by Gender</t>
  </si>
  <si>
    <t>Employment by Age</t>
  </si>
  <si>
    <t>Employment by Education</t>
  </si>
  <si>
    <t>Pilot Study</t>
  </si>
  <si>
    <t>Employment by Nationality</t>
  </si>
  <si>
    <t>FTE National</t>
  </si>
  <si>
    <t>Long/short Debt</t>
  </si>
  <si>
    <t>Total Assets</t>
  </si>
  <si>
    <t>Gross sales per species</t>
  </si>
  <si>
    <t xml:space="preserve">Questionnaires </t>
  </si>
  <si>
    <t>C - Non-Probability Sample</t>
  </si>
  <si>
    <t>Personnel costs</t>
  </si>
  <si>
    <t>Questionnaires</t>
  </si>
  <si>
    <t xml:space="preserve"> Financial accounts</t>
  </si>
  <si>
    <t>Value of unpaid labour</t>
  </si>
  <si>
    <t>Livestock costs</t>
  </si>
  <si>
    <t>Feed costs</t>
  </si>
  <si>
    <t>Repair and maintenance</t>
  </si>
  <si>
    <t>Other operating costs</t>
  </si>
  <si>
    <t>Operating subsidies</t>
  </si>
  <si>
    <t>Inter-Agency</t>
  </si>
  <si>
    <t>Subsidies on investments</t>
  </si>
  <si>
    <t>Consumption of fixed capital</t>
  </si>
  <si>
    <t>Total value of assets</t>
  </si>
  <si>
    <t>Financial income</t>
  </si>
  <si>
    <t xml:space="preserve">Financial expenditures </t>
  </si>
  <si>
    <t>Net investments</t>
  </si>
  <si>
    <t>Debt</t>
  </si>
  <si>
    <t>Livestock used</t>
  </si>
  <si>
    <t>Fish Feed used</t>
  </si>
  <si>
    <t>Weight of sales per species</t>
  </si>
  <si>
    <t>persons employed</t>
  </si>
  <si>
    <t xml:space="preserve">Unpaid labour </t>
  </si>
  <si>
    <t>Number of hours worked by employees and unpaid workers</t>
  </si>
  <si>
    <t>Number of enterprises (by category of employment number</t>
  </si>
  <si>
    <t>Employment by gender</t>
  </si>
  <si>
    <t>FTE by gender</t>
  </si>
  <si>
    <t>Employment by age</t>
  </si>
  <si>
    <t>Employment by education level</t>
  </si>
  <si>
    <t>Employment by nationality</t>
  </si>
  <si>
    <t>Employment by employment status</t>
  </si>
  <si>
    <t>Questionnaire by Census is the primary source and collection scheme for this variable. Other sources used for validation or as a back up.</t>
  </si>
  <si>
    <t>Questionnaire by Non-Probability Sample Survey is the primary source and data collection scheme for this variable. Other sources used for validation or as back up</t>
  </si>
  <si>
    <t>financial accounts / questionnaire</t>
  </si>
  <si>
    <t>Payment for external agency workers (optional)</t>
  </si>
  <si>
    <t xml:space="preserve">Purchase of fish and other raw material for production </t>
  </si>
  <si>
    <t>Financial expenditures</t>
  </si>
  <si>
    <t>Net Investments</t>
  </si>
  <si>
    <t>Number of persons employed</t>
  </si>
  <si>
    <t>Unpaid labour</t>
  </si>
  <si>
    <t>Number of enterprises (1)</t>
  </si>
  <si>
    <t>Biological variables</t>
  </si>
  <si>
    <t>1B/1C/1H</t>
  </si>
  <si>
    <t>n</t>
  </si>
  <si>
    <t>March 31, n+1</t>
  </si>
  <si>
    <r>
      <t xml:space="preserve">Stocks as listed in 1B/1C </t>
    </r>
    <r>
      <rPr>
        <sz val="10"/>
        <color indexed="10"/>
        <rFont val="Arial"/>
        <family val="2"/>
      </rPr>
      <t/>
    </r>
  </si>
  <si>
    <t>1B/1C</t>
  </si>
  <si>
    <t>Nephrops FU VII</t>
  </si>
  <si>
    <t>May 1, n+1</t>
  </si>
  <si>
    <t xml:space="preserve">All elasmobranch data </t>
  </si>
  <si>
    <t xml:space="preserve">  Shellfish  stocks,  length, weight,  sex ratio, sexual maturity  </t>
  </si>
  <si>
    <t>August 31, n+1</t>
  </si>
  <si>
    <t>March 20, n+1</t>
  </si>
  <si>
    <t xml:space="preserve"> Gadus morhua VIIa, VIIe-k, Lepidorhombus whiffiagonis VI, VII, VIIIabd, Melanogrammus aeglefinus VIa, VIIa, VIIe-k; Merlangius merlangius VIa, VIIa, VIIe-k; Merluccius merluccius IIIa, IV, VI, VII, VIIIab; Pleuronectes platessa VIIa, VIIbc VIIfg, VIIh-k; Pollachius pollachius all areas except IX, X; Pollachius virens VII, VIII; Solea solea VIIa, VIIhjk, VIIbc. </t>
  </si>
  <si>
    <t xml:space="preserve">Pelagic stocks, commercial age,length, weight,  sex ratio, sexual maturity </t>
  </si>
  <si>
    <t>February 28, n+1</t>
  </si>
  <si>
    <t>Clupea harengus  VIaN,VIaS, VIIa,VIIj, VIIg</t>
  </si>
  <si>
    <t>May 31 , n+1</t>
  </si>
  <si>
    <t xml:space="preserve"> Micromesistius poutassou I-IX, XII, XIV;</t>
  </si>
  <si>
    <t xml:space="preserve">Pelagic stocks, commercial ,length, weight,  sex ratio, sexual maturity </t>
  </si>
  <si>
    <t>Capros aper VI VII</t>
  </si>
  <si>
    <t>June 7, n+1</t>
  </si>
  <si>
    <t xml:space="preserve"> Trachurus trachurus IIa, IVa, Vb, VIa, VIIa-c, e-k, VIIIabde</t>
  </si>
  <si>
    <t xml:space="preserve">Pelagic stocks, commercial age ,length, weight,  sex ratio, sexual maturity </t>
  </si>
  <si>
    <t>26 June, N+1</t>
  </si>
  <si>
    <t xml:space="preserve"> Scomber scombrus II, IIIa, IV, V, VI, VII, VIII, IX </t>
  </si>
  <si>
    <t xml:space="preserve">Pelagic Stocks  survey age, length, weight,  sex ratio, sexual maturity </t>
  </si>
  <si>
    <t>Clupea harengus  VIaN,VIaS,VIIj,VIIg</t>
  </si>
  <si>
    <t>March 1, n</t>
  </si>
  <si>
    <t xml:space="preserve">Pelagic Stocks  survey, length, weight,  sex ratio, sexual maturity </t>
  </si>
  <si>
    <t>1H</t>
  </si>
  <si>
    <t xml:space="preserve">MEGS  Survey ages </t>
  </si>
  <si>
    <t xml:space="preserve">survey n (+6 months)  </t>
  </si>
  <si>
    <t xml:space="preserve"> Trachurus trachurus , VIa, VIIa-c, e-k, VIIIabde  Scomber scombrus , VI, VII, VIII,</t>
  </si>
  <si>
    <t xml:space="preserve">Incidental Bycatch  </t>
  </si>
  <si>
    <t>1F</t>
  </si>
  <si>
    <t>n-1</t>
  </si>
  <si>
    <t>Jan 31, n+1</t>
  </si>
  <si>
    <t>Egg Production</t>
  </si>
  <si>
    <t xml:space="preserve">MEGS -Egg production  </t>
  </si>
  <si>
    <t>April 30 n+1</t>
  </si>
  <si>
    <t xml:space="preserve">Fecundity </t>
  </si>
  <si>
    <t>MEGS fecundity</t>
  </si>
  <si>
    <t xml:space="preserve">  Scomber scombrus  VI, VII, VIII</t>
  </si>
  <si>
    <t xml:space="preserve">CTD </t>
  </si>
  <si>
    <t xml:space="preserve">MEGS CTD </t>
  </si>
  <si>
    <t>Multi frequency acoustic data</t>
  </si>
  <si>
    <t>Stock abundance -WESPAS CSHAS</t>
  </si>
  <si>
    <t xml:space="preserve">Survey n (+3 months) </t>
  </si>
  <si>
    <t>Spawning/Pre spawning Herring/Boarfish acoustic survey: Clupea harengus  VIaN,VIaS,VIIj  Capros aper VI VII</t>
  </si>
  <si>
    <t xml:space="preserve">Stock abundance </t>
  </si>
  <si>
    <t xml:space="preserve">Nephrops abundance UWTV </t>
  </si>
  <si>
    <t xml:space="preserve">Survey n (+3 months)  </t>
  </si>
  <si>
    <t xml:space="preserve">Nephrops length, weight,  sex ratio, sexual maturity  </t>
  </si>
  <si>
    <t xml:space="preserve">Standardized relative indices of abundance at age for assessment IGFS IAMS </t>
  </si>
  <si>
    <t xml:space="preserve">All species all stocks for which data is collected  </t>
  </si>
  <si>
    <t xml:space="preserve">Standardized relative indices of numbers at length for assessment IGFS IAMS </t>
  </si>
  <si>
    <t xml:space="preserve">Standardized relative indices of total No and total biomass for elasmobranch assessment IGFS IAMS </t>
  </si>
  <si>
    <t>1D</t>
  </si>
  <si>
    <t xml:space="preserve">Recreational fish Salmon </t>
  </si>
  <si>
    <t>April 30 N+1</t>
  </si>
  <si>
    <t xml:space="preserve">Recreational fish - all other relevant species   seabass, eel, cod, elasmobranchs, highly migratory </t>
  </si>
  <si>
    <t>March n+1</t>
  </si>
  <si>
    <t>Annual estimate of catch, annual percentage of released catch, catch composition data from the  Pilot studies</t>
  </si>
  <si>
    <t>1E</t>
  </si>
  <si>
    <t>All data Salmon</t>
  </si>
  <si>
    <t xml:space="preserve">All data Eel </t>
  </si>
  <si>
    <t>2a</t>
  </si>
  <si>
    <t xml:space="preserve">Capacity </t>
  </si>
  <si>
    <t>Feb 28, n+1</t>
  </si>
  <si>
    <t>Variable collected  for all areas</t>
  </si>
  <si>
    <t xml:space="preserve">Feb 28, n+1 </t>
  </si>
  <si>
    <t xml:space="preserve">Draft copy of logbooks database is taken end of February with finalised version available Middle of April  </t>
  </si>
  <si>
    <t>3B</t>
  </si>
  <si>
    <t>2A</t>
  </si>
  <si>
    <t>3C</t>
  </si>
  <si>
    <t>No. of Vessels, Gt, Kw, Vessel age</t>
  </si>
  <si>
    <t>Days at sea, fishing days, Kw*fishing days, Gt*fishing days, no. of trips, no. of fishing operations, no. of nets/length.</t>
  </si>
  <si>
    <t>Days at sea, fishing days, Kw*fishing days, Gt*fishing days, no. of trips, no. of fishing operations, no. of nets/length, no. of hooks/lines, no. of pots/traps.</t>
  </si>
  <si>
    <t>Days at sea, fishing days, Kw*fishing days, Gt*fishing days, no. of trips, no. of fishing operations,  no. of hooks/lines.</t>
  </si>
  <si>
    <t>Days at sea, fishing days, Kw*fishing days, Gt*fishing days, no. of trips, no. of fishing operations, no. of pots/traps.</t>
  </si>
  <si>
    <t>Value of landings (total and per species), live weight of landings (total and per species), prices by commercial species.</t>
  </si>
  <si>
    <t>Demersal trawlers in  IRL NW 1, IRL E 1, IRL SE 1, IRL SE 2, IRL SE 3, IRL SE 5, IRL WSW 1, IRL WSW 2 IRL WSW 3 IRL WSW 4</t>
  </si>
  <si>
    <t xml:space="preserve">SOP on Marine Institute network.  Summaries of all sampling designs will be uploaded to National DCF web site (accessed through http://www.dcmap-ireland.ie/)  </t>
  </si>
  <si>
    <t xml:space="preserve">Held locally on MI networks: Skippers Report documentation/Voice Validation Documentation; will be uploaded to National DCF web site (accessed through http://www.dcmap-ireland.ie/)  </t>
  </si>
  <si>
    <t xml:space="preserve">Discard Data base  </t>
  </si>
  <si>
    <t>RDB</t>
  </si>
  <si>
    <t xml:space="preserve">ICES  Benchmark reports </t>
  </si>
  <si>
    <t xml:space="preserve">Held Locally on MI networks , R scripts and audit trail in discard database; available upon request, summary of procedures will be uploaded to National DCF web site (accessed through http://www.dcmap-ireland.ie/) </t>
  </si>
  <si>
    <t>Pelagic  trawlers in IRL NW 2, IRL E 2, IRL SE 4, IRL WSW 6, IRL NE 1, IRL N1</t>
  </si>
  <si>
    <t xml:space="preserve">Held locally on MI networks: Skippers Reports/Voice Validation Documentation; will be uploaded to National DCF web site (accessed through http://www.dcmap-ireland.ie/)  </t>
  </si>
  <si>
    <t xml:space="preserve"> Pelagic Discard Database  </t>
  </si>
  <si>
    <t xml:space="preserve">Held Locally on MI networks , R scripts and audit trail in discard database; available upon request, summary of procedures will be uploaded to National DCF web site (http://www.dcmap-ireland.ie/) </t>
  </si>
  <si>
    <t>Nephrops Trawlers in IRL E 3 IRL SE 6 IRL WSW 7</t>
  </si>
  <si>
    <t xml:space="preserve">Held locally on MI networks; will be uploaded to National DCF web site (accessed through http://www.dcmap-ireland.ie/)  </t>
  </si>
  <si>
    <t>Nemesys data aquisition and STOCKMAN http://mifeasapp01/stockman2015/Default.aspx</t>
  </si>
  <si>
    <t>ICES Benchmark reports</t>
  </si>
  <si>
    <t>Crustaceans Pots in IRL NW 3, IRL E 6, IRL SE 8, IRL WSW 8</t>
  </si>
  <si>
    <t>None</t>
  </si>
  <si>
    <t>Held locally on MI networks</t>
  </si>
  <si>
    <t>Whelks in IRL E 4</t>
  </si>
  <si>
    <t>Scallops and other bivalves in IRL E 5 IRL SE 7</t>
  </si>
  <si>
    <r>
      <t xml:space="preserve">Demersal, Pelagic, </t>
    </r>
    <r>
      <rPr>
        <sz val="10"/>
        <color indexed="10"/>
        <rFont val="Arial"/>
        <family val="2"/>
      </rPr>
      <t/>
    </r>
  </si>
  <si>
    <t xml:space="preserve">QC checks on ages, LW regressions, L/A checks-automated within the DB,  R scripts; will be uploaded to National DCF web site (accessed through http://www.dcmap-ireland.ie/)  </t>
  </si>
  <si>
    <t>STOCKMAN data base  http://mifeasapp01/stockman2015/Default.aspx</t>
  </si>
  <si>
    <t xml:space="preserve">Held Locally on MI networks , R scripts and audit trail in  database; available upon request, summary of procedures will be uploaded to National DCF web site (accessed through http://www.dcmap-ireland.ie/) </t>
  </si>
  <si>
    <t xml:space="preserve">Recreational Survey </t>
  </si>
  <si>
    <t xml:space="preserve">Salmon- Angling Catch reports Burrishoole </t>
  </si>
  <si>
    <t xml:space="preserve">SOP on  Institute network ; will be uploaded to National DCF web site (accessed through http://www.dcmap-ireland.ie/)  </t>
  </si>
  <si>
    <t xml:space="preserve">Excel DB </t>
  </si>
  <si>
    <t xml:space="preserve">SOP on  Institute network </t>
  </si>
  <si>
    <t xml:space="preserve">Held Locally on MI networks; summaries will be uploaded to National DCF web site (accessed through http://www.dcmap-ireland.ie/)  </t>
  </si>
  <si>
    <t>Biological sampling Salmon</t>
  </si>
  <si>
    <t xml:space="preserve">Salmon- Electrofishing ( Burrishoole)  </t>
  </si>
  <si>
    <t xml:space="preserve"> Excel DB-Juveniles 1991- to date with catchability</t>
  </si>
  <si>
    <t xml:space="preserve">Held Locally on MI networks; summaries will be uploaded to National DCF web site (accessed through http://www.miextranet.ie/fss/sites/DCMAP/Pages/default.aspx)  </t>
  </si>
  <si>
    <t>Biological sampling/Recreational catches Salmon</t>
  </si>
  <si>
    <t>Salmon- National Coded Wire Tagging programme</t>
  </si>
  <si>
    <t>Access DB-MicroTag Data Management System</t>
  </si>
  <si>
    <t xml:space="preserve">ICES WG have a tagging archive </t>
  </si>
  <si>
    <t>Biological sampling Salmon/Eel</t>
  </si>
  <si>
    <t>Salmon/Eel- Counters &amp; traps</t>
  </si>
  <si>
    <t xml:space="preserve">Excel- Burishoole Traps Data,  Excel -Liffey counts </t>
  </si>
  <si>
    <t>Biological sampling Eel</t>
  </si>
  <si>
    <t>Eel-Electro fishing surveys</t>
  </si>
  <si>
    <t>Excel- DB</t>
  </si>
  <si>
    <t>Eel-Fyke net surveys</t>
  </si>
  <si>
    <t xml:space="preserve">Salmon- Counters &amp; Restocking (annual) </t>
  </si>
  <si>
    <t>SOP on  ESB network. Summaries of all sampling designs are also included in the National NSSC Salmon Annual Report &amp; ESB Fisheries Annual report</t>
  </si>
  <si>
    <t xml:space="preserve">SOP on ESB network ; summaries will be uploaded to National DCF web site (accessed through http://www.dcmap-ireland.ie/)  </t>
  </si>
  <si>
    <t xml:space="preserve">Excel- Lee, Shannon and Erne  Trap &amp; Fish Counter Data. Excel -  Lee, Shannon and Erne e-fishing surevy and hatchery restocking data </t>
  </si>
  <si>
    <t xml:space="preserve">SOP on  ESB network </t>
  </si>
  <si>
    <t xml:space="preserve">Held Locally on ESB networks; summaries will be uploaded to National DCF web site (accessed through http://www.dcmap-ireland.ie/)  </t>
  </si>
  <si>
    <t>European Eel</t>
  </si>
  <si>
    <t xml:space="preserve">European Eel (annual) </t>
  </si>
  <si>
    <t>SOP on ESB and NUI., Galway networks.  Summaries of all sampling designs are also included in the National NSSC Eel Annual Report &amp; ESB Fisheries Annual report located at https://www.esb.ie/acting-responsibly/fisheries-2/fisheries</t>
  </si>
  <si>
    <t xml:space="preserve">Held locally on ESB/NUI., Galway networks; summaries be uploaded to National DCF web site (accessed through http://www.dcmap-ireland.ie/)  </t>
  </si>
  <si>
    <t xml:space="preserve">Excel- Lee, Shannon and Erne  Trap and Transport; Excel -  Lee Shannon and Erne E-fishing and elver restocking data </t>
  </si>
  <si>
    <t>Held locally on ESB networks</t>
  </si>
  <si>
    <t xml:space="preserve">Salmon </t>
  </si>
  <si>
    <t>Catch estimates on selected rivers, see table 1E for detail on river locations</t>
  </si>
  <si>
    <t xml:space="preserve">Sea Bass </t>
  </si>
  <si>
    <t xml:space="preserve">Historical derogation under Regualtion 199/2008 IRL WP 2011-2013  due to results of  pilot programme presented at STECF EWG 12-02 (low levels of removals and a catch and release fishery) New pilot study proposed </t>
  </si>
  <si>
    <t xml:space="preserve">To be determined </t>
  </si>
  <si>
    <t xml:space="preserve">Pilot Study </t>
  </si>
  <si>
    <t>Eel</t>
  </si>
  <si>
    <t>Historical derogation under Regualtion 199/2008 IRL WP 2011-2013  presented at STECF EWG 12-02  (catch and release fishery with minimal numbers), no recreational fishery- eel protected under byelaw 319,2015</t>
  </si>
  <si>
    <t>Pilot study in the marine only</t>
  </si>
  <si>
    <t>Under bye law 319,2015 it is prohibited  to take/fish or attempt to fish for eel in any district in Ireland. This law also prohibits the sale or attempt to sell ell in any fishery. Marine recreational pilot study will monitor any bycatch</t>
  </si>
  <si>
    <t>Cod</t>
  </si>
  <si>
    <t xml:space="preserve">New sampling requirement:  Pilot study proposed </t>
  </si>
  <si>
    <t>Pollack</t>
  </si>
  <si>
    <t xml:space="preserve">Historical derogation under Regualtion 199/2008 IRL WP 2011-2013  presented at STECF EWG 12-02 ( catch and release fishery) New pilot study proposed </t>
  </si>
  <si>
    <t xml:space="preserve">Higly Migratory Species </t>
  </si>
  <si>
    <r>
      <t xml:space="preserve">See Pilot Study 1 for detail on proposed pilot survey porgramme to be designed  in 2017 for implementation and results in 2018. </t>
    </r>
    <r>
      <rPr>
        <sz val="10"/>
        <rFont val="Arial"/>
        <family val="2"/>
      </rPr>
      <t xml:space="preserve">Updates in the 2019 programme on new timelines and work plan  </t>
    </r>
  </si>
  <si>
    <r>
      <t xml:space="preserve">See Pilot Study 1 for detail on proposed pilot survey porgramme to be designed in in 2017 for implementation and results in 2018 </t>
    </r>
    <r>
      <rPr>
        <sz val="10"/>
        <rFont val="Arial"/>
        <family val="2"/>
      </rPr>
      <t xml:space="preserve">Updates in the 2019 programme on new timelines and work plan  </t>
    </r>
  </si>
  <si>
    <t>No fishery</t>
  </si>
  <si>
    <t xml:space="preserve">Majority landed in foreign ports  </t>
  </si>
  <si>
    <t xml:space="preserve">No sea going programme but sampled ashore </t>
  </si>
  <si>
    <t xml:space="preserve">Landings + Discards </t>
  </si>
  <si>
    <t>I, II</t>
  </si>
  <si>
    <r>
      <rPr>
        <b/>
        <sz val="10"/>
        <rFont val="Arial"/>
        <family val="2"/>
      </rPr>
      <t>DATA SOURCE for COLUMN I:</t>
    </r>
    <r>
      <rPr>
        <sz val="10"/>
        <rFont val="Arial"/>
        <family val="2"/>
      </rPr>
      <t xml:space="preserve"> International landings for 2015 not yet available. Reference years 2012-14 used when calculating %share in EU landings . Data source for % EU TAC is from the MARE FIDES (https://webgate.ec.europa.eu/fides/index.cfm) database (opening quota 2015, so before swaps etc) and % share of the landings is from EUROSTAT (via ICES) for the years 2011-2014 (because 2015 data are still preliminary).</t>
    </r>
  </si>
  <si>
    <t>Brosme brosme</t>
  </si>
  <si>
    <t>I, II,</t>
  </si>
  <si>
    <t>Sum of &lt;10% quota = 19%</t>
  </si>
  <si>
    <t>&lt;200</t>
  </si>
  <si>
    <t>Mallotus villosus</t>
  </si>
  <si>
    <t xml:space="preserve">I-II </t>
  </si>
  <si>
    <t>-</t>
  </si>
  <si>
    <t>Included in the "I-IX, XII, XIV" stock</t>
  </si>
  <si>
    <t>Pandalus borealis</t>
  </si>
  <si>
    <t>Reinhardtius hippoglossoides</t>
  </si>
  <si>
    <t xml:space="preserve">II, </t>
  </si>
  <si>
    <t>Included in the "II, IIIa, IV, V, VI, VII, VIII, IX" stock</t>
  </si>
  <si>
    <t>Sebastes marinus.</t>
  </si>
  <si>
    <t>Sebastes mentella.</t>
  </si>
  <si>
    <t xml:space="preserve">IIa, </t>
  </si>
  <si>
    <t>Included in the "IIa, IVa, Vb, VIa, VIIa-c, e-k, VIIIabde" stock</t>
  </si>
  <si>
    <t>Ammodytidae</t>
  </si>
  <si>
    <t>IV</t>
  </si>
  <si>
    <t>Anarhichas spp.</t>
  </si>
  <si>
    <t>IV, VIId</t>
  </si>
  <si>
    <t>Argentina spp.</t>
  </si>
  <si>
    <t>Crangon crangon</t>
  </si>
  <si>
    <t>Dicentrarchus labrax</t>
  </si>
  <si>
    <t>Eutrigla gurnardus</t>
  </si>
  <si>
    <t>Helicolenus dactylopterus</t>
  </si>
  <si>
    <t>Lepidorhombus boscii</t>
  </si>
  <si>
    <t>Limanda limanda</t>
  </si>
  <si>
    <t>Lophius piscatorius</t>
  </si>
  <si>
    <t>Macrourus berglax</t>
  </si>
  <si>
    <t>IV VII</t>
  </si>
  <si>
    <t>Presumably this should be IV, VId</t>
  </si>
  <si>
    <t>Microstomus kitt</t>
  </si>
  <si>
    <t>Molva dypterygia</t>
  </si>
  <si>
    <t>Molva molva</t>
  </si>
  <si>
    <t>Mullus barbatus</t>
  </si>
  <si>
    <t>Mullus surmuletus</t>
  </si>
  <si>
    <t>all functional units</t>
  </si>
  <si>
    <t>IVa East/IVa/IV</t>
  </si>
  <si>
    <t>VIId</t>
  </si>
  <si>
    <t>Phycis blennoides</t>
  </si>
  <si>
    <t>Phycis phycis</t>
  </si>
  <si>
    <t>Platichthys flesus</t>
  </si>
  <si>
    <t>Psetta maxima</t>
  </si>
  <si>
    <t>Scophthalmus rhombus</t>
  </si>
  <si>
    <t>Sprattus sprattus</t>
  </si>
  <si>
    <t>IV/VIId</t>
  </si>
  <si>
    <t>Trigla lucerna</t>
  </si>
  <si>
    <t>Trisopterus esmarki</t>
  </si>
  <si>
    <t>Zeus faber</t>
  </si>
  <si>
    <t>Selachii, Rajidae</t>
  </si>
  <si>
    <t>Zero quota for all species in those areas</t>
  </si>
  <si>
    <t>Alepocephalus bairdii</t>
  </si>
  <si>
    <t>VI, XII</t>
  </si>
  <si>
    <t>Aequipecten opercularis</t>
  </si>
  <si>
    <t>Aphanopus spp.</t>
  </si>
  <si>
    <t>No landings.</t>
  </si>
  <si>
    <t>Argyrosomus regius</t>
  </si>
  <si>
    <t>Aspitrigla cuculus</t>
  </si>
  <si>
    <t>Beryx spp.</t>
  </si>
  <si>
    <t>all areas, excluding X and IXa</t>
  </si>
  <si>
    <t>Southern Western waters (ICES zones VIII, IX and X (waters around Azores), CECAF areas 34.1.1, 34.1.2 and 34.2.0 (waters around Madeira and the Canary Islands))</t>
  </si>
  <si>
    <t>IXa and X</t>
  </si>
  <si>
    <t>Duplicated stock, See VIaN and VIaS</t>
  </si>
  <si>
    <t>Zero TAC, sample on surveys only until fishery opens again</t>
  </si>
  <si>
    <t>Conger conger</t>
  </si>
  <si>
    <t>all areas, excluding X</t>
  </si>
  <si>
    <t>Coryphaenoides rupestris</t>
  </si>
  <si>
    <t>Dalatias licha</t>
  </si>
  <si>
    <t>All areas</t>
  </si>
  <si>
    <t>Dasyatis pastinaca</t>
  </si>
  <si>
    <t>Deania calcea</t>
  </si>
  <si>
    <t>V, VI, VII, IX, X, XII</t>
  </si>
  <si>
    <t>all areas, excluding IX</t>
  </si>
  <si>
    <t>IX</t>
  </si>
  <si>
    <t>Dicologlossa cuneata</t>
  </si>
  <si>
    <t>VIIIc, IX</t>
  </si>
  <si>
    <t>Engraulis encrasicolus</t>
  </si>
  <si>
    <t>IXa (only Cádiz)</t>
  </si>
  <si>
    <t>VIII</t>
  </si>
  <si>
    <t>Etmopterus spinax</t>
  </si>
  <si>
    <t>VI, VII, VIII</t>
  </si>
  <si>
    <t>VIId,e</t>
  </si>
  <si>
    <t>Va</t>
  </si>
  <si>
    <t>Vb</t>
  </si>
  <si>
    <t>Cod plan</t>
  </si>
  <si>
    <t>Below threshold but will be sampled for stock assessment</t>
  </si>
  <si>
    <t>Below threshold but will sample anyway</t>
  </si>
  <si>
    <t>Hoplostethus atlanticus</t>
  </si>
  <si>
    <t>Zero TAC</t>
  </si>
  <si>
    <t>Lepidopus caudatus</t>
  </si>
  <si>
    <t>IXa</t>
  </si>
  <si>
    <t>VIIIc, IXa</t>
  </si>
  <si>
    <t>VIIe</t>
  </si>
  <si>
    <t>VIIa,f-h</t>
  </si>
  <si>
    <t>landings &lt;200t</t>
  </si>
  <si>
    <t>Loligo vulgaris</t>
  </si>
  <si>
    <t>all areas, excluding VIIIc, IXa</t>
  </si>
  <si>
    <t>Below threshold but will sample anyway. Sum of &lt;10% quota = 23%</t>
  </si>
  <si>
    <t>XIV</t>
  </si>
  <si>
    <t>Landings expected to increase &gt;200t</t>
  </si>
  <si>
    <t>IX, X</t>
  </si>
  <si>
    <t>landings &lt;200t but will sample anyway</t>
  </si>
  <si>
    <t>Below threshold but will sample for stock assessment</t>
  </si>
  <si>
    <t>No landings</t>
  </si>
  <si>
    <t>Microchirus variegatus</t>
  </si>
  <si>
    <t>Molva macrophthalma</t>
  </si>
  <si>
    <t>Sum of &lt;10% quota = 9%</t>
  </si>
  <si>
    <t>Mustelus asterias</t>
  </si>
  <si>
    <t>VI, VII, VIII, IX</t>
  </si>
  <si>
    <t>Mustelus mustelus</t>
  </si>
  <si>
    <t>Mustelus punctulatus</t>
  </si>
  <si>
    <t>VI Fuctional unit</t>
  </si>
  <si>
    <t>Landings &lt;200t</t>
  </si>
  <si>
    <t>VIII, IX Functional unit</t>
  </si>
  <si>
    <t>Octopus vulgaris</t>
  </si>
  <si>
    <t>Pagellus bogaraveo</t>
  </si>
  <si>
    <t>IXa, X</t>
  </si>
  <si>
    <t>Pandalus spp.</t>
  </si>
  <si>
    <t>Parapenaeus longirostris</t>
  </si>
  <si>
    <r>
      <t xml:space="preserve">landings &lt;200t </t>
    </r>
    <r>
      <rPr>
        <sz val="10"/>
        <color indexed="10"/>
        <rFont val="Arial"/>
        <family val="2"/>
      </rPr>
      <t xml:space="preserve">only sampled on survey </t>
    </r>
  </si>
  <si>
    <t>VIII, IX, X</t>
  </si>
  <si>
    <t>15, 8, 1</t>
  </si>
  <si>
    <t>TAC share 15% in VI; 8% in VII and 1% in VIII</t>
  </si>
  <si>
    <t>IV, IIIa, VI</t>
  </si>
  <si>
    <t>Polyprion americanus</t>
  </si>
  <si>
    <t>V, XIV</t>
  </si>
  <si>
    <t>Hippoglossus hippoglossus</t>
  </si>
  <si>
    <t>Sardina pilchardus</t>
  </si>
  <si>
    <t>VIIIabd</t>
  </si>
  <si>
    <t>Scomber colias</t>
  </si>
  <si>
    <t>Sebastes marinus</t>
  </si>
  <si>
    <t>ICES Sub areas V, VI, XII, XIV &amp; NAFO SA 2 + (Div. 1F + 3K).</t>
  </si>
  <si>
    <t>Sebastes mentella</t>
  </si>
  <si>
    <t>ICES Sub areas V, VI, XII, XIV &amp; NAFO SA 2 + (Div. 1F + 3K)</t>
  </si>
  <si>
    <t>Sepia officinalis</t>
  </si>
  <si>
    <t>VIIIc</t>
  </si>
  <si>
    <t>VIIIab</t>
  </si>
  <si>
    <t>Sparidae</t>
  </si>
  <si>
    <t>Trachurus mediterraneus</t>
  </si>
  <si>
    <t>VIII, IX</t>
  </si>
  <si>
    <t>Trachurus picturatus</t>
  </si>
  <si>
    <t>Trisopterus spp.</t>
  </si>
  <si>
    <t>Area mis-specified in table 1A of EUMAP. Stocks for NW waters listed below</t>
  </si>
  <si>
    <t>Not in table 1A of EUMAP. Generic TAC for all rays and skates</t>
  </si>
  <si>
    <t>Leucoraja circularis</t>
  </si>
  <si>
    <t>Leucoraja fullonica</t>
  </si>
  <si>
    <t>Raja microocellata</t>
  </si>
  <si>
    <t>Raja undulata</t>
  </si>
  <si>
    <t>VIIbj</t>
  </si>
  <si>
    <t>Dipturus batis</t>
  </si>
  <si>
    <t>Thunnus albacares</t>
  </si>
  <si>
    <t>Thunnus obesus</t>
  </si>
  <si>
    <t>Katsuwonus pelamis</t>
  </si>
  <si>
    <t>Below threshold but will sample</t>
  </si>
  <si>
    <t>Thunnus thynnus</t>
  </si>
  <si>
    <t>&lt;1</t>
  </si>
  <si>
    <t>Xiphias gladius</t>
  </si>
  <si>
    <t>Makaira nigricans (or mazara)</t>
  </si>
  <si>
    <t>Istiophorus albicans</t>
  </si>
  <si>
    <t>Tetrapturus albidus</t>
  </si>
  <si>
    <t>Prionace glauca</t>
  </si>
  <si>
    <t>Auxis rochei</t>
  </si>
  <si>
    <t>Sarda sarda</t>
  </si>
  <si>
    <t>Euthynnus alleteratus</t>
  </si>
  <si>
    <t>Thunnus atlanticus</t>
  </si>
  <si>
    <t>Orcynopsis unicolor</t>
  </si>
  <si>
    <t>Scomberomorus brasiliensis</t>
  </si>
  <si>
    <t>Scomberomorus regalis</t>
  </si>
  <si>
    <t>Auxis thazard</t>
  </si>
  <si>
    <t>Scomberomorus cavalla</t>
  </si>
  <si>
    <t>Scomberomorus tritor</t>
  </si>
  <si>
    <t>Scomberomorus maculatus</t>
  </si>
  <si>
    <t>Acanthocybium solandri</t>
  </si>
  <si>
    <t>Coryphaena hippurus</t>
  </si>
  <si>
    <r>
      <t xml:space="preserve"> </t>
    </r>
    <r>
      <rPr>
        <b/>
        <sz val="10"/>
        <color indexed="8"/>
        <rFont val="Arial"/>
        <family val="2"/>
      </rPr>
      <t>Scallop</t>
    </r>
    <r>
      <rPr>
        <sz val="10"/>
        <color indexed="8"/>
        <rFont val="Arial"/>
        <family val="2"/>
      </rPr>
      <t xml:space="preserve"> Fishery Annex I EUMAP species. Sub-area VIId only. Commercial fisheries occur throughout area VII.   Also </t>
    </r>
    <r>
      <rPr>
        <b/>
        <sz val="10"/>
        <color indexed="8"/>
        <rFont val="Arial"/>
        <family val="2"/>
      </rPr>
      <t>Ensis spp</t>
    </r>
    <r>
      <rPr>
        <sz val="10"/>
        <color indexed="8"/>
        <rFont val="Arial"/>
        <family val="2"/>
      </rPr>
      <t xml:space="preserve">  
 Landings into Ireland are approximately 1000 tonnes per annum
 Exceeds thresholds: &gt;10% of EU, &gt;200 tonnes nationally.
 Specific management requirements
 High risk of impact on marine habitats 
Some in or in proximity to MPAs (SACs, SPAs)
Risk of impact to food source for birds (Common scoter, Legal framework Directive 2009/147/EC)
</t>
    </r>
    <r>
      <rPr>
        <b/>
        <sz val="10"/>
        <color indexed="8"/>
        <rFont val="Arial"/>
        <family val="2"/>
      </rPr>
      <t>Cerastoderma edule</t>
    </r>
    <r>
      <rPr>
        <sz val="10"/>
        <color indexed="8"/>
        <rFont val="Arial"/>
        <family val="2"/>
      </rPr>
      <t xml:space="preserve">  
 Landings in to Ireland vary from 0-800 tonnes
 Exceeds &gt;200 tonnes nationally but &lt;10% of EU landings
 Specific management requirements
Risk of impact to food source for birds (Legal framework Directive 2009/147/EC)
 Risk of impact on marine habitats in or in proximity to MPAs (SACs, SPAs)
 </t>
    </r>
  </si>
  <si>
    <t>All individuals in a sample measured</t>
  </si>
  <si>
    <t>5 per 1/2cm</t>
  </si>
  <si>
    <t>Sampling in excess of minimum target is done at national expense</t>
  </si>
  <si>
    <t>No sampling planned</t>
  </si>
  <si>
    <t>Most samples taken in processing facility where only the shell is available after shucking</t>
  </si>
  <si>
    <t xml:space="preserve">Not selected for sampling </t>
  </si>
  <si>
    <t>All spider crabs commercially caught off the Irish coast are actually Maja brachydactyla</t>
  </si>
  <si>
    <t>All individuals or a sub-sample in a string of pots are measured</t>
  </si>
  <si>
    <t>All individuals or a sub-sample in a string of pots are sampled</t>
  </si>
  <si>
    <t>Sampled on commercial vessels, no opportunity to collect weights</t>
  </si>
  <si>
    <t>duplicate</t>
  </si>
  <si>
    <t>All individuals in the first 5-10 pots are sampled at sea; in port a sample of up to 500 individuals per sampling event</t>
  </si>
  <si>
    <t>No commerical fishery in 2018</t>
  </si>
  <si>
    <t xml:space="preserve">50 per sample  </t>
  </si>
  <si>
    <t>Random subsample</t>
  </si>
  <si>
    <t>Reduced need for survey samples as the commercial catches were over-sampled</t>
  </si>
  <si>
    <t>1 per 1 cm per sample</t>
  </si>
  <si>
    <t>The target of 20 samples was achieved. The number of fish in these samples is of less relevance</t>
  </si>
  <si>
    <t>The target of 20 samples was nearly achieved. The number of fish in these samples is of less relevance</t>
  </si>
  <si>
    <t>Samples were difficult to obtain during Q1</t>
  </si>
  <si>
    <t>Only 39 fish were caught on the survey, all were measured</t>
  </si>
  <si>
    <t>Only 39 fish were caught on the survey, biological samples were taken for 37 fish</t>
  </si>
  <si>
    <t>Up to 250 individuals are sampled per sampling event</t>
  </si>
  <si>
    <t>1 per 2 cm per sample</t>
  </si>
  <si>
    <t>100 per sample</t>
  </si>
  <si>
    <t>1 per mm per haul</t>
  </si>
  <si>
    <t>5-10 per cm class</t>
  </si>
  <si>
    <t>2 per 1 cm per sample</t>
  </si>
  <si>
    <t>A very large number of samples was taken. The number of fish in these samples is of less relevance</t>
  </si>
  <si>
    <t>Not caught during surveys</t>
  </si>
  <si>
    <t>Sample 3 bags from each ICES rectangle on each port visit</t>
  </si>
  <si>
    <t>International Ecosystem Survey in the Nordic Seas</t>
  </si>
  <si>
    <t>ASH</t>
  </si>
  <si>
    <t>II a</t>
  </si>
  <si>
    <t>May</t>
  </si>
  <si>
    <t>Acoustic Tracks</t>
  </si>
  <si>
    <t>See other MS for full description of this survey, IRL  participtates by sending personnell and cost sharing as per RCM 2016 agreement</t>
  </si>
  <si>
    <t xml:space="preserve">Western IBTS 4th quarter(including Porcupine survey) </t>
  </si>
  <si>
    <t>IBTS Q4</t>
  </si>
  <si>
    <t>VIaS, VIIb, VIIg, VIIj</t>
  </si>
  <si>
    <t>Sept - Dec</t>
  </si>
  <si>
    <t>Fishing Hauls</t>
  </si>
  <si>
    <t>Fig 1</t>
  </si>
  <si>
    <t>WGIBTS</t>
  </si>
  <si>
    <t>DATRAS</t>
  </si>
  <si>
    <t>CTD</t>
  </si>
  <si>
    <t xml:space="preserve">Litter </t>
  </si>
  <si>
    <t xml:space="preserve"> Blue whiting  survey</t>
  </si>
  <si>
    <t>VI VII</t>
  </si>
  <si>
    <t>Mar/Apr</t>
  </si>
  <si>
    <t>Acoustic miles</t>
  </si>
  <si>
    <t>Fig 2</t>
  </si>
  <si>
    <t>PGNAPES</t>
  </si>
  <si>
    <t>Internaional data exchange between IRL, FO, NO, RU, NL, NO   No acronym in Table 10 Takes place in VIIk, VIIc, VIb</t>
  </si>
  <si>
    <t>Spawning/Pre spawning Herring/Boarfish acoustic survey</t>
  </si>
  <si>
    <t xml:space="preserve">VIa, VIIa-g </t>
  </si>
  <si>
    <t>Jun/July</t>
  </si>
  <si>
    <t>Fig 4</t>
  </si>
  <si>
    <t>ICES Acoustic DB</t>
  </si>
  <si>
    <t xml:space="preserve">This survey split in to two componennt :WESPAS Spawning/Boarfish component of the survey   taking place in VIIh, VIIj, VIIk,VIIg, VIIc, VIIb, VIa </t>
  </si>
  <si>
    <t>Oct</t>
  </si>
  <si>
    <t>Fig 5</t>
  </si>
  <si>
    <t>2nd Component : CSHAS Pre spawning compenent of the survey taking place in VIIg, VIIj, VIIaS</t>
  </si>
  <si>
    <t>Nephrops UWTV Irish Sea</t>
  </si>
  <si>
    <t>UWTV (FU15)</t>
  </si>
  <si>
    <t>T</t>
  </si>
  <si>
    <t xml:space="preserve">June to August </t>
  </si>
  <si>
    <t>TV tracks &amp; CTD</t>
  </si>
  <si>
    <t>Fig 6</t>
  </si>
  <si>
    <t>ICES WGNEPS</t>
  </si>
  <si>
    <t>Under development</t>
  </si>
  <si>
    <t xml:space="preserve">Actual areas covered by UWTV are (FU16, 17, 19, 20-21 &amp; 22 in ICES Areas VIIb,c,g,h,j,k )  Ireland collaborates with France and the UK by sharing personnel across this and other UWTV surveys in FU 14, 15 and 23. See text file and link on the rearranging/renaming etc  of this survey  </t>
  </si>
  <si>
    <t xml:space="preserve">Nephrops UWTV survey Aran Grounds </t>
  </si>
  <si>
    <t>UWTV (FU17)</t>
  </si>
  <si>
    <t>VIIb</t>
  </si>
  <si>
    <t>Nephrops UWTV survey Celtic Sea</t>
  </si>
  <si>
    <t xml:space="preserve">UWTV (FU20-22)  </t>
  </si>
  <si>
    <t>VIIg,h,j</t>
  </si>
  <si>
    <t>Trawl mark observations</t>
  </si>
  <si>
    <t>Sea pen observations</t>
  </si>
  <si>
    <t>Irish Anglerfish and Megrim Survey</t>
  </si>
  <si>
    <t>IAMS</t>
  </si>
  <si>
    <t>VIa and VII</t>
  </si>
  <si>
    <t>Jan-Mar</t>
  </si>
  <si>
    <t>Fishing hauls (trawl and beam)</t>
  </si>
  <si>
    <t>Fig 7</t>
  </si>
  <si>
    <t>ICES WGBIE &amp; WGCSE</t>
  </si>
  <si>
    <t>Litter</t>
  </si>
  <si>
    <t>Razor clam irish sea</t>
  </si>
  <si>
    <t>RCIS</t>
  </si>
  <si>
    <t>June</t>
  </si>
  <si>
    <t>Fish haul</t>
  </si>
  <si>
    <t>Fig 8,9</t>
  </si>
  <si>
    <t>See Word file Survey time series from 2016</t>
  </si>
  <si>
    <t>Razor clam west Ireland</t>
  </si>
  <si>
    <t>RCWI</t>
  </si>
  <si>
    <t>Mar</t>
  </si>
  <si>
    <t>No map</t>
  </si>
  <si>
    <t>Scallop Inshore</t>
  </si>
  <si>
    <t>SIS</t>
  </si>
  <si>
    <t xml:space="preserve">ICES </t>
  </si>
  <si>
    <t>See Word file Survey time series from 2011</t>
  </si>
  <si>
    <t>Oyster west Ireland</t>
  </si>
  <si>
    <t>OWI</t>
  </si>
  <si>
    <t>VIIb VIIj Via</t>
  </si>
  <si>
    <t>Sep-Dec</t>
  </si>
  <si>
    <t>OSPAR species. See word file Survey time series from 2011</t>
  </si>
  <si>
    <t>Combination</t>
  </si>
  <si>
    <t>Please refer to the Danish Annual Report for survey details</t>
  </si>
  <si>
    <t>Cockle Irish Sea</t>
  </si>
  <si>
    <t>CNIS</t>
  </si>
  <si>
    <t>June,Nov</t>
  </si>
  <si>
    <t>Bi-annual</t>
  </si>
  <si>
    <t>Quadrat and core</t>
  </si>
  <si>
    <t>Fig 10</t>
  </si>
  <si>
    <t>See Word file Survey time series from 2007</t>
  </si>
  <si>
    <r>
      <t>14</t>
    </r>
    <r>
      <rPr>
        <sz val="10"/>
        <rFont val="Arial"/>
        <family val="2"/>
      </rPr>
      <t> </t>
    </r>
  </si>
  <si>
    <r>
      <t> </t>
    </r>
    <r>
      <rPr>
        <sz val="10"/>
        <rFont val="Arial"/>
        <family val="2"/>
      </rPr>
      <t>2213</t>
    </r>
  </si>
  <si>
    <r>
      <t> </t>
    </r>
    <r>
      <rPr>
        <sz val="10"/>
        <rFont val="Arial"/>
        <family val="2"/>
      </rPr>
      <t>34</t>
    </r>
  </si>
  <si>
    <t xml:space="preserve">N </t>
  </si>
  <si>
    <t xml:space="preserve">Survey Commenced in 2016  EMFF funding used under UP3 data collection scheme </t>
  </si>
  <si>
    <t>P</t>
  </si>
  <si>
    <t>158 valid hauls</t>
  </si>
  <si>
    <r>
      <t> </t>
    </r>
    <r>
      <rPr>
        <sz val="10"/>
        <rFont val="Arial"/>
        <family val="2"/>
      </rPr>
      <t>2770</t>
    </r>
  </si>
  <si>
    <t>By-catch data were also collected; The surveyed area  was split into five sections.  165 stations were sampled in each section. Days at sea were weather dependent and so extra days were required due to adverse weather conditions.</t>
  </si>
  <si>
    <t xml:space="preserve">By-catch data were also assimilated.   Sampling off Iniskea Islands and Clifden Bay was not achieved.  Sampling was undertaken in Ballinakill Bay in April; Killary Harbour and Inishbofin in August and off Inisturk in October .  These surveys occurred at these times due to personnel and vessel availability. </t>
  </si>
  <si>
    <t>Inshore Scallop surveys were undertaken in Blacksod Bay in June and in Cill Chiaráin Bay in December 2018</t>
  </si>
  <si>
    <r>
      <t xml:space="preserve">Planned target in relation to effort was not achieved as all stations were not accessible due to tide height and substrate conditions and this would have resulted in a slight deviation from the planned spatial coverage.  However the majority of the cockle bed was surveyed successfullly. Data on other bivalves such as </t>
    </r>
    <r>
      <rPr>
        <i/>
        <sz val="10"/>
        <color indexed="8"/>
        <rFont val="Arial"/>
        <family val="2"/>
      </rPr>
      <t>Angulus tenuis</t>
    </r>
    <r>
      <rPr>
        <sz val="10"/>
        <color indexed="8"/>
        <rFont val="Arial"/>
        <family val="2"/>
      </rPr>
      <t xml:space="preserve"> and </t>
    </r>
    <r>
      <rPr>
        <i/>
        <sz val="10"/>
        <color indexed="8"/>
        <rFont val="Arial"/>
        <family val="2"/>
      </rPr>
      <t>Macoma balthica</t>
    </r>
    <r>
      <rPr>
        <sz val="10"/>
        <color indexed="8"/>
        <rFont val="Arial"/>
        <family val="2"/>
      </rPr>
      <t xml:space="preserve"> were also collected. No post fishery survey was carried out in November. No core samples were collected.</t>
    </r>
  </si>
  <si>
    <t>IBTS-Q4</t>
  </si>
  <si>
    <t>Standardized relative indices of abundance at age for assessment: Whiting VIIe-k, Haddock VIIb-k, Cod VIIe-k, Cod VIa, Megrim VI, PlaiceVIIbc,VIIh-k Clupea harengus VI VII, Trachurus trachurus VI VII, Scomber scrombrus VI VII</t>
  </si>
  <si>
    <t>Standardized relative indices of numbers at length for assessment: Lophius piscatorious [sic] IV, VI 
Lophius piscatorious [sic] VIIb-k, VIIIabd
Lophius budegassa VIIb-k, VIIIabd
Lepidorhombus whiffiagonis,VI
Lepidorhombus whiffiagonis, VII, VIIIabd
Lepidorhombus boscii, VII, VIIIabd (not in annex) Merluccius merluccius VI, VII</t>
  </si>
  <si>
    <t>Standardized relative indices of total No and total biomass for elasmobranch assessment:Dipturus spp. VI and VII (includes D. batis, flossada, intermedia and oxyrhincus and nidarosiensis), 
Cuckoo ray – VI and VII, 
Blonde ray VI, 
Blonde ray VIIafg, 
Thornback ray VIIafg, 
Thornback ray VI, 
Spotted ray VIIa,e-h, 
Spotted ray VI,VIIbj, 
Leucoraja fullonica VI and VII, 
Leucoraja circularis VI and VII, 
Raja microocellata VIIfg, 
Raja undulata VIIbj, 
Spurdog VI and VII</t>
  </si>
  <si>
    <t>Standardized relative indices of total No and total biomass for cephalopod assessment: Eledone Cirrhosa
Illex Coindetti
Loligo (Alloteuthis) Subulata
Loligo Forbesi
Octopus vulgaris
Rossia macrosoma
Sepia elegans
Sepia officinalis
Sepiola atlantica
Todarodes Sagittatus
Todaropsis eblane</t>
  </si>
  <si>
    <t>Biological data for stocks: age, length, sex and maturity for  Chelidonichthys (aspitrigla) cuculus**, Clupea harengus, Conger conger**, Dicentrarchus labrax, Gadus morhua,                 Glyptocephalus cynoglossus**,                 Lepidorhombus whiffiagonis, Leucoraja naevus*, Lophius budegassa, Lophius piscatorius, Melanogrammus aeglefinus, Merlangius merlangus, Merluccius merluccius, Micromesistius poutassou, Microstomus kitt, Molva molva, Pleuronectes platessa, Pollachius pollachius**, Pollachius virens, Raja brachyura*, Raja clavata*, Raja montagui*, Scomber scombrus, Scophthalmus maximus (psetta maxima)**,     Scophthalmus rhombus**, Solea solea, Squalus acanthias*, Trachurus trachurus,      Zeus faber** 
[* indicates no otoliths taken for age, ** indicates individual length and weight data only, no sex/maturity dissection if alive]</t>
  </si>
  <si>
    <t>Nephrops VII ( functional Unit) Length weight sex maturity</t>
  </si>
  <si>
    <t xml:space="preserve">CTD by Haul  </t>
  </si>
  <si>
    <t xml:space="preserve">CTD data goes to EUROGOOS. </t>
  </si>
  <si>
    <t xml:space="preserve">Litter by haul </t>
  </si>
  <si>
    <t xml:space="preserve">Benthos in the Haul </t>
  </si>
  <si>
    <t>Annually all Seapens sent to London museum for Population genetics; all sepeolids sent to Belgian Museum for ID and catalog of distribution; pollan/smelt/shad etc migratory spp sent to IFI for catalog.  Periodic multibeam data goes to INFOMAR.</t>
  </si>
  <si>
    <t>UWTV (FU16, 17, 19, 20-21 &amp; 22)</t>
  </si>
  <si>
    <t>Absolute abundance estimates Nephrops Area VII functional unit</t>
  </si>
  <si>
    <t xml:space="preserve">Data grouped for the three Irish Surveys </t>
  </si>
  <si>
    <t>CTD by station</t>
  </si>
  <si>
    <t>Trawl marks by station</t>
  </si>
  <si>
    <t xml:space="preserve">Sea pen abundance by station  </t>
  </si>
  <si>
    <t>UWTV (FU 17, 22)</t>
  </si>
  <si>
    <t xml:space="preserve">Nephrops VII ( functional Unit) Length weight sex maturity if trawling occurs </t>
  </si>
  <si>
    <t>Biological data -blue whiting (Div V, VI, VII)</t>
  </si>
  <si>
    <t>CTD  (vertical, dedicated station)</t>
  </si>
  <si>
    <t xml:space="preserve">Marine mammal observations </t>
  </si>
  <si>
    <t xml:space="preserve">Seabird observations </t>
  </si>
  <si>
    <t>Spawning Herring and boarfish component WESPAS</t>
  </si>
  <si>
    <t>Biological data -herring (Div VIa, VIIb,c)</t>
  </si>
  <si>
    <t>Biological data -boarfish (Div VIa, VIIb,c, j, g, h)</t>
  </si>
  <si>
    <t>Biological data -horse mackerel (Div VIa, VIIb,c, j, g, h)</t>
  </si>
  <si>
    <t>Zooplankton sampling</t>
  </si>
  <si>
    <t>Pre spawning Herring component CSHAS</t>
  </si>
  <si>
    <t>Biological data -herring (VIIg,j,VIIa )</t>
  </si>
  <si>
    <t>Biological data -sprat (VIIg,j,VIIa )</t>
  </si>
  <si>
    <t xml:space="preserve">Relative index of abundance trawl data: Lophius piscatorious [sic] IV, VI
Lophius piscatorious [sic] VIIb-k, VIIIabd
Lophius budegassa VIIb-k, VIIIabd
Lepidorhombus whiffiagonis,VI
Lepidorhombus whiffiagonis, VII, VIIIabd
Lepidorhombus boscii, VII, VIIIabd (not in annex
</t>
  </si>
  <si>
    <t xml:space="preserve">Target Stocks </t>
  </si>
  <si>
    <t>Biological data( L,W S M) on any demersal stocks that occur in VI and VII</t>
  </si>
  <si>
    <t xml:space="preserve">Additional Stocks </t>
  </si>
  <si>
    <t>From 2017</t>
  </si>
  <si>
    <t>Beam trawl hauls: full benthos Monk trawl hauls: only indicator species</t>
  </si>
  <si>
    <t>Razor clam Irish sea</t>
  </si>
  <si>
    <t>Abundance, biological data for clams VIIa</t>
  </si>
  <si>
    <t>Abundance of non target species</t>
  </si>
  <si>
    <t>Razor clam west coast</t>
  </si>
  <si>
    <t>RCWC</t>
  </si>
  <si>
    <t>Abundance, biological data for clams VIIb</t>
  </si>
  <si>
    <t>Oyster west coast</t>
  </si>
  <si>
    <t>OWC</t>
  </si>
  <si>
    <t>Abundance, biological data for oysters VIIb</t>
  </si>
  <si>
    <t>CIS</t>
  </si>
  <si>
    <t>Abundance, biological data for cockles VIIa</t>
  </si>
  <si>
    <t>Sediment cores</t>
  </si>
  <si>
    <t>Abundance, biological data for scallop VIIa, VIIg</t>
  </si>
  <si>
    <t>No existing international database</t>
  </si>
  <si>
    <t>EuroGOOS ROOS regional data portals</t>
  </si>
  <si>
    <t>No existing international database for non-teleost, cephalopod, commercial crustacea component.</t>
  </si>
  <si>
    <t>International Database under development</t>
  </si>
  <si>
    <t>Marine Institute Inshore Database</t>
  </si>
  <si>
    <t>Dredge samples from the oyster beds along the west coast were very  clean  with very little by-catch.</t>
  </si>
  <si>
    <t>Indepth studies on the benthic habitat were carried out in 2009 - 2010 and again in 2016, as a result there was no requirement for sediment cores in 2018.</t>
  </si>
  <si>
    <t>Y </t>
  </si>
  <si>
    <t>PGNAPES </t>
  </si>
  <si>
    <t> Y</t>
  </si>
  <si>
    <t>N </t>
  </si>
  <si>
    <t>Y  </t>
  </si>
  <si>
    <t>na</t>
  </si>
  <si>
    <t>ICES Acoustic Database </t>
  </si>
  <si>
    <t>ICES Oceanographic Database </t>
  </si>
  <si>
    <t>Northeast Atlantic</t>
  </si>
  <si>
    <t>Sampled</t>
  </si>
  <si>
    <t>BUNDORRAGHA RIVER</t>
  </si>
  <si>
    <t>adult</t>
  </si>
  <si>
    <t>F/I</t>
  </si>
  <si>
    <t>Catch reports</t>
  </si>
  <si>
    <t>n. release sites</t>
  </si>
  <si>
    <t>BUNOWEN RIVER</t>
  </si>
  <si>
    <t>BURRISHOOLE RIVER</t>
  </si>
  <si>
    <t>CONG RIVER</t>
  </si>
  <si>
    <t>CORRIB RIVER</t>
  </si>
  <si>
    <t>ERNE</t>
  </si>
  <si>
    <t>Ad hoc release in some years only</t>
  </si>
  <si>
    <t>FAUGHAN RIVER</t>
  </si>
  <si>
    <t>FINN RIVER</t>
  </si>
  <si>
    <t>GOWLA RIVER</t>
  </si>
  <si>
    <t>INVERMORE RIVER</t>
  </si>
  <si>
    <t>LEE RIVER</t>
  </si>
  <si>
    <t>LIFFEY RIVER</t>
  </si>
  <si>
    <t>SCREEBE RIVER</t>
  </si>
  <si>
    <t>SHANNON RIVER</t>
  </si>
  <si>
    <t>Erne</t>
  </si>
  <si>
    <t>I</t>
  </si>
  <si>
    <t>Counter</t>
  </si>
  <si>
    <t>n. counter</t>
  </si>
  <si>
    <t>ESB operated, not funded under the EMFF programme</t>
  </si>
  <si>
    <t>Clady</t>
  </si>
  <si>
    <t>Shannon</t>
  </si>
  <si>
    <t>Lee</t>
  </si>
  <si>
    <t>Atlantic</t>
  </si>
  <si>
    <t>recruits</t>
  </si>
  <si>
    <t>Trap</t>
  </si>
  <si>
    <t>n. trap</t>
  </si>
  <si>
    <t>ESB operated Cathaleens Fall 3 traps, not funded under the EMFF programme</t>
  </si>
  <si>
    <t>ESB operated Ardnacrusha 1 trap; Patreen 3 traps, not funded under the EMFF programme</t>
  </si>
  <si>
    <t>silver eel</t>
  </si>
  <si>
    <t>Mark recapture Escapement Coghill Nets</t>
  </si>
  <si>
    <t>monitoring site</t>
  </si>
  <si>
    <t>ESB operated - monitoring site Roscor for escapement estimate, not funded under the EMFF programme</t>
  </si>
  <si>
    <t>ESB operated - monitoring site Killaloe for escapement estimate, not funded under the EMFF programme</t>
  </si>
  <si>
    <t>transport capture sites Coghills and Vwing Fykes</t>
  </si>
  <si>
    <t>n. capture site</t>
  </si>
  <si>
    <t>ESB operated- T&amp;T management measure, part of escapement estimate &amp; biological sampling, not funded under the EMFF programme</t>
  </si>
  <si>
    <t>transport capture sites Fykes</t>
  </si>
  <si>
    <t>Liffey</t>
  </si>
  <si>
    <t>MI operated</t>
  </si>
  <si>
    <t>Burrishoole 3 lakes per year</t>
  </si>
  <si>
    <t>yellow eel</t>
  </si>
  <si>
    <t>Fyke net survey</t>
  </si>
  <si>
    <t>n. net nights</t>
  </si>
  <si>
    <t>MI operated- Buurishole yellow monitoring</t>
  </si>
  <si>
    <t>Burrishoole rivers</t>
  </si>
  <si>
    <t>electrofishing survey</t>
  </si>
  <si>
    <t>n.survey sites</t>
  </si>
  <si>
    <t>30-50</t>
  </si>
  <si>
    <t>Burrishoole</t>
  </si>
  <si>
    <t>Trap: Daily Number, Size, weight and sex ratio of emigrating silver eels</t>
  </si>
  <si>
    <t>n .trap</t>
  </si>
  <si>
    <t>juvenile salmon</t>
  </si>
  <si>
    <t>MI operated- Buurishole yellow monitorin</t>
  </si>
  <si>
    <t>One eel fisherman did not fish in 2018</t>
  </si>
  <si>
    <t>46t of eel captured, likely target will be met, but not yet verified.</t>
  </si>
  <si>
    <t>Two locations fished in 2018, due to changes in the ESB management of the T&amp;T fishery</t>
  </si>
  <si>
    <t>15t of eel captured, likely target will be met, but not yet verified.</t>
  </si>
  <si>
    <t>Additional sites included, and new sites in saline waters</t>
  </si>
  <si>
    <t>Bad weather and consistent high water levels reduced the extent of the survey</t>
  </si>
  <si>
    <t>Bad weather and consistent high water levels reduced the extent of the survey. Additional 5 sites were fished using a beach seine in the lakes</t>
  </si>
  <si>
    <t>No tagged fish released</t>
  </si>
  <si>
    <t>IRL-SAL-FRW-Fishery independent</t>
  </si>
  <si>
    <t xml:space="preserve">This site is not part of the annual core programme, and is only sampled on an ad - hoc basis depending on project requirements etc..The Annual Work Plan will be edited according for 2019.  </t>
  </si>
  <si>
    <t>IRL-ELE-FRW-FWR-Fishery independent</t>
  </si>
  <si>
    <t>IRL-ELE-FSN-FWR-Fishery independent</t>
  </si>
  <si>
    <t>IRL-ELE-FRW-FYK-Fishery independent</t>
  </si>
  <si>
    <t>IRL-ELE-FRW-MEL-Fishery independent</t>
  </si>
  <si>
    <t>IRL-SAL-FRW-MEL-Fishery independent</t>
  </si>
  <si>
    <t>Time constraints to weigh as well as sex / length</t>
  </si>
  <si>
    <t>Slightly &lt;90% threshold, however 90 sampling events were completed</t>
  </si>
  <si>
    <t>Slightly &lt;90% threshold, however 53 sampling events were completed</t>
  </si>
  <si>
    <t>Slightly &lt;90% threshold, however 92 sampling events were completed</t>
  </si>
  <si>
    <t>Slightly &lt;90% threshold, however 35 sampling events were completed</t>
  </si>
  <si>
    <t>Slightly &lt;90% threshold, however 14 sampling events were completed</t>
  </si>
  <si>
    <t>Duplicate Row from above- workplan error, corrected in 2019 workplan</t>
  </si>
  <si>
    <t>All data are reported to ICES WGBYC and recorded on the bycatch database</t>
  </si>
  <si>
    <t>Data are uploaded on an annual basis to the WGBYC bycatch database, hosted by ICES.</t>
  </si>
  <si>
    <t>Less PSU achieved due to no whelk being landed when sampling event was scheduled</t>
  </si>
  <si>
    <t>No at sea sampling was undertaken in 2018.  Surveys were carried out.</t>
  </si>
  <si>
    <t>Greater number of PSU achieved due to more observers sampling in VIIa (mostly off the south east coast)</t>
  </si>
  <si>
    <t>Only landed Scallop measured from VIIg, no crustacea</t>
  </si>
  <si>
    <t>Less PSU achieved due to fewer observers based along the coast of Area VIIfgh and there is a small number of vessels fishing in this area.</t>
  </si>
  <si>
    <t>SOP available on National DCF website (accessed through http://www.dcmap-ireland.ie/)</t>
  </si>
  <si>
    <t>Summaries of all sampling designs are  included in the National NSSC Eel Annual Report &amp; ESB Fisheries Annual report located at https://www.esb.ie/acting-responsibly/fisheries-2/fisheries</t>
  </si>
  <si>
    <t>Summaries of all sampling designs are  included in the National NSSC Salmon Annual Report &amp; ESB Fisheries Annual report located at https://www.esb.ie/acting-responsibly/fisheries-2/fisheries</t>
  </si>
  <si>
    <t>YES</t>
  </si>
  <si>
    <t>15th Liaison Meeting</t>
  </si>
  <si>
    <t>RCG NA</t>
  </si>
  <si>
    <t xml:space="preserve">Regional Co-ordination Group for the North Atlantic </t>
  </si>
  <si>
    <t>RCG CHAIRS</t>
  </si>
  <si>
    <t>RCG Liaison Meeting</t>
  </si>
  <si>
    <t xml:space="preserve">RCG METIER WORKSHOP </t>
  </si>
  <si>
    <t xml:space="preserve">RCG Diadromous </t>
  </si>
  <si>
    <t xml:space="preserve">RCG Subgroup Diadromous </t>
  </si>
  <si>
    <t>NO</t>
  </si>
  <si>
    <t>No meeting in 2018</t>
  </si>
  <si>
    <t>WKIRISH5</t>
  </si>
  <si>
    <t>Benchmark Workshop on sharing information on the Irish Sea Ecosystem,..</t>
  </si>
  <si>
    <t>WKFATHOM 2</t>
  </si>
  <si>
    <t>The Workshop on Egg staging, Fecundity and Atresia in Horse mackerel and Mackerel  2</t>
  </si>
  <si>
    <t>WKFATHOM Workshop</t>
  </si>
  <si>
    <t>The Workshop on Egg staging, Fecundity and Atresia in Horse mackerel and Mackerel</t>
  </si>
  <si>
    <t>WKINVITED</t>
  </si>
  <si>
    <t>Workshop on Integration and Visualisation Technology of ICES Data</t>
  </si>
  <si>
    <t>WKNEPS</t>
  </si>
  <si>
    <t>Report of the Benchmark Workshop on Nephrops Stocks</t>
  </si>
  <si>
    <t>WKARHOM3</t>
  </si>
  <si>
    <t>Workshop on Age reading of Horse Mackerel, Mediterranean Horse Mackerel and Blue Jack Mackerel</t>
  </si>
  <si>
    <t>WKANGLER</t>
  </si>
  <si>
    <t>Benchmark Workshop on Anglerfish Stocks in the ICES Area</t>
  </si>
  <si>
    <t>WKSEATEC2</t>
  </si>
  <si>
    <t>Workshop on Technical Development to Support Fisheries Data Collection 2</t>
  </si>
  <si>
    <t>WKSHARKS4</t>
  </si>
  <si>
    <t>Workshop on Length-Based Indicators and Reference Points for Elasmobranchs</t>
  </si>
  <si>
    <t>WKRDB-SPEC</t>
  </si>
  <si>
    <t>Workshop on new specification for the Regional Database</t>
  </si>
  <si>
    <t>WKRDB-URS</t>
  </si>
  <si>
    <t>Workshop on User Requirement Specifications for the Regional Database</t>
  </si>
  <si>
    <t>SCRDB 2018</t>
  </si>
  <si>
    <t>Steering Committee of the Regional Fisheries Database</t>
  </si>
  <si>
    <t>WGACEGG 2019</t>
  </si>
  <si>
    <t>Working Group on Acoustic and Egg Surveys for Sardine and Anchovy in ICES areas 7, 8 and 9</t>
  </si>
  <si>
    <t>International Fisheries Observer Conference</t>
  </si>
  <si>
    <t>IBPNEAMac</t>
  </si>
  <si>
    <t>Inter-benchmark Workshop on the assessment of Northeast Atlantic mackerel</t>
  </si>
  <si>
    <t>6a Herring Inter-benchmark workshop</t>
  </si>
  <si>
    <t xml:space="preserve">Working Group on Stock Assessment Methods Meeting </t>
  </si>
  <si>
    <t>SWGSM</t>
  </si>
  <si>
    <t>Standing Working Group to Enhance Dialogue Between Fisheries Scientists and Managers</t>
  </si>
  <si>
    <t>EWG 18-10</t>
  </si>
  <si>
    <t>STECF DCF Annual report evaluation meeting</t>
  </si>
  <si>
    <t>STECF</t>
  </si>
  <si>
    <t>EWG 18-11</t>
  </si>
  <si>
    <t>STECF New FDI at JRC</t>
  </si>
  <si>
    <t>EWG 18-18</t>
  </si>
  <si>
    <t>STECF Evaluation of Work Plans &amp; Data Transmission failures</t>
  </si>
  <si>
    <t xml:space="preserve">SOP on Marine Institute network.  Summaries of all sampling designs now uploaded to National DCF web site (accessed through http://www.dcmap-ireland.ie/)  </t>
  </si>
  <si>
    <t>Responses now logged, manual and process flow for catch sampling programme located on  http://www.dcmap-ireland.ie
SOPs to be updated and new document contol system Paradigm3 to be launched in 2019</t>
  </si>
  <si>
    <t xml:space="preserve">landings &lt;200t but will sample anyway   </t>
  </si>
  <si>
    <t>Increase in landings from 23,563t in 2017 to 26,203t in 2018</t>
  </si>
  <si>
    <t>Decrease in landings from 8,288t in 2017 to 3,157t in 2018</t>
  </si>
  <si>
    <t>Increase in landings from 43,238t in 2017 to 49,903t in 2018</t>
  </si>
  <si>
    <t>Decrease in landings from 85,001t in 2017 to 66,934t in 2018</t>
  </si>
  <si>
    <t>Decrease in landings from 15,485t in 2017 to 9,513t in 2018</t>
  </si>
  <si>
    <t>Decrease in landings from 6,416t in 2017 to 4,758t in 2018</t>
  </si>
  <si>
    <t>Not currently but will begin recording in 2019</t>
  </si>
  <si>
    <t>Shellfish SQL database</t>
  </si>
  <si>
    <t>The Shellfish database SQL data has been established and populated with historical data.  User acceptance testing is currently on going, with the new GUI (Graphical User Interface) - and once this is completed and the GUI launched editing and imputation methods will be fully documented</t>
  </si>
  <si>
    <r>
      <t xml:space="preserve">A larger survey area was sampled in Galway Bay and Cill Chiaráin Bay west of Galway was also surveyed in 2018 therefore the achieved target was larger than the planned target. These surveys were carried out in Lough Swilly in April, Inner Tralee Bay in September, Cill Chiaráin Bay in October and Inner Galway Bay in November.  </t>
    </r>
    <r>
      <rPr>
        <sz val="10"/>
        <rFont val="Arial"/>
        <family val="2"/>
      </rPr>
      <t>The survey in Lough Swilly was undertaken in April as a post fishery survey.</t>
    </r>
  </si>
  <si>
    <t xml:space="preserve">Lower PSU achieved due to fewer observers based along the east coast. </t>
  </si>
  <si>
    <t>14th Liaison Meeting 2017</t>
  </si>
  <si>
    <t>RCG NS &amp; EA</t>
  </si>
  <si>
    <t>Common naming of survey</t>
  </si>
  <si>
    <t>The NS&amp;EA RCG recommends the use of a single survey name and acronym for each survey for use in Regulation documents, workplans, assessments Working Group reports and advice sheets. These survey  acronyms  could/should  take  the  form  of  ‘(Region_)Survey_(Quarter_)Member‐state’ e.g. NSEA_IBTS_Q1_NED.    This will help end users to easily identify the surveys. </t>
  </si>
  <si>
    <t>Presently it is very difficult to get an overview of the survey used in assessment and thereby give an input to update the mandatory survey list in the regulation (EU) 2016/1251 do the many different acronyms used for the same survey</t>
  </si>
  <si>
    <t>MS uses naming convention</t>
  </si>
  <si>
    <t xml:space="preserve">All  </t>
  </si>
  <si>
    <r>
      <t>Utilisation of RDB for completion and evaluation of MS national plans</t>
    </r>
    <r>
      <rPr>
        <sz val="11"/>
        <color rgb="FF000000"/>
        <rFont val="Calibri"/>
        <family val="2"/>
        <scheme val="minor"/>
      </rPr>
      <t xml:space="preserve"> </t>
    </r>
  </si>
  <si>
    <t xml:space="preserve"> RCG NA recommends the investigation of methods for using RDB data and metadata and automated procedures for completing, screening and evaluating MS national work plans.    RCG NA recommends that MS upload data to RDB so as to be readily identifiable with the sampling commitments outlined in table of national work plans.                                                                    RCG NA recommends that metadata derived from the RDB can form a part of the MS annual report for evaluation by STECF of the MS national plans.</t>
  </si>
  <si>
    <t xml:space="preserve">1. MS (can chose) to upload their samples labelled with stratum ID code specified in table 4A of national work plans using the project field of the CS data.                                                                                                                         
2. RCG data subgroup to generate meta data reports that can be used to populate MS annual reports.                                                                                  
3. RCG data subgroup to circulate prototype for the format of a meta data template/report to NC for consideration and agreement at RCGM 2018needs to be generated and commonly agreed upon. are generated to form part of the MS annual report used by the                                           
4. STECF to use the reports in evaluating the execution and quality of data collected by member states. </t>
  </si>
  <si>
    <t>The RDB can be utilised to enable the generation of electronic metadata on the scope and quality of data collected under MS national work plans. A move to include automated meta data report(s) as part of a MS annual report would ease the workload of MS and has the potential to improve relevance of the data quality metrics used by STECF in the evaluation of MS national programmes.</t>
  </si>
  <si>
    <t xml:space="preserve">Data was not uploaded to the RDB using the stratum id codes.  The informal RCG data group did not progress this work further. </t>
  </si>
  <si>
    <t> North Atlantic</t>
  </si>
  <si>
    <t xml:space="preserve">RCG NA </t>
  </si>
  <si>
    <r>
      <t>Cost‐sharing agreement for the Blue Whiting Survey in 2018 and 2019</t>
    </r>
    <r>
      <rPr>
        <sz val="11"/>
        <color rgb="FF000000"/>
        <rFont val="Calibri"/>
        <family val="2"/>
        <scheme val="minor"/>
      </rPr>
      <t xml:space="preserve"> </t>
    </r>
  </si>
  <si>
    <t xml:space="preserve">RCG NA 2017 recommends continuing costsharing of the Blue Whiting survey through an updated agreement and to have this costsharing agreement to incorporated into national work plans which will ultimately form part of the Regional Sampling plan for the North Atlantic.
Following the DCF regulation and consensus on the Gothenburg‐model for cost‐sharing of surveys, the agreement applies to those MS having a EU‐TAC share &gt;= 3% for blue whiting.
</t>
  </si>
  <si>
    <t>• RCG subgroup to finalise the draft agreement 
• MS involved (Denmark, France, Germany, Ireland, Spain, Sweden, The Netherlands, United Kingdom) to sign the agreement 
• MS to include this agreement in their national work plans 
• MS to include the agreement in their respective National Workplans.  
• (RCG NA to include this agreement in the regional workplan.)</t>
  </si>
  <si>
    <t>The RCG agreement to cost share the blue whiting survey  in 2018 and 2019 was signed by Denmark, German, Ireland, Sweden and the Netherlands. The UK is also cost sharing the survey. Ireland included the Blue whiting survey in its national work plan as a physical survey and as contributing the costs to the Dutch component of the survey. France and Spain have not entered the cost sharing agreement for 2018-2019.</t>
  </si>
  <si>
    <r>
      <t>Implication of the Landing obligation</t>
    </r>
    <r>
      <rPr>
        <sz val="11"/>
        <color rgb="FF000000"/>
        <rFont val="Calibri"/>
        <family val="2"/>
        <scheme val="minor"/>
      </rPr>
      <t xml:space="preserve"> </t>
    </r>
  </si>
  <si>
    <t>RCG NA recommends that MS continue to account for the additional catch fractions brought about as a consequence of the landing obligation. They need to account for them in their recording of transversal variables and biological data and adapt to the annual updates of the regional discard plans. MS should continue to review, monitor and advise on the impact of the implementation of the landing obligation on sampling catches for biological data, catch data and catch estimates. jhjh</t>
  </si>
  <si>
    <t>All MS to complete draft monitoring template Annex 14</t>
  </si>
  <si>
    <t>MS completed questionnaire for pan regional group</t>
  </si>
  <si>
    <t xml:space="preserve">RCG LP </t>
  </si>
  <si>
    <t xml:space="preserve">RCG LP shark sampling </t>
  </si>
  <si>
    <t xml:space="preserve">Pending a review of the EU MAP, major shark species subject to assessment in tRFMOs, and that are in Table 1D of the EU MAP, should be subject to appropriate sampling even if they are not included in table 1C.  
This supposes sampling of Isurus oxyrinchus and Lamna nasus in tuna RFMO areas *.  
*Except for the Mediterranean where landing of these shark species is prohibited by Recommendation GFCM/36/2012/3 (species listed in 
Annex II of the SPA/BD Protocol of the Barcelona Convention). 
</t>
  </si>
  <si>
    <t>Check if any MS should make any amendment to the NWP</t>
  </si>
  <si>
    <t>Shark species are not generally encountered in Irish pelagic fisheries. Tuna and other pelagic fisheries are sampled under DCMAP. Any shark species encountered during this monitoring are sampled as part of the programme.</t>
  </si>
  <si>
    <t>ToR 2</t>
  </si>
  <si>
    <t>Development of guidelines for social variables data collection in fisheries</t>
  </si>
  <si>
    <t xml:space="preserve">To avoid duplication when fishers are moving from one vessel to another during the year it is recommended that social data should refer to a certain point in time. </t>
  </si>
  <si>
    <t xml:space="preserve">In cases of use of administrative sources when data is available for all fishers MS should follow Eurostat practice. In case of surveys it is recommended to organise national surveys around the same time of the year to avoid duplication (the same employee working at different boats during the year) and keep stability and comparability of the time series. </t>
  </si>
  <si>
    <t xml:space="preserve">RCG NS&amp;EA 2017 </t>
  </si>
  <si>
    <t>LM x. RCG NS&amp;EA 2</t>
  </si>
  <si>
    <t xml:space="preserve">Review of survey table </t>
  </si>
  <si>
    <t>The NS&amp;EA RGC recommends that member states review the information detailed in tables in annex 11 of this report, in order to identify any errors or omissions with any found to be reported back to the NS&amp;EA RCG by January2018.</t>
  </si>
  <si>
    <t>Member states to review the information detailed in tables in annex 11 of this report, in order to identify any errors or omissions with any found to be reported back to the NS&amp;EA RCG by January2018.</t>
  </si>
  <si>
    <t xml:space="preserve">The RCG NS&amp;EA has tried to produce a table giving all information on surveys presently used in assessment and conducted by all MS in the region. This table needs to be confirmed by the MS as the data information is rather diverse  </t>
  </si>
  <si>
    <t>Landings of Nephrops, in ICES Area 7a, have droped by 50% , from an average of ~ 2,554t over the reference year period (2013 - 2015) to approximately 1,387t in 2018.  Achieved sampling was 41% of the planned targets</t>
  </si>
  <si>
    <t>55 samples were secured for these FU's, and while they do not reach the target in the AWP, this number was more than sufficient to support the Nephrops stock assessment.</t>
  </si>
  <si>
    <t>17 samples were secured for these FU's, and while they do not reach the target in the AWP, this number was more than sufficient to support the Nephrops stock assessment.</t>
  </si>
  <si>
    <t>See general comment in Text regarding shortfall in the at sea sampling programme and the action to mitigate in the future</t>
  </si>
  <si>
    <t xml:space="preserve">Incorrect logbook entry when composing programme, which is now updated, no  current fishery in this metier </t>
  </si>
  <si>
    <t>Process flow and  SOP available on National DCF website (accessed through http://www.dcmap-ireland.ie/), SOPs currently being uploaded to document control system Paradigm3. Response are only recorded for one sampling area where there are access issues.</t>
  </si>
  <si>
    <t>Response are only recorded for one sampling area where there are access issues</t>
  </si>
  <si>
    <t>Specific comment in text box 4A</t>
  </si>
  <si>
    <t/>
  </si>
  <si>
    <t>No vessesl active but included to match WP</t>
  </si>
  <si>
    <t>Beam trawlers 24-&lt; 40 m</t>
  </si>
  <si>
    <t>Dredgers 10-&lt; 12 m</t>
  </si>
  <si>
    <t>Dredgers 24-&lt; 40 m</t>
  </si>
  <si>
    <t>Drift and/or fixed netters 18-&lt; 24 m</t>
  </si>
  <si>
    <t>Pelagic trawlers 12-&lt; 18 m</t>
  </si>
  <si>
    <t>Vessels using active and passive gears 12-&lt; 18 m</t>
  </si>
  <si>
    <t>Vessels using hooks 10-&lt; 12 m</t>
  </si>
  <si>
    <t>Vessels using Pots and/or traps 12-&lt; 18 m</t>
  </si>
  <si>
    <t xml:space="preserve">Landings of Nephrops, in ICES Area 7a, have dropped by 50% , from an average of ~ 2,554t over the reference year period (2013 - 2015) to approximately 1,387t in 2018. </t>
  </si>
  <si>
    <t>The target was set too high; this has been corrected in the 2019 work plan. It is now 500</t>
  </si>
  <si>
    <t>Most of the 2018 landings were into France; Ireland has a bi-lateral agreement with France</t>
  </si>
  <si>
    <r>
      <t>Most of the 2018 landings were</t>
    </r>
    <r>
      <rPr>
        <b/>
        <sz val="10"/>
        <rFont val="Arial"/>
        <family val="2"/>
      </rPr>
      <t xml:space="preserve"> </t>
    </r>
    <r>
      <rPr>
        <sz val="10"/>
        <rFont val="Arial"/>
        <family val="2"/>
      </rPr>
      <t>into</t>
    </r>
    <r>
      <rPr>
        <b/>
        <sz val="10"/>
        <rFont val="Arial"/>
        <family val="2"/>
      </rPr>
      <t xml:space="preserve"> </t>
    </r>
    <r>
      <rPr>
        <sz val="10"/>
        <rFont val="Arial"/>
        <family val="2"/>
      </rPr>
      <t>France; Ireland has a bi-lateral agreement with France</t>
    </r>
  </si>
  <si>
    <t>The target was set too high; this has been corrected in the 2018 work plan. It is now 500</t>
  </si>
  <si>
    <t>The target was set too high; this has been corrected in the 2019  work plan. It is now 500</t>
  </si>
  <si>
    <t>The target of 20 samples was achieved. The expected number of individuals was set too high; this has been corrected in the 2019  work plan. It is now 300.</t>
  </si>
  <si>
    <t>The target of 20 samples was achieved. The expected number of individuals was set too high; this has been corrected in the 2018  work plan. It is now 300.</t>
  </si>
  <si>
    <t>The target was set too high; this has been corrected in the 2019  work plan. It is now 75</t>
  </si>
  <si>
    <t>Maturity sampling now takes place on surveys; this has been corrected in the 2019  work plan</t>
  </si>
  <si>
    <t>The target of 20 samples was exceeded The expected number of individuals was set too high; this has been corrected in the 2019 work plan. It is now 250.</t>
  </si>
  <si>
    <t>The target was set too high; this has been corrected in the 2019  work plan. It is now 50</t>
  </si>
  <si>
    <t>The target of 32 samples was exceeded The expected number of individuals was set too high; this has been corrected in the 2019  work plan. It is now 1000.</t>
  </si>
  <si>
    <t>The target of 32 samples was nearly achieved The expected number of individuals was set too high; this has been corrected in the 2019  work plan. It is now 200.</t>
  </si>
  <si>
    <t>The target of 20 samples was exceeded The expected number of individuals was set too high; this has been corrected in the 2019  work plan. It is now 400.</t>
  </si>
  <si>
    <t>The target was set too high; this has been corrected in the 2019  work plan. It is now 100</t>
  </si>
  <si>
    <t>Maturity sampling now takes place on surveys; this has been corrected in the 2019 work plan</t>
  </si>
  <si>
    <t>The target of 40 samples was achieved The expected number of individuals was set too high; this has been corrected in the 2019  work plan. It is now 500.</t>
  </si>
  <si>
    <r>
      <t>Most of the 2018 landings were</t>
    </r>
    <r>
      <rPr>
        <b/>
        <sz val="10"/>
        <color rgb="FFFF0000"/>
        <rFont val="Arial"/>
        <family val="2"/>
      </rPr>
      <t xml:space="preserve"> </t>
    </r>
    <r>
      <rPr>
        <sz val="10"/>
        <rFont val="Arial"/>
        <family val="2"/>
      </rPr>
      <t>into France; Ireland has a bi-lateral agreement with France</t>
    </r>
  </si>
  <si>
    <t xml:space="preserve"> -</t>
  </si>
  <si>
    <t>Data not accessible at this point. ESB operated, not funded under the EMFF programme</t>
  </si>
  <si>
    <t>Only 9 fish were caught on the survey, all were measured</t>
  </si>
  <si>
    <t>Only 7 fish were caught on the survey</t>
  </si>
  <si>
    <t>LPF was concentrated in the Bay of Biscay with the majority of landings into France, not possible to get observers aboard.</t>
  </si>
  <si>
    <t>Force Majeure</t>
  </si>
  <si>
    <r>
      <t>No at sea observer trips were possible on the 9 fishing trips completed by the industry in  2018, however 2</t>
    </r>
    <r>
      <rPr>
        <sz val="11"/>
        <color rgb="FFFF0000"/>
        <rFont val="Calibri"/>
        <family val="2"/>
        <scheme val="minor"/>
      </rPr>
      <t xml:space="preserve"> </t>
    </r>
    <r>
      <rPr>
        <sz val="11"/>
        <rFont val="Calibri"/>
        <family val="2"/>
        <scheme val="minor"/>
      </rPr>
      <t>samples were collected at sea by the crew and brought back for the MI to work up</t>
    </r>
  </si>
  <si>
    <t>In 2018, good weather prevailed allowing for extra CTD work to be carried out. The increased level of CTD sampling is coupled with zooplankton sampling at each station to monitor important ecosystem metrics</t>
  </si>
  <si>
    <t>Fisheries</t>
  </si>
  <si>
    <t>Economic and Social Data for Fisheries</t>
  </si>
  <si>
    <t>Logbook Data</t>
  </si>
  <si>
    <t>https://www.dcmap-ireland.ie/</t>
  </si>
  <si>
    <t>MS is currently redesigning new databases</t>
  </si>
  <si>
    <t>Questionairre</t>
  </si>
  <si>
    <t>Sentinel Vessel Programme</t>
  </si>
  <si>
    <t>Aquaculture</t>
  </si>
  <si>
    <t>Economic and Social Data for Aquaculture</t>
  </si>
  <si>
    <t>Processing</t>
  </si>
  <si>
    <t>Economic and Social Data for Processing</t>
  </si>
  <si>
    <t xml:space="preserve">Financial accounts </t>
  </si>
  <si>
    <t>Workshop on Social Variables</t>
  </si>
  <si>
    <t>Social data collection has been integrated into the annual Economic Surveys and are launched at the same time each year</t>
  </si>
  <si>
    <t>Ireland actively engaged with the consultation process in relation to the revision of EUMAP’s table 10 and reviewed and revised the information circulated to all Members States as required.</t>
  </si>
  <si>
    <t xml:space="preserve">targeting all pelagic species  off the NW coast </t>
  </si>
  <si>
    <t xml:space="preserve">Demersal sampling in the NW region Including bilateral sampling with the UK </t>
  </si>
  <si>
    <r>
      <t xml:space="preserve">All SPF </t>
    </r>
    <r>
      <rPr>
        <sz val="10"/>
        <rFont val="Arial"/>
        <family val="2"/>
      </rPr>
      <t>in the West and South West</t>
    </r>
  </si>
  <si>
    <t xml:space="preserve">All SPF in the North East west of Shetland </t>
  </si>
  <si>
    <r>
      <t xml:space="preserve"> Demersal  </t>
    </r>
    <r>
      <rPr>
        <sz val="10"/>
        <rFont val="Arial"/>
        <family val="2"/>
      </rPr>
      <t xml:space="preserve">stocks,  length, weight,  sex ratio, sexual maturity  </t>
    </r>
  </si>
  <si>
    <r>
      <t xml:space="preserve"> Nephrops </t>
    </r>
    <r>
      <rPr>
        <sz val="10"/>
        <rFont val="Arial"/>
        <family val="2"/>
      </rPr>
      <t xml:space="preserve">stocks, length, sex ratio, sexual maturity  </t>
    </r>
  </si>
  <si>
    <r>
      <t xml:space="preserve"> </t>
    </r>
    <r>
      <rPr>
        <sz val="10"/>
        <rFont val="Arial"/>
        <family val="2"/>
      </rPr>
      <t xml:space="preserve">Elasmobranchs stocks,  length, weight,  sex ratio, sexual maturity  </t>
    </r>
  </si>
  <si>
    <r>
      <t xml:space="preserve">Demersal stocks,  commercial age, </t>
    </r>
    <r>
      <rPr>
        <sz val="10"/>
        <rFont val="Arial"/>
        <family val="2"/>
      </rPr>
      <t xml:space="preserve">Survey age from IGFS and IAMS </t>
    </r>
  </si>
  <si>
    <t xml:space="preserve">Only 1 seven day discard trip was undertaken in VIIg (7,225 Scallop were measured). Addition surveys for stock assessment  carried out under BlueFish project not reported to DCF  </t>
  </si>
  <si>
    <t>Established programme</t>
  </si>
  <si>
    <t>March / April 2019</t>
  </si>
  <si>
    <t>All deadlines for ICES datacalls were met</t>
  </si>
  <si>
    <t>The survey takes place in 2019.</t>
  </si>
  <si>
    <t>Some Irish pelagic vessels fishing in this area land into foreign countries which would be sampled by these countries under  existing bi lateral agreements.</t>
  </si>
  <si>
    <t>Norwegian Spring Spawning Herring from Area II landed into Norway therefore MS was unable to sample. An informal arrangement exists between IRL and NOR to sample their fish respectively</t>
  </si>
  <si>
    <t>Pilot Study.</t>
  </si>
  <si>
    <t>Pilot study was planned to commence in 2018 but had to be postponed to 2019</t>
  </si>
  <si>
    <t>This site is not part of the annual core programme, and is only sampled on an ad - hoc basis depending on project requirements etc</t>
  </si>
  <si>
    <t>WESPAS end Aug 2018. 
CSHAS end NOV 2018.</t>
  </si>
  <si>
    <t>Income from leasing out quota or other fishing rights</t>
  </si>
  <si>
    <t>Repair and maintenance costs</t>
  </si>
  <si>
    <t>Investments in tangible assets, net</t>
  </si>
  <si>
    <t>Total hours worked per year</t>
  </si>
  <si>
    <t>Inactive</t>
  </si>
  <si>
    <t>Employement by employment status</t>
  </si>
  <si>
    <t>Value of landings per species</t>
  </si>
  <si>
    <t>Average price per species</t>
  </si>
  <si>
    <t>EU Register</t>
  </si>
  <si>
    <t>Mean LOA of vessels</t>
  </si>
  <si>
    <t>Total vessel's tonnage</t>
  </si>
  <si>
    <t>Total vessel's power</t>
  </si>
  <si>
    <t>Mean age of vessels</t>
  </si>
  <si>
    <t>Days at sea</t>
  </si>
  <si>
    <t>Hatcheries and nurseries</t>
  </si>
  <si>
    <t>Salmon</t>
  </si>
  <si>
    <t>Cages</t>
  </si>
  <si>
    <t xml:space="preserve"> Non-Probability Sample Survey is the primary source and data collection scheme for this variable. Other sources used for validation or as back up</t>
  </si>
  <si>
    <t>Ponds</t>
  </si>
  <si>
    <t>Other fresh water fish</t>
  </si>
  <si>
    <t>Longline</t>
  </si>
  <si>
    <t>Mussel</t>
  </si>
  <si>
    <t>On-bottom</t>
  </si>
  <si>
    <t>Oyster</t>
  </si>
  <si>
    <t>All methods</t>
  </si>
  <si>
    <t>Other aquatic organisms</t>
  </si>
  <si>
    <t>Data was not provided in survey returns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</si>
</sst>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_-* #,##0.00\ _€_-;\-* #,##0.00\ _€_-;_-* &quot;-&quot;??\ _€_-;_-@_-"/>
  </numFmts>
  <fonts count="87" x14ac:knownFonts="1">
    <font>
      <sz val="10"/>
      <name val="Arial"/>
      <family val="2"/>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color indexed="8"/>
      <name val="Arial"/>
      <family val="2"/>
    </font>
    <font>
      <sz val="11"/>
      <color indexed="8"/>
      <name val="Calibri"/>
      <family val="2"/>
    </font>
    <font>
      <sz val="10"/>
      <color indexed="9"/>
      <name val="Arial"/>
      <family val="2"/>
    </font>
    <font>
      <sz val="11"/>
      <color indexed="9"/>
      <name val="Calibri"/>
      <family val="2"/>
    </font>
    <font>
      <b/>
      <sz val="10"/>
      <color indexed="63"/>
      <name val="Arial"/>
      <family val="2"/>
    </font>
    <font>
      <b/>
      <sz val="10"/>
      <color indexed="52"/>
      <name val="Arial"/>
      <family val="2"/>
    </font>
    <font>
      <sz val="11"/>
      <color indexed="17"/>
      <name val="Calibri"/>
      <family val="2"/>
    </font>
    <font>
      <b/>
      <sz val="11"/>
      <color indexed="52"/>
      <name val="Calibri"/>
      <family val="2"/>
    </font>
    <font>
      <b/>
      <sz val="11"/>
      <color indexed="9"/>
      <name val="Calibri"/>
      <family val="2"/>
    </font>
    <font>
      <sz val="11"/>
      <color indexed="52"/>
      <name val="Calibri"/>
      <family val="2"/>
    </font>
    <font>
      <sz val="10"/>
      <color indexed="62"/>
      <name val="Arial"/>
      <family val="2"/>
    </font>
    <font>
      <b/>
      <sz val="11"/>
      <color indexed="62"/>
      <name val="Calibri"/>
      <family val="2"/>
    </font>
    <font>
      <sz val="11"/>
      <color indexed="62"/>
      <name val="Calibri"/>
      <family val="2"/>
    </font>
    <font>
      <b/>
      <sz val="10"/>
      <color indexed="8"/>
      <name val="Arial"/>
      <family val="2"/>
    </font>
    <font>
      <i/>
      <sz val="10"/>
      <color indexed="23"/>
      <name val="Arial"/>
      <family val="2"/>
    </font>
    <font>
      <sz val="11"/>
      <color indexed="20"/>
      <name val="Calibri"/>
      <family val="2"/>
    </font>
    <font>
      <b/>
      <sz val="11"/>
      <color indexed="63"/>
      <name val="Calibri"/>
      <family val="2"/>
    </font>
    <font>
      <sz val="11"/>
      <color indexed="10"/>
      <name val="Calibri"/>
      <family val="2"/>
    </font>
    <font>
      <i/>
      <sz val="11"/>
      <color indexed="23"/>
      <name val="Calibri"/>
      <family val="2"/>
    </font>
    <font>
      <b/>
      <sz val="18"/>
      <color indexed="62"/>
      <name val="Cambria"/>
      <family val="2"/>
    </font>
    <font>
      <b/>
      <sz val="15"/>
      <color indexed="62"/>
      <name val="Calibri"/>
      <family val="2"/>
    </font>
    <font>
      <b/>
      <sz val="13"/>
      <color indexed="62"/>
      <name val="Calibri"/>
      <family val="2"/>
    </font>
    <font>
      <b/>
      <sz val="18"/>
      <color indexed="56"/>
      <name val="Cambria"/>
      <family val="2"/>
    </font>
    <font>
      <sz val="10"/>
      <color indexed="10"/>
      <name val="Arial"/>
      <family val="2"/>
    </font>
    <font>
      <b/>
      <sz val="10"/>
      <name val="Arial"/>
      <family val="2"/>
    </font>
    <font>
      <sz val="10"/>
      <name val="Arial"/>
      <family val="2"/>
    </font>
    <font>
      <b/>
      <sz val="11"/>
      <name val="Arial"/>
      <family val="2"/>
    </font>
    <font>
      <i/>
      <sz val="10"/>
      <color indexed="8"/>
      <name val="Arial"/>
      <family val="2"/>
    </font>
    <font>
      <i/>
      <sz val="10"/>
      <name val="Arial"/>
      <family val="2"/>
    </font>
    <font>
      <sz val="11"/>
      <color theme="1"/>
      <name val="Calibri"/>
      <family val="2"/>
      <scheme val="minor"/>
    </font>
    <font>
      <sz val="10"/>
      <color theme="1"/>
      <name val="Arial"/>
      <family val="2"/>
    </font>
    <font>
      <sz val="8"/>
      <color theme="1"/>
      <name val="Arial"/>
      <family val="2"/>
    </font>
    <font>
      <sz val="10"/>
      <color rgb="FFFF0000"/>
      <name val="Arial"/>
      <family val="2"/>
    </font>
    <font>
      <b/>
      <sz val="10"/>
      <name val="Arial"/>
      <family val="2"/>
      <charset val="161"/>
    </font>
    <font>
      <sz val="9"/>
      <name val="Arial"/>
      <family val="2"/>
      <charset val="161"/>
    </font>
    <font>
      <b/>
      <sz val="8"/>
      <name val="Arial"/>
      <family val="2"/>
    </font>
    <font>
      <b/>
      <sz val="8"/>
      <name val="Arial"/>
      <family val="2"/>
      <charset val="161"/>
    </font>
    <font>
      <b/>
      <sz val="10"/>
      <color theme="1"/>
      <name val="Arial"/>
      <family val="2"/>
    </font>
    <font>
      <b/>
      <sz val="10"/>
      <color rgb="FFFF0000"/>
      <name val="Arial"/>
      <family val="2"/>
    </font>
    <font>
      <b/>
      <sz val="10"/>
      <color rgb="FF000000"/>
      <name val="Arial"/>
      <family val="2"/>
    </font>
    <font>
      <sz val="8"/>
      <color rgb="FF000000"/>
      <name val="Arial"/>
      <family val="2"/>
    </font>
    <font>
      <b/>
      <sz val="12"/>
      <name val="Arial"/>
      <family val="2"/>
    </font>
    <font>
      <sz val="11"/>
      <name val="Calibri"/>
      <family val="2"/>
      <scheme val="minor"/>
    </font>
    <font>
      <b/>
      <sz val="10"/>
      <name val="Arial"/>
      <family val="2"/>
    </font>
    <font>
      <sz val="10"/>
      <name val="Arial"/>
      <family val="2"/>
    </font>
    <font>
      <b/>
      <sz val="10"/>
      <color indexed="8"/>
      <name val="Arial"/>
      <family val="2"/>
    </font>
    <font>
      <b/>
      <sz val="10"/>
      <name val="Arial"/>
      <family val="2"/>
    </font>
    <font>
      <sz val="10"/>
      <name val="Arial"/>
      <family val="2"/>
    </font>
    <font>
      <b/>
      <sz val="10"/>
      <color indexed="8"/>
      <name val="Arial"/>
      <family val="2"/>
    </font>
    <font>
      <strike/>
      <sz val="10"/>
      <name val="Arial"/>
      <family val="2"/>
    </font>
    <font>
      <sz val="8"/>
      <name val="Arial"/>
      <family val="2"/>
    </font>
    <font>
      <u/>
      <sz val="10"/>
      <color theme="10"/>
      <name val="Arial"/>
      <family val="2"/>
    </font>
    <font>
      <u/>
      <sz val="10"/>
      <name val="Arial"/>
      <family val="2"/>
    </font>
    <font>
      <i/>
      <sz val="10"/>
      <color theme="1"/>
      <name val="Arial"/>
      <family val="2"/>
    </font>
    <font>
      <sz val="11"/>
      <color rgb="FFFF0000"/>
      <name val="Calibri"/>
      <family val="2"/>
      <scheme val="min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color rgb="FF000000"/>
      <name val="Arial"/>
      <family val="2"/>
    </font>
    <font>
      <sz val="10"/>
      <color indexed="17"/>
      <name val="Arial"/>
      <family val="2"/>
    </font>
    <font>
      <sz val="10"/>
      <color indexed="60"/>
      <name val="Arial"/>
      <family val="2"/>
    </font>
    <font>
      <sz val="10"/>
      <color indexed="20"/>
      <name val="Arial"/>
      <family val="2"/>
    </font>
    <font>
      <b/>
      <sz val="11"/>
      <color indexed="8"/>
      <name val="Calibri"/>
      <family val="2"/>
    </font>
    <font>
      <b/>
      <sz val="15"/>
      <color indexed="56"/>
      <name val="Arial"/>
      <family val="2"/>
    </font>
    <font>
      <b/>
      <sz val="13"/>
      <color indexed="56"/>
      <name val="Arial"/>
      <family val="2"/>
    </font>
    <font>
      <b/>
      <sz val="11"/>
      <color indexed="56"/>
      <name val="Arial"/>
      <family val="2"/>
    </font>
    <font>
      <sz val="10"/>
      <color indexed="52"/>
      <name val="Arial"/>
      <family val="2"/>
    </font>
    <font>
      <b/>
      <sz val="10"/>
      <color indexed="9"/>
      <name val="Arial"/>
      <family val="2"/>
    </font>
    <font>
      <sz val="11"/>
      <color rgb="FF000000"/>
      <name val="Calibri"/>
      <family val="2"/>
      <scheme val="minor"/>
    </font>
    <font>
      <sz val="10"/>
      <name val="Calibri"/>
      <family val="2"/>
      <scheme val="minor"/>
    </font>
    <font>
      <b/>
      <sz val="11"/>
      <color rgb="FF0000FF"/>
      <name val="Calibri"/>
      <family val="2"/>
    </font>
  </fonts>
  <fills count="78">
    <fill>
      <patternFill patternType="none"/>
    </fill>
    <fill>
      <patternFill patternType="gray125"/>
    </fill>
    <fill>
      <patternFill patternType="solid">
        <fgColor indexed="31"/>
        <bgColor indexed="22"/>
      </patternFill>
    </fill>
    <fill>
      <patternFill patternType="solid">
        <fgColor indexed="45"/>
        <bgColor indexed="29"/>
      </patternFill>
    </fill>
    <fill>
      <patternFill patternType="solid">
        <fgColor indexed="42"/>
        <bgColor indexed="27"/>
      </patternFill>
    </fill>
    <fill>
      <patternFill patternType="solid">
        <fgColor indexed="46"/>
        <bgColor indexed="45"/>
      </patternFill>
    </fill>
    <fill>
      <patternFill patternType="solid">
        <fgColor indexed="27"/>
        <bgColor indexed="42"/>
      </patternFill>
    </fill>
    <fill>
      <patternFill patternType="solid">
        <fgColor indexed="47"/>
        <bgColor indexed="24"/>
      </patternFill>
    </fill>
    <fill>
      <patternFill patternType="solid">
        <fgColor indexed="24"/>
        <bgColor indexed="41"/>
      </patternFill>
    </fill>
    <fill>
      <patternFill patternType="solid">
        <fgColor indexed="26"/>
        <bgColor indexed="9"/>
      </patternFill>
    </fill>
    <fill>
      <patternFill patternType="solid">
        <fgColor indexed="44"/>
        <bgColor indexed="31"/>
      </patternFill>
    </fill>
    <fill>
      <patternFill patternType="solid">
        <fgColor indexed="29"/>
        <bgColor indexed="45"/>
      </patternFill>
    </fill>
    <fill>
      <patternFill patternType="solid">
        <fgColor indexed="11"/>
        <bgColor indexed="49"/>
      </patternFill>
    </fill>
    <fill>
      <patternFill patternType="solid">
        <fgColor indexed="51"/>
        <bgColor indexed="13"/>
      </patternFill>
    </fill>
    <fill>
      <patternFill patternType="solid">
        <fgColor indexed="22"/>
        <bgColor indexed="31"/>
      </patternFill>
    </fill>
    <fill>
      <patternFill patternType="solid">
        <fgColor indexed="43"/>
        <bgColor indexed="26"/>
      </patternFill>
    </fill>
    <fill>
      <patternFill patternType="solid">
        <fgColor indexed="30"/>
        <bgColor indexed="21"/>
      </patternFill>
    </fill>
    <fill>
      <patternFill patternType="solid">
        <fgColor indexed="20"/>
        <bgColor indexed="36"/>
      </patternFill>
    </fill>
    <fill>
      <patternFill patternType="solid">
        <fgColor indexed="49"/>
        <bgColor indexed="40"/>
      </patternFill>
    </fill>
    <fill>
      <patternFill patternType="solid">
        <fgColor indexed="52"/>
        <bgColor indexed="51"/>
      </patternFill>
    </fill>
    <fill>
      <patternFill patternType="solid">
        <fgColor indexed="10"/>
        <bgColor indexed="60"/>
      </patternFill>
    </fill>
    <fill>
      <patternFill patternType="solid">
        <fgColor indexed="57"/>
        <bgColor indexed="21"/>
      </patternFill>
    </fill>
    <fill>
      <patternFill patternType="solid">
        <fgColor indexed="53"/>
        <bgColor indexed="52"/>
      </patternFill>
    </fill>
    <fill>
      <patternFill patternType="solid">
        <fgColor indexed="55"/>
        <bgColor indexed="23"/>
      </patternFill>
    </fill>
    <fill>
      <patternFill patternType="solid">
        <fgColor indexed="54"/>
        <bgColor indexed="19"/>
      </patternFill>
    </fill>
    <fill>
      <patternFill patternType="solid">
        <fgColor theme="0"/>
        <bgColor indexed="64"/>
      </patternFill>
    </fill>
    <fill>
      <patternFill patternType="solid">
        <fgColor theme="0" tint="-0.14999847407452621"/>
        <bgColor indexed="64"/>
      </patternFill>
    </fill>
    <fill>
      <patternFill patternType="solid">
        <fgColor theme="0" tint="-0.34998626667073579"/>
        <bgColor indexed="64"/>
      </patternFill>
    </fill>
    <fill>
      <patternFill patternType="solid">
        <fgColor theme="0" tint="-0.34998626667073579"/>
        <bgColor indexed="26"/>
      </patternFill>
    </fill>
    <fill>
      <patternFill patternType="solid">
        <fgColor theme="0" tint="-0.34998626667073579"/>
        <bgColor indexed="41"/>
      </patternFill>
    </fill>
    <fill>
      <patternFill patternType="solid">
        <fgColor rgb="FFFFFFFF"/>
        <bgColor rgb="FF000000"/>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rgb="FFA6A6A6"/>
        <bgColor indexed="64"/>
      </patternFill>
    </fill>
    <fill>
      <patternFill patternType="solid">
        <fgColor indexed="24"/>
      </patternFill>
    </fill>
    <fill>
      <patternFill patternType="solid">
        <fgColor indexed="47"/>
      </patternFill>
    </fill>
    <fill>
      <patternFill patternType="solid">
        <fgColor indexed="26"/>
      </patternFill>
    </fill>
    <fill>
      <patternFill patternType="solid">
        <fgColor indexed="27"/>
      </patternFill>
    </fill>
    <fill>
      <patternFill patternType="solid">
        <fgColor indexed="22"/>
      </patternFill>
    </fill>
    <fill>
      <patternFill patternType="solid">
        <fgColor indexed="29"/>
      </patternFill>
    </fill>
    <fill>
      <patternFill patternType="solid">
        <fgColor indexed="43"/>
      </patternFill>
    </fill>
    <fill>
      <patternFill patternType="solid">
        <fgColor indexed="44"/>
      </patternFill>
    </fill>
    <fill>
      <patternFill patternType="solid">
        <fgColor indexed="51"/>
        <bgColor indexed="34"/>
      </patternFill>
    </fill>
    <fill>
      <patternFill patternType="solid">
        <fgColor indexed="49"/>
      </patternFill>
    </fill>
    <fill>
      <patternFill patternType="solid">
        <fgColor indexed="52"/>
        <bgColor indexed="50"/>
      </patternFill>
    </fill>
    <fill>
      <patternFill patternType="solid">
        <fgColor indexed="10"/>
      </patternFill>
    </fill>
    <fill>
      <patternFill patternType="solid">
        <fgColor indexed="57"/>
      </patternFill>
    </fill>
    <fill>
      <patternFill patternType="solid">
        <fgColor indexed="54"/>
      </patternFill>
    </fill>
    <fill>
      <patternFill patternType="solid">
        <fgColor indexed="50"/>
      </patternFill>
    </fill>
    <fill>
      <patternFill patternType="solid">
        <fgColor indexed="62"/>
        <bgColor indexed="56"/>
      </patternFill>
    </fill>
    <fill>
      <patternFill patternType="solid">
        <fgColor indexed="53"/>
        <bgColor indexed="50"/>
      </patternFill>
    </fill>
    <fill>
      <patternFill patternType="solid">
        <fgColor indexed="45"/>
      </patternFill>
    </fill>
    <fill>
      <patternFill patternType="solid">
        <fgColor indexed="55"/>
      </patternFill>
    </fill>
    <fill>
      <patternFill patternType="solid">
        <fgColor indexed="42"/>
      </patternFill>
    </fill>
    <fill>
      <patternFill patternType="solid">
        <fgColor theme="2" tint="-0.249977111117893"/>
        <bgColor indexed="64"/>
      </patternFill>
    </fill>
  </fills>
  <borders count="253">
    <border>
      <left/>
      <right/>
      <top/>
      <bottom/>
      <diagonal/>
    </border>
    <border>
      <left style="thin">
        <color indexed="63"/>
      </left>
      <right style="thin">
        <color indexed="63"/>
      </right>
      <top style="thin">
        <color indexed="63"/>
      </top>
      <bottom style="thin">
        <color indexed="63"/>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double">
        <color indexed="52"/>
      </bottom>
      <diagonal/>
    </border>
    <border>
      <left/>
      <right/>
      <top style="thin">
        <color indexed="62"/>
      </top>
      <bottom style="double">
        <color indexed="62"/>
      </bottom>
      <diagonal/>
    </border>
    <border>
      <left/>
      <right/>
      <top/>
      <bottom style="thick">
        <color indexed="22"/>
      </bottom>
      <diagonal/>
    </border>
    <border>
      <left style="thin">
        <color indexed="22"/>
      </left>
      <right style="thin">
        <color indexed="22"/>
      </right>
      <top style="thin">
        <color indexed="22"/>
      </top>
      <bottom style="thin">
        <color indexed="22"/>
      </bottom>
      <diagonal/>
    </border>
    <border>
      <left/>
      <right/>
      <top/>
      <bottom style="thick">
        <color indexed="49"/>
      </bottom>
      <diagonal/>
    </border>
    <border>
      <left/>
      <right/>
      <top/>
      <bottom style="medium">
        <color indexed="49"/>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bottom style="medium">
        <color indexed="64"/>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bottom style="medium">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right style="medium">
        <color indexed="64"/>
      </right>
      <top/>
      <bottom style="thin">
        <color indexed="64"/>
      </bottom>
      <diagonal/>
    </border>
    <border>
      <left style="thin">
        <color indexed="64"/>
      </left>
      <right style="medium">
        <color indexed="64"/>
      </right>
      <top/>
      <bottom style="medium">
        <color indexed="64"/>
      </bottom>
      <diagonal/>
    </border>
    <border>
      <left/>
      <right/>
      <top style="thin">
        <color indexed="64"/>
      </top>
      <bottom/>
      <diagonal/>
    </border>
    <border>
      <left style="thin">
        <color indexed="64"/>
      </left>
      <right/>
      <top/>
      <bottom/>
      <diagonal/>
    </border>
    <border>
      <left style="medium">
        <color indexed="8"/>
      </left>
      <right/>
      <top style="medium">
        <color indexed="8"/>
      </top>
      <bottom/>
      <diagonal/>
    </border>
    <border>
      <left style="thin">
        <color indexed="64"/>
      </left>
      <right/>
      <top style="thin">
        <color indexed="64"/>
      </top>
      <bottom/>
      <diagonal/>
    </border>
    <border>
      <left style="thin">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top style="medium">
        <color indexed="64"/>
      </top>
      <bottom style="thin">
        <color indexed="64"/>
      </bottom>
      <diagonal/>
    </border>
    <border>
      <left style="thin">
        <color indexed="64"/>
      </left>
      <right/>
      <top style="thin">
        <color indexed="64"/>
      </top>
      <bottom style="medium">
        <color indexed="64"/>
      </bottom>
      <diagonal/>
    </border>
    <border>
      <left style="thin">
        <color auto="1"/>
      </left>
      <right style="thin">
        <color auto="1"/>
      </right>
      <top style="thin">
        <color auto="1"/>
      </top>
      <bottom style="medium">
        <color indexed="64"/>
      </bottom>
      <diagonal/>
    </border>
    <border>
      <left style="thin">
        <color auto="1"/>
      </left>
      <right style="thin">
        <color auto="1"/>
      </right>
      <top style="thin">
        <color auto="1"/>
      </top>
      <bottom style="thin">
        <color auto="1"/>
      </bottom>
      <diagonal/>
    </border>
    <border>
      <left style="thin">
        <color indexed="64"/>
      </left>
      <right style="medium">
        <color indexed="64"/>
      </right>
      <top style="medium">
        <color indexed="64"/>
      </top>
      <bottom style="medium">
        <color indexed="64"/>
      </bottom>
      <diagonal/>
    </border>
    <border>
      <left/>
      <right style="thin">
        <color indexed="64"/>
      </right>
      <top style="medium">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diagonal/>
    </border>
    <border>
      <left style="medium">
        <color indexed="64"/>
      </left>
      <right/>
      <top/>
      <bottom/>
      <diagonal/>
    </border>
    <border>
      <left style="thin">
        <color indexed="64"/>
      </left>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medium">
        <color indexed="64"/>
      </left>
      <right style="medium">
        <color indexed="64"/>
      </right>
      <top/>
      <bottom style="medium">
        <color indexed="64"/>
      </bottom>
      <diagonal/>
    </border>
    <border>
      <left/>
      <right style="medium">
        <color indexed="64"/>
      </right>
      <top style="medium">
        <color indexed="64"/>
      </top>
      <bottom style="medium">
        <color indexed="64"/>
      </bottom>
      <diagonal/>
    </border>
    <border>
      <left style="thin">
        <color auto="1"/>
      </left>
      <right style="thin">
        <color auto="1"/>
      </right>
      <top style="thin">
        <color auto="1"/>
      </top>
      <bottom style="thin">
        <color auto="1"/>
      </bottom>
      <diagonal/>
    </border>
    <border>
      <left style="medium">
        <color indexed="64"/>
      </left>
      <right style="medium">
        <color indexed="64"/>
      </right>
      <top style="medium">
        <color indexed="64"/>
      </top>
      <bottom/>
      <diagonal/>
    </border>
    <border>
      <left style="thin">
        <color indexed="64"/>
      </left>
      <right/>
      <top style="thin">
        <color indexed="64"/>
      </top>
      <bottom/>
      <diagonal/>
    </border>
    <border>
      <left style="thin">
        <color auto="1"/>
      </left>
      <right style="thin">
        <color auto="1"/>
      </right>
      <top style="thin">
        <color auto="1"/>
      </top>
      <bottom/>
      <diagonal/>
    </border>
    <border>
      <left/>
      <right style="medium">
        <color indexed="64"/>
      </right>
      <top style="medium">
        <color indexed="64"/>
      </top>
      <bottom style="thin">
        <color indexed="64"/>
      </bottom>
      <diagonal/>
    </border>
    <border>
      <left/>
      <right style="medium">
        <color indexed="64"/>
      </right>
      <top style="thin">
        <color indexed="64"/>
      </top>
      <bottom style="medium">
        <color indexed="64"/>
      </bottom>
      <diagonal/>
    </border>
    <border>
      <left/>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medium">
        <color auto="1"/>
      </left>
      <right style="medium">
        <color auto="1"/>
      </right>
      <top style="thin">
        <color auto="1"/>
      </top>
      <bottom style="medium">
        <color auto="1"/>
      </bottom>
      <diagonal/>
    </border>
    <border>
      <left style="thin">
        <color auto="1"/>
      </left>
      <right style="thin">
        <color auto="1"/>
      </right>
      <top/>
      <bottom style="thin">
        <color auto="1"/>
      </bottom>
      <diagonal/>
    </border>
    <border>
      <left style="thin">
        <color indexed="64"/>
      </left>
      <right/>
      <top style="medium">
        <color indexed="64"/>
      </top>
      <bottom style="medium">
        <color indexed="64"/>
      </bottom>
      <diagonal/>
    </border>
    <border>
      <left/>
      <right style="thin">
        <color indexed="64"/>
      </right>
      <top style="medium">
        <color indexed="64"/>
      </top>
      <bottom style="medium">
        <color indexed="64"/>
      </bottom>
      <diagonal/>
    </border>
    <border>
      <left/>
      <right style="thin">
        <color indexed="64"/>
      </right>
      <top/>
      <bottom style="thin">
        <color indexed="64"/>
      </bottom>
      <diagonal/>
    </border>
    <border>
      <left style="thin">
        <color indexed="64"/>
      </left>
      <right/>
      <top/>
      <bottom style="thin">
        <color indexed="64"/>
      </bottom>
      <diagonal/>
    </border>
    <border>
      <left/>
      <right style="medium">
        <color indexed="64"/>
      </right>
      <top style="thin">
        <color indexed="64"/>
      </top>
      <bottom/>
      <diagonal/>
    </border>
    <border>
      <left/>
      <right/>
      <top/>
      <bottom style="thin">
        <color auto="1"/>
      </bottom>
      <diagonal/>
    </border>
    <border>
      <left style="thin">
        <color indexed="64"/>
      </left>
      <right style="medium">
        <color indexed="64"/>
      </right>
      <top style="medium">
        <color indexed="64"/>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medium">
        <color indexed="64"/>
      </left>
      <right style="medium">
        <color indexed="64"/>
      </right>
      <top/>
      <bottom/>
      <diagonal/>
    </border>
    <border>
      <left/>
      <right style="thin">
        <color auto="1"/>
      </right>
      <top style="thin">
        <color auto="1"/>
      </top>
      <bottom style="thin">
        <color auto="1"/>
      </bottom>
      <diagonal/>
    </border>
    <border>
      <left style="thin">
        <color indexed="64"/>
      </left>
      <right style="thin">
        <color indexed="64"/>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thin">
        <color indexed="8"/>
      </bottom>
      <diagonal/>
    </border>
    <border>
      <left style="thin">
        <color indexed="64"/>
      </left>
      <right style="thin">
        <color indexed="8"/>
      </right>
      <top style="thin">
        <color indexed="64"/>
      </top>
      <bottom style="thin">
        <color indexed="8"/>
      </bottom>
      <diagonal/>
    </border>
    <border>
      <left style="thin">
        <color indexed="64"/>
      </left>
      <right/>
      <top style="thin">
        <color indexed="64"/>
      </top>
      <bottom style="thin">
        <color indexed="64"/>
      </bottom>
      <diagonal/>
    </border>
    <border>
      <left style="thin">
        <color auto="1"/>
      </left>
      <right style="thin">
        <color auto="1"/>
      </right>
      <top style="thin">
        <color auto="1"/>
      </top>
      <bottom/>
      <diagonal/>
    </border>
    <border>
      <left/>
      <right style="thin">
        <color indexed="64"/>
      </right>
      <top style="thin">
        <color indexed="64"/>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auto="1"/>
      </left>
      <right/>
      <top style="thin">
        <color auto="1"/>
      </top>
      <bottom style="thin">
        <color auto="1"/>
      </bottom>
      <diagonal/>
    </border>
    <border>
      <left style="thin">
        <color auto="1"/>
      </left>
      <right style="thin">
        <color auto="1"/>
      </right>
      <top style="thin">
        <color auto="1"/>
      </top>
      <bottom style="thin">
        <color auto="1"/>
      </bottom>
      <diagonal/>
    </border>
    <border>
      <left style="thin">
        <color indexed="63"/>
      </left>
      <right style="thin">
        <color indexed="63"/>
      </right>
      <top style="thin">
        <color indexed="63"/>
      </top>
      <bottom style="thin">
        <color indexed="63"/>
      </bottom>
      <diagonal/>
    </border>
    <border>
      <left style="thin">
        <color indexed="23"/>
      </left>
      <right style="thin">
        <color indexed="23"/>
      </right>
      <top style="thin">
        <color indexed="23"/>
      </top>
      <bottom style="thin">
        <color indexed="23"/>
      </bottom>
      <diagonal/>
    </border>
    <border>
      <left/>
      <right/>
      <top style="thin">
        <color indexed="62"/>
      </top>
      <bottom style="double">
        <color indexed="62"/>
      </bottom>
      <diagonal/>
    </border>
    <border>
      <left style="thin">
        <color indexed="22"/>
      </left>
      <right style="thin">
        <color indexed="22"/>
      </right>
      <top style="thin">
        <color indexed="22"/>
      </top>
      <bottom style="thin">
        <color indexed="22"/>
      </bottom>
      <diagonal/>
    </border>
    <border>
      <left style="thin">
        <color auto="1"/>
      </left>
      <right style="thin">
        <color auto="1"/>
      </right>
      <top style="thin">
        <color auto="1"/>
      </top>
      <bottom style="thin">
        <color auto="1"/>
      </bottom>
      <diagonal/>
    </border>
    <border>
      <left style="thin">
        <color indexed="64"/>
      </left>
      <right style="thin">
        <color indexed="64"/>
      </right>
      <top style="thin">
        <color indexed="64"/>
      </top>
      <bottom style="thin">
        <color indexed="64"/>
      </bottom>
      <diagonal/>
    </border>
    <border>
      <left style="thin">
        <color indexed="63"/>
      </left>
      <right style="thin">
        <color indexed="63"/>
      </right>
      <top style="thin">
        <color indexed="63"/>
      </top>
      <bottom style="thin">
        <color indexed="63"/>
      </bottom>
      <diagonal/>
    </border>
    <border>
      <left style="thin">
        <color indexed="23"/>
      </left>
      <right style="thin">
        <color indexed="23"/>
      </right>
      <top style="thin">
        <color indexed="23"/>
      </top>
      <bottom style="thin">
        <color indexed="23"/>
      </bottom>
      <diagonal/>
    </border>
    <border>
      <left/>
      <right/>
      <top style="thin">
        <color indexed="62"/>
      </top>
      <bottom style="double">
        <color indexed="62"/>
      </bottom>
      <diagonal/>
    </border>
    <border>
      <left style="thin">
        <color indexed="22"/>
      </left>
      <right style="thin">
        <color indexed="22"/>
      </right>
      <top style="thin">
        <color indexed="22"/>
      </top>
      <bottom style="thin">
        <color indexed="22"/>
      </bottom>
      <diagonal/>
    </border>
    <border>
      <left/>
      <right/>
      <top style="thin">
        <color indexed="49"/>
      </top>
      <bottom style="double">
        <color indexed="49"/>
      </bottom>
      <diagonal/>
    </border>
    <border>
      <left/>
      <right/>
      <top/>
      <bottom style="thick">
        <color indexed="62"/>
      </bottom>
      <diagonal/>
    </border>
    <border>
      <left/>
      <right/>
      <top/>
      <bottom style="medium">
        <color indexed="30"/>
      </bottom>
      <diagonal/>
    </border>
    <border>
      <left style="thin">
        <color indexed="63"/>
      </left>
      <right style="thin">
        <color indexed="63"/>
      </right>
      <top style="thin">
        <color indexed="63"/>
      </top>
      <bottom style="thin">
        <color indexed="63"/>
      </bottom>
      <diagonal/>
    </border>
    <border>
      <left style="thin">
        <color indexed="23"/>
      </left>
      <right style="thin">
        <color indexed="23"/>
      </right>
      <top style="thin">
        <color indexed="23"/>
      </top>
      <bottom style="thin">
        <color indexed="23"/>
      </bottom>
      <diagonal/>
    </border>
    <border>
      <left/>
      <right/>
      <top style="thin">
        <color indexed="62"/>
      </top>
      <bottom style="double">
        <color indexed="62"/>
      </bottom>
      <diagonal/>
    </border>
    <border>
      <left style="thin">
        <color indexed="22"/>
      </left>
      <right style="thin">
        <color indexed="22"/>
      </right>
      <top style="thin">
        <color indexed="22"/>
      </top>
      <bottom style="thin">
        <color indexed="22"/>
      </bottom>
      <diagonal/>
    </border>
    <border>
      <left/>
      <right/>
      <top style="thin">
        <color indexed="49"/>
      </top>
      <bottom style="double">
        <color indexed="49"/>
      </bottom>
      <diagonal/>
    </border>
    <border>
      <left style="thin">
        <color indexed="63"/>
      </left>
      <right style="thin">
        <color indexed="63"/>
      </right>
      <top style="thin">
        <color indexed="63"/>
      </top>
      <bottom style="thin">
        <color indexed="63"/>
      </bottom>
      <diagonal/>
    </border>
    <border>
      <left style="thin">
        <color indexed="23"/>
      </left>
      <right style="thin">
        <color indexed="23"/>
      </right>
      <top style="thin">
        <color indexed="23"/>
      </top>
      <bottom style="thin">
        <color indexed="23"/>
      </bottom>
      <diagonal/>
    </border>
    <border>
      <left/>
      <right/>
      <top style="thin">
        <color indexed="62"/>
      </top>
      <bottom style="double">
        <color indexed="62"/>
      </bottom>
      <diagonal/>
    </border>
    <border>
      <left style="thin">
        <color indexed="22"/>
      </left>
      <right style="thin">
        <color indexed="22"/>
      </right>
      <top style="thin">
        <color indexed="22"/>
      </top>
      <bottom style="thin">
        <color indexed="22"/>
      </bottom>
      <diagonal/>
    </border>
    <border>
      <left/>
      <right/>
      <top style="thin">
        <color indexed="49"/>
      </top>
      <bottom style="double">
        <color indexed="49"/>
      </bottom>
      <diagonal/>
    </border>
    <border>
      <left style="thin">
        <color indexed="63"/>
      </left>
      <right style="thin">
        <color indexed="63"/>
      </right>
      <top style="thin">
        <color indexed="63"/>
      </top>
      <bottom style="thin">
        <color indexed="63"/>
      </bottom>
      <diagonal/>
    </border>
    <border>
      <left style="thin">
        <color indexed="23"/>
      </left>
      <right style="thin">
        <color indexed="23"/>
      </right>
      <top style="thin">
        <color indexed="23"/>
      </top>
      <bottom style="thin">
        <color indexed="23"/>
      </bottom>
      <diagonal/>
    </border>
    <border>
      <left/>
      <right/>
      <top style="thin">
        <color indexed="62"/>
      </top>
      <bottom style="double">
        <color indexed="62"/>
      </bottom>
      <diagonal/>
    </border>
    <border>
      <left style="thin">
        <color indexed="22"/>
      </left>
      <right style="thin">
        <color indexed="22"/>
      </right>
      <top style="thin">
        <color indexed="22"/>
      </top>
      <bottom style="thin">
        <color indexed="22"/>
      </bottom>
      <diagonal/>
    </border>
    <border>
      <left/>
      <right/>
      <top style="thin">
        <color indexed="49"/>
      </top>
      <bottom style="double">
        <color indexed="49"/>
      </bottom>
      <diagonal/>
    </border>
    <border>
      <left style="thin">
        <color indexed="63"/>
      </left>
      <right style="thin">
        <color indexed="63"/>
      </right>
      <top style="thin">
        <color indexed="63"/>
      </top>
      <bottom style="thin">
        <color indexed="63"/>
      </bottom>
      <diagonal/>
    </border>
    <border>
      <left style="thin">
        <color indexed="23"/>
      </left>
      <right style="thin">
        <color indexed="23"/>
      </right>
      <top style="thin">
        <color indexed="23"/>
      </top>
      <bottom style="thin">
        <color indexed="23"/>
      </bottom>
      <diagonal/>
    </border>
    <border>
      <left/>
      <right/>
      <top style="thin">
        <color indexed="62"/>
      </top>
      <bottom style="double">
        <color indexed="62"/>
      </bottom>
      <diagonal/>
    </border>
    <border>
      <left style="thin">
        <color indexed="22"/>
      </left>
      <right style="thin">
        <color indexed="22"/>
      </right>
      <top style="thin">
        <color indexed="22"/>
      </top>
      <bottom style="thin">
        <color indexed="22"/>
      </bottom>
      <diagonal/>
    </border>
    <border>
      <left/>
      <right/>
      <top style="thin">
        <color indexed="49"/>
      </top>
      <bottom style="double">
        <color indexed="49"/>
      </bottom>
      <diagonal/>
    </border>
    <border>
      <left style="thin">
        <color indexed="63"/>
      </left>
      <right style="thin">
        <color indexed="63"/>
      </right>
      <top style="thin">
        <color indexed="63"/>
      </top>
      <bottom style="thin">
        <color indexed="63"/>
      </bottom>
      <diagonal/>
    </border>
    <border>
      <left style="thin">
        <color indexed="23"/>
      </left>
      <right style="thin">
        <color indexed="23"/>
      </right>
      <top style="thin">
        <color indexed="23"/>
      </top>
      <bottom style="thin">
        <color indexed="23"/>
      </bottom>
      <diagonal/>
    </border>
    <border>
      <left/>
      <right/>
      <top style="thin">
        <color indexed="62"/>
      </top>
      <bottom style="double">
        <color indexed="62"/>
      </bottom>
      <diagonal/>
    </border>
    <border>
      <left style="thin">
        <color indexed="22"/>
      </left>
      <right style="thin">
        <color indexed="22"/>
      </right>
      <top style="thin">
        <color indexed="22"/>
      </top>
      <bottom style="thin">
        <color indexed="22"/>
      </bottom>
      <diagonal/>
    </border>
    <border>
      <left/>
      <right/>
      <top style="thin">
        <color indexed="49"/>
      </top>
      <bottom style="double">
        <color indexed="49"/>
      </bottom>
      <diagonal/>
    </border>
    <border>
      <left style="thin">
        <color indexed="63"/>
      </left>
      <right style="thin">
        <color indexed="63"/>
      </right>
      <top style="thin">
        <color indexed="63"/>
      </top>
      <bottom style="thin">
        <color indexed="63"/>
      </bottom>
      <diagonal/>
    </border>
    <border>
      <left style="thin">
        <color indexed="23"/>
      </left>
      <right style="thin">
        <color indexed="23"/>
      </right>
      <top style="thin">
        <color indexed="23"/>
      </top>
      <bottom style="thin">
        <color indexed="23"/>
      </bottom>
      <diagonal/>
    </border>
    <border>
      <left/>
      <right/>
      <top style="thin">
        <color indexed="62"/>
      </top>
      <bottom style="double">
        <color indexed="62"/>
      </bottom>
      <diagonal/>
    </border>
    <border>
      <left style="thin">
        <color indexed="22"/>
      </left>
      <right style="thin">
        <color indexed="22"/>
      </right>
      <top style="thin">
        <color indexed="22"/>
      </top>
      <bottom style="thin">
        <color indexed="22"/>
      </bottom>
      <diagonal/>
    </border>
    <border>
      <left/>
      <right/>
      <top style="thin">
        <color indexed="49"/>
      </top>
      <bottom style="double">
        <color indexed="49"/>
      </bottom>
      <diagonal/>
    </border>
    <border>
      <left style="thin">
        <color indexed="63"/>
      </left>
      <right style="thin">
        <color indexed="63"/>
      </right>
      <top style="thin">
        <color indexed="63"/>
      </top>
      <bottom style="thin">
        <color indexed="63"/>
      </bottom>
      <diagonal/>
    </border>
    <border>
      <left style="thin">
        <color indexed="23"/>
      </left>
      <right style="thin">
        <color indexed="23"/>
      </right>
      <top style="thin">
        <color indexed="23"/>
      </top>
      <bottom style="thin">
        <color indexed="23"/>
      </bottom>
      <diagonal/>
    </border>
    <border>
      <left/>
      <right/>
      <top style="thin">
        <color indexed="62"/>
      </top>
      <bottom style="double">
        <color indexed="62"/>
      </bottom>
      <diagonal/>
    </border>
    <border>
      <left style="thin">
        <color indexed="22"/>
      </left>
      <right style="thin">
        <color indexed="22"/>
      </right>
      <top style="thin">
        <color indexed="22"/>
      </top>
      <bottom style="thin">
        <color indexed="22"/>
      </bottom>
      <diagonal/>
    </border>
    <border>
      <left/>
      <right/>
      <top style="thin">
        <color indexed="49"/>
      </top>
      <bottom style="double">
        <color indexed="49"/>
      </bottom>
      <diagonal/>
    </border>
    <border>
      <left style="thin">
        <color indexed="63"/>
      </left>
      <right style="thin">
        <color indexed="63"/>
      </right>
      <top style="thin">
        <color indexed="63"/>
      </top>
      <bottom style="thin">
        <color indexed="63"/>
      </bottom>
      <diagonal/>
    </border>
    <border>
      <left style="thin">
        <color indexed="23"/>
      </left>
      <right style="thin">
        <color indexed="23"/>
      </right>
      <top style="thin">
        <color indexed="23"/>
      </top>
      <bottom style="thin">
        <color indexed="23"/>
      </bottom>
      <diagonal/>
    </border>
    <border>
      <left/>
      <right/>
      <top style="thin">
        <color indexed="62"/>
      </top>
      <bottom style="double">
        <color indexed="62"/>
      </bottom>
      <diagonal/>
    </border>
    <border>
      <left style="thin">
        <color indexed="22"/>
      </left>
      <right style="thin">
        <color indexed="22"/>
      </right>
      <top style="thin">
        <color indexed="22"/>
      </top>
      <bottom style="thin">
        <color indexed="22"/>
      </bottom>
      <diagonal/>
    </border>
    <border>
      <left/>
      <right/>
      <top style="thin">
        <color indexed="49"/>
      </top>
      <bottom style="double">
        <color indexed="49"/>
      </bottom>
      <diagonal/>
    </border>
    <border>
      <left style="thin">
        <color indexed="63"/>
      </left>
      <right style="thin">
        <color indexed="63"/>
      </right>
      <top style="thin">
        <color indexed="63"/>
      </top>
      <bottom style="thin">
        <color indexed="63"/>
      </bottom>
      <diagonal/>
    </border>
    <border>
      <left style="thin">
        <color indexed="23"/>
      </left>
      <right style="thin">
        <color indexed="23"/>
      </right>
      <top style="thin">
        <color indexed="23"/>
      </top>
      <bottom style="thin">
        <color indexed="23"/>
      </bottom>
      <diagonal/>
    </border>
    <border>
      <left/>
      <right/>
      <top style="thin">
        <color indexed="62"/>
      </top>
      <bottom style="double">
        <color indexed="62"/>
      </bottom>
      <diagonal/>
    </border>
    <border>
      <left style="thin">
        <color indexed="22"/>
      </left>
      <right style="thin">
        <color indexed="22"/>
      </right>
      <top style="thin">
        <color indexed="22"/>
      </top>
      <bottom style="thin">
        <color indexed="22"/>
      </bottom>
      <diagonal/>
    </border>
    <border>
      <left/>
      <right/>
      <top style="thin">
        <color indexed="49"/>
      </top>
      <bottom style="double">
        <color indexed="49"/>
      </bottom>
      <diagonal/>
    </border>
    <border>
      <left style="thin">
        <color indexed="63"/>
      </left>
      <right style="thin">
        <color indexed="63"/>
      </right>
      <top style="thin">
        <color indexed="63"/>
      </top>
      <bottom style="thin">
        <color indexed="63"/>
      </bottom>
      <diagonal/>
    </border>
    <border>
      <left style="thin">
        <color indexed="23"/>
      </left>
      <right style="thin">
        <color indexed="23"/>
      </right>
      <top style="thin">
        <color indexed="23"/>
      </top>
      <bottom style="thin">
        <color indexed="23"/>
      </bottom>
      <diagonal/>
    </border>
    <border>
      <left/>
      <right/>
      <top style="thin">
        <color indexed="62"/>
      </top>
      <bottom style="double">
        <color indexed="62"/>
      </bottom>
      <diagonal/>
    </border>
    <border>
      <left style="thin">
        <color indexed="22"/>
      </left>
      <right style="thin">
        <color indexed="22"/>
      </right>
      <top style="thin">
        <color indexed="22"/>
      </top>
      <bottom style="thin">
        <color indexed="22"/>
      </bottom>
      <diagonal/>
    </border>
    <border>
      <left/>
      <right/>
      <top style="thin">
        <color indexed="49"/>
      </top>
      <bottom style="double">
        <color indexed="49"/>
      </bottom>
      <diagonal/>
    </border>
    <border>
      <left style="thin">
        <color indexed="63"/>
      </left>
      <right style="thin">
        <color indexed="63"/>
      </right>
      <top style="thin">
        <color indexed="63"/>
      </top>
      <bottom style="thin">
        <color indexed="63"/>
      </bottom>
      <diagonal/>
    </border>
    <border>
      <left style="thin">
        <color indexed="23"/>
      </left>
      <right style="thin">
        <color indexed="23"/>
      </right>
      <top style="thin">
        <color indexed="23"/>
      </top>
      <bottom style="thin">
        <color indexed="23"/>
      </bottom>
      <diagonal/>
    </border>
    <border>
      <left/>
      <right/>
      <top style="thin">
        <color indexed="62"/>
      </top>
      <bottom style="double">
        <color indexed="62"/>
      </bottom>
      <diagonal/>
    </border>
    <border>
      <left style="thin">
        <color indexed="22"/>
      </left>
      <right style="thin">
        <color indexed="22"/>
      </right>
      <top style="thin">
        <color indexed="22"/>
      </top>
      <bottom style="thin">
        <color indexed="22"/>
      </bottom>
      <diagonal/>
    </border>
    <border>
      <left/>
      <right/>
      <top style="thin">
        <color indexed="49"/>
      </top>
      <bottom style="double">
        <color indexed="49"/>
      </bottom>
      <diagonal/>
    </border>
    <border>
      <left style="thin">
        <color indexed="63"/>
      </left>
      <right style="thin">
        <color indexed="63"/>
      </right>
      <top style="thin">
        <color indexed="63"/>
      </top>
      <bottom style="thin">
        <color indexed="63"/>
      </bottom>
      <diagonal/>
    </border>
    <border>
      <left style="thin">
        <color indexed="23"/>
      </left>
      <right style="thin">
        <color indexed="23"/>
      </right>
      <top style="thin">
        <color indexed="23"/>
      </top>
      <bottom style="thin">
        <color indexed="23"/>
      </bottom>
      <diagonal/>
    </border>
    <border>
      <left/>
      <right/>
      <top style="thin">
        <color indexed="62"/>
      </top>
      <bottom style="double">
        <color indexed="62"/>
      </bottom>
      <diagonal/>
    </border>
    <border>
      <left style="thin">
        <color indexed="22"/>
      </left>
      <right style="thin">
        <color indexed="22"/>
      </right>
      <top style="thin">
        <color indexed="22"/>
      </top>
      <bottom style="thin">
        <color indexed="22"/>
      </bottom>
      <diagonal/>
    </border>
    <border>
      <left/>
      <right/>
      <top style="thin">
        <color indexed="49"/>
      </top>
      <bottom style="double">
        <color indexed="49"/>
      </bottom>
      <diagonal/>
    </border>
    <border>
      <left style="thin">
        <color indexed="63"/>
      </left>
      <right style="thin">
        <color indexed="63"/>
      </right>
      <top style="thin">
        <color indexed="63"/>
      </top>
      <bottom style="thin">
        <color indexed="63"/>
      </bottom>
      <diagonal/>
    </border>
    <border>
      <left style="thin">
        <color indexed="23"/>
      </left>
      <right style="thin">
        <color indexed="23"/>
      </right>
      <top style="thin">
        <color indexed="23"/>
      </top>
      <bottom style="thin">
        <color indexed="23"/>
      </bottom>
      <diagonal/>
    </border>
    <border>
      <left/>
      <right/>
      <top style="thin">
        <color indexed="62"/>
      </top>
      <bottom style="double">
        <color indexed="62"/>
      </bottom>
      <diagonal/>
    </border>
    <border>
      <left style="thin">
        <color indexed="22"/>
      </left>
      <right style="thin">
        <color indexed="22"/>
      </right>
      <top style="thin">
        <color indexed="22"/>
      </top>
      <bottom style="thin">
        <color indexed="22"/>
      </bottom>
      <diagonal/>
    </border>
    <border>
      <left/>
      <right/>
      <top style="thin">
        <color indexed="49"/>
      </top>
      <bottom style="double">
        <color indexed="49"/>
      </bottom>
      <diagonal/>
    </border>
    <border>
      <left style="thin">
        <color indexed="63"/>
      </left>
      <right style="thin">
        <color indexed="63"/>
      </right>
      <top style="thin">
        <color indexed="63"/>
      </top>
      <bottom style="thin">
        <color indexed="63"/>
      </bottom>
      <diagonal/>
    </border>
    <border>
      <left style="thin">
        <color indexed="23"/>
      </left>
      <right style="thin">
        <color indexed="23"/>
      </right>
      <top style="thin">
        <color indexed="23"/>
      </top>
      <bottom style="thin">
        <color indexed="23"/>
      </bottom>
      <diagonal/>
    </border>
    <border>
      <left/>
      <right/>
      <top style="thin">
        <color indexed="62"/>
      </top>
      <bottom style="double">
        <color indexed="62"/>
      </bottom>
      <diagonal/>
    </border>
    <border>
      <left style="thin">
        <color indexed="22"/>
      </left>
      <right style="thin">
        <color indexed="22"/>
      </right>
      <top style="thin">
        <color indexed="22"/>
      </top>
      <bottom style="thin">
        <color indexed="22"/>
      </bottom>
      <diagonal/>
    </border>
    <border>
      <left/>
      <right/>
      <top style="thin">
        <color indexed="49"/>
      </top>
      <bottom style="double">
        <color indexed="49"/>
      </bottom>
      <diagonal/>
    </border>
    <border>
      <left style="thin">
        <color indexed="63"/>
      </left>
      <right style="thin">
        <color indexed="63"/>
      </right>
      <top style="thin">
        <color indexed="63"/>
      </top>
      <bottom style="thin">
        <color indexed="63"/>
      </bottom>
      <diagonal/>
    </border>
    <border>
      <left style="thin">
        <color indexed="23"/>
      </left>
      <right style="thin">
        <color indexed="23"/>
      </right>
      <top style="thin">
        <color indexed="23"/>
      </top>
      <bottom style="thin">
        <color indexed="23"/>
      </bottom>
      <diagonal/>
    </border>
    <border>
      <left/>
      <right/>
      <top style="thin">
        <color indexed="62"/>
      </top>
      <bottom style="double">
        <color indexed="62"/>
      </bottom>
      <diagonal/>
    </border>
    <border>
      <left style="thin">
        <color indexed="22"/>
      </left>
      <right style="thin">
        <color indexed="22"/>
      </right>
      <top style="thin">
        <color indexed="22"/>
      </top>
      <bottom style="thin">
        <color indexed="22"/>
      </bottom>
      <diagonal/>
    </border>
    <border>
      <left/>
      <right/>
      <top style="thin">
        <color indexed="49"/>
      </top>
      <bottom style="double">
        <color indexed="49"/>
      </bottom>
      <diagonal/>
    </border>
    <border>
      <left style="thin">
        <color indexed="63"/>
      </left>
      <right style="thin">
        <color indexed="63"/>
      </right>
      <top style="thin">
        <color indexed="63"/>
      </top>
      <bottom style="thin">
        <color indexed="63"/>
      </bottom>
      <diagonal/>
    </border>
    <border>
      <left style="thin">
        <color indexed="23"/>
      </left>
      <right style="thin">
        <color indexed="23"/>
      </right>
      <top style="thin">
        <color indexed="23"/>
      </top>
      <bottom style="thin">
        <color indexed="23"/>
      </bottom>
      <diagonal/>
    </border>
    <border>
      <left/>
      <right/>
      <top style="thin">
        <color indexed="62"/>
      </top>
      <bottom style="double">
        <color indexed="62"/>
      </bottom>
      <diagonal/>
    </border>
    <border>
      <left style="thin">
        <color indexed="22"/>
      </left>
      <right style="thin">
        <color indexed="22"/>
      </right>
      <top style="thin">
        <color indexed="22"/>
      </top>
      <bottom style="thin">
        <color indexed="22"/>
      </bottom>
      <diagonal/>
    </border>
    <border>
      <left/>
      <right/>
      <top style="thin">
        <color indexed="49"/>
      </top>
      <bottom style="double">
        <color indexed="49"/>
      </bottom>
      <diagonal/>
    </border>
    <border>
      <left style="thin">
        <color indexed="63"/>
      </left>
      <right style="thin">
        <color indexed="63"/>
      </right>
      <top style="thin">
        <color indexed="63"/>
      </top>
      <bottom style="thin">
        <color indexed="63"/>
      </bottom>
      <diagonal/>
    </border>
    <border>
      <left style="thin">
        <color indexed="23"/>
      </left>
      <right style="thin">
        <color indexed="23"/>
      </right>
      <top style="thin">
        <color indexed="23"/>
      </top>
      <bottom style="thin">
        <color indexed="23"/>
      </bottom>
      <diagonal/>
    </border>
    <border>
      <left/>
      <right/>
      <top style="thin">
        <color indexed="62"/>
      </top>
      <bottom style="double">
        <color indexed="62"/>
      </bottom>
      <diagonal/>
    </border>
    <border>
      <left style="thin">
        <color indexed="22"/>
      </left>
      <right style="thin">
        <color indexed="22"/>
      </right>
      <top style="thin">
        <color indexed="22"/>
      </top>
      <bottom style="thin">
        <color indexed="22"/>
      </bottom>
      <diagonal/>
    </border>
    <border>
      <left/>
      <right/>
      <top style="thin">
        <color indexed="49"/>
      </top>
      <bottom style="double">
        <color indexed="49"/>
      </bottom>
      <diagonal/>
    </border>
    <border>
      <left style="thin">
        <color indexed="63"/>
      </left>
      <right style="thin">
        <color indexed="63"/>
      </right>
      <top style="thin">
        <color indexed="63"/>
      </top>
      <bottom style="thin">
        <color indexed="63"/>
      </bottom>
      <diagonal/>
    </border>
    <border>
      <left style="thin">
        <color indexed="23"/>
      </left>
      <right style="thin">
        <color indexed="23"/>
      </right>
      <top style="thin">
        <color indexed="23"/>
      </top>
      <bottom style="thin">
        <color indexed="23"/>
      </bottom>
      <diagonal/>
    </border>
    <border>
      <left/>
      <right/>
      <top style="thin">
        <color indexed="62"/>
      </top>
      <bottom style="double">
        <color indexed="62"/>
      </bottom>
      <diagonal/>
    </border>
    <border>
      <left style="thin">
        <color indexed="22"/>
      </left>
      <right style="thin">
        <color indexed="22"/>
      </right>
      <top style="thin">
        <color indexed="22"/>
      </top>
      <bottom style="thin">
        <color indexed="22"/>
      </bottom>
      <diagonal/>
    </border>
    <border>
      <left/>
      <right/>
      <top style="thin">
        <color indexed="49"/>
      </top>
      <bottom style="double">
        <color indexed="49"/>
      </bottom>
      <diagonal/>
    </border>
    <border>
      <left style="thin">
        <color indexed="63"/>
      </left>
      <right style="thin">
        <color indexed="63"/>
      </right>
      <top style="thin">
        <color indexed="63"/>
      </top>
      <bottom style="thin">
        <color indexed="63"/>
      </bottom>
      <diagonal/>
    </border>
    <border>
      <left style="thin">
        <color indexed="23"/>
      </left>
      <right style="thin">
        <color indexed="23"/>
      </right>
      <top style="thin">
        <color indexed="23"/>
      </top>
      <bottom style="thin">
        <color indexed="23"/>
      </bottom>
      <diagonal/>
    </border>
    <border>
      <left/>
      <right/>
      <top style="thin">
        <color indexed="62"/>
      </top>
      <bottom style="double">
        <color indexed="62"/>
      </bottom>
      <diagonal/>
    </border>
    <border>
      <left style="thin">
        <color indexed="22"/>
      </left>
      <right style="thin">
        <color indexed="22"/>
      </right>
      <top style="thin">
        <color indexed="22"/>
      </top>
      <bottom style="thin">
        <color indexed="22"/>
      </bottom>
      <diagonal/>
    </border>
    <border>
      <left/>
      <right/>
      <top style="thin">
        <color indexed="49"/>
      </top>
      <bottom style="double">
        <color indexed="49"/>
      </bottom>
      <diagonal/>
    </border>
    <border>
      <left style="thin">
        <color indexed="63"/>
      </left>
      <right style="thin">
        <color indexed="63"/>
      </right>
      <top style="thin">
        <color indexed="63"/>
      </top>
      <bottom style="thin">
        <color indexed="63"/>
      </bottom>
      <diagonal/>
    </border>
    <border>
      <left style="thin">
        <color indexed="23"/>
      </left>
      <right style="thin">
        <color indexed="23"/>
      </right>
      <top style="thin">
        <color indexed="23"/>
      </top>
      <bottom style="thin">
        <color indexed="23"/>
      </bottom>
      <diagonal/>
    </border>
    <border>
      <left/>
      <right/>
      <top style="thin">
        <color indexed="62"/>
      </top>
      <bottom style="double">
        <color indexed="62"/>
      </bottom>
      <diagonal/>
    </border>
    <border>
      <left style="thin">
        <color indexed="22"/>
      </left>
      <right style="thin">
        <color indexed="22"/>
      </right>
      <top style="thin">
        <color indexed="22"/>
      </top>
      <bottom style="thin">
        <color indexed="22"/>
      </bottom>
      <diagonal/>
    </border>
    <border>
      <left/>
      <right/>
      <top style="thin">
        <color indexed="49"/>
      </top>
      <bottom style="double">
        <color indexed="49"/>
      </bottom>
      <diagonal/>
    </border>
    <border>
      <left style="thin">
        <color indexed="63"/>
      </left>
      <right style="thin">
        <color indexed="63"/>
      </right>
      <top style="thin">
        <color indexed="63"/>
      </top>
      <bottom style="thin">
        <color indexed="63"/>
      </bottom>
      <diagonal/>
    </border>
    <border>
      <left style="thin">
        <color indexed="23"/>
      </left>
      <right style="thin">
        <color indexed="23"/>
      </right>
      <top style="thin">
        <color indexed="23"/>
      </top>
      <bottom style="thin">
        <color indexed="23"/>
      </bottom>
      <diagonal/>
    </border>
    <border>
      <left/>
      <right/>
      <top style="thin">
        <color indexed="62"/>
      </top>
      <bottom style="double">
        <color indexed="62"/>
      </bottom>
      <diagonal/>
    </border>
    <border>
      <left style="thin">
        <color indexed="22"/>
      </left>
      <right style="thin">
        <color indexed="22"/>
      </right>
      <top style="thin">
        <color indexed="22"/>
      </top>
      <bottom style="thin">
        <color indexed="22"/>
      </bottom>
      <diagonal/>
    </border>
    <border>
      <left/>
      <right/>
      <top style="thin">
        <color indexed="49"/>
      </top>
      <bottom style="double">
        <color indexed="49"/>
      </bottom>
      <diagonal/>
    </border>
    <border>
      <left style="thin">
        <color indexed="63"/>
      </left>
      <right style="thin">
        <color indexed="63"/>
      </right>
      <top style="thin">
        <color indexed="63"/>
      </top>
      <bottom style="thin">
        <color indexed="63"/>
      </bottom>
      <diagonal/>
    </border>
    <border>
      <left style="thin">
        <color indexed="23"/>
      </left>
      <right style="thin">
        <color indexed="23"/>
      </right>
      <top style="thin">
        <color indexed="23"/>
      </top>
      <bottom style="thin">
        <color indexed="23"/>
      </bottom>
      <diagonal/>
    </border>
    <border>
      <left/>
      <right/>
      <top style="thin">
        <color indexed="62"/>
      </top>
      <bottom style="double">
        <color indexed="62"/>
      </bottom>
      <diagonal/>
    </border>
    <border>
      <left style="thin">
        <color indexed="22"/>
      </left>
      <right style="thin">
        <color indexed="22"/>
      </right>
      <top style="thin">
        <color indexed="22"/>
      </top>
      <bottom style="thin">
        <color indexed="22"/>
      </bottom>
      <diagonal/>
    </border>
    <border>
      <left/>
      <right/>
      <top style="thin">
        <color indexed="49"/>
      </top>
      <bottom style="double">
        <color indexed="49"/>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auto="1"/>
      </left>
      <right style="thin">
        <color auto="1"/>
      </right>
      <top style="thin">
        <color auto="1"/>
      </top>
      <bottom style="thin">
        <color auto="1"/>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top style="thin">
        <color indexed="64"/>
      </top>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thin">
        <color indexed="64"/>
      </top>
      <bottom style="thin">
        <color indexed="64"/>
      </bottom>
      <diagonal/>
    </border>
    <border>
      <left/>
      <right/>
      <top style="thin">
        <color indexed="64"/>
      </top>
      <bottom/>
      <diagonal/>
    </border>
    <border>
      <left style="thin">
        <color auto="1"/>
      </left>
      <right style="thin">
        <color auto="1"/>
      </right>
      <top style="thin">
        <color auto="1"/>
      </top>
      <bottom/>
      <diagonal/>
    </border>
    <border>
      <left/>
      <right style="thin">
        <color indexed="64"/>
      </right>
      <top style="thin">
        <color indexed="64"/>
      </top>
      <bottom style="medium">
        <color indexed="64"/>
      </bottom>
      <diagonal/>
    </border>
    <border>
      <left style="thin">
        <color auto="1"/>
      </left>
      <right style="thin">
        <color auto="1"/>
      </right>
      <top style="thin">
        <color auto="1"/>
      </top>
      <bottom style="medium">
        <color indexed="64"/>
      </bottom>
      <diagonal/>
    </border>
    <border>
      <left style="thin">
        <color indexed="64"/>
      </left>
      <right/>
      <top style="thin">
        <color indexed="64"/>
      </top>
      <bottom style="medium">
        <color indexed="64"/>
      </bottom>
      <diagonal/>
    </border>
    <border>
      <left style="thin">
        <color indexed="64"/>
      </left>
      <right style="thin">
        <color indexed="64"/>
      </right>
      <top style="thin">
        <color indexed="8"/>
      </top>
      <bottom style="thin">
        <color indexed="8"/>
      </bottom>
      <diagonal/>
    </border>
    <border>
      <left style="thin">
        <color indexed="64"/>
      </left>
      <right/>
      <top style="thin">
        <color indexed="8"/>
      </top>
      <bottom style="thin">
        <color indexed="8"/>
      </bottom>
      <diagonal/>
    </border>
    <border>
      <left style="thin">
        <color indexed="64"/>
      </left>
      <right style="thin">
        <color indexed="8"/>
      </right>
      <top style="thin">
        <color indexed="8"/>
      </top>
      <bottom style="thin">
        <color indexed="8"/>
      </bottom>
      <diagonal/>
    </border>
    <border>
      <left style="thin">
        <color indexed="64"/>
      </left>
      <right style="thin">
        <color indexed="64"/>
      </right>
      <top style="thin">
        <color indexed="8"/>
      </top>
      <bottom style="thin">
        <color indexed="64"/>
      </bottom>
      <diagonal/>
    </border>
    <border>
      <left style="thin">
        <color indexed="64"/>
      </left>
      <right style="thin">
        <color indexed="8"/>
      </right>
      <top style="thin">
        <color indexed="8"/>
      </top>
      <bottom style="thin">
        <color indexed="64"/>
      </bottom>
      <diagonal/>
    </border>
    <border>
      <left style="thin">
        <color indexed="64"/>
      </left>
      <right style="thin">
        <color indexed="64"/>
      </right>
      <top style="thin">
        <color indexed="8"/>
      </top>
      <bottom/>
      <diagonal/>
    </border>
    <border>
      <left style="thin">
        <color indexed="64"/>
      </left>
      <right/>
      <top style="thin">
        <color indexed="8"/>
      </top>
      <bottom/>
      <diagonal/>
    </border>
    <border>
      <left style="thin">
        <color indexed="64"/>
      </left>
      <right style="thin">
        <color indexed="8"/>
      </right>
      <top style="thin">
        <color indexed="8"/>
      </top>
      <bottom/>
      <diagonal/>
    </border>
    <border>
      <left style="thin">
        <color auto="1"/>
      </left>
      <right style="thin">
        <color auto="1"/>
      </right>
      <top style="thin">
        <color auto="1"/>
      </top>
      <bottom style="thin">
        <color auto="1"/>
      </bottom>
      <diagonal/>
    </border>
    <border>
      <left style="medium">
        <color auto="1"/>
      </left>
      <right style="medium">
        <color auto="1"/>
      </right>
      <top style="thin">
        <color auto="1"/>
      </top>
      <bottom/>
      <diagonal/>
    </border>
    <border>
      <left style="thin">
        <color auto="1"/>
      </left>
      <right/>
      <top style="thin">
        <color auto="1"/>
      </top>
      <bottom style="thin">
        <color auto="1"/>
      </bottom>
      <diagonal/>
    </border>
    <border>
      <left style="medium">
        <color indexed="64"/>
      </left>
      <right style="thin">
        <color indexed="64"/>
      </right>
      <top style="thin">
        <color indexed="64"/>
      </top>
      <bottom/>
      <diagonal/>
    </border>
    <border>
      <left style="medium">
        <color auto="1"/>
      </left>
      <right/>
      <top style="medium">
        <color auto="1"/>
      </top>
      <bottom/>
      <diagonal/>
    </border>
    <border>
      <left/>
      <right/>
      <top style="medium">
        <color indexed="64"/>
      </top>
      <bottom/>
      <diagonal/>
    </border>
    <border>
      <left/>
      <right style="medium">
        <color auto="1"/>
      </right>
      <top style="medium">
        <color auto="1"/>
      </top>
      <bottom/>
      <diagonal/>
    </border>
  </borders>
  <cellStyleXfs count="1381">
    <xf numFmtId="0" fontId="0" fillId="0" borderId="0"/>
    <xf numFmtId="0" fontId="5" fillId="2" borderId="0" applyNumberFormat="0" applyBorder="0" applyAlignment="0" applyProtection="0"/>
    <xf numFmtId="0" fontId="5" fillId="3" borderId="0" applyNumberFormat="0" applyBorder="0" applyAlignment="0" applyProtection="0"/>
    <xf numFmtId="0" fontId="5" fillId="4" borderId="0" applyNumberFormat="0" applyBorder="0" applyAlignment="0" applyProtection="0"/>
    <xf numFmtId="0" fontId="5" fillId="5" borderId="0" applyNumberFormat="0" applyBorder="0" applyAlignment="0" applyProtection="0"/>
    <xf numFmtId="0" fontId="5" fillId="6" borderId="0" applyNumberFormat="0" applyBorder="0" applyAlignment="0" applyProtection="0"/>
    <xf numFmtId="0" fontId="5" fillId="7" borderId="0" applyNumberFormat="0" applyBorder="0" applyAlignment="0" applyProtection="0"/>
    <xf numFmtId="0" fontId="6" fillId="8" borderId="0" applyNumberFormat="0" applyBorder="0" applyAlignment="0" applyProtection="0"/>
    <xf numFmtId="0" fontId="6" fillId="7" borderId="0" applyNumberFormat="0" applyBorder="0" applyAlignment="0" applyProtection="0"/>
    <xf numFmtId="0" fontId="6" fillId="9" borderId="0" applyNumberFormat="0" applyBorder="0" applyAlignment="0" applyProtection="0"/>
    <xf numFmtId="0" fontId="6" fillId="8" borderId="0" applyNumberFormat="0" applyBorder="0" applyAlignment="0" applyProtection="0"/>
    <xf numFmtId="0" fontId="6" fillId="6" borderId="0" applyNumberFormat="0" applyBorder="0" applyAlignment="0" applyProtection="0"/>
    <xf numFmtId="0" fontId="6" fillId="7" borderId="0" applyNumberFormat="0" applyBorder="0" applyAlignment="0" applyProtection="0"/>
    <xf numFmtId="0" fontId="5" fillId="10" borderId="0" applyNumberFormat="0" applyBorder="0" applyAlignment="0" applyProtection="0"/>
    <xf numFmtId="0" fontId="5" fillId="11" borderId="0" applyNumberFormat="0" applyBorder="0" applyAlignment="0" applyProtection="0"/>
    <xf numFmtId="0" fontId="5" fillId="12" borderId="0" applyNumberFormat="0" applyBorder="0" applyAlignment="0" applyProtection="0"/>
    <xf numFmtId="0" fontId="5" fillId="5" borderId="0" applyNumberFormat="0" applyBorder="0" applyAlignment="0" applyProtection="0"/>
    <xf numFmtId="0" fontId="5" fillId="10" borderId="0" applyNumberFormat="0" applyBorder="0" applyAlignment="0" applyProtection="0"/>
    <xf numFmtId="0" fontId="5" fillId="13" borderId="0" applyNumberFormat="0" applyBorder="0" applyAlignment="0" applyProtection="0"/>
    <xf numFmtId="0" fontId="6" fillId="14" borderId="0" applyNumberFormat="0" applyBorder="0" applyAlignment="0" applyProtection="0"/>
    <xf numFmtId="0" fontId="6" fillId="11" borderId="0" applyNumberFormat="0" applyBorder="0" applyAlignment="0" applyProtection="0"/>
    <xf numFmtId="0" fontId="6" fillId="15" borderId="0" applyNumberFormat="0" applyBorder="0" applyAlignment="0" applyProtection="0"/>
    <xf numFmtId="0" fontId="6" fillId="14" borderId="0" applyNumberFormat="0" applyBorder="0" applyAlignment="0" applyProtection="0"/>
    <xf numFmtId="0" fontId="6" fillId="10" borderId="0" applyNumberFormat="0" applyBorder="0" applyAlignment="0" applyProtection="0"/>
    <xf numFmtId="0" fontId="6" fillId="7" borderId="0" applyNumberFormat="0" applyBorder="0" applyAlignment="0" applyProtection="0"/>
    <xf numFmtId="0" fontId="7" fillId="16" borderId="0" applyNumberFormat="0" applyBorder="0" applyAlignment="0" applyProtection="0"/>
    <xf numFmtId="0" fontId="7" fillId="11" borderId="0" applyNumberFormat="0" applyBorder="0" applyAlignment="0" applyProtection="0"/>
    <xf numFmtId="0" fontId="7" fillId="12"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19" borderId="0" applyNumberFormat="0" applyBorder="0" applyAlignment="0" applyProtection="0"/>
    <xf numFmtId="0" fontId="8" fillId="18" borderId="0" applyNumberFormat="0" applyBorder="0" applyAlignment="0" applyProtection="0"/>
    <xf numFmtId="0" fontId="8" fillId="11" borderId="0" applyNumberFormat="0" applyBorder="0" applyAlignment="0" applyProtection="0"/>
    <xf numFmtId="0" fontId="8" fillId="15" borderId="0" applyNumberFormat="0" applyBorder="0" applyAlignment="0" applyProtection="0"/>
    <xf numFmtId="0" fontId="8" fillId="14" borderId="0" applyNumberFormat="0" applyBorder="0" applyAlignment="0" applyProtection="0"/>
    <xf numFmtId="0" fontId="8" fillId="18" borderId="0" applyNumberFormat="0" applyBorder="0" applyAlignment="0" applyProtection="0"/>
    <xf numFmtId="0" fontId="8" fillId="7" borderId="0" applyNumberFormat="0" applyBorder="0" applyAlignment="0" applyProtection="0"/>
    <xf numFmtId="0" fontId="9" fillId="14" borderId="1" applyNumberFormat="0" applyAlignment="0" applyProtection="0"/>
    <xf numFmtId="0" fontId="10" fillId="14" borderId="2" applyNumberFormat="0" applyAlignment="0" applyProtection="0"/>
    <xf numFmtId="0" fontId="11" fillId="4" borderId="0" applyNumberFormat="0" applyBorder="0" applyAlignment="0" applyProtection="0"/>
    <xf numFmtId="0" fontId="12" fillId="8" borderId="2" applyNumberFormat="0" applyAlignment="0" applyProtection="0"/>
    <xf numFmtId="0" fontId="13" fillId="23" borderId="3" applyNumberFormat="0" applyAlignment="0" applyProtection="0"/>
    <xf numFmtId="0" fontId="14" fillId="0" borderId="4" applyNumberFormat="0" applyFill="0" applyAlignment="0" applyProtection="0"/>
    <xf numFmtId="0" fontId="15" fillId="7" borderId="2" applyNumberFormat="0" applyAlignment="0" applyProtection="0"/>
    <xf numFmtId="0" fontId="16" fillId="0" borderId="0" applyNumberFormat="0" applyFill="0" applyBorder="0" applyAlignment="0" applyProtection="0"/>
    <xf numFmtId="0" fontId="8" fillId="18" borderId="0" applyNumberFormat="0" applyBorder="0" applyAlignment="0" applyProtection="0"/>
    <xf numFmtId="0" fontId="8" fillId="20" borderId="0" applyNumberFormat="0" applyBorder="0" applyAlignment="0" applyProtection="0"/>
    <xf numFmtId="0" fontId="8" fillId="21" borderId="0" applyNumberFormat="0" applyBorder="0" applyAlignment="0" applyProtection="0"/>
    <xf numFmtId="0" fontId="8" fillId="24" borderId="0" applyNumberFormat="0" applyBorder="0" applyAlignment="0" applyProtection="0"/>
    <xf numFmtId="0" fontId="8" fillId="18" borderId="0" applyNumberFormat="0" applyBorder="0" applyAlignment="0" applyProtection="0"/>
    <xf numFmtId="0" fontId="8" fillId="22" borderId="0" applyNumberFormat="0" applyBorder="0" applyAlignment="0" applyProtection="0"/>
    <xf numFmtId="0" fontId="17" fillId="7" borderId="2" applyNumberFormat="0" applyAlignment="0" applyProtection="0"/>
    <xf numFmtId="0" fontId="18" fillId="0" borderId="5" applyNumberFormat="0" applyFill="0" applyAlignment="0" applyProtection="0"/>
    <xf numFmtId="0" fontId="19" fillId="0" borderId="0" applyNumberFormat="0" applyFill="0" applyBorder="0" applyAlignment="0" applyProtection="0"/>
    <xf numFmtId="0" fontId="20" fillId="3" borderId="0" applyNumberFormat="0" applyBorder="0" applyAlignment="0" applyProtection="0"/>
    <xf numFmtId="0" fontId="34" fillId="0" borderId="0"/>
    <xf numFmtId="0" fontId="30" fillId="0" borderId="0"/>
    <xf numFmtId="0" fontId="34" fillId="0" borderId="0"/>
    <xf numFmtId="0" fontId="30" fillId="0" borderId="0"/>
    <xf numFmtId="0" fontId="30" fillId="0" borderId="0"/>
    <xf numFmtId="0" fontId="30" fillId="0" borderId="0"/>
    <xf numFmtId="0" fontId="30" fillId="0" borderId="0"/>
    <xf numFmtId="0" fontId="30" fillId="0" borderId="0"/>
    <xf numFmtId="0" fontId="34" fillId="0" borderId="0"/>
    <xf numFmtId="0" fontId="30" fillId="9" borderId="7" applyNumberFormat="0" applyAlignment="0" applyProtection="0"/>
    <xf numFmtId="0" fontId="30" fillId="9" borderId="7" applyNumberFormat="0" applyAlignment="0" applyProtection="0"/>
    <xf numFmtId="0" fontId="21" fillId="8" borderId="1" applyNumberFormat="0" applyAlignment="0" applyProtection="0"/>
    <xf numFmtId="0" fontId="34" fillId="0" borderId="0"/>
    <xf numFmtId="0" fontId="34" fillId="0" borderId="0"/>
    <xf numFmtId="0" fontId="22"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5" fillId="0" borderId="8" applyNumberFormat="0" applyFill="0" applyAlignment="0" applyProtection="0"/>
    <xf numFmtId="0" fontId="26" fillId="0" borderId="6" applyNumberFormat="0" applyFill="0" applyAlignment="0" applyProtection="0"/>
    <xf numFmtId="0" fontId="16" fillId="0" borderId="9" applyNumberFormat="0" applyFill="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4" fillId="0" borderId="0"/>
    <xf numFmtId="0" fontId="4" fillId="0" borderId="0"/>
    <xf numFmtId="0" fontId="4" fillId="0" borderId="0"/>
    <xf numFmtId="0" fontId="4" fillId="0" borderId="0"/>
    <xf numFmtId="0" fontId="30" fillId="0" borderId="0"/>
    <xf numFmtId="9" fontId="30" fillId="0" borderId="0" applyFont="0" applyFill="0" applyBorder="0" applyAlignment="0" applyProtection="0"/>
    <xf numFmtId="0" fontId="56" fillId="0" borderId="0" applyNumberFormat="0" applyFill="0" applyBorder="0" applyAlignment="0" applyProtection="0"/>
    <xf numFmtId="0" fontId="30" fillId="0" borderId="0"/>
    <xf numFmtId="9" fontId="30" fillId="0" borderId="0" applyFont="0" applyFill="0" applyBorder="0" applyAlignment="0" applyProtection="0"/>
    <xf numFmtId="0" fontId="78" fillId="0" borderId="128" applyNumberFormat="0" applyFill="0" applyAlignment="0" applyProtection="0"/>
    <xf numFmtId="0" fontId="10" fillId="14" borderId="150" applyNumberFormat="0" applyAlignment="0" applyProtection="0"/>
    <xf numFmtId="0" fontId="15" fillId="7" borderId="165" applyNumberFormat="0" applyAlignment="0" applyProtection="0"/>
    <xf numFmtId="0" fontId="12" fillId="8" borderId="190" applyNumberFormat="0" applyAlignment="0" applyProtection="0"/>
    <xf numFmtId="0" fontId="18" fillId="0" borderId="161" applyNumberFormat="0" applyFill="0" applyAlignment="0" applyProtection="0"/>
    <xf numFmtId="0" fontId="17" fillId="7" borderId="160" applyNumberFormat="0" applyAlignment="0" applyProtection="0"/>
    <xf numFmtId="0" fontId="15" fillId="7" borderId="160" applyNumberFormat="0" applyAlignment="0" applyProtection="0"/>
    <xf numFmtId="0" fontId="18" fillId="0" borderId="126" applyNumberFormat="0" applyFill="0" applyAlignment="0" applyProtection="0"/>
    <xf numFmtId="0" fontId="18" fillId="0" borderId="126" applyNumberFormat="0" applyFill="0" applyAlignment="0" applyProtection="0"/>
    <xf numFmtId="0" fontId="12" fillId="8" borderId="195" applyNumberFormat="0" applyAlignment="0" applyProtection="0"/>
    <xf numFmtId="0" fontId="12" fillId="8" borderId="175" applyNumberFormat="0" applyAlignment="0" applyProtection="0"/>
    <xf numFmtId="0" fontId="12" fillId="8" borderId="205" applyNumberFormat="0" applyAlignment="0" applyProtection="0"/>
    <xf numFmtId="0" fontId="10" fillId="14" borderId="135" applyNumberFormat="0" applyAlignment="0" applyProtection="0"/>
    <xf numFmtId="0" fontId="15" fillId="7" borderId="180" applyNumberFormat="0" applyAlignment="0" applyProtection="0"/>
    <xf numFmtId="0" fontId="15" fillId="7" borderId="190" applyNumberFormat="0" applyAlignment="0" applyProtection="0"/>
    <xf numFmtId="0" fontId="10" fillId="14" borderId="165" applyNumberFormat="0" applyAlignment="0" applyProtection="0"/>
    <xf numFmtId="0" fontId="9" fillId="14" borderId="139" applyNumberFormat="0" applyAlignment="0" applyProtection="0"/>
    <xf numFmtId="0" fontId="10" fillId="14" borderId="140" applyNumberFormat="0" applyAlignment="0" applyProtection="0"/>
    <xf numFmtId="0" fontId="10" fillId="14" borderId="140" applyNumberFormat="0" applyAlignment="0" applyProtection="0"/>
    <xf numFmtId="0" fontId="10" fillId="14" borderId="145" applyNumberFormat="0" applyAlignment="0" applyProtection="0"/>
    <xf numFmtId="0" fontId="30" fillId="9" borderId="177" applyNumberFormat="0" applyAlignment="0" applyProtection="0"/>
    <xf numFmtId="0" fontId="17" fillId="7" borderId="160" applyNumberFormat="0" applyAlignment="0" applyProtection="0"/>
    <xf numFmtId="0" fontId="30" fillId="59" borderId="162" applyNumberFormat="0" applyFont="0" applyAlignment="0" applyProtection="0"/>
    <xf numFmtId="0" fontId="18" fillId="0" borderId="196" applyNumberFormat="0" applyFill="0" applyAlignment="0" applyProtection="0"/>
    <xf numFmtId="0" fontId="9" fillId="14" borderId="164" applyNumberFormat="0" applyAlignment="0" applyProtection="0"/>
    <xf numFmtId="0" fontId="10" fillId="14" borderId="180" applyNumberFormat="0" applyAlignment="0" applyProtection="0"/>
    <xf numFmtId="0" fontId="15" fillId="7" borderId="170" applyNumberFormat="0" applyAlignment="0" applyProtection="0"/>
    <xf numFmtId="0" fontId="15" fillId="7" borderId="200" applyNumberFormat="0" applyAlignment="0" applyProtection="0"/>
    <xf numFmtId="0" fontId="30" fillId="9" borderId="207" applyNumberFormat="0" applyAlignment="0" applyProtection="0"/>
    <xf numFmtId="0" fontId="10" fillId="14" borderId="190" applyNumberFormat="0" applyAlignment="0" applyProtection="0"/>
    <xf numFmtId="0" fontId="9" fillId="14" borderId="96" applyNumberFormat="0" applyAlignment="0" applyProtection="0"/>
    <xf numFmtId="0" fontId="10" fillId="14" borderId="97" applyNumberFormat="0" applyAlignment="0" applyProtection="0"/>
    <xf numFmtId="0" fontId="10" fillId="14" borderId="190" applyNumberFormat="0" applyAlignment="0" applyProtection="0"/>
    <xf numFmtId="0" fontId="12" fillId="8" borderId="97" applyNumberFormat="0" applyAlignment="0" applyProtection="0"/>
    <xf numFmtId="0" fontId="30" fillId="9" borderId="207" applyNumberFormat="0" applyAlignment="0" applyProtection="0"/>
    <xf numFmtId="0" fontId="10" fillId="14" borderId="160" applyNumberFormat="0" applyAlignment="0" applyProtection="0"/>
    <xf numFmtId="0" fontId="15" fillId="7" borderId="97" applyNumberFormat="0" applyAlignment="0" applyProtection="0"/>
    <xf numFmtId="0" fontId="17" fillId="7" borderId="150" applyNumberFormat="0" applyAlignment="0" applyProtection="0"/>
    <xf numFmtId="0" fontId="10" fillId="14" borderId="140" applyNumberFormat="0" applyAlignment="0" applyProtection="0"/>
    <xf numFmtId="0" fontId="9" fillId="14" borderId="139" applyNumberFormat="0" applyAlignment="0" applyProtection="0"/>
    <xf numFmtId="0" fontId="15" fillId="7" borderId="140" applyNumberFormat="0" applyAlignment="0" applyProtection="0"/>
    <xf numFmtId="0" fontId="18" fillId="0" borderId="156" applyNumberFormat="0" applyFill="0" applyAlignment="0" applyProtection="0"/>
    <xf numFmtId="0" fontId="17" fillId="7" borderId="97" applyNumberFormat="0" applyAlignment="0" applyProtection="0"/>
    <xf numFmtId="0" fontId="18" fillId="0" borderId="98" applyNumberFormat="0" applyFill="0" applyAlignment="0" applyProtection="0"/>
    <xf numFmtId="0" fontId="3" fillId="0" borderId="0"/>
    <xf numFmtId="0" fontId="9" fillId="14" borderId="199" applyNumberFormat="0" applyAlignment="0" applyProtection="0"/>
    <xf numFmtId="0" fontId="3" fillId="0" borderId="0"/>
    <xf numFmtId="0" fontId="30" fillId="59" borderId="127" applyNumberFormat="0" applyFont="0" applyAlignment="0" applyProtection="0"/>
    <xf numFmtId="0" fontId="3" fillId="0" borderId="0"/>
    <xf numFmtId="0" fontId="30" fillId="9" borderId="99" applyNumberFormat="0" applyAlignment="0" applyProtection="0"/>
    <xf numFmtId="0" fontId="30" fillId="9" borderId="99" applyNumberFormat="0" applyAlignment="0" applyProtection="0"/>
    <xf numFmtId="0" fontId="21" fillId="8" borderId="96" applyNumberFormat="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0" fontId="9" fillId="14" borderId="119" applyNumberFormat="0" applyAlignment="0" applyProtection="0"/>
    <xf numFmtId="0" fontId="3" fillId="0" borderId="0"/>
    <xf numFmtId="0" fontId="30" fillId="0" borderId="0"/>
    <xf numFmtId="0" fontId="9" fillId="14" borderId="102" applyNumberFormat="0" applyAlignment="0" applyProtection="0"/>
    <xf numFmtId="0" fontId="10" fillId="14" borderId="103" applyNumberFormat="0" applyAlignment="0" applyProtection="0"/>
    <xf numFmtId="0" fontId="12" fillId="8" borderId="103" applyNumberFormat="0" applyAlignment="0" applyProtection="0"/>
    <xf numFmtId="0" fontId="15" fillId="7" borderId="103" applyNumberFormat="0" applyAlignment="0" applyProtection="0"/>
    <xf numFmtId="0" fontId="17" fillId="7" borderId="103" applyNumberFormat="0" applyAlignment="0" applyProtection="0"/>
    <xf numFmtId="0" fontId="18" fillId="0" borderId="104" applyNumberFormat="0" applyFill="0" applyAlignment="0" applyProtection="0"/>
    <xf numFmtId="0" fontId="3" fillId="0" borderId="0"/>
    <xf numFmtId="0" fontId="3" fillId="0" borderId="0"/>
    <xf numFmtId="0" fontId="3" fillId="0" borderId="0"/>
    <xf numFmtId="0" fontId="30" fillId="9" borderId="105" applyNumberFormat="0" applyAlignment="0" applyProtection="0"/>
    <xf numFmtId="0" fontId="30" fillId="9" borderId="105" applyNumberFormat="0" applyAlignment="0" applyProtection="0"/>
    <xf numFmtId="0" fontId="21" fillId="8" borderId="102" applyNumberFormat="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9" fontId="30" fillId="0" borderId="0" applyFont="0" applyFill="0" applyBorder="0" applyAlignment="0" applyProtection="0"/>
    <xf numFmtId="0" fontId="6" fillId="57" borderId="0" applyNumberFormat="0" applyBorder="0" applyAlignment="0" applyProtection="0"/>
    <xf numFmtId="0" fontId="3" fillId="39" borderId="0" applyNumberFormat="0" applyBorder="0" applyAlignment="0" applyProtection="0"/>
    <xf numFmtId="0" fontId="3" fillId="39" borderId="0" applyNumberFormat="0" applyBorder="0" applyAlignment="0" applyProtection="0"/>
    <xf numFmtId="0" fontId="3" fillId="39" borderId="0" applyNumberFormat="0" applyBorder="0" applyAlignment="0" applyProtection="0"/>
    <xf numFmtId="0" fontId="3" fillId="39" borderId="0" applyNumberFormat="0" applyBorder="0" applyAlignment="0" applyProtection="0"/>
    <xf numFmtId="0" fontId="6" fillId="58" borderId="0" applyNumberFormat="0" applyBorder="0" applyAlignment="0" applyProtection="0"/>
    <xf numFmtId="0" fontId="3" fillId="42" borderId="0" applyNumberFormat="0" applyBorder="0" applyAlignment="0" applyProtection="0"/>
    <xf numFmtId="0" fontId="3" fillId="42" borderId="0" applyNumberFormat="0" applyBorder="0" applyAlignment="0" applyProtection="0"/>
    <xf numFmtId="0" fontId="3" fillId="42" borderId="0" applyNumberFormat="0" applyBorder="0" applyAlignment="0" applyProtection="0"/>
    <xf numFmtId="0" fontId="3" fillId="42" borderId="0" applyNumberFormat="0" applyBorder="0" applyAlignment="0" applyProtection="0"/>
    <xf numFmtId="0" fontId="6" fillId="59" borderId="0" applyNumberFormat="0" applyBorder="0" applyAlignment="0" applyProtection="0"/>
    <xf numFmtId="0" fontId="3" fillId="45" borderId="0" applyNumberFormat="0" applyBorder="0" applyAlignment="0" applyProtection="0"/>
    <xf numFmtId="0" fontId="3" fillId="45" borderId="0" applyNumberFormat="0" applyBorder="0" applyAlignment="0" applyProtection="0"/>
    <xf numFmtId="0" fontId="3" fillId="45" borderId="0" applyNumberFormat="0" applyBorder="0" applyAlignment="0" applyProtection="0"/>
    <xf numFmtId="0" fontId="3" fillId="45" borderId="0" applyNumberFormat="0" applyBorder="0" applyAlignment="0" applyProtection="0"/>
    <xf numFmtId="0" fontId="6" fillId="57" borderId="0" applyNumberFormat="0" applyBorder="0" applyAlignment="0" applyProtection="0"/>
    <xf numFmtId="0" fontId="3" fillId="48" borderId="0" applyNumberFormat="0" applyBorder="0" applyAlignment="0" applyProtection="0"/>
    <xf numFmtId="0" fontId="3" fillId="48" borderId="0" applyNumberFormat="0" applyBorder="0" applyAlignment="0" applyProtection="0"/>
    <xf numFmtId="0" fontId="3" fillId="48" borderId="0" applyNumberFormat="0" applyBorder="0" applyAlignment="0" applyProtection="0"/>
    <xf numFmtId="0" fontId="3" fillId="48" borderId="0" applyNumberFormat="0" applyBorder="0" applyAlignment="0" applyProtection="0"/>
    <xf numFmtId="0" fontId="6" fillId="60" borderId="0" applyNumberFormat="0" applyBorder="0" applyAlignment="0" applyProtection="0"/>
    <xf numFmtId="0" fontId="3" fillId="51" borderId="0" applyNumberFormat="0" applyBorder="0" applyAlignment="0" applyProtection="0"/>
    <xf numFmtId="0" fontId="3" fillId="51" borderId="0" applyNumberFormat="0" applyBorder="0" applyAlignment="0" applyProtection="0"/>
    <xf numFmtId="0" fontId="3" fillId="51" borderId="0" applyNumberFormat="0" applyBorder="0" applyAlignment="0" applyProtection="0"/>
    <xf numFmtId="0" fontId="3" fillId="51" borderId="0" applyNumberFormat="0" applyBorder="0" applyAlignment="0" applyProtection="0"/>
    <xf numFmtId="0" fontId="6" fillId="58" borderId="0" applyNumberFormat="0" applyBorder="0" applyAlignment="0" applyProtection="0"/>
    <xf numFmtId="0" fontId="3" fillId="54" borderId="0" applyNumberFormat="0" applyBorder="0" applyAlignment="0" applyProtection="0"/>
    <xf numFmtId="0" fontId="3" fillId="54" borderId="0" applyNumberFormat="0" applyBorder="0" applyAlignment="0" applyProtection="0"/>
    <xf numFmtId="0" fontId="3" fillId="54" borderId="0" applyNumberFormat="0" applyBorder="0" applyAlignment="0" applyProtection="0"/>
    <xf numFmtId="0" fontId="3" fillId="54" borderId="0" applyNumberFormat="0" applyBorder="0" applyAlignment="0" applyProtection="0"/>
    <xf numFmtId="0" fontId="6" fillId="61" borderId="0" applyNumberFormat="0" applyBorder="0" applyAlignment="0" applyProtection="0"/>
    <xf numFmtId="0" fontId="3" fillId="40" borderId="0" applyNumberFormat="0" applyBorder="0" applyAlignment="0" applyProtection="0"/>
    <xf numFmtId="0" fontId="3" fillId="40" borderId="0" applyNumberFormat="0" applyBorder="0" applyAlignment="0" applyProtection="0"/>
    <xf numFmtId="0" fontId="3" fillId="40" borderId="0" applyNumberFormat="0" applyBorder="0" applyAlignment="0" applyProtection="0"/>
    <xf numFmtId="0" fontId="3" fillId="40" borderId="0" applyNumberFormat="0" applyBorder="0" applyAlignment="0" applyProtection="0"/>
    <xf numFmtId="0" fontId="6" fillId="62" borderId="0" applyNumberFormat="0" applyBorder="0" applyAlignment="0" applyProtection="0"/>
    <xf numFmtId="0" fontId="3" fillId="43" borderId="0" applyNumberFormat="0" applyBorder="0" applyAlignment="0" applyProtection="0"/>
    <xf numFmtId="0" fontId="3" fillId="43" borderId="0" applyNumberFormat="0" applyBorder="0" applyAlignment="0" applyProtection="0"/>
    <xf numFmtId="0" fontId="3" fillId="43" borderId="0" applyNumberFormat="0" applyBorder="0" applyAlignment="0" applyProtection="0"/>
    <xf numFmtId="0" fontId="3" fillId="43" borderId="0" applyNumberFormat="0" applyBorder="0" applyAlignment="0" applyProtection="0"/>
    <xf numFmtId="0" fontId="6" fillId="63" borderId="0" applyNumberFormat="0" applyBorder="0" applyAlignment="0" applyProtection="0"/>
    <xf numFmtId="0" fontId="3" fillId="46" borderId="0" applyNumberFormat="0" applyBorder="0" applyAlignment="0" applyProtection="0"/>
    <xf numFmtId="0" fontId="3" fillId="46" borderId="0" applyNumberFormat="0" applyBorder="0" applyAlignment="0" applyProtection="0"/>
    <xf numFmtId="0" fontId="3" fillId="46" borderId="0" applyNumberFormat="0" applyBorder="0" applyAlignment="0" applyProtection="0"/>
    <xf numFmtId="0" fontId="3" fillId="46" borderId="0" applyNumberFormat="0" applyBorder="0" applyAlignment="0" applyProtection="0"/>
    <xf numFmtId="0" fontId="6" fillId="61" borderId="0" applyNumberFormat="0" applyBorder="0" applyAlignment="0" applyProtection="0"/>
    <xf numFmtId="0" fontId="3" fillId="49" borderId="0" applyNumberFormat="0" applyBorder="0" applyAlignment="0" applyProtection="0"/>
    <xf numFmtId="0" fontId="3" fillId="49" borderId="0" applyNumberFormat="0" applyBorder="0" applyAlignment="0" applyProtection="0"/>
    <xf numFmtId="0" fontId="3" fillId="49" borderId="0" applyNumberFormat="0" applyBorder="0" applyAlignment="0" applyProtection="0"/>
    <xf numFmtId="0" fontId="3" fillId="49" borderId="0" applyNumberFormat="0" applyBorder="0" applyAlignment="0" applyProtection="0"/>
    <xf numFmtId="0" fontId="6" fillId="64"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6" fillId="58"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5" fillId="13" borderId="0" applyNumberFormat="0" applyBorder="0" applyAlignment="0" applyProtection="0"/>
    <xf numFmtId="0" fontId="5" fillId="65" borderId="0" applyNumberFormat="0" applyBorder="0" applyAlignment="0" applyProtection="0"/>
    <xf numFmtId="0" fontId="5" fillId="65" borderId="0" applyNumberFormat="0" applyBorder="0" applyAlignment="0" applyProtection="0"/>
    <xf numFmtId="0" fontId="5" fillId="13" borderId="0" applyNumberFormat="0" applyBorder="0" applyAlignment="0" applyProtection="0"/>
    <xf numFmtId="0" fontId="8" fillId="66" borderId="0" applyNumberFormat="0" applyBorder="0" applyAlignment="0" applyProtection="0"/>
    <xf numFmtId="0" fontId="8" fillId="62" borderId="0" applyNumberFormat="0" applyBorder="0" applyAlignment="0" applyProtection="0"/>
    <xf numFmtId="0" fontId="8" fillId="63" borderId="0" applyNumberFormat="0" applyBorder="0" applyAlignment="0" applyProtection="0"/>
    <xf numFmtId="0" fontId="8" fillId="61" borderId="0" applyNumberFormat="0" applyBorder="0" applyAlignment="0" applyProtection="0"/>
    <xf numFmtId="0" fontId="8" fillId="66" borderId="0" applyNumberFormat="0" applyBorder="0" applyAlignment="0" applyProtection="0"/>
    <xf numFmtId="0" fontId="8" fillId="58" borderId="0" applyNumberFormat="0" applyBorder="0" applyAlignment="0" applyProtection="0"/>
    <xf numFmtId="0" fontId="7" fillId="19" borderId="0" applyNumberFormat="0" applyBorder="0" applyAlignment="0" applyProtection="0"/>
    <xf numFmtId="0" fontId="7" fillId="67" borderId="0" applyNumberFormat="0" applyBorder="0" applyAlignment="0" applyProtection="0"/>
    <xf numFmtId="0" fontId="7" fillId="67" borderId="0" applyNumberFormat="0" applyBorder="0" applyAlignment="0" applyProtection="0"/>
    <xf numFmtId="0" fontId="7" fillId="19" borderId="0" applyNumberFormat="0" applyBorder="0" applyAlignment="0" applyProtection="0"/>
    <xf numFmtId="0" fontId="8" fillId="66" borderId="0" applyNumberFormat="0" applyBorder="0" applyAlignment="0" applyProtection="0"/>
    <xf numFmtId="0" fontId="73" fillId="38" borderId="0" applyNumberFormat="0" applyBorder="0" applyAlignment="0" applyProtection="0"/>
    <xf numFmtId="0" fontId="8" fillId="68" borderId="0" applyNumberFormat="0" applyBorder="0" applyAlignment="0" applyProtection="0"/>
    <xf numFmtId="0" fontId="73" fillId="41" borderId="0" applyNumberFormat="0" applyBorder="0" applyAlignment="0" applyProtection="0"/>
    <xf numFmtId="0" fontId="8" fillId="69" borderId="0" applyNumberFormat="0" applyBorder="0" applyAlignment="0" applyProtection="0"/>
    <xf numFmtId="0" fontId="73" fillId="44" borderId="0" applyNumberFormat="0" applyBorder="0" applyAlignment="0" applyProtection="0"/>
    <xf numFmtId="0" fontId="8" fillId="70" borderId="0" applyNumberFormat="0" applyBorder="0" applyAlignment="0" applyProtection="0"/>
    <xf numFmtId="0" fontId="73" fillId="47" borderId="0" applyNumberFormat="0" applyBorder="0" applyAlignment="0" applyProtection="0"/>
    <xf numFmtId="0" fontId="8" fillId="66" borderId="0" applyNumberFormat="0" applyBorder="0" applyAlignment="0" applyProtection="0"/>
    <xf numFmtId="0" fontId="73" fillId="50" borderId="0" applyNumberFormat="0" applyBorder="0" applyAlignment="0" applyProtection="0"/>
    <xf numFmtId="0" fontId="8" fillId="71" borderId="0" applyNumberFormat="0" applyBorder="0" applyAlignment="0" applyProtection="0"/>
    <xf numFmtId="0" fontId="73" fillId="53" borderId="0" applyNumberFormat="0" applyBorder="0" applyAlignment="0" applyProtection="0"/>
    <xf numFmtId="0" fontId="7" fillId="72" borderId="0" applyNumberFormat="0" applyBorder="0" applyAlignment="0" applyProtection="0"/>
    <xf numFmtId="0" fontId="73" fillId="38" borderId="0" applyNumberFormat="0" applyBorder="0" applyAlignment="0" applyProtection="0"/>
    <xf numFmtId="0" fontId="73" fillId="38" borderId="0" applyNumberFormat="0" applyBorder="0" applyAlignment="0" applyProtection="0"/>
    <xf numFmtId="0" fontId="7" fillId="20" borderId="0" applyNumberFormat="0" applyBorder="0" applyAlignment="0" applyProtection="0"/>
    <xf numFmtId="0" fontId="73" fillId="41" borderId="0" applyNumberFormat="0" applyBorder="0" applyAlignment="0" applyProtection="0"/>
    <xf numFmtId="0" fontId="73" fillId="41" borderId="0" applyNumberFormat="0" applyBorder="0" applyAlignment="0" applyProtection="0"/>
    <xf numFmtId="0" fontId="7" fillId="21" borderId="0" applyNumberFormat="0" applyBorder="0" applyAlignment="0" applyProtection="0"/>
    <xf numFmtId="0" fontId="73" fillId="44" borderId="0" applyNumberFormat="0" applyBorder="0" applyAlignment="0" applyProtection="0"/>
    <xf numFmtId="0" fontId="73" fillId="44" borderId="0" applyNumberFormat="0" applyBorder="0" applyAlignment="0" applyProtection="0"/>
    <xf numFmtId="0" fontId="7" fillId="17" borderId="0" applyNumberFormat="0" applyBorder="0" applyAlignment="0" applyProtection="0"/>
    <xf numFmtId="0" fontId="73" fillId="47" borderId="0" applyNumberFormat="0" applyBorder="0" applyAlignment="0" applyProtection="0"/>
    <xf numFmtId="0" fontId="73" fillId="47" borderId="0" applyNumberFormat="0" applyBorder="0" applyAlignment="0" applyProtection="0"/>
    <xf numFmtId="0" fontId="7" fillId="18" borderId="0" applyNumberFormat="0" applyBorder="0" applyAlignment="0" applyProtection="0"/>
    <xf numFmtId="0" fontId="73" fillId="50" borderId="0" applyNumberFormat="0" applyBorder="0" applyAlignment="0" applyProtection="0"/>
    <xf numFmtId="0" fontId="73" fillId="50" borderId="0" applyNumberFormat="0" applyBorder="0" applyAlignment="0" applyProtection="0"/>
    <xf numFmtId="0" fontId="7" fillId="73" borderId="0" applyNumberFormat="0" applyBorder="0" applyAlignment="0" applyProtection="0"/>
    <xf numFmtId="0" fontId="7" fillId="22" borderId="0" applyNumberFormat="0" applyBorder="0" applyAlignment="0" applyProtection="0"/>
    <xf numFmtId="0" fontId="73" fillId="53" borderId="0" applyNumberFormat="0" applyBorder="0" applyAlignment="0" applyProtection="0"/>
    <xf numFmtId="0" fontId="73" fillId="53" borderId="0" applyNumberFormat="0" applyBorder="0" applyAlignment="0" applyProtection="0"/>
    <xf numFmtId="0" fontId="73" fillId="53" borderId="0" applyNumberFormat="0" applyBorder="0" applyAlignment="0" applyProtection="0"/>
    <xf numFmtId="0" fontId="73" fillId="53" borderId="0" applyNumberFormat="0" applyBorder="0" applyAlignment="0" applyProtection="0"/>
    <xf numFmtId="0" fontId="73" fillId="53" borderId="0" applyNumberFormat="0" applyBorder="0" applyAlignment="0" applyProtection="0"/>
    <xf numFmtId="0" fontId="7" fillId="22" borderId="0" applyNumberFormat="0" applyBorder="0" applyAlignment="0" applyProtection="0"/>
    <xf numFmtId="0" fontId="67" fillId="35" borderId="89" applyNumberFormat="0" applyAlignment="0" applyProtection="0"/>
    <xf numFmtId="0" fontId="9" fillId="14" borderId="102" applyNumberFormat="0" applyAlignment="0" applyProtection="0"/>
    <xf numFmtId="0" fontId="67" fillId="35" borderId="89" applyNumberFormat="0" applyAlignment="0" applyProtection="0"/>
    <xf numFmtId="0" fontId="9" fillId="14" borderId="102" applyNumberFormat="0" applyAlignment="0" applyProtection="0"/>
    <xf numFmtId="0" fontId="20" fillId="74" borderId="0" applyNumberFormat="0" applyBorder="0" applyAlignment="0" applyProtection="0"/>
    <xf numFmtId="0" fontId="64" fillId="32" borderId="0" applyNumberFormat="0" applyBorder="0" applyAlignment="0" applyProtection="0"/>
    <xf numFmtId="0" fontId="68" fillId="35" borderId="88" applyNumberFormat="0" applyAlignment="0" applyProtection="0"/>
    <xf numFmtId="0" fontId="10" fillId="14" borderId="103" applyNumberFormat="0" applyAlignment="0" applyProtection="0"/>
    <xf numFmtId="0" fontId="68" fillId="35" borderId="88" applyNumberFormat="0" applyAlignment="0" applyProtection="0"/>
    <xf numFmtId="0" fontId="10" fillId="14" borderId="103" applyNumberFormat="0" applyAlignment="0" applyProtection="0"/>
    <xf numFmtId="0" fontId="12" fillId="57" borderId="103" applyNumberFormat="0" applyAlignment="0" applyProtection="0"/>
    <xf numFmtId="0" fontId="12" fillId="8" borderId="103" applyNumberFormat="0" applyAlignment="0" applyProtection="0"/>
    <xf numFmtId="0" fontId="12" fillId="8" borderId="103" applyNumberFormat="0" applyAlignment="0" applyProtection="0"/>
    <xf numFmtId="0" fontId="12" fillId="8" borderId="103" applyNumberFormat="0" applyAlignment="0" applyProtection="0"/>
    <xf numFmtId="0" fontId="13" fillId="75" borderId="3" applyNumberFormat="0" applyAlignment="0" applyProtection="0"/>
    <xf numFmtId="0" fontId="70" fillId="36" borderId="91" applyNumberFormat="0" applyAlignment="0" applyProtection="0"/>
    <xf numFmtId="164" fontId="30" fillId="0" borderId="0" applyFill="0" applyBorder="0" applyAlignment="0" applyProtection="0"/>
    <xf numFmtId="0" fontId="15" fillId="7" borderId="103" applyNumberFormat="0" applyAlignment="0" applyProtection="0"/>
    <xf numFmtId="0" fontId="15" fillId="7" borderId="103" applyNumberFormat="0" applyAlignment="0" applyProtection="0"/>
    <xf numFmtId="0" fontId="15" fillId="7" borderId="103" applyNumberFormat="0" applyAlignment="0" applyProtection="0"/>
    <xf numFmtId="0" fontId="8" fillId="22" borderId="0" applyNumberFormat="0" applyBorder="0" applyAlignment="0" applyProtection="0"/>
    <xf numFmtId="0" fontId="8" fillId="73" borderId="0" applyNumberFormat="0" applyBorder="0" applyAlignment="0" applyProtection="0"/>
    <xf numFmtId="0" fontId="8" fillId="73" borderId="0" applyNumberFormat="0" applyBorder="0" applyAlignment="0" applyProtection="0"/>
    <xf numFmtId="0" fontId="8" fillId="22" borderId="0" applyNumberFormat="0" applyBorder="0" applyAlignment="0" applyProtection="0"/>
    <xf numFmtId="0" fontId="17" fillId="7" borderId="103" applyNumberFormat="0" applyAlignment="0" applyProtection="0"/>
    <xf numFmtId="0" fontId="17" fillId="7" borderId="103" applyNumberFormat="0" applyAlignment="0" applyProtection="0"/>
    <xf numFmtId="0" fontId="66" fillId="34" borderId="88" applyNumberFormat="0" applyAlignment="0" applyProtection="0"/>
    <xf numFmtId="0" fontId="66" fillId="34" borderId="88" applyNumberFormat="0" applyAlignment="0" applyProtection="0"/>
    <xf numFmtId="0" fontId="17" fillId="7" borderId="103" applyNumberFormat="0" applyAlignment="0" applyProtection="0"/>
    <xf numFmtId="0" fontId="18" fillId="0" borderId="104" applyNumberFormat="0" applyFill="0" applyAlignment="0" applyProtection="0"/>
    <xf numFmtId="0" fontId="18" fillId="0" borderId="104" applyNumberFormat="0" applyFill="0" applyAlignment="0" applyProtection="0"/>
    <xf numFmtId="0" fontId="18" fillId="0" borderId="104" applyNumberFormat="0" applyFill="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30" fillId="0" borderId="0"/>
    <xf numFmtId="0" fontId="23" fillId="0" borderId="0" applyNumberFormat="0" applyFill="0" applyBorder="0" applyAlignment="0" applyProtection="0"/>
    <xf numFmtId="0" fontId="11" fillId="76" borderId="0" applyNumberFormat="0" applyBorder="0" applyAlignment="0" applyProtection="0"/>
    <xf numFmtId="0" fontId="63" fillId="31" borderId="0" applyNumberFormat="0" applyBorder="0" applyAlignment="0" applyProtection="0"/>
    <xf numFmtId="0" fontId="75" fillId="4" borderId="0" applyNumberFormat="0" applyBorder="0" applyAlignment="0" applyProtection="0"/>
    <xf numFmtId="0" fontId="25" fillId="0" borderId="8" applyNumberFormat="0" applyFill="0" applyAlignment="0" applyProtection="0"/>
    <xf numFmtId="0" fontId="60" fillId="0" borderId="85" applyNumberFormat="0" applyFill="0" applyAlignment="0" applyProtection="0"/>
    <xf numFmtId="0" fontId="26" fillId="0" borderId="6" applyNumberFormat="0" applyFill="0" applyAlignment="0" applyProtection="0"/>
    <xf numFmtId="0" fontId="61" fillId="0" borderId="86" applyNumberFormat="0" applyFill="0" applyAlignment="0" applyProtection="0"/>
    <xf numFmtId="0" fontId="16" fillId="0" borderId="9" applyNumberFormat="0" applyFill="0" applyAlignment="0" applyProtection="0"/>
    <xf numFmtId="0" fontId="62" fillId="0" borderId="87" applyNumberFormat="0" applyFill="0" applyAlignment="0" applyProtection="0"/>
    <xf numFmtId="0" fontId="16" fillId="0" borderId="0" applyNumberFormat="0" applyFill="0" applyBorder="0" applyAlignment="0" applyProtection="0"/>
    <xf numFmtId="0" fontId="62" fillId="0" borderId="0" applyNumberFormat="0" applyFill="0" applyBorder="0" applyAlignment="0" applyProtection="0"/>
    <xf numFmtId="0" fontId="17" fillId="58" borderId="103" applyNumberFormat="0" applyAlignment="0" applyProtection="0"/>
    <xf numFmtId="0" fontId="14" fillId="0" borderId="4" applyNumberFormat="0" applyFill="0" applyAlignment="0" applyProtection="0"/>
    <xf numFmtId="0" fontId="69" fillId="0" borderId="90" applyNumberFormat="0" applyFill="0" applyAlignment="0" applyProtection="0"/>
    <xf numFmtId="0" fontId="76" fillId="15" borderId="0" applyNumberFormat="0" applyBorder="0" applyAlignment="0" applyProtection="0"/>
    <xf numFmtId="0" fontId="76" fillId="15" borderId="0" applyNumberFormat="0" applyBorder="0" applyAlignment="0" applyProtection="0"/>
    <xf numFmtId="0" fontId="76" fillId="15" borderId="0" applyNumberFormat="0" applyBorder="0" applyAlignment="0" applyProtection="0"/>
    <xf numFmtId="0" fontId="65" fillId="33" borderId="0" applyNumberFormat="0" applyBorder="0" applyAlignment="0" applyProtection="0"/>
    <xf numFmtId="0" fontId="30" fillId="0" borderId="0"/>
    <xf numFmtId="0" fontId="3" fillId="0" borderId="0"/>
    <xf numFmtId="0" fontId="3" fillId="0" borderId="0"/>
    <xf numFmtId="0" fontId="3" fillId="0" borderId="0"/>
    <xf numFmtId="0" fontId="3" fillId="0" borderId="0"/>
    <xf numFmtId="0" fontId="30"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0" fillId="0" borderId="0"/>
    <xf numFmtId="0" fontId="3" fillId="0" borderId="0"/>
    <xf numFmtId="0" fontId="3" fillId="0" borderId="0"/>
    <xf numFmtId="0" fontId="3" fillId="0" borderId="0"/>
    <xf numFmtId="0" fontId="30" fillId="0" borderId="0"/>
    <xf numFmtId="0" fontId="3" fillId="0" borderId="0"/>
    <xf numFmtId="0" fontId="3" fillId="0" borderId="0"/>
    <xf numFmtId="0" fontId="3" fillId="0" borderId="0"/>
    <xf numFmtId="0" fontId="3" fillId="0" borderId="0"/>
    <xf numFmtId="0" fontId="3" fillId="0" borderId="0"/>
    <xf numFmtId="0" fontId="3" fillId="0" borderId="0"/>
    <xf numFmtId="0" fontId="30" fillId="0" borderId="0"/>
    <xf numFmtId="0" fontId="30" fillId="0" borderId="0"/>
    <xf numFmtId="0" fontId="30" fillId="0" borderId="0"/>
    <xf numFmtId="0" fontId="30" fillId="0" borderId="0"/>
    <xf numFmtId="0" fontId="30" fillId="0" borderId="0"/>
    <xf numFmtId="0" fontId="30" fillId="0" borderId="0"/>
    <xf numFmtId="0" fontId="3" fillId="0" borderId="0"/>
    <xf numFmtId="0" fontId="3" fillId="0" borderId="0"/>
    <xf numFmtId="0" fontId="3" fillId="0" borderId="0"/>
    <xf numFmtId="0" fontId="30" fillId="0" borderId="0"/>
    <xf numFmtId="0" fontId="30" fillId="9" borderId="105" applyNumberFormat="0" applyAlignment="0" applyProtection="0"/>
    <xf numFmtId="0" fontId="30" fillId="59" borderId="105" applyNumberFormat="0" applyFont="0" applyAlignment="0" applyProtection="0"/>
    <xf numFmtId="0" fontId="3" fillId="37" borderId="92" applyNumberFormat="0" applyFont="0" applyAlignment="0" applyProtection="0"/>
    <xf numFmtId="0" fontId="3" fillId="37" borderId="92" applyNumberFormat="0" applyFont="0" applyAlignment="0" applyProtection="0"/>
    <xf numFmtId="0" fontId="3" fillId="37" borderId="92" applyNumberFormat="0" applyFont="0" applyAlignment="0" applyProtection="0"/>
    <xf numFmtId="0" fontId="3" fillId="37" borderId="92" applyNumberFormat="0" applyFont="0" applyAlignment="0" applyProtection="0"/>
    <xf numFmtId="0" fontId="3" fillId="37" borderId="92" applyNumberFormat="0" applyFont="0" applyAlignment="0" applyProtection="0"/>
    <xf numFmtId="0" fontId="3" fillId="37" borderId="92" applyNumberFormat="0" applyFont="0" applyAlignment="0" applyProtection="0"/>
    <xf numFmtId="0" fontId="30" fillId="9" borderId="105" applyNumberFormat="0" applyAlignment="0" applyProtection="0"/>
    <xf numFmtId="0" fontId="21" fillId="57" borderId="102" applyNumberFormat="0" applyAlignment="0" applyProtection="0"/>
    <xf numFmtId="9" fontId="30" fillId="0" borderId="0" applyFill="0" applyBorder="0" applyAlignment="0" applyProtection="0"/>
    <xf numFmtId="9" fontId="30" fillId="0" borderId="0" applyFill="0" applyBorder="0" applyAlignment="0" applyProtection="0"/>
    <xf numFmtId="9" fontId="30" fillId="0" borderId="0" applyFont="0" applyFill="0" applyBorder="0" applyAlignment="0" applyProtection="0"/>
    <xf numFmtId="9" fontId="30" fillId="0" borderId="0" applyFill="0" applyBorder="0" applyAlignment="0" applyProtection="0"/>
    <xf numFmtId="9" fontId="30" fillId="0" borderId="0" applyFill="0" applyBorder="0" applyAlignment="0" applyProtection="0"/>
    <xf numFmtId="0" fontId="21" fillId="8" borderId="102" applyNumberFormat="0" applyAlignment="0" applyProtection="0"/>
    <xf numFmtId="0" fontId="77" fillId="3" borderId="0" applyNumberFormat="0" applyBorder="0" applyAlignment="0" applyProtection="0"/>
    <xf numFmtId="0" fontId="3" fillId="0" borderId="0"/>
    <xf numFmtId="0" fontId="3" fillId="0" borderId="0"/>
    <xf numFmtId="0" fontId="3" fillId="0" borderId="0"/>
    <xf numFmtId="0" fontId="3" fillId="0" borderId="0"/>
    <xf numFmtId="0" fontId="24" fillId="0" borderId="0" applyNumberFormat="0" applyFill="0" applyBorder="0" applyAlignment="0" applyProtection="0"/>
    <xf numFmtId="0" fontId="78" fillId="0" borderId="106" applyNumberFormat="0" applyFill="0" applyAlignment="0" applyProtection="0"/>
    <xf numFmtId="0" fontId="78" fillId="0" borderId="106" applyNumberFormat="0" applyFill="0" applyAlignment="0" applyProtection="0"/>
    <xf numFmtId="0" fontId="78" fillId="0" borderId="106" applyNumberFormat="0" applyFill="0" applyAlignment="0" applyProtection="0"/>
    <xf numFmtId="0" fontId="78" fillId="0" borderId="106" applyNumberFormat="0" applyFill="0" applyAlignment="0" applyProtection="0"/>
    <xf numFmtId="0" fontId="72" fillId="0" borderId="93" applyNumberFormat="0" applyFill="0" applyAlignment="0" applyProtection="0"/>
    <xf numFmtId="0" fontId="79" fillId="0" borderId="107" applyNumberFormat="0" applyFill="0" applyAlignment="0" applyProtection="0"/>
    <xf numFmtId="0" fontId="80" fillId="0" borderId="6" applyNumberFormat="0" applyFill="0" applyAlignment="0" applyProtection="0"/>
    <xf numFmtId="0" fontId="81" fillId="0" borderId="108" applyNumberFormat="0" applyFill="0" applyAlignment="0" applyProtection="0"/>
    <xf numFmtId="0" fontId="81" fillId="0" borderId="0" applyNumberFormat="0" applyFill="0" applyBorder="0" applyAlignment="0" applyProtection="0"/>
    <xf numFmtId="0" fontId="82" fillId="0" borderId="4" applyNumberFormat="0" applyFill="0" applyAlignment="0" applyProtection="0"/>
    <xf numFmtId="0" fontId="22" fillId="0" borderId="0" applyNumberFormat="0" applyFill="0" applyBorder="0" applyAlignment="0" applyProtection="0"/>
    <xf numFmtId="0" fontId="83" fillId="23" borderId="3" applyNumberFormat="0" applyAlignment="0" applyProtection="0"/>
    <xf numFmtId="0" fontId="3" fillId="39" borderId="0" applyNumberFormat="0" applyBorder="0" applyAlignment="0" applyProtection="0"/>
    <xf numFmtId="0" fontId="3" fillId="39" borderId="0" applyNumberFormat="0" applyBorder="0" applyAlignment="0" applyProtection="0"/>
    <xf numFmtId="0" fontId="3" fillId="39" borderId="0" applyNumberFormat="0" applyBorder="0" applyAlignment="0" applyProtection="0"/>
    <xf numFmtId="0" fontId="3" fillId="39" borderId="0" applyNumberFormat="0" applyBorder="0" applyAlignment="0" applyProtection="0"/>
    <xf numFmtId="0" fontId="3" fillId="42" borderId="0" applyNumberFormat="0" applyBorder="0" applyAlignment="0" applyProtection="0"/>
    <xf numFmtId="0" fontId="3" fillId="42" borderId="0" applyNumberFormat="0" applyBorder="0" applyAlignment="0" applyProtection="0"/>
    <xf numFmtId="0" fontId="3" fillId="42" borderId="0" applyNumberFormat="0" applyBorder="0" applyAlignment="0" applyProtection="0"/>
    <xf numFmtId="0" fontId="3" fillId="42" borderId="0" applyNumberFormat="0" applyBorder="0" applyAlignment="0" applyProtection="0"/>
    <xf numFmtId="0" fontId="3" fillId="45" borderId="0" applyNumberFormat="0" applyBorder="0" applyAlignment="0" applyProtection="0"/>
    <xf numFmtId="0" fontId="3" fillId="45" borderId="0" applyNumberFormat="0" applyBorder="0" applyAlignment="0" applyProtection="0"/>
    <xf numFmtId="0" fontId="3" fillId="45" borderId="0" applyNumberFormat="0" applyBorder="0" applyAlignment="0" applyProtection="0"/>
    <xf numFmtId="0" fontId="3" fillId="45" borderId="0" applyNumberFormat="0" applyBorder="0" applyAlignment="0" applyProtection="0"/>
    <xf numFmtId="0" fontId="3" fillId="48" borderId="0" applyNumberFormat="0" applyBorder="0" applyAlignment="0" applyProtection="0"/>
    <xf numFmtId="0" fontId="3" fillId="48" borderId="0" applyNumberFormat="0" applyBorder="0" applyAlignment="0" applyProtection="0"/>
    <xf numFmtId="0" fontId="3" fillId="48" borderId="0" applyNumberFormat="0" applyBorder="0" applyAlignment="0" applyProtection="0"/>
    <xf numFmtId="0" fontId="3" fillId="48" borderId="0" applyNumberFormat="0" applyBorder="0" applyAlignment="0" applyProtection="0"/>
    <xf numFmtId="0" fontId="3" fillId="51" borderId="0" applyNumberFormat="0" applyBorder="0" applyAlignment="0" applyProtection="0"/>
    <xf numFmtId="0" fontId="3" fillId="51" borderId="0" applyNumberFormat="0" applyBorder="0" applyAlignment="0" applyProtection="0"/>
    <xf numFmtId="0" fontId="3" fillId="51" borderId="0" applyNumberFormat="0" applyBorder="0" applyAlignment="0" applyProtection="0"/>
    <xf numFmtId="0" fontId="3" fillId="51" borderId="0" applyNumberFormat="0" applyBorder="0" applyAlignment="0" applyProtection="0"/>
    <xf numFmtId="0" fontId="3" fillId="54" borderId="0" applyNumberFormat="0" applyBorder="0" applyAlignment="0" applyProtection="0"/>
    <xf numFmtId="0" fontId="3" fillId="54" borderId="0" applyNumberFormat="0" applyBorder="0" applyAlignment="0" applyProtection="0"/>
    <xf numFmtId="0" fontId="3" fillId="54" borderId="0" applyNumberFormat="0" applyBorder="0" applyAlignment="0" applyProtection="0"/>
    <xf numFmtId="0" fontId="3" fillId="54" borderId="0" applyNumberFormat="0" applyBorder="0" applyAlignment="0" applyProtection="0"/>
    <xf numFmtId="0" fontId="3" fillId="40" borderId="0" applyNumberFormat="0" applyBorder="0" applyAlignment="0" applyProtection="0"/>
    <xf numFmtId="0" fontId="3" fillId="40" borderId="0" applyNumberFormat="0" applyBorder="0" applyAlignment="0" applyProtection="0"/>
    <xf numFmtId="0" fontId="3" fillId="40" borderId="0" applyNumberFormat="0" applyBorder="0" applyAlignment="0" applyProtection="0"/>
    <xf numFmtId="0" fontId="3" fillId="40" borderId="0" applyNumberFormat="0" applyBorder="0" applyAlignment="0" applyProtection="0"/>
    <xf numFmtId="0" fontId="3" fillId="43" borderId="0" applyNumberFormat="0" applyBorder="0" applyAlignment="0" applyProtection="0"/>
    <xf numFmtId="0" fontId="3" fillId="43" borderId="0" applyNumberFormat="0" applyBorder="0" applyAlignment="0" applyProtection="0"/>
    <xf numFmtId="0" fontId="3" fillId="43" borderId="0" applyNumberFormat="0" applyBorder="0" applyAlignment="0" applyProtection="0"/>
    <xf numFmtId="0" fontId="3" fillId="43" borderId="0" applyNumberFormat="0" applyBorder="0" applyAlignment="0" applyProtection="0"/>
    <xf numFmtId="0" fontId="3" fillId="46" borderId="0" applyNumberFormat="0" applyBorder="0" applyAlignment="0" applyProtection="0"/>
    <xf numFmtId="0" fontId="3" fillId="46" borderId="0" applyNumberFormat="0" applyBorder="0" applyAlignment="0" applyProtection="0"/>
    <xf numFmtId="0" fontId="3" fillId="46" borderId="0" applyNumberFormat="0" applyBorder="0" applyAlignment="0" applyProtection="0"/>
    <xf numFmtId="0" fontId="3" fillId="46" borderId="0" applyNumberFormat="0" applyBorder="0" applyAlignment="0" applyProtection="0"/>
    <xf numFmtId="0" fontId="3" fillId="49" borderId="0" applyNumberFormat="0" applyBorder="0" applyAlignment="0" applyProtection="0"/>
    <xf numFmtId="0" fontId="3" fillId="49" borderId="0" applyNumberFormat="0" applyBorder="0" applyAlignment="0" applyProtection="0"/>
    <xf numFmtId="0" fontId="3" fillId="49" borderId="0" applyNumberFormat="0" applyBorder="0" applyAlignment="0" applyProtection="0"/>
    <xf numFmtId="0" fontId="3" fillId="49"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9" fillId="14" borderId="109" applyNumberFormat="0" applyAlignment="0" applyProtection="0"/>
    <xf numFmtId="0" fontId="9" fillId="14" borderId="109" applyNumberFormat="0" applyAlignment="0" applyProtection="0"/>
    <xf numFmtId="0" fontId="9" fillId="14" borderId="109" applyNumberFormat="0" applyAlignment="0" applyProtection="0"/>
    <xf numFmtId="0" fontId="9" fillId="14" borderId="109" applyNumberFormat="0" applyAlignment="0" applyProtection="0"/>
    <xf numFmtId="0" fontId="10" fillId="14" borderId="110" applyNumberFormat="0" applyAlignment="0" applyProtection="0"/>
    <xf numFmtId="0" fontId="10" fillId="14" borderId="110" applyNumberFormat="0" applyAlignment="0" applyProtection="0"/>
    <xf numFmtId="0" fontId="10" fillId="14" borderId="110" applyNumberFormat="0" applyAlignment="0" applyProtection="0"/>
    <xf numFmtId="0" fontId="10" fillId="14" borderId="110" applyNumberFormat="0" applyAlignment="0" applyProtection="0"/>
    <xf numFmtId="0" fontId="12" fillId="57" borderId="110" applyNumberFormat="0" applyAlignment="0" applyProtection="0"/>
    <xf numFmtId="0" fontId="12" fillId="8" borderId="110" applyNumberFormat="0" applyAlignment="0" applyProtection="0"/>
    <xf numFmtId="0" fontId="12" fillId="8" borderId="110" applyNumberFormat="0" applyAlignment="0" applyProtection="0"/>
    <xf numFmtId="0" fontId="12" fillId="8" borderId="110" applyNumberFormat="0" applyAlignment="0" applyProtection="0"/>
    <xf numFmtId="0" fontId="12" fillId="8" borderId="110" applyNumberFormat="0" applyAlignment="0" applyProtection="0"/>
    <xf numFmtId="0" fontId="12" fillId="8" borderId="110" applyNumberFormat="0" applyAlignment="0" applyProtection="0"/>
    <xf numFmtId="0" fontId="15" fillId="7" borderId="110" applyNumberFormat="0" applyAlignment="0" applyProtection="0"/>
    <xf numFmtId="0" fontId="15" fillId="7" borderId="110" applyNumberFormat="0" applyAlignment="0" applyProtection="0"/>
    <xf numFmtId="0" fontId="15" fillId="7" borderId="110" applyNumberFormat="0" applyAlignment="0" applyProtection="0"/>
    <xf numFmtId="0" fontId="15" fillId="7" borderId="110" applyNumberFormat="0" applyAlignment="0" applyProtection="0"/>
    <xf numFmtId="0" fontId="15" fillId="7" borderId="110" applyNumberFormat="0" applyAlignment="0" applyProtection="0"/>
    <xf numFmtId="0" fontId="17" fillId="7" borderId="110" applyNumberFormat="0" applyAlignment="0" applyProtection="0"/>
    <xf numFmtId="0" fontId="17" fillId="7" borderId="110" applyNumberFormat="0" applyAlignment="0" applyProtection="0"/>
    <xf numFmtId="0" fontId="17" fillId="7" borderId="110" applyNumberFormat="0" applyAlignment="0" applyProtection="0"/>
    <xf numFmtId="0" fontId="17" fillId="7" borderId="110" applyNumberFormat="0" applyAlignment="0" applyProtection="0"/>
    <xf numFmtId="0" fontId="17" fillId="7" borderId="110" applyNumberFormat="0" applyAlignment="0" applyProtection="0"/>
    <xf numFmtId="0" fontId="18" fillId="0" borderId="111" applyNumberFormat="0" applyFill="0" applyAlignment="0" applyProtection="0"/>
    <xf numFmtId="0" fontId="18" fillId="0" borderId="111" applyNumberFormat="0" applyFill="0" applyAlignment="0" applyProtection="0"/>
    <xf numFmtId="0" fontId="18" fillId="0" borderId="111" applyNumberFormat="0" applyFill="0" applyAlignment="0" applyProtection="0"/>
    <xf numFmtId="0" fontId="18" fillId="0" borderId="111" applyNumberFormat="0" applyFill="0" applyAlignment="0" applyProtection="0"/>
    <xf numFmtId="0" fontId="18" fillId="0" borderId="111" applyNumberFormat="0" applyFill="0" applyAlignment="0" applyProtection="0"/>
    <xf numFmtId="0" fontId="17" fillId="58" borderId="110" applyNumberFormat="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0" fillId="9" borderId="112" applyNumberFormat="0" applyAlignment="0" applyProtection="0"/>
    <xf numFmtId="0" fontId="30" fillId="9" borderId="112" applyNumberFormat="0" applyAlignment="0" applyProtection="0"/>
    <xf numFmtId="0" fontId="30" fillId="9" borderId="112" applyNumberFormat="0" applyAlignment="0" applyProtection="0"/>
    <xf numFmtId="0" fontId="30" fillId="59" borderId="112" applyNumberFormat="0" applyFont="0" applyAlignment="0" applyProtection="0"/>
    <xf numFmtId="0" fontId="3" fillId="37" borderId="92" applyNumberFormat="0" applyFont="0" applyAlignment="0" applyProtection="0"/>
    <xf numFmtId="0" fontId="3" fillId="37" borderId="92" applyNumberFormat="0" applyFont="0" applyAlignment="0" applyProtection="0"/>
    <xf numFmtId="0" fontId="3" fillId="37" borderId="92" applyNumberFormat="0" applyFont="0" applyAlignment="0" applyProtection="0"/>
    <xf numFmtId="0" fontId="3" fillId="37" borderId="92" applyNumberFormat="0" applyFont="0" applyAlignment="0" applyProtection="0"/>
    <xf numFmtId="0" fontId="3" fillId="37" borderId="92" applyNumberFormat="0" applyFont="0" applyAlignment="0" applyProtection="0"/>
    <xf numFmtId="0" fontId="3" fillId="37" borderId="92" applyNumberFormat="0" applyFont="0" applyAlignment="0" applyProtection="0"/>
    <xf numFmtId="0" fontId="30" fillId="9" borderId="112" applyNumberFormat="0" applyAlignment="0" applyProtection="0"/>
    <xf numFmtId="0" fontId="30" fillId="9" borderId="112" applyNumberFormat="0" applyAlignment="0" applyProtection="0"/>
    <xf numFmtId="0" fontId="30" fillId="9" borderId="112" applyNumberFormat="0" applyAlignment="0" applyProtection="0"/>
    <xf numFmtId="0" fontId="21" fillId="57" borderId="109" applyNumberFormat="0" applyAlignment="0" applyProtection="0"/>
    <xf numFmtId="0" fontId="21" fillId="8" borderId="109" applyNumberFormat="0" applyAlignment="0" applyProtection="0"/>
    <xf numFmtId="0" fontId="21" fillId="8" borderId="109" applyNumberFormat="0" applyAlignment="0" applyProtection="0"/>
    <xf numFmtId="0" fontId="21" fillId="8" borderId="109" applyNumberFormat="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78" fillId="0" borderId="113" applyNumberFormat="0" applyFill="0" applyAlignment="0" applyProtection="0"/>
    <xf numFmtId="0" fontId="78" fillId="0" borderId="113" applyNumberFormat="0" applyFill="0" applyAlignment="0" applyProtection="0"/>
    <xf numFmtId="0" fontId="78" fillId="0" borderId="113" applyNumberFormat="0" applyFill="0" applyAlignment="0" applyProtection="0"/>
    <xf numFmtId="0" fontId="78" fillId="0" borderId="113" applyNumberFormat="0" applyFill="0" applyAlignment="0" applyProtection="0"/>
    <xf numFmtId="0" fontId="3" fillId="0" borderId="0"/>
    <xf numFmtId="0" fontId="21" fillId="8" borderId="134" applyNumberFormat="0" applyAlignment="0" applyProtection="0"/>
    <xf numFmtId="0" fontId="78" fillId="0" borderId="128" applyNumberFormat="0" applyFill="0" applyAlignment="0" applyProtection="0"/>
    <xf numFmtId="0" fontId="78" fillId="0" borderId="128" applyNumberFormat="0" applyFill="0" applyAlignment="0" applyProtection="0"/>
    <xf numFmtId="0" fontId="12" fillId="57" borderId="150" applyNumberFormat="0" applyAlignment="0" applyProtection="0"/>
    <xf numFmtId="0" fontId="10" fillId="14" borderId="205" applyNumberFormat="0" applyAlignment="0" applyProtection="0"/>
    <xf numFmtId="0" fontId="9" fillId="14" borderId="159" applyNumberFormat="0" applyAlignment="0" applyProtection="0"/>
    <xf numFmtId="0" fontId="15" fillId="7" borderId="160" applyNumberFormat="0" applyAlignment="0" applyProtection="0"/>
    <xf numFmtId="0" fontId="12" fillId="8" borderId="190" applyNumberFormat="0" applyAlignment="0" applyProtection="0"/>
    <xf numFmtId="0" fontId="17" fillId="7" borderId="155" applyNumberFormat="0" applyAlignment="0" applyProtection="0"/>
    <xf numFmtId="0" fontId="78" fillId="0" borderId="153" applyNumberFormat="0" applyFill="0" applyAlignment="0" applyProtection="0"/>
    <xf numFmtId="0" fontId="12" fillId="8" borderId="135" applyNumberFormat="0" applyAlignment="0" applyProtection="0"/>
    <xf numFmtId="0" fontId="18" fillId="0" borderId="186" applyNumberFormat="0" applyFill="0" applyAlignment="0" applyProtection="0"/>
    <xf numFmtId="0" fontId="17" fillId="7" borderId="180" applyNumberFormat="0" applyAlignment="0" applyProtection="0"/>
    <xf numFmtId="0" fontId="18" fillId="0" borderId="176" applyNumberFormat="0" applyFill="0" applyAlignment="0" applyProtection="0"/>
    <xf numFmtId="0" fontId="21" fillId="8" borderId="124" applyNumberFormat="0" applyAlignment="0" applyProtection="0"/>
    <xf numFmtId="0" fontId="10" fillId="14" borderId="180" applyNumberFormat="0" applyAlignment="0" applyProtection="0"/>
    <xf numFmtId="0" fontId="9" fillId="14" borderId="124" applyNumberFormat="0" applyAlignment="0" applyProtection="0"/>
    <xf numFmtId="0" fontId="15" fillId="7" borderId="185" applyNumberFormat="0" applyAlignment="0" applyProtection="0"/>
    <xf numFmtId="0" fontId="12" fillId="8" borderId="130" applyNumberFormat="0" applyAlignment="0" applyProtection="0"/>
    <xf numFmtId="0" fontId="17" fillId="7" borderId="185" applyNumberFormat="0" applyAlignment="0" applyProtection="0"/>
    <xf numFmtId="0" fontId="21" fillId="8" borderId="124" applyNumberFormat="0" applyAlignment="0" applyProtection="0"/>
    <xf numFmtId="0" fontId="9" fillId="14" borderId="169" applyNumberFormat="0" applyAlignment="0" applyProtection="0"/>
    <xf numFmtId="0" fontId="15" fillId="7" borderId="190" applyNumberFormat="0" applyAlignment="0" applyProtection="0"/>
    <xf numFmtId="0" fontId="9" fillId="14" borderId="134" applyNumberFormat="0" applyAlignment="0" applyProtection="0"/>
    <xf numFmtId="0" fontId="12" fillId="8" borderId="125" applyNumberFormat="0" applyAlignment="0" applyProtection="0"/>
    <xf numFmtId="0" fontId="17" fillId="7" borderId="125" applyNumberFormat="0" applyAlignment="0" applyProtection="0"/>
    <xf numFmtId="0" fontId="10" fillId="14" borderId="165" applyNumberFormat="0" applyAlignment="0" applyProtection="0"/>
    <xf numFmtId="0" fontId="9" fillId="14" borderId="139" applyNumberFormat="0" applyAlignment="0" applyProtection="0"/>
    <xf numFmtId="0" fontId="10" fillId="14" borderId="130" applyNumberFormat="0" applyAlignment="0" applyProtection="0"/>
    <xf numFmtId="0" fontId="15" fillId="7" borderId="155" applyNumberFormat="0" applyAlignment="0" applyProtection="0"/>
    <xf numFmtId="0" fontId="10" fillId="14" borderId="150" applyNumberFormat="0" applyAlignment="0" applyProtection="0"/>
    <xf numFmtId="0" fontId="30" fillId="9" borderId="127" applyNumberFormat="0" applyAlignment="0" applyProtection="0"/>
    <xf numFmtId="0" fontId="9" fillId="14" borderId="134" applyNumberFormat="0" applyAlignment="0" applyProtection="0"/>
    <xf numFmtId="0" fontId="12" fillId="8" borderId="200" applyNumberFormat="0" applyAlignment="0" applyProtection="0"/>
    <xf numFmtId="0" fontId="12" fillId="8" borderId="145" applyNumberFormat="0" applyAlignment="0" applyProtection="0"/>
    <xf numFmtId="0" fontId="18" fillId="0" borderId="136" applyNumberFormat="0" applyFill="0" applyAlignment="0" applyProtection="0"/>
    <xf numFmtId="0" fontId="12" fillId="8" borderId="125" applyNumberFormat="0" applyAlignment="0" applyProtection="0"/>
    <xf numFmtId="0" fontId="9" fillId="14" borderId="124" applyNumberFormat="0" applyAlignment="0" applyProtection="0"/>
    <xf numFmtId="0" fontId="17" fillId="7" borderId="130" applyNumberFormat="0" applyAlignment="0" applyProtection="0"/>
    <xf numFmtId="0" fontId="17" fillId="58" borderId="175" applyNumberFormat="0" applyAlignment="0" applyProtection="0"/>
    <xf numFmtId="0" fontId="30" fillId="9" borderId="127" applyNumberFormat="0" applyAlignment="0" applyProtection="0"/>
    <xf numFmtId="0" fontId="12" fillId="57" borderId="140" applyNumberFormat="0" applyAlignment="0" applyProtection="0"/>
    <xf numFmtId="0" fontId="15" fillId="7" borderId="140" applyNumberFormat="0" applyAlignment="0" applyProtection="0"/>
    <xf numFmtId="0" fontId="18" fillId="0" borderId="176" applyNumberFormat="0" applyFill="0" applyAlignment="0" applyProtection="0"/>
    <xf numFmtId="0" fontId="9" fillId="14" borderId="139" applyNumberFormat="0" applyAlignment="0" applyProtection="0"/>
    <xf numFmtId="0" fontId="17" fillId="58" borderId="160" applyNumberFormat="0" applyAlignment="0" applyProtection="0"/>
    <xf numFmtId="0" fontId="17" fillId="7" borderId="155" applyNumberFormat="0" applyAlignment="0" applyProtection="0"/>
    <xf numFmtId="0" fontId="10" fillId="14" borderId="185" applyNumberFormat="0" applyAlignment="0" applyProtection="0"/>
    <xf numFmtId="0" fontId="12" fillId="8" borderId="145" applyNumberFormat="0" applyAlignment="0" applyProtection="0"/>
    <xf numFmtId="0" fontId="78" fillId="0" borderId="138" applyNumberFormat="0" applyFill="0" applyAlignment="0" applyProtection="0"/>
    <xf numFmtId="0" fontId="9" fillId="14" borderId="199" applyNumberFormat="0" applyAlignment="0" applyProtection="0"/>
    <xf numFmtId="0" fontId="21" fillId="57" borderId="204" applyNumberFormat="0" applyAlignment="0" applyProtection="0"/>
    <xf numFmtId="0" fontId="18" fillId="0" borderId="151" applyNumberFormat="0" applyFill="0" applyAlignment="0" applyProtection="0"/>
    <xf numFmtId="0" fontId="17" fillId="58" borderId="120" applyNumberFormat="0" applyAlignment="0" applyProtection="0"/>
    <xf numFmtId="0" fontId="18" fillId="0" borderId="121" applyNumberFormat="0" applyFill="0" applyAlignment="0" applyProtection="0"/>
    <xf numFmtId="0" fontId="18" fillId="0" borderId="121" applyNumberFormat="0" applyFill="0" applyAlignment="0" applyProtection="0"/>
    <xf numFmtId="0" fontId="18" fillId="0" borderId="121" applyNumberFormat="0" applyFill="0" applyAlignment="0" applyProtection="0"/>
    <xf numFmtId="0" fontId="17" fillId="7" borderId="120" applyNumberFormat="0" applyAlignment="0" applyProtection="0"/>
    <xf numFmtId="0" fontId="17" fillId="7" borderId="120" applyNumberFormat="0" applyAlignment="0" applyProtection="0"/>
    <xf numFmtId="0" fontId="15" fillId="7" borderId="120" applyNumberFormat="0" applyAlignment="0" applyProtection="0"/>
    <xf numFmtId="0" fontId="15" fillId="7" borderId="120" applyNumberFormat="0" applyAlignment="0" applyProtection="0"/>
    <xf numFmtId="0" fontId="15" fillId="7" borderId="120" applyNumberFormat="0" applyAlignment="0" applyProtection="0"/>
    <xf numFmtId="0" fontId="15" fillId="7" borderId="120" applyNumberFormat="0" applyAlignment="0" applyProtection="0"/>
    <xf numFmtId="0" fontId="12" fillId="8" borderId="120" applyNumberFormat="0" applyAlignment="0" applyProtection="0"/>
    <xf numFmtId="0" fontId="12" fillId="8" borderId="120" applyNumberFormat="0" applyAlignment="0" applyProtection="0"/>
    <xf numFmtId="0" fontId="12" fillId="57" borderId="120" applyNumberFormat="0" applyAlignment="0" applyProtection="0"/>
    <xf numFmtId="0" fontId="10" fillId="14" borderId="120" applyNumberFormat="0" applyAlignment="0" applyProtection="0"/>
    <xf numFmtId="0" fontId="10" fillId="14" borderId="120" applyNumberFormat="0" applyAlignment="0" applyProtection="0"/>
    <xf numFmtId="0" fontId="9" fillId="14" borderId="119" applyNumberFormat="0" applyAlignment="0" applyProtection="0"/>
    <xf numFmtId="0" fontId="12" fillId="8" borderId="140" applyNumberFormat="0" applyAlignment="0" applyProtection="0"/>
    <xf numFmtId="0" fontId="12" fillId="57" borderId="170" applyNumberFormat="0" applyAlignment="0" applyProtection="0"/>
    <xf numFmtId="0" fontId="9" fillId="14" borderId="189" applyNumberFormat="0" applyAlignment="0" applyProtection="0"/>
    <xf numFmtId="0" fontId="9" fillId="14" borderId="159" applyNumberFormat="0" applyAlignment="0" applyProtection="0"/>
    <xf numFmtId="0" fontId="9" fillId="14" borderId="149" applyNumberFormat="0" applyAlignment="0" applyProtection="0"/>
    <xf numFmtId="0" fontId="9" fillId="14" borderId="129" applyNumberFormat="0" applyAlignment="0" applyProtection="0"/>
    <xf numFmtId="0" fontId="9" fillId="14" borderId="129" applyNumberFormat="0" applyAlignment="0" applyProtection="0"/>
    <xf numFmtId="0" fontId="12" fillId="8" borderId="130" applyNumberFormat="0" applyAlignment="0" applyProtection="0"/>
    <xf numFmtId="0" fontId="15" fillId="7" borderId="130" applyNumberFormat="0" applyAlignment="0" applyProtection="0"/>
    <xf numFmtId="0" fontId="12" fillId="8" borderId="130" applyNumberFormat="0" applyAlignment="0" applyProtection="0"/>
    <xf numFmtId="0" fontId="17" fillId="7" borderId="130" applyNumberFormat="0" applyAlignment="0" applyProtection="0"/>
    <xf numFmtId="0" fontId="18" fillId="0" borderId="131" applyNumberFormat="0" applyFill="0" applyAlignment="0" applyProtection="0"/>
    <xf numFmtId="0" fontId="18" fillId="0" borderId="181" applyNumberFormat="0" applyFill="0" applyAlignment="0" applyProtection="0"/>
    <xf numFmtId="0" fontId="12" fillId="57" borderId="145" applyNumberFormat="0" applyAlignment="0" applyProtection="0"/>
    <xf numFmtId="0" fontId="10" fillId="14" borderId="145" applyNumberFormat="0" applyAlignment="0" applyProtection="0"/>
    <xf numFmtId="0" fontId="15" fillId="7" borderId="205" applyNumberFormat="0" applyAlignment="0" applyProtection="0"/>
    <xf numFmtId="0" fontId="18" fillId="0" borderId="151" applyNumberFormat="0" applyFill="0" applyAlignment="0" applyProtection="0"/>
    <xf numFmtId="0" fontId="78" fillId="0" borderId="198" applyNumberFormat="0" applyFill="0" applyAlignment="0" applyProtection="0"/>
    <xf numFmtId="0" fontId="9" fillId="14" borderId="144" applyNumberFormat="0" applyAlignment="0" applyProtection="0"/>
    <xf numFmtId="0" fontId="9" fillId="14" borderId="144" applyNumberFormat="0" applyAlignment="0" applyProtection="0"/>
    <xf numFmtId="0" fontId="12" fillId="8" borderId="145" applyNumberFormat="0" applyAlignment="0" applyProtection="0"/>
    <xf numFmtId="0" fontId="12" fillId="8" borderId="145" applyNumberFormat="0" applyAlignment="0" applyProtection="0"/>
    <xf numFmtId="0" fontId="17" fillId="58" borderId="135" applyNumberFormat="0" applyAlignment="0" applyProtection="0"/>
    <xf numFmtId="0" fontId="17" fillId="7" borderId="175" applyNumberFormat="0" applyAlignment="0" applyProtection="0"/>
    <xf numFmtId="0" fontId="15" fillId="7" borderId="135" applyNumberFormat="0" applyAlignment="0" applyProtection="0"/>
    <xf numFmtId="0" fontId="9" fillId="14" borderId="164" applyNumberFormat="0" applyAlignment="0" applyProtection="0"/>
    <xf numFmtId="0" fontId="15" fillId="7" borderId="150" applyNumberFormat="0" applyAlignment="0" applyProtection="0"/>
    <xf numFmtId="0" fontId="18" fillId="0" borderId="161" applyNumberFormat="0" applyFill="0" applyAlignment="0" applyProtection="0"/>
    <xf numFmtId="0" fontId="17" fillId="58" borderId="150" applyNumberFormat="0" applyAlignment="0" applyProtection="0"/>
    <xf numFmtId="0" fontId="10" fillId="14" borderId="125" applyNumberFormat="0" applyAlignment="0" applyProtection="0"/>
    <xf numFmtId="0" fontId="17" fillId="7" borderId="125" applyNumberFormat="0" applyAlignment="0" applyProtection="0"/>
    <xf numFmtId="0" fontId="18" fillId="0" borderId="126" applyNumberFormat="0" applyFill="0" applyAlignment="0" applyProtection="0"/>
    <xf numFmtId="0" fontId="17" fillId="7" borderId="150" applyNumberFormat="0" applyAlignment="0" applyProtection="0"/>
    <xf numFmtId="0" fontId="15" fillId="7" borderId="140" applyNumberFormat="0" applyAlignment="0" applyProtection="0"/>
    <xf numFmtId="0" fontId="15" fillId="7" borderId="140" applyNumberFormat="0" applyAlignment="0" applyProtection="0"/>
    <xf numFmtId="0" fontId="12" fillId="8" borderId="140" applyNumberFormat="0" applyAlignment="0" applyProtection="0"/>
    <xf numFmtId="0" fontId="15" fillId="7" borderId="160" applyNumberFormat="0" applyAlignment="0" applyProtection="0"/>
    <xf numFmtId="0" fontId="21" fillId="57" borderId="194" applyNumberFormat="0" applyAlignment="0" applyProtection="0"/>
    <xf numFmtId="0" fontId="15" fillId="7" borderId="195" applyNumberFormat="0" applyAlignment="0" applyProtection="0"/>
    <xf numFmtId="0" fontId="15" fillId="7" borderId="195" applyNumberFormat="0" applyAlignment="0" applyProtection="0"/>
    <xf numFmtId="0" fontId="9" fillId="14" borderId="204" applyNumberFormat="0" applyAlignment="0" applyProtection="0"/>
    <xf numFmtId="0" fontId="9" fillId="14" borderId="149" applyNumberFormat="0" applyAlignment="0" applyProtection="0"/>
    <xf numFmtId="0" fontId="21" fillId="8" borderId="134" applyNumberFormat="0" applyAlignment="0" applyProtection="0"/>
    <xf numFmtId="0" fontId="30" fillId="59" borderId="137" applyNumberFormat="0" applyFont="0" applyAlignment="0" applyProtection="0"/>
    <xf numFmtId="0" fontId="10" fillId="14" borderId="175" applyNumberFormat="0" applyAlignment="0" applyProtection="0"/>
    <xf numFmtId="0" fontId="12" fillId="8" borderId="160" applyNumberFormat="0" applyAlignment="0" applyProtection="0"/>
    <xf numFmtId="0" fontId="15" fillId="7" borderId="155" applyNumberFormat="0" applyAlignment="0" applyProtection="0"/>
    <xf numFmtId="0" fontId="12" fillId="8" borderId="165" applyNumberFormat="0" applyAlignment="0" applyProtection="0"/>
    <xf numFmtId="0" fontId="30" fillId="9" borderId="152" applyNumberFormat="0" applyAlignment="0" applyProtection="0"/>
    <xf numFmtId="0" fontId="30" fillId="59" borderId="152" applyNumberFormat="0" applyFont="0" applyAlignment="0" applyProtection="0"/>
    <xf numFmtId="0" fontId="10" fillId="14" borderId="170" applyNumberFormat="0" applyAlignment="0" applyProtection="0"/>
    <xf numFmtId="0" fontId="18" fillId="0" borderId="136" applyNumberFormat="0" applyFill="0" applyAlignment="0" applyProtection="0"/>
    <xf numFmtId="0" fontId="18" fillId="0" borderId="136" applyNumberFormat="0" applyFill="0" applyAlignment="0" applyProtection="0"/>
    <xf numFmtId="0" fontId="18" fillId="0" borderId="136" applyNumberFormat="0" applyFill="0" applyAlignment="0" applyProtection="0"/>
    <xf numFmtId="0" fontId="17" fillId="7" borderId="135" applyNumberFormat="0" applyAlignment="0" applyProtection="0"/>
    <xf numFmtId="0" fontId="10" fillId="14" borderId="190" applyNumberFormat="0" applyAlignment="0" applyProtection="0"/>
    <xf numFmtId="0" fontId="17" fillId="7" borderId="135" applyNumberFormat="0" applyAlignment="0" applyProtection="0"/>
    <xf numFmtId="0" fontId="17" fillId="7" borderId="135" applyNumberFormat="0" applyAlignment="0" applyProtection="0"/>
    <xf numFmtId="0" fontId="12" fillId="8" borderId="180" applyNumberFormat="0" applyAlignment="0" applyProtection="0"/>
    <xf numFmtId="0" fontId="17" fillId="7" borderId="180" applyNumberFormat="0" applyAlignment="0" applyProtection="0"/>
    <xf numFmtId="0" fontId="15" fillId="7" borderId="135" applyNumberFormat="0" applyAlignment="0" applyProtection="0"/>
    <xf numFmtId="0" fontId="12" fillId="57" borderId="200" applyNumberFormat="0" applyAlignment="0" applyProtection="0"/>
    <xf numFmtId="0" fontId="12" fillId="8" borderId="135" applyNumberFormat="0" applyAlignment="0" applyProtection="0"/>
    <xf numFmtId="0" fontId="12" fillId="57" borderId="135" applyNumberFormat="0" applyAlignment="0" applyProtection="0"/>
    <xf numFmtId="0" fontId="10" fillId="14" borderId="135" applyNumberFormat="0" applyAlignment="0" applyProtection="0"/>
    <xf numFmtId="0" fontId="18" fillId="0" borderId="151" applyNumberFormat="0" applyFill="0" applyAlignment="0" applyProtection="0"/>
    <xf numFmtId="0" fontId="10" fillId="14" borderId="125" applyNumberFormat="0" applyAlignment="0" applyProtection="0"/>
    <xf numFmtId="0" fontId="10" fillId="14" borderId="125" applyNumberFormat="0" applyAlignment="0" applyProtection="0"/>
    <xf numFmtId="0" fontId="12" fillId="57" borderId="125" applyNumberFormat="0" applyAlignment="0" applyProtection="0"/>
    <xf numFmtId="0" fontId="15" fillId="7" borderId="125" applyNumberFormat="0" applyAlignment="0" applyProtection="0"/>
    <xf numFmtId="0" fontId="15" fillId="7" borderId="125" applyNumberFormat="0" applyAlignment="0" applyProtection="0"/>
    <xf numFmtId="0" fontId="10" fillId="14" borderId="160" applyNumberFormat="0" applyAlignment="0" applyProtection="0"/>
    <xf numFmtId="0" fontId="17" fillId="7" borderId="125" applyNumberFormat="0" applyAlignment="0" applyProtection="0"/>
    <xf numFmtId="0" fontId="17" fillId="7" borderId="125" applyNumberFormat="0" applyAlignment="0" applyProtection="0"/>
    <xf numFmtId="0" fontId="12" fillId="8" borderId="160" applyNumberFormat="0" applyAlignment="0" applyProtection="0"/>
    <xf numFmtId="0" fontId="78" fillId="0" borderId="178" applyNumberFormat="0" applyFill="0" applyAlignment="0" applyProtection="0"/>
    <xf numFmtId="0" fontId="9" fillId="14" borderId="209" applyNumberFormat="0" applyAlignment="0" applyProtection="0"/>
    <xf numFmtId="0" fontId="9" fillId="14" borderId="209" applyNumberFormat="0" applyAlignment="0" applyProtection="0"/>
    <xf numFmtId="0" fontId="15" fillId="7" borderId="180" applyNumberFormat="0" applyAlignment="0" applyProtection="0"/>
    <xf numFmtId="0" fontId="15" fillId="7" borderId="200" applyNumberFormat="0" applyAlignment="0" applyProtection="0"/>
    <xf numFmtId="0" fontId="9" fillId="14" borderId="194" applyNumberFormat="0" applyAlignment="0" applyProtection="0"/>
    <xf numFmtId="0" fontId="17" fillId="58" borderId="125" applyNumberFormat="0" applyAlignment="0" applyProtection="0"/>
    <xf numFmtId="0" fontId="15" fillId="7" borderId="165" applyNumberFormat="0" applyAlignment="0" applyProtection="0"/>
    <xf numFmtId="0" fontId="10" fillId="14" borderId="175" applyNumberFormat="0" applyAlignment="0" applyProtection="0"/>
    <xf numFmtId="0" fontId="15" fillId="7" borderId="185" applyNumberFormat="0" applyAlignment="0" applyProtection="0"/>
    <xf numFmtId="0" fontId="12" fillId="57" borderId="185" applyNumberFormat="0" applyAlignment="0" applyProtection="0"/>
    <xf numFmtId="0" fontId="9" fillId="14" borderId="184" applyNumberFormat="0" applyAlignment="0" applyProtection="0"/>
    <xf numFmtId="0" fontId="15" fillId="7" borderId="170" applyNumberFormat="0" applyAlignment="0" applyProtection="0"/>
    <xf numFmtId="0" fontId="10" fillId="14" borderId="215" applyNumberFormat="0" applyAlignment="0" applyProtection="0"/>
    <xf numFmtId="0" fontId="18" fillId="0" borderId="156" applyNumberFormat="0" applyFill="0" applyAlignment="0" applyProtection="0"/>
    <xf numFmtId="0" fontId="12" fillId="8" borderId="155" applyNumberFormat="0" applyAlignment="0" applyProtection="0"/>
    <xf numFmtId="0" fontId="12" fillId="8" borderId="155" applyNumberFormat="0" applyAlignment="0" applyProtection="0"/>
    <xf numFmtId="0" fontId="9" fillId="14" borderId="194" applyNumberFormat="0" applyAlignment="0" applyProtection="0"/>
    <xf numFmtId="0" fontId="12" fillId="8" borderId="180" applyNumberFormat="0" applyAlignment="0" applyProtection="0"/>
    <xf numFmtId="0" fontId="12" fillId="8" borderId="165" applyNumberFormat="0" applyAlignment="0" applyProtection="0"/>
    <xf numFmtId="0" fontId="30" fillId="9" borderId="197" applyNumberFormat="0" applyAlignment="0" applyProtection="0"/>
    <xf numFmtId="0" fontId="9" fillId="14" borderId="144" applyNumberFormat="0" applyAlignment="0" applyProtection="0"/>
    <xf numFmtId="0" fontId="10" fillId="14" borderId="145" applyNumberFormat="0" applyAlignment="0" applyProtection="0"/>
    <xf numFmtId="0" fontId="30" fillId="9" borderId="137" applyNumberFormat="0" applyAlignment="0" applyProtection="0"/>
    <xf numFmtId="0" fontId="78" fillId="0" borderId="198" applyNumberFormat="0" applyFill="0" applyAlignment="0" applyProtection="0"/>
    <xf numFmtId="0" fontId="12" fillId="8" borderId="150" applyNumberFormat="0" applyAlignment="0" applyProtection="0"/>
    <xf numFmtId="0" fontId="10" fillId="14" borderId="160" applyNumberFormat="0" applyAlignment="0" applyProtection="0"/>
    <xf numFmtId="0" fontId="18" fillId="0" borderId="176" applyNumberFormat="0" applyFill="0" applyAlignment="0" applyProtection="0"/>
    <xf numFmtId="0" fontId="21" fillId="8" borderId="149" applyNumberFormat="0" applyAlignment="0" applyProtection="0"/>
    <xf numFmtId="0" fontId="30" fillId="9" borderId="127" applyNumberFormat="0" applyAlignment="0" applyProtection="0"/>
    <xf numFmtId="0" fontId="21" fillId="57" borderId="124" applyNumberFormat="0" applyAlignment="0" applyProtection="0"/>
    <xf numFmtId="0" fontId="12" fillId="8" borderId="170" applyNumberFormat="0" applyAlignment="0" applyProtection="0"/>
    <xf numFmtId="0" fontId="15" fillId="7" borderId="210" applyNumberFormat="0" applyAlignment="0" applyProtection="0"/>
    <xf numFmtId="0" fontId="12" fillId="8" borderId="140" applyNumberFormat="0" applyAlignment="0" applyProtection="0"/>
    <xf numFmtId="0" fontId="9" fillId="14" borderId="169" applyNumberFormat="0" applyAlignment="0" applyProtection="0"/>
    <xf numFmtId="0" fontId="9" fillId="14" borderId="169" applyNumberFormat="0" applyAlignment="0" applyProtection="0"/>
    <xf numFmtId="0" fontId="10" fillId="14" borderId="210" applyNumberFormat="0" applyAlignment="0" applyProtection="0"/>
    <xf numFmtId="0" fontId="12" fillId="8" borderId="195" applyNumberFormat="0" applyAlignment="0" applyProtection="0"/>
    <xf numFmtId="0" fontId="78" fillId="0" borderId="138" applyNumberFormat="0" applyFill="0" applyAlignment="0" applyProtection="0"/>
    <xf numFmtId="0" fontId="21" fillId="57" borderId="134" applyNumberFormat="0" applyAlignment="0" applyProtection="0"/>
    <xf numFmtId="0" fontId="9" fillId="14" borderId="129" applyNumberFormat="0" applyAlignment="0" applyProtection="0"/>
    <xf numFmtId="0" fontId="15" fillId="7" borderId="130" applyNumberFormat="0" applyAlignment="0" applyProtection="0"/>
    <xf numFmtId="0" fontId="15" fillId="7" borderId="130" applyNumberFormat="0" applyAlignment="0" applyProtection="0"/>
    <xf numFmtId="0" fontId="17" fillId="7" borderId="130" applyNumberFormat="0" applyAlignment="0" applyProtection="0"/>
    <xf numFmtId="0" fontId="18" fillId="0" borderId="131" applyNumberFormat="0" applyFill="0" applyAlignment="0" applyProtection="0"/>
    <xf numFmtId="0" fontId="17" fillId="58" borderId="130" applyNumberFormat="0" applyAlignment="0" applyProtection="0"/>
    <xf numFmtId="0" fontId="10" fillId="14" borderId="155" applyNumberFormat="0" applyAlignment="0" applyProtection="0"/>
    <xf numFmtId="0" fontId="10" fillId="14" borderId="215" applyNumberFormat="0" applyAlignment="0" applyProtection="0"/>
    <xf numFmtId="0" fontId="12" fillId="8" borderId="165" applyNumberFormat="0" applyAlignment="0" applyProtection="0"/>
    <xf numFmtId="0" fontId="12" fillId="57" borderId="155" applyNumberFormat="0" applyAlignment="0" applyProtection="0"/>
    <xf numFmtId="0" fontId="12" fillId="8" borderId="175" applyNumberFormat="0" applyAlignment="0" applyProtection="0"/>
    <xf numFmtId="0" fontId="21" fillId="57" borderId="149" applyNumberFormat="0" applyAlignment="0" applyProtection="0"/>
    <xf numFmtId="0" fontId="21" fillId="8" borderId="159" applyNumberFormat="0" applyAlignment="0" applyProtection="0"/>
    <xf numFmtId="0" fontId="78" fillId="0" borderId="153" applyNumberFormat="0" applyFill="0" applyAlignment="0" applyProtection="0"/>
    <xf numFmtId="0" fontId="10" fillId="14" borderId="155" applyNumberFormat="0" applyAlignment="0" applyProtection="0"/>
    <xf numFmtId="0" fontId="15" fillId="7" borderId="135" applyNumberFormat="0" applyAlignment="0" applyProtection="0"/>
    <xf numFmtId="0" fontId="12" fillId="8" borderId="135" applyNumberFormat="0" applyAlignment="0" applyProtection="0"/>
    <xf numFmtId="0" fontId="12" fillId="8" borderId="160" applyNumberFormat="0" applyAlignment="0" applyProtection="0"/>
    <xf numFmtId="0" fontId="10" fillId="14" borderId="150" applyNumberFormat="0" applyAlignment="0" applyProtection="0"/>
    <xf numFmtId="0" fontId="12" fillId="8" borderId="175" applyNumberFormat="0" applyAlignment="0" applyProtection="0"/>
    <xf numFmtId="0" fontId="15" fillId="7" borderId="165" applyNumberFormat="0" applyAlignment="0" applyProtection="0"/>
    <xf numFmtId="0" fontId="10" fillId="14" borderId="145" applyNumberFormat="0" applyAlignment="0" applyProtection="0"/>
    <xf numFmtId="0" fontId="9" fillId="14" borderId="189" applyNumberFormat="0" applyAlignment="0" applyProtection="0"/>
    <xf numFmtId="0" fontId="10" fillId="14" borderId="155" applyNumberFormat="0" applyAlignment="0" applyProtection="0"/>
    <xf numFmtId="0" fontId="10" fillId="14" borderId="155" applyNumberFormat="0" applyAlignment="0" applyProtection="0"/>
    <xf numFmtId="0" fontId="17" fillId="7" borderId="175" applyNumberFormat="0" applyAlignment="0" applyProtection="0"/>
    <xf numFmtId="0" fontId="12" fillId="8" borderId="170" applyNumberFormat="0" applyAlignment="0" applyProtection="0"/>
    <xf numFmtId="0" fontId="30" fillId="9" borderId="127" applyNumberFormat="0" applyAlignment="0" applyProtection="0"/>
    <xf numFmtId="0" fontId="18" fillId="0" borderId="186" applyNumberFormat="0" applyFill="0" applyAlignment="0" applyProtection="0"/>
    <xf numFmtId="0" fontId="10" fillId="14" borderId="180" applyNumberFormat="0" applyAlignment="0" applyProtection="0"/>
    <xf numFmtId="0" fontId="30" fillId="9" borderId="152" applyNumberFormat="0" applyAlignment="0" applyProtection="0"/>
    <xf numFmtId="0" fontId="15" fillId="7" borderId="135" applyNumberFormat="0" applyAlignment="0" applyProtection="0"/>
    <xf numFmtId="0" fontId="18" fillId="0" borderId="196" applyNumberFormat="0" applyFill="0" applyAlignment="0" applyProtection="0"/>
    <xf numFmtId="0" fontId="12" fillId="57" borderId="160" applyNumberFormat="0" applyAlignment="0" applyProtection="0"/>
    <xf numFmtId="0" fontId="9" fillId="14" borderId="134" applyNumberFormat="0" applyAlignment="0" applyProtection="0"/>
    <xf numFmtId="0" fontId="10" fillId="14" borderId="200" applyNumberFormat="0" applyAlignment="0" applyProtection="0"/>
    <xf numFmtId="0" fontId="21" fillId="8" borderId="149" applyNumberFormat="0" applyAlignment="0" applyProtection="0"/>
    <xf numFmtId="0" fontId="10" fillId="14" borderId="195" applyNumberFormat="0" applyAlignment="0" applyProtection="0"/>
    <xf numFmtId="0" fontId="30" fillId="9" borderId="137" applyNumberFormat="0" applyAlignment="0" applyProtection="0"/>
    <xf numFmtId="0" fontId="15" fillId="7" borderId="180" applyNumberFormat="0" applyAlignment="0" applyProtection="0"/>
    <xf numFmtId="0" fontId="18" fillId="0" borderId="181" applyNumberFormat="0" applyFill="0" applyAlignment="0" applyProtection="0"/>
    <xf numFmtId="0" fontId="10" fillId="14" borderId="185" applyNumberFormat="0" applyAlignment="0" applyProtection="0"/>
    <xf numFmtId="0" fontId="10" fillId="14" borderId="175" applyNumberFormat="0" applyAlignment="0" applyProtection="0"/>
    <xf numFmtId="0" fontId="15" fillId="7" borderId="175" applyNumberFormat="0" applyAlignment="0" applyProtection="0"/>
    <xf numFmtId="0" fontId="9" fillId="14" borderId="129" applyNumberFormat="0" applyAlignment="0" applyProtection="0"/>
    <xf numFmtId="0" fontId="9" fillId="14" borderId="164" applyNumberFormat="0" applyAlignment="0" applyProtection="0"/>
    <xf numFmtId="0" fontId="12" fillId="8" borderId="200" applyNumberFormat="0" applyAlignment="0" applyProtection="0"/>
    <xf numFmtId="0" fontId="18" fillId="0" borderId="181" applyNumberFormat="0" applyFill="0" applyAlignment="0" applyProtection="0"/>
    <xf numFmtId="0" fontId="78" fillId="0" borderId="138" applyNumberFormat="0" applyFill="0" applyAlignment="0" applyProtection="0"/>
    <xf numFmtId="0" fontId="78" fillId="0" borderId="138" applyNumberFormat="0" applyFill="0" applyAlignment="0" applyProtection="0"/>
    <xf numFmtId="0" fontId="15" fillId="7" borderId="155" applyNumberFormat="0" applyAlignment="0" applyProtection="0"/>
    <xf numFmtId="0" fontId="30" fillId="9" borderId="137" applyNumberFormat="0" applyAlignment="0" applyProtection="0"/>
    <xf numFmtId="0" fontId="18" fillId="0" borderId="121" applyNumberFormat="0" applyFill="0" applyAlignment="0" applyProtection="0"/>
    <xf numFmtId="0" fontId="17" fillId="7" borderId="120" applyNumberFormat="0" applyAlignment="0" applyProtection="0"/>
    <xf numFmtId="0" fontId="18" fillId="0" borderId="121" applyNumberFormat="0" applyFill="0" applyAlignment="0" applyProtection="0"/>
    <xf numFmtId="0" fontId="17" fillId="7" borderId="120" applyNumberFormat="0" applyAlignment="0" applyProtection="0"/>
    <xf numFmtId="0" fontId="17" fillId="7" borderId="120" applyNumberFormat="0" applyAlignment="0" applyProtection="0"/>
    <xf numFmtId="0" fontId="12" fillId="8" borderId="120" applyNumberFormat="0" applyAlignment="0" applyProtection="0"/>
    <xf numFmtId="0" fontId="15" fillId="7" borderId="120" applyNumberFormat="0" applyAlignment="0" applyProtection="0"/>
    <xf numFmtId="0" fontId="12" fillId="8" borderId="120" applyNumberFormat="0" applyAlignment="0" applyProtection="0"/>
    <xf numFmtId="0" fontId="12" fillId="8" borderId="120" applyNumberFormat="0" applyAlignment="0" applyProtection="0"/>
    <xf numFmtId="0" fontId="9" fillId="14" borderId="119" applyNumberFormat="0" applyAlignment="0" applyProtection="0"/>
    <xf numFmtId="0" fontId="10" fillId="14" borderId="120" applyNumberFormat="0" applyAlignment="0" applyProtection="0"/>
    <xf numFmtId="0" fontId="10" fillId="14" borderId="120" applyNumberFormat="0" applyAlignment="0" applyProtection="0"/>
    <xf numFmtId="0" fontId="9" fillId="14" borderId="119" applyNumberFormat="0" applyAlignment="0" applyProtection="0"/>
    <xf numFmtId="0" fontId="9" fillId="14" borderId="154" applyNumberFormat="0" applyAlignment="0" applyProtection="0"/>
    <xf numFmtId="0" fontId="18" fillId="0" borderId="196" applyNumberFormat="0" applyFill="0" applyAlignment="0" applyProtection="0"/>
    <xf numFmtId="0" fontId="17" fillId="7" borderId="155" applyNumberFormat="0" applyAlignment="0" applyProtection="0"/>
    <xf numFmtId="0" fontId="15" fillId="7" borderId="205" applyNumberFormat="0" applyAlignment="0" applyProtection="0"/>
    <xf numFmtId="0" fontId="10" fillId="14" borderId="130" applyNumberFormat="0" applyAlignment="0" applyProtection="0"/>
    <xf numFmtId="0" fontId="10" fillId="14" borderId="130" applyNumberFormat="0" applyAlignment="0" applyProtection="0"/>
    <xf numFmtId="0" fontId="12" fillId="8" borderId="130" applyNumberFormat="0" applyAlignment="0" applyProtection="0"/>
    <xf numFmtId="0" fontId="17" fillId="7" borderId="130" applyNumberFormat="0" applyAlignment="0" applyProtection="0"/>
    <xf numFmtId="0" fontId="17" fillId="7" borderId="130" applyNumberFormat="0" applyAlignment="0" applyProtection="0"/>
    <xf numFmtId="0" fontId="18" fillId="0" borderId="131" applyNumberFormat="0" applyFill="0" applyAlignment="0" applyProtection="0"/>
    <xf numFmtId="0" fontId="78" fillId="0" borderId="178" applyNumberFormat="0" applyFill="0" applyAlignment="0" applyProtection="0"/>
    <xf numFmtId="0" fontId="12" fillId="8" borderId="145" applyNumberFormat="0" applyAlignment="0" applyProtection="0"/>
    <xf numFmtId="0" fontId="12" fillId="8" borderId="155" applyNumberFormat="0" applyAlignment="0" applyProtection="0"/>
    <xf numFmtId="0" fontId="9" fillId="14" borderId="154" applyNumberFormat="0" applyAlignment="0" applyProtection="0"/>
    <xf numFmtId="0" fontId="15" fillId="7" borderId="145" applyNumberFormat="0" applyAlignment="0" applyProtection="0"/>
    <xf numFmtId="0" fontId="17" fillId="7" borderId="180" applyNumberFormat="0" applyAlignment="0" applyProtection="0"/>
    <xf numFmtId="0" fontId="18" fillId="0" borderId="196" applyNumberFormat="0" applyFill="0" applyAlignment="0" applyProtection="0"/>
    <xf numFmtId="0" fontId="9" fillId="14" borderId="144" applyNumberFormat="0" applyAlignment="0" applyProtection="0"/>
    <xf numFmtId="0" fontId="21" fillId="8" borderId="194" applyNumberFormat="0" applyAlignment="0" applyProtection="0"/>
    <xf numFmtId="0" fontId="15" fillId="7" borderId="145" applyNumberFormat="0" applyAlignment="0" applyProtection="0"/>
    <xf numFmtId="0" fontId="18" fillId="0" borderId="156" applyNumberFormat="0" applyFill="0" applyAlignment="0" applyProtection="0"/>
    <xf numFmtId="0" fontId="12" fillId="8" borderId="185" applyNumberFormat="0" applyAlignment="0" applyProtection="0"/>
    <xf numFmtId="0" fontId="9" fillId="14" borderId="114" applyNumberFormat="0" applyAlignment="0" applyProtection="0"/>
    <xf numFmtId="0" fontId="9" fillId="14" borderId="114" applyNumberFormat="0" applyAlignment="0" applyProtection="0"/>
    <xf numFmtId="0" fontId="9" fillId="14" borderId="114" applyNumberFormat="0" applyAlignment="0" applyProtection="0"/>
    <xf numFmtId="0" fontId="9" fillId="14" borderId="114" applyNumberFormat="0" applyAlignment="0" applyProtection="0"/>
    <xf numFmtId="0" fontId="10" fillId="14" borderId="115" applyNumberFormat="0" applyAlignment="0" applyProtection="0"/>
    <xf numFmtId="0" fontId="10" fillId="14" borderId="115" applyNumberFormat="0" applyAlignment="0" applyProtection="0"/>
    <xf numFmtId="0" fontId="10" fillId="14" borderId="115" applyNumberFormat="0" applyAlignment="0" applyProtection="0"/>
    <xf numFmtId="0" fontId="10" fillId="14" borderId="115" applyNumberFormat="0" applyAlignment="0" applyProtection="0"/>
    <xf numFmtId="0" fontId="12" fillId="57" borderId="115" applyNumberFormat="0" applyAlignment="0" applyProtection="0"/>
    <xf numFmtId="0" fontId="12" fillId="8" borderId="115" applyNumberFormat="0" applyAlignment="0" applyProtection="0"/>
    <xf numFmtId="0" fontId="12" fillId="8" borderId="115" applyNumberFormat="0" applyAlignment="0" applyProtection="0"/>
    <xf numFmtId="0" fontId="12" fillId="8" borderId="115" applyNumberFormat="0" applyAlignment="0" applyProtection="0"/>
    <xf numFmtId="0" fontId="12" fillId="8" borderId="115" applyNumberFormat="0" applyAlignment="0" applyProtection="0"/>
    <xf numFmtId="0" fontId="12" fillId="8" borderId="115" applyNumberFormat="0" applyAlignment="0" applyProtection="0"/>
    <xf numFmtId="0" fontId="15" fillId="7" borderId="115" applyNumberFormat="0" applyAlignment="0" applyProtection="0"/>
    <xf numFmtId="0" fontId="15" fillId="7" borderId="115" applyNumberFormat="0" applyAlignment="0" applyProtection="0"/>
    <xf numFmtId="0" fontId="15" fillId="7" borderId="115" applyNumberFormat="0" applyAlignment="0" applyProtection="0"/>
    <xf numFmtId="0" fontId="15" fillId="7" borderId="115" applyNumberFormat="0" applyAlignment="0" applyProtection="0"/>
    <xf numFmtId="0" fontId="15" fillId="7" borderId="115" applyNumberFormat="0" applyAlignment="0" applyProtection="0"/>
    <xf numFmtId="0" fontId="17" fillId="7" borderId="115" applyNumberFormat="0" applyAlignment="0" applyProtection="0"/>
    <xf numFmtId="0" fontId="17" fillId="7" borderId="115" applyNumberFormat="0" applyAlignment="0" applyProtection="0"/>
    <xf numFmtId="0" fontId="17" fillId="7" borderId="115" applyNumberFormat="0" applyAlignment="0" applyProtection="0"/>
    <xf numFmtId="0" fontId="17" fillId="7" borderId="115" applyNumberFormat="0" applyAlignment="0" applyProtection="0"/>
    <xf numFmtId="0" fontId="17" fillId="7" borderId="115" applyNumberFormat="0" applyAlignment="0" applyProtection="0"/>
    <xf numFmtId="0" fontId="18" fillId="0" borderId="116" applyNumberFormat="0" applyFill="0" applyAlignment="0" applyProtection="0"/>
    <xf numFmtId="0" fontId="18" fillId="0" borderId="116" applyNumberFormat="0" applyFill="0" applyAlignment="0" applyProtection="0"/>
    <xf numFmtId="0" fontId="18" fillId="0" borderId="116" applyNumberFormat="0" applyFill="0" applyAlignment="0" applyProtection="0"/>
    <xf numFmtId="0" fontId="18" fillId="0" borderId="116" applyNumberFormat="0" applyFill="0" applyAlignment="0" applyProtection="0"/>
    <xf numFmtId="0" fontId="18" fillId="0" borderId="116" applyNumberFormat="0" applyFill="0" applyAlignment="0" applyProtection="0"/>
    <xf numFmtId="0" fontId="17" fillId="58" borderId="115" applyNumberFormat="0" applyAlignment="0" applyProtection="0"/>
    <xf numFmtId="0" fontId="12" fillId="8" borderId="165" applyNumberFormat="0" applyAlignment="0" applyProtection="0"/>
    <xf numFmtId="0" fontId="9" fillId="14" borderId="179" applyNumberFormat="0" applyAlignment="0" applyProtection="0"/>
    <xf numFmtId="0" fontId="12" fillId="8" borderId="140" applyNumberFormat="0" applyAlignment="0" applyProtection="0"/>
    <xf numFmtId="0" fontId="12" fillId="8" borderId="195" applyNumberFormat="0" applyAlignment="0" applyProtection="0"/>
    <xf numFmtId="0" fontId="10" fillId="14" borderId="140" applyNumberFormat="0" applyAlignment="0" applyProtection="0"/>
    <xf numFmtId="0" fontId="21" fillId="8" borderId="184" applyNumberFormat="0" applyAlignment="0" applyProtection="0"/>
    <xf numFmtId="0" fontId="12" fillId="8" borderId="130" applyNumberFormat="0" applyAlignment="0" applyProtection="0"/>
    <xf numFmtId="0" fontId="9" fillId="14" borderId="159" applyNumberFormat="0" applyAlignment="0" applyProtection="0"/>
    <xf numFmtId="0" fontId="12" fillId="8" borderId="205" applyNumberFormat="0" applyAlignment="0" applyProtection="0"/>
    <xf numFmtId="0" fontId="10" fillId="14" borderId="130" applyNumberFormat="0" applyAlignment="0" applyProtection="0"/>
    <xf numFmtId="0" fontId="12" fillId="57" borderId="130" applyNumberFormat="0" applyAlignment="0" applyProtection="0"/>
    <xf numFmtId="0" fontId="18" fillId="0" borderId="131" applyNumberFormat="0" applyFill="0" applyAlignment="0" applyProtection="0"/>
    <xf numFmtId="0" fontId="15" fillId="7" borderId="130" applyNumberFormat="0" applyAlignment="0" applyProtection="0"/>
    <xf numFmtId="0" fontId="15" fillId="7" borderId="130" applyNumberFormat="0" applyAlignment="0" applyProtection="0"/>
    <xf numFmtId="0" fontId="18" fillId="0" borderId="131" applyNumberFormat="0" applyFill="0" applyAlignment="0" applyProtection="0"/>
    <xf numFmtId="0" fontId="10" fillId="14" borderId="170" applyNumberFormat="0" applyAlignment="0" applyProtection="0"/>
    <xf numFmtId="0" fontId="12" fillId="8" borderId="170" applyNumberFormat="0" applyAlignment="0" applyProtection="0"/>
    <xf numFmtId="0" fontId="10" fillId="14" borderId="165" applyNumberFormat="0" applyAlignment="0" applyProtection="0"/>
    <xf numFmtId="0" fontId="10" fillId="14" borderId="205" applyNumberFormat="0" applyAlignment="0" applyProtection="0"/>
    <xf numFmtId="0" fontId="15" fillId="7" borderId="170" applyNumberFormat="0" applyAlignment="0" applyProtection="0"/>
    <xf numFmtId="0" fontId="17" fillId="7" borderId="135" applyNumberFormat="0" applyAlignment="0" applyProtection="0"/>
    <xf numFmtId="0" fontId="10" fillId="14" borderId="165" applyNumberFormat="0" applyAlignment="0" applyProtection="0"/>
    <xf numFmtId="0" fontId="15" fillId="7" borderId="150" applyNumberFormat="0" applyAlignment="0" applyProtection="0"/>
    <xf numFmtId="0" fontId="18" fillId="0" borderId="151" applyNumberFormat="0" applyFill="0" applyAlignment="0" applyProtection="0"/>
    <xf numFmtId="0" fontId="18" fillId="0" borderId="126" applyNumberFormat="0" applyFill="0" applyAlignment="0" applyProtection="0"/>
    <xf numFmtId="0" fontId="17" fillId="7" borderId="155" applyNumberFormat="0" applyAlignment="0" applyProtection="0"/>
    <xf numFmtId="0" fontId="30" fillId="9" borderId="117" applyNumberFormat="0" applyAlignment="0" applyProtection="0"/>
    <xf numFmtId="0" fontId="30" fillId="9" borderId="117" applyNumberFormat="0" applyAlignment="0" applyProtection="0"/>
    <xf numFmtId="0" fontId="30" fillId="9" borderId="117" applyNumberFormat="0" applyAlignment="0" applyProtection="0"/>
    <xf numFmtId="0" fontId="30" fillId="59" borderId="117" applyNumberFormat="0" applyFont="0" applyAlignment="0" applyProtection="0"/>
    <xf numFmtId="0" fontId="9" fillId="14" borderId="199" applyNumberFormat="0" applyAlignment="0" applyProtection="0"/>
    <xf numFmtId="0" fontId="12" fillId="8" borderId="150" applyNumberFormat="0" applyAlignment="0" applyProtection="0"/>
    <xf numFmtId="0" fontId="17" fillId="7" borderId="175" applyNumberFormat="0" applyAlignment="0" applyProtection="0"/>
    <xf numFmtId="0" fontId="30" fillId="9" borderId="117" applyNumberFormat="0" applyAlignment="0" applyProtection="0"/>
    <xf numFmtId="0" fontId="30" fillId="9" borderId="117" applyNumberFormat="0" applyAlignment="0" applyProtection="0"/>
    <xf numFmtId="0" fontId="30" fillId="9" borderId="117" applyNumberFormat="0" applyAlignment="0" applyProtection="0"/>
    <xf numFmtId="0" fontId="21" fillId="57" borderId="114" applyNumberFormat="0" applyAlignment="0" applyProtection="0"/>
    <xf numFmtId="0" fontId="21" fillId="8" borderId="114" applyNumberFormat="0" applyAlignment="0" applyProtection="0"/>
    <xf numFmtId="0" fontId="21" fillId="8" borderId="114" applyNumberFormat="0" applyAlignment="0" applyProtection="0"/>
    <xf numFmtId="0" fontId="21" fillId="8" borderId="114" applyNumberFormat="0" applyAlignment="0" applyProtection="0"/>
    <xf numFmtId="0" fontId="18" fillId="0" borderId="176" applyNumberFormat="0" applyFill="0" applyAlignment="0" applyProtection="0"/>
    <xf numFmtId="0" fontId="15" fillId="7" borderId="145" applyNumberFormat="0" applyAlignment="0" applyProtection="0"/>
    <xf numFmtId="0" fontId="12" fillId="8" borderId="125" applyNumberFormat="0" applyAlignment="0" applyProtection="0"/>
    <xf numFmtId="0" fontId="17" fillId="7" borderId="150" applyNumberFormat="0" applyAlignment="0" applyProtection="0"/>
    <xf numFmtId="0" fontId="15" fillId="7" borderId="125" applyNumberFormat="0" applyAlignment="0" applyProtection="0"/>
    <xf numFmtId="0" fontId="15" fillId="7" borderId="145" applyNumberFormat="0" applyAlignment="0" applyProtection="0"/>
    <xf numFmtId="0" fontId="10" fillId="14" borderId="135" applyNumberFormat="0" applyAlignment="0" applyProtection="0"/>
    <xf numFmtId="0" fontId="12" fillId="8" borderId="135" applyNumberFormat="0" applyAlignment="0" applyProtection="0"/>
    <xf numFmtId="0" fontId="21" fillId="57" borderId="159" applyNumberFormat="0" applyAlignment="0" applyProtection="0"/>
    <xf numFmtId="0" fontId="17" fillId="7" borderId="175" applyNumberFormat="0" applyAlignment="0" applyProtection="0"/>
    <xf numFmtId="0" fontId="12" fillId="8" borderId="190" applyNumberFormat="0" applyAlignment="0" applyProtection="0"/>
    <xf numFmtId="0" fontId="78" fillId="0" borderId="118" applyNumberFormat="0" applyFill="0" applyAlignment="0" applyProtection="0"/>
    <xf numFmtId="0" fontId="78" fillId="0" borderId="118" applyNumberFormat="0" applyFill="0" applyAlignment="0" applyProtection="0"/>
    <xf numFmtId="0" fontId="78" fillId="0" borderId="118" applyNumberFormat="0" applyFill="0" applyAlignment="0" applyProtection="0"/>
    <xf numFmtId="0" fontId="78" fillId="0" borderId="118" applyNumberFormat="0" applyFill="0" applyAlignment="0" applyProtection="0"/>
    <xf numFmtId="0" fontId="78" fillId="0" borderId="128" applyNumberFormat="0" applyFill="0" applyAlignment="0" applyProtection="0"/>
    <xf numFmtId="0" fontId="12" fillId="8" borderId="140" applyNumberFormat="0" applyAlignment="0" applyProtection="0"/>
    <xf numFmtId="0" fontId="12" fillId="8" borderId="200" applyNumberFormat="0" applyAlignment="0" applyProtection="0"/>
    <xf numFmtId="0" fontId="15" fillId="7" borderId="140" applyNumberFormat="0" applyAlignment="0" applyProtection="0"/>
    <xf numFmtId="0" fontId="78" fillId="0" borderId="153" applyNumberFormat="0" applyFill="0" applyAlignment="0" applyProtection="0"/>
    <xf numFmtId="0" fontId="12" fillId="8" borderId="125" applyNumberFormat="0" applyAlignment="0" applyProtection="0"/>
    <xf numFmtId="0" fontId="15" fillId="7" borderId="125" applyNumberFormat="0" applyAlignment="0" applyProtection="0"/>
    <xf numFmtId="0" fontId="9" fillId="14" borderId="124" applyNumberFormat="0" applyAlignment="0" applyProtection="0"/>
    <xf numFmtId="0" fontId="78" fillId="0" borderId="208" applyNumberFormat="0" applyFill="0" applyAlignment="0" applyProtection="0"/>
    <xf numFmtId="0" fontId="30" fillId="9" borderId="122" applyNumberFormat="0" applyAlignment="0" applyProtection="0"/>
    <xf numFmtId="0" fontId="30" fillId="9" borderId="122" applyNumberFormat="0" applyAlignment="0" applyProtection="0"/>
    <xf numFmtId="0" fontId="30" fillId="9" borderId="122" applyNumberFormat="0" applyAlignment="0" applyProtection="0"/>
    <xf numFmtId="0" fontId="30" fillId="59" borderId="122" applyNumberFormat="0" applyFont="0" applyAlignment="0" applyProtection="0"/>
    <xf numFmtId="0" fontId="12" fillId="57" borderId="205" applyNumberFormat="0" applyAlignment="0" applyProtection="0"/>
    <xf numFmtId="0" fontId="12" fillId="8" borderId="170" applyNumberFormat="0" applyAlignment="0" applyProtection="0"/>
    <xf numFmtId="0" fontId="10" fillId="14" borderId="170" applyNumberFormat="0" applyAlignment="0" applyProtection="0"/>
    <xf numFmtId="0" fontId="30" fillId="9" borderId="122" applyNumberFormat="0" applyAlignment="0" applyProtection="0"/>
    <xf numFmtId="0" fontId="30" fillId="9" borderId="122" applyNumberFormat="0" applyAlignment="0" applyProtection="0"/>
    <xf numFmtId="0" fontId="30" fillId="9" borderId="122" applyNumberFormat="0" applyAlignment="0" applyProtection="0"/>
    <xf numFmtId="0" fontId="21" fillId="57" borderId="119" applyNumberFormat="0" applyAlignment="0" applyProtection="0"/>
    <xf numFmtId="0" fontId="21" fillId="8" borderId="119" applyNumberFormat="0" applyAlignment="0" applyProtection="0"/>
    <xf numFmtId="0" fontId="21" fillId="8" borderId="119" applyNumberFormat="0" applyAlignment="0" applyProtection="0"/>
    <xf numFmtId="0" fontId="21" fillId="8" borderId="119" applyNumberFormat="0" applyAlignment="0" applyProtection="0"/>
    <xf numFmtId="0" fontId="9" fillId="14" borderId="209" applyNumberFormat="0" applyAlignment="0" applyProtection="0"/>
    <xf numFmtId="0" fontId="17" fillId="7" borderId="150" applyNumberFormat="0" applyAlignment="0" applyProtection="0"/>
    <xf numFmtId="0" fontId="15" fillId="7" borderId="150" applyNumberFormat="0" applyAlignment="0" applyProtection="0"/>
    <xf numFmtId="0" fontId="12" fillId="8" borderId="150" applyNumberFormat="0" applyAlignment="0" applyProtection="0"/>
    <xf numFmtId="0" fontId="10" fillId="14" borderId="185" applyNumberFormat="0" applyAlignment="0" applyProtection="0"/>
    <xf numFmtId="0" fontId="17" fillId="7" borderId="185" applyNumberFormat="0" applyAlignment="0" applyProtection="0"/>
    <xf numFmtId="0" fontId="30" fillId="9" borderId="162" applyNumberFormat="0" applyAlignment="0" applyProtection="0"/>
    <xf numFmtId="0" fontId="30" fillId="9" borderId="187" applyNumberFormat="0" applyAlignment="0" applyProtection="0"/>
    <xf numFmtId="0" fontId="78" fillId="0" borderId="153" applyNumberFormat="0" applyFill="0" applyAlignment="0" applyProtection="0"/>
    <xf numFmtId="0" fontId="9" fillId="14" borderId="154" applyNumberFormat="0" applyAlignment="0" applyProtection="0"/>
    <xf numFmtId="0" fontId="78" fillId="0" borderId="123" applyNumberFormat="0" applyFill="0" applyAlignment="0" applyProtection="0"/>
    <xf numFmtId="0" fontId="78" fillId="0" borderId="123" applyNumberFormat="0" applyFill="0" applyAlignment="0" applyProtection="0"/>
    <xf numFmtId="0" fontId="78" fillId="0" borderId="123" applyNumberFormat="0" applyFill="0" applyAlignment="0" applyProtection="0"/>
    <xf numFmtId="0" fontId="78" fillId="0" borderId="123" applyNumberFormat="0" applyFill="0" applyAlignment="0" applyProtection="0"/>
    <xf numFmtId="0" fontId="15" fillId="7" borderId="175" applyNumberFormat="0" applyAlignment="0" applyProtection="0"/>
    <xf numFmtId="0" fontId="78" fillId="0" borderId="163" applyNumberFormat="0" applyFill="0" applyAlignment="0" applyProtection="0"/>
    <xf numFmtId="0" fontId="30" fillId="9" borderId="137" applyNumberFormat="0" applyAlignment="0" applyProtection="0"/>
    <xf numFmtId="0" fontId="17" fillId="58" borderId="155" applyNumberFormat="0" applyAlignment="0" applyProtection="0"/>
    <xf numFmtId="0" fontId="9" fillId="14" borderId="154" applyNumberFormat="0" applyAlignment="0" applyProtection="0"/>
    <xf numFmtId="0" fontId="30" fillId="9" borderId="162" applyNumberFormat="0" applyAlignment="0" applyProtection="0"/>
    <xf numFmtId="0" fontId="30" fillId="9" borderId="177" applyNumberFormat="0" applyAlignment="0" applyProtection="0"/>
    <xf numFmtId="0" fontId="30" fillId="9" borderId="132" applyNumberFormat="0" applyAlignment="0" applyProtection="0"/>
    <xf numFmtId="0" fontId="30" fillId="9" borderId="132" applyNumberFormat="0" applyAlignment="0" applyProtection="0"/>
    <xf numFmtId="0" fontId="30" fillId="9" borderId="132" applyNumberFormat="0" applyAlignment="0" applyProtection="0"/>
    <xf numFmtId="0" fontId="30" fillId="59" borderId="132" applyNumberFormat="0" applyFont="0" applyAlignment="0" applyProtection="0"/>
    <xf numFmtId="0" fontId="15" fillId="7" borderId="185" applyNumberFormat="0" applyAlignment="0" applyProtection="0"/>
    <xf numFmtId="0" fontId="30" fillId="9" borderId="132" applyNumberFormat="0" applyAlignment="0" applyProtection="0"/>
    <xf numFmtId="0" fontId="30" fillId="9" borderId="132" applyNumberFormat="0" applyAlignment="0" applyProtection="0"/>
    <xf numFmtId="0" fontId="30" fillId="9" borderId="132" applyNumberFormat="0" applyAlignment="0" applyProtection="0"/>
    <xf numFmtId="0" fontId="21" fillId="57" borderId="129" applyNumberFormat="0" applyAlignment="0" applyProtection="0"/>
    <xf numFmtId="0" fontId="21" fillId="8" borderId="129" applyNumberFormat="0" applyAlignment="0" applyProtection="0"/>
    <xf numFmtId="0" fontId="21" fillId="8" borderId="129" applyNumberFormat="0" applyAlignment="0" applyProtection="0"/>
    <xf numFmtId="0" fontId="21" fillId="8" borderId="129" applyNumberFormat="0" applyAlignment="0" applyProtection="0"/>
    <xf numFmtId="0" fontId="18" fillId="0" borderId="161" applyNumberFormat="0" applyFill="0" applyAlignment="0" applyProtection="0"/>
    <xf numFmtId="0" fontId="12" fillId="8" borderId="210" applyNumberFormat="0" applyAlignment="0" applyProtection="0"/>
    <xf numFmtId="0" fontId="17" fillId="7" borderId="160" applyNumberFormat="0" applyAlignment="0" applyProtection="0"/>
    <xf numFmtId="0" fontId="15" fillId="7" borderId="185" applyNumberFormat="0" applyAlignment="0" applyProtection="0"/>
    <xf numFmtId="0" fontId="10" fillId="14" borderId="200" applyNumberFormat="0" applyAlignment="0" applyProtection="0"/>
    <xf numFmtId="0" fontId="30" fillId="59" borderId="177" applyNumberFormat="0" applyFont="0" applyAlignment="0" applyProtection="0"/>
    <xf numFmtId="0" fontId="21" fillId="8" borderId="159" applyNumberFormat="0" applyAlignment="0" applyProtection="0"/>
    <xf numFmtId="0" fontId="78" fillId="0" borderId="133" applyNumberFormat="0" applyFill="0" applyAlignment="0" applyProtection="0"/>
    <xf numFmtId="0" fontId="78" fillId="0" borderId="133" applyNumberFormat="0" applyFill="0" applyAlignment="0" applyProtection="0"/>
    <xf numFmtId="0" fontId="78" fillId="0" borderId="133" applyNumberFormat="0" applyFill="0" applyAlignment="0" applyProtection="0"/>
    <xf numFmtId="0" fontId="78" fillId="0" borderId="133" applyNumberFormat="0" applyFill="0" applyAlignment="0" applyProtection="0"/>
    <xf numFmtId="0" fontId="78" fillId="0" borderId="198" applyNumberFormat="0" applyFill="0" applyAlignment="0" applyProtection="0"/>
    <xf numFmtId="0" fontId="17" fillId="7" borderId="140" applyNumberFormat="0" applyAlignment="0" applyProtection="0"/>
    <xf numFmtId="0" fontId="17" fillId="7" borderId="140" applyNumberFormat="0" applyAlignment="0" applyProtection="0"/>
    <xf numFmtId="0" fontId="17" fillId="7" borderId="140" applyNumberFormat="0" applyAlignment="0" applyProtection="0"/>
    <xf numFmtId="0" fontId="17" fillId="7" borderId="140" applyNumberFormat="0" applyAlignment="0" applyProtection="0"/>
    <xf numFmtId="0" fontId="17" fillId="7" borderId="140" applyNumberFormat="0" applyAlignment="0" applyProtection="0"/>
    <xf numFmtId="0" fontId="18" fillId="0" borderId="141" applyNumberFormat="0" applyFill="0" applyAlignment="0" applyProtection="0"/>
    <xf numFmtId="0" fontId="18" fillId="0" borderId="141" applyNumberFormat="0" applyFill="0" applyAlignment="0" applyProtection="0"/>
    <xf numFmtId="0" fontId="18" fillId="0" borderId="141" applyNumberFormat="0" applyFill="0" applyAlignment="0" applyProtection="0"/>
    <xf numFmtId="0" fontId="18" fillId="0" borderId="141" applyNumberFormat="0" applyFill="0" applyAlignment="0" applyProtection="0"/>
    <xf numFmtId="0" fontId="18" fillId="0" borderId="141" applyNumberFormat="0" applyFill="0" applyAlignment="0" applyProtection="0"/>
    <xf numFmtId="0" fontId="17" fillId="58" borderId="140" applyNumberFormat="0" applyAlignment="0" applyProtection="0"/>
    <xf numFmtId="0" fontId="12" fillId="8" borderId="215" applyNumberFormat="0" applyAlignment="0" applyProtection="0"/>
    <xf numFmtId="0" fontId="9" fillId="14" borderId="184" applyNumberFormat="0" applyAlignment="0" applyProtection="0"/>
    <xf numFmtId="0" fontId="10" fillId="14" borderId="200" applyNumberFormat="0" applyAlignment="0" applyProtection="0"/>
    <xf numFmtId="0" fontId="9" fillId="14" borderId="179" applyNumberFormat="0" applyAlignment="0" applyProtection="0"/>
    <xf numFmtId="0" fontId="12" fillId="8" borderId="190" applyNumberFormat="0" applyAlignment="0" applyProtection="0"/>
    <xf numFmtId="0" fontId="17" fillId="58" borderId="185" applyNumberFormat="0" applyAlignment="0" applyProtection="0"/>
    <xf numFmtId="0" fontId="15" fillId="7" borderId="155" applyNumberFormat="0" applyAlignment="0" applyProtection="0"/>
    <xf numFmtId="0" fontId="12" fillId="8" borderId="155" applyNumberFormat="0" applyAlignment="0" applyProtection="0"/>
    <xf numFmtId="0" fontId="12" fillId="8" borderId="155" applyNumberFormat="0" applyAlignment="0" applyProtection="0"/>
    <xf numFmtId="0" fontId="17" fillId="7" borderId="155" applyNumberFormat="0" applyAlignment="0" applyProtection="0"/>
    <xf numFmtId="0" fontId="15" fillId="7" borderId="155" applyNumberFormat="0" applyAlignment="0" applyProtection="0"/>
    <xf numFmtId="0" fontId="18" fillId="0" borderId="156" applyNumberFormat="0" applyFill="0" applyAlignment="0" applyProtection="0"/>
    <xf numFmtId="0" fontId="18" fillId="0" borderId="156" applyNumberFormat="0" applyFill="0" applyAlignment="0" applyProtection="0"/>
    <xf numFmtId="0" fontId="12" fillId="8" borderId="185" applyNumberFormat="0" applyAlignment="0" applyProtection="0"/>
    <xf numFmtId="0" fontId="9" fillId="14" borderId="179" applyNumberFormat="0" applyAlignment="0" applyProtection="0"/>
    <xf numFmtId="0" fontId="12" fillId="8" borderId="205" applyNumberFormat="0" applyAlignment="0" applyProtection="0"/>
    <xf numFmtId="0" fontId="9" fillId="14" borderId="169" applyNumberFormat="0" applyAlignment="0" applyProtection="0"/>
    <xf numFmtId="0" fontId="17" fillId="7" borderId="160" applyNumberFormat="0" applyAlignment="0" applyProtection="0"/>
    <xf numFmtId="0" fontId="9" fillId="14" borderId="204" applyNumberFormat="0" applyAlignment="0" applyProtection="0"/>
    <xf numFmtId="0" fontId="30" fillId="9" borderId="177" applyNumberFormat="0" applyAlignment="0" applyProtection="0"/>
    <xf numFmtId="0" fontId="78" fillId="0" borderId="178" applyNumberFormat="0" applyFill="0" applyAlignment="0" applyProtection="0"/>
    <xf numFmtId="0" fontId="15" fillId="7" borderId="160" applyNumberFormat="0" applyAlignment="0" applyProtection="0"/>
    <xf numFmtId="0" fontId="21" fillId="8" borderId="174" applyNumberFormat="0" applyAlignment="0" applyProtection="0"/>
    <xf numFmtId="0" fontId="9" fillId="14" borderId="179" applyNumberFormat="0" applyAlignment="0" applyProtection="0"/>
    <xf numFmtId="0" fontId="10" fillId="14" borderId="170" applyNumberFormat="0" applyAlignment="0" applyProtection="0"/>
    <xf numFmtId="0" fontId="10" fillId="14" borderId="180" applyNumberFormat="0" applyAlignment="0" applyProtection="0"/>
    <xf numFmtId="0" fontId="30" fillId="9" borderId="142" applyNumberFormat="0" applyAlignment="0" applyProtection="0"/>
    <xf numFmtId="0" fontId="30" fillId="9" borderId="142" applyNumberFormat="0" applyAlignment="0" applyProtection="0"/>
    <xf numFmtId="0" fontId="30" fillId="9" borderId="142" applyNumberFormat="0" applyAlignment="0" applyProtection="0"/>
    <xf numFmtId="0" fontId="30" fillId="59" borderId="142" applyNumberFormat="0" applyFont="0" applyAlignment="0" applyProtection="0"/>
    <xf numFmtId="0" fontId="30" fillId="9" borderId="152" applyNumberFormat="0" applyAlignment="0" applyProtection="0"/>
    <xf numFmtId="0" fontId="12" fillId="8" borderId="215" applyNumberFormat="0" applyAlignment="0" applyProtection="0"/>
    <xf numFmtId="0" fontId="30" fillId="9" borderId="152" applyNumberFormat="0" applyAlignment="0" applyProtection="0"/>
    <xf numFmtId="0" fontId="30" fillId="59" borderId="197" applyNumberFormat="0" applyFont="0" applyAlignment="0" applyProtection="0"/>
    <xf numFmtId="0" fontId="30" fillId="9" borderId="142" applyNumberFormat="0" applyAlignment="0" applyProtection="0"/>
    <xf numFmtId="0" fontId="30" fillId="9" borderId="142" applyNumberFormat="0" applyAlignment="0" applyProtection="0"/>
    <xf numFmtId="0" fontId="30" fillId="9" borderId="142" applyNumberFormat="0" applyAlignment="0" applyProtection="0"/>
    <xf numFmtId="0" fontId="21" fillId="57" borderId="139" applyNumberFormat="0" applyAlignment="0" applyProtection="0"/>
    <xf numFmtId="0" fontId="21" fillId="8" borderId="139" applyNumberFormat="0" applyAlignment="0" applyProtection="0"/>
    <xf numFmtId="0" fontId="21" fillId="8" borderId="139" applyNumberFormat="0" applyAlignment="0" applyProtection="0"/>
    <xf numFmtId="0" fontId="21" fillId="8" borderId="139" applyNumberFormat="0" applyAlignment="0" applyProtection="0"/>
    <xf numFmtId="0" fontId="78" fillId="0" borderId="198" applyNumberFormat="0" applyFill="0" applyAlignment="0" applyProtection="0"/>
    <xf numFmtId="0" fontId="12" fillId="8" borderId="160" applyNumberFormat="0" applyAlignment="0" applyProtection="0"/>
    <xf numFmtId="0" fontId="15" fillId="7" borderId="170" applyNumberFormat="0" applyAlignment="0" applyProtection="0"/>
    <xf numFmtId="0" fontId="18" fillId="0" borderId="206" applyNumberFormat="0" applyFill="0" applyAlignment="0" applyProtection="0"/>
    <xf numFmtId="0" fontId="12" fillId="8" borderId="185" applyNumberFormat="0" applyAlignment="0" applyProtection="0"/>
    <xf numFmtId="0" fontId="15" fillId="7" borderId="170" applyNumberFormat="0" applyAlignment="0" applyProtection="0"/>
    <xf numFmtId="0" fontId="18" fillId="0" borderId="161" applyNumberFormat="0" applyFill="0" applyAlignment="0" applyProtection="0"/>
    <xf numFmtId="0" fontId="9" fillId="14" borderId="174" applyNumberFormat="0" applyAlignment="0" applyProtection="0"/>
    <xf numFmtId="0" fontId="9" fillId="14" borderId="174" applyNumberFormat="0" applyAlignment="0" applyProtection="0"/>
    <xf numFmtId="0" fontId="12" fillId="8" borderId="185" applyNumberFormat="0" applyAlignment="0" applyProtection="0"/>
    <xf numFmtId="0" fontId="78" fillId="0" borderId="143" applyNumberFormat="0" applyFill="0" applyAlignment="0" applyProtection="0"/>
    <xf numFmtId="0" fontId="78" fillId="0" borderId="143" applyNumberFormat="0" applyFill="0" applyAlignment="0" applyProtection="0"/>
    <xf numFmtId="0" fontId="78" fillId="0" borderId="143" applyNumberFormat="0" applyFill="0" applyAlignment="0" applyProtection="0"/>
    <xf numFmtId="0" fontId="78" fillId="0" borderId="143" applyNumberFormat="0" applyFill="0" applyAlignment="0" applyProtection="0"/>
    <xf numFmtId="0" fontId="15" fillId="7" borderId="190" applyNumberFormat="0" applyAlignment="0" applyProtection="0"/>
    <xf numFmtId="0" fontId="15" fillId="7" borderId="145" applyNumberFormat="0" applyAlignment="0" applyProtection="0"/>
    <xf numFmtId="0" fontId="17" fillId="7" borderId="145" applyNumberFormat="0" applyAlignment="0" applyProtection="0"/>
    <xf numFmtId="0" fontId="17" fillId="7" borderId="145" applyNumberFormat="0" applyAlignment="0" applyProtection="0"/>
    <xf numFmtId="0" fontId="17" fillId="7" borderId="145" applyNumberFormat="0" applyAlignment="0" applyProtection="0"/>
    <xf numFmtId="0" fontId="17" fillId="7" borderId="145" applyNumberFormat="0" applyAlignment="0" applyProtection="0"/>
    <xf numFmtId="0" fontId="17" fillId="7" borderId="145" applyNumberFormat="0" applyAlignment="0" applyProtection="0"/>
    <xf numFmtId="0" fontId="18" fillId="0" borderId="146" applyNumberFormat="0" applyFill="0" applyAlignment="0" applyProtection="0"/>
    <xf numFmtId="0" fontId="18" fillId="0" borderId="146" applyNumberFormat="0" applyFill="0" applyAlignment="0" applyProtection="0"/>
    <xf numFmtId="0" fontId="18" fillId="0" borderId="146" applyNumberFormat="0" applyFill="0" applyAlignment="0" applyProtection="0"/>
    <xf numFmtId="0" fontId="18" fillId="0" borderId="146" applyNumberFormat="0" applyFill="0" applyAlignment="0" applyProtection="0"/>
    <xf numFmtId="0" fontId="18" fillId="0" borderId="146" applyNumberFormat="0" applyFill="0" applyAlignment="0" applyProtection="0"/>
    <xf numFmtId="0" fontId="17" fillId="58" borderId="145" applyNumberFormat="0" applyAlignment="0" applyProtection="0"/>
    <xf numFmtId="0" fontId="30" fillId="9" borderId="197" applyNumberFormat="0" applyAlignment="0" applyProtection="0"/>
    <xf numFmtId="0" fontId="30" fillId="9" borderId="162" applyNumberFormat="0" applyAlignment="0" applyProtection="0"/>
    <xf numFmtId="0" fontId="17" fillId="7" borderId="195" applyNumberFormat="0" applyAlignment="0" applyProtection="0"/>
    <xf numFmtId="0" fontId="15" fillId="7" borderId="210" applyNumberFormat="0" applyAlignment="0" applyProtection="0"/>
    <xf numFmtId="0" fontId="10" fillId="14" borderId="205" applyNumberFormat="0" applyAlignment="0" applyProtection="0"/>
    <xf numFmtId="0" fontId="12" fillId="8" borderId="180" applyNumberFormat="0" applyAlignment="0" applyProtection="0"/>
    <xf numFmtId="0" fontId="78" fillId="0" borderId="163" applyNumberFormat="0" applyFill="0" applyAlignment="0" applyProtection="0"/>
    <xf numFmtId="0" fontId="78" fillId="0" borderId="163" applyNumberFormat="0" applyFill="0" applyAlignment="0" applyProtection="0"/>
    <xf numFmtId="0" fontId="78" fillId="0" borderId="163" applyNumberFormat="0" applyFill="0" applyAlignment="0" applyProtection="0"/>
    <xf numFmtId="0" fontId="12" fillId="8" borderId="170" applyNumberFormat="0" applyAlignment="0" applyProtection="0"/>
    <xf numFmtId="0" fontId="17" fillId="7" borderId="180" applyNumberFormat="0" applyAlignment="0" applyProtection="0"/>
    <xf numFmtId="0" fontId="10" fillId="14" borderId="210" applyNumberFormat="0" applyAlignment="0" applyProtection="0"/>
    <xf numFmtId="0" fontId="78" fillId="0" borderId="208" applyNumberFormat="0" applyFill="0" applyAlignment="0" applyProtection="0"/>
    <xf numFmtId="0" fontId="9" fillId="14" borderId="214" applyNumberFormat="0" applyAlignment="0" applyProtection="0"/>
    <xf numFmtId="0" fontId="9" fillId="14" borderId="164" applyNumberFormat="0" applyAlignment="0" applyProtection="0"/>
    <xf numFmtId="0" fontId="10" fillId="14" borderId="190" applyNumberFormat="0" applyAlignment="0" applyProtection="0"/>
    <xf numFmtId="0" fontId="15" fillId="7" borderId="165" applyNumberFormat="0" applyAlignment="0" applyProtection="0"/>
    <xf numFmtId="0" fontId="12" fillId="57" borderId="165" applyNumberFormat="0" applyAlignment="0" applyProtection="0"/>
    <xf numFmtId="0" fontId="12" fillId="8" borderId="165" applyNumberFormat="0" applyAlignment="0" applyProtection="0"/>
    <xf numFmtId="0" fontId="15" fillId="7" borderId="165" applyNumberFormat="0" applyAlignment="0" applyProtection="0"/>
    <xf numFmtId="0" fontId="12" fillId="8" borderId="150" applyNumberFormat="0" applyAlignment="0" applyProtection="0"/>
    <xf numFmtId="0" fontId="15" fillId="7" borderId="150" applyNumberFormat="0" applyAlignment="0" applyProtection="0"/>
    <xf numFmtId="0" fontId="9" fillId="14" borderId="149" applyNumberFormat="0" applyAlignment="0" applyProtection="0"/>
    <xf numFmtId="0" fontId="12" fillId="8" borderId="210" applyNumberFormat="0" applyAlignment="0" applyProtection="0"/>
    <xf numFmtId="0" fontId="30" fillId="9" borderId="147" applyNumberFormat="0" applyAlignment="0" applyProtection="0"/>
    <xf numFmtId="0" fontId="30" fillId="9" borderId="147" applyNumberFormat="0" applyAlignment="0" applyProtection="0"/>
    <xf numFmtId="0" fontId="30" fillId="9" borderId="147" applyNumberFormat="0" applyAlignment="0" applyProtection="0"/>
    <xf numFmtId="0" fontId="30" fillId="59" borderId="147" applyNumberFormat="0" applyFont="0" applyAlignment="0" applyProtection="0"/>
    <xf numFmtId="0" fontId="12" fillId="8" borderId="200" applyNumberFormat="0" applyAlignment="0" applyProtection="0"/>
    <xf numFmtId="0" fontId="15" fillId="7" borderId="200" applyNumberFormat="0" applyAlignment="0" applyProtection="0"/>
    <xf numFmtId="0" fontId="21" fillId="8" borderId="204" applyNumberFormat="0" applyAlignment="0" applyProtection="0"/>
    <xf numFmtId="0" fontId="18" fillId="0" borderId="206" applyNumberFormat="0" applyFill="0" applyAlignment="0" applyProtection="0"/>
    <xf numFmtId="0" fontId="30" fillId="9" borderId="147" applyNumberFormat="0" applyAlignment="0" applyProtection="0"/>
    <xf numFmtId="0" fontId="30" fillId="9" borderId="147" applyNumberFormat="0" applyAlignment="0" applyProtection="0"/>
    <xf numFmtId="0" fontId="30" fillId="9" borderId="147" applyNumberFormat="0" applyAlignment="0" applyProtection="0"/>
    <xf numFmtId="0" fontId="21" fillId="57" borderId="144" applyNumberFormat="0" applyAlignment="0" applyProtection="0"/>
    <xf numFmtId="0" fontId="21" fillId="8" borderId="144" applyNumberFormat="0" applyAlignment="0" applyProtection="0"/>
    <xf numFmtId="0" fontId="21" fillId="8" borderId="144" applyNumberFormat="0" applyAlignment="0" applyProtection="0"/>
    <xf numFmtId="0" fontId="21" fillId="8" borderId="144" applyNumberFormat="0" applyAlignment="0" applyProtection="0"/>
    <xf numFmtId="0" fontId="30" fillId="9" borderId="187" applyNumberFormat="0" applyAlignment="0" applyProtection="0"/>
    <xf numFmtId="0" fontId="15" fillId="7" borderId="175" applyNumberFormat="0" applyAlignment="0" applyProtection="0"/>
    <xf numFmtId="0" fontId="12" fillId="57" borderId="175" applyNumberFormat="0" applyAlignment="0" applyProtection="0"/>
    <xf numFmtId="0" fontId="17" fillId="7" borderId="195" applyNumberFormat="0" applyAlignment="0" applyProtection="0"/>
    <xf numFmtId="0" fontId="21" fillId="8" borderId="184" applyNumberFormat="0" applyAlignment="0" applyProtection="0"/>
    <xf numFmtId="0" fontId="18" fillId="0" borderId="206" applyNumberFormat="0" applyFill="0" applyAlignment="0" applyProtection="0"/>
    <xf numFmtId="0" fontId="21" fillId="57" borderId="174" applyNumberFormat="0" applyAlignment="0" applyProtection="0"/>
    <xf numFmtId="0" fontId="78" fillId="0" borderId="178" applyNumberFormat="0" applyFill="0" applyAlignment="0" applyProtection="0"/>
    <xf numFmtId="0" fontId="78" fillId="0" borderId="148" applyNumberFormat="0" applyFill="0" applyAlignment="0" applyProtection="0"/>
    <xf numFmtId="0" fontId="78" fillId="0" borderId="148" applyNumberFormat="0" applyFill="0" applyAlignment="0" applyProtection="0"/>
    <xf numFmtId="0" fontId="78" fillId="0" borderId="148" applyNumberFormat="0" applyFill="0" applyAlignment="0" applyProtection="0"/>
    <xf numFmtId="0" fontId="78" fillId="0" borderId="148" applyNumberFormat="0" applyFill="0" applyAlignment="0" applyProtection="0"/>
    <xf numFmtId="0" fontId="12" fillId="57" borderId="210" applyNumberFormat="0" applyAlignment="0" applyProtection="0"/>
    <xf numFmtId="0" fontId="9" fillId="14" borderId="214" applyNumberFormat="0" applyAlignment="0" applyProtection="0"/>
    <xf numFmtId="0" fontId="30" fillId="9" borderId="162" applyNumberFormat="0" applyAlignment="0" applyProtection="0"/>
    <xf numFmtId="0" fontId="18" fillId="0" borderId="181" applyNumberFormat="0" applyFill="0" applyAlignment="0" applyProtection="0"/>
    <xf numFmtId="0" fontId="21" fillId="8" borderId="174" applyNumberFormat="0" applyAlignment="0" applyProtection="0"/>
    <xf numFmtId="0" fontId="15" fillId="7" borderId="210" applyNumberFormat="0" applyAlignment="0" applyProtection="0"/>
    <xf numFmtId="0" fontId="30" fillId="9" borderId="157" applyNumberFormat="0" applyAlignment="0" applyProtection="0"/>
    <xf numFmtId="0" fontId="30" fillId="9" borderId="157" applyNumberFormat="0" applyAlignment="0" applyProtection="0"/>
    <xf numFmtId="0" fontId="30" fillId="9" borderId="157" applyNumberFormat="0" applyAlignment="0" applyProtection="0"/>
    <xf numFmtId="0" fontId="30" fillId="59" borderId="157" applyNumberFormat="0" applyFont="0" applyAlignment="0" applyProtection="0"/>
    <xf numFmtId="0" fontId="30" fillId="59" borderId="207" applyNumberFormat="0" applyFont="0" applyAlignment="0" applyProtection="0"/>
    <xf numFmtId="0" fontId="30" fillId="9" borderId="197" applyNumberFormat="0" applyAlignment="0" applyProtection="0"/>
    <xf numFmtId="0" fontId="15" fillId="7" borderId="195" applyNumberFormat="0" applyAlignment="0" applyProtection="0"/>
    <xf numFmtId="0" fontId="9" fillId="14" borderId="204" applyNumberFormat="0" applyAlignment="0" applyProtection="0"/>
    <xf numFmtId="0" fontId="9" fillId="14" borderId="194" applyNumberFormat="0" applyAlignment="0" applyProtection="0"/>
    <xf numFmtId="0" fontId="21" fillId="57" borderId="184" applyNumberFormat="0" applyAlignment="0" applyProtection="0"/>
    <xf numFmtId="0" fontId="30" fillId="9" borderId="157" applyNumberFormat="0" applyAlignment="0" applyProtection="0"/>
    <xf numFmtId="0" fontId="30" fillId="9" borderId="157" applyNumberFormat="0" applyAlignment="0" applyProtection="0"/>
    <xf numFmtId="0" fontId="30" fillId="9" borderId="157" applyNumberFormat="0" applyAlignment="0" applyProtection="0"/>
    <xf numFmtId="0" fontId="21" fillId="57" borderId="154" applyNumberFormat="0" applyAlignment="0" applyProtection="0"/>
    <xf numFmtId="0" fontId="21" fillId="8" borderId="154" applyNumberFormat="0" applyAlignment="0" applyProtection="0"/>
    <xf numFmtId="0" fontId="21" fillId="8" borderId="154" applyNumberFormat="0" applyAlignment="0" applyProtection="0"/>
    <xf numFmtId="0" fontId="21" fillId="8" borderId="154" applyNumberFormat="0" applyAlignment="0" applyProtection="0"/>
    <xf numFmtId="0" fontId="18" fillId="0" borderId="186" applyNumberFormat="0" applyFill="0" applyAlignment="0" applyProtection="0"/>
    <xf numFmtId="0" fontId="17" fillId="7" borderId="205" applyNumberFormat="0" applyAlignment="0" applyProtection="0"/>
    <xf numFmtId="0" fontId="17" fillId="7" borderId="205" applyNumberFormat="0" applyAlignment="0" applyProtection="0"/>
    <xf numFmtId="0" fontId="17" fillId="7" borderId="185" applyNumberFormat="0" applyAlignment="0" applyProtection="0"/>
    <xf numFmtId="0" fontId="17" fillId="7" borderId="205" applyNumberFormat="0" applyAlignment="0" applyProtection="0"/>
    <xf numFmtId="0" fontId="30" fillId="59" borderId="187" applyNumberFormat="0" applyFont="0" applyAlignment="0" applyProtection="0"/>
    <xf numFmtId="0" fontId="78" fillId="0" borderId="158" applyNumberFormat="0" applyFill="0" applyAlignment="0" applyProtection="0"/>
    <xf numFmtId="0" fontId="78" fillId="0" borderId="158" applyNumberFormat="0" applyFill="0" applyAlignment="0" applyProtection="0"/>
    <xf numFmtId="0" fontId="78" fillId="0" borderId="158" applyNumberFormat="0" applyFill="0" applyAlignment="0" applyProtection="0"/>
    <xf numFmtId="0" fontId="78" fillId="0" borderId="158" applyNumberFormat="0" applyFill="0" applyAlignment="0" applyProtection="0"/>
    <xf numFmtId="0" fontId="17" fillId="7" borderId="165" applyNumberFormat="0" applyAlignment="0" applyProtection="0"/>
    <xf numFmtId="0" fontId="17" fillId="7" borderId="165" applyNumberFormat="0" applyAlignment="0" applyProtection="0"/>
    <xf numFmtId="0" fontId="17" fillId="7" borderId="165" applyNumberFormat="0" applyAlignment="0" applyProtection="0"/>
    <xf numFmtId="0" fontId="17" fillId="7" borderId="165" applyNumberFormat="0" applyAlignment="0" applyProtection="0"/>
    <xf numFmtId="0" fontId="17" fillId="7" borderId="165" applyNumberFormat="0" applyAlignment="0" applyProtection="0"/>
    <xf numFmtId="0" fontId="18" fillId="0" borderId="166" applyNumberFormat="0" applyFill="0" applyAlignment="0" applyProtection="0"/>
    <xf numFmtId="0" fontId="18" fillId="0" borderId="166" applyNumberFormat="0" applyFill="0" applyAlignment="0" applyProtection="0"/>
    <xf numFmtId="0" fontId="18" fillId="0" borderId="166" applyNumberFormat="0" applyFill="0" applyAlignment="0" applyProtection="0"/>
    <xf numFmtId="0" fontId="18" fillId="0" borderId="166" applyNumberFormat="0" applyFill="0" applyAlignment="0" applyProtection="0"/>
    <xf numFmtId="0" fontId="18" fillId="0" borderId="166" applyNumberFormat="0" applyFill="0" applyAlignment="0" applyProtection="0"/>
    <xf numFmtId="0" fontId="17" fillId="58" borderId="165" applyNumberFormat="0" applyAlignment="0" applyProtection="0"/>
    <xf numFmtId="0" fontId="9" fillId="14" borderId="189" applyNumberFormat="0" applyAlignment="0" applyProtection="0"/>
    <xf numFmtId="0" fontId="78" fillId="0" borderId="188" applyNumberFormat="0" applyFill="0" applyAlignment="0" applyProtection="0"/>
    <xf numFmtId="0" fontId="21" fillId="8" borderId="194" applyNumberFormat="0" applyAlignment="0" applyProtection="0"/>
    <xf numFmtId="0" fontId="12" fillId="8" borderId="180" applyNumberFormat="0" applyAlignment="0" applyProtection="0"/>
    <xf numFmtId="0" fontId="12" fillId="8" borderId="180" applyNumberFormat="0" applyAlignment="0" applyProtection="0"/>
    <xf numFmtId="0" fontId="12" fillId="57" borderId="180" applyNumberFormat="0" applyAlignment="0" applyProtection="0"/>
    <xf numFmtId="0" fontId="15" fillId="7" borderId="180" applyNumberFormat="0" applyAlignment="0" applyProtection="0"/>
    <xf numFmtId="0" fontId="15" fillId="7" borderId="180" applyNumberFormat="0" applyAlignment="0" applyProtection="0"/>
    <xf numFmtId="0" fontId="17" fillId="7" borderId="180" applyNumberFormat="0" applyAlignment="0" applyProtection="0"/>
    <xf numFmtId="0" fontId="18" fillId="0" borderId="181" applyNumberFormat="0" applyFill="0" applyAlignment="0" applyProtection="0"/>
    <xf numFmtId="0" fontId="17" fillId="58" borderId="180" applyNumberFormat="0" applyAlignment="0" applyProtection="0"/>
    <xf numFmtId="0" fontId="9" fillId="14" borderId="199" applyNumberFormat="0" applyAlignment="0" applyProtection="0"/>
    <xf numFmtId="0" fontId="17" fillId="7" borderId="185" applyNumberFormat="0" applyAlignment="0" applyProtection="0"/>
    <xf numFmtId="0" fontId="12" fillId="57" borderId="195" applyNumberFormat="0" applyAlignment="0" applyProtection="0"/>
    <xf numFmtId="0" fontId="12" fillId="8" borderId="205" applyNumberFormat="0" applyAlignment="0" applyProtection="0"/>
    <xf numFmtId="0" fontId="10" fillId="14" borderId="200" applyNumberFormat="0" applyAlignment="0" applyProtection="0"/>
    <xf numFmtId="0" fontId="10" fillId="14" borderId="210" applyNumberFormat="0" applyAlignment="0" applyProtection="0"/>
    <xf numFmtId="0" fontId="30" fillId="9" borderId="167" applyNumberFormat="0" applyAlignment="0" applyProtection="0"/>
    <xf numFmtId="0" fontId="30" fillId="9" borderId="167" applyNumberFormat="0" applyAlignment="0" applyProtection="0"/>
    <xf numFmtId="0" fontId="30" fillId="9" borderId="167" applyNumberFormat="0" applyAlignment="0" applyProtection="0"/>
    <xf numFmtId="0" fontId="30" fillId="59" borderId="167" applyNumberFormat="0" applyFont="0" applyAlignment="0" applyProtection="0"/>
    <xf numFmtId="0" fontId="30" fillId="9" borderId="177" applyNumberFormat="0" applyAlignment="0" applyProtection="0"/>
    <xf numFmtId="0" fontId="30" fillId="9" borderId="167" applyNumberFormat="0" applyAlignment="0" applyProtection="0"/>
    <xf numFmtId="0" fontId="30" fillId="9" borderId="167" applyNumberFormat="0" applyAlignment="0" applyProtection="0"/>
    <xf numFmtId="0" fontId="30" fillId="9" borderId="167" applyNumberFormat="0" applyAlignment="0" applyProtection="0"/>
    <xf numFmtId="0" fontId="21" fillId="57" borderId="164" applyNumberFormat="0" applyAlignment="0" applyProtection="0"/>
    <xf numFmtId="0" fontId="21" fillId="8" borderId="164" applyNumberFormat="0" applyAlignment="0" applyProtection="0"/>
    <xf numFmtId="0" fontId="21" fillId="8" borderId="164" applyNumberFormat="0" applyAlignment="0" applyProtection="0"/>
    <xf numFmtId="0" fontId="21" fillId="8" borderId="164" applyNumberFormat="0" applyAlignment="0" applyProtection="0"/>
    <xf numFmtId="0" fontId="17" fillId="7" borderId="195" applyNumberFormat="0" applyAlignment="0" applyProtection="0"/>
    <xf numFmtId="0" fontId="18" fillId="0" borderId="186" applyNumberFormat="0" applyFill="0" applyAlignment="0" applyProtection="0"/>
    <xf numFmtId="0" fontId="15" fillId="7" borderId="200" applyNumberFormat="0" applyAlignment="0" applyProtection="0"/>
    <xf numFmtId="0" fontId="17" fillId="7" borderId="195" applyNumberFormat="0" applyAlignment="0" applyProtection="0"/>
    <xf numFmtId="0" fontId="15" fillId="7" borderId="200" applyNumberFormat="0" applyAlignment="0" applyProtection="0"/>
    <xf numFmtId="0" fontId="9" fillId="14" borderId="184" applyNumberFormat="0" applyAlignment="0" applyProtection="0"/>
    <xf numFmtId="0" fontId="78" fillId="0" borderId="168" applyNumberFormat="0" applyFill="0" applyAlignment="0" applyProtection="0"/>
    <xf numFmtId="0" fontId="78" fillId="0" borderId="168" applyNumberFormat="0" applyFill="0" applyAlignment="0" applyProtection="0"/>
    <xf numFmtId="0" fontId="78" fillId="0" borderId="168" applyNumberFormat="0" applyFill="0" applyAlignment="0" applyProtection="0"/>
    <xf numFmtId="0" fontId="78" fillId="0" borderId="168" applyNumberFormat="0" applyFill="0" applyAlignment="0" applyProtection="0"/>
    <xf numFmtId="0" fontId="17" fillId="7" borderId="170" applyNumberFormat="0" applyAlignment="0" applyProtection="0"/>
    <xf numFmtId="0" fontId="17" fillId="7" borderId="170" applyNumberFormat="0" applyAlignment="0" applyProtection="0"/>
    <xf numFmtId="0" fontId="17" fillId="7" borderId="170" applyNumberFormat="0" applyAlignment="0" applyProtection="0"/>
    <xf numFmtId="0" fontId="17" fillId="7" borderId="170" applyNumberFormat="0" applyAlignment="0" applyProtection="0"/>
    <xf numFmtId="0" fontId="17" fillId="7" borderId="170" applyNumberFormat="0" applyAlignment="0" applyProtection="0"/>
    <xf numFmtId="0" fontId="18" fillId="0" borderId="171" applyNumberFormat="0" applyFill="0" applyAlignment="0" applyProtection="0"/>
    <xf numFmtId="0" fontId="18" fillId="0" borderId="171" applyNumberFormat="0" applyFill="0" applyAlignment="0" applyProtection="0"/>
    <xf numFmtId="0" fontId="18" fillId="0" borderId="171" applyNumberFormat="0" applyFill="0" applyAlignment="0" applyProtection="0"/>
    <xf numFmtId="0" fontId="18" fillId="0" borderId="171" applyNumberFormat="0" applyFill="0" applyAlignment="0" applyProtection="0"/>
    <xf numFmtId="0" fontId="18" fillId="0" borderId="171" applyNumberFormat="0" applyFill="0" applyAlignment="0" applyProtection="0"/>
    <xf numFmtId="0" fontId="17" fillId="58" borderId="170" applyNumberFormat="0" applyAlignment="0" applyProtection="0"/>
    <xf numFmtId="0" fontId="30" fillId="9" borderId="187" applyNumberFormat="0" applyAlignment="0" applyProtection="0"/>
    <xf numFmtId="0" fontId="10" fillId="14" borderId="195" applyNumberFormat="0" applyAlignment="0" applyProtection="0"/>
    <xf numFmtId="0" fontId="17" fillId="7" borderId="205" applyNumberFormat="0" applyAlignment="0" applyProtection="0"/>
    <xf numFmtId="0" fontId="78" fillId="0" borderId="188" applyNumberFormat="0" applyFill="0" applyAlignment="0" applyProtection="0"/>
    <xf numFmtId="0" fontId="78" fillId="0" borderId="188" applyNumberFormat="0" applyFill="0" applyAlignment="0" applyProtection="0"/>
    <xf numFmtId="0" fontId="78" fillId="0" borderId="188" applyNumberFormat="0" applyFill="0" applyAlignment="0" applyProtection="0"/>
    <xf numFmtId="0" fontId="12" fillId="8" borderId="200" applyNumberFormat="0" applyAlignment="0" applyProtection="0"/>
    <xf numFmtId="0" fontId="9" fillId="14" borderId="189" applyNumberFormat="0" applyAlignment="0" applyProtection="0"/>
    <xf numFmtId="0" fontId="15" fillId="7" borderId="215" applyNumberFormat="0" applyAlignment="0" applyProtection="0"/>
    <xf numFmtId="0" fontId="15" fillId="7" borderId="190" applyNumberFormat="0" applyAlignment="0" applyProtection="0"/>
    <xf numFmtId="0" fontId="12" fillId="57" borderId="190" applyNumberFormat="0" applyAlignment="0" applyProtection="0"/>
    <xf numFmtId="0" fontId="12" fillId="8" borderId="190" applyNumberFormat="0" applyAlignment="0" applyProtection="0"/>
    <xf numFmtId="0" fontId="15" fillId="7" borderId="190" applyNumberFormat="0" applyAlignment="0" applyProtection="0"/>
    <xf numFmtId="0" fontId="18" fillId="0" borderId="206" applyNumberFormat="0" applyFill="0" applyAlignment="0" applyProtection="0"/>
    <xf numFmtId="0" fontId="12" fillId="8" borderId="175" applyNumberFormat="0" applyAlignment="0" applyProtection="0"/>
    <xf numFmtId="0" fontId="15" fillId="7" borderId="175" applyNumberFormat="0" applyAlignment="0" applyProtection="0"/>
    <xf numFmtId="0" fontId="9" fillId="14" borderId="174" applyNumberFormat="0" applyAlignment="0" applyProtection="0"/>
    <xf numFmtId="0" fontId="30" fillId="9" borderId="172" applyNumberFormat="0" applyAlignment="0" applyProtection="0"/>
    <xf numFmtId="0" fontId="30" fillId="9" borderId="172" applyNumberFormat="0" applyAlignment="0" applyProtection="0"/>
    <xf numFmtId="0" fontId="30" fillId="9" borderId="172" applyNumberFormat="0" applyAlignment="0" applyProtection="0"/>
    <xf numFmtId="0" fontId="30" fillId="59" borderId="172" applyNumberFormat="0" applyFont="0" applyAlignment="0" applyProtection="0"/>
    <xf numFmtId="0" fontId="12" fillId="8" borderId="215" applyNumberFormat="0" applyAlignment="0" applyProtection="0"/>
    <xf numFmtId="0" fontId="12" fillId="8" borderId="210" applyNumberFormat="0" applyAlignment="0" applyProtection="0"/>
    <xf numFmtId="0" fontId="15" fillId="7" borderId="210" applyNumberFormat="0" applyAlignment="0" applyProtection="0"/>
    <xf numFmtId="0" fontId="30" fillId="9" borderId="207" applyNumberFormat="0" applyAlignment="0" applyProtection="0"/>
    <xf numFmtId="0" fontId="15" fillId="7" borderId="205" applyNumberFormat="0" applyAlignment="0" applyProtection="0"/>
    <xf numFmtId="0" fontId="30" fillId="9" borderId="172" applyNumberFormat="0" applyAlignment="0" applyProtection="0"/>
    <xf numFmtId="0" fontId="30" fillId="9" borderId="172" applyNumberFormat="0" applyAlignment="0" applyProtection="0"/>
    <xf numFmtId="0" fontId="30" fillId="9" borderId="172" applyNumberFormat="0" applyAlignment="0" applyProtection="0"/>
    <xf numFmtId="0" fontId="21" fillId="57" borderId="169" applyNumberFormat="0" applyAlignment="0" applyProtection="0"/>
    <xf numFmtId="0" fontId="21" fillId="8" borderId="169" applyNumberFormat="0" applyAlignment="0" applyProtection="0"/>
    <xf numFmtId="0" fontId="21" fillId="8" borderId="169" applyNumberFormat="0" applyAlignment="0" applyProtection="0"/>
    <xf numFmtId="0" fontId="21" fillId="8" borderId="169" applyNumberFormat="0" applyAlignment="0" applyProtection="0"/>
    <xf numFmtId="0" fontId="12" fillId="8" borderId="195" applyNumberFormat="0" applyAlignment="0" applyProtection="0"/>
    <xf numFmtId="0" fontId="10" fillId="14" borderId="195" applyNumberFormat="0" applyAlignment="0" applyProtection="0"/>
    <xf numFmtId="0" fontId="12" fillId="57" borderId="215" applyNumberFormat="0" applyAlignment="0" applyProtection="0"/>
    <xf numFmtId="0" fontId="78" fillId="0" borderId="173" applyNumberFormat="0" applyFill="0" applyAlignment="0" applyProtection="0"/>
    <xf numFmtId="0" fontId="78" fillId="0" borderId="173" applyNumberFormat="0" applyFill="0" applyAlignment="0" applyProtection="0"/>
    <xf numFmtId="0" fontId="78" fillId="0" borderId="173" applyNumberFormat="0" applyFill="0" applyAlignment="0" applyProtection="0"/>
    <xf numFmtId="0" fontId="78" fillId="0" borderId="173" applyNumberFormat="0" applyFill="0" applyAlignment="0" applyProtection="0"/>
    <xf numFmtId="0" fontId="30" fillId="9" borderId="187" applyNumberFormat="0" applyAlignment="0" applyProtection="0"/>
    <xf numFmtId="0" fontId="9" fillId="14" borderId="214" applyNumberFormat="0" applyAlignment="0" applyProtection="0"/>
    <xf numFmtId="0" fontId="12" fillId="8" borderId="215" applyNumberFormat="0" applyAlignment="0" applyProtection="0"/>
    <xf numFmtId="0" fontId="30" fillId="9" borderId="182" applyNumberFormat="0" applyAlignment="0" applyProtection="0"/>
    <xf numFmtId="0" fontId="30" fillId="9" borderId="182" applyNumberFormat="0" applyAlignment="0" applyProtection="0"/>
    <xf numFmtId="0" fontId="30" fillId="9" borderId="182" applyNumberFormat="0" applyAlignment="0" applyProtection="0"/>
    <xf numFmtId="0" fontId="30" fillId="59" borderId="182" applyNumberFormat="0" applyFont="0" applyAlignment="0" applyProtection="0"/>
    <xf numFmtId="0" fontId="15" fillId="7" borderId="195" applyNumberFormat="0" applyAlignment="0" applyProtection="0"/>
    <xf numFmtId="0" fontId="30" fillId="9" borderId="182" applyNumberFormat="0" applyAlignment="0" applyProtection="0"/>
    <xf numFmtId="0" fontId="30" fillId="9" borderId="182" applyNumberFormat="0" applyAlignment="0" applyProtection="0"/>
    <xf numFmtId="0" fontId="30" fillId="9" borderId="182" applyNumberFormat="0" applyAlignment="0" applyProtection="0"/>
    <xf numFmtId="0" fontId="21" fillId="57" borderId="179" applyNumberFormat="0" applyAlignment="0" applyProtection="0"/>
    <xf numFmtId="0" fontId="21" fillId="8" borderId="179" applyNumberFormat="0" applyAlignment="0" applyProtection="0"/>
    <xf numFmtId="0" fontId="21" fillId="8" borderId="179" applyNumberFormat="0" applyAlignment="0" applyProtection="0"/>
    <xf numFmtId="0" fontId="21" fillId="8" borderId="179" applyNumberFormat="0" applyAlignment="0" applyProtection="0"/>
    <xf numFmtId="0" fontId="17" fillId="58" borderId="195" applyNumberFormat="0" applyAlignment="0" applyProtection="0"/>
    <xf numFmtId="0" fontId="78" fillId="0" borderId="183" applyNumberFormat="0" applyFill="0" applyAlignment="0" applyProtection="0"/>
    <xf numFmtId="0" fontId="78" fillId="0" borderId="183" applyNumberFormat="0" applyFill="0" applyAlignment="0" applyProtection="0"/>
    <xf numFmtId="0" fontId="78" fillId="0" borderId="183" applyNumberFormat="0" applyFill="0" applyAlignment="0" applyProtection="0"/>
    <xf numFmtId="0" fontId="78" fillId="0" borderId="183" applyNumberFormat="0" applyFill="0" applyAlignment="0" applyProtection="0"/>
    <xf numFmtId="0" fontId="17" fillId="7" borderId="190" applyNumberFormat="0" applyAlignment="0" applyProtection="0"/>
    <xf numFmtId="0" fontId="17" fillId="7" borderId="190" applyNumberFormat="0" applyAlignment="0" applyProtection="0"/>
    <xf numFmtId="0" fontId="17" fillId="7" borderId="190" applyNumberFormat="0" applyAlignment="0" applyProtection="0"/>
    <xf numFmtId="0" fontId="17" fillId="7" borderId="190" applyNumberFormat="0" applyAlignment="0" applyProtection="0"/>
    <xf numFmtId="0" fontId="17" fillId="7" borderId="190" applyNumberFormat="0" applyAlignment="0" applyProtection="0"/>
    <xf numFmtId="0" fontId="18" fillId="0" borderId="191" applyNumberFormat="0" applyFill="0" applyAlignment="0" applyProtection="0"/>
    <xf numFmtId="0" fontId="18" fillId="0" borderId="191" applyNumberFormat="0" applyFill="0" applyAlignment="0" applyProtection="0"/>
    <xf numFmtId="0" fontId="18" fillId="0" borderId="191" applyNumberFormat="0" applyFill="0" applyAlignment="0" applyProtection="0"/>
    <xf numFmtId="0" fontId="18" fillId="0" borderId="191" applyNumberFormat="0" applyFill="0" applyAlignment="0" applyProtection="0"/>
    <xf numFmtId="0" fontId="18" fillId="0" borderId="191" applyNumberFormat="0" applyFill="0" applyAlignment="0" applyProtection="0"/>
    <xf numFmtId="0" fontId="17" fillId="58" borderId="190" applyNumberFormat="0" applyAlignment="0" applyProtection="0"/>
    <xf numFmtId="0" fontId="21" fillId="8" borderId="204" applyNumberFormat="0" applyAlignment="0" applyProtection="0"/>
    <xf numFmtId="0" fontId="78" fillId="0" borderId="208" applyNumberFormat="0" applyFill="0" applyAlignment="0" applyProtection="0"/>
    <xf numFmtId="0" fontId="78" fillId="0" borderId="208" applyNumberFormat="0" applyFill="0" applyAlignment="0" applyProtection="0"/>
    <xf numFmtId="0" fontId="12" fillId="8" borderId="210" applyNumberFormat="0" applyAlignment="0" applyProtection="0"/>
    <xf numFmtId="0" fontId="9" fillId="14" borderId="209" applyNumberFormat="0" applyAlignment="0" applyProtection="0"/>
    <xf numFmtId="0" fontId="10" fillId="14" borderId="210" applyNumberFormat="0" applyAlignment="0" applyProtection="0"/>
    <xf numFmtId="0" fontId="12" fillId="8" borderId="210" applyNumberFormat="0" applyAlignment="0" applyProtection="0"/>
    <xf numFmtId="0" fontId="15" fillId="7" borderId="210" applyNumberFormat="0" applyAlignment="0" applyProtection="0"/>
    <xf numFmtId="0" fontId="30" fillId="9" borderId="197" applyNumberFormat="0" applyAlignment="0" applyProtection="0"/>
    <xf numFmtId="0" fontId="30" fillId="9" borderId="192" applyNumberFormat="0" applyAlignment="0" applyProtection="0"/>
    <xf numFmtId="0" fontId="30" fillId="9" borderId="192" applyNumberFormat="0" applyAlignment="0" applyProtection="0"/>
    <xf numFmtId="0" fontId="30" fillId="9" borderId="192" applyNumberFormat="0" applyAlignment="0" applyProtection="0"/>
    <xf numFmtId="0" fontId="30" fillId="59" borderId="192" applyNumberFormat="0" applyFont="0" applyAlignment="0" applyProtection="0"/>
    <xf numFmtId="0" fontId="15" fillId="7" borderId="205" applyNumberFormat="0" applyAlignment="0" applyProtection="0"/>
    <xf numFmtId="0" fontId="30" fillId="9" borderId="192" applyNumberFormat="0" applyAlignment="0" applyProtection="0"/>
    <xf numFmtId="0" fontId="30" fillId="9" borderId="192" applyNumberFormat="0" applyAlignment="0" applyProtection="0"/>
    <xf numFmtId="0" fontId="30" fillId="9" borderId="192" applyNumberFormat="0" applyAlignment="0" applyProtection="0"/>
    <xf numFmtId="0" fontId="21" fillId="57" borderId="189" applyNumberFormat="0" applyAlignment="0" applyProtection="0"/>
    <xf numFmtId="0" fontId="21" fillId="8" borderId="189" applyNumberFormat="0" applyAlignment="0" applyProtection="0"/>
    <xf numFmtId="0" fontId="21" fillId="8" borderId="189" applyNumberFormat="0" applyAlignment="0" applyProtection="0"/>
    <xf numFmtId="0" fontId="21" fillId="8" borderId="189" applyNumberFormat="0" applyAlignment="0" applyProtection="0"/>
    <xf numFmtId="0" fontId="17" fillId="58" borderId="205" applyNumberFormat="0" applyAlignment="0" applyProtection="0"/>
    <xf numFmtId="0" fontId="78" fillId="0" borderId="193" applyNumberFormat="0" applyFill="0" applyAlignment="0" applyProtection="0"/>
    <xf numFmtId="0" fontId="78" fillId="0" borderId="193" applyNumberFormat="0" applyFill="0" applyAlignment="0" applyProtection="0"/>
    <xf numFmtId="0" fontId="78" fillId="0" borderId="193" applyNumberFormat="0" applyFill="0" applyAlignment="0" applyProtection="0"/>
    <xf numFmtId="0" fontId="78" fillId="0" borderId="193" applyNumberFormat="0" applyFill="0" applyAlignment="0" applyProtection="0"/>
    <xf numFmtId="0" fontId="17" fillId="7" borderId="200" applyNumberFormat="0" applyAlignment="0" applyProtection="0"/>
    <xf numFmtId="0" fontId="17" fillId="7" borderId="200" applyNumberFormat="0" applyAlignment="0" applyProtection="0"/>
    <xf numFmtId="0" fontId="17" fillId="7" borderId="200" applyNumberFormat="0" applyAlignment="0" applyProtection="0"/>
    <xf numFmtId="0" fontId="17" fillId="7" borderId="200" applyNumberFormat="0" applyAlignment="0" applyProtection="0"/>
    <xf numFmtId="0" fontId="17" fillId="7" borderId="200" applyNumberFormat="0" applyAlignment="0" applyProtection="0"/>
    <xf numFmtId="0" fontId="18" fillId="0" borderId="201" applyNumberFormat="0" applyFill="0" applyAlignment="0" applyProtection="0"/>
    <xf numFmtId="0" fontId="18" fillId="0" borderId="201" applyNumberFormat="0" applyFill="0" applyAlignment="0" applyProtection="0"/>
    <xf numFmtId="0" fontId="18" fillId="0" borderId="201" applyNumberFormat="0" applyFill="0" applyAlignment="0" applyProtection="0"/>
    <xf numFmtId="0" fontId="18" fillId="0" borderId="201" applyNumberFormat="0" applyFill="0" applyAlignment="0" applyProtection="0"/>
    <xf numFmtId="0" fontId="18" fillId="0" borderId="201" applyNumberFormat="0" applyFill="0" applyAlignment="0" applyProtection="0"/>
    <xf numFmtId="0" fontId="17" fillId="58" borderId="200" applyNumberFormat="0" applyAlignment="0" applyProtection="0"/>
    <xf numFmtId="0" fontId="10" fillId="14" borderId="215" applyNumberFormat="0" applyAlignment="0" applyProtection="0"/>
    <xf numFmtId="0" fontId="9" fillId="14" borderId="214" applyNumberFormat="0" applyAlignment="0" applyProtection="0"/>
    <xf numFmtId="0" fontId="10" fillId="14" borderId="215" applyNumberFormat="0" applyAlignment="0" applyProtection="0"/>
    <xf numFmtId="0" fontId="12" fillId="8" borderId="215" applyNumberFormat="0" applyAlignment="0" applyProtection="0"/>
    <xf numFmtId="0" fontId="30" fillId="9" borderId="207" applyNumberFormat="0" applyAlignment="0" applyProtection="0"/>
    <xf numFmtId="0" fontId="30" fillId="9" borderId="202" applyNumberFormat="0" applyAlignment="0" applyProtection="0"/>
    <xf numFmtId="0" fontId="30" fillId="9" borderId="202" applyNumberFormat="0" applyAlignment="0" applyProtection="0"/>
    <xf numFmtId="0" fontId="30" fillId="9" borderId="202" applyNumberFormat="0" applyAlignment="0" applyProtection="0"/>
    <xf numFmtId="0" fontId="30" fillId="59" borderId="202" applyNumberFormat="0" applyFont="0" applyAlignment="0" applyProtection="0"/>
    <xf numFmtId="0" fontId="30" fillId="9" borderId="202" applyNumberFormat="0" applyAlignment="0" applyProtection="0"/>
    <xf numFmtId="0" fontId="30" fillId="9" borderId="202" applyNumberFormat="0" applyAlignment="0" applyProtection="0"/>
    <xf numFmtId="0" fontId="30" fillId="9" borderId="202" applyNumberFormat="0" applyAlignment="0" applyProtection="0"/>
    <xf numFmtId="0" fontId="21" fillId="57" borderId="199" applyNumberFormat="0" applyAlignment="0" applyProtection="0"/>
    <xf numFmtId="0" fontId="21" fillId="8" borderId="199" applyNumberFormat="0" applyAlignment="0" applyProtection="0"/>
    <xf numFmtId="0" fontId="21" fillId="8" borderId="199" applyNumberFormat="0" applyAlignment="0" applyProtection="0"/>
    <xf numFmtId="0" fontId="21" fillId="8" borderId="199" applyNumberFormat="0" applyAlignment="0" applyProtection="0"/>
    <xf numFmtId="0" fontId="78" fillId="0" borderId="203" applyNumberFormat="0" applyFill="0" applyAlignment="0" applyProtection="0"/>
    <xf numFmtId="0" fontId="78" fillId="0" borderId="203" applyNumberFormat="0" applyFill="0" applyAlignment="0" applyProtection="0"/>
    <xf numFmtId="0" fontId="78" fillId="0" borderId="203" applyNumberFormat="0" applyFill="0" applyAlignment="0" applyProtection="0"/>
    <xf numFmtId="0" fontId="78" fillId="0" borderId="203" applyNumberFormat="0" applyFill="0" applyAlignment="0" applyProtection="0"/>
    <xf numFmtId="0" fontId="17" fillId="7" borderId="210" applyNumberFormat="0" applyAlignment="0" applyProtection="0"/>
    <xf numFmtId="0" fontId="17" fillId="7" borderId="210" applyNumberFormat="0" applyAlignment="0" applyProtection="0"/>
    <xf numFmtId="0" fontId="17" fillId="7" borderId="210" applyNumberFormat="0" applyAlignment="0" applyProtection="0"/>
    <xf numFmtId="0" fontId="17" fillId="7" borderId="210" applyNumberFormat="0" applyAlignment="0" applyProtection="0"/>
    <xf numFmtId="0" fontId="17" fillId="7" borderId="210" applyNumberFormat="0" applyAlignment="0" applyProtection="0"/>
    <xf numFmtId="0" fontId="18" fillId="0" borderId="211" applyNumberFormat="0" applyFill="0" applyAlignment="0" applyProtection="0"/>
    <xf numFmtId="0" fontId="18" fillId="0" borderId="211" applyNumberFormat="0" applyFill="0" applyAlignment="0" applyProtection="0"/>
    <xf numFmtId="0" fontId="18" fillId="0" borderId="211" applyNumberFormat="0" applyFill="0" applyAlignment="0" applyProtection="0"/>
    <xf numFmtId="0" fontId="18" fillId="0" borderId="211" applyNumberFormat="0" applyFill="0" applyAlignment="0" applyProtection="0"/>
    <xf numFmtId="0" fontId="18" fillId="0" borderId="211" applyNumberFormat="0" applyFill="0" applyAlignment="0" applyProtection="0"/>
    <xf numFmtId="0" fontId="17" fillId="58" borderId="210" applyNumberFormat="0" applyAlignment="0" applyProtection="0"/>
    <xf numFmtId="0" fontId="30" fillId="9" borderId="212" applyNumberFormat="0" applyAlignment="0" applyProtection="0"/>
    <xf numFmtId="0" fontId="30" fillId="9" borderId="212" applyNumberFormat="0" applyAlignment="0" applyProtection="0"/>
    <xf numFmtId="0" fontId="30" fillId="9" borderId="212" applyNumberFormat="0" applyAlignment="0" applyProtection="0"/>
    <xf numFmtId="0" fontId="30" fillId="59" borderId="212" applyNumberFormat="0" applyFont="0" applyAlignment="0" applyProtection="0"/>
    <xf numFmtId="0" fontId="30" fillId="9" borderId="212" applyNumberFormat="0" applyAlignment="0" applyProtection="0"/>
    <xf numFmtId="0" fontId="30" fillId="9" borderId="212" applyNumberFormat="0" applyAlignment="0" applyProtection="0"/>
    <xf numFmtId="0" fontId="30" fillId="9" borderId="212" applyNumberFormat="0" applyAlignment="0" applyProtection="0"/>
    <xf numFmtId="0" fontId="21" fillId="57" borderId="209" applyNumberFormat="0" applyAlignment="0" applyProtection="0"/>
    <xf numFmtId="0" fontId="21" fillId="8" borderId="209" applyNumberFormat="0" applyAlignment="0" applyProtection="0"/>
    <xf numFmtId="0" fontId="21" fillId="8" borderId="209" applyNumberFormat="0" applyAlignment="0" applyProtection="0"/>
    <xf numFmtId="0" fontId="21" fillId="8" borderId="209" applyNumberFormat="0" applyAlignment="0" applyProtection="0"/>
    <xf numFmtId="0" fontId="78" fillId="0" borderId="213" applyNumberFormat="0" applyFill="0" applyAlignment="0" applyProtection="0"/>
    <xf numFmtId="0" fontId="78" fillId="0" borderId="213" applyNumberFormat="0" applyFill="0" applyAlignment="0" applyProtection="0"/>
    <xf numFmtId="0" fontId="78" fillId="0" borderId="213" applyNumberFormat="0" applyFill="0" applyAlignment="0" applyProtection="0"/>
    <xf numFmtId="0" fontId="78" fillId="0" borderId="213" applyNumberFormat="0" applyFill="0" applyAlignment="0" applyProtection="0"/>
    <xf numFmtId="0" fontId="15" fillId="7" borderId="215" applyNumberFormat="0" applyAlignment="0" applyProtection="0"/>
    <xf numFmtId="0" fontId="15" fillId="7" borderId="215" applyNumberFormat="0" applyAlignment="0" applyProtection="0"/>
    <xf numFmtId="0" fontId="15" fillId="7" borderId="215" applyNumberFormat="0" applyAlignment="0" applyProtection="0"/>
    <xf numFmtId="0" fontId="15" fillId="7" borderId="215" applyNumberFormat="0" applyAlignment="0" applyProtection="0"/>
    <xf numFmtId="0" fontId="17" fillId="7" borderId="215" applyNumberFormat="0" applyAlignment="0" applyProtection="0"/>
    <xf numFmtId="0" fontId="17" fillId="7" borderId="215" applyNumberFormat="0" applyAlignment="0" applyProtection="0"/>
    <xf numFmtId="0" fontId="17" fillId="7" borderId="215" applyNumberFormat="0" applyAlignment="0" applyProtection="0"/>
    <xf numFmtId="0" fontId="17" fillId="7" borderId="215" applyNumberFormat="0" applyAlignment="0" applyProtection="0"/>
    <xf numFmtId="0" fontId="17" fillId="7" borderId="215" applyNumberFormat="0" applyAlignment="0" applyProtection="0"/>
    <xf numFmtId="0" fontId="18" fillId="0" borderId="216" applyNumberFormat="0" applyFill="0" applyAlignment="0" applyProtection="0"/>
    <xf numFmtId="0" fontId="18" fillId="0" borderId="216" applyNumberFormat="0" applyFill="0" applyAlignment="0" applyProtection="0"/>
    <xf numFmtId="0" fontId="18" fillId="0" borderId="216" applyNumberFormat="0" applyFill="0" applyAlignment="0" applyProtection="0"/>
    <xf numFmtId="0" fontId="18" fillId="0" borderId="216" applyNumberFormat="0" applyFill="0" applyAlignment="0" applyProtection="0"/>
    <xf numFmtId="0" fontId="18" fillId="0" borderId="216" applyNumberFormat="0" applyFill="0" applyAlignment="0" applyProtection="0"/>
    <xf numFmtId="0" fontId="17" fillId="58" borderId="215" applyNumberFormat="0" applyAlignment="0" applyProtection="0"/>
    <xf numFmtId="0" fontId="30" fillId="9" borderId="217" applyNumberFormat="0" applyAlignment="0" applyProtection="0"/>
    <xf numFmtId="0" fontId="30" fillId="9" borderId="217" applyNumberFormat="0" applyAlignment="0" applyProtection="0"/>
    <xf numFmtId="0" fontId="30" fillId="9" borderId="217" applyNumberFormat="0" applyAlignment="0" applyProtection="0"/>
    <xf numFmtId="0" fontId="30" fillId="59" borderId="217" applyNumberFormat="0" applyFont="0" applyAlignment="0" applyProtection="0"/>
    <xf numFmtId="0" fontId="30" fillId="9" borderId="217" applyNumberFormat="0" applyAlignment="0" applyProtection="0"/>
    <xf numFmtId="0" fontId="30" fillId="9" borderId="217" applyNumberFormat="0" applyAlignment="0" applyProtection="0"/>
    <xf numFmtId="0" fontId="30" fillId="9" borderId="217" applyNumberFormat="0" applyAlignment="0" applyProtection="0"/>
    <xf numFmtId="0" fontId="21" fillId="57" borderId="214" applyNumberFormat="0" applyAlignment="0" applyProtection="0"/>
    <xf numFmtId="0" fontId="21" fillId="8" borderId="214" applyNumberFormat="0" applyAlignment="0" applyProtection="0"/>
    <xf numFmtId="0" fontId="21" fillId="8" borderId="214" applyNumberFormat="0" applyAlignment="0" applyProtection="0"/>
    <xf numFmtId="0" fontId="21" fillId="8" borderId="214" applyNumberFormat="0" applyAlignment="0" applyProtection="0"/>
    <xf numFmtId="0" fontId="78" fillId="0" borderId="218" applyNumberFormat="0" applyFill="0" applyAlignment="0" applyProtection="0"/>
    <xf numFmtId="0" fontId="78" fillId="0" borderId="218" applyNumberFormat="0" applyFill="0" applyAlignment="0" applyProtection="0"/>
    <xf numFmtId="0" fontId="78" fillId="0" borderId="218" applyNumberFormat="0" applyFill="0" applyAlignment="0" applyProtection="0"/>
    <xf numFmtId="0" fontId="78" fillId="0" borderId="218" applyNumberFormat="0" applyFill="0" applyAlignment="0" applyProtection="0"/>
    <xf numFmtId="0" fontId="2" fillId="0" borderId="0"/>
    <xf numFmtId="9" fontId="2" fillId="0" borderId="0" applyFont="0" applyFill="0" applyBorder="0" applyAlignment="0" applyProtection="0"/>
  </cellStyleXfs>
  <cellXfs count="790">
    <xf numFmtId="0" fontId="0" fillId="0" borderId="0" xfId="0"/>
    <xf numFmtId="0" fontId="0" fillId="0" borderId="0" xfId="0" applyFont="1"/>
    <xf numFmtId="0" fontId="0" fillId="0" borderId="0" xfId="0" applyFont="1" applyBorder="1"/>
    <xf numFmtId="0" fontId="0" fillId="0" borderId="0" xfId="0" applyFont="1" applyFill="1" applyBorder="1"/>
    <xf numFmtId="0" fontId="5" fillId="0" borderId="0" xfId="0" applyFont="1" applyFill="1"/>
    <xf numFmtId="0" fontId="0" fillId="0" borderId="0" xfId="0" applyFont="1" applyFill="1"/>
    <xf numFmtId="49" fontId="29" fillId="0" borderId="0" xfId="0" applyNumberFormat="1" applyFont="1" applyFill="1" applyBorder="1" applyAlignment="1">
      <alignment horizontal="center" vertical="center"/>
    </xf>
    <xf numFmtId="0" fontId="29" fillId="0" borderId="0" xfId="0" applyFont="1"/>
    <xf numFmtId="49" fontId="29" fillId="0" borderId="0" xfId="0" applyNumberFormat="1" applyFont="1" applyFill="1" applyBorder="1" applyAlignment="1">
      <alignment vertical="center"/>
    </xf>
    <xf numFmtId="0" fontId="29" fillId="0" borderId="13" xfId="0" applyFont="1" applyFill="1" applyBorder="1" applyAlignment="1">
      <alignment horizontal="center" vertical="center" textRotation="90"/>
    </xf>
    <xf numFmtId="0" fontId="29" fillId="0" borderId="0" xfId="0" applyFont="1" applyBorder="1" applyAlignment="1">
      <alignment vertical="center"/>
    </xf>
    <xf numFmtId="0" fontId="0" fillId="0" borderId="0" xfId="0" applyFont="1" applyBorder="1" applyAlignment="1">
      <alignment horizontal="center"/>
    </xf>
    <xf numFmtId="0" fontId="29" fillId="0" borderId="16" xfId="0" applyFont="1" applyFill="1" applyBorder="1" applyAlignment="1">
      <alignment horizontal="center" vertical="center" textRotation="90"/>
    </xf>
    <xf numFmtId="0" fontId="29" fillId="0" borderId="17" xfId="0" applyFont="1" applyFill="1" applyBorder="1" applyAlignment="1">
      <alignment horizontal="center" vertical="center" textRotation="90"/>
    </xf>
    <xf numFmtId="0" fontId="0" fillId="0" borderId="25" xfId="0" applyFont="1" applyBorder="1"/>
    <xf numFmtId="0" fontId="29" fillId="0" borderId="26" xfId="0" applyFont="1" applyFill="1" applyBorder="1" applyAlignment="1">
      <alignment horizontal="center" vertical="center" wrapText="1"/>
    </xf>
    <xf numFmtId="49" fontId="29" fillId="0" borderId="30" xfId="0" applyNumberFormat="1" applyFont="1" applyFill="1" applyBorder="1" applyAlignment="1">
      <alignment vertical="center"/>
    </xf>
    <xf numFmtId="0" fontId="0" fillId="0" borderId="0" xfId="0" applyFont="1" applyFill="1" applyAlignment="1">
      <alignment horizontal="center"/>
    </xf>
    <xf numFmtId="0" fontId="39" fillId="0" borderId="0" xfId="0" applyFont="1"/>
    <xf numFmtId="0" fontId="0" fillId="0" borderId="0" xfId="0" applyFill="1" applyAlignment="1">
      <alignment horizontal="center"/>
    </xf>
    <xf numFmtId="0" fontId="0" fillId="0" borderId="0" xfId="0" applyBorder="1"/>
    <xf numFmtId="49" fontId="40" fillId="0" borderId="12" xfId="60" applyNumberFormat="1" applyFont="1" applyFill="1" applyBorder="1" applyAlignment="1">
      <alignment horizontal="center" vertical="center" wrapText="1"/>
    </xf>
    <xf numFmtId="49" fontId="40" fillId="0" borderId="12" xfId="0" applyNumberFormat="1" applyFont="1" applyFill="1" applyBorder="1" applyAlignment="1">
      <alignment horizontal="center" vertical="center" wrapText="1"/>
    </xf>
    <xf numFmtId="0" fontId="40" fillId="0" borderId="12" xfId="0" applyFont="1" applyFill="1" applyBorder="1" applyAlignment="1">
      <alignment horizontal="center" vertical="center" wrapText="1"/>
    </xf>
    <xf numFmtId="0" fontId="30" fillId="0" borderId="0" xfId="0" applyFont="1"/>
    <xf numFmtId="0" fontId="30" fillId="0" borderId="0" xfId="0" applyFont="1" applyBorder="1" applyAlignment="1"/>
    <xf numFmtId="49" fontId="29" fillId="0" borderId="0" xfId="58" applyNumberFormat="1" applyFont="1" applyFill="1" applyBorder="1" applyAlignment="1">
      <alignment vertical="center"/>
    </xf>
    <xf numFmtId="0" fontId="30" fillId="0" borderId="0" xfId="0" applyFont="1" applyBorder="1"/>
    <xf numFmtId="0" fontId="29" fillId="0" borderId="0" xfId="0" applyFont="1" applyFill="1" applyBorder="1" applyAlignment="1">
      <alignment horizontal="left" vertical="center"/>
    </xf>
    <xf numFmtId="0" fontId="0" fillId="0" borderId="0" xfId="0" applyFont="1" applyAlignment="1">
      <alignment horizontal="center"/>
    </xf>
    <xf numFmtId="0" fontId="0" fillId="0" borderId="0" xfId="0" applyFont="1" applyFill="1" applyBorder="1" applyAlignment="1">
      <alignment horizontal="left"/>
    </xf>
    <xf numFmtId="49" fontId="29" fillId="0" borderId="0" xfId="0" applyNumberFormat="1" applyFont="1" applyAlignment="1">
      <alignment vertical="top"/>
    </xf>
    <xf numFmtId="0" fontId="30" fillId="0" borderId="0" xfId="0" applyFont="1" applyFill="1" applyBorder="1"/>
    <xf numFmtId="0" fontId="35" fillId="0" borderId="0" xfId="77" applyFont="1" applyBorder="1"/>
    <xf numFmtId="0" fontId="35" fillId="0" borderId="0" xfId="78" applyFont="1" applyFill="1" applyBorder="1"/>
    <xf numFmtId="0" fontId="35" fillId="0" borderId="0" xfId="78" applyFont="1" applyBorder="1"/>
    <xf numFmtId="0" fontId="37" fillId="0" borderId="0" xfId="79" applyFont="1" applyFill="1" applyBorder="1"/>
    <xf numFmtId="0" fontId="42" fillId="0" borderId="0" xfId="77" applyFont="1" applyBorder="1"/>
    <xf numFmtId="49" fontId="46" fillId="25" borderId="0" xfId="0" applyNumberFormat="1" applyFont="1" applyFill="1" applyBorder="1" applyAlignment="1">
      <alignment vertical="center"/>
    </xf>
    <xf numFmtId="0" fontId="46" fillId="0" borderId="0" xfId="0" applyFont="1"/>
    <xf numFmtId="0" fontId="0" fillId="25" borderId="0" xfId="0" applyFont="1" applyFill="1" applyAlignment="1">
      <alignment wrapText="1"/>
    </xf>
    <xf numFmtId="49" fontId="0" fillId="0" borderId="0" xfId="0" applyNumberFormat="1" applyFont="1" applyFill="1" applyBorder="1" applyAlignment="1">
      <alignment horizontal="center" vertical="center" wrapText="1"/>
    </xf>
    <xf numFmtId="1" fontId="0" fillId="0" borderId="0" xfId="0" applyNumberFormat="1" applyFont="1" applyFill="1" applyBorder="1" applyAlignment="1">
      <alignment horizontal="center" vertical="center" wrapText="1"/>
    </xf>
    <xf numFmtId="49" fontId="5" fillId="0" borderId="0" xfId="0" applyNumberFormat="1" applyFont="1" applyFill="1" applyBorder="1" applyAlignment="1">
      <alignment horizontal="center" vertical="center" wrapText="1"/>
    </xf>
    <xf numFmtId="0" fontId="0" fillId="0" borderId="41" xfId="0" applyBorder="1"/>
    <xf numFmtId="49" fontId="43" fillId="0" borderId="0" xfId="0" applyNumberFormat="1" applyFont="1" applyFill="1" applyBorder="1" applyAlignment="1">
      <alignment vertical="center"/>
    </xf>
    <xf numFmtId="0" fontId="0" fillId="0" borderId="0" xfId="0" applyFont="1" applyBorder="1" applyAlignment="1"/>
    <xf numFmtId="0" fontId="4" fillId="0" borderId="0" xfId="80"/>
    <xf numFmtId="0" fontId="42" fillId="0" borderId="0" xfId="57" applyFont="1" applyFill="1" applyBorder="1" applyAlignment="1">
      <alignment horizontal="left"/>
    </xf>
    <xf numFmtId="0" fontId="30" fillId="0" borderId="33" xfId="0" applyFont="1" applyBorder="1"/>
    <xf numFmtId="0" fontId="0" fillId="0" borderId="0" xfId="0" applyFont="1" applyFill="1" applyAlignment="1">
      <alignment horizontal="left"/>
    </xf>
    <xf numFmtId="0" fontId="30" fillId="0" borderId="29" xfId="0" applyFont="1" applyBorder="1" applyAlignment="1"/>
    <xf numFmtId="0" fontId="35" fillId="0" borderId="0" xfId="77" applyFont="1" applyBorder="1" applyAlignment="1"/>
    <xf numFmtId="0" fontId="29" fillId="0" borderId="40" xfId="0" applyFont="1" applyFill="1" applyBorder="1" applyAlignment="1">
      <alignment horizontal="left" vertical="center"/>
    </xf>
    <xf numFmtId="0" fontId="35" fillId="0" borderId="0" xfId="57" applyFont="1"/>
    <xf numFmtId="0" fontId="48" fillId="0" borderId="31" xfId="0" applyFont="1" applyBorder="1" applyAlignment="1"/>
    <xf numFmtId="0" fontId="49" fillId="0" borderId="28" xfId="0" applyFont="1" applyBorder="1" applyAlignment="1"/>
    <xf numFmtId="0" fontId="49" fillId="0" borderId="41" xfId="0" applyFont="1" applyBorder="1"/>
    <xf numFmtId="0" fontId="49" fillId="0" borderId="10" xfId="0" applyFont="1" applyBorder="1"/>
    <xf numFmtId="0" fontId="49" fillId="0" borderId="29" xfId="0" applyFont="1" applyBorder="1" applyAlignment="1"/>
    <xf numFmtId="0" fontId="49" fillId="0" borderId="0" xfId="0" applyFont="1" applyBorder="1" applyAlignment="1"/>
    <xf numFmtId="0" fontId="48" fillId="0" borderId="13" xfId="0" applyFont="1" applyFill="1" applyBorder="1" applyAlignment="1">
      <alignment horizontal="left" vertical="center"/>
    </xf>
    <xf numFmtId="0" fontId="49" fillId="0" borderId="0" xfId="0" applyFont="1"/>
    <xf numFmtId="49" fontId="51" fillId="0" borderId="0" xfId="60" applyNumberFormat="1" applyFont="1" applyFill="1" applyBorder="1" applyAlignment="1">
      <alignment vertical="center"/>
    </xf>
    <xf numFmtId="0" fontId="52" fillId="0" borderId="0" xfId="0" applyFont="1"/>
    <xf numFmtId="0" fontId="52" fillId="25" borderId="0" xfId="0" applyFont="1" applyFill="1"/>
    <xf numFmtId="0" fontId="52" fillId="0" borderId="0" xfId="0" applyFont="1" applyFill="1"/>
    <xf numFmtId="0" fontId="52" fillId="0" borderId="0" xfId="0" applyFont="1" applyBorder="1" applyAlignment="1"/>
    <xf numFmtId="0" fontId="52" fillId="0" borderId="0" xfId="0" applyFont="1" applyFill="1" applyBorder="1" applyAlignment="1"/>
    <xf numFmtId="0" fontId="52" fillId="0" borderId="33" xfId="0" applyFont="1" applyBorder="1" applyAlignment="1"/>
    <xf numFmtId="0" fontId="52" fillId="0" borderId="33" xfId="0" applyFont="1" applyFill="1" applyBorder="1" applyAlignment="1"/>
    <xf numFmtId="0" fontId="52" fillId="0" borderId="0" xfId="0" applyFont="1" applyAlignment="1">
      <alignment horizontal="left" wrapText="1"/>
    </xf>
    <xf numFmtId="0" fontId="52" fillId="0" borderId="0" xfId="0" applyFont="1" applyFill="1" applyAlignment="1">
      <alignment horizontal="left" wrapText="1"/>
    </xf>
    <xf numFmtId="0" fontId="0" fillId="0" borderId="0" xfId="0" applyFont="1" applyFill="1" applyBorder="1" applyAlignment="1">
      <alignment wrapText="1"/>
    </xf>
    <xf numFmtId="0" fontId="0" fillId="0" borderId="0" xfId="0" applyFont="1" applyFill="1" applyBorder="1" applyAlignment="1">
      <alignment horizontal="left" wrapText="1"/>
    </xf>
    <xf numFmtId="0" fontId="0" fillId="0" borderId="55" xfId="0" applyFont="1" applyBorder="1"/>
    <xf numFmtId="0" fontId="0" fillId="0" borderId="0" xfId="0" applyFill="1" applyBorder="1" applyAlignment="1">
      <alignment vertical="top" wrapText="1"/>
    </xf>
    <xf numFmtId="0" fontId="0" fillId="0" borderId="0" xfId="0" applyFont="1" applyFill="1" applyBorder="1" applyAlignment="1">
      <alignment vertical="top" wrapText="1"/>
    </xf>
    <xf numFmtId="0" fontId="31" fillId="0" borderId="0" xfId="0" applyFont="1" applyFill="1" applyBorder="1" applyAlignment="1">
      <alignment vertical="center"/>
    </xf>
    <xf numFmtId="0" fontId="31" fillId="0" borderId="33" xfId="0" applyFont="1" applyFill="1" applyBorder="1" applyAlignment="1">
      <alignment vertical="center"/>
    </xf>
    <xf numFmtId="0" fontId="29" fillId="0" borderId="16" xfId="0" applyFont="1" applyFill="1" applyBorder="1" applyAlignment="1">
      <alignment horizontal="left" vertical="center"/>
    </xf>
    <xf numFmtId="0" fontId="0" fillId="0" borderId="32" xfId="0" applyBorder="1" applyAlignment="1"/>
    <xf numFmtId="0" fontId="0" fillId="0" borderId="33" xfId="0" applyBorder="1" applyAlignment="1"/>
    <xf numFmtId="0" fontId="0" fillId="0" borderId="29" xfId="0" applyBorder="1" applyAlignment="1"/>
    <xf numFmtId="0" fontId="0" fillId="0" borderId="0" xfId="0" applyBorder="1" applyAlignment="1"/>
    <xf numFmtId="0" fontId="29" fillId="0" borderId="0" xfId="0" applyFont="1" applyFill="1" applyBorder="1" applyAlignment="1">
      <alignment vertical="center"/>
    </xf>
    <xf numFmtId="0" fontId="29" fillId="25" borderId="51" xfId="0" applyFont="1" applyFill="1" applyBorder="1" applyAlignment="1">
      <alignment horizontal="center" vertical="center" wrapText="1"/>
    </xf>
    <xf numFmtId="0" fontId="0" fillId="0" borderId="32" xfId="0" applyBorder="1" applyAlignment="1"/>
    <xf numFmtId="0" fontId="0" fillId="0" borderId="33" xfId="0" applyBorder="1" applyAlignment="1"/>
    <xf numFmtId="0" fontId="46" fillId="0" borderId="0" xfId="0" applyFont="1" applyAlignment="1"/>
    <xf numFmtId="0" fontId="46" fillId="0" borderId="33" xfId="0" applyFont="1" applyBorder="1" applyAlignment="1"/>
    <xf numFmtId="0" fontId="29" fillId="0" borderId="59" xfId="0" applyFont="1" applyFill="1" applyBorder="1" applyAlignment="1">
      <alignment horizontal="center" vertical="center"/>
    </xf>
    <xf numFmtId="0" fontId="0" fillId="0" borderId="29" xfId="0" applyFont="1" applyBorder="1" applyAlignment="1"/>
    <xf numFmtId="0" fontId="38" fillId="0" borderId="18" xfId="0" applyFont="1" applyBorder="1"/>
    <xf numFmtId="0" fontId="38" fillId="0" borderId="16" xfId="0" applyFont="1" applyFill="1" applyBorder="1" applyAlignment="1">
      <alignment horizontal="left" vertical="center"/>
    </xf>
    <xf numFmtId="49" fontId="53" fillId="0" borderId="51" xfId="60" applyNumberFormat="1" applyFont="1" applyFill="1" applyBorder="1" applyAlignment="1">
      <alignment horizontal="center" vertical="center" wrapText="1"/>
    </xf>
    <xf numFmtId="0" fontId="53" fillId="0" borderId="51" xfId="0" applyFont="1" applyFill="1" applyBorder="1" applyAlignment="1">
      <alignment horizontal="center" vertical="center"/>
    </xf>
    <xf numFmtId="49" fontId="53" fillId="25" borderId="51" xfId="60" applyNumberFormat="1" applyFont="1" applyFill="1" applyBorder="1" applyAlignment="1">
      <alignment horizontal="center" vertical="center" wrapText="1"/>
    </xf>
    <xf numFmtId="0" fontId="51" fillId="0" borderId="11" xfId="0" applyFont="1" applyFill="1" applyBorder="1" applyAlignment="1">
      <alignment horizontal="left" vertical="center"/>
    </xf>
    <xf numFmtId="0" fontId="52" fillId="0" borderId="14" xfId="0" applyFont="1" applyBorder="1"/>
    <xf numFmtId="0" fontId="0" fillId="0" borderId="18" xfId="0" applyBorder="1"/>
    <xf numFmtId="0" fontId="29" fillId="0" borderId="63" xfId="0" applyFont="1" applyFill="1" applyBorder="1" applyAlignment="1">
      <alignment horizontal="left" vertical="center"/>
    </xf>
    <xf numFmtId="49" fontId="29" fillId="0" borderId="51" xfId="0" applyNumberFormat="1" applyFont="1" applyFill="1" applyBorder="1" applyAlignment="1">
      <alignment horizontal="center" vertical="center" wrapText="1"/>
    </xf>
    <xf numFmtId="0" fontId="29" fillId="0" borderId="51" xfId="0" applyFont="1" applyBorder="1" applyAlignment="1">
      <alignment horizontal="center" vertical="center"/>
    </xf>
    <xf numFmtId="0" fontId="29" fillId="0" borderId="51" xfId="0" applyFont="1" applyFill="1" applyBorder="1" applyAlignment="1">
      <alignment horizontal="center" vertical="center" wrapText="1"/>
    </xf>
    <xf numFmtId="49" fontId="29" fillId="0" borderId="51" xfId="60" applyNumberFormat="1" applyFont="1" applyFill="1" applyBorder="1" applyAlignment="1">
      <alignment horizontal="center" vertical="center" wrapText="1"/>
    </xf>
    <xf numFmtId="49" fontId="29" fillId="0" borderId="51" xfId="62" applyNumberFormat="1" applyFont="1" applyFill="1" applyBorder="1" applyAlignment="1">
      <alignment horizontal="center" vertical="center" wrapText="1"/>
    </xf>
    <xf numFmtId="0" fontId="29" fillId="0" borderId="51" xfId="0" applyFont="1" applyBorder="1" applyAlignment="1">
      <alignment vertical="center"/>
    </xf>
    <xf numFmtId="49" fontId="29" fillId="0" borderId="51" xfId="62" applyNumberFormat="1" applyFont="1" applyFill="1" applyBorder="1" applyAlignment="1">
      <alignment vertical="center"/>
    </xf>
    <xf numFmtId="49" fontId="29" fillId="0" borderId="51" xfId="59" applyNumberFormat="1" applyFont="1" applyFill="1" applyBorder="1" applyAlignment="1">
      <alignment horizontal="center" vertical="top" wrapText="1"/>
    </xf>
    <xf numFmtId="49" fontId="29" fillId="0" borderId="51" xfId="0" applyNumberFormat="1" applyFont="1" applyFill="1" applyBorder="1" applyAlignment="1">
      <alignment horizontal="center" vertical="center"/>
    </xf>
    <xf numFmtId="49" fontId="29" fillId="0" borderId="51" xfId="59" applyNumberFormat="1" applyFont="1" applyFill="1" applyBorder="1" applyAlignment="1">
      <alignment horizontal="center" vertical="center" wrapText="1"/>
    </xf>
    <xf numFmtId="49" fontId="29" fillId="25" borderId="51" xfId="62" applyNumberFormat="1" applyFont="1" applyFill="1" applyBorder="1" applyAlignment="1">
      <alignment horizontal="center" vertical="center" wrapText="1"/>
    </xf>
    <xf numFmtId="0" fontId="4" fillId="0" borderId="0" xfId="80" applyBorder="1"/>
    <xf numFmtId="0" fontId="4" fillId="0" borderId="48" xfId="80" applyBorder="1"/>
    <xf numFmtId="0" fontId="18" fillId="25" borderId="51" xfId="81" applyFont="1" applyFill="1" applyBorder="1" applyAlignment="1">
      <alignment horizontal="center" vertical="center"/>
    </xf>
    <xf numFmtId="0" fontId="18" fillId="25" borderId="51" xfId="81" applyFont="1" applyFill="1" applyBorder="1" applyAlignment="1">
      <alignment horizontal="center" vertical="center" wrapText="1"/>
    </xf>
    <xf numFmtId="0" fontId="29" fillId="25" borderId="51" xfId="81" applyFont="1" applyFill="1" applyBorder="1" applyAlignment="1">
      <alignment horizontal="center" vertical="center" wrapText="1"/>
    </xf>
    <xf numFmtId="49" fontId="29" fillId="25" borderId="51" xfId="81" applyNumberFormat="1" applyFont="1" applyFill="1" applyBorder="1" applyAlignment="1">
      <alignment horizontal="center" vertical="center" wrapText="1"/>
    </xf>
    <xf numFmtId="0" fontId="35" fillId="0" borderId="0" xfId="57" applyFont="1" applyBorder="1"/>
    <xf numFmtId="0" fontId="35" fillId="0" borderId="0" xfId="57" applyFont="1" applyBorder="1" applyAlignment="1"/>
    <xf numFmtId="0" fontId="29" fillId="0" borderId="51" xfId="0" applyFont="1" applyFill="1" applyBorder="1" applyAlignment="1">
      <alignment horizontal="center" vertical="center" wrapText="1" shrinkToFit="1"/>
    </xf>
    <xf numFmtId="0" fontId="29" fillId="0" borderId="0" xfId="0" applyFont="1" applyBorder="1"/>
    <xf numFmtId="0" fontId="42" fillId="0" borderId="0" xfId="0" applyFont="1" applyFill="1" applyBorder="1" applyAlignment="1">
      <alignment wrapText="1"/>
    </xf>
    <xf numFmtId="0" fontId="0" fillId="0" borderId="49" xfId="0" applyFont="1" applyBorder="1" applyAlignment="1"/>
    <xf numFmtId="0" fontId="0" fillId="0" borderId="47" xfId="0" applyFont="1" applyBorder="1" applyAlignment="1"/>
    <xf numFmtId="0" fontId="0" fillId="0" borderId="33" xfId="0" applyFont="1" applyBorder="1" applyAlignment="1"/>
    <xf numFmtId="0" fontId="0" fillId="0" borderId="32" xfId="0" applyFont="1" applyBorder="1" applyAlignment="1"/>
    <xf numFmtId="0" fontId="29" fillId="0" borderId="0" xfId="0" applyFont="1" applyFill="1" applyBorder="1" applyAlignment="1">
      <alignment horizontal="center" vertical="center" wrapText="1"/>
    </xf>
    <xf numFmtId="49" fontId="29" fillId="0" borderId="14" xfId="0" applyNumberFormat="1" applyFont="1" applyFill="1" applyBorder="1" applyAlignment="1">
      <alignment horizontal="center" vertical="center"/>
    </xf>
    <xf numFmtId="49" fontId="29" fillId="0" borderId="12" xfId="0" applyNumberFormat="1" applyFont="1" applyFill="1" applyBorder="1" applyAlignment="1">
      <alignment horizontal="center" vertical="center" wrapText="1"/>
    </xf>
    <xf numFmtId="49" fontId="29" fillId="0" borderId="67" xfId="0" applyNumberFormat="1" applyFont="1" applyFill="1" applyBorder="1" applyAlignment="1">
      <alignment horizontal="center" vertical="center" wrapText="1"/>
    </xf>
    <xf numFmtId="49" fontId="29" fillId="0" borderId="68" xfId="0" applyNumberFormat="1" applyFont="1" applyFill="1" applyBorder="1" applyAlignment="1">
      <alignment horizontal="center" vertical="center" wrapText="1"/>
    </xf>
    <xf numFmtId="0" fontId="29" fillId="0" borderId="12" xfId="0" applyFont="1" applyFill="1" applyBorder="1" applyAlignment="1">
      <alignment horizontal="center" vertical="center" wrapText="1"/>
    </xf>
    <xf numFmtId="49" fontId="18" fillId="0" borderId="12" xfId="0" applyNumberFormat="1" applyFont="1" applyFill="1" applyBorder="1" applyAlignment="1">
      <alignment horizontal="center" vertical="center" wrapText="1"/>
    </xf>
    <xf numFmtId="49" fontId="18" fillId="0" borderId="67" xfId="0" applyNumberFormat="1" applyFont="1" applyFill="1" applyBorder="1" applyAlignment="1">
      <alignment horizontal="center" vertical="center" wrapText="1"/>
    </xf>
    <xf numFmtId="0" fontId="5" fillId="0" borderId="0" xfId="0" applyFont="1" applyFill="1" applyBorder="1" applyAlignment="1">
      <alignment horizontal="center" vertical="center"/>
    </xf>
    <xf numFmtId="0" fontId="32" fillId="0" borderId="0" xfId="0" applyFont="1" applyFill="1" applyBorder="1" applyAlignment="1">
      <alignment horizontal="center" vertical="center"/>
    </xf>
    <xf numFmtId="49" fontId="5" fillId="0" borderId="0" xfId="0" applyNumberFormat="1" applyFont="1" applyFill="1" applyBorder="1" applyAlignment="1">
      <alignment horizontal="center" vertical="center"/>
    </xf>
    <xf numFmtId="49" fontId="0" fillId="0" borderId="58" xfId="0" applyNumberFormat="1" applyFont="1" applyFill="1" applyBorder="1" applyAlignment="1">
      <alignment horizontal="center" vertical="center" wrapText="1"/>
    </xf>
    <xf numFmtId="49" fontId="0" fillId="0" borderId="57" xfId="0" applyNumberFormat="1" applyFont="1" applyFill="1" applyBorder="1" applyAlignment="1">
      <alignment horizontal="center" vertical="center" wrapText="1"/>
    </xf>
    <xf numFmtId="0" fontId="29" fillId="0" borderId="55" xfId="0" applyFont="1" applyFill="1" applyBorder="1" applyAlignment="1">
      <alignment horizontal="center" vertical="center"/>
    </xf>
    <xf numFmtId="49" fontId="29" fillId="0" borderId="55" xfId="0" applyNumberFormat="1" applyFont="1" applyFill="1" applyBorder="1" applyAlignment="1">
      <alignment horizontal="center" vertical="center" wrapText="1"/>
    </xf>
    <xf numFmtId="0" fontId="0" fillId="0" borderId="66" xfId="0" applyFill="1" applyBorder="1" applyAlignment="1">
      <alignment horizontal="center" vertical="center"/>
    </xf>
    <xf numFmtId="0" fontId="54" fillId="0" borderId="0" xfId="0" applyFont="1" applyFill="1" applyAlignment="1">
      <alignment horizontal="left"/>
    </xf>
    <xf numFmtId="0" fontId="29" fillId="0" borderId="0" xfId="0" applyFont="1" applyFill="1" applyBorder="1" applyAlignment="1">
      <alignment horizontal="left" vertical="center"/>
    </xf>
    <xf numFmtId="0" fontId="0" fillId="27" borderId="17" xfId="0" applyFont="1" applyFill="1" applyBorder="1"/>
    <xf numFmtId="49" fontId="41" fillId="27" borderId="27" xfId="0" applyNumberFormat="1" applyFont="1" applyFill="1" applyBorder="1" applyAlignment="1">
      <alignment horizontal="center" vertical="center" wrapText="1"/>
    </xf>
    <xf numFmtId="0" fontId="0" fillId="27" borderId="24" xfId="0" applyFont="1" applyFill="1" applyBorder="1"/>
    <xf numFmtId="0" fontId="40" fillId="0" borderId="14" xfId="0" applyFont="1" applyFill="1" applyBorder="1" applyAlignment="1">
      <alignment horizontal="center" vertical="center" wrapText="1"/>
    </xf>
    <xf numFmtId="49" fontId="40" fillId="0" borderId="19" xfId="0" applyNumberFormat="1" applyFont="1" applyFill="1" applyBorder="1" applyAlignment="1">
      <alignment horizontal="center" vertical="center" wrapText="1"/>
    </xf>
    <xf numFmtId="49" fontId="53" fillId="27" borderId="51" xfId="60" applyNumberFormat="1" applyFont="1" applyFill="1" applyBorder="1" applyAlignment="1">
      <alignment horizontal="center" vertical="center" wrapText="1"/>
    </xf>
    <xf numFmtId="49" fontId="18" fillId="27" borderId="51" xfId="60" applyNumberFormat="1" applyFont="1" applyFill="1" applyBorder="1" applyAlignment="1">
      <alignment horizontal="center" vertical="center" wrapText="1"/>
    </xf>
    <xf numFmtId="49" fontId="29" fillId="27" borderId="51" xfId="0" applyNumberFormat="1" applyFont="1" applyFill="1" applyBorder="1" applyAlignment="1">
      <alignment horizontal="center" vertical="center" wrapText="1"/>
    </xf>
    <xf numFmtId="49" fontId="29" fillId="27" borderId="52" xfId="0" applyNumberFormat="1" applyFont="1" applyFill="1" applyBorder="1" applyAlignment="1">
      <alignment horizontal="center" vertical="center" wrapText="1"/>
    </xf>
    <xf numFmtId="49" fontId="29" fillId="27" borderId="54" xfId="0" applyNumberFormat="1" applyFont="1" applyFill="1" applyBorder="1" applyAlignment="1">
      <alignment horizontal="center" vertical="center" wrapText="1"/>
    </xf>
    <xf numFmtId="0" fontId="5" fillId="27" borderId="66" xfId="0" applyFont="1" applyFill="1" applyBorder="1" applyAlignment="1">
      <alignment horizontal="center" vertical="center"/>
    </xf>
    <xf numFmtId="49" fontId="18" fillId="27" borderId="51" xfId="0" applyNumberFormat="1" applyFont="1" applyFill="1" applyBorder="1" applyAlignment="1">
      <alignment horizontal="center" vertical="center" wrapText="1"/>
    </xf>
    <xf numFmtId="0" fontId="29" fillId="27" borderId="55" xfId="0" applyFont="1" applyFill="1" applyBorder="1" applyAlignment="1">
      <alignment horizontal="center" vertical="center" wrapText="1"/>
    </xf>
    <xf numFmtId="49" fontId="29" fillId="27" borderId="55" xfId="0" applyNumberFormat="1" applyFont="1" applyFill="1" applyBorder="1" applyAlignment="1">
      <alignment horizontal="center" vertical="center" wrapText="1"/>
    </xf>
    <xf numFmtId="0" fontId="0" fillId="27" borderId="55" xfId="0" applyFill="1" applyBorder="1" applyAlignment="1">
      <alignment horizontal="center" vertical="center"/>
    </xf>
    <xf numFmtId="0" fontId="5" fillId="27" borderId="66" xfId="0" applyNumberFormat="1" applyFont="1" applyFill="1" applyBorder="1" applyAlignment="1">
      <alignment horizontal="center" vertical="center" wrapText="1"/>
    </xf>
    <xf numFmtId="0" fontId="0" fillId="27" borderId="55" xfId="0" applyFill="1" applyBorder="1"/>
    <xf numFmtId="0" fontId="0" fillId="0" borderId="62" xfId="0" applyBorder="1"/>
    <xf numFmtId="0" fontId="29" fillId="0" borderId="65" xfId="0" applyFont="1" applyFill="1" applyBorder="1" applyAlignment="1">
      <alignment horizontal="left" vertical="center"/>
    </xf>
    <xf numFmtId="0" fontId="0" fillId="0" borderId="55" xfId="0" applyBorder="1"/>
    <xf numFmtId="0" fontId="29" fillId="0" borderId="55" xfId="0" applyFont="1" applyFill="1" applyBorder="1" applyAlignment="1">
      <alignment horizontal="left" vertical="center"/>
    </xf>
    <xf numFmtId="49" fontId="29" fillId="27" borderId="51" xfId="60" applyNumberFormat="1" applyFont="1" applyFill="1" applyBorder="1" applyAlignment="1">
      <alignment horizontal="center" vertical="center" wrapText="1"/>
    </xf>
    <xf numFmtId="0" fontId="29" fillId="27" borderId="51" xfId="0" applyFont="1" applyFill="1" applyBorder="1" applyAlignment="1">
      <alignment horizontal="center" vertical="center" wrapText="1"/>
    </xf>
    <xf numFmtId="0" fontId="29" fillId="27" borderId="51" xfId="0" applyFont="1" applyFill="1" applyBorder="1" applyAlignment="1">
      <alignment vertical="center" wrapText="1"/>
    </xf>
    <xf numFmtId="49" fontId="29" fillId="27" borderId="19" xfId="60" applyNumberFormat="1" applyFont="1" applyFill="1" applyBorder="1" applyAlignment="1">
      <alignment horizontal="center" vertical="center" wrapText="1"/>
    </xf>
    <xf numFmtId="0" fontId="29" fillId="27" borderId="51" xfId="81" applyFont="1" applyFill="1" applyBorder="1" applyAlignment="1">
      <alignment horizontal="center" vertical="center" wrapText="1"/>
    </xf>
    <xf numFmtId="0" fontId="49" fillId="27" borderId="51" xfId="0" applyFont="1" applyFill="1" applyBorder="1"/>
    <xf numFmtId="0" fontId="29" fillId="0" borderId="51" xfId="0" applyFont="1" applyFill="1" applyBorder="1" applyAlignment="1">
      <alignment horizontal="center" vertical="center"/>
    </xf>
    <xf numFmtId="0" fontId="29" fillId="27" borderId="51" xfId="0" applyFont="1" applyFill="1" applyBorder="1" applyAlignment="1">
      <alignment horizontal="left" vertical="center" wrapText="1"/>
    </xf>
    <xf numFmtId="49" fontId="48" fillId="27" borderId="51" xfId="0" applyNumberFormat="1" applyFont="1" applyFill="1" applyBorder="1" applyAlignment="1">
      <alignment horizontal="center" vertical="center"/>
    </xf>
    <xf numFmtId="0" fontId="50" fillId="27" borderId="51" xfId="0" applyFont="1" applyFill="1" applyBorder="1" applyAlignment="1">
      <alignment horizontal="center" vertical="center" wrapText="1"/>
    </xf>
    <xf numFmtId="49" fontId="50" fillId="27" borderId="51" xfId="60" applyNumberFormat="1" applyFont="1" applyFill="1" applyBorder="1" applyAlignment="1">
      <alignment horizontal="center" vertical="center" wrapText="1"/>
    </xf>
    <xf numFmtId="49" fontId="48" fillId="27" borderId="51" xfId="0" applyNumberFormat="1" applyFont="1" applyFill="1" applyBorder="1" applyAlignment="1">
      <alignment horizontal="center" vertical="center" wrapText="1"/>
    </xf>
    <xf numFmtId="0" fontId="48" fillId="27" borderId="51" xfId="0" applyFont="1" applyFill="1" applyBorder="1" applyAlignment="1">
      <alignment horizontal="center" vertical="center" wrapText="1"/>
    </xf>
    <xf numFmtId="0" fontId="45" fillId="27" borderId="21" xfId="0" applyFont="1" applyFill="1" applyBorder="1" applyAlignment="1">
      <alignment horizontal="center" vertical="center" wrapText="1"/>
    </xf>
    <xf numFmtId="0" fontId="45" fillId="27" borderId="19" xfId="0" applyFont="1" applyFill="1" applyBorder="1" applyAlignment="1">
      <alignment horizontal="center" vertical="center" wrapText="1"/>
    </xf>
    <xf numFmtId="0" fontId="45" fillId="27" borderId="27" xfId="0" applyFont="1" applyFill="1" applyBorder="1" applyAlignment="1">
      <alignment horizontal="center" vertical="center" wrapText="1"/>
    </xf>
    <xf numFmtId="0" fontId="0" fillId="27" borderId="41" xfId="0" applyFont="1" applyFill="1" applyBorder="1" applyAlignment="1">
      <alignment vertical="center" wrapText="1"/>
    </xf>
    <xf numFmtId="0" fontId="29" fillId="25" borderId="51" xfId="0" applyFont="1" applyFill="1" applyBorder="1" applyAlignment="1">
      <alignment horizontal="center" vertical="center" wrapText="1"/>
    </xf>
    <xf numFmtId="0" fontId="29" fillId="27" borderId="73" xfId="0" applyFont="1" applyFill="1" applyBorder="1" applyAlignment="1">
      <alignment horizontal="center" vertical="center" wrapText="1"/>
    </xf>
    <xf numFmtId="0" fontId="38" fillId="0" borderId="63" xfId="0" applyFont="1" applyFill="1" applyBorder="1" applyAlignment="1">
      <alignment horizontal="left" vertical="center"/>
    </xf>
    <xf numFmtId="0" fontId="41" fillId="0" borderId="74" xfId="0" applyFont="1" applyFill="1" applyBorder="1" applyAlignment="1">
      <alignment horizontal="center" vertical="center" wrapText="1"/>
    </xf>
    <xf numFmtId="0" fontId="41" fillId="0" borderId="75" xfId="0" applyFont="1" applyFill="1" applyBorder="1" applyAlignment="1">
      <alignment horizontal="center" vertical="center" wrapText="1"/>
    </xf>
    <xf numFmtId="0" fontId="29" fillId="27" borderId="75" xfId="0" applyFont="1" applyFill="1" applyBorder="1" applyAlignment="1">
      <alignment horizontal="center" vertical="center" wrapText="1"/>
    </xf>
    <xf numFmtId="0" fontId="30" fillId="0" borderId="0" xfId="0" applyFont="1" applyBorder="1" applyAlignment="1">
      <alignment horizontal="center" vertical="center"/>
    </xf>
    <xf numFmtId="0" fontId="47" fillId="27" borderId="55" xfId="80" applyFont="1" applyFill="1" applyBorder="1"/>
    <xf numFmtId="0" fontId="47" fillId="27" borderId="66" xfId="80" applyFont="1" applyFill="1" applyBorder="1"/>
    <xf numFmtId="49" fontId="35" fillId="0" borderId="66" xfId="0" applyNumberFormat="1" applyFont="1" applyFill="1" applyBorder="1" applyAlignment="1">
      <alignment horizontal="center" vertical="center"/>
    </xf>
    <xf numFmtId="49" fontId="33" fillId="0" borderId="66" xfId="0" applyNumberFormat="1" applyFont="1" applyFill="1" applyBorder="1" applyAlignment="1">
      <alignment vertical="center"/>
    </xf>
    <xf numFmtId="49" fontId="35" fillId="0" borderId="70" xfId="0" applyNumberFormat="1" applyFont="1" applyFill="1" applyBorder="1" applyAlignment="1">
      <alignment horizontal="center" vertical="center"/>
    </xf>
    <xf numFmtId="49" fontId="35" fillId="0" borderId="22" xfId="0" applyNumberFormat="1" applyFont="1" applyFill="1" applyBorder="1" applyAlignment="1">
      <alignment horizontal="center" vertical="center"/>
    </xf>
    <xf numFmtId="49" fontId="35" fillId="0" borderId="23" xfId="0" applyNumberFormat="1" applyFont="1" applyFill="1" applyBorder="1" applyAlignment="1">
      <alignment horizontal="center" vertical="center"/>
    </xf>
    <xf numFmtId="49" fontId="35" fillId="0" borderId="72" xfId="0" applyNumberFormat="1" applyFont="1" applyFill="1" applyBorder="1" applyAlignment="1">
      <alignment horizontal="center" vertical="center"/>
    </xf>
    <xf numFmtId="49" fontId="35" fillId="25" borderId="70" xfId="0" applyNumberFormat="1" applyFont="1" applyFill="1" applyBorder="1" applyAlignment="1">
      <alignment horizontal="center" vertical="center"/>
    </xf>
    <xf numFmtId="49" fontId="35" fillId="25" borderId="22" xfId="0" applyNumberFormat="1" applyFont="1" applyFill="1" applyBorder="1" applyAlignment="1">
      <alignment horizontal="center" vertical="center"/>
    </xf>
    <xf numFmtId="49" fontId="35" fillId="25" borderId="66" xfId="0" applyNumberFormat="1" applyFont="1" applyFill="1" applyBorder="1" applyAlignment="1">
      <alignment horizontal="center" vertical="center"/>
    </xf>
    <xf numFmtId="49" fontId="35" fillId="25" borderId="23" xfId="0" applyNumberFormat="1" applyFont="1" applyFill="1" applyBorder="1" applyAlignment="1">
      <alignment horizontal="center" vertical="center"/>
    </xf>
    <xf numFmtId="0" fontId="35" fillId="25" borderId="22" xfId="0" applyNumberFormat="1" applyFont="1" applyFill="1" applyBorder="1" applyAlignment="1">
      <alignment horizontal="center" vertical="center"/>
    </xf>
    <xf numFmtId="0" fontId="35" fillId="25" borderId="66" xfId="0" applyNumberFormat="1" applyFont="1" applyFill="1" applyBorder="1" applyAlignment="1">
      <alignment horizontal="center" vertical="center"/>
    </xf>
    <xf numFmtId="0" fontId="35" fillId="0" borderId="22" xfId="0" applyNumberFormat="1" applyFont="1" applyFill="1" applyBorder="1" applyAlignment="1">
      <alignment horizontal="center" vertical="center"/>
    </xf>
    <xf numFmtId="0" fontId="35" fillId="0" borderId="66" xfId="0" applyNumberFormat="1" applyFont="1" applyFill="1" applyBorder="1" applyAlignment="1">
      <alignment horizontal="center" vertical="center"/>
    </xf>
    <xf numFmtId="49" fontId="0" fillId="0" borderId="66" xfId="0" applyNumberFormat="1" applyFont="1" applyFill="1" applyBorder="1" applyAlignment="1">
      <alignment horizontal="center" vertical="center"/>
    </xf>
    <xf numFmtId="49" fontId="0" fillId="0" borderId="70" xfId="0" applyNumberFormat="1" applyFont="1" applyFill="1" applyBorder="1" applyAlignment="1">
      <alignment horizontal="center" vertical="center"/>
    </xf>
    <xf numFmtId="49" fontId="0" fillId="0" borderId="22" xfId="0" applyNumberFormat="1" applyFont="1" applyFill="1" applyBorder="1" applyAlignment="1">
      <alignment horizontal="center" vertical="center"/>
    </xf>
    <xf numFmtId="49" fontId="0" fillId="0" borderId="23" xfId="0" applyNumberFormat="1" applyFont="1" applyFill="1" applyBorder="1" applyAlignment="1">
      <alignment horizontal="center" vertical="center"/>
    </xf>
    <xf numFmtId="0" fontId="29" fillId="26" borderId="60" xfId="0" applyNumberFormat="1" applyFont="1" applyFill="1" applyBorder="1" applyAlignment="1">
      <alignment horizontal="center" vertical="center"/>
    </xf>
    <xf numFmtId="0" fontId="0" fillId="0" borderId="15" xfId="0" applyFont="1" applyBorder="1" applyAlignment="1">
      <alignment horizontal="center"/>
    </xf>
    <xf numFmtId="0" fontId="0" fillId="27" borderId="64" xfId="0" applyFont="1" applyFill="1" applyBorder="1" applyAlignment="1">
      <alignment horizontal="center"/>
    </xf>
    <xf numFmtId="0" fontId="0" fillId="0" borderId="55" xfId="0" applyBorder="1" applyAlignment="1">
      <alignment horizontal="center"/>
    </xf>
    <xf numFmtId="0" fontId="35" fillId="0" borderId="55" xfId="57" applyFont="1" applyFill="1" applyBorder="1" applyAlignment="1">
      <alignment horizontal="center"/>
    </xf>
    <xf numFmtId="0" fontId="35" fillId="0" borderId="55" xfId="57" applyFont="1" applyFill="1" applyBorder="1" applyAlignment="1">
      <alignment horizontal="center" wrapText="1"/>
    </xf>
    <xf numFmtId="0" fontId="5" fillId="0" borderId="55" xfId="0" applyFont="1" applyFill="1" applyBorder="1" applyAlignment="1">
      <alignment horizontal="center" wrapText="1"/>
    </xf>
    <xf numFmtId="0" fontId="0" fillId="27" borderId="40" xfId="0" applyFont="1" applyFill="1" applyBorder="1" applyAlignment="1">
      <alignment horizontal="center"/>
    </xf>
    <xf numFmtId="0" fontId="35" fillId="0" borderId="0" xfId="57" applyFont="1" applyFill="1" applyAlignment="1">
      <alignment horizontal="center"/>
    </xf>
    <xf numFmtId="0" fontId="0" fillId="27" borderId="17" xfId="0" applyFont="1" applyFill="1" applyBorder="1" applyAlignment="1">
      <alignment horizontal="center"/>
    </xf>
    <xf numFmtId="0" fontId="35" fillId="0" borderId="0" xfId="57" applyFont="1" applyFill="1" applyAlignment="1">
      <alignment horizontal="center" wrapText="1"/>
    </xf>
    <xf numFmtId="0" fontId="35" fillId="0" borderId="0" xfId="57" applyFont="1" applyAlignment="1">
      <alignment horizontal="center" wrapText="1"/>
    </xf>
    <xf numFmtId="0" fontId="57" fillId="0" borderId="55" xfId="83" applyFont="1" applyBorder="1" applyAlignment="1">
      <alignment vertical="top"/>
    </xf>
    <xf numFmtId="0" fontId="56" fillId="0" borderId="55" xfId="83" applyBorder="1" applyAlignment="1">
      <alignment vertical="top" wrapText="1"/>
    </xf>
    <xf numFmtId="0" fontId="0" fillId="0" borderId="55" xfId="0" applyFill="1" applyBorder="1" applyAlignment="1">
      <alignment vertical="top" wrapText="1"/>
    </xf>
    <xf numFmtId="0" fontId="0" fillId="0" borderId="55" xfId="0" applyFont="1" applyFill="1" applyBorder="1" applyAlignment="1">
      <alignment vertical="top" wrapText="1"/>
    </xf>
    <xf numFmtId="0" fontId="29" fillId="29" borderId="66" xfId="0" applyFont="1" applyFill="1" applyBorder="1" applyAlignment="1">
      <alignment vertical="top" wrapText="1"/>
    </xf>
    <xf numFmtId="0" fontId="0" fillId="0" borderId="55" xfId="0" applyNumberFormat="1" applyFont="1" applyFill="1" applyBorder="1" applyAlignment="1">
      <alignment vertical="top" wrapText="1"/>
    </xf>
    <xf numFmtId="0" fontId="35" fillId="0" borderId="0" xfId="57" applyFont="1" applyAlignment="1">
      <alignment horizontal="center"/>
    </xf>
    <xf numFmtId="0" fontId="0" fillId="27" borderId="11" xfId="0" applyFill="1" applyBorder="1" applyAlignment="1">
      <alignment horizontal="center" vertical="center"/>
    </xf>
    <xf numFmtId="0" fontId="0" fillId="27" borderId="66" xfId="0" applyFill="1" applyBorder="1" applyAlignment="1">
      <alignment horizontal="center" vertical="center"/>
    </xf>
    <xf numFmtId="0" fontId="47" fillId="27" borderId="66" xfId="80" applyFont="1" applyFill="1" applyBorder="1" applyAlignment="1">
      <alignment horizontal="center" vertical="center"/>
    </xf>
    <xf numFmtId="0" fontId="47" fillId="27" borderId="55" xfId="80" applyFont="1" applyFill="1" applyBorder="1" applyAlignment="1">
      <alignment horizontal="center" vertical="center"/>
    </xf>
    <xf numFmtId="49" fontId="0" fillId="0" borderId="80" xfId="62" applyNumberFormat="1" applyFont="1" applyFill="1" applyBorder="1" applyAlignment="1">
      <alignment vertical="center" wrapText="1"/>
    </xf>
    <xf numFmtId="49" fontId="0" fillId="0" borderId="81" xfId="62" applyNumberFormat="1" applyFont="1" applyFill="1" applyBorder="1" applyAlignment="1">
      <alignment vertical="center" wrapText="1"/>
    </xf>
    <xf numFmtId="49" fontId="0" fillId="0" borderId="78" xfId="60" applyNumberFormat="1" applyFont="1" applyFill="1" applyBorder="1" applyAlignment="1">
      <alignment horizontal="center" vertical="center" wrapText="1"/>
    </xf>
    <xf numFmtId="9" fontId="30" fillId="0" borderId="0" xfId="0" applyNumberFormat="1" applyFont="1" applyAlignment="1">
      <alignment horizontal="center" vertical="center"/>
    </xf>
    <xf numFmtId="49" fontId="0" fillId="0" borderId="79" xfId="0" applyNumberFormat="1" applyFont="1" applyFill="1" applyBorder="1" applyAlignment="1">
      <alignment horizontal="center" vertical="center" wrapText="1"/>
    </xf>
    <xf numFmtId="0" fontId="0" fillId="0" borderId="66" xfId="0" applyFont="1" applyBorder="1" applyAlignment="1" applyProtection="1">
      <alignment horizontal="center"/>
    </xf>
    <xf numFmtId="49" fontId="0" fillId="0" borderId="19" xfId="0" applyNumberFormat="1" applyFont="1" applyFill="1" applyBorder="1" applyAlignment="1">
      <alignment horizontal="center" vertical="center"/>
    </xf>
    <xf numFmtId="49" fontId="30" fillId="0" borderId="19" xfId="62" applyNumberFormat="1" applyFont="1" applyFill="1" applyBorder="1" applyAlignment="1">
      <alignment horizontal="center" vertical="center" wrapText="1" shrinkToFit="1"/>
    </xf>
    <xf numFmtId="49" fontId="30" fillId="0" borderId="19" xfId="59" applyNumberFormat="1" applyFont="1" applyFill="1" applyBorder="1" applyAlignment="1">
      <alignment horizontal="center" vertical="center" wrapText="1"/>
    </xf>
    <xf numFmtId="49" fontId="0" fillId="0" borderId="19" xfId="62" applyNumberFormat="1" applyFont="1" applyFill="1" applyBorder="1" applyAlignment="1">
      <alignment horizontal="center" vertical="center" wrapText="1" shrinkToFit="1"/>
    </xf>
    <xf numFmtId="49" fontId="30" fillId="30" borderId="19" xfId="62" applyNumberFormat="1" applyFont="1" applyFill="1" applyBorder="1" applyAlignment="1">
      <alignment horizontal="center" vertical="center" wrapText="1"/>
    </xf>
    <xf numFmtId="9" fontId="30" fillId="30" borderId="12" xfId="85" applyFont="1" applyFill="1" applyBorder="1" applyAlignment="1">
      <alignment horizontal="center" vertical="center" wrapText="1"/>
    </xf>
    <xf numFmtId="0" fontId="0" fillId="0" borderId="66" xfId="0" applyFont="1" applyFill="1" applyBorder="1"/>
    <xf numFmtId="0" fontId="0" fillId="0" borderId="79" xfId="0" applyFont="1" applyFill="1" applyBorder="1"/>
    <xf numFmtId="0" fontId="0" fillId="0" borderId="66" xfId="0" applyFont="1" applyBorder="1" applyAlignment="1">
      <alignment horizontal="center" vertical="center"/>
    </xf>
    <xf numFmtId="0" fontId="0" fillId="25" borderId="66" xfId="0" applyFill="1" applyBorder="1" applyAlignment="1">
      <alignment horizontal="center" vertical="center" wrapText="1"/>
    </xf>
    <xf numFmtId="0" fontId="0" fillId="0" borderId="66" xfId="0" applyFont="1" applyFill="1" applyBorder="1" applyAlignment="1">
      <alignment horizontal="center" vertical="center"/>
    </xf>
    <xf numFmtId="0" fontId="0" fillId="25" borderId="66" xfId="0" applyFont="1" applyFill="1" applyBorder="1" applyAlignment="1">
      <alignment horizontal="center" vertical="center" wrapText="1"/>
    </xf>
    <xf numFmtId="0" fontId="0" fillId="0" borderId="66" xfId="0" applyBorder="1" applyAlignment="1">
      <alignment horizontal="center" vertical="center"/>
    </xf>
    <xf numFmtId="0" fontId="0" fillId="0" borderId="66" xfId="0" applyFont="1" applyBorder="1" applyAlignment="1">
      <alignment horizontal="center" vertical="center" wrapText="1"/>
    </xf>
    <xf numFmtId="0" fontId="0" fillId="0" borderId="66" xfId="0" applyBorder="1" applyAlignment="1">
      <alignment horizontal="center" vertical="center" wrapText="1"/>
    </xf>
    <xf numFmtId="0" fontId="0" fillId="0" borderId="79" xfId="0" applyBorder="1" applyAlignment="1">
      <alignment horizontal="center"/>
    </xf>
    <xf numFmtId="0" fontId="0" fillId="0" borderId="79" xfId="0" applyFill="1" applyBorder="1" applyAlignment="1">
      <alignment horizontal="center"/>
    </xf>
    <xf numFmtId="0" fontId="0" fillId="0" borderId="66" xfId="0" applyFont="1" applyBorder="1" applyAlignment="1">
      <alignment horizontal="center"/>
    </xf>
    <xf numFmtId="0" fontId="0" fillId="25" borderId="66" xfId="0" applyFont="1" applyFill="1" applyBorder="1" applyAlignment="1">
      <alignment horizontal="center"/>
    </xf>
    <xf numFmtId="0" fontId="0" fillId="0" borderId="79" xfId="0" applyFont="1" applyFill="1" applyBorder="1" applyAlignment="1">
      <alignment horizontal="center"/>
    </xf>
    <xf numFmtId="0" fontId="0" fillId="0" borderId="0" xfId="0" applyFill="1" applyBorder="1" applyAlignment="1">
      <alignment horizontal="center"/>
    </xf>
    <xf numFmtId="0" fontId="0" fillId="0" borderId="79" xfId="57" applyFont="1" applyFill="1" applyBorder="1" applyAlignment="1">
      <alignment horizontal="center" wrapText="1"/>
    </xf>
    <xf numFmtId="0" fontId="30" fillId="0" borderId="79" xfId="57" applyFont="1" applyFill="1" applyBorder="1" applyAlignment="1">
      <alignment horizontal="center" wrapText="1"/>
    </xf>
    <xf numFmtId="49" fontId="0" fillId="27" borderId="66" xfId="0" applyNumberFormat="1" applyFont="1" applyFill="1" applyBorder="1" applyAlignment="1">
      <alignment horizontal="center" vertical="center" wrapText="1"/>
    </xf>
    <xf numFmtId="49" fontId="47" fillId="27" borderId="66" xfId="60" applyNumberFormat="1" applyFont="1" applyFill="1" applyBorder="1" applyAlignment="1">
      <alignment horizontal="center" vertical="center"/>
    </xf>
    <xf numFmtId="49" fontId="0" fillId="27" borderId="66" xfId="60" applyNumberFormat="1" applyFont="1" applyFill="1" applyBorder="1" applyAlignment="1">
      <alignment horizontal="center" vertical="center"/>
    </xf>
    <xf numFmtId="49" fontId="0" fillId="27" borderId="66" xfId="60" applyNumberFormat="1" applyFont="1" applyFill="1" applyBorder="1" applyAlignment="1">
      <alignment horizontal="center" vertical="center" wrapText="1"/>
    </xf>
    <xf numFmtId="0" fontId="0" fillId="27" borderId="66" xfId="0" applyFont="1" applyFill="1" applyBorder="1"/>
    <xf numFmtId="0" fontId="0" fillId="0" borderId="79" xfId="0" applyFont="1" applyFill="1" applyBorder="1" applyAlignment="1">
      <alignment horizontal="center" vertical="center" wrapText="1"/>
    </xf>
    <xf numFmtId="0" fontId="0" fillId="0" borderId="79" xfId="0" applyFill="1" applyBorder="1" applyAlignment="1">
      <alignment horizontal="center" vertical="center" wrapText="1"/>
    </xf>
    <xf numFmtId="0" fontId="0" fillId="0" borderId="79" xfId="0" applyFill="1" applyBorder="1"/>
    <xf numFmtId="0" fontId="5" fillId="0" borderId="79" xfId="0" applyFont="1" applyFill="1" applyBorder="1" applyAlignment="1">
      <alignment horizontal="center" vertical="center"/>
    </xf>
    <xf numFmtId="0" fontId="5" fillId="0" borderId="79" xfId="0" applyFont="1" applyFill="1" applyBorder="1" applyAlignment="1">
      <alignment vertical="center" wrapText="1"/>
    </xf>
    <xf numFmtId="0" fontId="5" fillId="0" borderId="79" xfId="0" applyFont="1" applyFill="1" applyBorder="1" applyAlignment="1">
      <alignment horizontal="center" vertical="center" wrapText="1"/>
    </xf>
    <xf numFmtId="0" fontId="0" fillId="27" borderId="55" xfId="0" applyFill="1" applyBorder="1" applyAlignment="1">
      <alignment horizontal="center"/>
    </xf>
    <xf numFmtId="0" fontId="0" fillId="27" borderId="55" xfId="0" applyFill="1" applyBorder="1" applyAlignment="1">
      <alignment horizontal="center" vertical="center" wrapText="1"/>
    </xf>
    <xf numFmtId="0" fontId="47" fillId="27" borderId="55" xfId="80" applyFont="1" applyFill="1" applyBorder="1" applyAlignment="1">
      <alignment wrapText="1"/>
    </xf>
    <xf numFmtId="0" fontId="29" fillId="0" borderId="12" xfId="0" applyFont="1" applyFill="1" applyBorder="1" applyAlignment="1">
      <alignment horizontal="center" vertical="center" wrapText="1" shrinkToFit="1"/>
    </xf>
    <xf numFmtId="0" fontId="30" fillId="0" borderId="79" xfId="57" applyFont="1" applyFill="1" applyBorder="1" applyAlignment="1">
      <alignment horizontal="center"/>
    </xf>
    <xf numFmtId="0" fontId="29" fillId="0" borderId="42" xfId="0" applyFont="1" applyFill="1" applyBorder="1" applyAlignment="1">
      <alignment horizontal="center" vertical="center" wrapText="1"/>
    </xf>
    <xf numFmtId="0" fontId="5" fillId="0" borderId="79" xfId="0" applyFont="1" applyFill="1" applyBorder="1" applyAlignment="1">
      <alignment horizontal="center"/>
    </xf>
    <xf numFmtId="2" fontId="5" fillId="0" borderId="79" xfId="0" applyNumberFormat="1" applyFont="1" applyFill="1" applyBorder="1" applyAlignment="1">
      <alignment horizontal="center" vertical="center"/>
    </xf>
    <xf numFmtId="49" fontId="32" fillId="0" borderId="79" xfId="0" applyNumberFormat="1" applyFont="1" applyFill="1" applyBorder="1" applyAlignment="1">
      <alignment horizontal="center" vertical="center"/>
    </xf>
    <xf numFmtId="2" fontId="0" fillId="0" borderId="79" xfId="0" applyNumberFormat="1" applyFont="1" applyFill="1" applyBorder="1" applyAlignment="1">
      <alignment horizontal="left" vertical="center"/>
    </xf>
    <xf numFmtId="2" fontId="0" fillId="0" borderId="79" xfId="0" applyNumberFormat="1" applyFont="1" applyFill="1" applyBorder="1" applyAlignment="1">
      <alignment horizontal="center" vertical="center"/>
    </xf>
    <xf numFmtId="0" fontId="0" fillId="0" borderId="79" xfId="0" applyNumberFormat="1" applyFont="1" applyFill="1" applyBorder="1" applyAlignment="1">
      <alignment horizontal="center" vertical="center"/>
    </xf>
    <xf numFmtId="2" fontId="0" fillId="0" borderId="79" xfId="0" applyNumberFormat="1" applyFill="1" applyBorder="1" applyAlignment="1">
      <alignment vertical="center" wrapText="1"/>
    </xf>
    <xf numFmtId="0" fontId="0" fillId="0" borderId="0" xfId="83" applyFont="1" applyAlignment="1">
      <alignment wrapText="1"/>
    </xf>
    <xf numFmtId="2" fontId="0" fillId="0" borderId="79" xfId="0" applyNumberFormat="1" applyFont="1" applyFill="1" applyBorder="1" applyAlignment="1">
      <alignment vertical="center"/>
    </xf>
    <xf numFmtId="2" fontId="37" fillId="0" borderId="79" xfId="0" applyNumberFormat="1" applyFont="1" applyFill="1" applyBorder="1" applyAlignment="1">
      <alignment horizontal="center" vertical="center"/>
    </xf>
    <xf numFmtId="2" fontId="0" fillId="0" borderId="79" xfId="0" applyNumberFormat="1" applyFill="1" applyBorder="1" applyAlignment="1">
      <alignment horizontal="left" vertical="center"/>
    </xf>
    <xf numFmtId="2" fontId="37" fillId="0" borderId="79" xfId="0" applyNumberFormat="1" applyFont="1" applyFill="1" applyBorder="1" applyAlignment="1">
      <alignment vertical="center"/>
    </xf>
    <xf numFmtId="2" fontId="0" fillId="0" borderId="79" xfId="0" applyNumberFormat="1" applyFill="1" applyBorder="1" applyAlignment="1">
      <alignment vertical="center"/>
    </xf>
    <xf numFmtId="0" fontId="47" fillId="27" borderId="66" xfId="80" applyFont="1" applyFill="1" applyBorder="1" applyAlignment="1">
      <alignment horizontal="center" vertical="center" wrapText="1"/>
    </xf>
    <xf numFmtId="0" fontId="29" fillId="0" borderId="0" xfId="0" applyFont="1" applyFill="1" applyBorder="1" applyAlignment="1">
      <alignment horizontal="left" vertical="center"/>
    </xf>
    <xf numFmtId="0" fontId="0" fillId="0" borderId="0" xfId="0" applyAlignment="1"/>
    <xf numFmtId="0" fontId="0" fillId="0" borderId="0" xfId="0" applyFont="1" applyAlignment="1"/>
    <xf numFmtId="0" fontId="38" fillId="0" borderId="18" xfId="0" applyFont="1" applyBorder="1" applyAlignment="1"/>
    <xf numFmtId="0" fontId="0" fillId="0" borderId="0" xfId="0" applyFont="1" applyFill="1" applyAlignment="1"/>
    <xf numFmtId="0" fontId="0" fillId="27" borderId="77" xfId="0" applyFont="1" applyFill="1" applyBorder="1" applyAlignment="1"/>
    <xf numFmtId="0" fontId="0" fillId="27" borderId="55" xfId="0" applyFont="1" applyFill="1" applyBorder="1" applyAlignment="1"/>
    <xf numFmtId="0" fontId="0" fillId="27" borderId="79" xfId="0" applyFont="1" applyFill="1" applyBorder="1" applyAlignment="1"/>
    <xf numFmtId="0" fontId="0" fillId="0" borderId="0" xfId="0" applyFont="1" applyFill="1" applyBorder="1" applyAlignment="1"/>
    <xf numFmtId="0" fontId="0" fillId="0" borderId="0" xfId="0" applyFill="1" applyBorder="1" applyAlignment="1"/>
    <xf numFmtId="0" fontId="0" fillId="0" borderId="0" xfId="0" applyFont="1" applyBorder="1" applyAlignment="1">
      <alignment horizontal="left"/>
    </xf>
    <xf numFmtId="0" fontId="0" fillId="0" borderId="79" xfId="0" applyBorder="1" applyAlignment="1">
      <alignment horizontal="left"/>
    </xf>
    <xf numFmtId="0" fontId="0" fillId="0" borderId="55" xfId="0" applyBorder="1" applyAlignment="1">
      <alignment horizontal="left"/>
    </xf>
    <xf numFmtId="0" fontId="0" fillId="0" borderId="0" xfId="0" applyFill="1" applyBorder="1" applyAlignment="1">
      <alignment horizontal="left"/>
    </xf>
    <xf numFmtId="0" fontId="0" fillId="0" borderId="0" xfId="0" applyAlignment="1">
      <alignment horizontal="left"/>
    </xf>
    <xf numFmtId="0" fontId="0" fillId="0" borderId="0" xfId="0" applyFont="1" applyAlignment="1">
      <alignment horizontal="left"/>
    </xf>
    <xf numFmtId="0" fontId="0" fillId="0" borderId="0" xfId="0" applyFont="1" applyAlignment="1">
      <alignment wrapText="1"/>
    </xf>
    <xf numFmtId="0" fontId="0" fillId="27" borderId="55" xfId="0" applyFill="1" applyBorder="1" applyAlignment="1">
      <alignment wrapText="1"/>
    </xf>
    <xf numFmtId="0" fontId="0" fillId="27" borderId="55" xfId="0" applyFont="1" applyFill="1" applyBorder="1" applyAlignment="1">
      <alignment wrapText="1"/>
    </xf>
    <xf numFmtId="0" fontId="0" fillId="27" borderId="79" xfId="0" applyFill="1" applyBorder="1" applyAlignment="1">
      <alignment wrapText="1"/>
    </xf>
    <xf numFmtId="0" fontId="0" fillId="27" borderId="79" xfId="0" applyFont="1" applyFill="1" applyBorder="1" applyAlignment="1">
      <alignment wrapText="1"/>
    </xf>
    <xf numFmtId="0" fontId="0" fillId="0" borderId="79" xfId="0" applyFont="1" applyFill="1" applyBorder="1" applyAlignment="1">
      <alignment wrapText="1"/>
    </xf>
    <xf numFmtId="0" fontId="5" fillId="27" borderId="66" xfId="0" applyFont="1" applyFill="1" applyBorder="1" applyAlignment="1">
      <alignment vertical="center" wrapText="1"/>
    </xf>
    <xf numFmtId="0" fontId="35" fillId="0" borderId="79" xfId="0" applyFont="1" applyBorder="1" applyAlignment="1">
      <alignment horizontal="center" vertical="center" wrapText="1"/>
    </xf>
    <xf numFmtId="49" fontId="0" fillId="0" borderId="79" xfId="0" applyNumberFormat="1" applyFill="1" applyBorder="1" applyAlignment="1">
      <alignment horizontal="center" vertical="center" wrapText="1"/>
    </xf>
    <xf numFmtId="0" fontId="0" fillId="0" borderId="0" xfId="0" applyFont="1" applyFill="1" applyAlignment="1">
      <alignment horizontal="center" vertical="center"/>
    </xf>
    <xf numFmtId="0" fontId="5" fillId="27" borderId="66" xfId="0" applyFont="1" applyFill="1" applyBorder="1" applyAlignment="1">
      <alignment horizontal="center" vertical="center"/>
    </xf>
    <xf numFmtId="0" fontId="0" fillId="27" borderId="66" xfId="0" applyFont="1" applyFill="1" applyBorder="1" applyAlignment="1">
      <alignment horizontal="center" vertical="center"/>
    </xf>
    <xf numFmtId="49" fontId="5" fillId="0" borderId="79" xfId="0" applyNumberFormat="1" applyFont="1" applyFill="1" applyBorder="1" applyAlignment="1">
      <alignment horizontal="center" vertical="center" wrapText="1"/>
    </xf>
    <xf numFmtId="0" fontId="5" fillId="0" borderId="66" xfId="0" applyFont="1" applyFill="1" applyBorder="1" applyAlignment="1">
      <alignment horizontal="center" vertical="center"/>
    </xf>
    <xf numFmtId="49" fontId="0" fillId="0" borderId="66" xfId="0" applyNumberFormat="1" applyFill="1" applyBorder="1" applyAlignment="1">
      <alignment horizontal="center" vertical="center" wrapText="1"/>
    </xf>
    <xf numFmtId="49" fontId="0" fillId="0" borderId="66" xfId="0" applyNumberFormat="1" applyFill="1" applyBorder="1" applyAlignment="1">
      <alignment horizontal="center" vertical="center"/>
    </xf>
    <xf numFmtId="1" fontId="5" fillId="0" borderId="66" xfId="0" applyNumberFormat="1" applyFont="1" applyFill="1" applyBorder="1" applyAlignment="1">
      <alignment horizontal="center" vertical="center" wrapText="1"/>
    </xf>
    <xf numFmtId="0" fontId="0" fillId="0" borderId="66" xfId="0" applyNumberFormat="1" applyFill="1" applyBorder="1" applyAlignment="1">
      <alignment horizontal="center" vertical="center" wrapText="1"/>
    </xf>
    <xf numFmtId="1" fontId="5" fillId="0" borderId="79" xfId="0" applyNumberFormat="1" applyFont="1" applyFill="1" applyBorder="1" applyAlignment="1">
      <alignment horizontal="center" vertical="center" wrapText="1"/>
    </xf>
    <xf numFmtId="0" fontId="35" fillId="0" borderId="79" xfId="0" applyFont="1" applyFill="1" applyBorder="1" applyAlignment="1">
      <alignment horizontal="center" vertical="center" wrapText="1"/>
    </xf>
    <xf numFmtId="0" fontId="5" fillId="27" borderId="66" xfId="0" applyFont="1" applyFill="1" applyBorder="1" applyAlignment="1">
      <alignment vertical="center"/>
    </xf>
    <xf numFmtId="0" fontId="5" fillId="27" borderId="79" xfId="0" applyFont="1" applyFill="1" applyBorder="1" applyAlignment="1">
      <alignment vertical="center"/>
    </xf>
    <xf numFmtId="0" fontId="5" fillId="27" borderId="79" xfId="0" applyFont="1" applyFill="1" applyBorder="1" applyAlignment="1">
      <alignment horizontal="center" vertical="center"/>
    </xf>
    <xf numFmtId="0" fontId="5" fillId="27" borderId="82" xfId="0" applyFont="1" applyFill="1" applyBorder="1" applyAlignment="1">
      <alignment vertical="center"/>
    </xf>
    <xf numFmtId="0" fontId="5" fillId="27" borderId="70" xfId="0" applyFont="1" applyFill="1" applyBorder="1" applyAlignment="1">
      <alignment vertical="center"/>
    </xf>
    <xf numFmtId="0" fontId="0" fillId="27" borderId="69" xfId="0" applyFont="1" applyFill="1" applyBorder="1" applyAlignment="1">
      <alignment horizontal="center" vertical="center"/>
    </xf>
    <xf numFmtId="0" fontId="5" fillId="27" borderId="79" xfId="0" applyFont="1" applyFill="1" applyBorder="1" applyAlignment="1">
      <alignment horizontal="center" vertical="center" wrapText="1"/>
    </xf>
    <xf numFmtId="0" fontId="5" fillId="27" borderId="66" xfId="0" applyFont="1" applyFill="1" applyBorder="1" applyAlignment="1">
      <alignment horizontal="center" vertical="center" wrapText="1"/>
    </xf>
    <xf numFmtId="0" fontId="0" fillId="0" borderId="59" xfId="0" applyFont="1" applyBorder="1" applyAlignment="1">
      <alignment horizontal="center"/>
    </xf>
    <xf numFmtId="0" fontId="0" fillId="27" borderId="60" xfId="0" applyFont="1" applyFill="1" applyBorder="1" applyAlignment="1">
      <alignment horizontal="center"/>
    </xf>
    <xf numFmtId="0" fontId="5" fillId="27" borderId="79" xfId="0" applyFont="1" applyFill="1" applyBorder="1" applyAlignment="1">
      <alignment horizontal="center" vertical="center" wrapText="1"/>
    </xf>
    <xf numFmtId="0" fontId="5" fillId="27" borderId="79" xfId="0" applyFont="1" applyFill="1" applyBorder="1" applyAlignment="1">
      <alignment horizontal="center" vertical="center" wrapText="1"/>
    </xf>
    <xf numFmtId="0" fontId="5" fillId="0" borderId="79" xfId="0" applyFont="1" applyFill="1" applyBorder="1" applyAlignment="1">
      <alignment horizontal="left" vertical="center" wrapText="1"/>
    </xf>
    <xf numFmtId="0" fontId="0" fillId="27" borderId="79" xfId="0" applyFill="1" applyBorder="1"/>
    <xf numFmtId="0" fontId="30" fillId="56" borderId="79" xfId="0" applyFont="1" applyFill="1" applyBorder="1" applyAlignment="1">
      <alignment horizontal="center" vertical="center"/>
    </xf>
    <xf numFmtId="0" fontId="74" fillId="56" borderId="79" xfId="0" applyFont="1" applyFill="1" applyBorder="1" applyAlignment="1">
      <alignment horizontal="center" vertical="center" wrapText="1"/>
    </xf>
    <xf numFmtId="0" fontId="0" fillId="27" borderId="79" xfId="0" applyFill="1" applyBorder="1" applyAlignment="1">
      <alignment horizontal="center" vertical="center"/>
    </xf>
    <xf numFmtId="0" fontId="5" fillId="27" borderId="79" xfId="0" applyNumberFormat="1" applyFont="1" applyFill="1" applyBorder="1" applyAlignment="1">
      <alignment horizontal="center" vertical="center" wrapText="1"/>
    </xf>
    <xf numFmtId="49" fontId="5" fillId="27" borderId="79" xfId="0" applyNumberFormat="1" applyFont="1" applyFill="1" applyBorder="1" applyAlignment="1">
      <alignment horizontal="center" vertical="center" wrapText="1"/>
    </xf>
    <xf numFmtId="0" fontId="0" fillId="27" borderId="79" xfId="0" applyFont="1" applyFill="1" applyBorder="1" applyAlignment="1">
      <alignment horizontal="center" vertical="center"/>
    </xf>
    <xf numFmtId="0" fontId="0" fillId="25" borderId="79" xfId="0" applyFont="1" applyFill="1" applyBorder="1" applyAlignment="1">
      <alignment horizontal="center" vertical="center" wrapText="1"/>
    </xf>
    <xf numFmtId="0" fontId="35" fillId="25" borderId="79" xfId="78" applyFont="1" applyFill="1" applyBorder="1" applyAlignment="1">
      <alignment horizontal="center" vertical="center" wrapText="1"/>
    </xf>
    <xf numFmtId="49" fontId="0" fillId="25" borderId="79" xfId="0" applyNumberFormat="1" applyFont="1" applyFill="1" applyBorder="1" applyAlignment="1">
      <alignment horizontal="center" vertical="center" wrapText="1"/>
    </xf>
    <xf numFmtId="0" fontId="58" fillId="25" borderId="79" xfId="78" applyFont="1" applyFill="1" applyBorder="1" applyAlignment="1">
      <alignment horizontal="center" vertical="center" wrapText="1"/>
    </xf>
    <xf numFmtId="49" fontId="30" fillId="25" borderId="79" xfId="60" applyNumberFormat="1" applyFont="1" applyFill="1" applyBorder="1" applyAlignment="1">
      <alignment horizontal="center" vertical="center" wrapText="1"/>
    </xf>
    <xf numFmtId="0" fontId="0" fillId="25" borderId="94" xfId="0" applyFont="1" applyFill="1" applyBorder="1" applyAlignment="1">
      <alignment horizontal="center" vertical="center" wrapText="1"/>
    </xf>
    <xf numFmtId="0" fontId="35" fillId="25" borderId="95" xfId="78" applyFont="1" applyFill="1" applyBorder="1" applyAlignment="1">
      <alignment horizontal="center" vertical="center" wrapText="1"/>
    </xf>
    <xf numFmtId="0" fontId="0" fillId="25" borderId="95" xfId="0" applyFont="1" applyFill="1" applyBorder="1" applyAlignment="1">
      <alignment horizontal="center" vertical="center" wrapText="1"/>
    </xf>
    <xf numFmtId="49" fontId="0" fillId="25" borderId="95" xfId="0" applyNumberFormat="1" applyFont="1" applyFill="1" applyBorder="1" applyAlignment="1">
      <alignment horizontal="center" vertical="center" wrapText="1"/>
    </xf>
    <xf numFmtId="0" fontId="58" fillId="25" borderId="95" xfId="78" applyFont="1" applyFill="1" applyBorder="1" applyAlignment="1">
      <alignment horizontal="center" vertical="center" wrapText="1"/>
    </xf>
    <xf numFmtId="49" fontId="30" fillId="25" borderId="95" xfId="60" applyNumberFormat="1" applyFont="1" applyFill="1" applyBorder="1" applyAlignment="1">
      <alignment horizontal="center" vertical="center" wrapText="1"/>
    </xf>
    <xf numFmtId="0" fontId="33" fillId="25" borderId="95" xfId="0" applyFont="1" applyFill="1" applyBorder="1" applyAlignment="1">
      <alignment horizontal="center" vertical="center" wrapText="1"/>
    </xf>
    <xf numFmtId="0" fontId="33" fillId="0" borderId="95" xfId="84" applyFont="1" applyFill="1" applyBorder="1" applyAlignment="1">
      <alignment horizontal="center" vertical="center" wrapText="1"/>
    </xf>
    <xf numFmtId="0" fontId="58" fillId="0" borderId="95" xfId="78" applyFont="1" applyFill="1" applyBorder="1" applyAlignment="1">
      <alignment horizontal="center" vertical="center" wrapText="1"/>
    </xf>
    <xf numFmtId="49" fontId="33" fillId="0" borderId="95" xfId="84" applyNumberFormat="1" applyFont="1" applyFill="1" applyBorder="1" applyAlignment="1">
      <alignment horizontal="center" vertical="center" wrapText="1"/>
    </xf>
    <xf numFmtId="0" fontId="35" fillId="0" borderId="95" xfId="78" applyFont="1" applyFill="1" applyBorder="1" applyAlignment="1">
      <alignment horizontal="center" vertical="center" wrapText="1"/>
    </xf>
    <xf numFmtId="49" fontId="33" fillId="0" borderId="95" xfId="60" applyNumberFormat="1" applyFont="1" applyFill="1" applyBorder="1" applyAlignment="1">
      <alignment horizontal="center" vertical="center" wrapText="1"/>
    </xf>
    <xf numFmtId="0" fontId="33" fillId="0" borderId="94" xfId="84" applyFont="1" applyFill="1" applyBorder="1" applyAlignment="1">
      <alignment horizontal="center" vertical="center" wrapText="1"/>
    </xf>
    <xf numFmtId="0" fontId="0" fillId="0" borderId="94" xfId="0" applyFont="1" applyFill="1" applyBorder="1" applyAlignment="1">
      <alignment horizontal="center" vertical="center" wrapText="1"/>
    </xf>
    <xf numFmtId="49" fontId="30" fillId="0" borderId="95" xfId="60" applyNumberFormat="1" applyFont="1" applyFill="1" applyBorder="1" applyAlignment="1">
      <alignment horizontal="center" vertical="center" wrapText="1"/>
    </xf>
    <xf numFmtId="49" fontId="0" fillId="0" borderId="95" xfId="0" applyNumberFormat="1" applyFont="1" applyFill="1" applyBorder="1" applyAlignment="1">
      <alignment horizontal="center" vertical="center" wrapText="1"/>
    </xf>
    <xf numFmtId="0" fontId="0" fillId="0" borderId="95" xfId="0" applyFont="1" applyFill="1" applyBorder="1" applyAlignment="1">
      <alignment horizontal="center" vertical="center" wrapText="1"/>
    </xf>
    <xf numFmtId="0" fontId="30" fillId="27" borderId="66" xfId="79" applyFont="1" applyFill="1" applyBorder="1" applyAlignment="1">
      <alignment horizontal="center" vertical="center"/>
    </xf>
    <xf numFmtId="0" fontId="30" fillId="27" borderId="66" xfId="142" applyFont="1" applyFill="1" applyBorder="1" applyAlignment="1">
      <alignment horizontal="center" vertical="center"/>
    </xf>
    <xf numFmtId="0" fontId="0" fillId="27" borderId="66" xfId="142" applyFont="1" applyFill="1" applyBorder="1" applyAlignment="1">
      <alignment horizontal="center" vertical="center"/>
    </xf>
    <xf numFmtId="0" fontId="30" fillId="27" borderId="66" xfId="79" applyFont="1" applyFill="1" applyBorder="1" applyAlignment="1">
      <alignment horizontal="center" vertical="center" wrapText="1"/>
    </xf>
    <xf numFmtId="0" fontId="0" fillId="27" borderId="66" xfId="142" applyFont="1" applyFill="1" applyBorder="1" applyAlignment="1">
      <alignment horizontal="center" vertical="center" wrapText="1"/>
    </xf>
    <xf numFmtId="0" fontId="0" fillId="27" borderId="66" xfId="163" applyFont="1" applyFill="1" applyBorder="1" applyAlignment="1">
      <alignment horizontal="center" vertical="center" wrapText="1"/>
    </xf>
    <xf numFmtId="0" fontId="30" fillId="0" borderId="0" xfId="0" applyFont="1" applyBorder="1" applyAlignment="1">
      <alignment wrapText="1"/>
    </xf>
    <xf numFmtId="0" fontId="35" fillId="27" borderId="95" xfId="77" applyFont="1" applyFill="1" applyBorder="1" applyAlignment="1">
      <alignment horizontal="center" vertical="center" wrapText="1"/>
    </xf>
    <xf numFmtId="0" fontId="35" fillId="27" borderId="100" xfId="140" applyFont="1" applyFill="1" applyBorder="1" applyAlignment="1">
      <alignment horizontal="center" vertical="center" wrapText="1"/>
    </xf>
    <xf numFmtId="0" fontId="35" fillId="27" borderId="95" xfId="77" applyFont="1" applyFill="1" applyBorder="1" applyAlignment="1">
      <alignment horizontal="center" vertical="center"/>
    </xf>
    <xf numFmtId="0" fontId="30" fillId="27" borderId="66" xfId="163" applyFont="1" applyFill="1" applyBorder="1" applyAlignment="1">
      <alignment horizontal="center" vertical="center"/>
    </xf>
    <xf numFmtId="0" fontId="35" fillId="27" borderId="101" xfId="383" applyFont="1" applyFill="1" applyBorder="1" applyAlignment="1">
      <alignment horizontal="center" vertical="center" wrapText="1"/>
    </xf>
    <xf numFmtId="0" fontId="30" fillId="27" borderId="101" xfId="163" applyFont="1" applyFill="1" applyBorder="1" applyAlignment="1">
      <alignment horizontal="center" vertical="center"/>
    </xf>
    <xf numFmtId="0" fontId="35" fillId="27" borderId="66" xfId="77" applyFont="1" applyFill="1" applyBorder="1" applyAlignment="1">
      <alignment horizontal="center" vertical="center"/>
    </xf>
    <xf numFmtId="0" fontId="30" fillId="27" borderId="95" xfId="79" applyFont="1" applyFill="1" applyBorder="1" applyAlignment="1">
      <alignment horizontal="center" vertical="center"/>
    </xf>
    <xf numFmtId="0" fontId="0" fillId="27" borderId="66" xfId="163" applyFont="1" applyFill="1" applyBorder="1" applyAlignment="1">
      <alignment horizontal="center" vertical="center"/>
    </xf>
    <xf numFmtId="0" fontId="0" fillId="0" borderId="79" xfId="0" applyFill="1" applyBorder="1" applyAlignment="1">
      <alignment horizontal="left"/>
    </xf>
    <xf numFmtId="0" fontId="47" fillId="27" borderId="55" xfId="80" applyFont="1" applyFill="1" applyBorder="1" applyAlignment="1">
      <alignment horizontal="center" vertical="center" wrapText="1"/>
    </xf>
    <xf numFmtId="0" fontId="59" fillId="0" borderId="0" xfId="80" applyFont="1"/>
    <xf numFmtId="0" fontId="29" fillId="25" borderId="51" xfId="0" applyFont="1" applyFill="1" applyBorder="1" applyAlignment="1">
      <alignment horizontal="center" vertical="center" wrapText="1"/>
    </xf>
    <xf numFmtId="0" fontId="0" fillId="0" borderId="66" xfId="0" applyFont="1" applyFill="1" applyBorder="1" applyAlignment="1">
      <alignment horizontal="center"/>
    </xf>
    <xf numFmtId="0" fontId="29" fillId="0" borderId="219" xfId="0" applyFont="1" applyFill="1" applyBorder="1" applyAlignment="1">
      <alignment horizontal="left" vertical="center"/>
    </xf>
    <xf numFmtId="0" fontId="29" fillId="0" borderId="51" xfId="0" applyFont="1" applyFill="1" applyBorder="1" applyAlignment="1">
      <alignment horizontal="left" vertical="center" wrapText="1"/>
    </xf>
    <xf numFmtId="0" fontId="0" fillId="0" borderId="66" xfId="0" applyFont="1" applyBorder="1" applyAlignment="1">
      <alignment horizontal="left"/>
    </xf>
    <xf numFmtId="0" fontId="0" fillId="25" borderId="66" xfId="0" applyFont="1" applyFill="1" applyBorder="1" applyAlignment="1">
      <alignment horizontal="left"/>
    </xf>
    <xf numFmtId="0" fontId="29" fillId="0" borderId="66" xfId="0" applyFont="1" applyFill="1" applyBorder="1" applyAlignment="1">
      <alignment vertical="top" wrapText="1"/>
    </xf>
    <xf numFmtId="0" fontId="0" fillId="27" borderId="66" xfId="0" applyFont="1" applyFill="1" applyBorder="1" applyAlignment="1">
      <alignment horizontal="center"/>
    </xf>
    <xf numFmtId="0" fontId="0" fillId="0" borderId="221" xfId="0" applyFont="1" applyBorder="1" applyAlignment="1">
      <alignment horizontal="left"/>
    </xf>
    <xf numFmtId="0" fontId="0" fillId="25" borderId="221" xfId="0" applyFont="1" applyFill="1" applyBorder="1" applyAlignment="1">
      <alignment horizontal="left"/>
    </xf>
    <xf numFmtId="0" fontId="0" fillId="0" borderId="221" xfId="0" applyFont="1" applyBorder="1" applyAlignment="1">
      <alignment horizontal="center"/>
    </xf>
    <xf numFmtId="0" fontId="0" fillId="0" borderId="221" xfId="0" applyFont="1" applyFill="1" applyBorder="1" applyAlignment="1">
      <alignment vertical="center" wrapText="1"/>
    </xf>
    <xf numFmtId="0" fontId="0" fillId="27" borderId="221" xfId="0" applyFont="1" applyFill="1" applyBorder="1" applyAlignment="1">
      <alignment horizontal="center"/>
    </xf>
    <xf numFmtId="0" fontId="0" fillId="0" borderId="221" xfId="0" applyFont="1" applyBorder="1"/>
    <xf numFmtId="0" fontId="0" fillId="0" borderId="221" xfId="0" applyFont="1" applyFill="1" applyBorder="1" applyAlignment="1">
      <alignment horizontal="center"/>
    </xf>
    <xf numFmtId="0" fontId="0" fillId="77" borderId="66" xfId="0" applyFont="1" applyFill="1" applyBorder="1" applyAlignment="1" applyProtection="1">
      <alignment horizontal="center"/>
    </xf>
    <xf numFmtId="0" fontId="0" fillId="77" borderId="221" xfId="0" applyFont="1" applyFill="1" applyBorder="1" applyAlignment="1">
      <alignment horizontal="left"/>
    </xf>
    <xf numFmtId="0" fontId="0" fillId="77" borderId="221" xfId="0" applyFont="1" applyFill="1" applyBorder="1" applyAlignment="1">
      <alignment horizontal="center"/>
    </xf>
    <xf numFmtId="0" fontId="0" fillId="77" borderId="221" xfId="0" applyFont="1" applyFill="1" applyBorder="1" applyAlignment="1">
      <alignment vertical="center" wrapText="1"/>
    </xf>
    <xf numFmtId="0" fontId="37" fillId="27" borderId="17" xfId="0" applyFont="1" applyFill="1" applyBorder="1"/>
    <xf numFmtId="0" fontId="0" fillId="27" borderId="17" xfId="0" applyFont="1" applyFill="1" applyBorder="1" applyAlignment="1">
      <alignment wrapText="1"/>
    </xf>
    <xf numFmtId="0" fontId="37" fillId="27" borderId="55" xfId="0" applyFont="1" applyFill="1" applyBorder="1" applyAlignment="1">
      <alignment wrapText="1"/>
    </xf>
    <xf numFmtId="0" fontId="0" fillId="27" borderId="24" xfId="0" applyFont="1" applyFill="1" applyBorder="1" applyAlignment="1">
      <alignment wrapText="1"/>
    </xf>
    <xf numFmtId="2" fontId="0" fillId="27" borderId="79" xfId="0" applyNumberFormat="1" applyFont="1" applyFill="1" applyBorder="1" applyAlignment="1">
      <alignment vertical="center" wrapText="1"/>
    </xf>
    <xf numFmtId="0" fontId="35" fillId="0" borderId="34" xfId="0" applyFont="1" applyFill="1" applyBorder="1" applyAlignment="1">
      <alignment horizontal="center" vertical="center" wrapText="1"/>
    </xf>
    <xf numFmtId="0" fontId="49" fillId="0" borderId="41" xfId="0" applyFont="1" applyBorder="1" applyAlignment="1">
      <alignment horizontal="center"/>
    </xf>
    <xf numFmtId="0" fontId="49" fillId="27" borderId="13" xfId="0" applyFont="1" applyFill="1" applyBorder="1" applyAlignment="1">
      <alignment horizontal="center"/>
    </xf>
    <xf numFmtId="0" fontId="38" fillId="0" borderId="15" xfId="0" applyFont="1" applyBorder="1" applyAlignment="1">
      <alignment horizontal="center" vertical="center"/>
    </xf>
    <xf numFmtId="0" fontId="29" fillId="27" borderId="71" xfId="0" applyNumberFormat="1" applyFont="1" applyFill="1" applyBorder="1" applyAlignment="1">
      <alignment horizontal="center" vertical="center"/>
    </xf>
    <xf numFmtId="0" fontId="0" fillId="27" borderId="220" xfId="0" applyFont="1" applyFill="1" applyBorder="1" applyAlignment="1">
      <alignment horizontal="center"/>
    </xf>
    <xf numFmtId="0" fontId="29" fillId="27" borderId="56" xfId="0" applyFont="1" applyFill="1" applyBorder="1" applyAlignment="1">
      <alignment horizontal="center" vertical="center" wrapText="1"/>
    </xf>
    <xf numFmtId="49" fontId="29" fillId="27" borderId="56" xfId="60" applyNumberFormat="1" applyFont="1" applyFill="1" applyBorder="1" applyAlignment="1">
      <alignment horizontal="center" vertical="center" wrapText="1"/>
    </xf>
    <xf numFmtId="0" fontId="38" fillId="0" borderId="222" xfId="0" applyFont="1" applyFill="1" applyBorder="1" applyAlignment="1">
      <alignment horizontal="left" vertical="center"/>
    </xf>
    <xf numFmtId="0" fontId="38" fillId="27" borderId="223" xfId="0" applyFont="1" applyFill="1" applyBorder="1" applyAlignment="1">
      <alignment horizontal="center" vertical="center"/>
    </xf>
    <xf numFmtId="0" fontId="38" fillId="27" borderId="223" xfId="0" applyFont="1" applyFill="1" applyBorder="1" applyAlignment="1">
      <alignment horizontal="left" vertical="center"/>
    </xf>
    <xf numFmtId="49" fontId="5" fillId="0" borderId="227" xfId="60" applyNumberFormat="1" applyFont="1" applyFill="1" applyBorder="1" applyAlignment="1">
      <alignment horizontal="center" vertical="center" wrapText="1"/>
    </xf>
    <xf numFmtId="0" fontId="5" fillId="0" borderId="227" xfId="60" applyNumberFormat="1" applyFont="1" applyFill="1" applyBorder="1" applyAlignment="1">
      <alignment horizontal="center" vertical="center" wrapText="1"/>
    </xf>
    <xf numFmtId="0" fontId="29" fillId="27" borderId="227" xfId="60" applyNumberFormat="1" applyFont="1" applyFill="1" applyBorder="1" applyAlignment="1">
      <alignment horizontal="center" vertical="center" wrapText="1"/>
    </xf>
    <xf numFmtId="49" fontId="29" fillId="27" borderId="227" xfId="60" applyNumberFormat="1" applyFont="1" applyFill="1" applyBorder="1" applyAlignment="1">
      <alignment horizontal="center" vertical="center" wrapText="1"/>
    </xf>
    <xf numFmtId="0" fontId="29" fillId="0" borderId="222" xfId="0" applyFont="1" applyFill="1" applyBorder="1" applyAlignment="1">
      <alignment horizontal="left" vertical="center"/>
    </xf>
    <xf numFmtId="0" fontId="0" fillId="27" borderId="223" xfId="0" applyFont="1" applyFill="1" applyBorder="1" applyAlignment="1">
      <alignment horizontal="center"/>
    </xf>
    <xf numFmtId="0" fontId="29" fillId="27" borderId="44" xfId="0" applyFont="1" applyFill="1" applyBorder="1" applyAlignment="1">
      <alignment horizontal="center" vertical="center" wrapText="1"/>
    </xf>
    <xf numFmtId="0" fontId="29" fillId="27" borderId="227" xfId="0" applyFont="1" applyFill="1" applyBorder="1" applyAlignment="1">
      <alignment horizontal="center" vertical="center" wrapText="1"/>
    </xf>
    <xf numFmtId="0" fontId="29" fillId="27" borderId="46" xfId="0" applyFont="1" applyFill="1" applyBorder="1" applyAlignment="1">
      <alignment horizontal="center" vertical="center" wrapText="1"/>
    </xf>
    <xf numFmtId="0" fontId="0" fillId="27" borderId="66" xfId="0" applyFont="1" applyFill="1" applyBorder="1" applyAlignment="1" applyProtection="1">
      <alignment horizontal="center" vertical="center"/>
    </xf>
    <xf numFmtId="0" fontId="0" fillId="27" borderId="66" xfId="0" applyFont="1" applyFill="1" applyBorder="1" applyAlignment="1">
      <alignment horizontal="center" vertical="center" wrapText="1"/>
    </xf>
    <xf numFmtId="0" fontId="29" fillId="27" borderId="66" xfId="0" applyFont="1" applyFill="1" applyBorder="1" applyAlignment="1">
      <alignment horizontal="center" vertical="center" wrapText="1"/>
    </xf>
    <xf numFmtId="0" fontId="0" fillId="27" borderId="227" xfId="0" applyFont="1" applyFill="1" applyBorder="1" applyAlignment="1">
      <alignment horizontal="center" vertical="center" wrapText="1"/>
    </xf>
    <xf numFmtId="0" fontId="0" fillId="27" borderId="227" xfId="0" applyFont="1" applyFill="1" applyBorder="1" applyAlignment="1">
      <alignment horizontal="center" vertical="center"/>
    </xf>
    <xf numFmtId="0" fontId="0" fillId="27" borderId="94" xfId="0" applyFont="1" applyFill="1" applyBorder="1" applyAlignment="1">
      <alignment horizontal="left" vertical="center" wrapText="1"/>
    </xf>
    <xf numFmtId="0" fontId="0" fillId="27" borderId="84" xfId="0" applyFont="1" applyFill="1" applyBorder="1" applyAlignment="1">
      <alignment horizontal="left" vertical="center" wrapText="1"/>
    </xf>
    <xf numFmtId="0" fontId="0" fillId="27" borderId="84" xfId="0" applyFont="1" applyFill="1" applyBorder="1" applyAlignment="1">
      <alignment horizontal="center" vertical="center" wrapText="1"/>
    </xf>
    <xf numFmtId="0" fontId="84" fillId="27" borderId="227" xfId="0" applyFont="1" applyFill="1" applyBorder="1" applyAlignment="1">
      <alignment horizontal="left" vertical="center" wrapText="1"/>
    </xf>
    <xf numFmtId="0" fontId="47" fillId="27" borderId="227" xfId="0" applyFont="1" applyFill="1" applyBorder="1" applyAlignment="1">
      <alignment horizontal="center" vertical="center" wrapText="1"/>
    </xf>
    <xf numFmtId="0" fontId="47" fillId="27" borderId="66" xfId="0" applyFont="1" applyFill="1" applyBorder="1" applyAlignment="1">
      <alignment horizontal="center" vertical="center" wrapText="1"/>
    </xf>
    <xf numFmtId="0" fontId="47" fillId="27" borderId="227" xfId="0" applyFont="1" applyFill="1" applyBorder="1" applyAlignment="1">
      <alignment horizontal="left" vertical="center" wrapText="1"/>
    </xf>
    <xf numFmtId="0" fontId="0" fillId="27" borderId="227" xfId="0" applyFont="1" applyFill="1" applyBorder="1" applyAlignment="1">
      <alignment horizontal="left" vertical="center" wrapText="1"/>
    </xf>
    <xf numFmtId="0" fontId="85" fillId="27" borderId="227" xfId="0" applyFont="1" applyFill="1" applyBorder="1" applyAlignment="1">
      <alignment horizontal="center" vertical="center" wrapText="1"/>
    </xf>
    <xf numFmtId="0" fontId="47" fillId="27" borderId="227" xfId="80" applyFont="1" applyFill="1" applyBorder="1" applyAlignment="1">
      <alignment horizontal="center" wrapText="1"/>
    </xf>
    <xf numFmtId="0" fontId="2" fillId="0" borderId="0" xfId="1379"/>
    <xf numFmtId="49" fontId="29" fillId="0" borderId="0" xfId="62" applyNumberFormat="1" applyFont="1" applyFill="1" applyBorder="1" applyAlignment="1">
      <alignment vertical="center"/>
    </xf>
    <xf numFmtId="0" fontId="30" fillId="0" borderId="29" xfId="1379" applyFont="1" applyBorder="1" applyAlignment="1"/>
    <xf numFmtId="0" fontId="30" fillId="0" borderId="0" xfId="1379" applyFont="1" applyBorder="1" applyAlignment="1"/>
    <xf numFmtId="0" fontId="2" fillId="0" borderId="18" xfId="1379" applyBorder="1"/>
    <xf numFmtId="49" fontId="29" fillId="25" borderId="51" xfId="62" applyNumberFormat="1" applyFont="1" applyFill="1" applyBorder="1" applyAlignment="1">
      <alignment horizontal="center" vertical="center"/>
    </xf>
    <xf numFmtId="0" fontId="29" fillId="0" borderId="51" xfId="1379" applyFont="1" applyBorder="1" applyAlignment="1">
      <alignment horizontal="center" vertical="center"/>
    </xf>
    <xf numFmtId="49" fontId="29" fillId="25" borderId="51" xfId="62" applyNumberFormat="1" applyFont="1" applyFill="1" applyBorder="1" applyAlignment="1">
      <alignment horizontal="center" vertical="center" wrapText="1" shrinkToFit="1"/>
    </xf>
    <xf numFmtId="49" fontId="29" fillId="25" borderId="51" xfId="60" applyNumberFormat="1" applyFont="1" applyFill="1" applyBorder="1" applyAlignment="1">
      <alignment horizontal="center" vertical="center" wrapText="1"/>
    </xf>
    <xf numFmtId="49" fontId="29" fillId="27" borderId="51" xfId="60" applyNumberFormat="1" applyFont="1" applyFill="1" applyBorder="1" applyAlignment="1">
      <alignment horizontal="center" vertical="center" wrapText="1"/>
    </xf>
    <xf numFmtId="49" fontId="29" fillId="0" borderId="51" xfId="62" applyNumberFormat="1" applyFont="1" applyFill="1" applyBorder="1" applyAlignment="1">
      <alignment horizontal="center" vertical="center" wrapText="1" shrinkToFit="1"/>
    </xf>
    <xf numFmtId="0" fontId="29" fillId="0" borderId="51" xfId="1379" applyFont="1" applyFill="1" applyBorder="1" applyAlignment="1">
      <alignment horizontal="center" vertical="center" wrapText="1"/>
    </xf>
    <xf numFmtId="0" fontId="29" fillId="0" borderId="51" xfId="1379" applyFont="1" applyFill="1" applyBorder="1" applyAlignment="1">
      <alignment horizontal="center" vertical="center"/>
    </xf>
    <xf numFmtId="49" fontId="29" fillId="25" borderId="51" xfId="62" applyNumberFormat="1" applyFont="1" applyFill="1" applyBorder="1" applyAlignment="1">
      <alignment horizontal="center" vertical="top" wrapText="1"/>
    </xf>
    <xf numFmtId="0" fontId="29" fillId="25" borderId="51" xfId="1379" applyFont="1" applyFill="1" applyBorder="1" applyAlignment="1">
      <alignment horizontal="center" vertical="center" wrapText="1"/>
    </xf>
    <xf numFmtId="0" fontId="29" fillId="27" borderId="51" xfId="1379" applyFont="1" applyFill="1" applyBorder="1" applyAlignment="1">
      <alignment horizontal="center" vertical="center" wrapText="1"/>
    </xf>
    <xf numFmtId="49" fontId="30" fillId="30" borderId="66" xfId="62" applyNumberFormat="1" applyFont="1" applyFill="1" applyBorder="1" applyAlignment="1">
      <alignment vertical="center"/>
    </xf>
    <xf numFmtId="49" fontId="30" fillId="30" borderId="70" xfId="62" applyNumberFormat="1" applyFont="1" applyFill="1" applyBorder="1" applyAlignment="1">
      <alignment vertical="center"/>
    </xf>
    <xf numFmtId="0" fontId="30" fillId="27" borderId="66" xfId="62" applyNumberFormat="1" applyFont="1" applyFill="1" applyBorder="1" applyAlignment="1">
      <alignment horizontal="center" vertical="center"/>
    </xf>
    <xf numFmtId="0" fontId="30" fillId="25" borderId="66" xfId="62" applyNumberFormat="1" applyFont="1" applyFill="1" applyBorder="1" applyAlignment="1">
      <alignment horizontal="center" vertical="center"/>
    </xf>
    <xf numFmtId="0" fontId="30" fillId="25" borderId="66" xfId="62" applyNumberFormat="1" applyFont="1" applyFill="1" applyBorder="1" applyAlignment="1">
      <alignment horizontal="left" vertical="center"/>
    </xf>
    <xf numFmtId="49" fontId="30" fillId="25" borderId="66" xfId="62" applyNumberFormat="1" applyFont="1" applyFill="1" applyBorder="1" applyAlignment="1">
      <alignment horizontal="left" vertical="center"/>
    </xf>
    <xf numFmtId="49" fontId="30" fillId="25" borderId="66" xfId="62" applyNumberFormat="1" applyFont="1" applyFill="1" applyBorder="1" applyAlignment="1">
      <alignment vertical="center"/>
    </xf>
    <xf numFmtId="49" fontId="30" fillId="0" borderId="66" xfId="1379" applyNumberFormat="1" applyFont="1" applyFill="1" applyBorder="1" applyAlignment="1"/>
    <xf numFmtId="0" fontId="30" fillId="27" borderId="66" xfId="62" applyNumberFormat="1" applyFont="1" applyFill="1" applyBorder="1" applyAlignment="1">
      <alignment horizontal="left" vertical="center"/>
    </xf>
    <xf numFmtId="0" fontId="30" fillId="0" borderId="0" xfId="1379" applyFont="1" applyBorder="1" applyAlignment="1">
      <alignment horizontal="left"/>
    </xf>
    <xf numFmtId="49" fontId="29" fillId="27" borderId="51" xfId="60" applyNumberFormat="1" applyFont="1" applyFill="1" applyBorder="1" applyAlignment="1">
      <alignment horizontal="left" vertical="center" wrapText="1"/>
    </xf>
    <xf numFmtId="0" fontId="0" fillId="0" borderId="0" xfId="0" applyFill="1"/>
    <xf numFmtId="0" fontId="5" fillId="27" borderId="66" xfId="0" applyFont="1" applyFill="1" applyBorder="1" applyAlignment="1">
      <alignment horizontal="center" vertical="center"/>
    </xf>
    <xf numFmtId="0" fontId="0" fillId="27" borderId="66" xfId="79" applyFont="1" applyFill="1" applyBorder="1" applyAlignment="1">
      <alignment horizontal="center" vertical="center" wrapText="1"/>
    </xf>
    <xf numFmtId="0" fontId="0" fillId="0" borderId="229" xfId="0" applyFont="1" applyFill="1" applyBorder="1" applyAlignment="1"/>
    <xf numFmtId="0" fontId="0" fillId="0" borderId="33" xfId="0" applyFont="1" applyFill="1" applyBorder="1" applyAlignment="1"/>
    <xf numFmtId="49" fontId="0" fillId="0" borderId="228" xfId="0" applyNumberFormat="1" applyFont="1" applyFill="1" applyBorder="1" applyAlignment="1">
      <alignment horizontal="center" vertical="center" wrapText="1"/>
    </xf>
    <xf numFmtId="1" fontId="0" fillId="0" borderId="228" xfId="0" applyNumberFormat="1" applyFont="1" applyFill="1" applyBorder="1" applyAlignment="1">
      <alignment horizontal="center" vertical="center" wrapText="1"/>
    </xf>
    <xf numFmtId="0" fontId="0" fillId="0" borderId="228" xfId="0" applyFont="1" applyBorder="1" applyAlignment="1">
      <alignment horizontal="center" vertical="center" wrapText="1"/>
    </xf>
    <xf numFmtId="0" fontId="0" fillId="0" borderId="228" xfId="0" applyFont="1" applyFill="1" applyBorder="1" applyAlignment="1">
      <alignment horizontal="center" vertical="center" wrapText="1"/>
    </xf>
    <xf numFmtId="0" fontId="0" fillId="0" borderId="41" xfId="0" applyFont="1" applyBorder="1" applyAlignment="1">
      <alignment horizontal="center" vertical="center"/>
    </xf>
    <xf numFmtId="0" fontId="29" fillId="0" borderId="230" xfId="0" applyFont="1" applyFill="1" applyBorder="1" applyAlignment="1">
      <alignment horizontal="left" vertical="center"/>
    </xf>
    <xf numFmtId="0" fontId="0" fillId="27" borderId="231" xfId="0" applyFont="1" applyFill="1" applyBorder="1" applyAlignment="1">
      <alignment horizontal="center"/>
    </xf>
    <xf numFmtId="49" fontId="30" fillId="25" borderId="232" xfId="62" applyNumberFormat="1" applyFont="1" applyFill="1" applyBorder="1" applyAlignment="1">
      <alignment vertical="center" wrapText="1"/>
    </xf>
    <xf numFmtId="0" fontId="0" fillId="25" borderId="232" xfId="0" applyFont="1" applyFill="1" applyBorder="1" applyAlignment="1">
      <alignment vertical="center"/>
    </xf>
    <xf numFmtId="0" fontId="0" fillId="25" borderId="232" xfId="0" applyFont="1" applyFill="1" applyBorder="1" applyAlignment="1">
      <alignment horizontal="left" vertical="center"/>
    </xf>
    <xf numFmtId="49" fontId="30" fillId="25" borderId="232" xfId="62" applyNumberFormat="1" applyFont="1" applyFill="1" applyBorder="1" applyAlignment="1">
      <alignment horizontal="center" vertical="center" wrapText="1"/>
    </xf>
    <xf numFmtId="0" fontId="0" fillId="25" borderId="232" xfId="0" applyFont="1" applyFill="1" applyBorder="1" applyAlignment="1">
      <alignment vertical="center" wrapText="1"/>
    </xf>
    <xf numFmtId="10" fontId="30" fillId="27" borderId="66" xfId="62" applyNumberFormat="1" applyFont="1" applyFill="1" applyBorder="1" applyAlignment="1">
      <alignment horizontal="center" vertical="center"/>
    </xf>
    <xf numFmtId="0" fontId="30" fillId="25" borderId="232" xfId="0" applyFont="1" applyFill="1" applyBorder="1" applyAlignment="1">
      <alignment vertical="center" wrapText="1"/>
    </xf>
    <xf numFmtId="49" fontId="30" fillId="25" borderId="232" xfId="59" applyNumberFormat="1" applyFont="1" applyFill="1" applyBorder="1" applyAlignment="1">
      <alignment horizontal="left" vertical="center"/>
    </xf>
    <xf numFmtId="49" fontId="29" fillId="0" borderId="51" xfId="62" applyNumberFormat="1" applyFont="1" applyFill="1" applyBorder="1" applyAlignment="1">
      <alignment horizontal="center" vertical="center"/>
    </xf>
    <xf numFmtId="49" fontId="30" fillId="0" borderId="21" xfId="62" applyNumberFormat="1" applyFont="1" applyFill="1" applyBorder="1" applyAlignment="1">
      <alignment horizontal="center" vertical="center" wrapText="1"/>
    </xf>
    <xf numFmtId="49" fontId="30" fillId="0" borderId="19" xfId="62" applyNumberFormat="1" applyFont="1" applyFill="1" applyBorder="1" applyAlignment="1">
      <alignment horizontal="center" vertical="center" wrapText="1"/>
    </xf>
    <xf numFmtId="0" fontId="0" fillId="0" borderId="232" xfId="0" applyFont="1" applyFill="1" applyBorder="1"/>
    <xf numFmtId="0" fontId="0" fillId="27" borderId="66" xfId="0" applyNumberFormat="1" applyFont="1" applyFill="1" applyBorder="1" applyAlignment="1">
      <alignment horizontal="center" vertical="center" wrapText="1"/>
    </xf>
    <xf numFmtId="0" fontId="30" fillId="28" borderId="66" xfId="62" applyNumberFormat="1" applyFont="1" applyFill="1" applyBorder="1" applyAlignment="1">
      <alignment horizontal="center" vertical="center"/>
    </xf>
    <xf numFmtId="0" fontId="42" fillId="0" borderId="233" xfId="0" applyFont="1" applyFill="1" applyBorder="1" applyAlignment="1">
      <alignment wrapText="1"/>
    </xf>
    <xf numFmtId="0" fontId="30" fillId="0" borderId="232" xfId="0" applyFont="1" applyBorder="1"/>
    <xf numFmtId="0" fontId="30" fillId="0" borderId="232" xfId="0" applyFont="1" applyBorder="1" applyAlignment="1">
      <alignment horizontal="right"/>
    </xf>
    <xf numFmtId="0" fontId="29" fillId="0" borderId="234" xfId="0" applyFont="1" applyFill="1" applyBorder="1" applyAlignment="1">
      <alignment horizontal="left" vertical="center"/>
    </xf>
    <xf numFmtId="0" fontId="30" fillId="27" borderId="234" xfId="0" applyFont="1" applyFill="1" applyBorder="1"/>
    <xf numFmtId="0" fontId="0" fillId="27" borderId="232" xfId="0" applyFill="1" applyBorder="1"/>
    <xf numFmtId="0" fontId="45" fillId="27" borderId="69" xfId="0" applyFont="1" applyFill="1" applyBorder="1" applyAlignment="1">
      <alignment horizontal="center" vertical="center" wrapText="1"/>
    </xf>
    <xf numFmtId="0" fontId="45" fillId="27" borderId="66" xfId="0" applyFont="1" applyFill="1" applyBorder="1" applyAlignment="1">
      <alignment horizontal="center" vertical="center" wrapText="1"/>
    </xf>
    <xf numFmtId="0" fontId="36" fillId="27" borderId="66" xfId="0" applyFont="1" applyFill="1" applyBorder="1" applyAlignment="1">
      <alignment horizontal="center" vertical="center" wrapText="1"/>
    </xf>
    <xf numFmtId="0" fontId="45" fillId="27" borderId="70" xfId="0" applyFont="1" applyFill="1" applyBorder="1" applyAlignment="1">
      <alignment horizontal="center" vertical="center" wrapText="1"/>
    </xf>
    <xf numFmtId="0" fontId="35" fillId="27" borderId="66" xfId="0" applyFont="1" applyFill="1" applyBorder="1" applyAlignment="1"/>
    <xf numFmtId="17" fontId="0" fillId="27" borderId="232" xfId="0" applyNumberFormat="1" applyFont="1" applyFill="1" applyBorder="1" applyAlignment="1">
      <alignment vertical="center" wrapText="1"/>
    </xf>
    <xf numFmtId="0" fontId="0" fillId="27" borderId="232" xfId="0" applyFont="1" applyFill="1" applyBorder="1" applyAlignment="1">
      <alignment horizontal="center" vertical="center" wrapText="1"/>
    </xf>
    <xf numFmtId="0" fontId="59" fillId="0" borderId="0" xfId="80" applyFont="1" applyFill="1"/>
    <xf numFmtId="0" fontId="0" fillId="0" borderId="232" xfId="0" applyFont="1" applyFill="1" applyBorder="1" applyAlignment="1">
      <alignment horizontal="center" vertical="center"/>
    </xf>
    <xf numFmtId="49" fontId="0" fillId="0" borderId="232" xfId="0" applyNumberFormat="1" applyFont="1" applyFill="1" applyBorder="1" applyAlignment="1">
      <alignment horizontal="center" vertical="center" wrapText="1"/>
    </xf>
    <xf numFmtId="49" fontId="0" fillId="27" borderId="232" xfId="0" applyNumberFormat="1" applyFont="1" applyFill="1" applyBorder="1" applyAlignment="1">
      <alignment horizontal="center" vertical="center"/>
    </xf>
    <xf numFmtId="49" fontId="0" fillId="0" borderId="232" xfId="0" applyNumberFormat="1" applyFont="1" applyFill="1" applyBorder="1" applyAlignment="1">
      <alignment horizontal="center" vertical="center"/>
    </xf>
    <xf numFmtId="0" fontId="0" fillId="0" borderId="232" xfId="0" applyFont="1" applyFill="1" applyBorder="1" applyAlignment="1">
      <alignment vertical="center"/>
    </xf>
    <xf numFmtId="49" fontId="0" fillId="0" borderId="232" xfId="60" applyNumberFormat="1" applyFont="1" applyFill="1" applyBorder="1" applyAlignment="1">
      <alignment vertical="center" wrapText="1"/>
    </xf>
    <xf numFmtId="49" fontId="0" fillId="0" borderId="232" xfId="60" applyNumberFormat="1" applyFont="1" applyFill="1" applyBorder="1" applyAlignment="1">
      <alignment horizontal="center" vertical="center"/>
    </xf>
    <xf numFmtId="9" fontId="0" fillId="0" borderId="232" xfId="60" applyNumberFormat="1" applyFont="1" applyFill="1" applyBorder="1" applyAlignment="1">
      <alignment horizontal="center" vertical="center" wrapText="1"/>
    </xf>
    <xf numFmtId="49" fontId="0" fillId="0" borderId="232" xfId="60" applyNumberFormat="1" applyFont="1" applyFill="1" applyBorder="1" applyAlignment="1">
      <alignment horizontal="center" vertical="center" wrapText="1"/>
    </xf>
    <xf numFmtId="0" fontId="0" fillId="0" borderId="232" xfId="0" applyFont="1" applyBorder="1" applyAlignment="1">
      <alignment wrapText="1"/>
    </xf>
    <xf numFmtId="9" fontId="0" fillId="27" borderId="232" xfId="60" applyNumberFormat="1" applyFont="1" applyFill="1" applyBorder="1" applyAlignment="1">
      <alignment horizontal="center" vertical="center" wrapText="1"/>
    </xf>
    <xf numFmtId="0" fontId="0" fillId="0" borderId="232" xfId="0" applyFont="1" applyBorder="1"/>
    <xf numFmtId="0" fontId="0" fillId="27" borderId="232" xfId="0" applyFont="1" applyFill="1" applyBorder="1"/>
    <xf numFmtId="49" fontId="0" fillId="0" borderId="238" xfId="62" applyNumberFormat="1" applyFont="1" applyFill="1" applyBorder="1" applyAlignment="1">
      <alignment vertical="center" wrapText="1"/>
    </xf>
    <xf numFmtId="49" fontId="0" fillId="27" borderId="232" xfId="60" applyNumberFormat="1" applyFont="1" applyFill="1" applyBorder="1" applyAlignment="1">
      <alignment vertical="center" wrapText="1"/>
    </xf>
    <xf numFmtId="0" fontId="0" fillId="0" borderId="232" xfId="0" applyFill="1" applyBorder="1" applyAlignment="1">
      <alignment horizontal="center" vertical="center"/>
    </xf>
    <xf numFmtId="49" fontId="0" fillId="0" borderId="239" xfId="62" applyNumberFormat="1" applyFont="1" applyFill="1" applyBorder="1" applyAlignment="1">
      <alignment vertical="center" wrapText="1"/>
    </xf>
    <xf numFmtId="49" fontId="0" fillId="0" borderId="232" xfId="60" applyNumberFormat="1" applyFont="1" applyFill="1" applyBorder="1" applyAlignment="1">
      <alignment vertical="center"/>
    </xf>
    <xf numFmtId="49" fontId="0" fillId="0" borderId="240" xfId="62" applyNumberFormat="1" applyFont="1" applyFill="1" applyBorder="1" applyAlignment="1">
      <alignment vertical="center" wrapText="1"/>
    </xf>
    <xf numFmtId="49" fontId="0" fillId="0" borderId="241" xfId="62" applyNumberFormat="1" applyFont="1" applyFill="1" applyBorder="1" applyAlignment="1">
      <alignment vertical="center" wrapText="1"/>
    </xf>
    <xf numFmtId="49" fontId="0" fillId="0" borderId="242" xfId="62" applyNumberFormat="1" applyFont="1" applyFill="1" applyBorder="1" applyAlignment="1">
      <alignment vertical="center" wrapText="1"/>
    </xf>
    <xf numFmtId="49" fontId="30" fillId="0" borderId="238" xfId="62" applyNumberFormat="1" applyFont="1" applyFill="1" applyBorder="1" applyAlignment="1">
      <alignment vertical="center" wrapText="1"/>
    </xf>
    <xf numFmtId="49" fontId="0" fillId="0" borderId="232" xfId="0" applyNumberFormat="1" applyFont="1" applyFill="1" applyBorder="1" applyAlignment="1">
      <alignment horizontal="left" vertical="center"/>
    </xf>
    <xf numFmtId="0" fontId="0" fillId="0" borderId="232" xfId="0" applyFont="1" applyFill="1" applyBorder="1" applyAlignment="1">
      <alignment horizontal="left" vertical="center"/>
    </xf>
    <xf numFmtId="9" fontId="30" fillId="0" borderId="232" xfId="0" applyNumberFormat="1" applyFont="1" applyFill="1" applyBorder="1" applyAlignment="1">
      <alignment horizontal="center" vertical="center"/>
    </xf>
    <xf numFmtId="9" fontId="30" fillId="27" borderId="232" xfId="0" applyNumberFormat="1" applyFont="1" applyFill="1" applyBorder="1" applyAlignment="1">
      <alignment horizontal="center" vertical="center"/>
    </xf>
    <xf numFmtId="9" fontId="30" fillId="0" borderId="232" xfId="0" applyNumberFormat="1" applyFont="1" applyBorder="1" applyAlignment="1">
      <alignment horizontal="center" vertical="center"/>
    </xf>
    <xf numFmtId="49" fontId="0" fillId="0" borderId="243" xfId="62" applyNumberFormat="1" applyFont="1" applyFill="1" applyBorder="1" applyAlignment="1">
      <alignment vertical="center" wrapText="1"/>
    </xf>
    <xf numFmtId="49" fontId="0" fillId="0" borderId="244" xfId="62" applyNumberFormat="1" applyFont="1" applyFill="1" applyBorder="1" applyAlignment="1">
      <alignment vertical="center" wrapText="1"/>
    </xf>
    <xf numFmtId="49" fontId="0" fillId="0" borderId="232" xfId="62" applyNumberFormat="1" applyFont="1" applyFill="1" applyBorder="1" applyAlignment="1">
      <alignment vertical="center" wrapText="1"/>
    </xf>
    <xf numFmtId="0" fontId="30" fillId="0" borderId="232" xfId="0" applyFont="1" applyFill="1" applyBorder="1"/>
    <xf numFmtId="49" fontId="0" fillId="0" borderId="245" xfId="62" applyNumberFormat="1" applyFont="1" applyFill="1" applyBorder="1" applyAlignment="1">
      <alignment vertical="center" wrapText="1"/>
    </xf>
    <xf numFmtId="9" fontId="0" fillId="27" borderId="246" xfId="60" applyNumberFormat="1" applyFont="1" applyFill="1" applyBorder="1" applyAlignment="1">
      <alignment horizontal="center" vertical="center" wrapText="1"/>
    </xf>
    <xf numFmtId="49" fontId="0" fillId="27" borderId="246" xfId="60" applyNumberFormat="1" applyFont="1" applyFill="1" applyBorder="1" applyAlignment="1">
      <alignment vertical="center" wrapText="1"/>
    </xf>
    <xf numFmtId="0" fontId="0" fillId="0" borderId="246" xfId="0" applyFont="1" applyFill="1" applyBorder="1" applyAlignment="1">
      <alignment horizontal="center" vertical="center"/>
    </xf>
    <xf numFmtId="49" fontId="0" fillId="0" borderId="246" xfId="0" applyNumberFormat="1" applyFont="1" applyFill="1" applyBorder="1" applyAlignment="1">
      <alignment horizontal="center" vertical="center" wrapText="1"/>
    </xf>
    <xf numFmtId="49" fontId="0" fillId="27" borderId="246" xfId="0" applyNumberFormat="1" applyFont="1" applyFill="1" applyBorder="1" applyAlignment="1">
      <alignment horizontal="center" vertical="center"/>
    </xf>
    <xf numFmtId="14" fontId="0" fillId="27" borderId="66" xfId="0" applyNumberFormat="1" applyFont="1" applyFill="1" applyBorder="1" applyAlignment="1">
      <alignment horizontal="center" vertical="center" wrapText="1"/>
    </xf>
    <xf numFmtId="0" fontId="0" fillId="27" borderId="66" xfId="0" applyFont="1" applyFill="1" applyBorder="1" applyAlignment="1">
      <alignment vertical="center" wrapText="1"/>
    </xf>
    <xf numFmtId="0" fontId="0" fillId="27" borderId="246" xfId="0" applyFont="1" applyFill="1" applyBorder="1" applyAlignment="1">
      <alignment vertical="center" wrapText="1"/>
    </xf>
    <xf numFmtId="0" fontId="0" fillId="27" borderId="246" xfId="0" applyFont="1" applyFill="1" applyBorder="1" applyAlignment="1">
      <alignment horizontal="center" vertical="center" wrapText="1"/>
    </xf>
    <xf numFmtId="14" fontId="0" fillId="27" borderId="246" xfId="0" applyNumberFormat="1" applyFont="1" applyFill="1" applyBorder="1" applyAlignment="1">
      <alignment horizontal="center" vertical="center" wrapText="1"/>
    </xf>
    <xf numFmtId="0" fontId="0" fillId="0" borderId="66" xfId="0" applyFont="1" applyFill="1" applyBorder="1" applyAlignment="1">
      <alignment horizontal="center"/>
    </xf>
    <xf numFmtId="49" fontId="35" fillId="0" borderId="23" xfId="0" applyNumberFormat="1" applyFont="1" applyFill="1" applyBorder="1" applyAlignment="1">
      <alignment horizontal="center" vertical="center" wrapText="1"/>
    </xf>
    <xf numFmtId="0" fontId="0" fillId="0" borderId="69" xfId="0" applyFont="1" applyBorder="1" applyAlignment="1">
      <alignment wrapText="1"/>
    </xf>
    <xf numFmtId="0" fontId="35" fillId="25" borderId="23" xfId="0" applyNumberFormat="1" applyFont="1" applyFill="1" applyBorder="1" applyAlignment="1">
      <alignment horizontal="center" vertical="center" wrapText="1"/>
    </xf>
    <xf numFmtId="2" fontId="0" fillId="0" borderId="246" xfId="0" applyNumberFormat="1" applyFont="1" applyFill="1" applyBorder="1" applyAlignment="1">
      <alignment vertical="center" wrapText="1"/>
    </xf>
    <xf numFmtId="0" fontId="35" fillId="0" borderId="23" xfId="0" applyNumberFormat="1" applyFont="1" applyFill="1" applyBorder="1" applyAlignment="1">
      <alignment horizontal="center" vertical="center" wrapText="1"/>
    </xf>
    <xf numFmtId="49" fontId="35" fillId="0" borderId="22" xfId="0" applyNumberFormat="1" applyFont="1" applyFill="1" applyBorder="1" applyAlignment="1">
      <alignment horizontal="center" vertical="center" wrapText="1"/>
    </xf>
    <xf numFmtId="49" fontId="0" fillId="0" borderId="23" xfId="0" applyNumberFormat="1" applyFont="1" applyFill="1" applyBorder="1" applyAlignment="1">
      <alignment horizontal="center" vertical="center" wrapText="1"/>
    </xf>
    <xf numFmtId="0" fontId="35" fillId="0" borderId="246" xfId="78" applyFont="1" applyFill="1" applyBorder="1" applyAlignment="1">
      <alignment horizontal="center" vertical="center" wrapText="1"/>
    </xf>
    <xf numFmtId="0" fontId="30" fillId="0" borderId="246" xfId="57" applyFont="1" applyFill="1" applyBorder="1" applyAlignment="1">
      <alignment horizontal="center" wrapText="1"/>
    </xf>
    <xf numFmtId="0" fontId="35" fillId="0" borderId="246" xfId="57" applyFont="1" applyBorder="1" applyAlignment="1">
      <alignment horizontal="center" vertical="center" wrapText="1"/>
    </xf>
    <xf numFmtId="0" fontId="35" fillId="0" borderId="246" xfId="57" applyFont="1" applyFill="1" applyBorder="1" applyAlignment="1">
      <alignment horizontal="center" wrapText="1"/>
    </xf>
    <xf numFmtId="0" fontId="35" fillId="0" borderId="0" xfId="57" applyFont="1" applyBorder="1" applyAlignment="1">
      <alignment horizontal="center" vertical="center" wrapText="1"/>
    </xf>
    <xf numFmtId="0" fontId="37" fillId="0" borderId="0" xfId="57" applyFont="1" applyBorder="1" applyAlignment="1">
      <alignment horizontal="center" vertical="center" wrapText="1"/>
    </xf>
    <xf numFmtId="0" fontId="37" fillId="0" borderId="0" xfId="57" applyFont="1" applyBorder="1" applyAlignment="1">
      <alignment horizontal="center" wrapText="1"/>
    </xf>
    <xf numFmtId="0" fontId="30" fillId="25" borderId="246" xfId="0" applyFont="1" applyFill="1" applyBorder="1" applyAlignment="1">
      <alignment horizontal="center" vertical="center"/>
    </xf>
    <xf numFmtId="0" fontId="55" fillId="0" borderId="246" xfId="0" applyFont="1" applyFill="1" applyBorder="1" applyAlignment="1">
      <alignment horizontal="center" vertical="center" wrapText="1"/>
    </xf>
    <xf numFmtId="0" fontId="0" fillId="25" borderId="246" xfId="0" applyFill="1" applyBorder="1" applyAlignment="1">
      <alignment horizontal="center" vertical="center"/>
    </xf>
    <xf numFmtId="0" fontId="0" fillId="25" borderId="246" xfId="0" applyFill="1" applyBorder="1" applyAlignment="1">
      <alignment horizontal="center" vertical="center" wrapText="1"/>
    </xf>
    <xf numFmtId="0" fontId="30" fillId="25" borderId="246" xfId="0" applyFont="1" applyFill="1" applyBorder="1" applyAlignment="1">
      <alignment horizontal="center" vertical="center" wrapText="1"/>
    </xf>
    <xf numFmtId="0" fontId="55" fillId="25" borderId="246" xfId="0" applyFont="1" applyFill="1" applyBorder="1" applyAlignment="1">
      <alignment horizontal="center" vertical="center" wrapText="1"/>
    </xf>
    <xf numFmtId="0" fontId="36" fillId="0" borderId="246" xfId="57" applyFont="1" applyFill="1" applyBorder="1" applyAlignment="1">
      <alignment wrapText="1"/>
    </xf>
    <xf numFmtId="0" fontId="35" fillId="0" borderId="246" xfId="57" applyFont="1" applyFill="1" applyBorder="1" applyAlignment="1">
      <alignment wrapText="1"/>
    </xf>
    <xf numFmtId="0" fontId="35" fillId="0" borderId="246" xfId="57" applyFont="1" applyBorder="1" applyAlignment="1">
      <alignment wrapText="1"/>
    </xf>
    <xf numFmtId="0" fontId="0" fillId="0" borderId="246" xfId="0" applyBorder="1" applyAlignment="1">
      <alignment horizontal="center" vertical="center"/>
    </xf>
    <xf numFmtId="0" fontId="0" fillId="0" borderId="66" xfId="0" applyFill="1" applyBorder="1" applyAlignment="1">
      <alignment horizontal="left" vertical="center"/>
    </xf>
    <xf numFmtId="0" fontId="0" fillId="0" borderId="66" xfId="0" applyFill="1" applyBorder="1" applyAlignment="1">
      <alignment horizontal="left" vertical="center" wrapText="1"/>
    </xf>
    <xf numFmtId="0" fontId="0" fillId="0" borderId="66" xfId="0" applyFont="1" applyFill="1" applyBorder="1" applyAlignment="1">
      <alignment horizontal="left" vertical="center"/>
    </xf>
    <xf numFmtId="0" fontId="0" fillId="0" borderId="246" xfId="0" applyFont="1" applyFill="1" applyBorder="1" applyAlignment="1">
      <alignment horizontal="left" vertical="center"/>
    </xf>
    <xf numFmtId="0" fontId="0" fillId="0" borderId="246" xfId="0" applyFill="1" applyBorder="1" applyAlignment="1">
      <alignment horizontal="center" wrapText="1"/>
    </xf>
    <xf numFmtId="0" fontId="0" fillId="0" borderId="246" xfId="0" applyFill="1" applyBorder="1" applyAlignment="1">
      <alignment horizontal="center" vertical="center"/>
    </xf>
    <xf numFmtId="0" fontId="0" fillId="0" borderId="246" xfId="0" applyBorder="1" applyAlignment="1">
      <alignment horizontal="center" vertical="center" wrapText="1"/>
    </xf>
    <xf numFmtId="0" fontId="0" fillId="0" borderId="66" xfId="0" applyFont="1" applyFill="1" applyBorder="1" applyAlignment="1">
      <alignment horizontal="left" vertical="center" wrapText="1"/>
    </xf>
    <xf numFmtId="0" fontId="0" fillId="0" borderId="246" xfId="0" applyBorder="1" applyAlignment="1">
      <alignment horizontal="center"/>
    </xf>
    <xf numFmtId="0" fontId="0" fillId="0" borderId="246" xfId="0" applyFill="1" applyBorder="1" applyAlignment="1">
      <alignment horizontal="center"/>
    </xf>
    <xf numFmtId="0" fontId="0" fillId="0" borderId="246" xfId="0" applyBorder="1" applyAlignment="1">
      <alignment horizontal="left"/>
    </xf>
    <xf numFmtId="0" fontId="0" fillId="0" borderId="246" xfId="0" applyBorder="1" applyAlignment="1">
      <alignment horizontal="left" wrapText="1"/>
    </xf>
    <xf numFmtId="0" fontId="0" fillId="25" borderId="66" xfId="0" applyFont="1" applyFill="1" applyBorder="1" applyAlignment="1">
      <alignment horizontal="left" vertical="center" wrapText="1"/>
    </xf>
    <xf numFmtId="0" fontId="0" fillId="0" borderId="246" xfId="0" applyFont="1" applyBorder="1" applyAlignment="1">
      <alignment horizontal="center"/>
    </xf>
    <xf numFmtId="0" fontId="0" fillId="25" borderId="246" xfId="0" applyFont="1" applyFill="1" applyBorder="1" applyAlignment="1">
      <alignment horizontal="center"/>
    </xf>
    <xf numFmtId="0" fontId="0" fillId="0" borderId="246" xfId="0" applyFont="1" applyFill="1" applyBorder="1" applyAlignment="1">
      <alignment horizontal="center"/>
    </xf>
    <xf numFmtId="0" fontId="0" fillId="25" borderId="246" xfId="0" applyFont="1" applyFill="1" applyBorder="1" applyAlignment="1">
      <alignment horizontal="left" vertical="center" wrapText="1"/>
    </xf>
    <xf numFmtId="0" fontId="0" fillId="0" borderId="246" xfId="0" applyFont="1" applyFill="1" applyBorder="1" applyAlignment="1">
      <alignment vertical="top" wrapText="1"/>
    </xf>
    <xf numFmtId="0" fontId="52" fillId="0" borderId="42" xfId="0" applyFont="1" applyBorder="1" applyAlignment="1">
      <alignment horizontal="center"/>
    </xf>
    <xf numFmtId="0" fontId="52" fillId="27" borderId="11" xfId="0" applyFont="1" applyFill="1" applyBorder="1" applyAlignment="1">
      <alignment horizontal="center"/>
    </xf>
    <xf numFmtId="0" fontId="5" fillId="0" borderId="246" xfId="0" applyFont="1" applyFill="1" applyBorder="1" applyAlignment="1">
      <alignment horizontal="center" vertical="center"/>
    </xf>
    <xf numFmtId="0" fontId="5" fillId="0" borderId="246" xfId="0" applyFont="1" applyFill="1" applyBorder="1" applyAlignment="1">
      <alignment vertical="center" wrapText="1"/>
    </xf>
    <xf numFmtId="0" fontId="35" fillId="25" borderId="246" xfId="67" applyFont="1" applyFill="1" applyBorder="1" applyAlignment="1">
      <alignment horizontal="left" vertical="center"/>
    </xf>
    <xf numFmtId="0" fontId="5" fillId="0" borderId="246" xfId="0" applyFont="1" applyFill="1" applyBorder="1" applyAlignment="1">
      <alignment horizontal="center" vertical="center" wrapText="1"/>
    </xf>
    <xf numFmtId="49" fontId="5" fillId="27" borderId="66" xfId="60" applyNumberFormat="1" applyFont="1" applyFill="1" applyBorder="1" applyAlignment="1">
      <alignment horizontal="center" vertical="center" wrapText="1"/>
    </xf>
    <xf numFmtId="17" fontId="0" fillId="27" borderId="246" xfId="0" applyNumberFormat="1" applyFont="1" applyFill="1" applyBorder="1" applyAlignment="1">
      <alignment horizontal="center" vertical="center" wrapText="1"/>
    </xf>
    <xf numFmtId="49" fontId="5" fillId="27" borderId="246" xfId="60" applyNumberFormat="1" applyFont="1" applyFill="1" applyBorder="1" applyAlignment="1">
      <alignment horizontal="center" vertical="center" wrapText="1"/>
    </xf>
    <xf numFmtId="0" fontId="30" fillId="0" borderId="246" xfId="0" applyFont="1" applyBorder="1" applyAlignment="1">
      <alignment horizontal="center"/>
    </xf>
    <xf numFmtId="0" fontId="0" fillId="0" borderId="246" xfId="0" applyFont="1" applyBorder="1" applyAlignment="1">
      <alignment horizontal="center" wrapText="1"/>
    </xf>
    <xf numFmtId="0" fontId="29" fillId="25" borderId="51" xfId="0" applyFont="1" applyFill="1" applyBorder="1" applyAlignment="1">
      <alignment horizontal="center" vertical="center" wrapText="1"/>
    </xf>
    <xf numFmtId="0" fontId="44" fillId="27" borderId="236" xfId="0" applyFont="1" applyFill="1" applyBorder="1" applyAlignment="1">
      <alignment horizontal="center" vertical="center" wrapText="1" shrinkToFit="1"/>
    </xf>
    <xf numFmtId="0" fontId="2" fillId="0" borderId="0" xfId="1379" applyFill="1" applyBorder="1"/>
    <xf numFmtId="0" fontId="1" fillId="0" borderId="15" xfId="1379" applyFont="1" applyBorder="1" applyAlignment="1">
      <alignment horizontal="center"/>
    </xf>
    <xf numFmtId="0" fontId="1" fillId="0" borderId="0" xfId="1379" applyFont="1" applyFill="1" applyBorder="1" applyAlignment="1">
      <alignment horizontal="center"/>
    </xf>
    <xf numFmtId="0" fontId="29" fillId="0" borderId="230" xfId="1379" applyFont="1" applyFill="1" applyBorder="1" applyAlignment="1">
      <alignment horizontal="left" vertical="center"/>
    </xf>
    <xf numFmtId="0" fontId="1" fillId="27" borderId="231" xfId="1379" applyFont="1" applyFill="1" applyBorder="1" applyAlignment="1">
      <alignment horizontal="center"/>
    </xf>
    <xf numFmtId="49" fontId="29" fillId="0" borderId="0" xfId="60" applyNumberFormat="1" applyFont="1" applyFill="1" applyBorder="1" applyAlignment="1">
      <alignment horizontal="center" vertical="center" wrapText="1"/>
    </xf>
    <xf numFmtId="0" fontId="1" fillId="0" borderId="66" xfId="1379" applyFont="1" applyFill="1" applyBorder="1" applyAlignment="1" applyProtection="1">
      <alignment horizontal="center"/>
    </xf>
    <xf numFmtId="49" fontId="1" fillId="0" borderId="66" xfId="60" applyNumberFormat="1" applyFont="1" applyFill="1" applyBorder="1" applyAlignment="1">
      <alignment horizontal="left" vertical="center"/>
    </xf>
    <xf numFmtId="0" fontId="1" fillId="27" borderId="66" xfId="62" applyNumberFormat="1" applyFont="1" applyFill="1" applyBorder="1" applyAlignment="1">
      <alignment horizontal="center" vertical="center"/>
    </xf>
    <xf numFmtId="9" fontId="1" fillId="27" borderId="66" xfId="1380" applyFont="1" applyFill="1" applyBorder="1" applyAlignment="1">
      <alignment horizontal="center" vertical="center"/>
    </xf>
    <xf numFmtId="0" fontId="1" fillId="27" borderId="66" xfId="62" applyNumberFormat="1" applyFont="1" applyFill="1" applyBorder="1" applyAlignment="1">
      <alignment horizontal="center" vertical="center" wrapText="1"/>
    </xf>
    <xf numFmtId="2" fontId="0" fillId="0" borderId="29" xfId="62" applyNumberFormat="1" applyFont="1" applyFill="1" applyBorder="1" applyAlignment="1">
      <alignment horizontal="center" vertical="center"/>
    </xf>
    <xf numFmtId="49" fontId="30" fillId="30" borderId="232" xfId="62" applyNumberFormat="1" applyFont="1" applyFill="1" applyBorder="1" applyAlignment="1">
      <alignment vertical="center"/>
    </xf>
    <xf numFmtId="49" fontId="30" fillId="30" borderId="248" xfId="62" applyNumberFormat="1" applyFont="1" applyFill="1" applyBorder="1" applyAlignment="1">
      <alignment vertical="center"/>
    </xf>
    <xf numFmtId="0" fontId="30" fillId="0" borderId="0" xfId="62" applyNumberFormat="1" applyFont="1" applyFill="1" applyBorder="1" applyAlignment="1">
      <alignment horizontal="center" vertical="center"/>
    </xf>
    <xf numFmtId="49" fontId="30" fillId="30" borderId="246" xfId="62" applyNumberFormat="1" applyFont="1" applyFill="1" applyBorder="1" applyAlignment="1">
      <alignment vertical="center"/>
    </xf>
    <xf numFmtId="0" fontId="1" fillId="30" borderId="246" xfId="1379" applyFont="1" applyFill="1" applyBorder="1" applyAlignment="1"/>
    <xf numFmtId="0" fontId="1" fillId="30" borderId="248" xfId="1379" applyFont="1" applyFill="1" applyBorder="1" applyAlignment="1"/>
    <xf numFmtId="49" fontId="30" fillId="25" borderId="246" xfId="62" applyNumberFormat="1" applyFont="1" applyFill="1" applyBorder="1" applyAlignment="1">
      <alignment horizontal="left" vertical="center"/>
    </xf>
    <xf numFmtId="0" fontId="0" fillId="25" borderId="246" xfId="0" applyFont="1" applyFill="1" applyBorder="1" applyAlignment="1"/>
    <xf numFmtId="0" fontId="0" fillId="27" borderId="66" xfId="62" applyNumberFormat="1" applyFont="1" applyFill="1" applyBorder="1" applyAlignment="1">
      <alignment horizontal="center" vertical="center"/>
    </xf>
    <xf numFmtId="9" fontId="30" fillId="27" borderId="246" xfId="85" applyFont="1" applyFill="1" applyBorder="1" applyAlignment="1">
      <alignment horizontal="center" vertical="center"/>
    </xf>
    <xf numFmtId="49" fontId="0" fillId="0" borderId="66" xfId="60" applyNumberFormat="1" applyFont="1" applyFill="1" applyBorder="1" applyAlignment="1">
      <alignment horizontal="left" vertical="center"/>
    </xf>
    <xf numFmtId="0" fontId="1" fillId="0" borderId="0" xfId="62" applyNumberFormat="1" applyFont="1" applyFill="1" applyBorder="1" applyAlignment="1">
      <alignment horizontal="center" vertical="center" wrapText="1"/>
    </xf>
    <xf numFmtId="49" fontId="0" fillId="25" borderId="66" xfId="62" applyNumberFormat="1" applyFont="1" applyFill="1" applyBorder="1" applyAlignment="1">
      <alignment vertical="center"/>
    </xf>
    <xf numFmtId="0" fontId="0" fillId="0" borderId="0" xfId="0" applyFont="1" applyFill="1" applyBorder="1" applyAlignment="1">
      <alignment horizontal="center"/>
    </xf>
    <xf numFmtId="0" fontId="30" fillId="0" borderId="0" xfId="0" applyFont="1" applyFill="1"/>
    <xf numFmtId="0" fontId="86" fillId="0" borderId="0" xfId="0" applyFont="1" applyFill="1"/>
    <xf numFmtId="0" fontId="29" fillId="0" borderId="249" xfId="0" applyFont="1" applyFill="1" applyBorder="1" applyAlignment="1">
      <alignment horizontal="left" vertical="center"/>
    </xf>
    <xf numFmtId="0" fontId="35" fillId="0" borderId="0" xfId="0" applyFont="1" applyFill="1" applyBorder="1" applyAlignment="1">
      <alignment vertical="top"/>
    </xf>
    <xf numFmtId="0" fontId="35" fillId="0" borderId="0" xfId="0" applyFont="1" applyFill="1" applyBorder="1" applyAlignment="1">
      <alignment vertical="top" wrapText="1"/>
    </xf>
    <xf numFmtId="0" fontId="30" fillId="0" borderId="0" xfId="0" applyFont="1" applyFill="1" applyBorder="1" applyAlignment="1">
      <alignment horizontal="left" vertical="top" wrapText="1"/>
    </xf>
    <xf numFmtId="0" fontId="86" fillId="0" borderId="0" xfId="0" applyFont="1"/>
    <xf numFmtId="0" fontId="29" fillId="27" borderId="51" xfId="0" applyFont="1" applyFill="1" applyBorder="1" applyAlignment="1">
      <alignment horizontal="center" vertical="center"/>
    </xf>
    <xf numFmtId="49" fontId="55" fillId="0" borderId="22" xfId="0" applyNumberFormat="1" applyFont="1" applyFill="1" applyBorder="1" applyAlignment="1">
      <alignment horizontal="center" vertical="center"/>
    </xf>
    <xf numFmtId="49" fontId="55" fillId="0" borderId="66" xfId="0" applyNumberFormat="1" applyFont="1" applyFill="1" applyBorder="1" applyAlignment="1">
      <alignment horizontal="center" vertical="center"/>
    </xf>
    <xf numFmtId="49" fontId="55" fillId="0" borderId="23" xfId="0" applyNumberFormat="1" applyFont="1" applyFill="1" applyBorder="1" applyAlignment="1">
      <alignment horizontal="center" vertical="center"/>
    </xf>
    <xf numFmtId="49" fontId="36" fillId="0" borderId="22" xfId="0" applyNumberFormat="1" applyFont="1" applyFill="1" applyBorder="1" applyAlignment="1">
      <alignment horizontal="center" vertical="center"/>
    </xf>
    <xf numFmtId="49" fontId="36" fillId="0" borderId="66" xfId="0" applyNumberFormat="1" applyFont="1" applyFill="1" applyBorder="1" applyAlignment="1">
      <alignment horizontal="center" vertical="center"/>
    </xf>
    <xf numFmtId="49" fontId="36" fillId="0" borderId="23" xfId="0" applyNumberFormat="1" applyFont="1" applyFill="1" applyBorder="1" applyAlignment="1">
      <alignment horizontal="center" vertical="center"/>
    </xf>
    <xf numFmtId="0" fontId="29" fillId="0" borderId="18" xfId="0" applyFont="1" applyFill="1" applyBorder="1" applyAlignment="1">
      <alignment horizontal="center" vertical="center" wrapText="1"/>
    </xf>
    <xf numFmtId="0" fontId="0" fillId="0" borderId="16" xfId="0" applyBorder="1" applyAlignment="1">
      <alignment horizontal="center" vertical="center"/>
    </xf>
    <xf numFmtId="0" fontId="29" fillId="0" borderId="16" xfId="0" applyFont="1" applyFill="1" applyBorder="1" applyAlignment="1">
      <alignment horizontal="left" vertical="center"/>
    </xf>
    <xf numFmtId="0" fontId="0" fillId="0" borderId="40" xfId="0" applyBorder="1" applyAlignment="1">
      <alignment horizontal="left"/>
    </xf>
    <xf numFmtId="0" fontId="0" fillId="0" borderId="17" xfId="0" applyBorder="1" applyAlignment="1">
      <alignment horizontal="left"/>
    </xf>
    <xf numFmtId="0" fontId="29" fillId="0" borderId="18" xfId="0" applyFont="1" applyFill="1" applyBorder="1" applyAlignment="1">
      <alignment horizontal="left" vertical="center"/>
    </xf>
    <xf numFmtId="0" fontId="0" fillId="0" borderId="20" xfId="0" applyBorder="1" applyAlignment="1">
      <alignment horizontal="left"/>
    </xf>
    <xf numFmtId="0" fontId="0" fillId="0" borderId="15" xfId="0" applyBorder="1" applyAlignment="1">
      <alignment horizontal="left"/>
    </xf>
    <xf numFmtId="49" fontId="29" fillId="0" borderId="35" xfId="0" applyNumberFormat="1" applyFont="1" applyFill="1" applyBorder="1" applyAlignment="1">
      <alignment horizontal="center" vertical="center" wrapText="1"/>
    </xf>
    <xf numFmtId="0" fontId="0" fillId="0" borderId="36" xfId="0" applyBorder="1" applyAlignment="1">
      <alignment horizontal="center" vertical="center" wrapText="1"/>
    </xf>
    <xf numFmtId="0" fontId="0" fillId="0" borderId="37" xfId="0" applyBorder="1" applyAlignment="1">
      <alignment horizontal="center" vertical="center" wrapText="1"/>
    </xf>
    <xf numFmtId="49" fontId="29" fillId="0" borderId="20" xfId="0" applyNumberFormat="1" applyFont="1" applyFill="1" applyBorder="1" applyAlignment="1">
      <alignment horizontal="center" vertical="center" wrapText="1"/>
    </xf>
    <xf numFmtId="0" fontId="0" fillId="0" borderId="13" xfId="0" applyFill="1" applyBorder="1" applyAlignment="1">
      <alignment horizontal="center" vertical="center"/>
    </xf>
    <xf numFmtId="0" fontId="29" fillId="0" borderId="20" xfId="0" applyFont="1" applyFill="1" applyBorder="1" applyAlignment="1">
      <alignment horizontal="center" vertical="center" wrapText="1"/>
    </xf>
    <xf numFmtId="0" fontId="0" fillId="0" borderId="13" xfId="0" applyBorder="1" applyAlignment="1">
      <alignment horizontal="center" vertical="center"/>
    </xf>
    <xf numFmtId="0" fontId="0" fillId="0" borderId="13" xfId="0" applyBorder="1" applyAlignment="1">
      <alignment horizontal="center" vertical="center" wrapText="1"/>
    </xf>
    <xf numFmtId="49" fontId="29" fillId="0" borderId="38" xfId="0" applyNumberFormat="1" applyFont="1" applyFill="1" applyBorder="1" applyAlignment="1">
      <alignment horizontal="center" vertical="center" wrapText="1"/>
    </xf>
    <xf numFmtId="0" fontId="0" fillId="0" borderId="39" xfId="0" applyBorder="1" applyAlignment="1">
      <alignment horizontal="center" vertical="center" wrapText="1"/>
    </xf>
    <xf numFmtId="0" fontId="29" fillId="0" borderId="22" xfId="0" applyFont="1" applyFill="1" applyBorder="1" applyAlignment="1">
      <alignment horizontal="center" vertical="center" wrapText="1"/>
    </xf>
    <xf numFmtId="0" fontId="29" fillId="0" borderId="11" xfId="0" applyFont="1" applyFill="1" applyBorder="1" applyAlignment="1">
      <alignment horizontal="center" vertical="center" wrapText="1"/>
    </xf>
    <xf numFmtId="0" fontId="29" fillId="0" borderId="23" xfId="0" applyFont="1" applyFill="1" applyBorder="1" applyAlignment="1">
      <alignment horizontal="center" vertical="center" wrapText="1"/>
    </xf>
    <xf numFmtId="49" fontId="29" fillId="0" borderId="18" xfId="0" applyNumberFormat="1" applyFont="1" applyFill="1" applyBorder="1" applyAlignment="1">
      <alignment horizontal="center" vertical="center" wrapText="1"/>
    </xf>
    <xf numFmtId="49" fontId="29" fillId="0" borderId="15" xfId="0" applyNumberFormat="1" applyFont="1" applyFill="1" applyBorder="1" applyAlignment="1">
      <alignment horizontal="center" vertical="center" wrapText="1"/>
    </xf>
    <xf numFmtId="0" fontId="29" fillId="0" borderId="15" xfId="0" applyFont="1" applyFill="1" applyBorder="1" applyAlignment="1">
      <alignment horizontal="center" vertical="center" wrapText="1"/>
    </xf>
    <xf numFmtId="0" fontId="42" fillId="0" borderId="62" xfId="77" applyFont="1" applyFill="1" applyBorder="1" applyAlignment="1">
      <alignment horizontal="center" vertical="center" wrapText="1"/>
    </xf>
    <xf numFmtId="0" fontId="42" fillId="0" borderId="65" xfId="77" applyFont="1" applyFill="1" applyBorder="1" applyAlignment="1">
      <alignment horizontal="center" vertical="center"/>
    </xf>
    <xf numFmtId="0" fontId="42" fillId="0" borderId="65" xfId="77" applyFont="1" applyFill="1" applyBorder="1" applyAlignment="1">
      <alignment horizontal="center" vertical="center" wrapText="1"/>
    </xf>
    <xf numFmtId="0" fontId="42" fillId="0" borderId="62" xfId="77" applyFont="1" applyFill="1" applyBorder="1" applyAlignment="1">
      <alignment horizontal="center" vertical="center"/>
    </xf>
    <xf numFmtId="0" fontId="42" fillId="0" borderId="247" xfId="77" applyFont="1" applyFill="1" applyBorder="1" applyAlignment="1">
      <alignment horizontal="center" vertical="center" wrapText="1"/>
    </xf>
    <xf numFmtId="0" fontId="30" fillId="0" borderId="65" xfId="0" applyFont="1" applyBorder="1" applyAlignment="1">
      <alignment horizontal="center" vertical="center"/>
    </xf>
    <xf numFmtId="0" fontId="29" fillId="27" borderId="62" xfId="79" applyFont="1" applyFill="1" applyBorder="1" applyAlignment="1">
      <alignment horizontal="center" vertical="center"/>
    </xf>
    <xf numFmtId="0" fontId="30" fillId="27" borderId="65" xfId="0" applyFont="1" applyFill="1" applyBorder="1" applyAlignment="1">
      <alignment horizontal="center" vertical="center"/>
    </xf>
    <xf numFmtId="0" fontId="42" fillId="0" borderId="62" xfId="78" applyFont="1" applyFill="1" applyBorder="1" applyAlignment="1">
      <alignment horizontal="center" vertical="center" wrapText="1"/>
    </xf>
    <xf numFmtId="0" fontId="30" fillId="0" borderId="65" xfId="0" applyFont="1" applyBorder="1" applyAlignment="1"/>
    <xf numFmtId="0" fontId="42" fillId="0" borderId="62" xfId="78" applyFont="1" applyFill="1" applyBorder="1" applyAlignment="1">
      <alignment horizontal="center" vertical="center"/>
    </xf>
    <xf numFmtId="0" fontId="29" fillId="27" borderId="62" xfId="79" applyFont="1" applyFill="1" applyBorder="1" applyAlignment="1">
      <alignment horizontal="center" vertical="center" wrapText="1"/>
    </xf>
    <xf numFmtId="0" fontId="30" fillId="27" borderId="65" xfId="0" applyFont="1" applyFill="1" applyBorder="1" applyAlignment="1">
      <alignment horizontal="center" vertical="center" wrapText="1"/>
    </xf>
    <xf numFmtId="0" fontId="29" fillId="27" borderId="62" xfId="79" applyFont="1" applyFill="1" applyBorder="1" applyAlignment="1">
      <alignment vertical="center" wrapText="1"/>
    </xf>
    <xf numFmtId="0" fontId="30" fillId="27" borderId="65" xfId="0" applyFont="1" applyFill="1" applyBorder="1" applyAlignment="1">
      <alignment vertical="center" wrapText="1"/>
    </xf>
    <xf numFmtId="0" fontId="29" fillId="27" borderId="62" xfId="77" applyFont="1" applyFill="1" applyBorder="1" applyAlignment="1">
      <alignment horizontal="center" vertical="center"/>
    </xf>
    <xf numFmtId="49" fontId="29" fillId="27" borderId="56" xfId="60" applyNumberFormat="1" applyFont="1" applyFill="1" applyBorder="1" applyAlignment="1">
      <alignment horizontal="center" vertical="center" wrapText="1"/>
    </xf>
    <xf numFmtId="49" fontId="29" fillId="27" borderId="76" xfId="60" applyNumberFormat="1" applyFont="1" applyFill="1" applyBorder="1" applyAlignment="1">
      <alignment horizontal="center" vertical="center" wrapText="1"/>
    </xf>
    <xf numFmtId="49" fontId="18" fillId="27" borderId="56" xfId="60" applyNumberFormat="1" applyFont="1" applyFill="1" applyBorder="1" applyAlignment="1">
      <alignment horizontal="center" vertical="center" wrapText="1"/>
    </xf>
    <xf numFmtId="49" fontId="18" fillId="27" borderId="76" xfId="60" applyNumberFormat="1" applyFont="1" applyFill="1" applyBorder="1" applyAlignment="1">
      <alignment horizontal="center" vertical="center" wrapText="1"/>
    </xf>
    <xf numFmtId="0" fontId="29" fillId="27" borderId="224" xfId="0" applyFont="1" applyFill="1" applyBorder="1" applyAlignment="1">
      <alignment horizontal="center" vertical="center" wrapText="1"/>
    </xf>
    <xf numFmtId="0" fontId="29" fillId="27" borderId="225" xfId="0" applyFont="1" applyFill="1" applyBorder="1" applyAlignment="1">
      <alignment horizontal="center" vertical="center" wrapText="1"/>
    </xf>
    <xf numFmtId="0" fontId="29" fillId="27" borderId="226" xfId="0" applyFont="1" applyFill="1" applyBorder="1" applyAlignment="1">
      <alignment horizontal="center" vertical="center" wrapText="1"/>
    </xf>
    <xf numFmtId="0" fontId="29" fillId="25" borderId="56" xfId="0" applyFont="1" applyFill="1" applyBorder="1" applyAlignment="1">
      <alignment horizontal="center" vertical="center" wrapText="1"/>
    </xf>
    <xf numFmtId="0" fontId="29" fillId="25" borderId="53" xfId="0" applyFont="1" applyFill="1" applyBorder="1" applyAlignment="1">
      <alignment horizontal="center" vertical="center" wrapText="1"/>
    </xf>
    <xf numFmtId="49" fontId="29" fillId="25" borderId="53" xfId="0" applyNumberFormat="1" applyFont="1" applyFill="1" applyBorder="1" applyAlignment="1">
      <alignment horizontal="center" vertical="center" wrapText="1"/>
    </xf>
    <xf numFmtId="49" fontId="29" fillId="25" borderId="51" xfId="0" applyNumberFormat="1" applyFont="1" applyFill="1" applyBorder="1" applyAlignment="1">
      <alignment horizontal="center" vertical="center" wrapText="1"/>
    </xf>
    <xf numFmtId="0" fontId="29" fillId="25" borderId="51" xfId="0" applyFont="1" applyFill="1" applyBorder="1" applyAlignment="1">
      <alignment horizontal="center" vertical="center" wrapText="1"/>
    </xf>
    <xf numFmtId="0" fontId="29" fillId="25" borderId="51" xfId="0" applyFont="1" applyFill="1" applyBorder="1" applyAlignment="1">
      <alignment horizontal="center" vertical="center"/>
    </xf>
    <xf numFmtId="0" fontId="29" fillId="25" borderId="56" xfId="78" applyFont="1" applyFill="1" applyBorder="1" applyAlignment="1">
      <alignment horizontal="center" vertical="center" wrapText="1"/>
    </xf>
    <xf numFmtId="0" fontId="29" fillId="25" borderId="53" xfId="78" applyFont="1" applyFill="1" applyBorder="1" applyAlignment="1">
      <alignment horizontal="center" vertical="center" wrapText="1"/>
    </xf>
    <xf numFmtId="49" fontId="29" fillId="25" borderId="56" xfId="60" applyNumberFormat="1" applyFont="1" applyFill="1" applyBorder="1" applyAlignment="1">
      <alignment horizontal="center" vertical="center" wrapText="1"/>
    </xf>
    <xf numFmtId="49" fontId="29" fillId="25" borderId="53" xfId="60" applyNumberFormat="1" applyFont="1" applyFill="1" applyBorder="1" applyAlignment="1">
      <alignment horizontal="center" vertical="center" wrapText="1"/>
    </xf>
    <xf numFmtId="49" fontId="29" fillId="25" borderId="56" xfId="0" applyNumberFormat="1" applyFont="1" applyFill="1" applyBorder="1" applyAlignment="1">
      <alignment horizontal="center" vertical="center" wrapText="1"/>
    </xf>
    <xf numFmtId="0" fontId="29" fillId="27" borderId="56" xfId="0" applyFont="1" applyFill="1" applyBorder="1" applyAlignment="1">
      <alignment horizontal="center" vertical="center" wrapText="1"/>
    </xf>
    <xf numFmtId="0" fontId="29" fillId="27" borderId="76" xfId="0" applyFont="1" applyFill="1" applyBorder="1" applyAlignment="1">
      <alignment horizontal="center" vertical="center" wrapText="1"/>
    </xf>
    <xf numFmtId="0" fontId="5" fillId="27" borderId="83" xfId="0" applyFont="1" applyFill="1" applyBorder="1" applyAlignment="1">
      <alignment horizontal="center" vertical="center"/>
    </xf>
    <xf numFmtId="0" fontId="5" fillId="27" borderId="78" xfId="0" applyFont="1" applyFill="1" applyBorder="1" applyAlignment="1">
      <alignment horizontal="center" vertical="center"/>
    </xf>
    <xf numFmtId="0" fontId="5" fillId="27" borderId="66" xfId="0" applyFont="1" applyFill="1" applyBorder="1" applyAlignment="1">
      <alignment horizontal="center" vertical="center"/>
    </xf>
    <xf numFmtId="0" fontId="5" fillId="27" borderId="79" xfId="0" applyFont="1" applyFill="1" applyBorder="1" applyAlignment="1">
      <alignment horizontal="center" vertical="center" wrapText="1"/>
    </xf>
    <xf numFmtId="0" fontId="5" fillId="27" borderId="79" xfId="0" applyFont="1" applyFill="1" applyBorder="1" applyAlignment="1">
      <alignment horizontal="center" vertical="center"/>
    </xf>
    <xf numFmtId="0" fontId="0" fillId="27" borderId="84" xfId="0" applyFont="1" applyFill="1" applyBorder="1" applyAlignment="1">
      <alignment horizontal="center" vertical="center"/>
    </xf>
    <xf numFmtId="1" fontId="5" fillId="0" borderId="83" xfId="0" applyNumberFormat="1" applyFont="1" applyFill="1" applyBorder="1" applyAlignment="1">
      <alignment horizontal="center" vertical="center" wrapText="1"/>
    </xf>
    <xf numFmtId="1" fontId="5" fillId="0" borderId="78" xfId="0" applyNumberFormat="1" applyFont="1" applyFill="1" applyBorder="1" applyAlignment="1">
      <alignment horizontal="center" vertical="center" wrapText="1"/>
    </xf>
    <xf numFmtId="1" fontId="5" fillId="0" borderId="66" xfId="0" applyNumberFormat="1" applyFont="1" applyFill="1" applyBorder="1" applyAlignment="1">
      <alignment horizontal="center" vertical="center" wrapText="1"/>
    </xf>
    <xf numFmtId="49" fontId="0" fillId="0" borderId="83" xfId="0" applyNumberFormat="1" applyFont="1" applyFill="1" applyBorder="1" applyAlignment="1">
      <alignment horizontal="center" vertical="center" wrapText="1"/>
    </xf>
    <xf numFmtId="49" fontId="0" fillId="0" borderId="78" xfId="0" applyNumberFormat="1" applyFont="1" applyFill="1" applyBorder="1" applyAlignment="1">
      <alignment horizontal="center" vertical="center" wrapText="1"/>
    </xf>
    <xf numFmtId="49" fontId="0" fillId="0" borderId="66" xfId="0" applyNumberFormat="1" applyFont="1" applyFill="1" applyBorder="1" applyAlignment="1">
      <alignment horizontal="center" vertical="center" wrapText="1"/>
    </xf>
    <xf numFmtId="0" fontId="5" fillId="0" borderId="75" xfId="0" applyNumberFormat="1" applyFont="1" applyFill="1" applyBorder="1" applyAlignment="1">
      <alignment horizontal="center" vertical="center" wrapText="1"/>
    </xf>
    <xf numFmtId="0" fontId="5" fillId="0" borderId="78" xfId="0" applyNumberFormat="1" applyFont="1" applyFill="1" applyBorder="1" applyAlignment="1">
      <alignment horizontal="center" vertical="center" wrapText="1"/>
    </xf>
    <xf numFmtId="0" fontId="5" fillId="0" borderId="66" xfId="0" applyNumberFormat="1" applyFont="1" applyFill="1" applyBorder="1" applyAlignment="1">
      <alignment horizontal="center" vertical="center" wrapText="1"/>
    </xf>
    <xf numFmtId="49" fontId="0" fillId="0" borderId="83" xfId="0" applyNumberFormat="1" applyFill="1" applyBorder="1" applyAlignment="1">
      <alignment horizontal="center" vertical="center" wrapText="1"/>
    </xf>
    <xf numFmtId="49" fontId="0" fillId="0" borderId="78" xfId="0" applyNumberFormat="1" applyFill="1" applyBorder="1" applyAlignment="1">
      <alignment horizontal="center" vertical="center" wrapText="1"/>
    </xf>
    <xf numFmtId="49" fontId="0" fillId="0" borderId="66" xfId="0" applyNumberFormat="1" applyFill="1" applyBorder="1" applyAlignment="1">
      <alignment horizontal="center" vertical="center" wrapText="1"/>
    </xf>
    <xf numFmtId="0" fontId="0" fillId="0" borderId="83" xfId="0" applyNumberFormat="1" applyFill="1" applyBorder="1" applyAlignment="1">
      <alignment horizontal="center" vertical="center" wrapText="1"/>
    </xf>
    <xf numFmtId="0" fontId="0" fillId="0" borderId="78" xfId="0" applyNumberFormat="1" applyFill="1" applyBorder="1" applyAlignment="1">
      <alignment horizontal="center" vertical="center" wrapText="1"/>
    </xf>
    <xf numFmtId="0" fontId="0" fillId="0" borderId="66" xfId="0" applyNumberFormat="1" applyFill="1" applyBorder="1" applyAlignment="1">
      <alignment horizontal="center" vertical="center" wrapText="1"/>
    </xf>
    <xf numFmtId="49" fontId="0" fillId="0" borderId="83" xfId="0" applyNumberFormat="1" applyFill="1" applyBorder="1" applyAlignment="1">
      <alignment horizontal="center" vertical="center"/>
    </xf>
    <xf numFmtId="49" fontId="0" fillId="0" borderId="78" xfId="0" applyNumberFormat="1" applyFill="1" applyBorder="1" applyAlignment="1">
      <alignment horizontal="center" vertical="center"/>
    </xf>
    <xf numFmtId="49" fontId="0" fillId="0" borderId="66" xfId="0" applyNumberFormat="1" applyFill="1" applyBorder="1" applyAlignment="1">
      <alignment horizontal="center" vertical="center"/>
    </xf>
    <xf numFmtId="0" fontId="0" fillId="0" borderId="83" xfId="0" applyNumberFormat="1" applyFill="1" applyBorder="1" applyAlignment="1">
      <alignment horizontal="center" vertical="center"/>
    </xf>
    <xf numFmtId="0" fontId="0" fillId="0" borderId="83" xfId="0" applyFont="1" applyFill="1" applyBorder="1" applyAlignment="1">
      <alignment horizontal="center"/>
    </xf>
    <xf numFmtId="0" fontId="0" fillId="0" borderId="78" xfId="0" applyFont="1" applyFill="1" applyBorder="1" applyAlignment="1">
      <alignment horizontal="center"/>
    </xf>
    <xf numFmtId="0" fontId="0" fillId="0" borderId="66" xfId="0" applyFont="1" applyFill="1" applyBorder="1" applyAlignment="1">
      <alignment horizontal="center"/>
    </xf>
    <xf numFmtId="0" fontId="29" fillId="0" borderId="0" xfId="0" applyFont="1" applyFill="1" applyBorder="1" applyAlignment="1">
      <alignment horizontal="left" vertical="center"/>
    </xf>
    <xf numFmtId="0" fontId="29" fillId="0" borderId="33" xfId="0" applyFont="1" applyFill="1" applyBorder="1" applyAlignment="1">
      <alignment horizontal="left" vertical="center"/>
    </xf>
    <xf numFmtId="0" fontId="5" fillId="0" borderId="83" xfId="0" applyFont="1" applyFill="1" applyBorder="1" applyAlignment="1">
      <alignment horizontal="center" vertical="center" wrapText="1"/>
    </xf>
    <xf numFmtId="0" fontId="5" fillId="0" borderId="78" xfId="0" applyFont="1" applyFill="1" applyBorder="1" applyAlignment="1">
      <alignment horizontal="center" vertical="center" wrapText="1"/>
    </xf>
    <xf numFmtId="0" fontId="5" fillId="0" borderId="66" xfId="0" applyFont="1" applyFill="1" applyBorder="1" applyAlignment="1">
      <alignment horizontal="center" vertical="center" wrapText="1"/>
    </xf>
    <xf numFmtId="0" fontId="5" fillId="27" borderId="79" xfId="0" applyNumberFormat="1" applyFont="1" applyFill="1" applyBorder="1" applyAlignment="1">
      <alignment horizontal="center" vertical="center" wrapText="1"/>
    </xf>
    <xf numFmtId="0" fontId="47" fillId="27" borderId="52" xfId="80" applyFont="1" applyFill="1" applyBorder="1" applyAlignment="1">
      <alignment horizontal="center"/>
    </xf>
    <xf numFmtId="0" fontId="47" fillId="27" borderId="61" xfId="80" applyFont="1" applyFill="1" applyBorder="1" applyAlignment="1">
      <alignment horizontal="center"/>
    </xf>
    <xf numFmtId="0" fontId="47" fillId="27" borderId="54" xfId="80" applyFont="1" applyFill="1" applyBorder="1" applyAlignment="1">
      <alignment horizontal="center"/>
    </xf>
    <xf numFmtId="0" fontId="47" fillId="27" borderId="45" xfId="80" applyFont="1" applyFill="1" applyBorder="1" applyAlignment="1">
      <alignment horizontal="center"/>
    </xf>
    <xf numFmtId="0" fontId="47" fillId="27" borderId="46" xfId="80" applyFont="1" applyFill="1" applyBorder="1" applyAlignment="1">
      <alignment horizontal="center"/>
    </xf>
    <xf numFmtId="0" fontId="49" fillId="27" borderId="51" xfId="0" applyFont="1" applyFill="1" applyBorder="1" applyAlignment="1">
      <alignment horizontal="center"/>
    </xf>
    <xf numFmtId="0" fontId="29" fillId="27" borderId="51" xfId="0" applyFont="1" applyFill="1" applyBorder="1" applyAlignment="1">
      <alignment horizontal="center" vertical="center"/>
    </xf>
    <xf numFmtId="0" fontId="48" fillId="27" borderId="51" xfId="0" applyFont="1" applyFill="1" applyBorder="1" applyAlignment="1">
      <alignment horizontal="center" vertical="center"/>
    </xf>
    <xf numFmtId="0" fontId="49" fillId="27" borderId="51" xfId="0" applyFont="1" applyFill="1" applyBorder="1" applyAlignment="1">
      <alignment horizontal="center" vertical="center"/>
    </xf>
    <xf numFmtId="0" fontId="35" fillId="27" borderId="250" xfId="0" applyFont="1" applyFill="1" applyBorder="1" applyAlignment="1">
      <alignment horizontal="center" wrapText="1"/>
    </xf>
    <xf numFmtId="0" fontId="35" fillId="27" borderId="251" xfId="0" applyFont="1" applyFill="1" applyBorder="1" applyAlignment="1">
      <alignment horizontal="center" wrapText="1"/>
    </xf>
    <xf numFmtId="0" fontId="35" fillId="27" borderId="252" xfId="0" applyFont="1" applyFill="1" applyBorder="1" applyAlignment="1">
      <alignment horizontal="center" wrapText="1"/>
    </xf>
    <xf numFmtId="0" fontId="35" fillId="27" borderId="47" xfId="0" applyFont="1" applyFill="1" applyBorder="1" applyAlignment="1">
      <alignment horizontal="center" wrapText="1"/>
    </xf>
    <xf numFmtId="0" fontId="35" fillId="27" borderId="33" xfId="0" applyFont="1" applyFill="1" applyBorder="1" applyAlignment="1">
      <alignment horizontal="center" wrapText="1"/>
    </xf>
    <xf numFmtId="0" fontId="35" fillId="27" borderId="34" xfId="0" applyFont="1" applyFill="1" applyBorder="1" applyAlignment="1">
      <alignment horizontal="center" wrapText="1"/>
    </xf>
    <xf numFmtId="0" fontId="44" fillId="27" borderId="43" xfId="0" applyFont="1" applyFill="1" applyBorder="1" applyAlignment="1">
      <alignment horizontal="center" vertical="center" wrapText="1" shrinkToFit="1"/>
    </xf>
    <xf numFmtId="0" fontId="44" fillId="27" borderId="20" xfId="0" applyFont="1" applyFill="1" applyBorder="1" applyAlignment="1">
      <alignment horizontal="center" vertical="center" wrapText="1" shrinkToFit="1"/>
    </xf>
    <xf numFmtId="0" fontId="44" fillId="27" borderId="50" xfId="0" applyFont="1" applyFill="1" applyBorder="1" applyAlignment="1">
      <alignment horizontal="center" vertical="center" wrapText="1" shrinkToFit="1"/>
    </xf>
    <xf numFmtId="0" fontId="44" fillId="27" borderId="235" xfId="0" applyFont="1" applyFill="1" applyBorder="1" applyAlignment="1">
      <alignment horizontal="center" vertical="center" wrapText="1" shrinkToFit="1"/>
    </xf>
    <xf numFmtId="0" fontId="44" fillId="27" borderId="236" xfId="0" applyFont="1" applyFill="1" applyBorder="1" applyAlignment="1">
      <alignment horizontal="center" vertical="center" wrapText="1" shrinkToFit="1"/>
    </xf>
    <xf numFmtId="0" fontId="29" fillId="27" borderId="233" xfId="0" applyFont="1" applyFill="1" applyBorder="1" applyAlignment="1">
      <alignment horizontal="center" vertical="center" wrapText="1"/>
    </xf>
    <xf numFmtId="0" fontId="0" fillId="0" borderId="72" xfId="0" applyBorder="1" applyAlignment="1"/>
    <xf numFmtId="0" fontId="44" fillId="27" borderId="237" xfId="0" applyFont="1" applyFill="1" applyBorder="1" applyAlignment="1">
      <alignment horizontal="center" vertical="center" wrapText="1" shrinkToFit="1"/>
    </xf>
    <xf numFmtId="0" fontId="42" fillId="27" borderId="22" xfId="0" applyFont="1" applyFill="1" applyBorder="1" applyAlignment="1">
      <alignment horizontal="center" vertical="center" wrapText="1" shrinkToFit="1"/>
    </xf>
    <xf numFmtId="0" fontId="35" fillId="27" borderId="230" xfId="0" applyFont="1" applyFill="1" applyBorder="1" applyAlignment="1"/>
    <xf numFmtId="0" fontId="0" fillId="0" borderId="66" xfId="0" applyFont="1" applyFill="1" applyBorder="1" applyAlignment="1" applyProtection="1">
      <alignment horizontal="center"/>
    </xf>
    <xf numFmtId="0" fontId="30" fillId="0" borderId="66" xfId="62" applyNumberFormat="1" applyFont="1" applyFill="1" applyBorder="1" applyAlignment="1">
      <alignment horizontal="left" vertical="center"/>
    </xf>
    <xf numFmtId="0" fontId="35" fillId="0" borderId="66" xfId="0" applyFont="1" applyFill="1" applyBorder="1"/>
    <xf numFmtId="0" fontId="35" fillId="0" borderId="232" xfId="0" applyFont="1" applyFill="1" applyBorder="1"/>
    <xf numFmtId="0" fontId="35" fillId="0" borderId="66" xfId="0" applyFont="1" applyFill="1" applyBorder="1" applyAlignment="1"/>
    <xf numFmtId="1" fontId="0" fillId="27" borderId="55" xfId="0" applyNumberFormat="1" applyFont="1" applyFill="1" applyBorder="1" applyAlignment="1"/>
    <xf numFmtId="1" fontId="0" fillId="27" borderId="79" xfId="0" applyNumberFormat="1" applyFont="1" applyFill="1" applyBorder="1" applyAlignment="1"/>
    <xf numFmtId="1" fontId="30" fillId="27" borderId="66" xfId="82" applyNumberFormat="1" applyFont="1" applyFill="1" applyBorder="1" applyAlignment="1">
      <alignment horizontal="center" vertical="center"/>
    </xf>
    <xf numFmtId="49" fontId="29" fillId="27" borderId="66" xfId="0" applyNumberFormat="1" applyFont="1" applyFill="1" applyBorder="1" applyAlignment="1">
      <alignment horizontal="center" vertical="center" wrapText="1"/>
    </xf>
    <xf numFmtId="0" fontId="0" fillId="27" borderId="84" xfId="0" applyFill="1" applyBorder="1" applyAlignment="1">
      <alignment horizontal="center" vertical="center"/>
    </xf>
    <xf numFmtId="2" fontId="30" fillId="27" borderId="66" xfId="62" applyNumberFormat="1" applyFont="1" applyFill="1" applyBorder="1" applyAlignment="1">
      <alignment horizontal="center" vertical="center"/>
    </xf>
    <xf numFmtId="2" fontId="0" fillId="27" borderId="66" xfId="62" applyNumberFormat="1" applyFont="1" applyFill="1" applyBorder="1" applyAlignment="1">
      <alignment horizontal="center" vertical="center"/>
    </xf>
    <xf numFmtId="9" fontId="30" fillId="27" borderId="66" xfId="82" applyFont="1" applyFill="1" applyBorder="1" applyAlignment="1">
      <alignment horizontal="center" vertical="center"/>
    </xf>
    <xf numFmtId="0" fontId="18" fillId="27" borderId="51" xfId="0" applyFont="1" applyFill="1" applyBorder="1" applyAlignment="1">
      <alignment horizontal="center" vertical="center" wrapText="1"/>
    </xf>
    <xf numFmtId="0" fontId="42" fillId="27" borderId="12" xfId="0" applyFont="1" applyFill="1" applyBorder="1" applyAlignment="1">
      <alignment horizontal="center" vertical="center" wrapText="1"/>
    </xf>
    <xf numFmtId="0" fontId="42" fillId="27" borderId="51" xfId="0" applyFont="1" applyFill="1" applyBorder="1" applyAlignment="1">
      <alignment horizontal="center" vertical="center" wrapText="1"/>
    </xf>
  </cellXfs>
  <cellStyles count="1381">
    <cellStyle name="20% - Accent1 2" xfId="166"/>
    <cellStyle name="20% - Accent1 3" xfId="167"/>
    <cellStyle name="20% - Accent1 3 2" xfId="168"/>
    <cellStyle name="20% - Accent1 3 2 2" xfId="400"/>
    <cellStyle name="20% - Accent1 3 3" xfId="169"/>
    <cellStyle name="20% - Accent1 3 3 2" xfId="401"/>
    <cellStyle name="20% - Accent1 3 4" xfId="399"/>
    <cellStyle name="20% - Accent1 4" xfId="170"/>
    <cellStyle name="20% - Accent1 4 2" xfId="402"/>
    <cellStyle name="20% - Accent2 2" xfId="171"/>
    <cellStyle name="20% - Accent2 3" xfId="172"/>
    <cellStyle name="20% - Accent2 3 2" xfId="173"/>
    <cellStyle name="20% - Accent2 3 2 2" xfId="404"/>
    <cellStyle name="20% - Accent2 3 3" xfId="174"/>
    <cellStyle name="20% - Accent2 3 3 2" xfId="405"/>
    <cellStyle name="20% - Accent2 3 4" xfId="403"/>
    <cellStyle name="20% - Accent2 4" xfId="175"/>
    <cellStyle name="20% - Accent2 4 2" xfId="406"/>
    <cellStyle name="20% - Accent3 2" xfId="176"/>
    <cellStyle name="20% - Accent3 3" xfId="177"/>
    <cellStyle name="20% - Accent3 3 2" xfId="178"/>
    <cellStyle name="20% - Accent3 3 2 2" xfId="408"/>
    <cellStyle name="20% - Accent3 3 3" xfId="179"/>
    <cellStyle name="20% - Accent3 3 3 2" xfId="409"/>
    <cellStyle name="20% - Accent3 3 4" xfId="407"/>
    <cellStyle name="20% - Accent3 4" xfId="180"/>
    <cellStyle name="20% - Accent3 4 2" xfId="410"/>
    <cellStyle name="20% - Accent4 2" xfId="181"/>
    <cellStyle name="20% - Accent4 3" xfId="182"/>
    <cellStyle name="20% - Accent4 3 2" xfId="183"/>
    <cellStyle name="20% - Accent4 3 2 2" xfId="412"/>
    <cellStyle name="20% - Accent4 3 3" xfId="184"/>
    <cellStyle name="20% - Accent4 3 3 2" xfId="413"/>
    <cellStyle name="20% - Accent4 3 4" xfId="411"/>
    <cellStyle name="20% - Accent4 4" xfId="185"/>
    <cellStyle name="20% - Accent4 4 2" xfId="414"/>
    <cellStyle name="20% - Accent5 2" xfId="186"/>
    <cellStyle name="20% - Accent5 3" xfId="187"/>
    <cellStyle name="20% - Accent5 3 2" xfId="188"/>
    <cellStyle name="20% - Accent5 3 2 2" xfId="416"/>
    <cellStyle name="20% - Accent5 3 3" xfId="189"/>
    <cellStyle name="20% - Accent5 3 3 2" xfId="417"/>
    <cellStyle name="20% - Accent5 3 4" xfId="415"/>
    <cellStyle name="20% - Accent5 4" xfId="190"/>
    <cellStyle name="20% - Accent5 4 2" xfId="418"/>
    <cellStyle name="20% - Accent6 2" xfId="191"/>
    <cellStyle name="20% - Accent6 3" xfId="192"/>
    <cellStyle name="20% - Accent6 3 2" xfId="193"/>
    <cellStyle name="20% - Accent6 3 2 2" xfId="420"/>
    <cellStyle name="20% - Accent6 3 3" xfId="194"/>
    <cellStyle name="20% - Accent6 3 3 2" xfId="421"/>
    <cellStyle name="20% - Accent6 3 4" xfId="419"/>
    <cellStyle name="20% - Accent6 4" xfId="195"/>
    <cellStyle name="20% - Accent6 4 2" xfId="422"/>
    <cellStyle name="20% - Akzent1" xfId="1"/>
    <cellStyle name="20% - Akzent2" xfId="2"/>
    <cellStyle name="20% - Akzent3" xfId="3"/>
    <cellStyle name="20% - Akzent4" xfId="4"/>
    <cellStyle name="20% - Akzent5" xfId="5"/>
    <cellStyle name="20% - Akzent6" xfId="6"/>
    <cellStyle name="20% - Énfasis1" xfId="7"/>
    <cellStyle name="20% - Énfasis2" xfId="8"/>
    <cellStyle name="20% - Énfasis3" xfId="9"/>
    <cellStyle name="20% - Énfasis4" xfId="10"/>
    <cellStyle name="20% - Énfasis5" xfId="11"/>
    <cellStyle name="20% - Énfasis6" xfId="12"/>
    <cellStyle name="40% - Accent1 2" xfId="196"/>
    <cellStyle name="40% - Accent1 3" xfId="197"/>
    <cellStyle name="40% - Accent1 3 2" xfId="198"/>
    <cellStyle name="40% - Accent1 3 2 2" xfId="424"/>
    <cellStyle name="40% - Accent1 3 3" xfId="199"/>
    <cellStyle name="40% - Accent1 3 3 2" xfId="425"/>
    <cellStyle name="40% - Accent1 3 4" xfId="423"/>
    <cellStyle name="40% - Accent1 4" xfId="200"/>
    <cellStyle name="40% - Accent1 4 2" xfId="426"/>
    <cellStyle name="40% - Accent2 2" xfId="201"/>
    <cellStyle name="40% - Accent2 3" xfId="202"/>
    <cellStyle name="40% - Accent2 3 2" xfId="203"/>
    <cellStyle name="40% - Accent2 3 2 2" xfId="428"/>
    <cellStyle name="40% - Accent2 3 3" xfId="204"/>
    <cellStyle name="40% - Accent2 3 3 2" xfId="429"/>
    <cellStyle name="40% - Accent2 3 4" xfId="427"/>
    <cellStyle name="40% - Accent2 4" xfId="205"/>
    <cellStyle name="40% - Accent2 4 2" xfId="430"/>
    <cellStyle name="40% - Accent3 2" xfId="206"/>
    <cellStyle name="40% - Accent3 3" xfId="207"/>
    <cellStyle name="40% - Accent3 3 2" xfId="208"/>
    <cellStyle name="40% - Accent3 3 2 2" xfId="432"/>
    <cellStyle name="40% - Accent3 3 3" xfId="209"/>
    <cellStyle name="40% - Accent3 3 3 2" xfId="433"/>
    <cellStyle name="40% - Accent3 3 4" xfId="431"/>
    <cellStyle name="40% - Accent3 4" xfId="210"/>
    <cellStyle name="40% - Accent3 4 2" xfId="434"/>
    <cellStyle name="40% - Accent4 2" xfId="211"/>
    <cellStyle name="40% - Accent4 3" xfId="212"/>
    <cellStyle name="40% - Accent4 3 2" xfId="213"/>
    <cellStyle name="40% - Accent4 3 2 2" xfId="436"/>
    <cellStyle name="40% - Accent4 3 3" xfId="214"/>
    <cellStyle name="40% - Accent4 3 3 2" xfId="437"/>
    <cellStyle name="40% - Accent4 3 4" xfId="435"/>
    <cellStyle name="40% - Accent4 4" xfId="215"/>
    <cellStyle name="40% - Accent4 4 2" xfId="438"/>
    <cellStyle name="40% - Accent5 2" xfId="216"/>
    <cellStyle name="40% - Accent5 3" xfId="217"/>
    <cellStyle name="40% - Accent5 3 2" xfId="218"/>
    <cellStyle name="40% - Accent5 3 2 2" xfId="440"/>
    <cellStyle name="40% - Accent5 3 3" xfId="219"/>
    <cellStyle name="40% - Accent5 3 3 2" xfId="441"/>
    <cellStyle name="40% - Accent5 3 4" xfId="439"/>
    <cellStyle name="40% - Accent5 4" xfId="220"/>
    <cellStyle name="40% - Accent5 4 2" xfId="442"/>
    <cellStyle name="40% - Accent6 2" xfId="221"/>
    <cellStyle name="40% - Accent6 3" xfId="222"/>
    <cellStyle name="40% - Accent6 3 2" xfId="223"/>
    <cellStyle name="40% - Accent6 3 2 2" xfId="444"/>
    <cellStyle name="40% - Accent6 3 3" xfId="224"/>
    <cellStyle name="40% - Accent6 3 3 2" xfId="445"/>
    <cellStyle name="40% - Accent6 3 4" xfId="443"/>
    <cellStyle name="40% - Accent6 4" xfId="225"/>
    <cellStyle name="40% - Accent6 4 2" xfId="446"/>
    <cellStyle name="40% - Akzent1" xfId="13"/>
    <cellStyle name="40% - Akzent2" xfId="14"/>
    <cellStyle name="40% - Akzent3" xfId="15"/>
    <cellStyle name="40% - Akzent4" xfId="16"/>
    <cellStyle name="40% - Akzent5" xfId="17"/>
    <cellStyle name="40% - Akzent6" xfId="18"/>
    <cellStyle name="40% - Akzent6 2" xfId="226"/>
    <cellStyle name="40% - Akzent6 2 2" xfId="227"/>
    <cellStyle name="40% - Akzent6 3" xfId="228"/>
    <cellStyle name="40% - Akzent6_Ireland_NP-Proposal_2011-2013_Tables" xfId="229"/>
    <cellStyle name="40% - Énfasis1" xfId="19"/>
    <cellStyle name="40% - Énfasis2" xfId="20"/>
    <cellStyle name="40% - Énfasis3" xfId="21"/>
    <cellStyle name="40% - Énfasis4" xfId="22"/>
    <cellStyle name="40% - Énfasis5" xfId="23"/>
    <cellStyle name="40% - Énfasis6" xfId="24"/>
    <cellStyle name="60% - Accent1 2" xfId="230"/>
    <cellStyle name="60% - Accent2 2" xfId="231"/>
    <cellStyle name="60% - Accent3 2" xfId="232"/>
    <cellStyle name="60% - Accent4 2" xfId="233"/>
    <cellStyle name="60% - Accent5 2" xfId="234"/>
    <cellStyle name="60% - Accent6 2" xfId="235"/>
    <cellStyle name="60% - Akzent1" xfId="25"/>
    <cellStyle name="60% - Akzent2" xfId="26"/>
    <cellStyle name="60% - Akzent3" xfId="27"/>
    <cellStyle name="60% - Akzent4" xfId="28"/>
    <cellStyle name="60% - Akzent5" xfId="29"/>
    <cellStyle name="60% - Akzent6" xfId="30"/>
    <cellStyle name="60% - Akzent6 2" xfId="236"/>
    <cellStyle name="60% - Akzent6 2 2" xfId="237"/>
    <cellStyle name="60% - Akzent6 3" xfId="238"/>
    <cellStyle name="60% - Akzent6_Ireland_NP-Proposal_2011-2013_Tables" xfId="239"/>
    <cellStyle name="60% - Énfasis1" xfId="31"/>
    <cellStyle name="60% - Énfasis2" xfId="32"/>
    <cellStyle name="60% - Énfasis3" xfId="33"/>
    <cellStyle name="60% - Énfasis4" xfId="34"/>
    <cellStyle name="60% - Énfasis5" xfId="35"/>
    <cellStyle name="60% - Énfasis6" xfId="36"/>
    <cellStyle name="Accent1 2" xfId="240"/>
    <cellStyle name="Accent1 3" xfId="241"/>
    <cellStyle name="Accent2 2" xfId="242"/>
    <cellStyle name="Accent2 3" xfId="243"/>
    <cellStyle name="Accent3 2" xfId="244"/>
    <cellStyle name="Accent3 3" xfId="245"/>
    <cellStyle name="Accent4 2" xfId="246"/>
    <cellStyle name="Accent4 3" xfId="247"/>
    <cellStyle name="Accent5 2" xfId="248"/>
    <cellStyle name="Accent5 3" xfId="249"/>
    <cellStyle name="Accent6 2" xfId="250"/>
    <cellStyle name="Accent6 3" xfId="251"/>
    <cellStyle name="Akzent1" xfId="252"/>
    <cellStyle name="Akzent1 2" xfId="253"/>
    <cellStyle name="Akzent1 3" xfId="254"/>
    <cellStyle name="Akzent2" xfId="255"/>
    <cellStyle name="Akzent2 2" xfId="256"/>
    <cellStyle name="Akzent2 3" xfId="257"/>
    <cellStyle name="Akzent3" xfId="258"/>
    <cellStyle name="Akzent3 2" xfId="259"/>
    <cellStyle name="Akzent3 3" xfId="260"/>
    <cellStyle name="Akzent4" xfId="261"/>
    <cellStyle name="Akzent4 2" xfId="262"/>
    <cellStyle name="Akzent4 3" xfId="263"/>
    <cellStyle name="Akzent5" xfId="264"/>
    <cellStyle name="Akzent5 2" xfId="265"/>
    <cellStyle name="Akzent5 3" xfId="266"/>
    <cellStyle name="Akzent6" xfId="267"/>
    <cellStyle name="Akzent6 2" xfId="268"/>
    <cellStyle name="Akzent6 2 2" xfId="269"/>
    <cellStyle name="Akzent6 2 3" xfId="270"/>
    <cellStyle name="Akzent6 2 4" xfId="271"/>
    <cellStyle name="Akzent6 2 5" xfId="272"/>
    <cellStyle name="Akzent6 3" xfId="273"/>
    <cellStyle name="Akzent6_Ireland_NP-Proposal_2011-2013_Tables" xfId="274"/>
    <cellStyle name="Ausgabe" xfId="37"/>
    <cellStyle name="Ausgabe 2" xfId="275"/>
    <cellStyle name="Ausgabe 3" xfId="276"/>
    <cellStyle name="Ausgabe 3 10" xfId="656"/>
    <cellStyle name="Ausgabe 3 2" xfId="448"/>
    <cellStyle name="Ausgabe 3 2 10" xfId="996"/>
    <cellStyle name="Ausgabe 3 2 11" xfId="1145"/>
    <cellStyle name="Ausgabe 3 2 12" xfId="878"/>
    <cellStyle name="Ausgabe 3 2 13" xfId="693"/>
    <cellStyle name="Ausgabe 3 2 14" xfId="1304"/>
    <cellStyle name="Ausgabe 3 2 2" xfId="819"/>
    <cellStyle name="Ausgabe 3 2 3" xfId="795"/>
    <cellStyle name="Ausgabe 3 2 4" xfId="621"/>
    <cellStyle name="Ausgabe 3 2 5" xfId="574"/>
    <cellStyle name="Ausgabe 3 2 6" xfId="712"/>
    <cellStyle name="Ausgabe 3 2 7" xfId="796"/>
    <cellStyle name="Ausgabe 3 2 8" xfId="641"/>
    <cellStyle name="Ausgabe 3 2 9" xfId="725"/>
    <cellStyle name="Ausgabe 3 3" xfId="563"/>
    <cellStyle name="Ausgabe 3 4" xfId="579"/>
    <cellStyle name="Ausgabe 3 5" xfId="620"/>
    <cellStyle name="Ausgabe 3 6" xfId="855"/>
    <cellStyle name="Ausgabe 3 7" xfId="1030"/>
    <cellStyle name="Ausgabe 3 8" xfId="983"/>
    <cellStyle name="Ausgabe 3 9" xfId="708"/>
    <cellStyle name="Ausgabe 4" xfId="277"/>
    <cellStyle name="Ausgabe 5" xfId="278"/>
    <cellStyle name="Ausgabe 5 10" xfId="1000"/>
    <cellStyle name="Ausgabe 5 2" xfId="449"/>
    <cellStyle name="Ausgabe 5 2 10" xfId="1005"/>
    <cellStyle name="Ausgabe 5 2 11" xfId="618"/>
    <cellStyle name="Ausgabe 5 2 12" xfId="131"/>
    <cellStyle name="Ausgabe 5 2 13" xfId="926"/>
    <cellStyle name="Ausgabe 5 2 14" xfId="1236"/>
    <cellStyle name="Ausgabe 5 2 2" xfId="820"/>
    <cellStyle name="Ausgabe 5 2 3" xfId="615"/>
    <cellStyle name="Ausgabe 5 2 4" xfId="731"/>
    <cellStyle name="Ausgabe 5 2 5" xfId="102"/>
    <cellStyle name="Ausgabe 5 2 6" xfId="635"/>
    <cellStyle name="Ausgabe 5 2 7" xfId="935"/>
    <cellStyle name="Ausgabe 5 2 8" xfId="776"/>
    <cellStyle name="Ausgabe 5 2 9" xfId="568"/>
    <cellStyle name="Ausgabe 5 3" xfId="584"/>
    <cellStyle name="Ausgabe 5 4" xfId="570"/>
    <cellStyle name="Ausgabe 5 5" xfId="657"/>
    <cellStyle name="Ausgabe 5 6" xfId="552"/>
    <cellStyle name="Ausgabe 5 7" xfId="1031"/>
    <cellStyle name="Ausgabe 5 8" xfId="702"/>
    <cellStyle name="Ausgabe 5 9" xfId="1115"/>
    <cellStyle name="Ausgabe 6" xfId="147"/>
    <cellStyle name="Ausgabe 6 10" xfId="1114"/>
    <cellStyle name="Ausgabe 6 2" xfId="450"/>
    <cellStyle name="Ausgabe 6 2 10" xfId="849"/>
    <cellStyle name="Ausgabe 6 2 11" xfId="753"/>
    <cellStyle name="Ausgabe 6 2 12" xfId="597"/>
    <cellStyle name="Ausgabe 6 2 13" xfId="692"/>
    <cellStyle name="Ausgabe 6 2 14" xfId="1063"/>
    <cellStyle name="Ausgabe 6 2 2" xfId="821"/>
    <cellStyle name="Ausgabe 6 2 3" xfId="792"/>
    <cellStyle name="Ausgabe 6 2 4" xfId="622"/>
    <cellStyle name="Ausgabe 6 2 5" xfId="125"/>
    <cellStyle name="Ausgabe 6 2 6" xfId="813"/>
    <cellStyle name="Ausgabe 6 2 7" xfId="809"/>
    <cellStyle name="Ausgabe 6 2 8" xfId="110"/>
    <cellStyle name="Ausgabe 6 2 9" xfId="726"/>
    <cellStyle name="Ausgabe 6 3" xfId="910"/>
    <cellStyle name="Ausgabe 6 4" xfId="765"/>
    <cellStyle name="Ausgabe 6 5" xfId="1072"/>
    <cellStyle name="Ausgabe 6 6" xfId="619"/>
    <cellStyle name="Ausgabe 6 7" xfId="1211"/>
    <cellStyle name="Ausgabe 6 8" xfId="1179"/>
    <cellStyle name="Ausgabe 6 9" xfId="696"/>
    <cellStyle name="Ausgabe 7" xfId="447"/>
    <cellStyle name="Ausgabe 7 10" xfId="985"/>
    <cellStyle name="Ausgabe 7 11" xfId="1202"/>
    <cellStyle name="Ausgabe 7 12" xfId="1156"/>
    <cellStyle name="Ausgabe 7 13" xfId="1270"/>
    <cellStyle name="Ausgabe 7 14" xfId="1102"/>
    <cellStyle name="Ausgabe 7 2" xfId="818"/>
    <cellStyle name="Ausgabe 7 3" xfId="144"/>
    <cellStyle name="Ausgabe 7 4" xfId="775"/>
    <cellStyle name="Ausgabe 7 5" xfId="591"/>
    <cellStyle name="Ausgabe 7 6" xfId="634"/>
    <cellStyle name="Ausgabe 7 7" xfId="944"/>
    <cellStyle name="Ausgabe 7 8" xfId="1064"/>
    <cellStyle name="Ausgabe 7 9" xfId="998"/>
    <cellStyle name="Ausgabe 8" xfId="116"/>
    <cellStyle name="Bad 2" xfId="279"/>
    <cellStyle name="Bad 3" xfId="280"/>
    <cellStyle name="Berechnung" xfId="38"/>
    <cellStyle name="Berechnung 2" xfId="281"/>
    <cellStyle name="Berechnung 3" xfId="282"/>
    <cellStyle name="Berechnung 3 10" xfId="551"/>
    <cellStyle name="Berechnung 3 2" xfId="452"/>
    <cellStyle name="Berechnung 3 2 10" xfId="1007"/>
    <cellStyle name="Berechnung 3 2 11" xfId="1065"/>
    <cellStyle name="Berechnung 3 2 12" xfId="766"/>
    <cellStyle name="Berechnung 3 2 13" xfId="1271"/>
    <cellStyle name="Berechnung 3 2 14" xfId="1305"/>
    <cellStyle name="Berechnung 3 2 2" xfId="823"/>
    <cellStyle name="Berechnung 3 2 3" xfId="614"/>
    <cellStyle name="Berechnung 3 2 4" xfId="857"/>
    <cellStyle name="Berechnung 3 2 5" xfId="103"/>
    <cellStyle name="Berechnung 3 2 6" xfId="752"/>
    <cellStyle name="Berechnung 3 2 7" xfId="755"/>
    <cellStyle name="Berechnung 3 2 8" xfId="101"/>
    <cellStyle name="Berechnung 3 2 9" xfId="918"/>
    <cellStyle name="Berechnung 3 3" xfId="682"/>
    <cellStyle name="Berechnung 3 4" xfId="680"/>
    <cellStyle name="Berechnung 3 5" xfId="577"/>
    <cellStyle name="Berechnung 3 6" xfId="687"/>
    <cellStyle name="Berechnung 3 7" xfId="660"/>
    <cellStyle name="Berechnung 3 8" xfId="772"/>
    <cellStyle name="Berechnung 3 9" xfId="768"/>
    <cellStyle name="Berechnung 4" xfId="283"/>
    <cellStyle name="Berechnung 5" xfId="284"/>
    <cellStyle name="Berechnung 5 10" xfId="1054"/>
    <cellStyle name="Berechnung 5 2" xfId="453"/>
    <cellStyle name="Berechnung 5 2 10" xfId="111"/>
    <cellStyle name="Berechnung 5 2 11" xfId="115"/>
    <cellStyle name="Berechnung 5 2 12" xfId="1160"/>
    <cellStyle name="Berechnung 5 2 13" xfId="1061"/>
    <cellStyle name="Berechnung 5 2 14" xfId="704"/>
    <cellStyle name="Berechnung 5 2 2" xfId="824"/>
    <cellStyle name="Berechnung 5 2 3" xfId="793"/>
    <cellStyle name="Berechnung 5 2 4" xfId="800"/>
    <cellStyle name="Berechnung 5 2 5" xfId="852"/>
    <cellStyle name="Berechnung 5 2 6" xfId="713"/>
    <cellStyle name="Berechnung 5 2 7" xfId="745"/>
    <cellStyle name="Berechnung 5 2 8" xfId="869"/>
    <cellStyle name="Berechnung 5 2 9" xfId="1006"/>
    <cellStyle name="Berechnung 5 3" xfId="683"/>
    <cellStyle name="Berechnung 5 4" xfId="98"/>
    <cellStyle name="Berechnung 5 5" xfId="749"/>
    <cellStyle name="Berechnung 5 6" xfId="121"/>
    <cellStyle name="Berechnung 5 7" xfId="773"/>
    <cellStyle name="Berechnung 5 8" xfId="930"/>
    <cellStyle name="Berechnung 5 9" xfId="1229"/>
    <cellStyle name="Berechnung 6" xfId="148"/>
    <cellStyle name="Berechnung 6 10" xfId="866"/>
    <cellStyle name="Berechnung 6 2" xfId="454"/>
    <cellStyle name="Berechnung 6 2 10" xfId="562"/>
    <cellStyle name="Berechnung 6 2 11" xfId="118"/>
    <cellStyle name="Berechnung 6 2 12" xfId="963"/>
    <cellStyle name="Berechnung 6 2 13" xfId="1161"/>
    <cellStyle name="Berechnung 6 2 14" xfId="1303"/>
    <cellStyle name="Berechnung 6 2 2" xfId="825"/>
    <cellStyle name="Berechnung 6 2 3" xfId="613"/>
    <cellStyle name="Berechnung 6 2 4" xfId="575"/>
    <cellStyle name="Berechnung 6 2 5" xfId="104"/>
    <cellStyle name="Berechnung 6 2 6" xfId="105"/>
    <cellStyle name="Berechnung 6 2 7" xfId="754"/>
    <cellStyle name="Berechnung 6 2 8" xfId="573"/>
    <cellStyle name="Berechnung 6 2 9" xfId="666"/>
    <cellStyle name="Berechnung 6 3" xfId="645"/>
    <cellStyle name="Berechnung 6 4" xfId="894"/>
    <cellStyle name="Berechnung 6 5" xfId="87"/>
    <cellStyle name="Berechnung 6 6" xfId="717"/>
    <cellStyle name="Berechnung 6 7" xfId="699"/>
    <cellStyle name="Berechnung 6 8" xfId="594"/>
    <cellStyle name="Berechnung 6 9" xfId="1196"/>
    <cellStyle name="Berechnung 7" xfId="451"/>
    <cellStyle name="Berechnung 7 10" xfId="760"/>
    <cellStyle name="Berechnung 7 11" xfId="671"/>
    <cellStyle name="Berechnung 7 12" xfId="984"/>
    <cellStyle name="Berechnung 7 13" xfId="727"/>
    <cellStyle name="Berechnung 7 14" xfId="738"/>
    <cellStyle name="Berechnung 7 2" xfId="822"/>
    <cellStyle name="Berechnung 7 3" xfId="794"/>
    <cellStyle name="Berechnung 7 4" xfId="801"/>
    <cellStyle name="Berechnung 7 5" xfId="124"/>
    <cellStyle name="Berechnung 7 6" xfId="630"/>
    <cellStyle name="Berechnung 7 7" xfId="737"/>
    <cellStyle name="Berechnung 7 8" xfId="865"/>
    <cellStyle name="Berechnung 7 9" xfId="863"/>
    <cellStyle name="Berechnung 8" xfId="117"/>
    <cellStyle name="Buena" xfId="39"/>
    <cellStyle name="Calculation 2" xfId="285"/>
    <cellStyle name="Calculation 2 10" xfId="916"/>
    <cellStyle name="Calculation 2 2" xfId="455"/>
    <cellStyle name="Calculation 2 2 10" xfId="1150"/>
    <cellStyle name="Calculation 2 2 11" xfId="1205"/>
    <cellStyle name="Calculation 2 2 12" xfId="677"/>
    <cellStyle name="Calculation 2 2 13" xfId="1101"/>
    <cellStyle name="Calculation 2 2 14" xfId="1230"/>
    <cellStyle name="Calculation 2 2 2" xfId="826"/>
    <cellStyle name="Calculation 2 2 3" xfId="612"/>
    <cellStyle name="Calculation 2 2 4" xfId="858"/>
    <cellStyle name="Calculation 2 2 5" xfId="588"/>
    <cellStyle name="Calculation 2 2 6" xfId="629"/>
    <cellStyle name="Calculation 2 2 7" xfId="740"/>
    <cellStyle name="Calculation 2 2 8" xfId="1067"/>
    <cellStyle name="Calculation 2 2 9" xfId="617"/>
    <cellStyle name="Calculation 2 3" xfId="684"/>
    <cellStyle name="Calculation 2 4" xfId="679"/>
    <cellStyle name="Calculation 2 5" xfId="550"/>
    <cellStyle name="Calculation 2 6" xfId="764"/>
    <cellStyle name="Calculation 2 7" xfId="1091"/>
    <cellStyle name="Calculation 2 8" xfId="701"/>
    <cellStyle name="Calculation 2 9" xfId="1158"/>
    <cellStyle name="Cálculo" xfId="40"/>
    <cellStyle name="Cálculo 2" xfId="286"/>
    <cellStyle name="Cálculo 2 10" xfId="1228"/>
    <cellStyle name="Cálculo 2 11" xfId="1159"/>
    <cellStyle name="Cálculo 2 2" xfId="287"/>
    <cellStyle name="Cálculo 2 2 10" xfId="97"/>
    <cellStyle name="Cálculo 2 2 2" xfId="458"/>
    <cellStyle name="Cálculo 2 2 2 10" xfId="1148"/>
    <cellStyle name="Cálculo 2 2 2 11" xfId="1206"/>
    <cellStyle name="Cálculo 2 2 2 12" xfId="1078"/>
    <cellStyle name="Cálculo 2 2 2 13" xfId="1269"/>
    <cellStyle name="Cálculo 2 2 2 14" xfId="982"/>
    <cellStyle name="Cálculo 2 2 2 2" xfId="829"/>
    <cellStyle name="Cálculo 2 2 2 3" xfId="610"/>
    <cellStyle name="Cálculo 2 2 2 4" xfId="565"/>
    <cellStyle name="Cálculo 2 2 2 5" xfId="904"/>
    <cellStyle name="Cálculo 2 2 2 6" xfId="595"/>
    <cellStyle name="Cálculo 2 2 2 7" xfId="989"/>
    <cellStyle name="Cálculo 2 2 2 8" xfId="1068"/>
    <cellStyle name="Cálculo 2 2 2 9" xfId="722"/>
    <cellStyle name="Cálculo 2 2 3" xfId="890"/>
    <cellStyle name="Cálculo 2 2 4" xfId="747"/>
    <cellStyle name="Cálculo 2 2 5" xfId="879"/>
    <cellStyle name="Cálculo 2 2 6" xfId="661"/>
    <cellStyle name="Cálculo 2 2 7" xfId="750"/>
    <cellStyle name="Cálculo 2 2 8" xfId="1032"/>
    <cellStyle name="Cálculo 2 2 9" xfId="728"/>
    <cellStyle name="Cálculo 2 3" xfId="457"/>
    <cellStyle name="Cálculo 2 3 10" xfId="674"/>
    <cellStyle name="Cálculo 2 3 11" xfId="986"/>
    <cellStyle name="Cálculo 2 3 12" xfId="580"/>
    <cellStyle name="Cálculo 2 3 13" xfId="1217"/>
    <cellStyle name="Cálculo 2 3 14" xfId="1013"/>
    <cellStyle name="Cálculo 2 3 2" xfId="828"/>
    <cellStyle name="Cálculo 2 3 3" xfId="791"/>
    <cellStyle name="Cálculo 2 3 4" xfId="802"/>
    <cellStyle name="Cálculo 2 3 5" xfId="616"/>
    <cellStyle name="Cálculo 2 3 6" xfId="807"/>
    <cellStyle name="Cálculo 2 3 7" xfId="808"/>
    <cellStyle name="Cálculo 2 3 8" xfId="710"/>
    <cellStyle name="Cálculo 2 3 9" xfId="757"/>
    <cellStyle name="Cálculo 2 4" xfId="571"/>
    <cellStyle name="Cálculo 2 5" xfId="678"/>
    <cellStyle name="Cálculo 2 6" xfId="929"/>
    <cellStyle name="Cálculo 2 7" xfId="690"/>
    <cellStyle name="Cálculo 2 8" xfId="96"/>
    <cellStyle name="Cálculo 2 9" xfId="1027"/>
    <cellStyle name="Cálculo 3" xfId="288"/>
    <cellStyle name="Cálculo 3 10" xfId="856"/>
    <cellStyle name="Cálculo 3 2" xfId="459"/>
    <cellStyle name="Cálculo 3 2 10" xfId="709"/>
    <cellStyle name="Cálculo 3 2 11" xfId="89"/>
    <cellStyle name="Cálculo 3 2 12" xfId="1201"/>
    <cellStyle name="Cálculo 3 2 13" xfId="960"/>
    <cellStyle name="Cálculo 3 2 14" xfId="1216"/>
    <cellStyle name="Cálculo 3 2 2" xfId="830"/>
    <cellStyle name="Cálculo 3 2 3" xfId="788"/>
    <cellStyle name="Cálculo 3 2 4" xfId="625"/>
    <cellStyle name="Cálculo 3 2 5" xfId="850"/>
    <cellStyle name="Cálculo 3 2 6" xfId="637"/>
    <cellStyle name="Cálculo 3 2 7" xfId="706"/>
    <cellStyle name="Cálculo 3 2 8" xfId="739"/>
    <cellStyle name="Cálculo 3 2 9" xfId="1059"/>
    <cellStyle name="Cálculo 3 3" xfId="583"/>
    <cellStyle name="Cálculo 3 4" xfId="557"/>
    <cellStyle name="Cálculo 3 5" xfId="716"/>
    <cellStyle name="Cálculo 3 6" xfId="748"/>
    <cellStyle name="Cálculo 3 7" xfId="741"/>
    <cellStyle name="Cálculo 3 8" xfId="995"/>
    <cellStyle name="Cálculo 3 9" xfId="95"/>
    <cellStyle name="Cálculo 4" xfId="149"/>
    <cellStyle name="Cálculo 4 10" xfId="997"/>
    <cellStyle name="Cálculo 4 2" xfId="460"/>
    <cellStyle name="Cálculo 4 2 10" xfId="1055"/>
    <cellStyle name="Cálculo 4 2 11" xfId="898"/>
    <cellStyle name="Cálculo 4 2 12" xfId="905"/>
    <cellStyle name="Cálculo 4 2 13" xfId="1073"/>
    <cellStyle name="Cálculo 4 2 14" xfId="1306"/>
    <cellStyle name="Cálculo 4 2 2" xfId="831"/>
    <cellStyle name="Cálculo 4 2 3" xfId="790"/>
    <cellStyle name="Cálculo 4 2 4" xfId="623"/>
    <cellStyle name="Cálculo 4 2 5" xfId="724"/>
    <cellStyle name="Cálculo 4 2 6" xfId="581"/>
    <cellStyle name="Cálculo 4 2 7" xfId="707"/>
    <cellStyle name="Cálculo 4 2 8" xfId="663"/>
    <cellStyle name="Cálculo 4 2 9" xfId="864"/>
    <cellStyle name="Cálculo 4 3" xfId="908"/>
    <cellStyle name="Cálculo 4 4" xfId="895"/>
    <cellStyle name="Cálculo 4 5" xfId="1070"/>
    <cellStyle name="Cálculo 4 6" xfId="1024"/>
    <cellStyle name="Cálculo 4 7" xfId="1209"/>
    <cellStyle name="Cálculo 4 8" xfId="817"/>
    <cellStyle name="Cálculo 4 9" xfId="851"/>
    <cellStyle name="Cálculo 5" xfId="456"/>
    <cellStyle name="Cálculo 5 10" xfId="1149"/>
    <cellStyle name="Cálculo 5 11" xfId="554"/>
    <cellStyle name="Cálculo 5 12" xfId="777"/>
    <cellStyle name="Cálculo 5 13" xfId="1272"/>
    <cellStyle name="Cálculo 5 14" xfId="1237"/>
    <cellStyle name="Cálculo 5 2" xfId="827"/>
    <cellStyle name="Cálculo 5 3" xfId="611"/>
    <cellStyle name="Cálculo 5 4" xfId="854"/>
    <cellStyle name="Cálculo 5 5" xfId="651"/>
    <cellStyle name="Cálculo 5 6" xfId="636"/>
    <cellStyle name="Cálculo 5 7" xfId="990"/>
    <cellStyle name="Cálculo 5 8" xfId="848"/>
    <cellStyle name="Cálculo 5 9" xfId="917"/>
    <cellStyle name="Cálculo 6" xfId="119"/>
    <cellStyle name="Celda de comprobación" xfId="41"/>
    <cellStyle name="Celda vinculada" xfId="42"/>
    <cellStyle name="Check Cell 2" xfId="289"/>
    <cellStyle name="Check Cell 3" xfId="290"/>
    <cellStyle name="Comma 2" xfId="291"/>
    <cellStyle name="Eingabe" xfId="43"/>
    <cellStyle name="Eingabe 2" xfId="292"/>
    <cellStyle name="Eingabe 2 10" xfId="1113"/>
    <cellStyle name="Eingabe 2 11" xfId="799"/>
    <cellStyle name="Eingabe 2 2" xfId="293"/>
    <cellStyle name="Eingabe 2 2 10" xfId="1220"/>
    <cellStyle name="Eingabe 2 2 2" xfId="463"/>
    <cellStyle name="Eingabe 2 2 2 10" xfId="770"/>
    <cellStyle name="Eingabe 2 2 2 11" xfId="1037"/>
    <cellStyle name="Eingabe 2 2 2 12" xfId="1176"/>
    <cellStyle name="Eingabe 2 2 2 13" xfId="723"/>
    <cellStyle name="Eingabe 2 2 2 14" xfId="1350"/>
    <cellStyle name="Eingabe 2 2 2 2" xfId="834"/>
    <cellStyle name="Eingabe 2 2 2 3" xfId="608"/>
    <cellStyle name="Eingabe 2 2 2 4" xfId="860"/>
    <cellStyle name="Eingabe 2 2 2 5" xfId="650"/>
    <cellStyle name="Eingabe 2 2 2 6" xfId="810"/>
    <cellStyle name="Eingabe 2 2 2 7" xfId="662"/>
    <cellStyle name="Eingabe 2 2 2 8" xfId="88"/>
    <cellStyle name="Eingabe 2 2 2 9" xfId="1028"/>
    <cellStyle name="Eingabe 2 2 3" xfId="892"/>
    <cellStyle name="Eingabe 2 2 4" xfId="762"/>
    <cellStyle name="Eingabe 2 2 5" xfId="642"/>
    <cellStyle name="Eingabe 2 2 6" xfId="553"/>
    <cellStyle name="Eingabe 2 2 7" xfId="940"/>
    <cellStyle name="Eingabe 2 2 8" xfId="951"/>
    <cellStyle name="Eingabe 2 2 9" xfId="654"/>
    <cellStyle name="Eingabe 2 3" xfId="462"/>
    <cellStyle name="Eingabe 2 3 10" xfId="99"/>
    <cellStyle name="Eingabe 2 3 11" xfId="100"/>
    <cellStyle name="Eingabe 2 3 12" xfId="113"/>
    <cellStyle name="Eingabe 2 3 13" xfId="1218"/>
    <cellStyle name="Eingabe 2 3 14" xfId="1349"/>
    <cellStyle name="Eingabe 2 3 2" xfId="833"/>
    <cellStyle name="Eingabe 2 3 3" xfId="789"/>
    <cellStyle name="Eingabe 2 3 4" xfId="624"/>
    <cellStyle name="Eingabe 2 3 5" xfId="126"/>
    <cellStyle name="Eingabe 2 3 6" xfId="893"/>
    <cellStyle name="Eingabe 2 3 7" xfId="781"/>
    <cellStyle name="Eingabe 2 3 8" xfId="751"/>
    <cellStyle name="Eingabe 2 3 9" xfId="703"/>
    <cellStyle name="Eingabe 2 4" xfId="685"/>
    <cellStyle name="Eingabe 2 5" xfId="746"/>
    <cellStyle name="Eingabe 2 6" xfId="870"/>
    <cellStyle name="Eingabe 2 7" xfId="1003"/>
    <cellStyle name="Eingabe 2 8" xfId="1090"/>
    <cellStyle name="Eingabe 2 9" xfId="962"/>
    <cellStyle name="Eingabe 3" xfId="294"/>
    <cellStyle name="Eingabe 3 10" xfId="631"/>
    <cellStyle name="Eingabe 3 2" xfId="464"/>
    <cellStyle name="Eingabe 3 2 10" xfId="1152"/>
    <cellStyle name="Eingabe 3 2 11" xfId="569"/>
    <cellStyle name="Eingabe 3 2 12" xfId="1079"/>
    <cellStyle name="Eingabe 3 2 13" xfId="1273"/>
    <cellStyle name="Eingabe 3 2 14" xfId="1351"/>
    <cellStyle name="Eingabe 3 2 2" xfId="835"/>
    <cellStyle name="Eingabe 3 2 3" xfId="607"/>
    <cellStyle name="Eingabe 3 2 4" xfId="733"/>
    <cellStyle name="Eingabe 3 2 5" xfId="649"/>
    <cellStyle name="Eingabe 3 2 6" xfId="889"/>
    <cellStyle name="Eingabe 3 2 7" xfId="576"/>
    <cellStyle name="Eingabe 3 2 8" xfId="698"/>
    <cellStyle name="Eingabe 3 2 9" xfId="112"/>
    <cellStyle name="Eingabe 3 3" xfId="686"/>
    <cellStyle name="Eingabe 3 4" xfId="676"/>
    <cellStyle name="Eingabe 3 5" xfId="928"/>
    <cellStyle name="Eingabe 3 6" xfId="92"/>
    <cellStyle name="Eingabe 3 7" xfId="774"/>
    <cellStyle name="Eingabe 3 8" xfId="564"/>
    <cellStyle name="Eingabe 3 9" xfId="655"/>
    <cellStyle name="Eingabe 4" xfId="150"/>
    <cellStyle name="Eingabe 4 10" xfId="1279"/>
    <cellStyle name="Eingabe 4 2" xfId="465"/>
    <cellStyle name="Eingabe 4 2 10" xfId="1151"/>
    <cellStyle name="Eingabe 4 2 11" xfId="1207"/>
    <cellStyle name="Eingabe 4 2 12" xfId="695"/>
    <cellStyle name="Eingabe 4 2 13" xfId="1106"/>
    <cellStyle name="Eingabe 4 2 14" xfId="1352"/>
    <cellStyle name="Eingabe 4 2 2" xfId="836"/>
    <cellStyle name="Eingabe 4 2 3" xfId="606"/>
    <cellStyle name="Eingabe 4 2 4" xfId="861"/>
    <cellStyle name="Eingabe 4 2 5" xfId="906"/>
    <cellStyle name="Eingabe 4 2 6" xfId="1038"/>
    <cellStyle name="Eingabe 4 2 7" xfId="992"/>
    <cellStyle name="Eingabe 4 2 8" xfId="1069"/>
    <cellStyle name="Eingabe 4 2 9" xfId="1025"/>
    <cellStyle name="Eingabe 4 3" xfId="909"/>
    <cellStyle name="Eingabe 4 4" xfId="640"/>
    <cellStyle name="Eingabe 4 5" xfId="1071"/>
    <cellStyle name="Eingabe 4 6" xfId="652"/>
    <cellStyle name="Eingabe 4 7" xfId="1210"/>
    <cellStyle name="Eingabe 4 8" xfId="700"/>
    <cellStyle name="Eingabe 4 9" xfId="1242"/>
    <cellStyle name="Eingabe 5" xfId="461"/>
    <cellStyle name="Eingabe 5 10" xfId="694"/>
    <cellStyle name="Eingabe 5 11" xfId="1204"/>
    <cellStyle name="Eingabe 5 12" xfId="1178"/>
    <cellStyle name="Eingabe 5 13" xfId="1053"/>
    <cellStyle name="Eingabe 5 14" xfId="1203"/>
    <cellStyle name="Eingabe 5 2" xfId="832"/>
    <cellStyle name="Eingabe 5 3" xfId="609"/>
    <cellStyle name="Eingabe 5 4" xfId="732"/>
    <cellStyle name="Eingabe 5 5" xfId="589"/>
    <cellStyle name="Eingabe 5 6" xfId="815"/>
    <cellStyle name="Eingabe 5 7" xfId="988"/>
    <cellStyle name="Eingabe 5 8" xfId="1066"/>
    <cellStyle name="Eingabe 5 9" xfId="867"/>
    <cellStyle name="Eingabe 6" xfId="122"/>
    <cellStyle name="Encabezado 4" xfId="44"/>
    <cellStyle name="Énfasis1" xfId="45"/>
    <cellStyle name="Énfasis2" xfId="46"/>
    <cellStyle name="Énfasis3" xfId="47"/>
    <cellStyle name="Énfasis4" xfId="48"/>
    <cellStyle name="Énfasis5" xfId="49"/>
    <cellStyle name="Énfasis6" xfId="50"/>
    <cellStyle name="Énfasis6 2" xfId="295"/>
    <cellStyle name="Énfasis6 2 2" xfId="296"/>
    <cellStyle name="Énfasis6 3" xfId="297"/>
    <cellStyle name="Énfasis6_Ireland_NP-Proposal_2011-2013_Tables" xfId="298"/>
    <cellStyle name="Entrada" xfId="51"/>
    <cellStyle name="Entrada 2" xfId="299"/>
    <cellStyle name="Entrada 2 10" xfId="1052"/>
    <cellStyle name="Entrada 2 11" xfId="1126"/>
    <cellStyle name="Entrada 2 2" xfId="300"/>
    <cellStyle name="Entrada 2 2 10" xfId="1125"/>
    <cellStyle name="Entrada 2 2 2" xfId="468"/>
    <cellStyle name="Entrada 2 2 2 10" xfId="811"/>
    <cellStyle name="Entrada 2 2 2 11" xfId="1257"/>
    <cellStyle name="Entrada 2 2 2 12" xfId="1294"/>
    <cellStyle name="Entrada 2 2 2 13" xfId="1325"/>
    <cellStyle name="Entrada 2 2 2 14" xfId="1355"/>
    <cellStyle name="Entrada 2 2 2 2" xfId="839"/>
    <cellStyle name="Entrada 2 2 2 3" xfId="784"/>
    <cellStyle name="Entrada 2 2 2 4" xfId="803"/>
    <cellStyle name="Entrada 2 2 2 5" xfId="973"/>
    <cellStyle name="Entrada 2 2 2 6" xfId="1041"/>
    <cellStyle name="Entrada 2 2 2 7" xfId="555"/>
    <cellStyle name="Entrada 2 2 2 8" xfId="1136"/>
    <cellStyle name="Entrada 2 2 2 9" xfId="1186"/>
    <cellStyle name="Entrada 2 2 3" xfId="689"/>
    <cellStyle name="Entrada 2 2 4" xfId="672"/>
    <cellStyle name="Entrada 2 2 5" xfId="891"/>
    <cellStyle name="Entrada 2 2 6" xfId="961"/>
    <cellStyle name="Entrada 2 2 7" xfId="880"/>
    <cellStyle name="Entrada 2 2 8" xfId="566"/>
    <cellStyle name="Entrada 2 2 9" xfId="1092"/>
    <cellStyle name="Entrada 2 3" xfId="467"/>
    <cellStyle name="Entrada 2 3 10" xfId="559"/>
    <cellStyle name="Entrada 2 3 11" xfId="1256"/>
    <cellStyle name="Entrada 2 3 12" xfId="1293"/>
    <cellStyle name="Entrada 2 3 13" xfId="1324"/>
    <cellStyle name="Entrada 2 3 14" xfId="1354"/>
    <cellStyle name="Entrada 2 3 2" xfId="838"/>
    <cellStyle name="Entrada 2 3 3" xfId="605"/>
    <cellStyle name="Entrada 2 3 4" xfId="734"/>
    <cellStyle name="Entrada 2 3 5" xfId="972"/>
    <cellStyle name="Entrada 2 3 6" xfId="1040"/>
    <cellStyle name="Entrada 2 3 7" xfId="991"/>
    <cellStyle name="Entrada 2 3 8" xfId="1135"/>
    <cellStyle name="Entrada 2 3 9" xfId="1185"/>
    <cellStyle name="Entrada 2 4" xfId="688"/>
    <cellStyle name="Entrada 2 5" xfId="673"/>
    <cellStyle name="Entrada 2 6" xfId="927"/>
    <cellStyle name="Entrada 2 7" xfId="107"/>
    <cellStyle name="Entrada 2 8" xfId="897"/>
    <cellStyle name="Entrada 2 9" xfId="1127"/>
    <cellStyle name="Entrada 3" xfId="301"/>
    <cellStyle name="Entrada 4" xfId="302"/>
    <cellStyle name="Entrada 5" xfId="303"/>
    <cellStyle name="Entrada 5 10" xfId="1128"/>
    <cellStyle name="Entrada 5 2" xfId="469"/>
    <cellStyle name="Entrada 5 2 10" xfId="675"/>
    <cellStyle name="Entrada 5 2 11" xfId="1258"/>
    <cellStyle name="Entrada 5 2 12" xfId="1295"/>
    <cellStyle name="Entrada 5 2 13" xfId="1326"/>
    <cellStyle name="Entrada 5 2 14" xfId="1356"/>
    <cellStyle name="Entrada 5 2 2" xfId="840"/>
    <cellStyle name="Entrada 5 2 3" xfId="786"/>
    <cellStyle name="Entrada 5 2 4" xfId="626"/>
    <cellStyle name="Entrada 5 2 5" xfId="974"/>
    <cellStyle name="Entrada 5 2 6" xfId="1042"/>
    <cellStyle name="Entrada 5 2 7" xfId="593"/>
    <cellStyle name="Entrada 5 2 8" xfId="1137"/>
    <cellStyle name="Entrada 5 2 9" xfId="1187"/>
    <cellStyle name="Entrada 5 3" xfId="572"/>
    <cellStyle name="Entrada 5 4" xfId="670"/>
    <cellStyle name="Entrada 5 5" xfId="123"/>
    <cellStyle name="Entrada 5 6" xfId="91"/>
    <cellStyle name="Entrada 5 7" xfId="756"/>
    <cellStyle name="Entrada 5 8" xfId="931"/>
    <cellStyle name="Entrada 5 9" xfId="1177"/>
    <cellStyle name="Entrada 6" xfId="151"/>
    <cellStyle name="Entrada 6 10" xfId="1197"/>
    <cellStyle name="Entrada 6 2" xfId="470"/>
    <cellStyle name="Entrada 6 2 10" xfId="1153"/>
    <cellStyle name="Entrada 6 2 11" xfId="1259"/>
    <cellStyle name="Entrada 6 2 12" xfId="1296"/>
    <cellStyle name="Entrada 6 2 13" xfId="1327"/>
    <cellStyle name="Entrada 6 2 14" xfId="1357"/>
    <cellStyle name="Entrada 6 2 2" xfId="841"/>
    <cellStyle name="Entrada 6 2 3" xfId="604"/>
    <cellStyle name="Entrada 6 2 4" xfId="585"/>
    <cellStyle name="Entrada 6 2 5" xfId="975"/>
    <cellStyle name="Entrada 6 2 6" xfId="1043"/>
    <cellStyle name="Entrada 6 2 7" xfId="873"/>
    <cellStyle name="Entrada 6 2 8" xfId="1138"/>
    <cellStyle name="Entrada 6 2 9" xfId="1188"/>
    <cellStyle name="Entrada 6 3" xfId="646"/>
    <cellStyle name="Entrada 6 4" xfId="868"/>
    <cellStyle name="Entrada 6 5" xfId="648"/>
    <cellStyle name="Entrada 6 6" xfId="999"/>
    <cellStyle name="Entrada 6 7" xfId="639"/>
    <cellStyle name="Entrada 6 8" xfId="1157"/>
    <cellStyle name="Entrada 6 9" xfId="1174"/>
    <cellStyle name="Entrada 7" xfId="466"/>
    <cellStyle name="Entrada 7 10" xfId="1060"/>
    <cellStyle name="Entrada 7 11" xfId="1255"/>
    <cellStyle name="Entrada 7 12" xfId="1292"/>
    <cellStyle name="Entrada 7 13" xfId="1323"/>
    <cellStyle name="Entrada 7 14" xfId="1353"/>
    <cellStyle name="Entrada 7 2" xfId="837"/>
    <cellStyle name="Entrada 7 3" xfId="787"/>
    <cellStyle name="Entrada 7 4" xfId="804"/>
    <cellStyle name="Entrada 7 5" xfId="971"/>
    <cellStyle name="Entrada 7 6" xfId="1039"/>
    <cellStyle name="Entrada 7 7" xfId="798"/>
    <cellStyle name="Entrada 7 8" xfId="1134"/>
    <cellStyle name="Entrada 7 9" xfId="1184"/>
    <cellStyle name="Entrada 8" xfId="128"/>
    <cellStyle name="Ergebnis" xfId="52"/>
    <cellStyle name="Ergebnis 2" xfId="304"/>
    <cellStyle name="Ergebnis 2 10" xfId="797"/>
    <cellStyle name="Ergebnis 2 11" xfId="1026"/>
    <cellStyle name="Ergebnis 2 2" xfId="305"/>
    <cellStyle name="Ergebnis 2 2 10" xfId="1208"/>
    <cellStyle name="Ergebnis 2 2 2" xfId="473"/>
    <cellStyle name="Ergebnis 2 2 2 10" xfId="1154"/>
    <cellStyle name="Ergebnis 2 2 2 11" xfId="1262"/>
    <cellStyle name="Ergebnis 2 2 2 12" xfId="1299"/>
    <cellStyle name="Ergebnis 2 2 2 13" xfId="1330"/>
    <cellStyle name="Ergebnis 2 2 2 14" xfId="1360"/>
    <cellStyle name="Ergebnis 2 2 2 2" xfId="844"/>
    <cellStyle name="Ergebnis 2 2 2 3" xfId="602"/>
    <cellStyle name="Ergebnis 2 2 2 4" xfId="859"/>
    <cellStyle name="Ergebnis 2 2 2 5" xfId="978"/>
    <cellStyle name="Ergebnis 2 2 2 6" xfId="1046"/>
    <cellStyle name="Ergebnis 2 2 2 7" xfId="816"/>
    <cellStyle name="Ergebnis 2 2 2 8" xfId="1141"/>
    <cellStyle name="Ergebnis 2 2 2 9" xfId="1191"/>
    <cellStyle name="Ergebnis 2 2 3" xfId="94"/>
    <cellStyle name="Ergebnis 2 2 4" xfId="668"/>
    <cellStyle name="Ergebnis 2 2 5" xfId="681"/>
    <cellStyle name="Ergebnis 2 2 6" xfId="959"/>
    <cellStyle name="Ergebnis 2 2 7" xfId="560"/>
    <cellStyle name="Ergebnis 2 2 8" xfId="759"/>
    <cellStyle name="Ergebnis 2 2 9" xfId="109"/>
    <cellStyle name="Ergebnis 2 3" xfId="472"/>
    <cellStyle name="Ergebnis 2 3 10" xfId="628"/>
    <cellStyle name="Ergebnis 2 3 11" xfId="1261"/>
    <cellStyle name="Ergebnis 2 3 12" xfId="1298"/>
    <cellStyle name="Ergebnis 2 3 13" xfId="1329"/>
    <cellStyle name="Ergebnis 2 3 14" xfId="1359"/>
    <cellStyle name="Ergebnis 2 3 2" xfId="843"/>
    <cellStyle name="Ergebnis 2 3 3" xfId="603"/>
    <cellStyle name="Ergebnis 2 3 4" xfId="862"/>
    <cellStyle name="Ergebnis 2 3 5" xfId="977"/>
    <cellStyle name="Ergebnis 2 3 6" xfId="1045"/>
    <cellStyle name="Ergebnis 2 3 7" xfId="993"/>
    <cellStyle name="Ergebnis 2 3 8" xfId="1140"/>
    <cellStyle name="Ergebnis 2 3 9" xfId="1190"/>
    <cellStyle name="Ergebnis 2 4" xfId="872"/>
    <cellStyle name="Ergebnis 2 5" xfId="669"/>
    <cellStyle name="Ergebnis 2 6" xfId="599"/>
    <cellStyle name="Ergebnis 2 7" xfId="90"/>
    <cellStyle name="Ergebnis 2 8" xfId="718"/>
    <cellStyle name="Ergebnis 2 9" xfId="558"/>
    <cellStyle name="Ergebnis 3" xfId="306"/>
    <cellStyle name="Ergebnis 3 10" xfId="1094"/>
    <cellStyle name="Ergebnis 3 2" xfId="474"/>
    <cellStyle name="Ergebnis 3 2 10" xfId="1104"/>
    <cellStyle name="Ergebnis 3 2 11" xfId="1263"/>
    <cellStyle name="Ergebnis 3 2 12" xfId="1300"/>
    <cellStyle name="Ergebnis 3 2 13" xfId="1331"/>
    <cellStyle name="Ergebnis 3 2 14" xfId="1361"/>
    <cellStyle name="Ergebnis 3 2 2" xfId="845"/>
    <cellStyle name="Ergebnis 3 2 3" xfId="601"/>
    <cellStyle name="Ergebnis 3 2 4" xfId="735"/>
    <cellStyle name="Ergebnis 3 2 5" xfId="979"/>
    <cellStyle name="Ergebnis 3 2 6" xfId="1047"/>
    <cellStyle name="Ergebnis 3 2 7" xfId="994"/>
    <cellStyle name="Ergebnis 3 2 8" xfId="1142"/>
    <cellStyle name="Ergebnis 3 2 9" xfId="1192"/>
    <cellStyle name="Ergebnis 3 3" xfId="93"/>
    <cellStyle name="Ergebnis 3 4" xfId="667"/>
    <cellStyle name="Ergebnis 3 5" xfId="871"/>
    <cellStyle name="Ergebnis 3 6" xfId="643"/>
    <cellStyle name="Ergebnis 3 7" xfId="888"/>
    <cellStyle name="Ergebnis 3 8" xfId="1124"/>
    <cellStyle name="Ergebnis 3 9" xfId="812"/>
    <cellStyle name="Ergebnis 4" xfId="152"/>
    <cellStyle name="Ergebnis 4 10" xfId="1081"/>
    <cellStyle name="Ergebnis 4 2" xfId="475"/>
    <cellStyle name="Ergebnis 4 2 10" xfId="778"/>
    <cellStyle name="Ergebnis 4 2 11" xfId="1264"/>
    <cellStyle name="Ergebnis 4 2 12" xfId="1301"/>
    <cellStyle name="Ergebnis 4 2 13" xfId="1332"/>
    <cellStyle name="Ergebnis 4 2 14" xfId="1362"/>
    <cellStyle name="Ergebnis 4 2 2" xfId="846"/>
    <cellStyle name="Ergebnis 4 2 3" xfId="783"/>
    <cellStyle name="Ergebnis 4 2 4" xfId="627"/>
    <cellStyle name="Ergebnis 4 2 5" xfId="980"/>
    <cellStyle name="Ergebnis 4 2 6" xfId="1048"/>
    <cellStyle name="Ergebnis 4 2 7" xfId="127"/>
    <cellStyle name="Ergebnis 4 2 8" xfId="1143"/>
    <cellStyle name="Ergebnis 4 2 9" xfId="1193"/>
    <cellStyle name="Ergebnis 4 3" xfId="647"/>
    <cellStyle name="Ergebnis 4 4" xfId="582"/>
    <cellStyle name="Ergebnis 4 5" xfId="632"/>
    <cellStyle name="Ergebnis 4 6" xfId="1029"/>
    <cellStyle name="Ergebnis 4 7" xfId="590"/>
    <cellStyle name="Ergebnis 4 8" xfId="1175"/>
    <cellStyle name="Ergebnis 4 9" xfId="763"/>
    <cellStyle name="Ergebnis 5" xfId="471"/>
    <cellStyle name="Ergebnis 5 10" xfId="771"/>
    <cellStyle name="Ergebnis 5 11" xfId="1260"/>
    <cellStyle name="Ergebnis 5 12" xfId="1297"/>
    <cellStyle name="Ergebnis 5 13" xfId="1328"/>
    <cellStyle name="Ergebnis 5 14" xfId="1358"/>
    <cellStyle name="Ergebnis 5 2" xfId="842"/>
    <cellStyle name="Ergebnis 5 3" xfId="785"/>
    <cellStyle name="Ergebnis 5 4" xfId="805"/>
    <cellStyle name="Ergebnis 5 5" xfId="976"/>
    <cellStyle name="Ergebnis 5 6" xfId="1044"/>
    <cellStyle name="Ergebnis 5 7" xfId="705"/>
    <cellStyle name="Ergebnis 5 8" xfId="1139"/>
    <cellStyle name="Ergebnis 5 9" xfId="1189"/>
    <cellStyle name="Ergebnis 6" xfId="129"/>
    <cellStyle name="Erklärender Text" xfId="53"/>
    <cellStyle name="Erklärender Text 2" xfId="307"/>
    <cellStyle name="Erklärender Text 3" xfId="308"/>
    <cellStyle name="Excel Built-in Normal" xfId="309"/>
    <cellStyle name="Explanatory Text 2" xfId="310"/>
    <cellStyle name="Good 2" xfId="311"/>
    <cellStyle name="Good 3" xfId="312"/>
    <cellStyle name="Gut" xfId="313"/>
    <cellStyle name="Heading 1 2" xfId="314"/>
    <cellStyle name="Heading 1 3" xfId="315"/>
    <cellStyle name="Heading 2 2" xfId="316"/>
    <cellStyle name="Heading 2 3" xfId="317"/>
    <cellStyle name="Heading 3 2" xfId="318"/>
    <cellStyle name="Heading 3 3" xfId="319"/>
    <cellStyle name="Heading 4 2" xfId="320"/>
    <cellStyle name="Heading 4 3" xfId="321"/>
    <cellStyle name="Hyperlink" xfId="83" builtinId="8"/>
    <cellStyle name="Incorrecto" xfId="54"/>
    <cellStyle name="Input 2" xfId="322"/>
    <cellStyle name="Input 2 10" xfId="1287"/>
    <cellStyle name="Input 2 2" xfId="476"/>
    <cellStyle name="Input 2 2 10" xfId="1155"/>
    <cellStyle name="Input 2 2 11" xfId="1265"/>
    <cellStyle name="Input 2 2 12" xfId="1302"/>
    <cellStyle name="Input 2 2 13" xfId="1333"/>
    <cellStyle name="Input 2 2 14" xfId="1363"/>
    <cellStyle name="Input 2 2 2" xfId="847"/>
    <cellStyle name="Input 2 2 3" xfId="600"/>
    <cellStyle name="Input 2 2 4" xfId="736"/>
    <cellStyle name="Input 2 2 5" xfId="981"/>
    <cellStyle name="Input 2 2 6" xfId="1049"/>
    <cellStyle name="Input 2 2 7" xfId="943"/>
    <cellStyle name="Input 2 2 8" xfId="1144"/>
    <cellStyle name="Input 2 2 9" xfId="1194"/>
    <cellStyle name="Input 2 3" xfId="697"/>
    <cellStyle name="Input 2 4" xfId="638"/>
    <cellStyle name="Input 2 5" xfId="644"/>
    <cellStyle name="Input 2 6" xfId="592"/>
    <cellStyle name="Input 2 7" xfId="586"/>
    <cellStyle name="Input 2 8" xfId="987"/>
    <cellStyle name="Input 2 9" xfId="1250"/>
    <cellStyle name="Linked Cell 2" xfId="323"/>
    <cellStyle name="Linked Cell 3" xfId="324"/>
    <cellStyle name="Neutral 2" xfId="325"/>
    <cellStyle name="Neutral 3" xfId="326"/>
    <cellStyle name="Neutral 4" xfId="327"/>
    <cellStyle name="Neutral 5" xfId="328"/>
    <cellStyle name="Normal" xfId="0" builtinId="0"/>
    <cellStyle name="Normal 10" xfId="84"/>
    <cellStyle name="Normal 11" xfId="329"/>
    <cellStyle name="Normal 12" xfId="146"/>
    <cellStyle name="Normal 13" xfId="145"/>
    <cellStyle name="Normal 13 2" xfId="477"/>
    <cellStyle name="Normal 14" xfId="546"/>
    <cellStyle name="Normal 15" xfId="1379"/>
    <cellStyle name="Normal 2" xfId="55"/>
    <cellStyle name="Normal 2 2" xfId="56"/>
    <cellStyle name="Normal 2 2 2" xfId="330"/>
    <cellStyle name="Normal 2 2 2 2" xfId="479"/>
    <cellStyle name="Normal 2 3" xfId="331"/>
    <cellStyle name="Normal 2 3 2" xfId="332"/>
    <cellStyle name="Normal 2 3 2 2" xfId="481"/>
    <cellStyle name="Normal 2 3 3" xfId="480"/>
    <cellStyle name="Normal 2 4" xfId="333"/>
    <cellStyle name="Normal 2 4 2" xfId="482"/>
    <cellStyle name="Normal 2 5" xfId="153"/>
    <cellStyle name="Normal 2 5 2" xfId="483"/>
    <cellStyle name="Normal 2 6" xfId="478"/>
    <cellStyle name="Normal 2 7" xfId="130"/>
    <cellStyle name="Normal 21" xfId="81"/>
    <cellStyle name="Normal 3" xfId="57"/>
    <cellStyle name="Normal 3 2" xfId="334"/>
    <cellStyle name="Normal 3 2 2" xfId="335"/>
    <cellStyle name="Normal 3 2 2 2" xfId="336"/>
    <cellStyle name="Normal 3 2 2 2 2" xfId="337"/>
    <cellStyle name="Normal 3 2 2 2 2 2" xfId="487"/>
    <cellStyle name="Normal 3 2 2 2 3" xfId="486"/>
    <cellStyle name="Normal 3 2 2 3" xfId="485"/>
    <cellStyle name="Normal 3 2 3" xfId="338"/>
    <cellStyle name="Normal 3 2 3 2" xfId="339"/>
    <cellStyle name="Normal 3 2 3 2 2" xfId="489"/>
    <cellStyle name="Normal 3 2 3 3" xfId="488"/>
    <cellStyle name="Normal 3 3" xfId="340"/>
    <cellStyle name="Normal 3 3 2" xfId="490"/>
    <cellStyle name="Normal 3 4" xfId="341"/>
    <cellStyle name="Normal 3 4 2" xfId="491"/>
    <cellStyle name="Normal 3 5" xfId="154"/>
    <cellStyle name="Normal 3 5 2" xfId="492"/>
    <cellStyle name="Normal 3 6" xfId="484"/>
    <cellStyle name="Normal 3 7" xfId="132"/>
    <cellStyle name="Normal 4" xfId="80"/>
    <cellStyle name="Normal 4 2" xfId="342"/>
    <cellStyle name="Normal 4 2 2" xfId="494"/>
    <cellStyle name="Normal 4 3" xfId="343"/>
    <cellStyle name="Normal 4 3 2" xfId="495"/>
    <cellStyle name="Normal 4 4" xfId="344"/>
    <cellStyle name="Normal 4 5" xfId="164"/>
    <cellStyle name="Normal 4 5 2" xfId="496"/>
    <cellStyle name="Normal 4 6" xfId="493"/>
    <cellStyle name="Normal 4 7" xfId="143"/>
    <cellStyle name="Normal 5" xfId="345"/>
    <cellStyle name="Normal 5 2" xfId="346"/>
    <cellStyle name="Normal 5 2 2" xfId="498"/>
    <cellStyle name="Normal 5 3" xfId="347"/>
    <cellStyle name="Normal 5 3 2" xfId="499"/>
    <cellStyle name="Normal 5 4" xfId="497"/>
    <cellStyle name="Normal 6" xfId="348"/>
    <cellStyle name="Normal 7" xfId="349"/>
    <cellStyle name="Normal 7 2" xfId="350"/>
    <cellStyle name="Normal 7 2 2" xfId="501"/>
    <cellStyle name="Normal 7 3" xfId="351"/>
    <cellStyle name="Normal 7 3 2" xfId="502"/>
    <cellStyle name="Normal 7 4" xfId="500"/>
    <cellStyle name="Normal 8" xfId="352"/>
    <cellStyle name="Normal 8 2" xfId="353"/>
    <cellStyle name="Normal 8 2 2" xfId="504"/>
    <cellStyle name="Normal 8 3" xfId="354"/>
    <cellStyle name="Normal 8 3 2" xfId="505"/>
    <cellStyle name="Normal 8 4" xfId="503"/>
    <cellStyle name="Normal 9" xfId="355"/>
    <cellStyle name="Normale 2" xfId="58"/>
    <cellStyle name="Normale 2 2" xfId="59"/>
    <cellStyle name="Normale 2 9" xfId="356"/>
    <cellStyle name="Normale 2 9 2" xfId="357"/>
    <cellStyle name="Normale 2_DCF_Guidelines_Standard-Tables_Version-2009" xfId="358"/>
    <cellStyle name="Normale 2_DCF_Guidelines_Standard-Tables_Version-2009 2" xfId="60"/>
    <cellStyle name="Normale 3" xfId="61"/>
    <cellStyle name="Normale 3 2" xfId="62"/>
    <cellStyle name="Normale 3 2 2" xfId="359"/>
    <cellStyle name="Normale 3 3" xfId="360"/>
    <cellStyle name="Normale 4" xfId="63"/>
    <cellStyle name="Normale 4 2" xfId="361"/>
    <cellStyle name="Normale 4 2 2" xfId="362"/>
    <cellStyle name="Normale 4 2 2 2" xfId="508"/>
    <cellStyle name="Normale 4 2 3" xfId="507"/>
    <cellStyle name="Normale 4 3" xfId="363"/>
    <cellStyle name="Normale 4 3 2" xfId="509"/>
    <cellStyle name="Normale 4 4" xfId="155"/>
    <cellStyle name="Normale 4 4 2" xfId="510"/>
    <cellStyle name="Normale 4 5" xfId="506"/>
    <cellStyle name="Normale 4 6" xfId="134"/>
    <cellStyle name="Normale_Guidelines_NP-Proposals_Standard-Tables_Version-2006_Final" xfId="364"/>
    <cellStyle name="Notas" xfId="64"/>
    <cellStyle name="Notas 2" xfId="365"/>
    <cellStyle name="Notas 2 10" xfId="114"/>
    <cellStyle name="Notas 2 2" xfId="512"/>
    <cellStyle name="Notas 2 2 10" xfId="1239"/>
    <cellStyle name="Notas 2 2 11" xfId="1276"/>
    <cellStyle name="Notas 2 2 12" xfId="1309"/>
    <cellStyle name="Notas 2 2 13" xfId="1335"/>
    <cellStyle name="Notas 2 2 14" xfId="1365"/>
    <cellStyle name="Notas 2 2 2" xfId="875"/>
    <cellStyle name="Notas 2 2 3" xfId="913"/>
    <cellStyle name="Notas 2 2 4" xfId="948"/>
    <cellStyle name="Notas 2 2 5" xfId="1009"/>
    <cellStyle name="Notas 2 2 6" xfId="1075"/>
    <cellStyle name="Notas 2 2 7" xfId="1108"/>
    <cellStyle name="Notas 2 2 8" xfId="1163"/>
    <cellStyle name="Notas 2 2 9" xfId="1213"/>
    <cellStyle name="Notas 2 3" xfId="720"/>
    <cellStyle name="Notas 2 4" xfId="769"/>
    <cellStyle name="Notas 2 5" xfId="761"/>
    <cellStyle name="Notas 2 6" xfId="945"/>
    <cellStyle name="Notas 2 7" xfId="106"/>
    <cellStyle name="Notas 2 8" xfId="933"/>
    <cellStyle name="Notas 2 9" xfId="711"/>
    <cellStyle name="Notas 3" xfId="156"/>
    <cellStyle name="Notas 3 10" xfId="1307"/>
    <cellStyle name="Notas 3 2" xfId="513"/>
    <cellStyle name="Notas 3 2 10" xfId="1240"/>
    <cellStyle name="Notas 3 2 11" xfId="1277"/>
    <cellStyle name="Notas 3 2 12" xfId="1310"/>
    <cellStyle name="Notas 3 2 13" xfId="1336"/>
    <cellStyle name="Notas 3 2 14" xfId="1366"/>
    <cellStyle name="Notas 3 2 2" xfId="876"/>
    <cellStyle name="Notas 3 2 3" xfId="914"/>
    <cellStyle name="Notas 3 2 4" xfId="949"/>
    <cellStyle name="Notas 3 2 5" xfId="1010"/>
    <cellStyle name="Notas 3 2 6" xfId="1076"/>
    <cellStyle name="Notas 3 2 7" xfId="1109"/>
    <cellStyle name="Notas 3 2 8" xfId="1164"/>
    <cellStyle name="Notas 3 2 9" xfId="1214"/>
    <cellStyle name="Notas 3 3" xfId="578"/>
    <cellStyle name="Notas 3 4" xfId="942"/>
    <cellStyle name="Notas 3 5" xfId="1014"/>
    <cellStyle name="Notas 3 6" xfId="1103"/>
    <cellStyle name="Notas 3 7" xfId="1166"/>
    <cellStyle name="Notas 3 8" xfId="1235"/>
    <cellStyle name="Notas 3 9" xfId="1274"/>
    <cellStyle name="Notas 4" xfId="511"/>
    <cellStyle name="Notas 4 10" xfId="1238"/>
    <cellStyle name="Notas 4 11" xfId="1275"/>
    <cellStyle name="Notas 4 12" xfId="1308"/>
    <cellStyle name="Notas 4 13" xfId="1334"/>
    <cellStyle name="Notas 4 14" xfId="1364"/>
    <cellStyle name="Notas 4 2" xfId="874"/>
    <cellStyle name="Notas 4 3" xfId="912"/>
    <cellStyle name="Notas 4 4" xfId="947"/>
    <cellStyle name="Notas 4 5" xfId="1008"/>
    <cellStyle name="Notas 4 6" xfId="1074"/>
    <cellStyle name="Notas 4 7" xfId="1107"/>
    <cellStyle name="Notas 4 8" xfId="1162"/>
    <cellStyle name="Notas 4 9" xfId="1212"/>
    <cellStyle name="Notas 5" xfId="135"/>
    <cellStyle name="Note 2" xfId="366"/>
    <cellStyle name="Note 2 10" xfId="1111"/>
    <cellStyle name="Note 2 2" xfId="514"/>
    <cellStyle name="Note 2 2 10" xfId="1241"/>
    <cellStyle name="Note 2 2 11" xfId="1278"/>
    <cellStyle name="Note 2 2 12" xfId="1311"/>
    <cellStyle name="Note 2 2 13" xfId="1337"/>
    <cellStyle name="Note 2 2 14" xfId="1367"/>
    <cellStyle name="Note 2 2 2" xfId="877"/>
    <cellStyle name="Note 2 2 3" xfId="915"/>
    <cellStyle name="Note 2 2 4" xfId="950"/>
    <cellStyle name="Note 2 2 5" xfId="1011"/>
    <cellStyle name="Note 2 2 6" xfId="1077"/>
    <cellStyle name="Note 2 2 7" xfId="1110"/>
    <cellStyle name="Note 2 2 8" xfId="1165"/>
    <cellStyle name="Note 2 2 9" xfId="1215"/>
    <cellStyle name="Note 2 3" xfId="133"/>
    <cellStyle name="Note 2 4" xfId="659"/>
    <cellStyle name="Note 2 5" xfId="665"/>
    <cellStyle name="Note 2 6" xfId="108"/>
    <cellStyle name="Note 2 7" xfId="964"/>
    <cellStyle name="Note 2 8" xfId="1129"/>
    <cellStyle name="Note 2 9" xfId="1015"/>
    <cellStyle name="Note 3" xfId="367"/>
    <cellStyle name="Note 3 2" xfId="368"/>
    <cellStyle name="Note 3 2 2" xfId="516"/>
    <cellStyle name="Note 3 3" xfId="369"/>
    <cellStyle name="Note 3 3 2" xfId="517"/>
    <cellStyle name="Note 3 4" xfId="515"/>
    <cellStyle name="Note 4" xfId="370"/>
    <cellStyle name="Note 4 2" xfId="371"/>
    <cellStyle name="Note 4 2 2" xfId="519"/>
    <cellStyle name="Note 4 3" xfId="372"/>
    <cellStyle name="Note 4 3 2" xfId="520"/>
    <cellStyle name="Note 4 4" xfId="518"/>
    <cellStyle name="Notiz" xfId="65"/>
    <cellStyle name="Notiz 2" xfId="373"/>
    <cellStyle name="Notiz 2 10" xfId="1219"/>
    <cellStyle name="Notiz 2 2" xfId="522"/>
    <cellStyle name="Notiz 2 2 10" xfId="1244"/>
    <cellStyle name="Notiz 2 2 11" xfId="1281"/>
    <cellStyle name="Notiz 2 2 12" xfId="1313"/>
    <cellStyle name="Notiz 2 2 13" xfId="1339"/>
    <cellStyle name="Notiz 2 2 14" xfId="1369"/>
    <cellStyle name="Notiz 2 2 2" xfId="882"/>
    <cellStyle name="Notiz 2 2 3" xfId="920"/>
    <cellStyle name="Notiz 2 2 4" xfId="953"/>
    <cellStyle name="Notiz 2 2 5" xfId="1017"/>
    <cellStyle name="Notiz 2 2 6" xfId="1083"/>
    <cellStyle name="Notiz 2 2 7" xfId="1118"/>
    <cellStyle name="Notiz 2 2 8" xfId="1168"/>
    <cellStyle name="Notiz 2 2 9" xfId="1222"/>
    <cellStyle name="Notiz 2 3" xfId="587"/>
    <cellStyle name="Notiz 2 4" xfId="782"/>
    <cellStyle name="Notiz 2 5" xfId="664"/>
    <cellStyle name="Notiz 2 6" xfId="1051"/>
    <cellStyle name="Notiz 2 7" xfId="1001"/>
    <cellStyle name="Notiz 2 8" xfId="1195"/>
    <cellStyle name="Notiz 2 9" xfId="1050"/>
    <cellStyle name="Notiz 3" xfId="157"/>
    <cellStyle name="Notiz 3 10" xfId="120"/>
    <cellStyle name="Notiz 3 2" xfId="523"/>
    <cellStyle name="Notiz 3 2 10" xfId="1245"/>
    <cellStyle name="Notiz 3 2 11" xfId="1282"/>
    <cellStyle name="Notiz 3 2 12" xfId="1314"/>
    <cellStyle name="Notiz 3 2 13" xfId="1340"/>
    <cellStyle name="Notiz 3 2 14" xfId="1370"/>
    <cellStyle name="Notiz 3 2 2" xfId="883"/>
    <cellStyle name="Notiz 3 2 3" xfId="921"/>
    <cellStyle name="Notiz 3 2 4" xfId="954"/>
    <cellStyle name="Notiz 3 2 5" xfId="1018"/>
    <cellStyle name="Notiz 3 2 6" xfId="1084"/>
    <cellStyle name="Notiz 3 2 7" xfId="1119"/>
    <cellStyle name="Notiz 3 2 8" xfId="1169"/>
    <cellStyle name="Notiz 3 2 9" xfId="1223"/>
    <cellStyle name="Notiz 3 3" xfId="758"/>
    <cellStyle name="Notiz 3 4" xfId="714"/>
    <cellStyle name="Notiz 3 5" xfId="1012"/>
    <cellStyle name="Notiz 3 6" xfId="932"/>
    <cellStyle name="Notiz 3 7" xfId="946"/>
    <cellStyle name="Notiz 3 8" xfId="1089"/>
    <cellStyle name="Notiz 3 9" xfId="1112"/>
    <cellStyle name="Notiz 4" xfId="521"/>
    <cellStyle name="Notiz 4 10" xfId="1243"/>
    <cellStyle name="Notiz 4 11" xfId="1280"/>
    <cellStyle name="Notiz 4 12" xfId="1312"/>
    <cellStyle name="Notiz 4 13" xfId="1338"/>
    <cellStyle name="Notiz 4 14" xfId="1368"/>
    <cellStyle name="Notiz 4 2" xfId="881"/>
    <cellStyle name="Notiz 4 3" xfId="919"/>
    <cellStyle name="Notiz 4 4" xfId="952"/>
    <cellStyle name="Notiz 4 5" xfId="1016"/>
    <cellStyle name="Notiz 4 6" xfId="1082"/>
    <cellStyle name="Notiz 4 7" xfId="1117"/>
    <cellStyle name="Notiz 4 8" xfId="1167"/>
    <cellStyle name="Notiz 4 9" xfId="1221"/>
    <cellStyle name="Notiz 5" xfId="136"/>
    <cellStyle name="Output 2" xfId="374"/>
    <cellStyle name="Output 2 10" xfId="598"/>
    <cellStyle name="Output 2 2" xfId="524"/>
    <cellStyle name="Output 2 2 10" xfId="1246"/>
    <cellStyle name="Output 2 2 11" xfId="1283"/>
    <cellStyle name="Output 2 2 12" xfId="1315"/>
    <cellStyle name="Output 2 2 13" xfId="1341"/>
    <cellStyle name="Output 2 2 14" xfId="1371"/>
    <cellStyle name="Output 2 2 2" xfId="884"/>
    <cellStyle name="Output 2 2 3" xfId="922"/>
    <cellStyle name="Output 2 2 4" xfId="955"/>
    <cellStyle name="Output 2 2 5" xfId="1019"/>
    <cellStyle name="Output 2 2 6" xfId="1085"/>
    <cellStyle name="Output 2 2 7" xfId="1120"/>
    <cellStyle name="Output 2 2 8" xfId="1170"/>
    <cellStyle name="Output 2 2 9" xfId="1224"/>
    <cellStyle name="Output 2 3" xfId="721"/>
    <cellStyle name="Output 2 4" xfId="730"/>
    <cellStyle name="Output 2 5" xfId="742"/>
    <cellStyle name="Output 2 6" xfId="896"/>
    <cellStyle name="Output 2 7" xfId="1095"/>
    <cellStyle name="Output 2 8" xfId="1116"/>
    <cellStyle name="Output 2 9" xfId="653"/>
    <cellStyle name="Percent" xfId="82" builtinId="5"/>
    <cellStyle name="Percent 2" xfId="375"/>
    <cellStyle name="Percent 2 2" xfId="85"/>
    <cellStyle name="Percent 3" xfId="376"/>
    <cellStyle name="Percent 4" xfId="377"/>
    <cellStyle name="Percent 5" xfId="165"/>
    <cellStyle name="Percent 6" xfId="1380"/>
    <cellStyle name="Percentuale 2" xfId="378"/>
    <cellStyle name="Percentuale 2 2" xfId="379"/>
    <cellStyle name="Salida" xfId="66"/>
    <cellStyle name="Salida 2" xfId="380"/>
    <cellStyle name="Salida 2 10" xfId="1266"/>
    <cellStyle name="Salida 2 2" xfId="526"/>
    <cellStyle name="Salida 2 2 10" xfId="1248"/>
    <cellStyle name="Salida 2 2 11" xfId="1285"/>
    <cellStyle name="Salida 2 2 12" xfId="1317"/>
    <cellStyle name="Salida 2 2 13" xfId="1343"/>
    <cellStyle name="Salida 2 2 14" xfId="1373"/>
    <cellStyle name="Salida 2 2 2" xfId="886"/>
    <cellStyle name="Salida 2 2 3" xfId="924"/>
    <cellStyle name="Salida 2 2 4" xfId="957"/>
    <cellStyle name="Salida 2 2 5" xfId="1021"/>
    <cellStyle name="Salida 2 2 6" xfId="1087"/>
    <cellStyle name="Salida 2 2 7" xfId="1122"/>
    <cellStyle name="Salida 2 2 8" xfId="1172"/>
    <cellStyle name="Salida 2 2 9" xfId="1226"/>
    <cellStyle name="Salida 2 3" xfId="561"/>
    <cellStyle name="Salida 2 4" xfId="658"/>
    <cellStyle name="Salida 2 5" xfId="719"/>
    <cellStyle name="Salida 2 6" xfId="965"/>
    <cellStyle name="Salida 2 7" xfId="1105"/>
    <cellStyle name="Salida 2 8" xfId="853"/>
    <cellStyle name="Salida 2 9" xfId="1147"/>
    <cellStyle name="Salida 3" xfId="158"/>
    <cellStyle name="Salida 3 10" xfId="1080"/>
    <cellStyle name="Salida 3 2" xfId="527"/>
    <cellStyle name="Salida 3 2 10" xfId="1249"/>
    <cellStyle name="Salida 3 2 11" xfId="1286"/>
    <cellStyle name="Salida 3 2 12" xfId="1318"/>
    <cellStyle name="Salida 3 2 13" xfId="1344"/>
    <cellStyle name="Salida 3 2 14" xfId="1374"/>
    <cellStyle name="Salida 3 2 2" xfId="887"/>
    <cellStyle name="Salida 3 2 3" xfId="925"/>
    <cellStyle name="Salida 3 2 4" xfId="958"/>
    <cellStyle name="Salida 3 2 5" xfId="1022"/>
    <cellStyle name="Salida 3 2 6" xfId="1088"/>
    <cellStyle name="Salida 3 2 7" xfId="1123"/>
    <cellStyle name="Salida 3 2 8" xfId="1173"/>
    <cellStyle name="Salida 3 2 9" xfId="1227"/>
    <cellStyle name="Salida 3 3" xfId="567"/>
    <cellStyle name="Salida 3 4" xfId="547"/>
    <cellStyle name="Salida 3 5" xfId="767"/>
    <cellStyle name="Salida 3 6" xfId="743"/>
    <cellStyle name="Salida 3 7" xfId="1004"/>
    <cellStyle name="Salida 3 8" xfId="1093"/>
    <cellStyle name="Salida 3 9" xfId="814"/>
    <cellStyle name="Salida 4" xfId="525"/>
    <cellStyle name="Salida 4 10" xfId="1247"/>
    <cellStyle name="Salida 4 11" xfId="1284"/>
    <cellStyle name="Salida 4 12" xfId="1316"/>
    <cellStyle name="Salida 4 13" xfId="1342"/>
    <cellStyle name="Salida 4 14" xfId="1372"/>
    <cellStyle name="Salida 4 2" xfId="885"/>
    <cellStyle name="Salida 4 3" xfId="923"/>
    <cellStyle name="Salida 4 4" xfId="956"/>
    <cellStyle name="Salida 4 5" xfId="1020"/>
    <cellStyle name="Salida 4 6" xfId="1086"/>
    <cellStyle name="Salida 4 7" xfId="1121"/>
    <cellStyle name="Salida 4 8" xfId="1171"/>
    <cellStyle name="Salida 4 9" xfId="1225"/>
    <cellStyle name="Salida 5" xfId="137"/>
    <cellStyle name="Schlecht" xfId="381"/>
    <cellStyle name="Standard 2" xfId="67"/>
    <cellStyle name="Standard 2 2" xfId="68"/>
    <cellStyle name="Standard 2 2 2" xfId="78"/>
    <cellStyle name="Standard 2 2 2 2" xfId="79"/>
    <cellStyle name="Standard 2 2 2 2 2" xfId="163"/>
    <cellStyle name="Standard 2 2 2 2 2 2" xfId="532"/>
    <cellStyle name="Standard 2 2 2 2 3" xfId="531"/>
    <cellStyle name="Standard 2 2 2 2 4" xfId="142"/>
    <cellStyle name="Standard 2 2 2 3" xfId="162"/>
    <cellStyle name="Standard 2 2 2 3 2" xfId="533"/>
    <cellStyle name="Standard 2 2 2 4" xfId="530"/>
    <cellStyle name="Standard 2 2 2 5" xfId="141"/>
    <cellStyle name="Standard 2 2 3" xfId="382"/>
    <cellStyle name="Standard 2 2 3 2" xfId="534"/>
    <cellStyle name="Standard 2 2 4" xfId="160"/>
    <cellStyle name="Standard 2 2 4 2" xfId="535"/>
    <cellStyle name="Standard 2 2 5" xfId="529"/>
    <cellStyle name="Standard 2 2 6" xfId="139"/>
    <cellStyle name="Standard 2 3" xfId="77"/>
    <cellStyle name="Standard 2 3 2" xfId="383"/>
    <cellStyle name="Standard 2 3 2 2" xfId="537"/>
    <cellStyle name="Standard 2 3 3" xfId="161"/>
    <cellStyle name="Standard 2 3 3 2" xfId="538"/>
    <cellStyle name="Standard 2 3 4" xfId="536"/>
    <cellStyle name="Standard 2 3 5" xfId="140"/>
    <cellStyle name="Standard 2 4" xfId="384"/>
    <cellStyle name="Standard 2 4 2" xfId="539"/>
    <cellStyle name="Standard 2 5" xfId="159"/>
    <cellStyle name="Standard 2 5 2" xfId="540"/>
    <cellStyle name="Standard 2 6" xfId="528"/>
    <cellStyle name="Standard 2 7" xfId="138"/>
    <cellStyle name="Standard 3" xfId="385"/>
    <cellStyle name="Standard 3 2" xfId="541"/>
    <cellStyle name="Texto de advertencia" xfId="69"/>
    <cellStyle name="Texto explicativo" xfId="70"/>
    <cellStyle name="Title 2" xfId="386"/>
    <cellStyle name="Título" xfId="71"/>
    <cellStyle name="Título 1" xfId="72"/>
    <cellStyle name="Título 2" xfId="73"/>
    <cellStyle name="Título 3" xfId="74"/>
    <cellStyle name="Total 2" xfId="387"/>
    <cellStyle name="Total 2 10" xfId="633"/>
    <cellStyle name="Total 2 11" xfId="1267"/>
    <cellStyle name="Total 2 2" xfId="388"/>
    <cellStyle name="Total 2 2 10" xfId="911"/>
    <cellStyle name="Total 2 2 2" xfId="543"/>
    <cellStyle name="Total 2 2 2 10" xfId="1252"/>
    <cellStyle name="Total 2 2 2 11" xfId="1289"/>
    <cellStyle name="Total 2 2 2 12" xfId="1320"/>
    <cellStyle name="Total 2 2 2 13" xfId="1346"/>
    <cellStyle name="Total 2 2 2 14" xfId="1376"/>
    <cellStyle name="Total 2 2 2 2" xfId="900"/>
    <cellStyle name="Total 2 2 2 3" xfId="937"/>
    <cellStyle name="Total 2 2 2 4" xfId="967"/>
    <cellStyle name="Total 2 2 2 5" xfId="1034"/>
    <cellStyle name="Total 2 2 2 6" xfId="1098"/>
    <cellStyle name="Total 2 2 2 7" xfId="1131"/>
    <cellStyle name="Total 2 2 2 8" xfId="1181"/>
    <cellStyle name="Total 2 2 2 9" xfId="1232"/>
    <cellStyle name="Total 2 2 3" xfId="86"/>
    <cellStyle name="Total 2 2 4" xfId="729"/>
    <cellStyle name="Total 2 2 5" xfId="556"/>
    <cellStyle name="Total 2 2 6" xfId="941"/>
    <cellStyle name="Total 2 2 7" xfId="806"/>
    <cellStyle name="Total 2 2 8" xfId="1146"/>
    <cellStyle name="Total 2 2 9" xfId="970"/>
    <cellStyle name="Total 2 3" xfId="542"/>
    <cellStyle name="Total 2 3 10" xfId="1251"/>
    <cellStyle name="Total 2 3 11" xfId="1288"/>
    <cellStyle name="Total 2 3 12" xfId="1319"/>
    <cellStyle name="Total 2 3 13" xfId="1345"/>
    <cellStyle name="Total 2 3 14" xfId="1375"/>
    <cellStyle name="Total 2 3 2" xfId="899"/>
    <cellStyle name="Total 2 3 3" xfId="936"/>
    <cellStyle name="Total 2 3 4" xfId="966"/>
    <cellStyle name="Total 2 3 5" xfId="1033"/>
    <cellStyle name="Total 2 3 6" xfId="1097"/>
    <cellStyle name="Total 2 3 7" xfId="1130"/>
    <cellStyle name="Total 2 3 8" xfId="1180"/>
    <cellStyle name="Total 2 3 9" xfId="1231"/>
    <cellStyle name="Total 2 4" xfId="903"/>
    <cellStyle name="Total 2 5" xfId="780"/>
    <cellStyle name="Total 2 6" xfId="907"/>
    <cellStyle name="Total 2 7" xfId="1058"/>
    <cellStyle name="Total 2 8" xfId="1096"/>
    <cellStyle name="Total 2 9" xfId="1200"/>
    <cellStyle name="Total 3" xfId="389"/>
    <cellStyle name="Total 3 10" xfId="1062"/>
    <cellStyle name="Total 3 2" xfId="544"/>
    <cellStyle name="Total 3 2 10" xfId="1253"/>
    <cellStyle name="Total 3 2 11" xfId="1290"/>
    <cellStyle name="Total 3 2 12" xfId="1321"/>
    <cellStyle name="Total 3 2 13" xfId="1347"/>
    <cellStyle name="Total 3 2 14" xfId="1377"/>
    <cellStyle name="Total 3 2 2" xfId="901"/>
    <cellStyle name="Total 3 2 3" xfId="938"/>
    <cellStyle name="Total 3 2 4" xfId="968"/>
    <cellStyle name="Total 3 2 5" xfId="1035"/>
    <cellStyle name="Total 3 2 6" xfId="1099"/>
    <cellStyle name="Total 3 2 7" xfId="1132"/>
    <cellStyle name="Total 3 2 8" xfId="1182"/>
    <cellStyle name="Total 3 2 9" xfId="1233"/>
    <cellStyle name="Total 3 3" xfId="548"/>
    <cellStyle name="Total 3 4" xfId="779"/>
    <cellStyle name="Total 3 5" xfId="934"/>
    <cellStyle name="Total 3 6" xfId="1057"/>
    <cellStyle name="Total 3 7" xfId="1002"/>
    <cellStyle name="Total 3 8" xfId="1199"/>
    <cellStyle name="Total 3 9" xfId="1023"/>
    <cellStyle name="Total 4" xfId="390"/>
    <cellStyle name="Total 4 10" xfId="1268"/>
    <cellStyle name="Total 4 2" xfId="545"/>
    <cellStyle name="Total 4 2 10" xfId="1254"/>
    <cellStyle name="Total 4 2 11" xfId="1291"/>
    <cellStyle name="Total 4 2 12" xfId="1322"/>
    <cellStyle name="Total 4 2 13" xfId="1348"/>
    <cellStyle name="Total 4 2 14" xfId="1378"/>
    <cellStyle name="Total 4 2 2" xfId="902"/>
    <cellStyle name="Total 4 2 3" xfId="939"/>
    <cellStyle name="Total 4 2 4" xfId="969"/>
    <cellStyle name="Total 4 2 5" xfId="1036"/>
    <cellStyle name="Total 4 2 6" xfId="1100"/>
    <cellStyle name="Total 4 2 7" xfId="1133"/>
    <cellStyle name="Total 4 2 8" xfId="1183"/>
    <cellStyle name="Total 4 2 9" xfId="1234"/>
    <cellStyle name="Total 4 3" xfId="549"/>
    <cellStyle name="Total 4 4" xfId="596"/>
    <cellStyle name="Total 4 5" xfId="744"/>
    <cellStyle name="Total 4 6" xfId="1056"/>
    <cellStyle name="Total 4 7" xfId="691"/>
    <cellStyle name="Total 4 8" xfId="1198"/>
    <cellStyle name="Total 4 9" xfId="715"/>
    <cellStyle name="Total 5" xfId="391"/>
    <cellStyle name="Überschrift" xfId="75"/>
    <cellStyle name="Überschrift 1" xfId="392"/>
    <cellStyle name="Überschrift 2" xfId="393"/>
    <cellStyle name="Überschrift 3" xfId="394"/>
    <cellStyle name="Überschrift 4" xfId="395"/>
    <cellStyle name="Verknüpfte Zelle" xfId="396"/>
    <cellStyle name="Warnender Text" xfId="76"/>
    <cellStyle name="Warning Text 2" xfId="397"/>
    <cellStyle name="Zelle überprüfen" xfId="398"/>
  </cellStyles>
  <dxfs count="0"/>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666666"/>
      <rgbColor rgb="00800080"/>
      <rgbColor rgb="00008080"/>
      <rgbColor rgb="00C0C0C0"/>
      <rgbColor rgb="00808080"/>
      <rgbColor rgb="00E6E6E6"/>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E6E6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externalLink" Target="externalLinks/externalLink1.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calcChain" Target="calcChain.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Users/Angeliki/Desktop/NWP-INALE/RCM_MED/ToR1_Med&amp;BS%20Table_2016%20RCMMEDBS-LP%20Data%20Call.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dification"/>
      <sheetName val="Med&amp;BS_Ranking of metiers"/>
      <sheetName val="Format description"/>
      <sheetName val="Drop-down list"/>
    </sheetNames>
    <sheetDataSet>
      <sheetData sheetId="0">
        <row r="18">
          <cell r="A18" t="str">
            <v>DRB_MOL_0_0_0</v>
          </cell>
        </row>
        <row r="51">
          <cell r="A51" t="str">
            <v>GSA1</v>
          </cell>
        </row>
        <row r="52">
          <cell r="A52" t="str">
            <v>GSA2</v>
          </cell>
        </row>
        <row r="53">
          <cell r="A53" t="str">
            <v>GSA3</v>
          </cell>
        </row>
        <row r="54">
          <cell r="A54" t="str">
            <v>GSA4</v>
          </cell>
        </row>
        <row r="55">
          <cell r="A55" t="str">
            <v>GSA5</v>
          </cell>
        </row>
        <row r="56">
          <cell r="A56" t="str">
            <v>GSA6</v>
          </cell>
        </row>
        <row r="57">
          <cell r="A57" t="str">
            <v>GSA7</v>
          </cell>
        </row>
        <row r="58">
          <cell r="A58" t="str">
            <v>GSA8</v>
          </cell>
        </row>
        <row r="59">
          <cell r="A59" t="str">
            <v>GSA9</v>
          </cell>
        </row>
        <row r="60">
          <cell r="A60" t="str">
            <v>GSA10</v>
          </cell>
        </row>
        <row r="61">
          <cell r="A61" t="str">
            <v>GSA11.1</v>
          </cell>
        </row>
        <row r="62">
          <cell r="A62" t="str">
            <v>GSA11.2</v>
          </cell>
        </row>
        <row r="63">
          <cell r="A63" t="str">
            <v>GSA12</v>
          </cell>
        </row>
        <row r="64">
          <cell r="A64" t="str">
            <v>GSA13</v>
          </cell>
        </row>
        <row r="65">
          <cell r="A65" t="str">
            <v>GSA14</v>
          </cell>
        </row>
        <row r="66">
          <cell r="A66" t="str">
            <v>GSA15</v>
          </cell>
        </row>
        <row r="67">
          <cell r="A67" t="str">
            <v>GSA16</v>
          </cell>
        </row>
        <row r="68">
          <cell r="A68" t="str">
            <v>GSA17</v>
          </cell>
        </row>
        <row r="69">
          <cell r="A69" t="str">
            <v>GSA18</v>
          </cell>
        </row>
        <row r="70">
          <cell r="A70" t="str">
            <v>GSA19</v>
          </cell>
        </row>
        <row r="71">
          <cell r="A71" t="str">
            <v>GSA20</v>
          </cell>
        </row>
        <row r="72">
          <cell r="A72" t="str">
            <v>GSA21</v>
          </cell>
        </row>
        <row r="73">
          <cell r="A73" t="str">
            <v>GSA22</v>
          </cell>
        </row>
        <row r="74">
          <cell r="A74" t="str">
            <v>GSA23</v>
          </cell>
        </row>
        <row r="75">
          <cell r="A75" t="str">
            <v>GSA24</v>
          </cell>
        </row>
        <row r="76">
          <cell r="A76" t="str">
            <v>GSA25</v>
          </cell>
        </row>
        <row r="77">
          <cell r="A77" t="str">
            <v>GSA26</v>
          </cell>
        </row>
        <row r="78">
          <cell r="A78" t="str">
            <v>GSA27</v>
          </cell>
        </row>
        <row r="79">
          <cell r="A79" t="str">
            <v>GSA28</v>
          </cell>
        </row>
        <row r="80">
          <cell r="A80" t="str">
            <v>GSA29</v>
          </cell>
        </row>
        <row r="81">
          <cell r="A81" t="str">
            <v>GSA30</v>
          </cell>
        </row>
      </sheetData>
      <sheetData sheetId="1"/>
      <sheetData sheetId="2"/>
      <sheetData sheetId="3" refreshError="1"/>
    </sheetDataSet>
  </externalBook>
</externalLink>
</file>

<file path=xl/theme/theme1.xml><?xml version="1.0" encoding="utf-8"?>
<a:theme xmlns:a="http://schemas.openxmlformats.org/drawingml/2006/main" name="Office-Design">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2" Type="http://schemas.openxmlformats.org/officeDocument/2006/relationships/vmlDrawing" Target="../drawings/vmlDrawing2.v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hyperlink" Target="https://www.dcmap-ireland.ie/" TargetMode="External"/><Relationship Id="rId2" Type="http://schemas.openxmlformats.org/officeDocument/2006/relationships/hyperlink" Target="https://www.dcmap-ireland.ie/" TargetMode="External"/><Relationship Id="rId1" Type="http://schemas.openxmlformats.org/officeDocument/2006/relationships/hyperlink" Target="https://www.dcmap-ireland.ie/" TargetMode="External"/><Relationship Id="rId4"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3" Type="http://schemas.openxmlformats.org/officeDocument/2006/relationships/hyperlink" Target="mailto:leonie.odowd@marine.ie" TargetMode="External"/><Relationship Id="rId2" Type="http://schemas.openxmlformats.org/officeDocument/2006/relationships/hyperlink" Target="mailto:leonie.odowd@marine.ie" TargetMode="External"/><Relationship Id="rId1" Type="http://schemas.openxmlformats.org/officeDocument/2006/relationships/hyperlink" Target="mailto:leonie.odowd@marine.ie" TargetMode="External"/><Relationship Id="rId5" Type="http://schemas.openxmlformats.org/officeDocument/2006/relationships/printerSettings" Target="../printerSettings/printerSettings22.bin"/><Relationship Id="rId4" Type="http://schemas.openxmlformats.org/officeDocument/2006/relationships/hyperlink" Target="mailto:leonie.odowd@marine.ie"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N239"/>
  <sheetViews>
    <sheetView tabSelected="1" zoomScale="70" zoomScaleNormal="70" workbookViewId="0">
      <selection activeCell="N4" sqref="N4"/>
    </sheetView>
  </sheetViews>
  <sheetFormatPr defaultColWidth="8.85546875" defaultRowHeight="12.75" x14ac:dyDescent="0.2"/>
  <cols>
    <col min="1" max="1" width="7.42578125" customWidth="1"/>
    <col min="2" max="2" width="10.42578125" customWidth="1"/>
    <col min="3" max="3" width="20.28515625" bestFit="1" customWidth="1"/>
    <col min="4" max="4" width="26" customWidth="1"/>
    <col min="5" max="5" width="13.42578125" customWidth="1"/>
    <col min="6" max="6" width="13.7109375" customWidth="1"/>
    <col min="7" max="7" width="14" customWidth="1"/>
    <col min="8" max="8" width="13.140625" style="19" customWidth="1"/>
    <col min="9" max="9" width="13.140625" customWidth="1"/>
    <col min="10" max="11" width="15.28515625" customWidth="1"/>
    <col min="12" max="12" width="66.42578125" style="18" bestFit="1" customWidth="1"/>
    <col min="13" max="13" width="25.140625" customWidth="1"/>
  </cols>
  <sheetData>
    <row r="1" spans="1:13" ht="13.5" thickBot="1" x14ac:dyDescent="0.25">
      <c r="A1" s="16" t="s">
        <v>46</v>
      </c>
      <c r="B1" s="1"/>
      <c r="C1" s="1"/>
      <c r="D1" s="1"/>
      <c r="E1" s="1"/>
      <c r="F1" s="1"/>
      <c r="G1" s="1"/>
      <c r="H1" s="17"/>
      <c r="I1" s="1"/>
      <c r="J1" s="1"/>
      <c r="K1" s="1"/>
    </row>
    <row r="2" spans="1:13" ht="15" customHeight="1" x14ac:dyDescent="0.2">
      <c r="A2" s="76"/>
      <c r="B2" s="77"/>
      <c r="C2" s="77"/>
      <c r="D2" s="77"/>
      <c r="E2" s="77"/>
      <c r="F2" s="77"/>
      <c r="G2" s="77"/>
      <c r="H2" s="77"/>
      <c r="I2" s="77"/>
      <c r="J2" s="78"/>
      <c r="K2" s="78"/>
      <c r="L2" s="93" t="s">
        <v>56</v>
      </c>
      <c r="M2" s="212" t="s">
        <v>50</v>
      </c>
    </row>
    <row r="3" spans="1:13" ht="13.5" customHeight="1" thickBot="1" x14ac:dyDescent="0.25">
      <c r="A3" s="77"/>
      <c r="B3" s="77"/>
      <c r="C3" s="77"/>
      <c r="D3" s="77"/>
      <c r="E3" s="77"/>
      <c r="F3" s="77"/>
      <c r="G3" s="77"/>
      <c r="H3" s="77"/>
      <c r="I3" s="77"/>
      <c r="J3" s="79"/>
      <c r="K3" s="79"/>
      <c r="L3" s="94" t="s">
        <v>55</v>
      </c>
      <c r="M3" s="220">
        <v>2018</v>
      </c>
    </row>
    <row r="4" spans="1:13" s="4" customFormat="1" ht="73.150000000000006" customHeight="1" thickBot="1" x14ac:dyDescent="0.25">
      <c r="A4" s="149" t="s">
        <v>0</v>
      </c>
      <c r="B4" s="21" t="s">
        <v>60</v>
      </c>
      <c r="C4" s="22" t="s">
        <v>8</v>
      </c>
      <c r="D4" s="23" t="s">
        <v>1</v>
      </c>
      <c r="E4" s="23" t="s">
        <v>5</v>
      </c>
      <c r="F4" s="22" t="s">
        <v>18</v>
      </c>
      <c r="G4" s="22" t="s">
        <v>37</v>
      </c>
      <c r="H4" s="23" t="s">
        <v>26</v>
      </c>
      <c r="I4" s="23" t="s">
        <v>25</v>
      </c>
      <c r="J4" s="23" t="s">
        <v>59</v>
      </c>
      <c r="K4" s="23" t="s">
        <v>27</v>
      </c>
      <c r="L4" s="150" t="s">
        <v>4</v>
      </c>
      <c r="M4" s="147" t="s">
        <v>54</v>
      </c>
    </row>
    <row r="5" spans="1:13" s="5" customFormat="1" ht="76.5" x14ac:dyDescent="0.2">
      <c r="A5" s="280" t="s">
        <v>351</v>
      </c>
      <c r="B5" s="281" t="s">
        <v>473</v>
      </c>
      <c r="C5" s="282" t="s">
        <v>78</v>
      </c>
      <c r="D5" s="283" t="s">
        <v>565</v>
      </c>
      <c r="E5" s="284" t="s">
        <v>76</v>
      </c>
      <c r="F5" s="283" t="s">
        <v>1145</v>
      </c>
      <c r="G5" s="284" t="s">
        <v>79</v>
      </c>
      <c r="H5" s="285" t="s">
        <v>1083</v>
      </c>
      <c r="I5" s="285"/>
      <c r="J5" s="285" t="s">
        <v>1083</v>
      </c>
      <c r="K5" s="284" t="s">
        <v>6</v>
      </c>
      <c r="L5" s="286" t="s">
        <v>1146</v>
      </c>
      <c r="M5" s="148"/>
    </row>
    <row r="6" spans="1:13" s="5" customFormat="1" x14ac:dyDescent="0.2">
      <c r="A6" s="280" t="s">
        <v>351</v>
      </c>
      <c r="B6" s="281" t="s">
        <v>473</v>
      </c>
      <c r="C6" s="282" t="s">
        <v>1147</v>
      </c>
      <c r="D6" s="283" t="s">
        <v>565</v>
      </c>
      <c r="E6" s="284" t="s">
        <v>76</v>
      </c>
      <c r="F6" s="283" t="s">
        <v>1145</v>
      </c>
      <c r="G6" s="284" t="s">
        <v>79</v>
      </c>
      <c r="H6" s="285" t="s">
        <v>1083</v>
      </c>
      <c r="I6" s="285" t="s">
        <v>1083</v>
      </c>
      <c r="J6" s="285"/>
      <c r="K6" s="284" t="s">
        <v>6</v>
      </c>
      <c r="L6" s="287"/>
      <c r="M6" s="148"/>
    </row>
    <row r="7" spans="1:13" s="5" customFormat="1" ht="13.5" thickBot="1" x14ac:dyDescent="0.25">
      <c r="A7" s="280" t="s">
        <v>351</v>
      </c>
      <c r="B7" s="281" t="s">
        <v>473</v>
      </c>
      <c r="C7" s="282" t="s">
        <v>363</v>
      </c>
      <c r="D7" s="283" t="s">
        <v>565</v>
      </c>
      <c r="E7" s="284" t="s">
        <v>76</v>
      </c>
      <c r="F7" s="283" t="s">
        <v>1148</v>
      </c>
      <c r="G7" s="284" t="s">
        <v>79</v>
      </c>
      <c r="H7" s="285">
        <v>1900</v>
      </c>
      <c r="I7" s="285">
        <v>9</v>
      </c>
      <c r="J7" s="285"/>
      <c r="K7" s="284" t="s">
        <v>6</v>
      </c>
      <c r="L7" s="288" t="s">
        <v>1149</v>
      </c>
      <c r="M7" s="146"/>
    </row>
    <row r="8" spans="1:13" s="5" customFormat="1" ht="13.5" thickBot="1" x14ac:dyDescent="0.25">
      <c r="A8" s="280" t="s">
        <v>351</v>
      </c>
      <c r="B8" s="281" t="s">
        <v>473</v>
      </c>
      <c r="C8" s="282" t="s">
        <v>77</v>
      </c>
      <c r="D8" s="283" t="s">
        <v>565</v>
      </c>
      <c r="E8" s="284" t="s">
        <v>76</v>
      </c>
      <c r="F8" s="283" t="s">
        <v>1145</v>
      </c>
      <c r="G8" s="284" t="s">
        <v>79</v>
      </c>
      <c r="H8" s="285" t="s">
        <v>1150</v>
      </c>
      <c r="I8" s="285">
        <v>1</v>
      </c>
      <c r="J8" s="285"/>
      <c r="K8" s="284" t="s">
        <v>6</v>
      </c>
      <c r="L8" s="288"/>
      <c r="M8" s="146"/>
    </row>
    <row r="9" spans="1:13" s="5" customFormat="1" ht="13.5" thickBot="1" x14ac:dyDescent="0.25">
      <c r="A9" s="280" t="s">
        <v>351</v>
      </c>
      <c r="B9" s="281" t="s">
        <v>473</v>
      </c>
      <c r="C9" s="282" t="s">
        <v>1151</v>
      </c>
      <c r="D9" s="283" t="s">
        <v>565</v>
      </c>
      <c r="E9" s="284" t="s">
        <v>76</v>
      </c>
      <c r="F9" s="283" t="s">
        <v>1145</v>
      </c>
      <c r="G9" s="284" t="s">
        <v>79</v>
      </c>
      <c r="H9" s="285" t="s">
        <v>1083</v>
      </c>
      <c r="I9" s="285" t="s">
        <v>1083</v>
      </c>
      <c r="J9" s="285"/>
      <c r="K9" s="284" t="s">
        <v>6</v>
      </c>
      <c r="L9" s="288"/>
      <c r="M9" s="146"/>
    </row>
    <row r="10" spans="1:13" s="5" customFormat="1" ht="13.5" thickBot="1" x14ac:dyDescent="0.25">
      <c r="A10" s="280" t="s">
        <v>351</v>
      </c>
      <c r="B10" s="281" t="s">
        <v>473</v>
      </c>
      <c r="C10" s="282" t="s">
        <v>385</v>
      </c>
      <c r="D10" s="283" t="s">
        <v>565</v>
      </c>
      <c r="E10" s="284" t="s">
        <v>76</v>
      </c>
      <c r="F10" s="283" t="s">
        <v>1145</v>
      </c>
      <c r="G10" s="284" t="s">
        <v>79</v>
      </c>
      <c r="H10" s="285" t="s">
        <v>1150</v>
      </c>
      <c r="I10" s="285" t="s">
        <v>1083</v>
      </c>
      <c r="J10" s="285"/>
      <c r="K10" s="284" t="s">
        <v>6</v>
      </c>
      <c r="L10" s="288"/>
      <c r="M10" s="146"/>
    </row>
    <row r="11" spans="1:13" s="5" customFormat="1" ht="13.5" thickBot="1" x14ac:dyDescent="0.25">
      <c r="A11" s="280" t="s">
        <v>351</v>
      </c>
      <c r="B11" s="281" t="s">
        <v>473</v>
      </c>
      <c r="C11" s="282" t="s">
        <v>393</v>
      </c>
      <c r="D11" s="283" t="s">
        <v>565</v>
      </c>
      <c r="E11" s="284" t="s">
        <v>76</v>
      </c>
      <c r="F11" s="283" t="s">
        <v>1152</v>
      </c>
      <c r="G11" s="284" t="s">
        <v>1153</v>
      </c>
      <c r="H11" s="285" t="s">
        <v>1150</v>
      </c>
      <c r="I11" s="285" t="s">
        <v>1153</v>
      </c>
      <c r="J11" s="285" t="s">
        <v>1153</v>
      </c>
      <c r="K11" s="284" t="s">
        <v>1153</v>
      </c>
      <c r="L11" s="288" t="s">
        <v>1154</v>
      </c>
      <c r="M11" s="146"/>
    </row>
    <row r="12" spans="1:13" s="5" customFormat="1" ht="13.5" thickBot="1" x14ac:dyDescent="0.25">
      <c r="A12" s="280" t="s">
        <v>351</v>
      </c>
      <c r="B12" s="281" t="s">
        <v>473</v>
      </c>
      <c r="C12" s="282" t="s">
        <v>1155</v>
      </c>
      <c r="D12" s="283" t="s">
        <v>565</v>
      </c>
      <c r="E12" s="284" t="s">
        <v>76</v>
      </c>
      <c r="F12" s="283" t="s">
        <v>1145</v>
      </c>
      <c r="G12" s="284" t="s">
        <v>79</v>
      </c>
      <c r="H12" s="285" t="s">
        <v>1083</v>
      </c>
      <c r="I12" s="285" t="s">
        <v>1083</v>
      </c>
      <c r="J12" s="285"/>
      <c r="K12" s="284" t="s">
        <v>6</v>
      </c>
      <c r="L12" s="288"/>
      <c r="M12" s="146"/>
    </row>
    <row r="13" spans="1:13" s="5" customFormat="1" ht="13.5" thickBot="1" x14ac:dyDescent="0.25">
      <c r="A13" s="280" t="s">
        <v>351</v>
      </c>
      <c r="B13" s="281" t="s">
        <v>473</v>
      </c>
      <c r="C13" s="282" t="s">
        <v>405</v>
      </c>
      <c r="D13" s="283" t="s">
        <v>565</v>
      </c>
      <c r="E13" s="284" t="s">
        <v>76</v>
      </c>
      <c r="F13" s="283" t="s">
        <v>1145</v>
      </c>
      <c r="G13" s="284" t="s">
        <v>79</v>
      </c>
      <c r="H13" s="285" t="s">
        <v>1083</v>
      </c>
      <c r="I13" s="285" t="s">
        <v>1083</v>
      </c>
      <c r="J13" s="285"/>
      <c r="K13" s="284" t="s">
        <v>6</v>
      </c>
      <c r="L13" s="288"/>
      <c r="M13" s="146"/>
    </row>
    <row r="14" spans="1:13" s="5" customFormat="1" ht="13.5" thickBot="1" x14ac:dyDescent="0.25">
      <c r="A14" s="280" t="s">
        <v>351</v>
      </c>
      <c r="B14" s="281" t="s">
        <v>473</v>
      </c>
      <c r="C14" s="282" t="s">
        <v>1156</v>
      </c>
      <c r="D14" s="283" t="s">
        <v>565</v>
      </c>
      <c r="E14" s="284" t="s">
        <v>76</v>
      </c>
      <c r="F14" s="283" t="s">
        <v>1145</v>
      </c>
      <c r="G14" s="284" t="s">
        <v>79</v>
      </c>
      <c r="H14" s="285" t="s">
        <v>1083</v>
      </c>
      <c r="I14" s="285"/>
      <c r="J14" s="285" t="s">
        <v>1083</v>
      </c>
      <c r="K14" s="284" t="s">
        <v>6</v>
      </c>
      <c r="L14" s="288"/>
      <c r="M14" s="146"/>
    </row>
    <row r="15" spans="1:13" s="5" customFormat="1" ht="13.5" thickBot="1" x14ac:dyDescent="0.25">
      <c r="A15" s="280" t="s">
        <v>351</v>
      </c>
      <c r="B15" s="281" t="s">
        <v>473</v>
      </c>
      <c r="C15" s="282" t="s">
        <v>200</v>
      </c>
      <c r="D15" s="283" t="s">
        <v>565</v>
      </c>
      <c r="E15" s="284" t="s">
        <v>76</v>
      </c>
      <c r="F15" s="283" t="s">
        <v>1145</v>
      </c>
      <c r="G15" s="284" t="s">
        <v>79</v>
      </c>
      <c r="H15" s="285" t="s">
        <v>1083</v>
      </c>
      <c r="I15" s="285"/>
      <c r="J15" s="285" t="s">
        <v>1083</v>
      </c>
      <c r="K15" s="284" t="s">
        <v>6</v>
      </c>
      <c r="L15" s="288"/>
      <c r="M15" s="146"/>
    </row>
    <row r="16" spans="1:13" s="5" customFormat="1" ht="13.5" thickBot="1" x14ac:dyDescent="0.25">
      <c r="A16" s="280" t="s">
        <v>351</v>
      </c>
      <c r="B16" s="281" t="s">
        <v>473</v>
      </c>
      <c r="C16" s="282" t="s">
        <v>408</v>
      </c>
      <c r="D16" s="283" t="s">
        <v>565</v>
      </c>
      <c r="E16" s="284" t="s">
        <v>76</v>
      </c>
      <c r="F16" s="283" t="s">
        <v>1157</v>
      </c>
      <c r="G16" s="289" t="s">
        <v>1153</v>
      </c>
      <c r="H16" s="285">
        <v>580</v>
      </c>
      <c r="I16" s="285" t="s">
        <v>1153</v>
      </c>
      <c r="J16" s="285" t="s">
        <v>1153</v>
      </c>
      <c r="K16" s="284" t="s">
        <v>1153</v>
      </c>
      <c r="L16" s="288" t="s">
        <v>1158</v>
      </c>
      <c r="M16" s="146"/>
    </row>
    <row r="17" spans="1:13" s="3" customFormat="1" ht="13.5" thickBot="1" x14ac:dyDescent="0.25">
      <c r="A17" s="280" t="s">
        <v>351</v>
      </c>
      <c r="B17" s="281" t="s">
        <v>473</v>
      </c>
      <c r="C17" s="282" t="s">
        <v>1159</v>
      </c>
      <c r="D17" s="283" t="s">
        <v>565</v>
      </c>
      <c r="E17" s="284" t="s">
        <v>76</v>
      </c>
      <c r="F17" s="283" t="s">
        <v>1145</v>
      </c>
      <c r="G17" s="284" t="s">
        <v>79</v>
      </c>
      <c r="H17" s="285" t="s">
        <v>1083</v>
      </c>
      <c r="I17" s="285" t="s">
        <v>1083</v>
      </c>
      <c r="J17" s="285"/>
      <c r="K17" s="284" t="s">
        <v>6</v>
      </c>
      <c r="L17" s="288"/>
      <c r="M17" s="146"/>
    </row>
    <row r="18" spans="1:13" ht="13.5" thickBot="1" x14ac:dyDescent="0.25">
      <c r="A18" s="280" t="s">
        <v>351</v>
      </c>
      <c r="B18" s="281" t="s">
        <v>473</v>
      </c>
      <c r="C18" s="282" t="s">
        <v>1160</v>
      </c>
      <c r="D18" s="283" t="s">
        <v>565</v>
      </c>
      <c r="E18" s="284" t="s">
        <v>76</v>
      </c>
      <c r="F18" s="283" t="s">
        <v>1145</v>
      </c>
      <c r="G18" s="284" t="s">
        <v>79</v>
      </c>
      <c r="H18" s="285" t="s">
        <v>1083</v>
      </c>
      <c r="I18" s="285" t="s">
        <v>1083</v>
      </c>
      <c r="J18" s="285"/>
      <c r="K18" s="284" t="s">
        <v>6</v>
      </c>
      <c r="L18" s="288"/>
      <c r="M18" s="146"/>
    </row>
    <row r="19" spans="1:13" ht="39" thickBot="1" x14ac:dyDescent="0.25">
      <c r="A19" s="280" t="s">
        <v>351</v>
      </c>
      <c r="B19" s="281" t="s">
        <v>473</v>
      </c>
      <c r="C19" s="282" t="s">
        <v>412</v>
      </c>
      <c r="D19" s="283" t="s">
        <v>565</v>
      </c>
      <c r="E19" s="284" t="s">
        <v>76</v>
      </c>
      <c r="F19" s="283" t="s">
        <v>1161</v>
      </c>
      <c r="G19" s="284" t="s">
        <v>1153</v>
      </c>
      <c r="H19" s="285" t="s">
        <v>1083</v>
      </c>
      <c r="I19" s="285" t="s">
        <v>1153</v>
      </c>
      <c r="J19" s="285" t="s">
        <v>1153</v>
      </c>
      <c r="K19" s="284" t="s">
        <v>1153</v>
      </c>
      <c r="L19" s="288" t="s">
        <v>1162</v>
      </c>
      <c r="M19" s="411" t="s">
        <v>1662</v>
      </c>
    </row>
    <row r="20" spans="1:13" ht="13.5" thickBot="1" x14ac:dyDescent="0.25">
      <c r="A20" s="280" t="s">
        <v>351</v>
      </c>
      <c r="B20" s="281" t="s">
        <v>473</v>
      </c>
      <c r="C20" s="282" t="s">
        <v>1163</v>
      </c>
      <c r="D20" s="283" t="s">
        <v>565</v>
      </c>
      <c r="E20" s="284" t="s">
        <v>76</v>
      </c>
      <c r="F20" s="283" t="s">
        <v>1164</v>
      </c>
      <c r="G20" s="284" t="s">
        <v>79</v>
      </c>
      <c r="H20" s="285" t="s">
        <v>1083</v>
      </c>
      <c r="I20" s="285" t="s">
        <v>1083</v>
      </c>
      <c r="J20" s="285"/>
      <c r="K20" s="284" t="s">
        <v>6</v>
      </c>
      <c r="L20" s="288"/>
      <c r="M20" s="146"/>
    </row>
    <row r="21" spans="1:13" ht="13.5" thickBot="1" x14ac:dyDescent="0.25">
      <c r="A21" s="280" t="s">
        <v>351</v>
      </c>
      <c r="B21" s="281" t="s">
        <v>473</v>
      </c>
      <c r="C21" s="282" t="s">
        <v>1165</v>
      </c>
      <c r="D21" s="283" t="s">
        <v>565</v>
      </c>
      <c r="E21" s="284" t="s">
        <v>7</v>
      </c>
      <c r="F21" s="283" t="s">
        <v>1164</v>
      </c>
      <c r="G21" s="284" t="s">
        <v>79</v>
      </c>
      <c r="H21" s="285" t="s">
        <v>1083</v>
      </c>
      <c r="I21" s="285"/>
      <c r="J21" s="285" t="s">
        <v>1083</v>
      </c>
      <c r="K21" s="284" t="s">
        <v>6</v>
      </c>
      <c r="L21" s="288"/>
      <c r="M21" s="146"/>
    </row>
    <row r="22" spans="1:13" ht="13.5" thickBot="1" x14ac:dyDescent="0.25">
      <c r="A22" s="280" t="s">
        <v>351</v>
      </c>
      <c r="B22" s="281" t="s">
        <v>473</v>
      </c>
      <c r="C22" s="282" t="s">
        <v>78</v>
      </c>
      <c r="D22" s="283" t="s">
        <v>565</v>
      </c>
      <c r="E22" s="284" t="s">
        <v>76</v>
      </c>
      <c r="F22" s="283" t="s">
        <v>1166</v>
      </c>
      <c r="G22" s="284" t="s">
        <v>79</v>
      </c>
      <c r="H22" s="285" t="s">
        <v>1083</v>
      </c>
      <c r="I22" s="285"/>
      <c r="J22" s="285" t="s">
        <v>1083</v>
      </c>
      <c r="K22" s="284" t="s">
        <v>6</v>
      </c>
      <c r="L22" s="288"/>
      <c r="M22" s="146"/>
    </row>
    <row r="23" spans="1:13" ht="13.5" thickBot="1" x14ac:dyDescent="0.25">
      <c r="A23" s="280" t="s">
        <v>351</v>
      </c>
      <c r="B23" s="281" t="s">
        <v>473</v>
      </c>
      <c r="C23" s="282" t="s">
        <v>1167</v>
      </c>
      <c r="D23" s="283" t="s">
        <v>565</v>
      </c>
      <c r="E23" s="284" t="s">
        <v>76</v>
      </c>
      <c r="F23" s="283" t="s">
        <v>1164</v>
      </c>
      <c r="G23" s="284" t="s">
        <v>79</v>
      </c>
      <c r="H23" s="285" t="s">
        <v>1083</v>
      </c>
      <c r="I23" s="285">
        <v>1</v>
      </c>
      <c r="J23" s="285"/>
      <c r="K23" s="284" t="s">
        <v>6</v>
      </c>
      <c r="L23" s="288"/>
      <c r="M23" s="146"/>
    </row>
    <row r="24" spans="1:13" ht="13.5" thickBot="1" x14ac:dyDescent="0.25">
      <c r="A24" s="280" t="s">
        <v>351</v>
      </c>
      <c r="B24" s="281" t="s">
        <v>473</v>
      </c>
      <c r="C24" s="282" t="s">
        <v>1147</v>
      </c>
      <c r="D24" s="283" t="s">
        <v>565</v>
      </c>
      <c r="E24" s="284" t="s">
        <v>76</v>
      </c>
      <c r="F24" s="283" t="s">
        <v>1164</v>
      </c>
      <c r="G24" s="284" t="s">
        <v>79</v>
      </c>
      <c r="H24" s="285" t="s">
        <v>1083</v>
      </c>
      <c r="I24" s="285" t="s">
        <v>1083</v>
      </c>
      <c r="J24" s="285"/>
      <c r="K24" s="284" t="s">
        <v>6</v>
      </c>
      <c r="L24" s="288"/>
      <c r="M24" s="146"/>
    </row>
    <row r="25" spans="1:13" ht="13.5" thickBot="1" x14ac:dyDescent="0.25">
      <c r="A25" s="280" t="s">
        <v>351</v>
      </c>
      <c r="B25" s="281" t="s">
        <v>473</v>
      </c>
      <c r="C25" s="282" t="s">
        <v>363</v>
      </c>
      <c r="D25" s="283" t="s">
        <v>565</v>
      </c>
      <c r="E25" s="284" t="s">
        <v>76</v>
      </c>
      <c r="F25" s="283" t="s">
        <v>1166</v>
      </c>
      <c r="G25" s="284" t="s">
        <v>79</v>
      </c>
      <c r="H25" s="285" t="s">
        <v>1150</v>
      </c>
      <c r="I25" s="285" t="s">
        <v>1083</v>
      </c>
      <c r="J25" s="285"/>
      <c r="K25" s="284" t="s">
        <v>6</v>
      </c>
      <c r="L25" s="288"/>
      <c r="M25" s="146"/>
    </row>
    <row r="26" spans="1:13" ht="13.5" thickBot="1" x14ac:dyDescent="0.25">
      <c r="A26" s="280" t="s">
        <v>351</v>
      </c>
      <c r="B26" s="281" t="s">
        <v>473</v>
      </c>
      <c r="C26" s="282" t="s">
        <v>1168</v>
      </c>
      <c r="D26" s="290" t="s">
        <v>565</v>
      </c>
      <c r="E26" s="284" t="s">
        <v>76</v>
      </c>
      <c r="F26" s="283" t="s">
        <v>1166</v>
      </c>
      <c r="G26" s="284" t="s">
        <v>79</v>
      </c>
      <c r="H26" s="285" t="s">
        <v>1083</v>
      </c>
      <c r="I26" s="285"/>
      <c r="J26" s="285" t="s">
        <v>1083</v>
      </c>
      <c r="K26" s="284" t="s">
        <v>6</v>
      </c>
      <c r="L26" s="288"/>
      <c r="M26" s="146"/>
    </row>
    <row r="27" spans="1:13" ht="13.5" thickBot="1" x14ac:dyDescent="0.25">
      <c r="A27" s="280" t="s">
        <v>351</v>
      </c>
      <c r="B27" s="281" t="s">
        <v>473</v>
      </c>
      <c r="C27" s="282" t="s">
        <v>1169</v>
      </c>
      <c r="D27" s="283" t="s">
        <v>565</v>
      </c>
      <c r="E27" s="284" t="s">
        <v>76</v>
      </c>
      <c r="F27" s="283" t="s">
        <v>1166</v>
      </c>
      <c r="G27" s="284" t="s">
        <v>79</v>
      </c>
      <c r="H27" s="285" t="s">
        <v>1083</v>
      </c>
      <c r="I27" s="285"/>
      <c r="J27" s="285" t="s">
        <v>1083</v>
      </c>
      <c r="K27" s="284" t="s">
        <v>6</v>
      </c>
      <c r="L27" s="288"/>
      <c r="M27" s="146"/>
    </row>
    <row r="28" spans="1:13" ht="13.5" thickBot="1" x14ac:dyDescent="0.25">
      <c r="A28" s="280" t="s">
        <v>351</v>
      </c>
      <c r="B28" s="281" t="s">
        <v>473</v>
      </c>
      <c r="C28" s="282" t="s">
        <v>1170</v>
      </c>
      <c r="D28" s="283" t="s">
        <v>565</v>
      </c>
      <c r="E28" s="284" t="s">
        <v>7</v>
      </c>
      <c r="F28" s="283" t="s">
        <v>1164</v>
      </c>
      <c r="G28" s="284" t="s">
        <v>79</v>
      </c>
      <c r="H28" s="285" t="s">
        <v>1083</v>
      </c>
      <c r="I28" s="285"/>
      <c r="J28" s="285" t="s">
        <v>1083</v>
      </c>
      <c r="K28" s="284" t="s">
        <v>6</v>
      </c>
      <c r="L28" s="288"/>
      <c r="M28" s="146"/>
    </row>
    <row r="29" spans="1:13" ht="13.5" thickBot="1" x14ac:dyDescent="0.25">
      <c r="A29" s="280" t="s">
        <v>351</v>
      </c>
      <c r="B29" s="281" t="s">
        <v>473</v>
      </c>
      <c r="C29" s="282" t="s">
        <v>77</v>
      </c>
      <c r="D29" s="283" t="s">
        <v>565</v>
      </c>
      <c r="E29" s="284" t="s">
        <v>76</v>
      </c>
      <c r="F29" s="283" t="s">
        <v>1166</v>
      </c>
      <c r="G29" s="284" t="s">
        <v>79</v>
      </c>
      <c r="H29" s="285" t="s">
        <v>1083</v>
      </c>
      <c r="I29" s="285" t="s">
        <v>1083</v>
      </c>
      <c r="J29" s="285"/>
      <c r="K29" s="284" t="s">
        <v>6</v>
      </c>
      <c r="L29" s="288"/>
      <c r="M29" s="146"/>
    </row>
    <row r="30" spans="1:13" ht="13.5" thickBot="1" x14ac:dyDescent="0.25">
      <c r="A30" s="280" t="s">
        <v>351</v>
      </c>
      <c r="B30" s="281" t="s">
        <v>473</v>
      </c>
      <c r="C30" s="282" t="s">
        <v>372</v>
      </c>
      <c r="D30" s="283" t="s">
        <v>565</v>
      </c>
      <c r="E30" s="284" t="s">
        <v>7</v>
      </c>
      <c r="F30" s="283" t="s">
        <v>1164</v>
      </c>
      <c r="G30" s="284" t="s">
        <v>79</v>
      </c>
      <c r="H30" s="285" t="s">
        <v>1083</v>
      </c>
      <c r="I30" s="285" t="s">
        <v>1083</v>
      </c>
      <c r="J30" s="285"/>
      <c r="K30" s="284" t="s">
        <v>6</v>
      </c>
      <c r="L30" s="288"/>
      <c r="M30" s="146"/>
    </row>
    <row r="31" spans="1:13" ht="13.5" thickBot="1" x14ac:dyDescent="0.25">
      <c r="A31" s="280" t="s">
        <v>351</v>
      </c>
      <c r="B31" s="281" t="s">
        <v>473</v>
      </c>
      <c r="C31" s="282" t="s">
        <v>1171</v>
      </c>
      <c r="D31" s="283" t="s">
        <v>565</v>
      </c>
      <c r="E31" s="284" t="s">
        <v>7</v>
      </c>
      <c r="F31" s="283" t="s">
        <v>1164</v>
      </c>
      <c r="G31" s="284" t="s">
        <v>79</v>
      </c>
      <c r="H31" s="285" t="s">
        <v>1083</v>
      </c>
      <c r="I31" s="285" t="s">
        <v>1083</v>
      </c>
      <c r="J31" s="285"/>
      <c r="K31" s="284" t="s">
        <v>6</v>
      </c>
      <c r="L31" s="288"/>
      <c r="M31" s="146"/>
    </row>
    <row r="32" spans="1:13" ht="13.5" thickBot="1" x14ac:dyDescent="0.25">
      <c r="A32" s="280" t="s">
        <v>351</v>
      </c>
      <c r="B32" s="281" t="s">
        <v>473</v>
      </c>
      <c r="C32" s="282" t="s">
        <v>1172</v>
      </c>
      <c r="D32" s="283" t="s">
        <v>565</v>
      </c>
      <c r="E32" s="284" t="s">
        <v>76</v>
      </c>
      <c r="F32" s="283" t="s">
        <v>1166</v>
      </c>
      <c r="G32" s="284" t="s">
        <v>79</v>
      </c>
      <c r="H32" s="285" t="s">
        <v>1083</v>
      </c>
      <c r="I32" s="285" t="s">
        <v>1083</v>
      </c>
      <c r="J32" s="285"/>
      <c r="K32" s="284" t="s">
        <v>6</v>
      </c>
      <c r="L32" s="288"/>
      <c r="M32" s="146"/>
    </row>
    <row r="33" spans="1:13" ht="13.5" thickBot="1" x14ac:dyDescent="0.25">
      <c r="A33" s="280" t="s">
        <v>351</v>
      </c>
      <c r="B33" s="281" t="s">
        <v>473</v>
      </c>
      <c r="C33" s="282" t="s">
        <v>375</v>
      </c>
      <c r="D33" s="283" t="s">
        <v>565</v>
      </c>
      <c r="E33" s="284" t="s">
        <v>76</v>
      </c>
      <c r="F33" s="283" t="s">
        <v>1166</v>
      </c>
      <c r="G33" s="284" t="s">
        <v>79</v>
      </c>
      <c r="H33" s="285" t="s">
        <v>1083</v>
      </c>
      <c r="I33" s="285" t="s">
        <v>1083</v>
      </c>
      <c r="J33" s="285"/>
      <c r="K33" s="284" t="s">
        <v>6</v>
      </c>
      <c r="L33" s="288"/>
      <c r="M33" s="146"/>
    </row>
    <row r="34" spans="1:13" ht="13.5" thickBot="1" x14ac:dyDescent="0.25">
      <c r="A34" s="280" t="s">
        <v>351</v>
      </c>
      <c r="B34" s="281" t="s">
        <v>473</v>
      </c>
      <c r="C34" s="282" t="s">
        <v>1173</v>
      </c>
      <c r="D34" s="283" t="s">
        <v>565</v>
      </c>
      <c r="E34" s="284" t="s">
        <v>76</v>
      </c>
      <c r="F34" s="283" t="s">
        <v>1166</v>
      </c>
      <c r="G34" s="284" t="s">
        <v>79</v>
      </c>
      <c r="H34" s="285" t="s">
        <v>1083</v>
      </c>
      <c r="I34" s="285" t="s">
        <v>1083</v>
      </c>
      <c r="J34" s="285"/>
      <c r="K34" s="284" t="s">
        <v>6</v>
      </c>
      <c r="L34" s="288"/>
      <c r="M34" s="146"/>
    </row>
    <row r="35" spans="1:13" ht="13.5" thickBot="1" x14ac:dyDescent="0.25">
      <c r="A35" s="280" t="s">
        <v>351</v>
      </c>
      <c r="B35" s="281" t="s">
        <v>473</v>
      </c>
      <c r="C35" s="282" t="s">
        <v>378</v>
      </c>
      <c r="D35" s="283" t="s">
        <v>565</v>
      </c>
      <c r="E35" s="284" t="s">
        <v>76</v>
      </c>
      <c r="F35" s="283" t="s">
        <v>1166</v>
      </c>
      <c r="G35" s="284" t="s">
        <v>79</v>
      </c>
      <c r="H35" s="285" t="s">
        <v>1083</v>
      </c>
      <c r="I35" s="285" t="s">
        <v>1083</v>
      </c>
      <c r="J35" s="285"/>
      <c r="K35" s="284" t="s">
        <v>6</v>
      </c>
      <c r="L35" s="288"/>
      <c r="M35" s="146"/>
    </row>
    <row r="36" spans="1:13" ht="13.5" thickBot="1" x14ac:dyDescent="0.25">
      <c r="A36" s="280" t="s">
        <v>351</v>
      </c>
      <c r="B36" s="281" t="s">
        <v>473</v>
      </c>
      <c r="C36" s="282" t="s">
        <v>1174</v>
      </c>
      <c r="D36" s="283" t="s">
        <v>565</v>
      </c>
      <c r="E36" s="284" t="s">
        <v>76</v>
      </c>
      <c r="F36" s="283" t="s">
        <v>1164</v>
      </c>
      <c r="G36" s="284" t="s">
        <v>79</v>
      </c>
      <c r="H36" s="285" t="s">
        <v>1083</v>
      </c>
      <c r="I36" s="285" t="s">
        <v>1083</v>
      </c>
      <c r="J36" s="285"/>
      <c r="K36" s="284" t="s">
        <v>6</v>
      </c>
      <c r="L36" s="288"/>
      <c r="M36" s="146"/>
    </row>
    <row r="37" spans="1:13" ht="13.5" thickBot="1" x14ac:dyDescent="0.25">
      <c r="A37" s="280" t="s">
        <v>351</v>
      </c>
      <c r="B37" s="281" t="s">
        <v>473</v>
      </c>
      <c r="C37" s="282" t="s">
        <v>1175</v>
      </c>
      <c r="D37" s="283" t="s">
        <v>565</v>
      </c>
      <c r="E37" s="284" t="s">
        <v>7</v>
      </c>
      <c r="F37" s="283" t="s">
        <v>1164</v>
      </c>
      <c r="G37" s="284" t="s">
        <v>79</v>
      </c>
      <c r="H37" s="285" t="s">
        <v>1083</v>
      </c>
      <c r="I37" s="285" t="s">
        <v>1083</v>
      </c>
      <c r="J37" s="285"/>
      <c r="K37" s="284" t="s">
        <v>6</v>
      </c>
      <c r="L37" s="288"/>
      <c r="M37" s="146"/>
    </row>
    <row r="38" spans="1:13" ht="13.5" thickBot="1" x14ac:dyDescent="0.25">
      <c r="A38" s="280" t="s">
        <v>351</v>
      </c>
      <c r="B38" s="281" t="s">
        <v>473</v>
      </c>
      <c r="C38" s="282" t="s">
        <v>385</v>
      </c>
      <c r="D38" s="283" t="s">
        <v>565</v>
      </c>
      <c r="E38" s="284" t="s">
        <v>76</v>
      </c>
      <c r="F38" s="283" t="s">
        <v>1164</v>
      </c>
      <c r="G38" s="284" t="s">
        <v>79</v>
      </c>
      <c r="H38" s="285" t="s">
        <v>1083</v>
      </c>
      <c r="I38" s="285" t="s">
        <v>1083</v>
      </c>
      <c r="J38" s="285"/>
      <c r="K38" s="284" t="s">
        <v>6</v>
      </c>
      <c r="L38" s="288"/>
      <c r="M38" s="146"/>
    </row>
    <row r="39" spans="1:13" ht="13.5" thickBot="1" x14ac:dyDescent="0.25">
      <c r="A39" s="280" t="s">
        <v>351</v>
      </c>
      <c r="B39" s="281" t="s">
        <v>473</v>
      </c>
      <c r="C39" s="282" t="s">
        <v>389</v>
      </c>
      <c r="D39" s="283" t="s">
        <v>565</v>
      </c>
      <c r="E39" s="284" t="s">
        <v>76</v>
      </c>
      <c r="F39" s="283" t="s">
        <v>1166</v>
      </c>
      <c r="G39" s="284" t="s">
        <v>79</v>
      </c>
      <c r="H39" s="285" t="s">
        <v>1083</v>
      </c>
      <c r="I39" s="285" t="s">
        <v>1083</v>
      </c>
      <c r="J39" s="285"/>
      <c r="K39" s="284" t="s">
        <v>6</v>
      </c>
      <c r="L39" s="288"/>
      <c r="M39" s="146"/>
    </row>
    <row r="40" spans="1:13" ht="13.5" thickBot="1" x14ac:dyDescent="0.25">
      <c r="A40" s="280" t="s">
        <v>351</v>
      </c>
      <c r="B40" s="281" t="s">
        <v>473</v>
      </c>
      <c r="C40" s="282" t="s">
        <v>390</v>
      </c>
      <c r="D40" s="283" t="s">
        <v>565</v>
      </c>
      <c r="E40" s="284" t="s">
        <v>76</v>
      </c>
      <c r="F40" s="283" t="s">
        <v>1176</v>
      </c>
      <c r="G40" s="284" t="s">
        <v>79</v>
      </c>
      <c r="H40" s="285" t="s">
        <v>1083</v>
      </c>
      <c r="I40" s="285" t="s">
        <v>1083</v>
      </c>
      <c r="J40" s="285"/>
      <c r="K40" s="284" t="s">
        <v>6</v>
      </c>
      <c r="L40" s="288" t="s">
        <v>1177</v>
      </c>
      <c r="M40" s="146"/>
    </row>
    <row r="41" spans="1:13" ht="13.5" thickBot="1" x14ac:dyDescent="0.25">
      <c r="A41" s="280" t="s">
        <v>351</v>
      </c>
      <c r="B41" s="281" t="s">
        <v>473</v>
      </c>
      <c r="C41" s="282" t="s">
        <v>393</v>
      </c>
      <c r="D41" s="283" t="s">
        <v>565</v>
      </c>
      <c r="E41" s="284" t="s">
        <v>76</v>
      </c>
      <c r="F41" s="283" t="s">
        <v>1166</v>
      </c>
      <c r="G41" s="284" t="s">
        <v>79</v>
      </c>
      <c r="H41" s="285" t="s">
        <v>1083</v>
      </c>
      <c r="I41" s="285" t="s">
        <v>1083</v>
      </c>
      <c r="J41" s="285"/>
      <c r="K41" s="284" t="s">
        <v>6</v>
      </c>
      <c r="L41" s="288"/>
      <c r="M41" s="146"/>
    </row>
    <row r="42" spans="1:13" ht="13.5" thickBot="1" x14ac:dyDescent="0.25">
      <c r="A42" s="280" t="s">
        <v>351</v>
      </c>
      <c r="B42" s="281" t="s">
        <v>473</v>
      </c>
      <c r="C42" s="282" t="s">
        <v>1178</v>
      </c>
      <c r="D42" s="283" t="s">
        <v>565</v>
      </c>
      <c r="E42" s="284" t="s">
        <v>76</v>
      </c>
      <c r="F42" s="283" t="s">
        <v>1166</v>
      </c>
      <c r="G42" s="284" t="s">
        <v>79</v>
      </c>
      <c r="H42" s="285" t="s">
        <v>1083</v>
      </c>
      <c r="I42" s="285" t="s">
        <v>1083</v>
      </c>
      <c r="J42" s="285"/>
      <c r="K42" s="284" t="s">
        <v>6</v>
      </c>
      <c r="L42" s="288"/>
      <c r="M42" s="146"/>
    </row>
    <row r="43" spans="1:13" ht="13.5" thickBot="1" x14ac:dyDescent="0.25">
      <c r="A43" s="280" t="s">
        <v>351</v>
      </c>
      <c r="B43" s="281" t="s">
        <v>473</v>
      </c>
      <c r="C43" s="282" t="s">
        <v>1179</v>
      </c>
      <c r="D43" s="283" t="s">
        <v>565</v>
      </c>
      <c r="E43" s="284" t="s">
        <v>76</v>
      </c>
      <c r="F43" s="283" t="s">
        <v>1164</v>
      </c>
      <c r="G43" s="284" t="s">
        <v>79</v>
      </c>
      <c r="H43" s="285" t="s">
        <v>1083</v>
      </c>
      <c r="I43" s="285">
        <v>8</v>
      </c>
      <c r="J43" s="285"/>
      <c r="K43" s="284" t="s">
        <v>6</v>
      </c>
      <c r="L43" s="288"/>
      <c r="M43" s="146"/>
    </row>
    <row r="44" spans="1:13" ht="13.5" thickBot="1" x14ac:dyDescent="0.25">
      <c r="A44" s="280" t="s">
        <v>351</v>
      </c>
      <c r="B44" s="281" t="s">
        <v>473</v>
      </c>
      <c r="C44" s="282" t="s">
        <v>1180</v>
      </c>
      <c r="D44" s="283" t="s">
        <v>565</v>
      </c>
      <c r="E44" s="284" t="s">
        <v>76</v>
      </c>
      <c r="F44" s="283" t="s">
        <v>1164</v>
      </c>
      <c r="G44" s="284" t="s">
        <v>79</v>
      </c>
      <c r="H44" s="285" t="s">
        <v>1083</v>
      </c>
      <c r="I44" s="285" t="s">
        <v>1083</v>
      </c>
      <c r="J44" s="285"/>
      <c r="K44" s="284" t="s">
        <v>6</v>
      </c>
      <c r="L44" s="288"/>
      <c r="M44" s="146"/>
    </row>
    <row r="45" spans="1:13" ht="13.5" thickBot="1" x14ac:dyDescent="0.25">
      <c r="A45" s="280" t="s">
        <v>351</v>
      </c>
      <c r="B45" s="281" t="s">
        <v>473</v>
      </c>
      <c r="C45" s="282" t="s">
        <v>1181</v>
      </c>
      <c r="D45" s="283" t="s">
        <v>565</v>
      </c>
      <c r="E45" s="284" t="s">
        <v>7</v>
      </c>
      <c r="F45" s="283" t="s">
        <v>1166</v>
      </c>
      <c r="G45" s="284" t="s">
        <v>79</v>
      </c>
      <c r="H45" s="285" t="s">
        <v>1083</v>
      </c>
      <c r="I45" s="285"/>
      <c r="J45" s="285" t="s">
        <v>1083</v>
      </c>
      <c r="K45" s="284" t="s">
        <v>6</v>
      </c>
      <c r="L45" s="288"/>
      <c r="M45" s="146"/>
    </row>
    <row r="46" spans="1:13" ht="13.5" thickBot="1" x14ac:dyDescent="0.25">
      <c r="A46" s="280" t="s">
        <v>351</v>
      </c>
      <c r="B46" s="281" t="s">
        <v>473</v>
      </c>
      <c r="C46" s="282" t="s">
        <v>1182</v>
      </c>
      <c r="D46" s="283" t="s">
        <v>565</v>
      </c>
      <c r="E46" s="284" t="s">
        <v>7</v>
      </c>
      <c r="F46" s="283" t="s">
        <v>1166</v>
      </c>
      <c r="G46" s="284" t="s">
        <v>79</v>
      </c>
      <c r="H46" s="285" t="s">
        <v>1083</v>
      </c>
      <c r="I46" s="285"/>
      <c r="J46" s="285" t="s">
        <v>1083</v>
      </c>
      <c r="K46" s="284" t="s">
        <v>6</v>
      </c>
      <c r="L46" s="288"/>
      <c r="M46" s="146"/>
    </row>
    <row r="47" spans="1:13" ht="13.5" thickBot="1" x14ac:dyDescent="0.25">
      <c r="A47" s="280" t="s">
        <v>351</v>
      </c>
      <c r="B47" s="281" t="s">
        <v>473</v>
      </c>
      <c r="C47" s="282" t="s">
        <v>395</v>
      </c>
      <c r="D47" s="283" t="s">
        <v>565</v>
      </c>
      <c r="E47" s="284" t="s">
        <v>76</v>
      </c>
      <c r="F47" s="283" t="s">
        <v>1183</v>
      </c>
      <c r="G47" s="284" t="s">
        <v>79</v>
      </c>
      <c r="H47" s="285" t="s">
        <v>1083</v>
      </c>
      <c r="I47" s="285" t="s">
        <v>1083</v>
      </c>
      <c r="J47" s="285"/>
      <c r="K47" s="284" t="s">
        <v>6</v>
      </c>
      <c r="L47" s="288"/>
      <c r="M47" s="146"/>
    </row>
    <row r="48" spans="1:13" ht="13.5" thickBot="1" x14ac:dyDescent="0.25">
      <c r="A48" s="280" t="s">
        <v>351</v>
      </c>
      <c r="B48" s="281" t="s">
        <v>473</v>
      </c>
      <c r="C48" s="282" t="s">
        <v>1155</v>
      </c>
      <c r="D48" s="283" t="s">
        <v>565</v>
      </c>
      <c r="E48" s="284" t="s">
        <v>76</v>
      </c>
      <c r="F48" s="283" t="s">
        <v>1184</v>
      </c>
      <c r="G48" s="284" t="s">
        <v>79</v>
      </c>
      <c r="H48" s="285" t="s">
        <v>1083</v>
      </c>
      <c r="I48" s="285" t="s">
        <v>1083</v>
      </c>
      <c r="J48" s="285"/>
      <c r="K48" s="284" t="s">
        <v>6</v>
      </c>
      <c r="L48" s="288"/>
      <c r="M48" s="146"/>
    </row>
    <row r="49" spans="1:13" ht="13.5" thickBot="1" x14ac:dyDescent="0.25">
      <c r="A49" s="280" t="s">
        <v>351</v>
      </c>
      <c r="B49" s="281" t="s">
        <v>473</v>
      </c>
      <c r="C49" s="282" t="s">
        <v>356</v>
      </c>
      <c r="D49" s="283" t="s">
        <v>565</v>
      </c>
      <c r="E49" s="284" t="s">
        <v>7</v>
      </c>
      <c r="F49" s="283" t="s">
        <v>1185</v>
      </c>
      <c r="G49" s="284" t="s">
        <v>79</v>
      </c>
      <c r="H49" s="285">
        <v>380</v>
      </c>
      <c r="I49" s="285"/>
      <c r="J49" s="285">
        <v>2</v>
      </c>
      <c r="K49" s="284" t="s">
        <v>6</v>
      </c>
      <c r="L49" s="288"/>
      <c r="M49" s="146"/>
    </row>
    <row r="50" spans="1:13" ht="13.5" thickBot="1" x14ac:dyDescent="0.25">
      <c r="A50" s="280" t="s">
        <v>351</v>
      </c>
      <c r="B50" s="281" t="s">
        <v>473</v>
      </c>
      <c r="C50" s="282" t="s">
        <v>1186</v>
      </c>
      <c r="D50" s="283" t="s">
        <v>565</v>
      </c>
      <c r="E50" s="284" t="s">
        <v>76</v>
      </c>
      <c r="F50" s="283" t="s">
        <v>1164</v>
      </c>
      <c r="G50" s="284" t="s">
        <v>79</v>
      </c>
      <c r="H50" s="285" t="s">
        <v>1083</v>
      </c>
      <c r="I50" s="285" t="s">
        <v>1083</v>
      </c>
      <c r="J50" s="285"/>
      <c r="K50" s="284" t="s">
        <v>6</v>
      </c>
      <c r="L50" s="288"/>
      <c r="M50" s="146"/>
    </row>
    <row r="51" spans="1:13" ht="13.5" thickBot="1" x14ac:dyDescent="0.25">
      <c r="A51" s="280" t="s">
        <v>351</v>
      </c>
      <c r="B51" s="281" t="s">
        <v>473</v>
      </c>
      <c r="C51" s="282" t="s">
        <v>1187</v>
      </c>
      <c r="D51" s="283" t="s">
        <v>565</v>
      </c>
      <c r="E51" s="284" t="s">
        <v>7</v>
      </c>
      <c r="F51" s="283" t="s">
        <v>1164</v>
      </c>
      <c r="G51" s="284" t="s">
        <v>79</v>
      </c>
      <c r="H51" s="285" t="s">
        <v>1083</v>
      </c>
      <c r="I51" s="285"/>
      <c r="J51" s="285" t="s">
        <v>1083</v>
      </c>
      <c r="K51" s="284" t="s">
        <v>6</v>
      </c>
      <c r="L51" s="288"/>
      <c r="M51" s="146"/>
    </row>
    <row r="52" spans="1:13" ht="13.5" thickBot="1" x14ac:dyDescent="0.25">
      <c r="A52" s="280" t="s">
        <v>351</v>
      </c>
      <c r="B52" s="281" t="s">
        <v>473</v>
      </c>
      <c r="C52" s="282" t="s">
        <v>1188</v>
      </c>
      <c r="D52" s="283" t="s">
        <v>565</v>
      </c>
      <c r="E52" s="284" t="s">
        <v>76</v>
      </c>
      <c r="F52" s="283" t="s">
        <v>1164</v>
      </c>
      <c r="G52" s="284" t="s">
        <v>79</v>
      </c>
      <c r="H52" s="285" t="s">
        <v>1083</v>
      </c>
      <c r="I52" s="285" t="s">
        <v>1083</v>
      </c>
      <c r="J52" s="285"/>
      <c r="K52" s="284" t="s">
        <v>6</v>
      </c>
      <c r="L52" s="288"/>
      <c r="M52" s="146"/>
    </row>
    <row r="53" spans="1:13" ht="13.5" thickBot="1" x14ac:dyDescent="0.25">
      <c r="A53" s="280" t="s">
        <v>351</v>
      </c>
      <c r="B53" s="281" t="s">
        <v>473</v>
      </c>
      <c r="C53" s="282" t="s">
        <v>398</v>
      </c>
      <c r="D53" s="283" t="s">
        <v>565</v>
      </c>
      <c r="E53" s="284" t="s">
        <v>76</v>
      </c>
      <c r="F53" s="283" t="s">
        <v>1164</v>
      </c>
      <c r="G53" s="284" t="s">
        <v>79</v>
      </c>
      <c r="H53" s="285" t="s">
        <v>1083</v>
      </c>
      <c r="I53" s="285" t="s">
        <v>1083</v>
      </c>
      <c r="J53" s="285"/>
      <c r="K53" s="284" t="s">
        <v>6</v>
      </c>
      <c r="L53" s="288"/>
      <c r="M53" s="146"/>
    </row>
    <row r="54" spans="1:13" ht="13.5" thickBot="1" x14ac:dyDescent="0.25">
      <c r="A54" s="280" t="s">
        <v>351</v>
      </c>
      <c r="B54" s="281" t="s">
        <v>473</v>
      </c>
      <c r="C54" s="282" t="s">
        <v>398</v>
      </c>
      <c r="D54" s="283" t="s">
        <v>565</v>
      </c>
      <c r="E54" s="284" t="s">
        <v>76</v>
      </c>
      <c r="F54" s="283" t="s">
        <v>1185</v>
      </c>
      <c r="G54" s="284" t="s">
        <v>79</v>
      </c>
      <c r="H54" s="285" t="s">
        <v>1083</v>
      </c>
      <c r="I54" s="285" t="s">
        <v>1083</v>
      </c>
      <c r="J54" s="285"/>
      <c r="K54" s="284" t="s">
        <v>6</v>
      </c>
      <c r="L54" s="288"/>
      <c r="M54" s="146"/>
    </row>
    <row r="55" spans="1:13" ht="13.5" thickBot="1" x14ac:dyDescent="0.25">
      <c r="A55" s="280" t="s">
        <v>351</v>
      </c>
      <c r="B55" s="281" t="s">
        <v>473</v>
      </c>
      <c r="C55" s="282" t="s">
        <v>405</v>
      </c>
      <c r="D55" s="283" t="s">
        <v>565</v>
      </c>
      <c r="E55" s="284" t="s">
        <v>76</v>
      </c>
      <c r="F55" s="283" t="s">
        <v>1164</v>
      </c>
      <c r="G55" s="284" t="s">
        <v>79</v>
      </c>
      <c r="H55" s="285" t="s">
        <v>1083</v>
      </c>
      <c r="I55" s="285" t="s">
        <v>1083</v>
      </c>
      <c r="J55" s="285"/>
      <c r="K55" s="284" t="s">
        <v>6</v>
      </c>
      <c r="L55" s="288"/>
      <c r="M55" s="146"/>
    </row>
    <row r="56" spans="1:13" ht="13.5" thickBot="1" x14ac:dyDescent="0.25">
      <c r="A56" s="280" t="s">
        <v>351</v>
      </c>
      <c r="B56" s="281" t="s">
        <v>473</v>
      </c>
      <c r="C56" s="282" t="s">
        <v>1189</v>
      </c>
      <c r="D56" s="283" t="s">
        <v>565</v>
      </c>
      <c r="E56" s="284" t="s">
        <v>76</v>
      </c>
      <c r="F56" s="283" t="s">
        <v>1166</v>
      </c>
      <c r="G56" s="284" t="s">
        <v>79</v>
      </c>
      <c r="H56" s="285" t="s">
        <v>1083</v>
      </c>
      <c r="I56" s="285" t="s">
        <v>1083</v>
      </c>
      <c r="J56" s="285"/>
      <c r="K56" s="284" t="s">
        <v>6</v>
      </c>
      <c r="L56" s="288"/>
      <c r="M56" s="146"/>
    </row>
    <row r="57" spans="1:13" ht="13.5" thickBot="1" x14ac:dyDescent="0.25">
      <c r="A57" s="280" t="s">
        <v>351</v>
      </c>
      <c r="B57" s="281" t="s">
        <v>473</v>
      </c>
      <c r="C57" s="282" t="s">
        <v>1156</v>
      </c>
      <c r="D57" s="283" t="s">
        <v>565</v>
      </c>
      <c r="E57" s="284" t="s">
        <v>76</v>
      </c>
      <c r="F57" s="283" t="s">
        <v>1164</v>
      </c>
      <c r="G57" s="284" t="s">
        <v>79</v>
      </c>
      <c r="H57" s="285" t="s">
        <v>1083</v>
      </c>
      <c r="I57" s="285">
        <v>1</v>
      </c>
      <c r="J57" s="285"/>
      <c r="K57" s="284" t="s">
        <v>6</v>
      </c>
      <c r="L57" s="288"/>
      <c r="M57" s="146"/>
    </row>
    <row r="58" spans="1:13" ht="13.5" thickBot="1" x14ac:dyDescent="0.25">
      <c r="A58" s="280" t="s">
        <v>351</v>
      </c>
      <c r="B58" s="281" t="s">
        <v>473</v>
      </c>
      <c r="C58" s="282" t="s">
        <v>200</v>
      </c>
      <c r="D58" s="283" t="s">
        <v>565</v>
      </c>
      <c r="E58" s="284" t="s">
        <v>76</v>
      </c>
      <c r="F58" s="283" t="s">
        <v>1166</v>
      </c>
      <c r="G58" s="284" t="s">
        <v>79</v>
      </c>
      <c r="H58" s="285" t="s">
        <v>1083</v>
      </c>
      <c r="I58" s="285"/>
      <c r="J58" s="285" t="s">
        <v>1083</v>
      </c>
      <c r="K58" s="284" t="s">
        <v>6</v>
      </c>
      <c r="L58" s="288"/>
      <c r="M58" s="146"/>
    </row>
    <row r="59" spans="1:13" ht="13.5" thickBot="1" x14ac:dyDescent="0.25">
      <c r="A59" s="280" t="s">
        <v>351</v>
      </c>
      <c r="B59" s="281" t="s">
        <v>473</v>
      </c>
      <c r="C59" s="282" t="s">
        <v>408</v>
      </c>
      <c r="D59" s="283" t="s">
        <v>565</v>
      </c>
      <c r="E59" s="284" t="s">
        <v>76</v>
      </c>
      <c r="F59" s="283" t="s">
        <v>1166</v>
      </c>
      <c r="G59" s="289" t="s">
        <v>1153</v>
      </c>
      <c r="H59" s="285">
        <v>30950</v>
      </c>
      <c r="I59" s="285" t="s">
        <v>1153</v>
      </c>
      <c r="J59" s="285" t="s">
        <v>1153</v>
      </c>
      <c r="K59" s="284" t="s">
        <v>1153</v>
      </c>
      <c r="L59" s="288" t="s">
        <v>1158</v>
      </c>
      <c r="M59" s="146"/>
    </row>
    <row r="60" spans="1:13" ht="13.5" thickBot="1" x14ac:dyDescent="0.25">
      <c r="A60" s="280" t="s">
        <v>351</v>
      </c>
      <c r="B60" s="281" t="s">
        <v>473</v>
      </c>
      <c r="C60" s="282" t="s">
        <v>1190</v>
      </c>
      <c r="D60" s="283" t="s">
        <v>565</v>
      </c>
      <c r="E60" s="284" t="s">
        <v>76</v>
      </c>
      <c r="F60" s="283" t="s">
        <v>1166</v>
      </c>
      <c r="G60" s="284" t="s">
        <v>79</v>
      </c>
      <c r="H60" s="285" t="s">
        <v>1083</v>
      </c>
      <c r="I60" s="285" t="s">
        <v>1083</v>
      </c>
      <c r="J60" s="285"/>
      <c r="K60" s="284" t="s">
        <v>6</v>
      </c>
      <c r="L60" s="288"/>
      <c r="M60" s="146"/>
    </row>
    <row r="61" spans="1:13" ht="13.5" thickBot="1" x14ac:dyDescent="0.25">
      <c r="A61" s="280" t="s">
        <v>351</v>
      </c>
      <c r="B61" s="281" t="s">
        <v>473</v>
      </c>
      <c r="C61" s="282" t="s">
        <v>1160</v>
      </c>
      <c r="D61" s="283" t="s">
        <v>565</v>
      </c>
      <c r="E61" s="284" t="s">
        <v>76</v>
      </c>
      <c r="F61" s="283" t="s">
        <v>1164</v>
      </c>
      <c r="G61" s="284" t="s">
        <v>79</v>
      </c>
      <c r="H61" s="285" t="s">
        <v>1083</v>
      </c>
      <c r="I61" s="285"/>
      <c r="J61" s="285" t="s">
        <v>1083</v>
      </c>
      <c r="K61" s="284" t="s">
        <v>6</v>
      </c>
      <c r="L61" s="288"/>
      <c r="M61" s="146"/>
    </row>
    <row r="62" spans="1:13" ht="13.5" thickBot="1" x14ac:dyDescent="0.25">
      <c r="A62" s="280" t="s">
        <v>351</v>
      </c>
      <c r="B62" s="281" t="s">
        <v>473</v>
      </c>
      <c r="C62" s="282" t="s">
        <v>410</v>
      </c>
      <c r="D62" s="283" t="s">
        <v>565</v>
      </c>
      <c r="E62" s="284" t="s">
        <v>76</v>
      </c>
      <c r="F62" s="283" t="s">
        <v>1164</v>
      </c>
      <c r="G62" s="284" t="s">
        <v>79</v>
      </c>
      <c r="H62" s="285" t="s">
        <v>1083</v>
      </c>
      <c r="I62" s="285" t="s">
        <v>1083</v>
      </c>
      <c r="J62" s="285"/>
      <c r="K62" s="284" t="s">
        <v>6</v>
      </c>
      <c r="L62" s="288"/>
      <c r="M62" s="146"/>
    </row>
    <row r="63" spans="1:13" ht="13.5" thickBot="1" x14ac:dyDescent="0.25">
      <c r="A63" s="280" t="s">
        <v>351</v>
      </c>
      <c r="B63" s="281" t="s">
        <v>473</v>
      </c>
      <c r="C63" s="282" t="s">
        <v>410</v>
      </c>
      <c r="D63" s="283" t="s">
        <v>565</v>
      </c>
      <c r="E63" s="284" t="s">
        <v>76</v>
      </c>
      <c r="F63" s="283" t="s">
        <v>1185</v>
      </c>
      <c r="G63" s="284" t="s">
        <v>79</v>
      </c>
      <c r="H63" s="285" t="s">
        <v>1083</v>
      </c>
      <c r="I63" s="285" t="s">
        <v>1083</v>
      </c>
      <c r="J63" s="285"/>
      <c r="K63" s="284" t="s">
        <v>6</v>
      </c>
      <c r="L63" s="288"/>
      <c r="M63" s="146"/>
    </row>
    <row r="64" spans="1:13" ht="13.5" thickBot="1" x14ac:dyDescent="0.25">
      <c r="A64" s="280" t="s">
        <v>351</v>
      </c>
      <c r="B64" s="281" t="s">
        <v>473</v>
      </c>
      <c r="C64" s="282" t="s">
        <v>1191</v>
      </c>
      <c r="D64" s="283" t="s">
        <v>565</v>
      </c>
      <c r="E64" s="284" t="s">
        <v>76</v>
      </c>
      <c r="F64" s="283" t="s">
        <v>1192</v>
      </c>
      <c r="G64" s="284" t="s">
        <v>79</v>
      </c>
      <c r="H64" s="285" t="s">
        <v>1083</v>
      </c>
      <c r="I64" s="285" t="s">
        <v>1083</v>
      </c>
      <c r="J64" s="285"/>
      <c r="K64" s="284" t="s">
        <v>6</v>
      </c>
      <c r="L64" s="288"/>
      <c r="M64" s="146"/>
    </row>
    <row r="65" spans="1:14" ht="39" thickBot="1" x14ac:dyDescent="0.25">
      <c r="A65" s="280" t="s">
        <v>351</v>
      </c>
      <c r="B65" s="281" t="s">
        <v>473</v>
      </c>
      <c r="C65" s="282" t="s">
        <v>412</v>
      </c>
      <c r="D65" s="283" t="s">
        <v>565</v>
      </c>
      <c r="E65" s="284" t="s">
        <v>76</v>
      </c>
      <c r="F65" s="283" t="s">
        <v>1166</v>
      </c>
      <c r="G65" s="289" t="s">
        <v>1153</v>
      </c>
      <c r="H65" s="285" t="s">
        <v>1150</v>
      </c>
      <c r="I65" s="285" t="s">
        <v>1153</v>
      </c>
      <c r="J65" s="285" t="s">
        <v>1153</v>
      </c>
      <c r="K65" s="284" t="s">
        <v>1153</v>
      </c>
      <c r="L65" s="288" t="s">
        <v>1162</v>
      </c>
      <c r="M65" s="411" t="s">
        <v>1662</v>
      </c>
    </row>
    <row r="66" spans="1:14" ht="13.5" thickBot="1" x14ac:dyDescent="0.25">
      <c r="A66" s="280" t="s">
        <v>351</v>
      </c>
      <c r="B66" s="281" t="s">
        <v>473</v>
      </c>
      <c r="C66" s="282" t="s">
        <v>1193</v>
      </c>
      <c r="D66" s="283" t="s">
        <v>565</v>
      </c>
      <c r="E66" s="284" t="s">
        <v>7</v>
      </c>
      <c r="F66" s="283" t="s">
        <v>1164</v>
      </c>
      <c r="G66" s="284" t="s">
        <v>79</v>
      </c>
      <c r="H66" s="285" t="s">
        <v>1083</v>
      </c>
      <c r="I66" s="285"/>
      <c r="J66" s="285" t="s">
        <v>1083</v>
      </c>
      <c r="K66" s="284" t="s">
        <v>6</v>
      </c>
      <c r="L66" s="288"/>
      <c r="M66" s="146"/>
    </row>
    <row r="67" spans="1:14" ht="13.5" thickBot="1" x14ac:dyDescent="0.25">
      <c r="A67" s="280" t="s">
        <v>351</v>
      </c>
      <c r="B67" s="281" t="s">
        <v>473</v>
      </c>
      <c r="C67" s="282" t="s">
        <v>1194</v>
      </c>
      <c r="D67" s="283" t="s">
        <v>565</v>
      </c>
      <c r="E67" s="284" t="s">
        <v>76</v>
      </c>
      <c r="F67" s="283" t="s">
        <v>1164</v>
      </c>
      <c r="G67" s="284" t="s">
        <v>79</v>
      </c>
      <c r="H67" s="285" t="s">
        <v>1083</v>
      </c>
      <c r="I67" s="285" t="s">
        <v>1083</v>
      </c>
      <c r="J67" s="285"/>
      <c r="K67" s="284" t="s">
        <v>6</v>
      </c>
      <c r="L67" s="288"/>
      <c r="M67" s="146"/>
    </row>
    <row r="68" spans="1:14" ht="13.5" thickBot="1" x14ac:dyDescent="0.25">
      <c r="A68" s="280" t="s">
        <v>351</v>
      </c>
      <c r="B68" s="281" t="s">
        <v>473</v>
      </c>
      <c r="C68" s="282" t="s">
        <v>1195</v>
      </c>
      <c r="D68" s="283" t="s">
        <v>565</v>
      </c>
      <c r="E68" s="284" t="s">
        <v>76</v>
      </c>
      <c r="F68" s="283" t="s">
        <v>1166</v>
      </c>
      <c r="G68" s="284" t="s">
        <v>79</v>
      </c>
      <c r="H68" s="285" t="s">
        <v>1083</v>
      </c>
      <c r="I68" s="285"/>
      <c r="J68" s="285" t="s">
        <v>1083</v>
      </c>
      <c r="K68" s="284" t="s">
        <v>6</v>
      </c>
      <c r="L68" s="288"/>
      <c r="M68" s="146"/>
    </row>
    <row r="69" spans="1:14" ht="13.5" thickBot="1" x14ac:dyDescent="0.25">
      <c r="A69" s="280" t="s">
        <v>351</v>
      </c>
      <c r="B69" s="281" t="s">
        <v>473</v>
      </c>
      <c r="C69" s="282" t="s">
        <v>1196</v>
      </c>
      <c r="D69" s="283" t="s">
        <v>565</v>
      </c>
      <c r="E69" s="284" t="s">
        <v>76</v>
      </c>
      <c r="F69" s="283" t="s">
        <v>1166</v>
      </c>
      <c r="G69" s="284" t="s">
        <v>79</v>
      </c>
      <c r="H69" s="285" t="s">
        <v>1083</v>
      </c>
      <c r="I69" s="285" t="s">
        <v>1083</v>
      </c>
      <c r="J69" s="285"/>
      <c r="K69" s="284" t="s">
        <v>6</v>
      </c>
      <c r="L69" s="288" t="s">
        <v>1197</v>
      </c>
      <c r="M69" s="146"/>
    </row>
    <row r="70" spans="1:14" ht="13.5" thickBot="1" x14ac:dyDescent="0.25">
      <c r="A70" s="280" t="s">
        <v>351</v>
      </c>
      <c r="B70" s="281" t="s">
        <v>473</v>
      </c>
      <c r="C70" s="282" t="s">
        <v>1198</v>
      </c>
      <c r="D70" s="283" t="s">
        <v>353</v>
      </c>
      <c r="E70" s="284" t="s">
        <v>860</v>
      </c>
      <c r="F70" s="283" t="s">
        <v>1199</v>
      </c>
      <c r="G70" s="284" t="s">
        <v>79</v>
      </c>
      <c r="H70" s="285" t="s">
        <v>1083</v>
      </c>
      <c r="I70" s="285" t="s">
        <v>1083</v>
      </c>
      <c r="J70" s="285"/>
      <c r="K70" s="284" t="s">
        <v>6</v>
      </c>
      <c r="L70" s="288"/>
      <c r="M70" s="146"/>
    </row>
    <row r="71" spans="1:14" ht="13.5" thickBot="1" x14ac:dyDescent="0.25">
      <c r="A71" s="280" t="s">
        <v>351</v>
      </c>
      <c r="B71" s="281" t="s">
        <v>473</v>
      </c>
      <c r="C71" s="282" t="s">
        <v>1163</v>
      </c>
      <c r="D71" s="283" t="s">
        <v>353</v>
      </c>
      <c r="E71" s="284" t="s">
        <v>76</v>
      </c>
      <c r="F71" s="283" t="s">
        <v>370</v>
      </c>
      <c r="G71" s="284" t="s">
        <v>79</v>
      </c>
      <c r="H71" s="285" t="s">
        <v>1083</v>
      </c>
      <c r="I71" s="285" t="s">
        <v>1083</v>
      </c>
      <c r="J71" s="285"/>
      <c r="K71" s="284" t="s">
        <v>6</v>
      </c>
      <c r="L71" s="288"/>
      <c r="M71" s="146"/>
    </row>
    <row r="72" spans="1:14" ht="39" thickBot="1" x14ac:dyDescent="0.25">
      <c r="A72" s="280" t="s">
        <v>351</v>
      </c>
      <c r="B72" s="281" t="s">
        <v>473</v>
      </c>
      <c r="C72" s="282" t="s">
        <v>352</v>
      </c>
      <c r="D72" s="283" t="s">
        <v>353</v>
      </c>
      <c r="E72" s="284" t="s">
        <v>76</v>
      </c>
      <c r="F72" s="283" t="s">
        <v>354</v>
      </c>
      <c r="G72" s="284" t="s">
        <v>6</v>
      </c>
      <c r="H72" s="285">
        <v>33760</v>
      </c>
      <c r="I72" s="285">
        <v>69</v>
      </c>
      <c r="J72" s="285"/>
      <c r="K72" s="284" t="s">
        <v>79</v>
      </c>
      <c r="L72" s="288"/>
      <c r="M72" s="411" t="s">
        <v>1666</v>
      </c>
      <c r="N72" s="477"/>
    </row>
    <row r="73" spans="1:14" ht="13.5" thickBot="1" x14ac:dyDescent="0.25">
      <c r="A73" s="280" t="s">
        <v>351</v>
      </c>
      <c r="B73" s="281" t="s">
        <v>473</v>
      </c>
      <c r="C73" s="282" t="s">
        <v>356</v>
      </c>
      <c r="D73" s="283" t="s">
        <v>353</v>
      </c>
      <c r="E73" s="284" t="s">
        <v>7</v>
      </c>
      <c r="F73" s="283" t="s">
        <v>357</v>
      </c>
      <c r="G73" s="284" t="s">
        <v>6</v>
      </c>
      <c r="H73" s="285">
        <v>2590</v>
      </c>
      <c r="I73" s="285"/>
      <c r="J73" s="285">
        <v>4</v>
      </c>
      <c r="K73" s="284" t="s">
        <v>6</v>
      </c>
      <c r="L73" s="288"/>
      <c r="M73" s="146"/>
    </row>
    <row r="74" spans="1:14" ht="13.5" thickBot="1" x14ac:dyDescent="0.25">
      <c r="A74" s="280" t="s">
        <v>351</v>
      </c>
      <c r="B74" s="281" t="s">
        <v>473</v>
      </c>
      <c r="C74" s="282" t="s">
        <v>1200</v>
      </c>
      <c r="D74" s="283" t="s">
        <v>353</v>
      </c>
      <c r="E74" s="284" t="s">
        <v>7</v>
      </c>
      <c r="F74" s="283" t="s">
        <v>188</v>
      </c>
      <c r="G74" s="284" t="s">
        <v>79</v>
      </c>
      <c r="H74" s="285" t="s">
        <v>1150</v>
      </c>
      <c r="I74" s="285"/>
      <c r="J74" s="285">
        <v>0.03</v>
      </c>
      <c r="K74" s="284" t="s">
        <v>6</v>
      </c>
      <c r="L74" s="288"/>
      <c r="M74" s="146"/>
    </row>
    <row r="75" spans="1:14" ht="13.5" thickBot="1" x14ac:dyDescent="0.25">
      <c r="A75" s="280" t="s">
        <v>351</v>
      </c>
      <c r="B75" s="281" t="s">
        <v>473</v>
      </c>
      <c r="C75" s="282" t="s">
        <v>358</v>
      </c>
      <c r="D75" s="283" t="s">
        <v>353</v>
      </c>
      <c r="E75" s="284" t="s">
        <v>7</v>
      </c>
      <c r="F75" s="283" t="s">
        <v>354</v>
      </c>
      <c r="G75" s="284" t="s">
        <v>6</v>
      </c>
      <c r="H75" s="285">
        <v>480</v>
      </c>
      <c r="I75" s="285"/>
      <c r="J75" s="285">
        <v>11</v>
      </c>
      <c r="K75" s="284" t="s">
        <v>79</v>
      </c>
      <c r="L75" s="288"/>
      <c r="M75" s="146"/>
    </row>
    <row r="76" spans="1:14" ht="13.5" thickBot="1" x14ac:dyDescent="0.25">
      <c r="A76" s="280" t="s">
        <v>351</v>
      </c>
      <c r="B76" s="281" t="s">
        <v>473</v>
      </c>
      <c r="C76" s="282" t="s">
        <v>78</v>
      </c>
      <c r="D76" s="283" t="s">
        <v>353</v>
      </c>
      <c r="E76" s="284" t="s">
        <v>76</v>
      </c>
      <c r="F76" s="283" t="s">
        <v>362</v>
      </c>
      <c r="G76" s="284" t="s">
        <v>79</v>
      </c>
      <c r="H76" s="285" t="s">
        <v>1083</v>
      </c>
      <c r="I76" s="285"/>
      <c r="J76" s="285" t="s">
        <v>1083</v>
      </c>
      <c r="K76" s="284" t="s">
        <v>6</v>
      </c>
      <c r="L76" s="288"/>
      <c r="M76" s="146"/>
    </row>
    <row r="77" spans="1:14" ht="13.5" thickBot="1" x14ac:dyDescent="0.25">
      <c r="A77" s="280" t="s">
        <v>351</v>
      </c>
      <c r="B77" s="281" t="s">
        <v>473</v>
      </c>
      <c r="C77" s="282" t="s">
        <v>1201</v>
      </c>
      <c r="D77" s="283" t="s">
        <v>353</v>
      </c>
      <c r="E77" s="284" t="s">
        <v>76</v>
      </c>
      <c r="F77" s="283" t="s">
        <v>362</v>
      </c>
      <c r="G77" s="284" t="s">
        <v>79</v>
      </c>
      <c r="H77" s="285" t="s">
        <v>1083</v>
      </c>
      <c r="I77" s="285">
        <v>3</v>
      </c>
      <c r="J77" s="285"/>
      <c r="K77" s="284" t="s">
        <v>6</v>
      </c>
      <c r="L77" s="288" t="s">
        <v>1202</v>
      </c>
      <c r="M77" s="146"/>
    </row>
    <row r="78" spans="1:14" ht="13.5" thickBot="1" x14ac:dyDescent="0.25">
      <c r="A78" s="280" t="s">
        <v>351</v>
      </c>
      <c r="B78" s="281" t="s">
        <v>473</v>
      </c>
      <c r="C78" s="282" t="s">
        <v>1167</v>
      </c>
      <c r="D78" s="283" t="s">
        <v>353</v>
      </c>
      <c r="E78" s="284" t="s">
        <v>76</v>
      </c>
      <c r="F78" s="283" t="s">
        <v>362</v>
      </c>
      <c r="G78" s="284" t="s">
        <v>79</v>
      </c>
      <c r="H78" s="285" t="s">
        <v>1083</v>
      </c>
      <c r="I78" s="285">
        <v>7</v>
      </c>
      <c r="J78" s="285"/>
      <c r="K78" s="284" t="s">
        <v>6</v>
      </c>
      <c r="L78" s="288" t="s">
        <v>1202</v>
      </c>
      <c r="M78" s="146"/>
    </row>
    <row r="79" spans="1:14" ht="13.5" thickBot="1" x14ac:dyDescent="0.25">
      <c r="A79" s="280" t="s">
        <v>351</v>
      </c>
      <c r="B79" s="281" t="s">
        <v>473</v>
      </c>
      <c r="C79" s="282" t="s">
        <v>1203</v>
      </c>
      <c r="D79" s="283" t="s">
        <v>353</v>
      </c>
      <c r="E79" s="284" t="s">
        <v>7</v>
      </c>
      <c r="F79" s="283" t="s">
        <v>362</v>
      </c>
      <c r="G79" s="284" t="s">
        <v>79</v>
      </c>
      <c r="H79" s="285" t="s">
        <v>1083</v>
      </c>
      <c r="I79" s="285"/>
      <c r="J79" s="285" t="s">
        <v>1083</v>
      </c>
      <c r="K79" s="284" t="s">
        <v>6</v>
      </c>
      <c r="L79" s="288"/>
      <c r="M79" s="146"/>
    </row>
    <row r="80" spans="1:14" ht="13.5" thickBot="1" x14ac:dyDescent="0.25">
      <c r="A80" s="280" t="s">
        <v>351</v>
      </c>
      <c r="B80" s="281" t="s">
        <v>473</v>
      </c>
      <c r="C80" s="282" t="s">
        <v>1204</v>
      </c>
      <c r="D80" s="283" t="s">
        <v>353</v>
      </c>
      <c r="E80" s="284" t="s">
        <v>7</v>
      </c>
      <c r="F80" s="283" t="s">
        <v>362</v>
      </c>
      <c r="G80" s="284" t="s">
        <v>79</v>
      </c>
      <c r="H80" s="285" t="s">
        <v>1150</v>
      </c>
      <c r="I80" s="285"/>
      <c r="J80" s="285">
        <v>2</v>
      </c>
      <c r="K80" s="284" t="s">
        <v>6</v>
      </c>
      <c r="L80" s="288"/>
      <c r="M80" s="146"/>
    </row>
    <row r="81" spans="1:13" ht="13.5" thickBot="1" x14ac:dyDescent="0.25">
      <c r="A81" s="280" t="s">
        <v>351</v>
      </c>
      <c r="B81" s="281" t="s">
        <v>473</v>
      </c>
      <c r="C81" s="282" t="s">
        <v>1205</v>
      </c>
      <c r="D81" s="283" t="s">
        <v>353</v>
      </c>
      <c r="E81" s="284" t="s">
        <v>76</v>
      </c>
      <c r="F81" s="283" t="s">
        <v>1206</v>
      </c>
      <c r="G81" s="284" t="s">
        <v>79</v>
      </c>
      <c r="H81" s="285" t="s">
        <v>1083</v>
      </c>
      <c r="I81" s="285">
        <v>3</v>
      </c>
      <c r="J81" s="285"/>
      <c r="K81" s="284" t="s">
        <v>6</v>
      </c>
      <c r="L81" s="288" t="s">
        <v>1202</v>
      </c>
      <c r="M81" s="146"/>
    </row>
    <row r="82" spans="1:13" ht="13.5" thickBot="1" x14ac:dyDescent="0.25">
      <c r="A82" s="280" t="s">
        <v>351</v>
      </c>
      <c r="B82" s="281" t="s">
        <v>473</v>
      </c>
      <c r="C82" s="282" t="s">
        <v>1205</v>
      </c>
      <c r="D82" s="283" t="s">
        <v>1207</v>
      </c>
      <c r="E82" s="284" t="s">
        <v>76</v>
      </c>
      <c r="F82" s="283" t="s">
        <v>1208</v>
      </c>
      <c r="G82" s="284" t="s">
        <v>79</v>
      </c>
      <c r="H82" s="285" t="s">
        <v>1083</v>
      </c>
      <c r="I82" s="285">
        <v>3</v>
      </c>
      <c r="J82" s="285"/>
      <c r="K82" s="284" t="s">
        <v>6</v>
      </c>
      <c r="L82" s="288" t="s">
        <v>1202</v>
      </c>
      <c r="M82" s="146"/>
    </row>
    <row r="83" spans="1:13" ht="13.5" thickBot="1" x14ac:dyDescent="0.25">
      <c r="A83" s="280" t="s">
        <v>351</v>
      </c>
      <c r="B83" s="281" t="s">
        <v>473</v>
      </c>
      <c r="C83" s="282" t="s">
        <v>361</v>
      </c>
      <c r="D83" s="290" t="s">
        <v>353</v>
      </c>
      <c r="E83" s="284" t="s">
        <v>76</v>
      </c>
      <c r="F83" s="283" t="s">
        <v>362</v>
      </c>
      <c r="G83" s="284" t="s">
        <v>6</v>
      </c>
      <c r="H83" s="285">
        <v>5630</v>
      </c>
      <c r="I83" s="285"/>
      <c r="J83" s="285">
        <v>11</v>
      </c>
      <c r="K83" s="284" t="s">
        <v>79</v>
      </c>
      <c r="L83" s="288"/>
      <c r="M83" s="146"/>
    </row>
    <row r="84" spans="1:13" ht="13.5" thickBot="1" x14ac:dyDescent="0.25">
      <c r="A84" s="280" t="s">
        <v>351</v>
      </c>
      <c r="B84" s="281" t="s">
        <v>473</v>
      </c>
      <c r="C84" s="282" t="s">
        <v>363</v>
      </c>
      <c r="D84" s="283" t="s">
        <v>353</v>
      </c>
      <c r="E84" s="284" t="s">
        <v>76</v>
      </c>
      <c r="F84" s="283" t="s">
        <v>370</v>
      </c>
      <c r="G84" s="284" t="s">
        <v>1153</v>
      </c>
      <c r="H84" s="285">
        <v>4090</v>
      </c>
      <c r="I84" s="285" t="s">
        <v>1153</v>
      </c>
      <c r="J84" s="285" t="s">
        <v>1153</v>
      </c>
      <c r="K84" s="284" t="s">
        <v>1153</v>
      </c>
      <c r="L84" s="288" t="s">
        <v>1209</v>
      </c>
      <c r="M84" s="146"/>
    </row>
    <row r="85" spans="1:13" ht="13.5" thickBot="1" x14ac:dyDescent="0.25">
      <c r="A85" s="280" t="s">
        <v>351</v>
      </c>
      <c r="B85" s="281" t="s">
        <v>473</v>
      </c>
      <c r="C85" s="282" t="s">
        <v>363</v>
      </c>
      <c r="D85" s="283" t="s">
        <v>353</v>
      </c>
      <c r="E85" s="284" t="s">
        <v>76</v>
      </c>
      <c r="F85" s="283" t="s">
        <v>364</v>
      </c>
      <c r="G85" s="289" t="s">
        <v>79</v>
      </c>
      <c r="H85" s="285" t="s">
        <v>1150</v>
      </c>
      <c r="I85" s="285">
        <v>15</v>
      </c>
      <c r="J85" s="285"/>
      <c r="K85" s="284" t="s">
        <v>79</v>
      </c>
      <c r="L85" s="291"/>
      <c r="M85" s="410"/>
    </row>
    <row r="86" spans="1:13" ht="13.5" thickBot="1" x14ac:dyDescent="0.25">
      <c r="A86" s="280" t="s">
        <v>351</v>
      </c>
      <c r="B86" s="281" t="s">
        <v>473</v>
      </c>
      <c r="C86" s="282" t="s">
        <v>363</v>
      </c>
      <c r="D86" s="283" t="s">
        <v>353</v>
      </c>
      <c r="E86" s="284" t="s">
        <v>76</v>
      </c>
      <c r="F86" s="283" t="s">
        <v>366</v>
      </c>
      <c r="G86" s="284" t="s">
        <v>6</v>
      </c>
      <c r="H86" s="285" t="s">
        <v>1083</v>
      </c>
      <c r="I86" s="285">
        <v>91</v>
      </c>
      <c r="J86" s="285"/>
      <c r="K86" s="284" t="s">
        <v>6</v>
      </c>
      <c r="L86" s="288" t="s">
        <v>1210</v>
      </c>
      <c r="M86" s="146"/>
    </row>
    <row r="87" spans="1:13" ht="13.5" thickBot="1" x14ac:dyDescent="0.25">
      <c r="A87" s="280" t="s">
        <v>351</v>
      </c>
      <c r="B87" s="281" t="s">
        <v>473</v>
      </c>
      <c r="C87" s="282" t="s">
        <v>363</v>
      </c>
      <c r="D87" s="283" t="s">
        <v>353</v>
      </c>
      <c r="E87" s="284" t="s">
        <v>76</v>
      </c>
      <c r="F87" s="283" t="s">
        <v>367</v>
      </c>
      <c r="G87" s="284" t="s">
        <v>6</v>
      </c>
      <c r="H87" s="285">
        <v>1520</v>
      </c>
      <c r="I87" s="285">
        <v>26</v>
      </c>
      <c r="J87" s="285"/>
      <c r="K87" s="284" t="s">
        <v>79</v>
      </c>
      <c r="L87" s="288"/>
      <c r="M87" s="146"/>
    </row>
    <row r="88" spans="1:13" ht="39" thickBot="1" x14ac:dyDescent="0.25">
      <c r="A88" s="280" t="s">
        <v>351</v>
      </c>
      <c r="B88" s="281" t="s">
        <v>473</v>
      </c>
      <c r="C88" s="282" t="s">
        <v>363</v>
      </c>
      <c r="D88" s="283" t="s">
        <v>353</v>
      </c>
      <c r="E88" s="284" t="s">
        <v>76</v>
      </c>
      <c r="F88" s="283" t="s">
        <v>368</v>
      </c>
      <c r="G88" s="284" t="s">
        <v>6</v>
      </c>
      <c r="H88" s="285">
        <v>340</v>
      </c>
      <c r="I88" s="285">
        <v>86</v>
      </c>
      <c r="J88" s="285"/>
      <c r="K88" s="284" t="s">
        <v>79</v>
      </c>
      <c r="L88" s="288" t="s">
        <v>369</v>
      </c>
      <c r="M88" s="411" t="s">
        <v>1663</v>
      </c>
    </row>
    <row r="89" spans="1:13" ht="13.5" thickBot="1" x14ac:dyDescent="0.25">
      <c r="A89" s="280" t="s">
        <v>351</v>
      </c>
      <c r="B89" s="281" t="s">
        <v>473</v>
      </c>
      <c r="C89" s="282" t="s">
        <v>1211</v>
      </c>
      <c r="D89" s="283" t="s">
        <v>353</v>
      </c>
      <c r="E89" s="284" t="s">
        <v>7</v>
      </c>
      <c r="F89" s="283" t="s">
        <v>1212</v>
      </c>
      <c r="G89" s="284" t="s">
        <v>79</v>
      </c>
      <c r="H89" s="285" t="s">
        <v>1150</v>
      </c>
      <c r="I89" s="285"/>
      <c r="J89" s="285">
        <v>0.5</v>
      </c>
      <c r="K89" s="284" t="s">
        <v>6</v>
      </c>
      <c r="L89" s="288"/>
      <c r="M89" s="146"/>
    </row>
    <row r="90" spans="1:13" ht="13.5" thickBot="1" x14ac:dyDescent="0.25">
      <c r="A90" s="280" t="s">
        <v>351</v>
      </c>
      <c r="B90" s="281" t="s">
        <v>473</v>
      </c>
      <c r="C90" s="282" t="s">
        <v>1211</v>
      </c>
      <c r="D90" s="283" t="s">
        <v>1207</v>
      </c>
      <c r="E90" s="284" t="s">
        <v>7</v>
      </c>
      <c r="F90" s="283" t="s">
        <v>180</v>
      </c>
      <c r="G90" s="284" t="s">
        <v>79</v>
      </c>
      <c r="H90" s="285" t="s">
        <v>1083</v>
      </c>
      <c r="I90" s="285"/>
      <c r="J90" s="285" t="s">
        <v>1083</v>
      </c>
      <c r="K90" s="284" t="s">
        <v>6</v>
      </c>
      <c r="L90" s="288"/>
      <c r="M90" s="146"/>
    </row>
    <row r="91" spans="1:13" ht="13.5" thickBot="1" x14ac:dyDescent="0.25">
      <c r="A91" s="280" t="s">
        <v>351</v>
      </c>
      <c r="B91" s="281" t="s">
        <v>473</v>
      </c>
      <c r="C91" s="282" t="s">
        <v>1213</v>
      </c>
      <c r="D91" s="283" t="s">
        <v>353</v>
      </c>
      <c r="E91" s="284" t="s">
        <v>76</v>
      </c>
      <c r="F91" s="283" t="s">
        <v>362</v>
      </c>
      <c r="G91" s="284" t="s">
        <v>79</v>
      </c>
      <c r="H91" s="285" t="s">
        <v>1083</v>
      </c>
      <c r="I91" s="285">
        <v>6</v>
      </c>
      <c r="J91" s="285"/>
      <c r="K91" s="284" t="s">
        <v>6</v>
      </c>
      <c r="L91" s="292" t="s">
        <v>1202</v>
      </c>
      <c r="M91" s="146"/>
    </row>
    <row r="92" spans="1:13" ht="13.5" thickBot="1" x14ac:dyDescent="0.25">
      <c r="A92" s="280" t="s">
        <v>351</v>
      </c>
      <c r="B92" s="281" t="s">
        <v>473</v>
      </c>
      <c r="C92" s="282" t="s">
        <v>1214</v>
      </c>
      <c r="D92" s="283" t="s">
        <v>353</v>
      </c>
      <c r="E92" s="284" t="s">
        <v>860</v>
      </c>
      <c r="F92" s="283" t="s">
        <v>1215</v>
      </c>
      <c r="G92" s="284" t="s">
        <v>79</v>
      </c>
      <c r="H92" s="285" t="s">
        <v>1083</v>
      </c>
      <c r="I92" s="285" t="s">
        <v>1083</v>
      </c>
      <c r="J92" s="285"/>
      <c r="K92" s="284" t="s">
        <v>6</v>
      </c>
      <c r="L92" s="288"/>
      <c r="M92" s="146"/>
    </row>
    <row r="93" spans="1:13" ht="13.5" thickBot="1" x14ac:dyDescent="0.25">
      <c r="A93" s="280" t="s">
        <v>351</v>
      </c>
      <c r="B93" s="281" t="s">
        <v>473</v>
      </c>
      <c r="C93" s="282" t="s">
        <v>1216</v>
      </c>
      <c r="D93" s="283" t="s">
        <v>353</v>
      </c>
      <c r="E93" s="284" t="s">
        <v>7</v>
      </c>
      <c r="F93" s="283" t="s">
        <v>406</v>
      </c>
      <c r="G93" s="284" t="s">
        <v>79</v>
      </c>
      <c r="H93" s="285" t="s">
        <v>1083</v>
      </c>
      <c r="I93" s="285"/>
      <c r="J93" s="285" t="s">
        <v>1083</v>
      </c>
      <c r="K93" s="284" t="s">
        <v>6</v>
      </c>
      <c r="L93" s="288"/>
      <c r="M93" s="146"/>
    </row>
    <row r="94" spans="1:13" ht="13.5" thickBot="1" x14ac:dyDescent="0.25">
      <c r="A94" s="280" t="s">
        <v>351</v>
      </c>
      <c r="B94" s="281" t="s">
        <v>473</v>
      </c>
      <c r="C94" s="282" t="s">
        <v>1217</v>
      </c>
      <c r="D94" s="283" t="s">
        <v>353</v>
      </c>
      <c r="E94" s="284" t="s">
        <v>860</v>
      </c>
      <c r="F94" s="283" t="s">
        <v>1218</v>
      </c>
      <c r="G94" s="284" t="s">
        <v>79</v>
      </c>
      <c r="H94" s="285" t="s">
        <v>1083</v>
      </c>
      <c r="I94" s="285" t="s">
        <v>1083</v>
      </c>
      <c r="J94" s="285"/>
      <c r="K94" s="284" t="s">
        <v>6</v>
      </c>
      <c r="L94" s="288"/>
      <c r="M94" s="146"/>
    </row>
    <row r="95" spans="1:13" ht="13.5" thickBot="1" x14ac:dyDescent="0.25">
      <c r="A95" s="280" t="s">
        <v>351</v>
      </c>
      <c r="B95" s="281" t="s">
        <v>473</v>
      </c>
      <c r="C95" s="282" t="s">
        <v>1169</v>
      </c>
      <c r="D95" s="283" t="s">
        <v>353</v>
      </c>
      <c r="E95" s="284" t="s">
        <v>76</v>
      </c>
      <c r="F95" s="283" t="s">
        <v>1219</v>
      </c>
      <c r="G95" s="284" t="s">
        <v>79</v>
      </c>
      <c r="H95" s="285" t="s">
        <v>1083</v>
      </c>
      <c r="I95" s="285"/>
      <c r="J95" s="285" t="s">
        <v>1083</v>
      </c>
      <c r="K95" s="284" t="s">
        <v>6</v>
      </c>
      <c r="L95" s="288"/>
      <c r="M95" s="146"/>
    </row>
    <row r="96" spans="1:13" ht="13.5" thickBot="1" x14ac:dyDescent="0.25">
      <c r="A96" s="280" t="s">
        <v>351</v>
      </c>
      <c r="B96" s="281" t="s">
        <v>473</v>
      </c>
      <c r="C96" s="282" t="s">
        <v>1169</v>
      </c>
      <c r="D96" s="283" t="s">
        <v>1207</v>
      </c>
      <c r="E96" s="284" t="s">
        <v>76</v>
      </c>
      <c r="F96" s="283" t="s">
        <v>1220</v>
      </c>
      <c r="G96" s="284" t="s">
        <v>79</v>
      </c>
      <c r="H96" s="285" t="s">
        <v>1083</v>
      </c>
      <c r="I96" s="285"/>
      <c r="J96" s="285" t="s">
        <v>1083</v>
      </c>
      <c r="K96" s="284" t="s">
        <v>6</v>
      </c>
      <c r="L96" s="288"/>
      <c r="M96" s="146"/>
    </row>
    <row r="97" spans="1:13" ht="13.5" thickBot="1" x14ac:dyDescent="0.25">
      <c r="A97" s="280" t="s">
        <v>351</v>
      </c>
      <c r="B97" s="281" t="s">
        <v>473</v>
      </c>
      <c r="C97" s="282" t="s">
        <v>1221</v>
      </c>
      <c r="D97" s="283" t="s">
        <v>1207</v>
      </c>
      <c r="E97" s="284" t="s">
        <v>7</v>
      </c>
      <c r="F97" s="283" t="s">
        <v>1222</v>
      </c>
      <c r="G97" s="284" t="s">
        <v>79</v>
      </c>
      <c r="H97" s="285" t="s">
        <v>1083</v>
      </c>
      <c r="I97" s="285"/>
      <c r="J97" s="285" t="s">
        <v>1083</v>
      </c>
      <c r="K97" s="284" t="s">
        <v>6</v>
      </c>
      <c r="L97" s="288"/>
      <c r="M97" s="146"/>
    </row>
    <row r="98" spans="1:13" ht="13.5" thickBot="1" x14ac:dyDescent="0.25">
      <c r="A98" s="280" t="s">
        <v>351</v>
      </c>
      <c r="B98" s="281" t="s">
        <v>473</v>
      </c>
      <c r="C98" s="282" t="s">
        <v>1223</v>
      </c>
      <c r="D98" s="283" t="s">
        <v>1207</v>
      </c>
      <c r="E98" s="284" t="s">
        <v>76</v>
      </c>
      <c r="F98" s="283" t="s">
        <v>1224</v>
      </c>
      <c r="G98" s="284" t="s">
        <v>79</v>
      </c>
      <c r="H98" s="285" t="s">
        <v>1083</v>
      </c>
      <c r="I98" s="285" t="s">
        <v>1083</v>
      </c>
      <c r="J98" s="285"/>
      <c r="K98" s="284" t="s">
        <v>6</v>
      </c>
      <c r="L98" s="288"/>
      <c r="M98" s="146"/>
    </row>
    <row r="99" spans="1:13" ht="13.5" thickBot="1" x14ac:dyDescent="0.25">
      <c r="A99" s="280" t="s">
        <v>351</v>
      </c>
      <c r="B99" s="281" t="s">
        <v>473</v>
      </c>
      <c r="C99" s="282" t="s">
        <v>1223</v>
      </c>
      <c r="D99" s="283" t="s">
        <v>1207</v>
      </c>
      <c r="E99" s="284" t="s">
        <v>76</v>
      </c>
      <c r="F99" s="283" t="s">
        <v>1225</v>
      </c>
      <c r="G99" s="284" t="s">
        <v>79</v>
      </c>
      <c r="H99" s="285" t="s">
        <v>1083</v>
      </c>
      <c r="I99" s="285" t="s">
        <v>1083</v>
      </c>
      <c r="J99" s="285"/>
      <c r="K99" s="284" t="s">
        <v>6</v>
      </c>
      <c r="L99" s="288"/>
      <c r="M99" s="146"/>
    </row>
    <row r="100" spans="1:13" ht="13.5" thickBot="1" x14ac:dyDescent="0.25">
      <c r="A100" s="280" t="s">
        <v>351</v>
      </c>
      <c r="B100" s="281" t="s">
        <v>473</v>
      </c>
      <c r="C100" s="282" t="s">
        <v>1226</v>
      </c>
      <c r="D100" s="283" t="s">
        <v>353</v>
      </c>
      <c r="E100" s="284" t="s">
        <v>860</v>
      </c>
      <c r="F100" s="283" t="s">
        <v>1227</v>
      </c>
      <c r="G100" s="284" t="s">
        <v>79</v>
      </c>
      <c r="H100" s="285" t="s">
        <v>1083</v>
      </c>
      <c r="I100" s="285" t="s">
        <v>1083</v>
      </c>
      <c r="J100" s="285"/>
      <c r="K100" s="284" t="s">
        <v>6</v>
      </c>
      <c r="L100" s="288"/>
      <c r="M100" s="146"/>
    </row>
    <row r="101" spans="1:13" ht="13.5" thickBot="1" x14ac:dyDescent="0.25">
      <c r="A101" s="280" t="s">
        <v>351</v>
      </c>
      <c r="B101" s="281" t="s">
        <v>473</v>
      </c>
      <c r="C101" s="282" t="s">
        <v>1170</v>
      </c>
      <c r="D101" s="283" t="s">
        <v>353</v>
      </c>
      <c r="E101" s="284" t="s">
        <v>76</v>
      </c>
      <c r="F101" s="283" t="s">
        <v>1228</v>
      </c>
      <c r="G101" s="284" t="s">
        <v>79</v>
      </c>
      <c r="H101" s="285" t="s">
        <v>1083</v>
      </c>
      <c r="I101" s="285"/>
      <c r="J101" s="285" t="s">
        <v>1083</v>
      </c>
      <c r="K101" s="284" t="s">
        <v>6</v>
      </c>
      <c r="L101" s="288"/>
      <c r="M101" s="146"/>
    </row>
    <row r="102" spans="1:13" ht="13.5" thickBot="1" x14ac:dyDescent="0.25">
      <c r="A102" s="280" t="s">
        <v>351</v>
      </c>
      <c r="B102" s="281" t="s">
        <v>473</v>
      </c>
      <c r="C102" s="282" t="s">
        <v>77</v>
      </c>
      <c r="D102" s="283" t="s">
        <v>353</v>
      </c>
      <c r="E102" s="284" t="s">
        <v>76</v>
      </c>
      <c r="F102" s="283" t="s">
        <v>1229</v>
      </c>
      <c r="G102" s="284" t="s">
        <v>79</v>
      </c>
      <c r="H102" s="285" t="s">
        <v>1083</v>
      </c>
      <c r="I102" s="285" t="s">
        <v>1083</v>
      </c>
      <c r="J102" s="285"/>
      <c r="K102" s="284" t="s">
        <v>6</v>
      </c>
      <c r="L102" s="288"/>
      <c r="M102" s="146"/>
    </row>
    <row r="103" spans="1:13" ht="13.5" thickBot="1" x14ac:dyDescent="0.25">
      <c r="A103" s="280" t="s">
        <v>351</v>
      </c>
      <c r="B103" s="281" t="s">
        <v>473</v>
      </c>
      <c r="C103" s="282" t="s">
        <v>77</v>
      </c>
      <c r="D103" s="283" t="s">
        <v>353</v>
      </c>
      <c r="E103" s="284" t="s">
        <v>76</v>
      </c>
      <c r="F103" s="283" t="s">
        <v>1230</v>
      </c>
      <c r="G103" s="284" t="s">
        <v>79</v>
      </c>
      <c r="H103" s="285" t="s">
        <v>1083</v>
      </c>
      <c r="I103" s="285" t="s">
        <v>1083</v>
      </c>
      <c r="J103" s="285"/>
      <c r="K103" s="284" t="s">
        <v>6</v>
      </c>
      <c r="L103" s="288"/>
      <c r="M103" s="146"/>
    </row>
    <row r="104" spans="1:13" ht="13.5" thickBot="1" x14ac:dyDescent="0.25">
      <c r="A104" s="280" t="s">
        <v>351</v>
      </c>
      <c r="B104" s="281" t="s">
        <v>473</v>
      </c>
      <c r="C104" s="282" t="s">
        <v>77</v>
      </c>
      <c r="D104" s="283" t="s">
        <v>353</v>
      </c>
      <c r="E104" s="284" t="s">
        <v>76</v>
      </c>
      <c r="F104" s="283" t="s">
        <v>370</v>
      </c>
      <c r="G104" s="284" t="s">
        <v>6</v>
      </c>
      <c r="H104" s="285" t="s">
        <v>1150</v>
      </c>
      <c r="I104" s="285">
        <v>22</v>
      </c>
      <c r="J104" s="285"/>
      <c r="K104" s="284" t="s">
        <v>6</v>
      </c>
      <c r="L104" s="288" t="s">
        <v>1231</v>
      </c>
      <c r="M104" s="146"/>
    </row>
    <row r="105" spans="1:13" ht="13.5" thickBot="1" x14ac:dyDescent="0.25">
      <c r="A105" s="280" t="s">
        <v>351</v>
      </c>
      <c r="B105" s="281" t="s">
        <v>473</v>
      </c>
      <c r="C105" s="282" t="s">
        <v>77</v>
      </c>
      <c r="D105" s="283" t="s">
        <v>353</v>
      </c>
      <c r="E105" s="284" t="s">
        <v>76</v>
      </c>
      <c r="F105" s="283" t="s">
        <v>387</v>
      </c>
      <c r="G105" s="284" t="s">
        <v>79</v>
      </c>
      <c r="H105" s="285" t="s">
        <v>1150</v>
      </c>
      <c r="I105" s="285">
        <v>22</v>
      </c>
      <c r="J105" s="285"/>
      <c r="K105" s="284" t="s">
        <v>6</v>
      </c>
      <c r="L105" s="288"/>
      <c r="M105" s="146"/>
    </row>
    <row r="106" spans="1:13" ht="13.5" thickBot="1" x14ac:dyDescent="0.25">
      <c r="A106" s="280" t="s">
        <v>351</v>
      </c>
      <c r="B106" s="281" t="s">
        <v>473</v>
      </c>
      <c r="C106" s="282" t="s">
        <v>77</v>
      </c>
      <c r="D106" s="283" t="s">
        <v>353</v>
      </c>
      <c r="E106" s="284" t="s">
        <v>76</v>
      </c>
      <c r="F106" s="283" t="s">
        <v>367</v>
      </c>
      <c r="G106" s="284" t="s">
        <v>6</v>
      </c>
      <c r="H106" s="285" t="s">
        <v>1150</v>
      </c>
      <c r="I106" s="285">
        <v>66</v>
      </c>
      <c r="J106" s="285"/>
      <c r="K106" s="284" t="s">
        <v>6</v>
      </c>
      <c r="L106" s="288" t="s">
        <v>1232</v>
      </c>
      <c r="M106" s="146"/>
    </row>
    <row r="107" spans="1:13" ht="13.5" thickBot="1" x14ac:dyDescent="0.25">
      <c r="A107" s="280" t="s">
        <v>351</v>
      </c>
      <c r="B107" s="281" t="s">
        <v>473</v>
      </c>
      <c r="C107" s="282" t="s">
        <v>77</v>
      </c>
      <c r="D107" s="283" t="s">
        <v>353</v>
      </c>
      <c r="E107" s="284" t="s">
        <v>76</v>
      </c>
      <c r="F107" s="283" t="s">
        <v>371</v>
      </c>
      <c r="G107" s="284" t="s">
        <v>6</v>
      </c>
      <c r="H107" s="285">
        <v>1210</v>
      </c>
      <c r="I107" s="285">
        <v>18</v>
      </c>
      <c r="J107" s="285"/>
      <c r="K107" s="284" t="s">
        <v>79</v>
      </c>
      <c r="L107" s="288"/>
      <c r="M107" s="146"/>
    </row>
    <row r="108" spans="1:13" ht="13.5" thickBot="1" x14ac:dyDescent="0.25">
      <c r="A108" s="280" t="s">
        <v>351</v>
      </c>
      <c r="B108" s="281" t="s">
        <v>473</v>
      </c>
      <c r="C108" s="282" t="s">
        <v>372</v>
      </c>
      <c r="D108" s="283" t="s">
        <v>353</v>
      </c>
      <c r="E108" s="284" t="s">
        <v>7</v>
      </c>
      <c r="F108" s="283" t="s">
        <v>373</v>
      </c>
      <c r="G108" s="284" t="s">
        <v>6</v>
      </c>
      <c r="H108" s="285">
        <v>600</v>
      </c>
      <c r="I108" s="285"/>
      <c r="J108" s="285">
        <v>20</v>
      </c>
      <c r="K108" s="284" t="s">
        <v>6</v>
      </c>
      <c r="L108" s="288"/>
      <c r="M108" s="146"/>
    </row>
    <row r="109" spans="1:13" ht="13.5" thickBot="1" x14ac:dyDescent="0.25">
      <c r="A109" s="280" t="s">
        <v>351</v>
      </c>
      <c r="B109" s="281" t="s">
        <v>473</v>
      </c>
      <c r="C109" s="282" t="s">
        <v>1171</v>
      </c>
      <c r="D109" s="283" t="s">
        <v>353</v>
      </c>
      <c r="E109" s="284" t="s">
        <v>7</v>
      </c>
      <c r="F109" s="283" t="s">
        <v>362</v>
      </c>
      <c r="G109" s="284" t="s">
        <v>79</v>
      </c>
      <c r="H109" s="285" t="s">
        <v>1150</v>
      </c>
      <c r="I109" s="285" t="s">
        <v>1083</v>
      </c>
      <c r="J109" s="285"/>
      <c r="K109" s="284" t="s">
        <v>6</v>
      </c>
      <c r="L109" s="288"/>
      <c r="M109" s="146"/>
    </row>
    <row r="110" spans="1:13" ht="13.5" thickBot="1" x14ac:dyDescent="0.25">
      <c r="A110" s="280" t="s">
        <v>351</v>
      </c>
      <c r="B110" s="281" t="s">
        <v>473</v>
      </c>
      <c r="C110" s="282" t="s">
        <v>374</v>
      </c>
      <c r="D110" s="283" t="s">
        <v>353</v>
      </c>
      <c r="E110" s="284" t="s">
        <v>7</v>
      </c>
      <c r="F110" s="283" t="s">
        <v>362</v>
      </c>
      <c r="G110" s="284" t="s">
        <v>6</v>
      </c>
      <c r="H110" s="285">
        <v>400</v>
      </c>
      <c r="I110" s="285"/>
      <c r="J110" s="285">
        <v>8</v>
      </c>
      <c r="K110" s="284" t="s">
        <v>6</v>
      </c>
      <c r="L110" s="288" t="s">
        <v>1233</v>
      </c>
      <c r="M110" s="146"/>
    </row>
    <row r="111" spans="1:13" ht="13.5" thickBot="1" x14ac:dyDescent="0.25">
      <c r="A111" s="280" t="s">
        <v>351</v>
      </c>
      <c r="B111" s="281" t="s">
        <v>473</v>
      </c>
      <c r="C111" s="282" t="s">
        <v>1234</v>
      </c>
      <c r="D111" s="283" t="s">
        <v>353</v>
      </c>
      <c r="E111" s="284" t="s">
        <v>76</v>
      </c>
      <c r="F111" s="283" t="s">
        <v>362</v>
      </c>
      <c r="G111" s="284" t="s">
        <v>79</v>
      </c>
      <c r="H111" s="285" t="s">
        <v>1083</v>
      </c>
      <c r="I111" s="285">
        <v>28</v>
      </c>
      <c r="J111" s="285"/>
      <c r="K111" s="284" t="s">
        <v>6</v>
      </c>
      <c r="L111" s="288" t="s">
        <v>1235</v>
      </c>
      <c r="M111" s="146"/>
    </row>
    <row r="112" spans="1:13" ht="13.5" thickBot="1" x14ac:dyDescent="0.25">
      <c r="A112" s="280" t="s">
        <v>351</v>
      </c>
      <c r="B112" s="281" t="s">
        <v>473</v>
      </c>
      <c r="C112" s="282" t="s">
        <v>1236</v>
      </c>
      <c r="D112" s="283" t="s">
        <v>1207</v>
      </c>
      <c r="E112" s="284" t="s">
        <v>860</v>
      </c>
      <c r="F112" s="283" t="s">
        <v>1237</v>
      </c>
      <c r="G112" s="284" t="s">
        <v>79</v>
      </c>
      <c r="H112" s="285" t="s">
        <v>1083</v>
      </c>
      <c r="I112" s="285" t="s">
        <v>1083</v>
      </c>
      <c r="J112" s="285"/>
      <c r="K112" s="284" t="s">
        <v>6</v>
      </c>
      <c r="L112" s="288"/>
      <c r="M112" s="146"/>
    </row>
    <row r="113" spans="1:13" ht="13.5" thickBot="1" x14ac:dyDescent="0.25">
      <c r="A113" s="280" t="s">
        <v>351</v>
      </c>
      <c r="B113" s="281" t="s">
        <v>473</v>
      </c>
      <c r="C113" s="282" t="s">
        <v>1172</v>
      </c>
      <c r="D113" s="283" t="s">
        <v>1207</v>
      </c>
      <c r="E113" s="284"/>
      <c r="F113" s="283" t="s">
        <v>1238</v>
      </c>
      <c r="G113" s="284" t="s">
        <v>79</v>
      </c>
      <c r="H113" s="285" t="s">
        <v>1083</v>
      </c>
      <c r="I113" s="285" t="s">
        <v>1083</v>
      </c>
      <c r="J113" s="285"/>
      <c r="K113" s="284" t="s">
        <v>6</v>
      </c>
      <c r="L113" s="288"/>
      <c r="M113" s="146"/>
    </row>
    <row r="114" spans="1:13" ht="13.5" thickBot="1" x14ac:dyDescent="0.25">
      <c r="A114" s="280" t="s">
        <v>351</v>
      </c>
      <c r="B114" s="281" t="s">
        <v>473</v>
      </c>
      <c r="C114" s="282" t="s">
        <v>375</v>
      </c>
      <c r="D114" s="283" t="s">
        <v>353</v>
      </c>
      <c r="E114" s="284" t="s">
        <v>76</v>
      </c>
      <c r="F114" s="283" t="s">
        <v>376</v>
      </c>
      <c r="G114" s="284" t="s">
        <v>6</v>
      </c>
      <c r="H114" s="285">
        <v>450</v>
      </c>
      <c r="I114" s="285">
        <v>13</v>
      </c>
      <c r="J114" s="285"/>
      <c r="K114" s="284" t="s">
        <v>79</v>
      </c>
      <c r="L114" s="288"/>
      <c r="M114" s="146"/>
    </row>
    <row r="115" spans="1:13" ht="13.5" thickBot="1" x14ac:dyDescent="0.25">
      <c r="A115" s="280" t="s">
        <v>351</v>
      </c>
      <c r="B115" s="281" t="s">
        <v>473</v>
      </c>
      <c r="C115" s="282" t="s">
        <v>375</v>
      </c>
      <c r="D115" s="283" t="s">
        <v>353</v>
      </c>
      <c r="E115" s="284" t="s">
        <v>76</v>
      </c>
      <c r="F115" s="283" t="s">
        <v>377</v>
      </c>
      <c r="G115" s="284" t="s">
        <v>6</v>
      </c>
      <c r="H115" s="285">
        <v>2570</v>
      </c>
      <c r="I115" s="285">
        <v>17</v>
      </c>
      <c r="J115" s="285"/>
      <c r="K115" s="284" t="s">
        <v>79</v>
      </c>
      <c r="L115" s="288"/>
      <c r="M115" s="146"/>
    </row>
    <row r="116" spans="1:13" ht="13.5" thickBot="1" x14ac:dyDescent="0.25">
      <c r="A116" s="280" t="s">
        <v>351</v>
      </c>
      <c r="B116" s="281" t="s">
        <v>473</v>
      </c>
      <c r="C116" s="282" t="s">
        <v>375</v>
      </c>
      <c r="D116" s="283" t="s">
        <v>353</v>
      </c>
      <c r="E116" s="284" t="s">
        <v>76</v>
      </c>
      <c r="F116" s="283" t="s">
        <v>1238</v>
      </c>
      <c r="G116" s="284" t="s">
        <v>79</v>
      </c>
      <c r="H116" s="285" t="s">
        <v>1083</v>
      </c>
      <c r="I116" s="285" t="s">
        <v>1083</v>
      </c>
      <c r="J116" s="285"/>
      <c r="K116" s="284" t="s">
        <v>6</v>
      </c>
      <c r="L116" s="288"/>
      <c r="M116" s="146"/>
    </row>
    <row r="117" spans="1:13" ht="13.5" thickBot="1" x14ac:dyDescent="0.25">
      <c r="A117" s="280" t="s">
        <v>351</v>
      </c>
      <c r="B117" s="281" t="s">
        <v>473</v>
      </c>
      <c r="C117" s="282" t="s">
        <v>1173</v>
      </c>
      <c r="D117" s="283" t="s">
        <v>353</v>
      </c>
      <c r="E117" s="284" t="s">
        <v>76</v>
      </c>
      <c r="F117" s="283" t="s">
        <v>1239</v>
      </c>
      <c r="G117" s="284" t="s">
        <v>79</v>
      </c>
      <c r="H117" s="285" t="s">
        <v>1083</v>
      </c>
      <c r="I117" s="285"/>
      <c r="J117" s="285" t="s">
        <v>1083</v>
      </c>
      <c r="K117" s="284" t="s">
        <v>6</v>
      </c>
      <c r="L117" s="288"/>
      <c r="M117" s="146"/>
    </row>
    <row r="118" spans="1:13" ht="13.5" thickBot="1" x14ac:dyDescent="0.25">
      <c r="A118" s="280" t="s">
        <v>351</v>
      </c>
      <c r="B118" s="281" t="s">
        <v>473</v>
      </c>
      <c r="C118" s="282" t="s">
        <v>1173</v>
      </c>
      <c r="D118" s="283" t="s">
        <v>353</v>
      </c>
      <c r="E118" s="284" t="s">
        <v>76</v>
      </c>
      <c r="F118" s="283" t="s">
        <v>1240</v>
      </c>
      <c r="G118" s="284" t="s">
        <v>79</v>
      </c>
      <c r="H118" s="285" t="s">
        <v>1150</v>
      </c>
      <c r="I118" s="285"/>
      <c r="J118" s="285">
        <v>10</v>
      </c>
      <c r="K118" s="284" t="s">
        <v>6</v>
      </c>
      <c r="L118" s="288" t="s">
        <v>1241</v>
      </c>
      <c r="M118" s="146"/>
    </row>
    <row r="119" spans="1:13" ht="13.5" thickBot="1" x14ac:dyDescent="0.25">
      <c r="A119" s="280" t="s">
        <v>351</v>
      </c>
      <c r="B119" s="281" t="s">
        <v>473</v>
      </c>
      <c r="C119" s="282" t="s">
        <v>1242</v>
      </c>
      <c r="D119" s="283" t="s">
        <v>353</v>
      </c>
      <c r="E119" s="284" t="s">
        <v>76</v>
      </c>
      <c r="F119" s="283" t="s">
        <v>1243</v>
      </c>
      <c r="G119" s="284" t="s">
        <v>79</v>
      </c>
      <c r="H119" s="285" t="s">
        <v>1150</v>
      </c>
      <c r="I119" s="285"/>
      <c r="J119" s="285">
        <v>5</v>
      </c>
      <c r="K119" s="284" t="s">
        <v>6</v>
      </c>
      <c r="L119" s="288"/>
      <c r="M119" s="146"/>
    </row>
    <row r="120" spans="1:13" ht="13.5" thickBot="1" x14ac:dyDescent="0.25">
      <c r="A120" s="280" t="s">
        <v>351</v>
      </c>
      <c r="B120" s="281" t="s">
        <v>473</v>
      </c>
      <c r="C120" s="282" t="s">
        <v>1242</v>
      </c>
      <c r="D120" s="283" t="s">
        <v>1207</v>
      </c>
      <c r="E120" s="284" t="s">
        <v>76</v>
      </c>
      <c r="F120" s="283" t="s">
        <v>1238</v>
      </c>
      <c r="G120" s="284" t="s">
        <v>79</v>
      </c>
      <c r="H120" s="285" t="s">
        <v>1083</v>
      </c>
      <c r="I120" s="285"/>
      <c r="J120" s="285" t="s">
        <v>1083</v>
      </c>
      <c r="K120" s="284" t="s">
        <v>6</v>
      </c>
      <c r="L120" s="288"/>
      <c r="M120" s="146"/>
    </row>
    <row r="121" spans="1:13" ht="13.5" thickBot="1" x14ac:dyDescent="0.25">
      <c r="A121" s="280" t="s">
        <v>351</v>
      </c>
      <c r="B121" s="281" t="s">
        <v>473</v>
      </c>
      <c r="C121" s="282" t="s">
        <v>378</v>
      </c>
      <c r="D121" s="283" t="s">
        <v>353</v>
      </c>
      <c r="E121" s="284" t="s">
        <v>76</v>
      </c>
      <c r="F121" s="283" t="s">
        <v>379</v>
      </c>
      <c r="G121" s="284" t="s">
        <v>6</v>
      </c>
      <c r="H121" s="285">
        <v>550</v>
      </c>
      <c r="I121" s="285">
        <v>10</v>
      </c>
      <c r="J121" s="285"/>
      <c r="K121" s="284" t="s">
        <v>79</v>
      </c>
      <c r="L121" s="288"/>
      <c r="M121" s="146"/>
    </row>
    <row r="122" spans="1:13" ht="13.5" thickBot="1" x14ac:dyDescent="0.25">
      <c r="A122" s="280" t="s">
        <v>351</v>
      </c>
      <c r="B122" s="281" t="s">
        <v>473</v>
      </c>
      <c r="C122" s="282" t="s">
        <v>378</v>
      </c>
      <c r="D122" s="283" t="s">
        <v>353</v>
      </c>
      <c r="E122" s="284" t="s">
        <v>76</v>
      </c>
      <c r="F122" s="283" t="s">
        <v>383</v>
      </c>
      <c r="G122" s="284" t="s">
        <v>6</v>
      </c>
      <c r="H122" s="285">
        <v>3110</v>
      </c>
      <c r="I122" s="285">
        <v>8</v>
      </c>
      <c r="J122" s="285"/>
      <c r="K122" s="284" t="s">
        <v>6</v>
      </c>
      <c r="L122" s="288" t="s">
        <v>1244</v>
      </c>
      <c r="M122" s="146"/>
    </row>
    <row r="123" spans="1:13" ht="13.5" thickBot="1" x14ac:dyDescent="0.25">
      <c r="A123" s="280" t="s">
        <v>351</v>
      </c>
      <c r="B123" s="281" t="s">
        <v>473</v>
      </c>
      <c r="C123" s="282" t="s">
        <v>378</v>
      </c>
      <c r="D123" s="283" t="s">
        <v>353</v>
      </c>
      <c r="E123" s="284" t="s">
        <v>76</v>
      </c>
      <c r="F123" s="283" t="s">
        <v>1238</v>
      </c>
      <c r="G123" s="284" t="s">
        <v>79</v>
      </c>
      <c r="H123" s="285" t="s">
        <v>1083</v>
      </c>
      <c r="I123" s="285" t="s">
        <v>1083</v>
      </c>
      <c r="J123" s="285"/>
      <c r="K123" s="284" t="s">
        <v>6</v>
      </c>
      <c r="L123" s="288"/>
      <c r="M123" s="146"/>
    </row>
    <row r="124" spans="1:13" ht="13.5" thickBot="1" x14ac:dyDescent="0.25">
      <c r="A124" s="280" t="s">
        <v>351</v>
      </c>
      <c r="B124" s="281" t="s">
        <v>473</v>
      </c>
      <c r="C124" s="282" t="s">
        <v>384</v>
      </c>
      <c r="D124" s="283" t="s">
        <v>353</v>
      </c>
      <c r="E124" s="284" t="s">
        <v>76</v>
      </c>
      <c r="F124" s="283" t="s">
        <v>379</v>
      </c>
      <c r="G124" s="284" t="s">
        <v>6</v>
      </c>
      <c r="H124" s="285">
        <v>550</v>
      </c>
      <c r="I124" s="285">
        <v>10</v>
      </c>
      <c r="J124" s="285"/>
      <c r="K124" s="284" t="s">
        <v>79</v>
      </c>
      <c r="L124" s="288"/>
      <c r="M124" s="146"/>
    </row>
    <row r="125" spans="1:13" ht="13.5" thickBot="1" x14ac:dyDescent="0.25">
      <c r="A125" s="280" t="s">
        <v>351</v>
      </c>
      <c r="B125" s="281" t="s">
        <v>473</v>
      </c>
      <c r="C125" s="282" t="s">
        <v>384</v>
      </c>
      <c r="D125" s="283" t="s">
        <v>353</v>
      </c>
      <c r="E125" s="284" t="s">
        <v>76</v>
      </c>
      <c r="F125" s="283" t="s">
        <v>383</v>
      </c>
      <c r="G125" s="284" t="s">
        <v>6</v>
      </c>
      <c r="H125" s="285">
        <v>3110</v>
      </c>
      <c r="I125" s="285">
        <v>8</v>
      </c>
      <c r="J125" s="285"/>
      <c r="K125" s="284" t="s">
        <v>6</v>
      </c>
      <c r="L125" s="288" t="s">
        <v>1244</v>
      </c>
      <c r="M125" s="146"/>
    </row>
    <row r="126" spans="1:13" ht="13.5" thickBot="1" x14ac:dyDescent="0.25">
      <c r="A126" s="280" t="s">
        <v>351</v>
      </c>
      <c r="B126" s="281" t="s">
        <v>473</v>
      </c>
      <c r="C126" s="282" t="s">
        <v>384</v>
      </c>
      <c r="D126" s="283" t="s">
        <v>1207</v>
      </c>
      <c r="E126" s="284" t="s">
        <v>76</v>
      </c>
      <c r="F126" s="283" t="s">
        <v>1238</v>
      </c>
      <c r="G126" s="284" t="s">
        <v>79</v>
      </c>
      <c r="H126" s="285" t="s">
        <v>1083</v>
      </c>
      <c r="I126" s="285" t="s">
        <v>1083</v>
      </c>
      <c r="J126" s="285"/>
      <c r="K126" s="284" t="s">
        <v>6</v>
      </c>
      <c r="L126" s="288"/>
      <c r="M126" s="146"/>
    </row>
    <row r="127" spans="1:13" ht="13.5" thickBot="1" x14ac:dyDescent="0.25">
      <c r="A127" s="280" t="s">
        <v>351</v>
      </c>
      <c r="B127" s="281" t="s">
        <v>473</v>
      </c>
      <c r="C127" s="282" t="s">
        <v>1151</v>
      </c>
      <c r="D127" s="283" t="s">
        <v>353</v>
      </c>
      <c r="E127" s="284" t="s">
        <v>76</v>
      </c>
      <c r="F127" s="283" t="s">
        <v>1245</v>
      </c>
      <c r="G127" s="284" t="s">
        <v>79</v>
      </c>
      <c r="H127" s="285" t="s">
        <v>1083</v>
      </c>
      <c r="I127" s="285" t="s">
        <v>1083</v>
      </c>
      <c r="J127" s="285"/>
      <c r="K127" s="284" t="s">
        <v>6</v>
      </c>
      <c r="L127" s="288"/>
      <c r="M127" s="146"/>
    </row>
    <row r="128" spans="1:13" ht="13.5" thickBot="1" x14ac:dyDescent="0.25">
      <c r="A128" s="280" t="s">
        <v>351</v>
      </c>
      <c r="B128" s="281" t="s">
        <v>473</v>
      </c>
      <c r="C128" s="282" t="s">
        <v>385</v>
      </c>
      <c r="D128" s="283" t="s">
        <v>353</v>
      </c>
      <c r="E128" s="284" t="s">
        <v>76</v>
      </c>
      <c r="F128" s="283" t="s">
        <v>1229</v>
      </c>
      <c r="G128" s="284" t="s">
        <v>79</v>
      </c>
      <c r="H128" s="285" t="s">
        <v>1083</v>
      </c>
      <c r="I128" s="285"/>
      <c r="J128" s="285" t="s">
        <v>1083</v>
      </c>
      <c r="K128" s="284" t="s">
        <v>6</v>
      </c>
      <c r="L128" s="288"/>
      <c r="M128" s="146"/>
    </row>
    <row r="129" spans="1:14" ht="13.5" thickBot="1" x14ac:dyDescent="0.25">
      <c r="A129" s="280" t="s">
        <v>351</v>
      </c>
      <c r="B129" s="281" t="s">
        <v>473</v>
      </c>
      <c r="C129" s="282" t="s">
        <v>385</v>
      </c>
      <c r="D129" s="283" t="s">
        <v>353</v>
      </c>
      <c r="E129" s="284" t="s">
        <v>76</v>
      </c>
      <c r="F129" s="283" t="s">
        <v>1230</v>
      </c>
      <c r="G129" s="284" t="s">
        <v>79</v>
      </c>
      <c r="H129" s="285" t="s">
        <v>1083</v>
      </c>
      <c r="I129" s="285" t="s">
        <v>1083</v>
      </c>
      <c r="J129" s="285"/>
      <c r="K129" s="284" t="s">
        <v>6</v>
      </c>
      <c r="L129" s="288"/>
      <c r="M129" s="146"/>
    </row>
    <row r="130" spans="1:14" ht="13.5" thickBot="1" x14ac:dyDescent="0.25">
      <c r="A130" s="280" t="s">
        <v>351</v>
      </c>
      <c r="B130" s="281" t="s">
        <v>473</v>
      </c>
      <c r="C130" s="282" t="s">
        <v>385</v>
      </c>
      <c r="D130" s="283" t="s">
        <v>353</v>
      </c>
      <c r="E130" s="284" t="s">
        <v>76</v>
      </c>
      <c r="F130" s="283" t="s">
        <v>370</v>
      </c>
      <c r="G130" s="284" t="s">
        <v>6</v>
      </c>
      <c r="H130" s="285">
        <v>730</v>
      </c>
      <c r="I130" s="285">
        <v>16</v>
      </c>
      <c r="J130" s="285"/>
      <c r="K130" s="284" t="s">
        <v>79</v>
      </c>
      <c r="L130" s="288"/>
      <c r="M130" s="146"/>
    </row>
    <row r="131" spans="1:14" ht="13.5" thickBot="1" x14ac:dyDescent="0.25">
      <c r="A131" s="280" t="s">
        <v>351</v>
      </c>
      <c r="B131" s="281" t="s">
        <v>473</v>
      </c>
      <c r="C131" s="282" t="s">
        <v>385</v>
      </c>
      <c r="D131" s="283" t="s">
        <v>353</v>
      </c>
      <c r="E131" s="284" t="s">
        <v>76</v>
      </c>
      <c r="F131" s="283" t="s">
        <v>387</v>
      </c>
      <c r="G131" s="284" t="s">
        <v>6</v>
      </c>
      <c r="H131" s="285" t="s">
        <v>1150</v>
      </c>
      <c r="I131" s="285">
        <v>8</v>
      </c>
      <c r="J131" s="285"/>
      <c r="K131" s="284" t="s">
        <v>6</v>
      </c>
      <c r="L131" s="288" t="s">
        <v>1246</v>
      </c>
      <c r="M131" s="146"/>
    </row>
    <row r="132" spans="1:14" ht="13.5" thickBot="1" x14ac:dyDescent="0.25">
      <c r="A132" s="280" t="s">
        <v>351</v>
      </c>
      <c r="B132" s="281" t="s">
        <v>473</v>
      </c>
      <c r="C132" s="282" t="s">
        <v>385</v>
      </c>
      <c r="D132" s="283" t="s">
        <v>353</v>
      </c>
      <c r="E132" s="284" t="s">
        <v>76</v>
      </c>
      <c r="F132" s="283" t="s">
        <v>367</v>
      </c>
      <c r="G132" s="284" t="s">
        <v>6</v>
      </c>
      <c r="H132" s="285">
        <v>510</v>
      </c>
      <c r="I132" s="285">
        <v>43</v>
      </c>
      <c r="J132" s="285"/>
      <c r="K132" s="284" t="s">
        <v>79</v>
      </c>
      <c r="L132" s="288"/>
      <c r="M132" s="146"/>
    </row>
    <row r="133" spans="1:14" ht="13.5" thickBot="1" x14ac:dyDescent="0.25">
      <c r="A133" s="280" t="s">
        <v>351</v>
      </c>
      <c r="B133" s="281" t="s">
        <v>473</v>
      </c>
      <c r="C133" s="282" t="s">
        <v>385</v>
      </c>
      <c r="D133" s="283" t="s">
        <v>353</v>
      </c>
      <c r="E133" s="284" t="s">
        <v>76</v>
      </c>
      <c r="F133" s="283" t="s">
        <v>388</v>
      </c>
      <c r="G133" s="284" t="s">
        <v>6</v>
      </c>
      <c r="H133" s="285">
        <v>2140</v>
      </c>
      <c r="I133" s="285">
        <v>22</v>
      </c>
      <c r="J133" s="285"/>
      <c r="K133" s="284" t="s">
        <v>79</v>
      </c>
      <c r="L133" s="288"/>
      <c r="M133" s="146"/>
    </row>
    <row r="134" spans="1:14" ht="13.5" thickBot="1" x14ac:dyDescent="0.25">
      <c r="A134" s="280" t="s">
        <v>351</v>
      </c>
      <c r="B134" s="281" t="s">
        <v>473</v>
      </c>
      <c r="C134" s="282" t="s">
        <v>389</v>
      </c>
      <c r="D134" s="283" t="s">
        <v>353</v>
      </c>
      <c r="E134" s="284" t="s">
        <v>76</v>
      </c>
      <c r="F134" s="283" t="s">
        <v>1225</v>
      </c>
      <c r="G134" s="284" t="s">
        <v>79</v>
      </c>
      <c r="H134" s="285" t="s">
        <v>1083</v>
      </c>
      <c r="I134" s="285" t="s">
        <v>1083</v>
      </c>
      <c r="J134" s="285"/>
      <c r="K134" s="284" t="s">
        <v>6</v>
      </c>
      <c r="L134" s="288"/>
      <c r="M134" s="146"/>
    </row>
    <row r="135" spans="1:14" ht="13.5" thickBot="1" x14ac:dyDescent="0.25">
      <c r="A135" s="280" t="s">
        <v>351</v>
      </c>
      <c r="B135" s="281" t="s">
        <v>473</v>
      </c>
      <c r="C135" s="282" t="s">
        <v>389</v>
      </c>
      <c r="D135" s="283" t="s">
        <v>353</v>
      </c>
      <c r="E135" s="284" t="s">
        <v>76</v>
      </c>
      <c r="F135" s="283" t="s">
        <v>1247</v>
      </c>
      <c r="G135" s="284" t="s">
        <v>79</v>
      </c>
      <c r="H135" s="285" t="s">
        <v>1083</v>
      </c>
      <c r="I135" s="285" t="s">
        <v>1083</v>
      </c>
      <c r="J135" s="285"/>
      <c r="K135" s="284" t="s">
        <v>6</v>
      </c>
      <c r="L135" s="288"/>
      <c r="M135" s="146"/>
    </row>
    <row r="136" spans="1:14" ht="13.5" thickBot="1" x14ac:dyDescent="0.25">
      <c r="A136" s="280" t="s">
        <v>351</v>
      </c>
      <c r="B136" s="281" t="s">
        <v>473</v>
      </c>
      <c r="C136" s="282" t="s">
        <v>389</v>
      </c>
      <c r="D136" s="283" t="s">
        <v>353</v>
      </c>
      <c r="E136" s="284" t="s">
        <v>76</v>
      </c>
      <c r="F136" s="283" t="s">
        <v>1230</v>
      </c>
      <c r="G136" s="284" t="s">
        <v>79</v>
      </c>
      <c r="H136" s="285" t="s">
        <v>1083</v>
      </c>
      <c r="I136" s="285"/>
      <c r="J136" s="285" t="s">
        <v>1083</v>
      </c>
      <c r="K136" s="284" t="s">
        <v>6</v>
      </c>
      <c r="L136" s="288"/>
      <c r="M136" s="146"/>
    </row>
    <row r="137" spans="1:14" ht="13.5" thickBot="1" x14ac:dyDescent="0.25">
      <c r="A137" s="280" t="s">
        <v>351</v>
      </c>
      <c r="B137" s="281" t="s">
        <v>473</v>
      </c>
      <c r="C137" s="282" t="s">
        <v>389</v>
      </c>
      <c r="D137" s="283" t="s">
        <v>353</v>
      </c>
      <c r="E137" s="284" t="s">
        <v>76</v>
      </c>
      <c r="F137" s="283" t="s">
        <v>370</v>
      </c>
      <c r="G137" s="284" t="s">
        <v>6</v>
      </c>
      <c r="H137" s="285" t="s">
        <v>1150</v>
      </c>
      <c r="I137" s="285">
        <v>30</v>
      </c>
      <c r="J137" s="285"/>
      <c r="K137" s="284" t="s">
        <v>6</v>
      </c>
      <c r="L137" s="288" t="s">
        <v>1661</v>
      </c>
      <c r="M137" s="146"/>
    </row>
    <row r="138" spans="1:14" ht="13.5" thickBot="1" x14ac:dyDescent="0.25">
      <c r="A138" s="280" t="s">
        <v>351</v>
      </c>
      <c r="B138" s="281" t="s">
        <v>473</v>
      </c>
      <c r="C138" s="282" t="s">
        <v>389</v>
      </c>
      <c r="D138" s="283" t="s">
        <v>353</v>
      </c>
      <c r="E138" s="284" t="s">
        <v>76</v>
      </c>
      <c r="F138" s="283" t="s">
        <v>387</v>
      </c>
      <c r="G138" s="284" t="s">
        <v>79</v>
      </c>
      <c r="H138" s="285" t="s">
        <v>1150</v>
      </c>
      <c r="I138" s="285">
        <v>30</v>
      </c>
      <c r="J138" s="285"/>
      <c r="K138" s="284" t="s">
        <v>6</v>
      </c>
      <c r="L138" s="288" t="s">
        <v>1241</v>
      </c>
      <c r="M138" s="146"/>
    </row>
    <row r="139" spans="1:14" ht="13.5" thickBot="1" x14ac:dyDescent="0.25">
      <c r="A139" s="280" t="s">
        <v>351</v>
      </c>
      <c r="B139" s="281" t="s">
        <v>473</v>
      </c>
      <c r="C139" s="282" t="s">
        <v>389</v>
      </c>
      <c r="D139" s="283" t="s">
        <v>353</v>
      </c>
      <c r="E139" s="284" t="s">
        <v>76</v>
      </c>
      <c r="F139" s="283" t="s">
        <v>367</v>
      </c>
      <c r="G139" s="284" t="s">
        <v>6</v>
      </c>
      <c r="H139" s="285" t="s">
        <v>1150</v>
      </c>
      <c r="I139" s="285">
        <v>58</v>
      </c>
      <c r="J139" s="285"/>
      <c r="K139" s="284" t="s">
        <v>6</v>
      </c>
      <c r="L139" s="288" t="s">
        <v>1248</v>
      </c>
      <c r="M139" s="146"/>
    </row>
    <row r="140" spans="1:14" ht="38.25" x14ac:dyDescent="0.2">
      <c r="A140" s="280" t="s">
        <v>351</v>
      </c>
      <c r="B140" s="281" t="s">
        <v>473</v>
      </c>
      <c r="C140" s="282" t="s">
        <v>389</v>
      </c>
      <c r="D140" s="283" t="s">
        <v>353</v>
      </c>
      <c r="E140" s="284" t="s">
        <v>76</v>
      </c>
      <c r="F140" s="283" t="s">
        <v>371</v>
      </c>
      <c r="G140" s="284" t="s">
        <v>6</v>
      </c>
      <c r="H140" s="285">
        <v>5960</v>
      </c>
      <c r="I140" s="285">
        <v>28</v>
      </c>
      <c r="J140" s="285"/>
      <c r="K140" s="284" t="s">
        <v>79</v>
      </c>
      <c r="L140" s="288"/>
      <c r="M140" s="414" t="s">
        <v>1667</v>
      </c>
    </row>
    <row r="141" spans="1:14" ht="13.5" thickBot="1" x14ac:dyDescent="0.25">
      <c r="A141" s="280" t="s">
        <v>351</v>
      </c>
      <c r="B141" s="281" t="s">
        <v>473</v>
      </c>
      <c r="C141" s="282" t="s">
        <v>390</v>
      </c>
      <c r="D141" s="283" t="s">
        <v>353</v>
      </c>
      <c r="E141" s="284" t="s">
        <v>76</v>
      </c>
      <c r="F141" s="283" t="s">
        <v>391</v>
      </c>
      <c r="G141" s="284" t="s">
        <v>6</v>
      </c>
      <c r="H141" s="285">
        <v>2360</v>
      </c>
      <c r="I141" s="285">
        <v>5</v>
      </c>
      <c r="J141" s="285"/>
      <c r="K141" s="284" t="s">
        <v>6</v>
      </c>
      <c r="L141" s="288" t="s">
        <v>1249</v>
      </c>
      <c r="M141" s="146"/>
    </row>
    <row r="142" spans="1:14" ht="13.5" thickBot="1" x14ac:dyDescent="0.25">
      <c r="A142" s="280" t="s">
        <v>351</v>
      </c>
      <c r="B142" s="281" t="s">
        <v>473</v>
      </c>
      <c r="C142" s="282" t="s">
        <v>390</v>
      </c>
      <c r="D142" s="283" t="s">
        <v>1207</v>
      </c>
      <c r="E142" s="284" t="s">
        <v>76</v>
      </c>
      <c r="F142" s="283" t="s">
        <v>1238</v>
      </c>
      <c r="G142" s="284" t="s">
        <v>79</v>
      </c>
      <c r="H142" s="285" t="s">
        <v>1083</v>
      </c>
      <c r="I142" s="285">
        <v>1</v>
      </c>
      <c r="J142" s="285"/>
      <c r="K142" s="284" t="s">
        <v>6</v>
      </c>
      <c r="L142" s="288" t="s">
        <v>1250</v>
      </c>
      <c r="M142" s="146"/>
    </row>
    <row r="143" spans="1:14" ht="13.5" thickBot="1" x14ac:dyDescent="0.25">
      <c r="A143" s="280" t="s">
        <v>351</v>
      </c>
      <c r="B143" s="281" t="s">
        <v>473</v>
      </c>
      <c r="C143" s="282" t="s">
        <v>1251</v>
      </c>
      <c r="D143" s="283" t="s">
        <v>353</v>
      </c>
      <c r="E143" s="284" t="s">
        <v>7</v>
      </c>
      <c r="F143" s="283" t="s">
        <v>362</v>
      </c>
      <c r="G143" s="284" t="s">
        <v>79</v>
      </c>
      <c r="H143" s="285" t="s">
        <v>1083</v>
      </c>
      <c r="I143" s="285"/>
      <c r="J143" s="285" t="s">
        <v>1083</v>
      </c>
      <c r="K143" s="284" t="s">
        <v>6</v>
      </c>
      <c r="L143" s="288"/>
      <c r="M143" s="146"/>
    </row>
    <row r="144" spans="1:14" ht="38.25" x14ac:dyDescent="0.2">
      <c r="A144" s="280" t="s">
        <v>351</v>
      </c>
      <c r="B144" s="281" t="s">
        <v>473</v>
      </c>
      <c r="C144" s="282" t="s">
        <v>393</v>
      </c>
      <c r="D144" s="283" t="s">
        <v>353</v>
      </c>
      <c r="E144" s="284" t="s">
        <v>76</v>
      </c>
      <c r="F144" s="283" t="s">
        <v>394</v>
      </c>
      <c r="G144" s="284" t="s">
        <v>6</v>
      </c>
      <c r="H144" s="285">
        <v>19820</v>
      </c>
      <c r="I144" s="285">
        <v>12</v>
      </c>
      <c r="J144" s="285"/>
      <c r="K144" s="284" t="s">
        <v>79</v>
      </c>
      <c r="L144" s="288"/>
      <c r="M144" s="413" t="s">
        <v>1664</v>
      </c>
      <c r="N144" s="477"/>
    </row>
    <row r="145" spans="1:13" ht="13.5" thickBot="1" x14ac:dyDescent="0.25">
      <c r="A145" s="280" t="s">
        <v>351</v>
      </c>
      <c r="B145" s="281" t="s">
        <v>473</v>
      </c>
      <c r="C145" s="282" t="s">
        <v>1178</v>
      </c>
      <c r="D145" s="283" t="s">
        <v>353</v>
      </c>
      <c r="E145" s="284" t="s">
        <v>76</v>
      </c>
      <c r="F145" s="283" t="s">
        <v>362</v>
      </c>
      <c r="G145" s="284" t="s">
        <v>79</v>
      </c>
      <c r="H145" s="285">
        <v>450</v>
      </c>
      <c r="I145" s="285"/>
      <c r="J145" s="285">
        <v>5</v>
      </c>
      <c r="K145" s="284" t="s">
        <v>6</v>
      </c>
      <c r="L145" s="288"/>
      <c r="M145" s="146"/>
    </row>
    <row r="146" spans="1:13" ht="13.5" thickBot="1" x14ac:dyDescent="0.25">
      <c r="A146" s="280" t="s">
        <v>351</v>
      </c>
      <c r="B146" s="281" t="s">
        <v>473</v>
      </c>
      <c r="C146" s="282" t="s">
        <v>1179</v>
      </c>
      <c r="D146" s="283" t="s">
        <v>353</v>
      </c>
      <c r="E146" s="284" t="s">
        <v>76</v>
      </c>
      <c r="F146" s="283" t="s">
        <v>1212</v>
      </c>
      <c r="G146" s="284" t="s">
        <v>79</v>
      </c>
      <c r="H146" s="285" t="s">
        <v>1083</v>
      </c>
      <c r="I146" s="285">
        <v>0.3</v>
      </c>
      <c r="J146" s="285"/>
      <c r="K146" s="284" t="s">
        <v>6</v>
      </c>
      <c r="L146" s="288" t="s">
        <v>1250</v>
      </c>
      <c r="M146" s="146"/>
    </row>
    <row r="147" spans="1:13" ht="13.5" thickBot="1" x14ac:dyDescent="0.25">
      <c r="A147" s="280" t="s">
        <v>351</v>
      </c>
      <c r="B147" s="281" t="s">
        <v>473</v>
      </c>
      <c r="C147" s="282" t="s">
        <v>1252</v>
      </c>
      <c r="D147" s="283" t="s">
        <v>353</v>
      </c>
      <c r="E147" s="284" t="s">
        <v>7</v>
      </c>
      <c r="F147" s="283" t="s">
        <v>180</v>
      </c>
      <c r="G147" s="284" t="s">
        <v>79</v>
      </c>
      <c r="H147" s="285" t="s">
        <v>1083</v>
      </c>
      <c r="I147" s="285"/>
      <c r="J147" s="285" t="s">
        <v>1083</v>
      </c>
      <c r="K147" s="284" t="s">
        <v>6</v>
      </c>
      <c r="L147" s="288"/>
      <c r="M147" s="146"/>
    </row>
    <row r="148" spans="1:13" ht="13.5" thickBot="1" x14ac:dyDescent="0.25">
      <c r="A148" s="280" t="s">
        <v>351</v>
      </c>
      <c r="B148" s="281" t="s">
        <v>473</v>
      </c>
      <c r="C148" s="282" t="s">
        <v>1180</v>
      </c>
      <c r="D148" s="283" t="s">
        <v>353</v>
      </c>
      <c r="E148" s="284" t="s">
        <v>76</v>
      </c>
      <c r="F148" s="283" t="s">
        <v>362</v>
      </c>
      <c r="G148" s="284" t="s">
        <v>79</v>
      </c>
      <c r="H148" s="285">
        <v>570</v>
      </c>
      <c r="I148" s="285">
        <v>7</v>
      </c>
      <c r="J148" s="285"/>
      <c r="K148" s="284" t="s">
        <v>6</v>
      </c>
      <c r="L148" s="288" t="s">
        <v>1253</v>
      </c>
      <c r="M148" s="146"/>
    </row>
    <row r="149" spans="1:13" ht="13.5" thickBot="1" x14ac:dyDescent="0.25">
      <c r="A149" s="280" t="s">
        <v>351</v>
      </c>
      <c r="B149" s="281" t="s">
        <v>473</v>
      </c>
      <c r="C149" s="282" t="s">
        <v>1182</v>
      </c>
      <c r="D149" s="283" t="s">
        <v>353</v>
      </c>
      <c r="E149" s="284" t="s">
        <v>7</v>
      </c>
      <c r="F149" s="283" t="s">
        <v>362</v>
      </c>
      <c r="G149" s="284" t="s">
        <v>79</v>
      </c>
      <c r="H149" s="285" t="s">
        <v>1150</v>
      </c>
      <c r="I149" s="285"/>
      <c r="J149" s="285" t="s">
        <v>1083</v>
      </c>
      <c r="K149" s="284" t="s">
        <v>6</v>
      </c>
      <c r="L149" s="288"/>
      <c r="M149" s="146"/>
    </row>
    <row r="150" spans="1:13" ht="13.5" thickBot="1" x14ac:dyDescent="0.25">
      <c r="A150" s="280" t="s">
        <v>351</v>
      </c>
      <c r="B150" s="281" t="s">
        <v>473</v>
      </c>
      <c r="C150" s="282" t="s">
        <v>1254</v>
      </c>
      <c r="D150" s="283" t="s">
        <v>353</v>
      </c>
      <c r="E150" s="284" t="s">
        <v>7</v>
      </c>
      <c r="F150" s="283" t="s">
        <v>1255</v>
      </c>
      <c r="G150" s="284" t="s">
        <v>79</v>
      </c>
      <c r="H150" s="285" t="s">
        <v>1083</v>
      </c>
      <c r="I150" s="285"/>
      <c r="J150" s="285" t="s">
        <v>1083</v>
      </c>
      <c r="K150" s="284" t="s">
        <v>6</v>
      </c>
      <c r="L150" s="288"/>
      <c r="M150" s="146"/>
    </row>
    <row r="151" spans="1:13" ht="13.5" thickBot="1" x14ac:dyDescent="0.25">
      <c r="A151" s="280" t="s">
        <v>351</v>
      </c>
      <c r="B151" s="281" t="s">
        <v>473</v>
      </c>
      <c r="C151" s="282" t="s">
        <v>1256</v>
      </c>
      <c r="D151" s="283" t="s">
        <v>353</v>
      </c>
      <c r="E151" s="284" t="s">
        <v>7</v>
      </c>
      <c r="F151" s="283" t="s">
        <v>1255</v>
      </c>
      <c r="G151" s="284" t="s">
        <v>79</v>
      </c>
      <c r="H151" s="285" t="s">
        <v>1083</v>
      </c>
      <c r="I151" s="285"/>
      <c r="J151" s="285" t="s">
        <v>1083</v>
      </c>
      <c r="K151" s="284" t="s">
        <v>6</v>
      </c>
      <c r="L151" s="288"/>
      <c r="M151" s="146"/>
    </row>
    <row r="152" spans="1:13" ht="13.5" thickBot="1" x14ac:dyDescent="0.25">
      <c r="A152" s="280" t="s">
        <v>351</v>
      </c>
      <c r="B152" s="281" t="s">
        <v>473</v>
      </c>
      <c r="C152" s="282" t="s">
        <v>1257</v>
      </c>
      <c r="D152" s="283" t="s">
        <v>353</v>
      </c>
      <c r="E152" s="284" t="s">
        <v>7</v>
      </c>
      <c r="F152" s="283" t="s">
        <v>1255</v>
      </c>
      <c r="G152" s="284" t="s">
        <v>79</v>
      </c>
      <c r="H152" s="285" t="s">
        <v>1083</v>
      </c>
      <c r="I152" s="285"/>
      <c r="J152" s="285" t="s">
        <v>1083</v>
      </c>
      <c r="K152" s="284" t="s">
        <v>6</v>
      </c>
      <c r="L152" s="288"/>
      <c r="M152" s="146"/>
    </row>
    <row r="153" spans="1:13" ht="13.5" thickBot="1" x14ac:dyDescent="0.25">
      <c r="A153" s="280" t="s">
        <v>351</v>
      </c>
      <c r="B153" s="281" t="s">
        <v>473</v>
      </c>
      <c r="C153" s="282" t="s">
        <v>395</v>
      </c>
      <c r="D153" s="283" t="s">
        <v>353</v>
      </c>
      <c r="E153" s="284" t="s">
        <v>76</v>
      </c>
      <c r="F153" s="283" t="s">
        <v>1258</v>
      </c>
      <c r="G153" s="284" t="s">
        <v>79</v>
      </c>
      <c r="H153" s="285" t="s">
        <v>1150</v>
      </c>
      <c r="I153" s="285">
        <v>1</v>
      </c>
      <c r="J153" s="285"/>
      <c r="K153" s="284" t="s">
        <v>6</v>
      </c>
      <c r="L153" s="288" t="s">
        <v>1259</v>
      </c>
      <c r="M153" s="146"/>
    </row>
    <row r="154" spans="1:13" ht="89.25" x14ac:dyDescent="0.2">
      <c r="A154" s="280" t="s">
        <v>351</v>
      </c>
      <c r="B154" s="281" t="s">
        <v>473</v>
      </c>
      <c r="C154" s="282" t="s">
        <v>395</v>
      </c>
      <c r="D154" s="283" t="s">
        <v>353</v>
      </c>
      <c r="E154" s="284" t="s">
        <v>76</v>
      </c>
      <c r="F154" s="283" t="s">
        <v>396</v>
      </c>
      <c r="G154" s="284" t="s">
        <v>6</v>
      </c>
      <c r="H154" s="285">
        <v>8510</v>
      </c>
      <c r="I154" s="285">
        <v>37</v>
      </c>
      <c r="J154" s="285"/>
      <c r="K154" s="284" t="s">
        <v>79</v>
      </c>
      <c r="L154" s="288"/>
      <c r="M154" s="413" t="s">
        <v>1728</v>
      </c>
    </row>
    <row r="155" spans="1:13" ht="13.5" thickBot="1" x14ac:dyDescent="0.25">
      <c r="A155" s="280" t="s">
        <v>351</v>
      </c>
      <c r="B155" s="281" t="s">
        <v>473</v>
      </c>
      <c r="C155" s="282" t="s">
        <v>395</v>
      </c>
      <c r="D155" s="283" t="s">
        <v>1207</v>
      </c>
      <c r="E155" s="284" t="s">
        <v>76</v>
      </c>
      <c r="F155" s="283" t="s">
        <v>1260</v>
      </c>
      <c r="G155" s="284" t="s">
        <v>79</v>
      </c>
      <c r="H155" s="285" t="s">
        <v>1150</v>
      </c>
      <c r="I155" s="285" t="s">
        <v>1083</v>
      </c>
      <c r="J155" s="285"/>
      <c r="K155" s="284" t="s">
        <v>6</v>
      </c>
      <c r="L155" s="288"/>
      <c r="M155" s="146"/>
    </row>
    <row r="156" spans="1:13" ht="13.5" thickBot="1" x14ac:dyDescent="0.25">
      <c r="A156" s="280" t="s">
        <v>351</v>
      </c>
      <c r="B156" s="281" t="s">
        <v>473</v>
      </c>
      <c r="C156" s="282" t="s">
        <v>1261</v>
      </c>
      <c r="D156" s="283" t="s">
        <v>353</v>
      </c>
      <c r="E156" s="284" t="s">
        <v>76</v>
      </c>
      <c r="F156" s="283" t="s">
        <v>1243</v>
      </c>
      <c r="G156" s="284" t="s">
        <v>79</v>
      </c>
      <c r="H156" s="285" t="s">
        <v>1150</v>
      </c>
      <c r="I156" s="285"/>
      <c r="J156" s="285">
        <v>1</v>
      </c>
      <c r="K156" s="284" t="s">
        <v>6</v>
      </c>
      <c r="L156" s="288"/>
      <c r="M156" s="146"/>
    </row>
    <row r="157" spans="1:13" ht="13.5" thickBot="1" x14ac:dyDescent="0.25">
      <c r="A157" s="280" t="s">
        <v>351</v>
      </c>
      <c r="B157" s="281" t="s">
        <v>473</v>
      </c>
      <c r="C157" s="282" t="s">
        <v>1261</v>
      </c>
      <c r="D157" s="283" t="s">
        <v>1207</v>
      </c>
      <c r="E157" s="284" t="s">
        <v>76</v>
      </c>
      <c r="F157" s="283" t="s">
        <v>1238</v>
      </c>
      <c r="G157" s="284" t="s">
        <v>79</v>
      </c>
      <c r="H157" s="285" t="s">
        <v>1083</v>
      </c>
      <c r="I157" s="285"/>
      <c r="J157" s="285" t="s">
        <v>1083</v>
      </c>
      <c r="K157" s="284" t="s">
        <v>6</v>
      </c>
      <c r="L157" s="288"/>
      <c r="M157" s="146"/>
    </row>
    <row r="158" spans="1:13" ht="13.5" thickBot="1" x14ac:dyDescent="0.25">
      <c r="A158" s="280" t="s">
        <v>351</v>
      </c>
      <c r="B158" s="281" t="s">
        <v>473</v>
      </c>
      <c r="C158" s="282" t="s">
        <v>1262</v>
      </c>
      <c r="D158" s="283" t="s">
        <v>1207</v>
      </c>
      <c r="E158" s="284" t="s">
        <v>76</v>
      </c>
      <c r="F158" s="283" t="s">
        <v>1263</v>
      </c>
      <c r="G158" s="284" t="s">
        <v>79</v>
      </c>
      <c r="H158" s="285" t="s">
        <v>1083</v>
      </c>
      <c r="I158" s="285" t="s">
        <v>1083</v>
      </c>
      <c r="J158" s="285"/>
      <c r="K158" s="284" t="s">
        <v>6</v>
      </c>
      <c r="L158" s="288"/>
      <c r="M158" s="146"/>
    </row>
    <row r="159" spans="1:13" ht="13.5" thickBot="1" x14ac:dyDescent="0.25">
      <c r="A159" s="280" t="s">
        <v>351</v>
      </c>
      <c r="B159" s="281" t="s">
        <v>473</v>
      </c>
      <c r="C159" s="282" t="s">
        <v>1264</v>
      </c>
      <c r="D159" s="283" t="s">
        <v>353</v>
      </c>
      <c r="E159" s="284" t="s">
        <v>76</v>
      </c>
      <c r="F159" s="283" t="s">
        <v>362</v>
      </c>
      <c r="G159" s="284" t="s">
        <v>79</v>
      </c>
      <c r="H159" s="285" t="s">
        <v>1150</v>
      </c>
      <c r="I159" s="285"/>
      <c r="J159" s="285" t="s">
        <v>1083</v>
      </c>
      <c r="K159" s="284" t="s">
        <v>6</v>
      </c>
      <c r="L159" s="288"/>
      <c r="M159" s="146"/>
    </row>
    <row r="160" spans="1:13" ht="13.5" thickBot="1" x14ac:dyDescent="0.25">
      <c r="A160" s="280" t="s">
        <v>351</v>
      </c>
      <c r="B160" s="281" t="s">
        <v>473</v>
      </c>
      <c r="C160" s="282" t="s">
        <v>1265</v>
      </c>
      <c r="D160" s="283" t="s">
        <v>1207</v>
      </c>
      <c r="E160" s="284" t="s">
        <v>7</v>
      </c>
      <c r="F160" s="283" t="s">
        <v>1237</v>
      </c>
      <c r="G160" s="284" t="s">
        <v>79</v>
      </c>
      <c r="H160" s="285" t="s">
        <v>1083</v>
      </c>
      <c r="I160" s="285"/>
      <c r="J160" s="285" t="s">
        <v>1083</v>
      </c>
      <c r="K160" s="284" t="s">
        <v>6</v>
      </c>
      <c r="L160" s="288"/>
      <c r="M160" s="146"/>
    </row>
    <row r="161" spans="1:13" ht="13.5" thickBot="1" x14ac:dyDescent="0.25">
      <c r="A161" s="280" t="s">
        <v>351</v>
      </c>
      <c r="B161" s="281" t="s">
        <v>473</v>
      </c>
      <c r="C161" s="282" t="s">
        <v>1186</v>
      </c>
      <c r="D161" s="283" t="s">
        <v>353</v>
      </c>
      <c r="E161" s="284" t="s">
        <v>76</v>
      </c>
      <c r="F161" s="283" t="s">
        <v>362</v>
      </c>
      <c r="G161" s="284" t="s">
        <v>79</v>
      </c>
      <c r="H161" s="285" t="s">
        <v>1150</v>
      </c>
      <c r="I161" s="285">
        <v>11</v>
      </c>
      <c r="J161" s="285"/>
      <c r="K161" s="284" t="s">
        <v>6</v>
      </c>
      <c r="L161" s="288" t="s">
        <v>1241</v>
      </c>
      <c r="M161" s="146"/>
    </row>
    <row r="162" spans="1:13" ht="13.5" thickBot="1" x14ac:dyDescent="0.25">
      <c r="A162" s="280" t="s">
        <v>351</v>
      </c>
      <c r="B162" s="281" t="s">
        <v>473</v>
      </c>
      <c r="C162" s="282" t="s">
        <v>1187</v>
      </c>
      <c r="D162" s="283" t="s">
        <v>353</v>
      </c>
      <c r="E162" s="284" t="s">
        <v>7</v>
      </c>
      <c r="F162" s="283" t="s">
        <v>362</v>
      </c>
      <c r="G162" s="284" t="s">
        <v>79</v>
      </c>
      <c r="H162" s="285" t="s">
        <v>1150</v>
      </c>
      <c r="I162" s="285"/>
      <c r="J162" s="285">
        <v>1</v>
      </c>
      <c r="K162" s="284" t="s">
        <v>6</v>
      </c>
      <c r="L162" s="288"/>
      <c r="M162" s="146"/>
    </row>
    <row r="163" spans="1:13" ht="13.5" thickBot="1" x14ac:dyDescent="0.25">
      <c r="A163" s="280" t="s">
        <v>351</v>
      </c>
      <c r="B163" s="281" t="s">
        <v>473</v>
      </c>
      <c r="C163" s="282" t="s">
        <v>398</v>
      </c>
      <c r="D163" s="283" t="s">
        <v>353</v>
      </c>
      <c r="E163" s="284" t="s">
        <v>76</v>
      </c>
      <c r="F163" s="283" t="s">
        <v>367</v>
      </c>
      <c r="G163" s="284" t="s">
        <v>6</v>
      </c>
      <c r="H163" s="285" t="s">
        <v>1150</v>
      </c>
      <c r="I163" s="285">
        <v>70</v>
      </c>
      <c r="J163" s="285"/>
      <c r="K163" s="284" t="s">
        <v>79</v>
      </c>
      <c r="L163" s="288" t="s">
        <v>1248</v>
      </c>
      <c r="M163" s="146"/>
    </row>
    <row r="164" spans="1:13" ht="13.5" thickBot="1" x14ac:dyDescent="0.25">
      <c r="A164" s="280" t="s">
        <v>351</v>
      </c>
      <c r="B164" s="281" t="s">
        <v>473</v>
      </c>
      <c r="C164" s="282" t="s">
        <v>398</v>
      </c>
      <c r="D164" s="283" t="s">
        <v>353</v>
      </c>
      <c r="E164" s="284" t="s">
        <v>76</v>
      </c>
      <c r="F164" s="283" t="s">
        <v>1239</v>
      </c>
      <c r="G164" s="284" t="s">
        <v>79</v>
      </c>
      <c r="H164" s="285" t="s">
        <v>1083</v>
      </c>
      <c r="I164" s="285" t="s">
        <v>1083</v>
      </c>
      <c r="J164" s="285"/>
      <c r="K164" s="284" t="s">
        <v>6</v>
      </c>
      <c r="L164" s="288"/>
      <c r="M164" s="146"/>
    </row>
    <row r="165" spans="1:13" ht="13.5" thickBot="1" x14ac:dyDescent="0.25">
      <c r="A165" s="280" t="s">
        <v>351</v>
      </c>
      <c r="B165" s="281" t="s">
        <v>473</v>
      </c>
      <c r="C165" s="282" t="s">
        <v>398</v>
      </c>
      <c r="D165" s="283" t="s">
        <v>353</v>
      </c>
      <c r="E165" s="284" t="s">
        <v>76</v>
      </c>
      <c r="F165" s="283" t="s">
        <v>401</v>
      </c>
      <c r="G165" s="284" t="s">
        <v>6</v>
      </c>
      <c r="H165" s="285" t="s">
        <v>1150</v>
      </c>
      <c r="I165" s="285">
        <v>44</v>
      </c>
      <c r="J165" s="285"/>
      <c r="K165" s="284" t="s">
        <v>79</v>
      </c>
      <c r="L165" s="288" t="s">
        <v>1248</v>
      </c>
      <c r="M165" s="146"/>
    </row>
    <row r="166" spans="1:13" ht="13.5" thickBot="1" x14ac:dyDescent="0.25">
      <c r="A166" s="280" t="s">
        <v>351</v>
      </c>
      <c r="B166" s="281" t="s">
        <v>473</v>
      </c>
      <c r="C166" s="282" t="s">
        <v>398</v>
      </c>
      <c r="D166" s="283" t="s">
        <v>353</v>
      </c>
      <c r="E166" s="284" t="s">
        <v>76</v>
      </c>
      <c r="F166" s="283" t="s">
        <v>399</v>
      </c>
      <c r="G166" s="284" t="s">
        <v>6</v>
      </c>
      <c r="H166" s="285" t="s">
        <v>1150</v>
      </c>
      <c r="I166" s="285">
        <v>85</v>
      </c>
      <c r="J166" s="285"/>
      <c r="K166" s="284" t="s">
        <v>79</v>
      </c>
      <c r="L166" s="288" t="s">
        <v>1266</v>
      </c>
      <c r="M166" s="146"/>
    </row>
    <row r="167" spans="1:13" ht="13.5" thickBot="1" x14ac:dyDescent="0.25">
      <c r="A167" s="280" t="s">
        <v>351</v>
      </c>
      <c r="B167" s="281" t="s">
        <v>473</v>
      </c>
      <c r="C167" s="282" t="s">
        <v>398</v>
      </c>
      <c r="D167" s="283" t="s">
        <v>353</v>
      </c>
      <c r="E167" s="284" t="s">
        <v>76</v>
      </c>
      <c r="F167" s="283" t="s">
        <v>402</v>
      </c>
      <c r="G167" s="284" t="s">
        <v>6</v>
      </c>
      <c r="H167" s="285" t="s">
        <v>1150</v>
      </c>
      <c r="I167" s="285">
        <v>44</v>
      </c>
      <c r="J167" s="285"/>
      <c r="K167" s="284" t="s">
        <v>79</v>
      </c>
      <c r="L167" s="288" t="s">
        <v>1248</v>
      </c>
      <c r="M167" s="146"/>
    </row>
    <row r="168" spans="1:13" ht="13.5" thickBot="1" x14ac:dyDescent="0.25">
      <c r="A168" s="280" t="s">
        <v>351</v>
      </c>
      <c r="B168" s="281" t="s">
        <v>473</v>
      </c>
      <c r="C168" s="282" t="s">
        <v>398</v>
      </c>
      <c r="D168" s="283" t="s">
        <v>1207</v>
      </c>
      <c r="E168" s="284" t="s">
        <v>76</v>
      </c>
      <c r="F168" s="283" t="s">
        <v>1267</v>
      </c>
      <c r="G168" s="284" t="s">
        <v>79</v>
      </c>
      <c r="H168" s="285" t="s">
        <v>1083</v>
      </c>
      <c r="I168" s="285" t="s">
        <v>1083</v>
      </c>
      <c r="J168" s="285"/>
      <c r="K168" s="284" t="s">
        <v>6</v>
      </c>
      <c r="L168" s="288"/>
      <c r="M168" s="146"/>
    </row>
    <row r="169" spans="1:13" ht="13.5" thickBot="1" x14ac:dyDescent="0.25">
      <c r="A169" s="280" t="s">
        <v>351</v>
      </c>
      <c r="B169" s="281" t="s">
        <v>473</v>
      </c>
      <c r="C169" s="282" t="s">
        <v>403</v>
      </c>
      <c r="D169" s="283" t="s">
        <v>353</v>
      </c>
      <c r="E169" s="284" t="s">
        <v>76</v>
      </c>
      <c r="F169" s="283" t="s">
        <v>404</v>
      </c>
      <c r="G169" s="284" t="s">
        <v>6</v>
      </c>
      <c r="H169" s="285">
        <v>1160</v>
      </c>
      <c r="I169" s="285" t="s">
        <v>1268</v>
      </c>
      <c r="J169" s="285"/>
      <c r="K169" s="284" t="s">
        <v>79</v>
      </c>
      <c r="L169" s="288" t="s">
        <v>1269</v>
      </c>
      <c r="M169" s="146"/>
    </row>
    <row r="170" spans="1:13" ht="13.5" thickBot="1" x14ac:dyDescent="0.25">
      <c r="A170" s="280" t="s">
        <v>351</v>
      </c>
      <c r="B170" s="281" t="s">
        <v>473</v>
      </c>
      <c r="C170" s="282" t="s">
        <v>403</v>
      </c>
      <c r="D170" s="283" t="s">
        <v>1207</v>
      </c>
      <c r="E170" s="284" t="s">
        <v>76</v>
      </c>
      <c r="F170" s="283" t="s">
        <v>1247</v>
      </c>
      <c r="G170" s="284" t="s">
        <v>79</v>
      </c>
      <c r="H170" s="285" t="s">
        <v>1083</v>
      </c>
      <c r="I170" s="285" t="s">
        <v>1083</v>
      </c>
      <c r="J170" s="285"/>
      <c r="K170" s="284" t="s">
        <v>6</v>
      </c>
      <c r="L170" s="288"/>
      <c r="M170" s="146"/>
    </row>
    <row r="171" spans="1:13" ht="13.5" thickBot="1" x14ac:dyDescent="0.25">
      <c r="A171" s="280" t="s">
        <v>351</v>
      </c>
      <c r="B171" s="281" t="s">
        <v>473</v>
      </c>
      <c r="C171" s="282" t="s">
        <v>405</v>
      </c>
      <c r="D171" s="283" t="s">
        <v>353</v>
      </c>
      <c r="E171" s="284" t="s">
        <v>76</v>
      </c>
      <c r="F171" s="283" t="s">
        <v>1229</v>
      </c>
      <c r="G171" s="284" t="s">
        <v>79</v>
      </c>
      <c r="H171" s="285" t="s">
        <v>1083</v>
      </c>
      <c r="I171" s="285">
        <v>6</v>
      </c>
      <c r="J171" s="285"/>
      <c r="K171" s="284" t="s">
        <v>6</v>
      </c>
      <c r="L171" s="288" t="s">
        <v>1250</v>
      </c>
      <c r="M171" s="146"/>
    </row>
    <row r="172" spans="1:13" ht="13.5" thickBot="1" x14ac:dyDescent="0.25">
      <c r="A172" s="280" t="s">
        <v>351</v>
      </c>
      <c r="B172" s="281" t="s">
        <v>473</v>
      </c>
      <c r="C172" s="282" t="s">
        <v>405</v>
      </c>
      <c r="D172" s="283" t="s">
        <v>353</v>
      </c>
      <c r="E172" s="284" t="s">
        <v>76</v>
      </c>
      <c r="F172" s="283" t="s">
        <v>1230</v>
      </c>
      <c r="G172" s="284" t="s">
        <v>79</v>
      </c>
      <c r="H172" s="285" t="s">
        <v>1083</v>
      </c>
      <c r="I172" s="285">
        <v>6</v>
      </c>
      <c r="J172" s="285"/>
      <c r="K172" s="284" t="s">
        <v>6</v>
      </c>
      <c r="L172" s="288" t="s">
        <v>1250</v>
      </c>
      <c r="M172" s="146"/>
    </row>
    <row r="173" spans="1:13" ht="13.5" thickBot="1" x14ac:dyDescent="0.25">
      <c r="A173" s="280" t="s">
        <v>351</v>
      </c>
      <c r="B173" s="281" t="s">
        <v>473</v>
      </c>
      <c r="C173" s="282" t="s">
        <v>405</v>
      </c>
      <c r="D173" s="283" t="s">
        <v>353</v>
      </c>
      <c r="E173" s="284" t="s">
        <v>76</v>
      </c>
      <c r="F173" s="283" t="s">
        <v>1270</v>
      </c>
      <c r="G173" s="284" t="s">
        <v>79</v>
      </c>
      <c r="H173" s="285" t="s">
        <v>1150</v>
      </c>
      <c r="I173" s="285">
        <v>6</v>
      </c>
      <c r="J173" s="285"/>
      <c r="K173" s="284" t="s">
        <v>6</v>
      </c>
      <c r="L173" s="288" t="s">
        <v>1259</v>
      </c>
      <c r="M173" s="146"/>
    </row>
    <row r="174" spans="1:13" ht="13.5" thickBot="1" x14ac:dyDescent="0.25">
      <c r="A174" s="280" t="s">
        <v>351</v>
      </c>
      <c r="B174" s="281" t="s">
        <v>473</v>
      </c>
      <c r="C174" s="282" t="s">
        <v>405</v>
      </c>
      <c r="D174" s="283" t="s">
        <v>353</v>
      </c>
      <c r="E174" s="284" t="s">
        <v>76</v>
      </c>
      <c r="F174" s="283" t="s">
        <v>406</v>
      </c>
      <c r="G174" s="284" t="s">
        <v>6</v>
      </c>
      <c r="H174" s="285">
        <v>1020</v>
      </c>
      <c r="I174" s="285">
        <v>47</v>
      </c>
      <c r="J174" s="285"/>
      <c r="K174" s="284" t="s">
        <v>79</v>
      </c>
      <c r="L174" s="288"/>
      <c r="M174" s="146"/>
    </row>
    <row r="175" spans="1:13" ht="13.5" thickBot="1" x14ac:dyDescent="0.25">
      <c r="A175" s="280" t="s">
        <v>351</v>
      </c>
      <c r="B175" s="281" t="s">
        <v>473</v>
      </c>
      <c r="C175" s="282" t="s">
        <v>1271</v>
      </c>
      <c r="D175" s="283" t="s">
        <v>1207</v>
      </c>
      <c r="E175" s="284" t="s">
        <v>860</v>
      </c>
      <c r="F175" s="283" t="s">
        <v>180</v>
      </c>
      <c r="G175" s="284" t="s">
        <v>79</v>
      </c>
      <c r="H175" s="285" t="s">
        <v>1083</v>
      </c>
      <c r="I175" s="285" t="s">
        <v>1083</v>
      </c>
      <c r="J175" s="285"/>
      <c r="K175" s="284" t="s">
        <v>6</v>
      </c>
      <c r="L175" s="288"/>
      <c r="M175" s="146"/>
    </row>
    <row r="176" spans="1:13" ht="13.5" thickBot="1" x14ac:dyDescent="0.25">
      <c r="A176" s="280" t="s">
        <v>351</v>
      </c>
      <c r="B176" s="281" t="s">
        <v>473</v>
      </c>
      <c r="C176" s="282" t="s">
        <v>1189</v>
      </c>
      <c r="D176" s="283" t="s">
        <v>353</v>
      </c>
      <c r="E176" s="284" t="s">
        <v>76</v>
      </c>
      <c r="F176" s="283" t="s">
        <v>362</v>
      </c>
      <c r="G176" s="284" t="s">
        <v>79</v>
      </c>
      <c r="H176" s="285" t="s">
        <v>1150</v>
      </c>
      <c r="I176" s="285"/>
      <c r="J176" s="285">
        <v>3</v>
      </c>
      <c r="K176" s="284" t="s">
        <v>6</v>
      </c>
      <c r="L176" s="288"/>
      <c r="M176" s="146"/>
    </row>
    <row r="177" spans="1:13" ht="13.5" thickBot="1" x14ac:dyDescent="0.25">
      <c r="A177" s="280" t="s">
        <v>351</v>
      </c>
      <c r="B177" s="281" t="s">
        <v>473</v>
      </c>
      <c r="C177" s="282" t="s">
        <v>1156</v>
      </c>
      <c r="D177" s="283" t="s">
        <v>353</v>
      </c>
      <c r="E177" s="284" t="s">
        <v>76</v>
      </c>
      <c r="F177" s="283" t="s">
        <v>1272</v>
      </c>
      <c r="G177" s="284" t="s">
        <v>79</v>
      </c>
      <c r="H177" s="285" t="s">
        <v>1083</v>
      </c>
      <c r="I177" s="285" t="s">
        <v>1083</v>
      </c>
      <c r="J177" s="285"/>
      <c r="K177" s="284" t="s">
        <v>6</v>
      </c>
      <c r="L177" s="288"/>
      <c r="M177" s="146"/>
    </row>
    <row r="178" spans="1:13" ht="13.5" thickBot="1" x14ac:dyDescent="0.25">
      <c r="A178" s="280" t="s">
        <v>351</v>
      </c>
      <c r="B178" s="281" t="s">
        <v>473</v>
      </c>
      <c r="C178" s="282" t="s">
        <v>1156</v>
      </c>
      <c r="D178" s="283" t="s">
        <v>353</v>
      </c>
      <c r="E178" s="284" t="s">
        <v>76</v>
      </c>
      <c r="F178" s="283" t="s">
        <v>376</v>
      </c>
      <c r="G178" s="284" t="s">
        <v>79</v>
      </c>
      <c r="H178" s="285" t="s">
        <v>1083</v>
      </c>
      <c r="I178" s="285">
        <v>1</v>
      </c>
      <c r="J178" s="285"/>
      <c r="K178" s="284" t="s">
        <v>6</v>
      </c>
      <c r="L178" s="288" t="s">
        <v>1250</v>
      </c>
      <c r="M178" s="146"/>
    </row>
    <row r="179" spans="1:13" ht="13.5" thickBot="1" x14ac:dyDescent="0.25">
      <c r="A179" s="280" t="s">
        <v>351</v>
      </c>
      <c r="B179" s="281" t="s">
        <v>473</v>
      </c>
      <c r="C179" s="282" t="s">
        <v>1273</v>
      </c>
      <c r="D179" s="283" t="s">
        <v>353</v>
      </c>
      <c r="E179" s="284" t="s">
        <v>76</v>
      </c>
      <c r="F179" s="283" t="s">
        <v>1272</v>
      </c>
      <c r="G179" s="284" t="s">
        <v>79</v>
      </c>
      <c r="H179" s="285" t="s">
        <v>1083</v>
      </c>
      <c r="I179" s="285" t="s">
        <v>1083</v>
      </c>
      <c r="J179" s="285"/>
      <c r="K179" s="284" t="s">
        <v>6</v>
      </c>
      <c r="L179" s="288"/>
      <c r="M179" s="146"/>
    </row>
    <row r="180" spans="1:13" ht="13.5" thickBot="1" x14ac:dyDescent="0.25">
      <c r="A180" s="280" t="s">
        <v>351</v>
      </c>
      <c r="B180" s="281" t="s">
        <v>473</v>
      </c>
      <c r="C180" s="282" t="s">
        <v>200</v>
      </c>
      <c r="D180" s="283" t="s">
        <v>353</v>
      </c>
      <c r="E180" s="284" t="s">
        <v>76</v>
      </c>
      <c r="F180" s="283" t="s">
        <v>362</v>
      </c>
      <c r="G180" s="284" t="s">
        <v>79</v>
      </c>
      <c r="H180" s="285" t="s">
        <v>1083</v>
      </c>
      <c r="I180" s="285"/>
      <c r="J180" s="285" t="s">
        <v>1083</v>
      </c>
      <c r="K180" s="284" t="s">
        <v>6</v>
      </c>
      <c r="L180" s="288"/>
      <c r="M180" s="146"/>
    </row>
    <row r="181" spans="1:13" ht="13.5" thickBot="1" x14ac:dyDescent="0.25">
      <c r="A181" s="280" t="s">
        <v>351</v>
      </c>
      <c r="B181" s="281" t="s">
        <v>473</v>
      </c>
      <c r="C181" s="282" t="s">
        <v>1274</v>
      </c>
      <c r="D181" s="283" t="s">
        <v>1207</v>
      </c>
      <c r="E181" s="284" t="s">
        <v>76</v>
      </c>
      <c r="F181" s="283" t="s">
        <v>1275</v>
      </c>
      <c r="G181" s="284" t="s">
        <v>79</v>
      </c>
      <c r="H181" s="285" t="s">
        <v>1083</v>
      </c>
      <c r="I181" s="285"/>
      <c r="J181" s="285" t="s">
        <v>1083</v>
      </c>
      <c r="K181" s="284" t="s">
        <v>6</v>
      </c>
      <c r="L181" s="288"/>
      <c r="M181" s="146"/>
    </row>
    <row r="182" spans="1:13" ht="13.5" thickBot="1" x14ac:dyDescent="0.25">
      <c r="A182" s="280" t="s">
        <v>351</v>
      </c>
      <c r="B182" s="281" t="s">
        <v>473</v>
      </c>
      <c r="C182" s="282" t="s">
        <v>1274</v>
      </c>
      <c r="D182" s="283" t="s">
        <v>1207</v>
      </c>
      <c r="E182" s="284" t="s">
        <v>76</v>
      </c>
      <c r="F182" s="283" t="s">
        <v>1238</v>
      </c>
      <c r="G182" s="284" t="s">
        <v>79</v>
      </c>
      <c r="H182" s="285" t="s">
        <v>1083</v>
      </c>
      <c r="I182" s="285"/>
      <c r="J182" s="285" t="s">
        <v>1083</v>
      </c>
      <c r="K182" s="284" t="s">
        <v>6</v>
      </c>
      <c r="L182" s="288"/>
      <c r="M182" s="146"/>
    </row>
    <row r="183" spans="1:13" ht="13.5" thickBot="1" x14ac:dyDescent="0.25">
      <c r="A183" s="280" t="s">
        <v>351</v>
      </c>
      <c r="B183" s="281" t="s">
        <v>473</v>
      </c>
      <c r="C183" s="282" t="s">
        <v>1276</v>
      </c>
      <c r="D183" s="283" t="s">
        <v>1207</v>
      </c>
      <c r="E183" s="284" t="s">
        <v>7</v>
      </c>
      <c r="F183" s="283" t="s">
        <v>1267</v>
      </c>
      <c r="G183" s="284" t="s">
        <v>79</v>
      </c>
      <c r="H183" s="285" t="s">
        <v>1083</v>
      </c>
      <c r="I183" s="285"/>
      <c r="J183" s="285" t="s">
        <v>1083</v>
      </c>
      <c r="K183" s="284" t="s">
        <v>6</v>
      </c>
      <c r="L183" s="288"/>
      <c r="M183" s="146"/>
    </row>
    <row r="184" spans="1:13" ht="39" thickBot="1" x14ac:dyDescent="0.25">
      <c r="A184" s="280" t="s">
        <v>351</v>
      </c>
      <c r="B184" s="281" t="s">
        <v>473</v>
      </c>
      <c r="C184" s="282" t="s">
        <v>408</v>
      </c>
      <c r="D184" s="283" t="s">
        <v>353</v>
      </c>
      <c r="E184" s="284" t="s">
        <v>76</v>
      </c>
      <c r="F184" s="290" t="s">
        <v>409</v>
      </c>
      <c r="G184" s="284" t="s">
        <v>6</v>
      </c>
      <c r="H184" s="285">
        <v>82360</v>
      </c>
      <c r="I184" s="285">
        <v>21</v>
      </c>
      <c r="J184" s="285"/>
      <c r="K184" s="284" t="s">
        <v>79</v>
      </c>
      <c r="L184" s="288"/>
      <c r="M184" s="411" t="s">
        <v>1665</v>
      </c>
    </row>
    <row r="185" spans="1:13" ht="13.5" thickBot="1" x14ac:dyDescent="0.25">
      <c r="A185" s="280" t="s">
        <v>351</v>
      </c>
      <c r="B185" s="281" t="s">
        <v>473</v>
      </c>
      <c r="C185" s="282" t="s">
        <v>1190</v>
      </c>
      <c r="D185" s="283" t="s">
        <v>353</v>
      </c>
      <c r="E185" s="284" t="s">
        <v>76</v>
      </c>
      <c r="F185" s="283" t="s">
        <v>362</v>
      </c>
      <c r="G185" s="284" t="s">
        <v>79</v>
      </c>
      <c r="H185" s="285" t="s">
        <v>1150</v>
      </c>
      <c r="I185" s="285"/>
      <c r="J185" s="285">
        <v>3</v>
      </c>
      <c r="K185" s="284" t="s">
        <v>6</v>
      </c>
      <c r="L185" s="288"/>
      <c r="M185" s="146"/>
    </row>
    <row r="186" spans="1:13" ht="13.5" thickBot="1" x14ac:dyDescent="0.25">
      <c r="A186" s="280" t="s">
        <v>351</v>
      </c>
      <c r="B186" s="281" t="s">
        <v>473</v>
      </c>
      <c r="C186" s="282" t="s">
        <v>1277</v>
      </c>
      <c r="D186" s="283" t="s">
        <v>353</v>
      </c>
      <c r="E186" s="284" t="s">
        <v>76</v>
      </c>
      <c r="F186" s="283" t="s">
        <v>1278</v>
      </c>
      <c r="G186" s="284" t="s">
        <v>79</v>
      </c>
      <c r="H186" s="285" t="s">
        <v>1083</v>
      </c>
      <c r="I186" s="285" t="s">
        <v>1083</v>
      </c>
      <c r="J186" s="285"/>
      <c r="K186" s="284" t="s">
        <v>6</v>
      </c>
      <c r="L186" s="288"/>
      <c r="M186" s="146"/>
    </row>
    <row r="187" spans="1:13" ht="13.5" thickBot="1" x14ac:dyDescent="0.25">
      <c r="A187" s="280" t="s">
        <v>351</v>
      </c>
      <c r="B187" s="281" t="s">
        <v>473</v>
      </c>
      <c r="C187" s="282" t="s">
        <v>1279</v>
      </c>
      <c r="D187" s="283" t="s">
        <v>353</v>
      </c>
      <c r="E187" s="284" t="s">
        <v>76</v>
      </c>
      <c r="F187" s="283" t="s">
        <v>1280</v>
      </c>
      <c r="G187" s="284" t="s">
        <v>79</v>
      </c>
      <c r="H187" s="285" t="s">
        <v>1083</v>
      </c>
      <c r="I187" s="285" t="s">
        <v>1083</v>
      </c>
      <c r="J187" s="285"/>
      <c r="K187" s="284" t="s">
        <v>6</v>
      </c>
      <c r="L187" s="288"/>
      <c r="M187" s="146"/>
    </row>
    <row r="188" spans="1:13" ht="13.5" thickBot="1" x14ac:dyDescent="0.25">
      <c r="A188" s="280" t="s">
        <v>351</v>
      </c>
      <c r="B188" s="281" t="s">
        <v>473</v>
      </c>
      <c r="C188" s="282" t="s">
        <v>1281</v>
      </c>
      <c r="D188" s="283" t="s">
        <v>353</v>
      </c>
      <c r="E188" s="284" t="s">
        <v>76</v>
      </c>
      <c r="F188" s="283" t="s">
        <v>362</v>
      </c>
      <c r="G188" s="284" t="s">
        <v>79</v>
      </c>
      <c r="H188" s="285" t="s">
        <v>1150</v>
      </c>
      <c r="I188" s="285"/>
      <c r="J188" s="285" t="s">
        <v>1083</v>
      </c>
      <c r="K188" s="284" t="s">
        <v>6</v>
      </c>
      <c r="L188" s="288"/>
      <c r="M188" s="146"/>
    </row>
    <row r="189" spans="1:13" ht="13.5" thickBot="1" x14ac:dyDescent="0.25">
      <c r="A189" s="280" t="s">
        <v>351</v>
      </c>
      <c r="B189" s="281" t="s">
        <v>473</v>
      </c>
      <c r="C189" s="282" t="s">
        <v>410</v>
      </c>
      <c r="D189" s="283" t="s">
        <v>353</v>
      </c>
      <c r="E189" s="284" t="s">
        <v>76</v>
      </c>
      <c r="F189" s="283" t="s">
        <v>367</v>
      </c>
      <c r="G189" s="284" t="s">
        <v>6</v>
      </c>
      <c r="H189" s="285" t="s">
        <v>1150</v>
      </c>
      <c r="I189" s="285">
        <v>42</v>
      </c>
      <c r="J189" s="285"/>
      <c r="K189" s="284" t="s">
        <v>79</v>
      </c>
      <c r="L189" s="288" t="s">
        <v>1248</v>
      </c>
      <c r="M189" s="146"/>
    </row>
    <row r="190" spans="1:13" ht="13.5" thickBot="1" x14ac:dyDescent="0.25">
      <c r="A190" s="280" t="s">
        <v>351</v>
      </c>
      <c r="B190" s="281" t="s">
        <v>473</v>
      </c>
      <c r="C190" s="282" t="s">
        <v>410</v>
      </c>
      <c r="D190" s="283" t="s">
        <v>353</v>
      </c>
      <c r="E190" s="284" t="s">
        <v>76</v>
      </c>
      <c r="F190" s="283" t="s">
        <v>401</v>
      </c>
      <c r="G190" s="284" t="s">
        <v>79</v>
      </c>
      <c r="H190" s="285" t="s">
        <v>1150</v>
      </c>
      <c r="I190" s="285">
        <v>3</v>
      </c>
      <c r="J190" s="285"/>
      <c r="K190" s="284" t="s">
        <v>6</v>
      </c>
      <c r="L190" s="288" t="s">
        <v>1259</v>
      </c>
      <c r="M190" s="146"/>
    </row>
    <row r="191" spans="1:13" ht="13.5" thickBot="1" x14ac:dyDescent="0.25">
      <c r="A191" s="280" t="s">
        <v>351</v>
      </c>
      <c r="B191" s="281" t="s">
        <v>473</v>
      </c>
      <c r="C191" s="282" t="s">
        <v>410</v>
      </c>
      <c r="D191" s="283" t="s">
        <v>353</v>
      </c>
      <c r="E191" s="284" t="s">
        <v>76</v>
      </c>
      <c r="F191" s="283" t="s">
        <v>399</v>
      </c>
      <c r="G191" s="284" t="s">
        <v>6</v>
      </c>
      <c r="H191" s="285" t="s">
        <v>1150</v>
      </c>
      <c r="I191" s="285">
        <v>86</v>
      </c>
      <c r="J191" s="285"/>
      <c r="K191" s="284" t="s">
        <v>79</v>
      </c>
      <c r="L191" s="288"/>
      <c r="M191" s="146"/>
    </row>
    <row r="192" spans="1:13" ht="13.5" thickBot="1" x14ac:dyDescent="0.25">
      <c r="A192" s="280" t="s">
        <v>351</v>
      </c>
      <c r="B192" s="281" t="s">
        <v>473</v>
      </c>
      <c r="C192" s="282" t="s">
        <v>410</v>
      </c>
      <c r="D192" s="283" t="s">
        <v>353</v>
      </c>
      <c r="E192" s="284" t="s">
        <v>76</v>
      </c>
      <c r="F192" s="283" t="s">
        <v>411</v>
      </c>
      <c r="G192" s="284" t="s">
        <v>6</v>
      </c>
      <c r="H192" s="285" t="s">
        <v>1150</v>
      </c>
      <c r="I192" s="285">
        <v>45</v>
      </c>
      <c r="J192" s="285"/>
      <c r="K192" s="284" t="s">
        <v>79</v>
      </c>
      <c r="L192" s="288" t="s">
        <v>1248</v>
      </c>
      <c r="M192" s="146"/>
    </row>
    <row r="193" spans="1:13" ht="13.5" thickBot="1" x14ac:dyDescent="0.25">
      <c r="A193" s="280" t="s">
        <v>351</v>
      </c>
      <c r="B193" s="281" t="s">
        <v>473</v>
      </c>
      <c r="C193" s="282" t="s">
        <v>410</v>
      </c>
      <c r="D193" s="283" t="s">
        <v>1207</v>
      </c>
      <c r="E193" s="284" t="s">
        <v>76</v>
      </c>
      <c r="F193" s="283" t="s">
        <v>1237</v>
      </c>
      <c r="G193" s="284" t="s">
        <v>79</v>
      </c>
      <c r="H193" s="285" t="s">
        <v>1083</v>
      </c>
      <c r="I193" s="285" t="s">
        <v>1083</v>
      </c>
      <c r="J193" s="285"/>
      <c r="K193" s="284" t="s">
        <v>6</v>
      </c>
      <c r="L193" s="288"/>
      <c r="M193" s="146"/>
    </row>
    <row r="194" spans="1:13" ht="13.5" thickBot="1" x14ac:dyDescent="0.25">
      <c r="A194" s="280" t="s">
        <v>351</v>
      </c>
      <c r="B194" s="281" t="s">
        <v>473</v>
      </c>
      <c r="C194" s="282" t="s">
        <v>410</v>
      </c>
      <c r="D194" s="283" t="s">
        <v>353</v>
      </c>
      <c r="E194" s="284" t="s">
        <v>76</v>
      </c>
      <c r="F194" s="283" t="s">
        <v>1282</v>
      </c>
      <c r="G194" s="284" t="s">
        <v>79</v>
      </c>
      <c r="H194" s="285" t="s">
        <v>1083</v>
      </c>
      <c r="I194" s="285" t="s">
        <v>1083</v>
      </c>
      <c r="J194" s="285"/>
      <c r="K194" s="284" t="s">
        <v>6</v>
      </c>
      <c r="L194" s="288"/>
      <c r="M194" s="146"/>
    </row>
    <row r="195" spans="1:13" ht="13.5" thickBot="1" x14ac:dyDescent="0.25">
      <c r="A195" s="280" t="s">
        <v>351</v>
      </c>
      <c r="B195" s="281" t="s">
        <v>473</v>
      </c>
      <c r="C195" s="282" t="s">
        <v>410</v>
      </c>
      <c r="D195" s="283" t="s">
        <v>353</v>
      </c>
      <c r="E195" s="284" t="s">
        <v>76</v>
      </c>
      <c r="F195" s="283" t="s">
        <v>1239</v>
      </c>
      <c r="G195" s="284" t="s">
        <v>79</v>
      </c>
      <c r="H195" s="285" t="s">
        <v>1083</v>
      </c>
      <c r="I195" s="285" t="s">
        <v>1083</v>
      </c>
      <c r="J195" s="285"/>
      <c r="K195" s="284" t="s">
        <v>6</v>
      </c>
      <c r="L195" s="288"/>
      <c r="M195" s="146"/>
    </row>
    <row r="196" spans="1:13" ht="13.5" thickBot="1" x14ac:dyDescent="0.25">
      <c r="A196" s="280" t="s">
        <v>351</v>
      </c>
      <c r="B196" s="281" t="s">
        <v>473</v>
      </c>
      <c r="C196" s="282" t="s">
        <v>410</v>
      </c>
      <c r="D196" s="283" t="s">
        <v>1207</v>
      </c>
      <c r="E196" s="284" t="s">
        <v>76</v>
      </c>
      <c r="F196" s="283" t="s">
        <v>1283</v>
      </c>
      <c r="G196" s="284" t="s">
        <v>79</v>
      </c>
      <c r="H196" s="285" t="s">
        <v>1083</v>
      </c>
      <c r="I196" s="285" t="s">
        <v>1083</v>
      </c>
      <c r="J196" s="285"/>
      <c r="K196" s="284" t="s">
        <v>6</v>
      </c>
      <c r="L196" s="288"/>
      <c r="M196" s="146"/>
    </row>
    <row r="197" spans="1:13" ht="13.5" thickBot="1" x14ac:dyDescent="0.25">
      <c r="A197" s="280" t="s">
        <v>351</v>
      </c>
      <c r="B197" s="281" t="s">
        <v>473</v>
      </c>
      <c r="C197" s="282" t="s">
        <v>1284</v>
      </c>
      <c r="D197" s="283" t="s">
        <v>353</v>
      </c>
      <c r="E197" s="284" t="s">
        <v>76</v>
      </c>
      <c r="F197" s="283" t="s">
        <v>362</v>
      </c>
      <c r="G197" s="284" t="s">
        <v>79</v>
      </c>
      <c r="H197" s="285" t="s">
        <v>1083</v>
      </c>
      <c r="I197" s="285"/>
      <c r="J197" s="285" t="s">
        <v>1083</v>
      </c>
      <c r="K197" s="284" t="s">
        <v>6</v>
      </c>
      <c r="L197" s="288"/>
      <c r="M197" s="146"/>
    </row>
    <row r="198" spans="1:13" ht="13.5" thickBot="1" x14ac:dyDescent="0.25">
      <c r="A198" s="280" t="s">
        <v>351</v>
      </c>
      <c r="B198" s="281" t="s">
        <v>473</v>
      </c>
      <c r="C198" s="282" t="s">
        <v>1285</v>
      </c>
      <c r="D198" s="283" t="s">
        <v>1207</v>
      </c>
      <c r="E198" s="284" t="s">
        <v>7</v>
      </c>
      <c r="F198" s="283" t="s">
        <v>1286</v>
      </c>
      <c r="G198" s="284" t="s">
        <v>79</v>
      </c>
      <c r="H198" s="285" t="s">
        <v>1083</v>
      </c>
      <c r="I198" s="285"/>
      <c r="J198" s="285" t="s">
        <v>1083</v>
      </c>
      <c r="K198" s="284" t="s">
        <v>6</v>
      </c>
      <c r="L198" s="288"/>
      <c r="M198" s="146"/>
    </row>
    <row r="199" spans="1:13" ht="13.5" thickBot="1" x14ac:dyDescent="0.25">
      <c r="A199" s="280" t="s">
        <v>351</v>
      </c>
      <c r="B199" s="281" t="s">
        <v>473</v>
      </c>
      <c r="C199" s="282" t="s">
        <v>1287</v>
      </c>
      <c r="D199" s="283" t="s">
        <v>1207</v>
      </c>
      <c r="E199" s="284" t="s">
        <v>7</v>
      </c>
      <c r="F199" s="283" t="s">
        <v>1267</v>
      </c>
      <c r="G199" s="284" t="s">
        <v>79</v>
      </c>
      <c r="H199" s="285" t="s">
        <v>1083</v>
      </c>
      <c r="I199" s="285"/>
      <c r="J199" s="285" t="s">
        <v>1083</v>
      </c>
      <c r="K199" s="284" t="s">
        <v>6</v>
      </c>
      <c r="L199" s="288"/>
      <c r="M199" s="146"/>
    </row>
    <row r="200" spans="1:13" ht="39" thickBot="1" x14ac:dyDescent="0.25">
      <c r="A200" s="280" t="s">
        <v>351</v>
      </c>
      <c r="B200" s="281" t="s">
        <v>473</v>
      </c>
      <c r="C200" s="282" t="s">
        <v>412</v>
      </c>
      <c r="D200" s="283" t="s">
        <v>353</v>
      </c>
      <c r="E200" s="284" t="s">
        <v>76</v>
      </c>
      <c r="F200" s="283" t="s">
        <v>413</v>
      </c>
      <c r="G200" s="284" t="s">
        <v>6</v>
      </c>
      <c r="H200" s="285">
        <v>30080</v>
      </c>
      <c r="I200" s="285">
        <v>26</v>
      </c>
      <c r="J200" s="285"/>
      <c r="K200" s="284" t="s">
        <v>79</v>
      </c>
      <c r="L200" s="288"/>
      <c r="M200" s="411" t="s">
        <v>1662</v>
      </c>
    </row>
    <row r="201" spans="1:13" ht="13.5" thickBot="1" x14ac:dyDescent="0.25">
      <c r="A201" s="280" t="s">
        <v>351</v>
      </c>
      <c r="B201" s="281" t="s">
        <v>473</v>
      </c>
      <c r="C201" s="282" t="s">
        <v>412</v>
      </c>
      <c r="D201" s="283" t="s">
        <v>353</v>
      </c>
      <c r="E201" s="284" t="s">
        <v>76</v>
      </c>
      <c r="F201" s="283" t="s">
        <v>180</v>
      </c>
      <c r="G201" s="284" t="s">
        <v>79</v>
      </c>
      <c r="H201" s="285" t="s">
        <v>1083</v>
      </c>
      <c r="I201" s="285" t="s">
        <v>1083</v>
      </c>
      <c r="J201" s="285"/>
      <c r="K201" s="284" t="s">
        <v>6</v>
      </c>
      <c r="L201" s="288"/>
      <c r="M201" s="146"/>
    </row>
    <row r="202" spans="1:13" ht="13.5" thickBot="1" x14ac:dyDescent="0.25">
      <c r="A202" s="280" t="s">
        <v>351</v>
      </c>
      <c r="B202" s="281" t="s">
        <v>473</v>
      </c>
      <c r="C202" s="282" t="s">
        <v>412</v>
      </c>
      <c r="D202" s="283" t="s">
        <v>1207</v>
      </c>
      <c r="E202" s="284" t="s">
        <v>76</v>
      </c>
      <c r="F202" s="283" t="s">
        <v>1238</v>
      </c>
      <c r="G202" s="284" t="s">
        <v>79</v>
      </c>
      <c r="H202" s="285" t="s">
        <v>1083</v>
      </c>
      <c r="I202" s="285" t="s">
        <v>1083</v>
      </c>
      <c r="J202" s="285"/>
      <c r="K202" s="284" t="s">
        <v>6</v>
      </c>
      <c r="L202" s="288"/>
      <c r="M202" s="146"/>
    </row>
    <row r="203" spans="1:13" ht="13.5" thickBot="1" x14ac:dyDescent="0.25">
      <c r="A203" s="280" t="s">
        <v>351</v>
      </c>
      <c r="B203" s="281" t="s">
        <v>473</v>
      </c>
      <c r="C203" s="282" t="s">
        <v>1288</v>
      </c>
      <c r="D203" s="283" t="s">
        <v>353</v>
      </c>
      <c r="E203" s="284" t="s">
        <v>76</v>
      </c>
      <c r="F203" s="283" t="s">
        <v>362</v>
      </c>
      <c r="G203" s="284" t="s">
        <v>79</v>
      </c>
      <c r="H203" s="285" t="s">
        <v>1150</v>
      </c>
      <c r="I203" s="285"/>
      <c r="J203" s="285" t="s">
        <v>1083</v>
      </c>
      <c r="K203" s="284" t="s">
        <v>6</v>
      </c>
      <c r="L203" s="288"/>
      <c r="M203" s="146"/>
    </row>
    <row r="204" spans="1:13" ht="13.5" thickBot="1" x14ac:dyDescent="0.25">
      <c r="A204" s="280" t="s">
        <v>351</v>
      </c>
      <c r="B204" s="281" t="s">
        <v>473</v>
      </c>
      <c r="C204" s="282" t="s">
        <v>1195</v>
      </c>
      <c r="D204" s="283" t="s">
        <v>353</v>
      </c>
      <c r="E204" s="284" t="s">
        <v>76</v>
      </c>
      <c r="F204" s="283" t="s">
        <v>362</v>
      </c>
      <c r="G204" s="284" t="s">
        <v>79</v>
      </c>
      <c r="H204" s="285">
        <v>240</v>
      </c>
      <c r="I204" s="285"/>
      <c r="J204" s="285">
        <v>6</v>
      </c>
      <c r="K204" s="284" t="s">
        <v>6</v>
      </c>
      <c r="L204" s="288"/>
      <c r="M204" s="146"/>
    </row>
    <row r="205" spans="1:13" ht="13.5" thickBot="1" x14ac:dyDescent="0.25">
      <c r="A205" s="280" t="s">
        <v>351</v>
      </c>
      <c r="B205" s="281" t="s">
        <v>473</v>
      </c>
      <c r="C205" s="282" t="s">
        <v>1196</v>
      </c>
      <c r="D205" s="283" t="s">
        <v>353</v>
      </c>
      <c r="E205" s="284" t="s">
        <v>76</v>
      </c>
      <c r="F205" s="283" t="s">
        <v>1166</v>
      </c>
      <c r="G205" s="284"/>
      <c r="H205" s="285"/>
      <c r="I205" s="285"/>
      <c r="J205" s="285"/>
      <c r="K205" s="284"/>
      <c r="L205" s="288" t="s">
        <v>1289</v>
      </c>
      <c r="M205" s="146"/>
    </row>
    <row r="206" spans="1:13" ht="13.5" thickBot="1" x14ac:dyDescent="0.25">
      <c r="A206" s="280" t="s">
        <v>351</v>
      </c>
      <c r="B206" s="281" t="s">
        <v>473</v>
      </c>
      <c r="C206" s="282" t="s">
        <v>414</v>
      </c>
      <c r="D206" s="283" t="s">
        <v>353</v>
      </c>
      <c r="E206" s="284" t="s">
        <v>76</v>
      </c>
      <c r="F206" s="283" t="s">
        <v>415</v>
      </c>
      <c r="G206" s="284" t="s">
        <v>6</v>
      </c>
      <c r="H206" s="285">
        <v>380</v>
      </c>
      <c r="I206" s="285">
        <v>13</v>
      </c>
      <c r="J206" s="285"/>
      <c r="K206" s="284" t="s">
        <v>79</v>
      </c>
      <c r="L206" s="288" t="s">
        <v>1290</v>
      </c>
      <c r="M206" s="146"/>
    </row>
    <row r="207" spans="1:13" ht="13.5" thickBot="1" x14ac:dyDescent="0.25">
      <c r="A207" s="280" t="s">
        <v>351</v>
      </c>
      <c r="B207" s="281" t="s">
        <v>473</v>
      </c>
      <c r="C207" s="282" t="s">
        <v>416</v>
      </c>
      <c r="D207" s="283" t="s">
        <v>353</v>
      </c>
      <c r="E207" s="284" t="s">
        <v>76</v>
      </c>
      <c r="F207" s="283" t="s">
        <v>417</v>
      </c>
      <c r="G207" s="284" t="s">
        <v>6</v>
      </c>
      <c r="H207" s="285" t="s">
        <v>1150</v>
      </c>
      <c r="I207" s="285">
        <v>13</v>
      </c>
      <c r="J207" s="285"/>
      <c r="K207" s="284" t="s">
        <v>6</v>
      </c>
      <c r="L207" s="288" t="s">
        <v>1290</v>
      </c>
      <c r="M207" s="146"/>
    </row>
    <row r="208" spans="1:13" ht="13.5" thickBot="1" x14ac:dyDescent="0.25">
      <c r="A208" s="280" t="s">
        <v>351</v>
      </c>
      <c r="B208" s="281" t="s">
        <v>473</v>
      </c>
      <c r="C208" s="282" t="s">
        <v>1291</v>
      </c>
      <c r="D208" s="283" t="s">
        <v>353</v>
      </c>
      <c r="E208" s="284" t="s">
        <v>76</v>
      </c>
      <c r="F208" s="283" t="s">
        <v>423</v>
      </c>
      <c r="G208" s="284" t="s">
        <v>79</v>
      </c>
      <c r="H208" s="285" t="s">
        <v>1150</v>
      </c>
      <c r="I208" s="285">
        <v>13</v>
      </c>
      <c r="J208" s="285"/>
      <c r="K208" s="284" t="s">
        <v>6</v>
      </c>
      <c r="L208" s="288" t="s">
        <v>1290</v>
      </c>
      <c r="M208" s="146"/>
    </row>
    <row r="209" spans="1:13" ht="13.5" thickBot="1" x14ac:dyDescent="0.25">
      <c r="A209" s="280" t="s">
        <v>351</v>
      </c>
      <c r="B209" s="281" t="s">
        <v>473</v>
      </c>
      <c r="C209" s="282" t="s">
        <v>1292</v>
      </c>
      <c r="D209" s="283" t="s">
        <v>353</v>
      </c>
      <c r="E209" s="284" t="s">
        <v>76</v>
      </c>
      <c r="F209" s="283" t="s">
        <v>423</v>
      </c>
      <c r="G209" s="284" t="s">
        <v>79</v>
      </c>
      <c r="H209" s="285" t="s">
        <v>1150</v>
      </c>
      <c r="I209" s="285">
        <v>13</v>
      </c>
      <c r="J209" s="285"/>
      <c r="K209" s="284" t="s">
        <v>6</v>
      </c>
      <c r="L209" s="288" t="s">
        <v>1290</v>
      </c>
      <c r="M209" s="146"/>
    </row>
    <row r="210" spans="1:13" ht="13.5" thickBot="1" x14ac:dyDescent="0.25">
      <c r="A210" s="280" t="s">
        <v>351</v>
      </c>
      <c r="B210" s="281" t="s">
        <v>473</v>
      </c>
      <c r="C210" s="282" t="s">
        <v>1293</v>
      </c>
      <c r="D210" s="283" t="s">
        <v>353</v>
      </c>
      <c r="E210" s="284" t="s">
        <v>76</v>
      </c>
      <c r="F210" s="283" t="s">
        <v>401</v>
      </c>
      <c r="G210" s="284" t="s">
        <v>79</v>
      </c>
      <c r="H210" s="285" t="s">
        <v>1083</v>
      </c>
      <c r="I210" s="285">
        <v>13</v>
      </c>
      <c r="J210" s="285"/>
      <c r="K210" s="284" t="s">
        <v>6</v>
      </c>
      <c r="L210" s="288" t="s">
        <v>1290</v>
      </c>
      <c r="M210" s="146"/>
    </row>
    <row r="211" spans="1:13" ht="13.5" thickBot="1" x14ac:dyDescent="0.25">
      <c r="A211" s="280" t="s">
        <v>351</v>
      </c>
      <c r="B211" s="281" t="s">
        <v>473</v>
      </c>
      <c r="C211" s="282" t="s">
        <v>418</v>
      </c>
      <c r="D211" s="283" t="s">
        <v>353</v>
      </c>
      <c r="E211" s="284" t="s">
        <v>76</v>
      </c>
      <c r="F211" s="283" t="s">
        <v>419</v>
      </c>
      <c r="G211" s="284" t="s">
        <v>6</v>
      </c>
      <c r="H211" s="285" t="s">
        <v>1150</v>
      </c>
      <c r="I211" s="285">
        <v>13</v>
      </c>
      <c r="J211" s="285"/>
      <c r="K211" s="284" t="s">
        <v>6</v>
      </c>
      <c r="L211" s="288" t="s">
        <v>1290</v>
      </c>
      <c r="M211" s="146"/>
    </row>
    <row r="212" spans="1:13" ht="13.5" thickBot="1" x14ac:dyDescent="0.25">
      <c r="A212" s="280" t="s">
        <v>351</v>
      </c>
      <c r="B212" s="281" t="s">
        <v>473</v>
      </c>
      <c r="C212" s="282" t="s">
        <v>421</v>
      </c>
      <c r="D212" s="283" t="s">
        <v>353</v>
      </c>
      <c r="E212" s="284" t="s">
        <v>76</v>
      </c>
      <c r="F212" s="283" t="s">
        <v>415</v>
      </c>
      <c r="G212" s="284" t="s">
        <v>6</v>
      </c>
      <c r="H212" s="285" t="s">
        <v>1150</v>
      </c>
      <c r="I212" s="285">
        <v>13</v>
      </c>
      <c r="J212" s="285"/>
      <c r="K212" s="284" t="s">
        <v>6</v>
      </c>
      <c r="L212" s="288" t="s">
        <v>1290</v>
      </c>
      <c r="M212" s="146"/>
    </row>
    <row r="213" spans="1:13" ht="13.5" thickBot="1" x14ac:dyDescent="0.25">
      <c r="A213" s="280" t="s">
        <v>351</v>
      </c>
      <c r="B213" s="281" t="s">
        <v>473</v>
      </c>
      <c r="C213" s="282" t="s">
        <v>421</v>
      </c>
      <c r="D213" s="283" t="s">
        <v>353</v>
      </c>
      <c r="E213" s="284" t="s">
        <v>76</v>
      </c>
      <c r="F213" s="283" t="s">
        <v>376</v>
      </c>
      <c r="G213" s="284" t="s">
        <v>79</v>
      </c>
      <c r="H213" s="285" t="s">
        <v>1150</v>
      </c>
      <c r="I213" s="285">
        <v>13</v>
      </c>
      <c r="J213" s="285"/>
      <c r="K213" s="284" t="s">
        <v>6</v>
      </c>
      <c r="L213" s="288" t="s">
        <v>1290</v>
      </c>
      <c r="M213" s="146"/>
    </row>
    <row r="214" spans="1:13" ht="13.5" thickBot="1" x14ac:dyDescent="0.25">
      <c r="A214" s="280" t="s">
        <v>351</v>
      </c>
      <c r="B214" s="281" t="s">
        <v>473</v>
      </c>
      <c r="C214" s="282" t="s">
        <v>1294</v>
      </c>
      <c r="D214" s="283" t="s">
        <v>353</v>
      </c>
      <c r="E214" s="284" t="s">
        <v>76</v>
      </c>
      <c r="F214" s="283" t="s">
        <v>1295</v>
      </c>
      <c r="G214" s="284" t="s">
        <v>79</v>
      </c>
      <c r="H214" s="285" t="s">
        <v>1083</v>
      </c>
      <c r="I214" s="285">
        <v>13</v>
      </c>
      <c r="J214" s="285"/>
      <c r="K214" s="284" t="s">
        <v>6</v>
      </c>
      <c r="L214" s="288" t="s">
        <v>1290</v>
      </c>
      <c r="M214" s="146"/>
    </row>
    <row r="215" spans="1:13" ht="13.5" thickBot="1" x14ac:dyDescent="0.25">
      <c r="A215" s="280" t="s">
        <v>351</v>
      </c>
      <c r="B215" s="281" t="s">
        <v>473</v>
      </c>
      <c r="C215" s="282" t="s">
        <v>1296</v>
      </c>
      <c r="D215" s="283" t="s">
        <v>353</v>
      </c>
      <c r="E215" s="284" t="s">
        <v>76</v>
      </c>
      <c r="F215" s="283" t="s">
        <v>423</v>
      </c>
      <c r="G215" s="284" t="s">
        <v>79</v>
      </c>
      <c r="H215" s="285" t="s">
        <v>1083</v>
      </c>
      <c r="I215" s="285">
        <v>13</v>
      </c>
      <c r="J215" s="285"/>
      <c r="K215" s="284" t="s">
        <v>6</v>
      </c>
      <c r="L215" s="288" t="s">
        <v>1290</v>
      </c>
      <c r="M215" s="146"/>
    </row>
    <row r="216" spans="1:13" ht="13.5" thickBot="1" x14ac:dyDescent="0.25">
      <c r="A216" s="280" t="s">
        <v>351</v>
      </c>
      <c r="B216" s="281" t="s">
        <v>473</v>
      </c>
      <c r="C216" s="282" t="s">
        <v>422</v>
      </c>
      <c r="D216" s="283" t="s">
        <v>353</v>
      </c>
      <c r="E216" s="284" t="s">
        <v>76</v>
      </c>
      <c r="F216" s="283" t="s">
        <v>423</v>
      </c>
      <c r="G216" s="284" t="s">
        <v>6</v>
      </c>
      <c r="H216" s="285" t="s">
        <v>1150</v>
      </c>
      <c r="I216" s="285">
        <v>13</v>
      </c>
      <c r="J216" s="285"/>
      <c r="K216" s="284" t="s">
        <v>79</v>
      </c>
      <c r="L216" s="288" t="s">
        <v>1290</v>
      </c>
      <c r="M216" s="146"/>
    </row>
    <row r="217" spans="1:13" ht="13.5" thickBot="1" x14ac:dyDescent="0.25">
      <c r="A217" s="280" t="s">
        <v>351</v>
      </c>
      <c r="B217" s="281" t="s">
        <v>473</v>
      </c>
      <c r="C217" s="282" t="s">
        <v>1297</v>
      </c>
      <c r="D217" s="283" t="s">
        <v>425</v>
      </c>
      <c r="E217" s="284" t="s">
        <v>426</v>
      </c>
      <c r="F217" s="283" t="s">
        <v>427</v>
      </c>
      <c r="G217" s="284" t="s">
        <v>79</v>
      </c>
      <c r="H217" s="285" t="str">
        <f t="shared" ref="H217:H239" si="0">IF(O217=0,"None",IF(O217&lt;200,"&lt;200",ROUND(O217/10,0)*10))</f>
        <v>None</v>
      </c>
      <c r="I217" s="285"/>
      <c r="J217" s="284"/>
      <c r="K217" s="284" t="s">
        <v>6</v>
      </c>
      <c r="L217" s="288"/>
      <c r="M217" s="146"/>
    </row>
    <row r="218" spans="1:13" ht="13.5" thickBot="1" x14ac:dyDescent="0.25">
      <c r="A218" s="280" t="s">
        <v>351</v>
      </c>
      <c r="B218" s="281" t="s">
        <v>473</v>
      </c>
      <c r="C218" s="282" t="s">
        <v>1298</v>
      </c>
      <c r="D218" s="283" t="s">
        <v>425</v>
      </c>
      <c r="E218" s="284" t="s">
        <v>426</v>
      </c>
      <c r="F218" s="283" t="s">
        <v>427</v>
      </c>
      <c r="G218" s="284" t="s">
        <v>79</v>
      </c>
      <c r="H218" s="285" t="str">
        <f t="shared" si="0"/>
        <v>None</v>
      </c>
      <c r="I218" s="285">
        <v>0</v>
      </c>
      <c r="J218" s="284"/>
      <c r="K218" s="284" t="s">
        <v>6</v>
      </c>
      <c r="L218" s="288"/>
      <c r="M218" s="146"/>
    </row>
    <row r="219" spans="1:13" ht="13.5" thickBot="1" x14ac:dyDescent="0.25">
      <c r="A219" s="280" t="s">
        <v>351</v>
      </c>
      <c r="B219" s="281" t="s">
        <v>473</v>
      </c>
      <c r="C219" s="282" t="s">
        <v>1299</v>
      </c>
      <c r="D219" s="283" t="s">
        <v>425</v>
      </c>
      <c r="E219" s="284" t="s">
        <v>426</v>
      </c>
      <c r="F219" s="283" t="s">
        <v>427</v>
      </c>
      <c r="G219" s="284" t="s">
        <v>79</v>
      </c>
      <c r="H219" s="285" t="str">
        <f t="shared" si="0"/>
        <v>None</v>
      </c>
      <c r="I219" s="285"/>
      <c r="J219" s="284"/>
      <c r="K219" s="284" t="s">
        <v>6</v>
      </c>
      <c r="L219" s="288"/>
      <c r="M219" s="146"/>
    </row>
    <row r="220" spans="1:13" ht="51.75" thickBot="1" x14ac:dyDescent="0.25">
      <c r="A220" s="280" t="s">
        <v>351</v>
      </c>
      <c r="B220" s="281" t="s">
        <v>473</v>
      </c>
      <c r="C220" s="282" t="s">
        <v>424</v>
      </c>
      <c r="D220" s="283" t="s">
        <v>425</v>
      </c>
      <c r="E220" s="284" t="s">
        <v>426</v>
      </c>
      <c r="F220" s="283" t="s">
        <v>427</v>
      </c>
      <c r="G220" s="284" t="s">
        <v>6</v>
      </c>
      <c r="H220" s="285" t="str">
        <f t="shared" si="0"/>
        <v>None</v>
      </c>
      <c r="I220" s="285">
        <v>9</v>
      </c>
      <c r="J220" s="284"/>
      <c r="K220" s="284" t="s">
        <v>6</v>
      </c>
      <c r="L220" s="288" t="s">
        <v>1300</v>
      </c>
      <c r="M220" s="411" t="s">
        <v>1731</v>
      </c>
    </row>
    <row r="221" spans="1:13" ht="13.5" thickBot="1" x14ac:dyDescent="0.25">
      <c r="A221" s="280" t="s">
        <v>351</v>
      </c>
      <c r="B221" s="281" t="s">
        <v>473</v>
      </c>
      <c r="C221" s="282" t="s">
        <v>1301</v>
      </c>
      <c r="D221" s="283" t="s">
        <v>425</v>
      </c>
      <c r="E221" s="284" t="s">
        <v>426</v>
      </c>
      <c r="F221" s="283" t="s">
        <v>427</v>
      </c>
      <c r="G221" s="284" t="s">
        <v>79</v>
      </c>
      <c r="H221" s="285" t="str">
        <f t="shared" si="0"/>
        <v>None</v>
      </c>
      <c r="I221" s="285" t="s">
        <v>1302</v>
      </c>
      <c r="J221" s="284"/>
      <c r="K221" s="284" t="s">
        <v>6</v>
      </c>
      <c r="L221" s="288"/>
      <c r="M221" s="146"/>
    </row>
    <row r="222" spans="1:13" ht="13.5" thickBot="1" x14ac:dyDescent="0.25">
      <c r="A222" s="280" t="s">
        <v>351</v>
      </c>
      <c r="B222" s="281" t="s">
        <v>473</v>
      </c>
      <c r="C222" s="282" t="s">
        <v>1303</v>
      </c>
      <c r="D222" s="283" t="s">
        <v>425</v>
      </c>
      <c r="E222" s="284" t="s">
        <v>426</v>
      </c>
      <c r="F222" s="283" t="s">
        <v>427</v>
      </c>
      <c r="G222" s="284" t="s">
        <v>79</v>
      </c>
      <c r="H222" s="285" t="str">
        <f t="shared" si="0"/>
        <v>None</v>
      </c>
      <c r="I222" s="285" t="s">
        <v>1302</v>
      </c>
      <c r="J222" s="284"/>
      <c r="K222" s="284" t="s">
        <v>6</v>
      </c>
      <c r="L222" s="288"/>
      <c r="M222" s="146"/>
    </row>
    <row r="223" spans="1:13" ht="13.5" thickBot="1" x14ac:dyDescent="0.25">
      <c r="A223" s="280" t="s">
        <v>351</v>
      </c>
      <c r="B223" s="281" t="s">
        <v>473</v>
      </c>
      <c r="C223" s="282" t="s">
        <v>1304</v>
      </c>
      <c r="D223" s="283" t="s">
        <v>425</v>
      </c>
      <c r="E223" s="284" t="s">
        <v>426</v>
      </c>
      <c r="F223" s="283" t="s">
        <v>427</v>
      </c>
      <c r="G223" s="284" t="s">
        <v>79</v>
      </c>
      <c r="H223" s="285" t="str">
        <f t="shared" si="0"/>
        <v>None</v>
      </c>
      <c r="I223" s="285">
        <v>0</v>
      </c>
      <c r="J223" s="284"/>
      <c r="K223" s="284" t="s">
        <v>6</v>
      </c>
      <c r="L223" s="288"/>
      <c r="M223" s="146"/>
    </row>
    <row r="224" spans="1:13" ht="13.5" thickBot="1" x14ac:dyDescent="0.25">
      <c r="A224" s="280" t="s">
        <v>351</v>
      </c>
      <c r="B224" s="281" t="s">
        <v>473</v>
      </c>
      <c r="C224" s="282" t="s">
        <v>1305</v>
      </c>
      <c r="D224" s="283" t="s">
        <v>425</v>
      </c>
      <c r="E224" s="284" t="s">
        <v>426</v>
      </c>
      <c r="F224" s="283" t="s">
        <v>427</v>
      </c>
      <c r="G224" s="284" t="s">
        <v>79</v>
      </c>
      <c r="H224" s="285" t="str">
        <f t="shared" si="0"/>
        <v>None</v>
      </c>
      <c r="I224" s="285"/>
      <c r="J224" s="284"/>
      <c r="K224" s="284" t="s">
        <v>6</v>
      </c>
      <c r="L224" s="288"/>
      <c r="M224" s="146"/>
    </row>
    <row r="225" spans="1:13" ht="13.5" thickBot="1" x14ac:dyDescent="0.25">
      <c r="A225" s="280" t="s">
        <v>351</v>
      </c>
      <c r="B225" s="281" t="s">
        <v>473</v>
      </c>
      <c r="C225" s="282" t="s">
        <v>1306</v>
      </c>
      <c r="D225" s="283" t="s">
        <v>425</v>
      </c>
      <c r="E225" s="284" t="s">
        <v>426</v>
      </c>
      <c r="F225" s="283" t="s">
        <v>427</v>
      </c>
      <c r="G225" s="284" t="s">
        <v>79</v>
      </c>
      <c r="H225" s="285" t="str">
        <f t="shared" si="0"/>
        <v>None</v>
      </c>
      <c r="I225" s="285">
        <v>0</v>
      </c>
      <c r="J225" s="284"/>
      <c r="K225" s="284" t="s">
        <v>6</v>
      </c>
      <c r="L225" s="288"/>
      <c r="M225" s="146"/>
    </row>
    <row r="226" spans="1:13" ht="13.5" thickBot="1" x14ac:dyDescent="0.25">
      <c r="A226" s="280" t="s">
        <v>351</v>
      </c>
      <c r="B226" s="281" t="s">
        <v>473</v>
      </c>
      <c r="C226" s="282" t="s">
        <v>1307</v>
      </c>
      <c r="D226" s="283" t="s">
        <v>425</v>
      </c>
      <c r="E226" s="284" t="s">
        <v>426</v>
      </c>
      <c r="F226" s="283" t="s">
        <v>427</v>
      </c>
      <c r="G226" s="284" t="s">
        <v>79</v>
      </c>
      <c r="H226" s="285" t="str">
        <f t="shared" si="0"/>
        <v>None</v>
      </c>
      <c r="I226" s="285"/>
      <c r="J226" s="284"/>
      <c r="K226" s="284" t="s">
        <v>6</v>
      </c>
      <c r="L226" s="288"/>
      <c r="M226" s="146"/>
    </row>
    <row r="227" spans="1:13" ht="13.5" thickBot="1" x14ac:dyDescent="0.25">
      <c r="A227" s="280" t="s">
        <v>351</v>
      </c>
      <c r="B227" s="281" t="s">
        <v>473</v>
      </c>
      <c r="C227" s="282" t="s">
        <v>1308</v>
      </c>
      <c r="D227" s="283" t="s">
        <v>425</v>
      </c>
      <c r="E227" s="284" t="s">
        <v>426</v>
      </c>
      <c r="F227" s="283" t="s">
        <v>427</v>
      </c>
      <c r="G227" s="284" t="s">
        <v>79</v>
      </c>
      <c r="H227" s="285" t="str">
        <f t="shared" si="0"/>
        <v>None</v>
      </c>
      <c r="I227" s="285"/>
      <c r="J227" s="284"/>
      <c r="K227" s="284" t="s">
        <v>6</v>
      </c>
      <c r="L227" s="288"/>
      <c r="M227" s="146"/>
    </row>
    <row r="228" spans="1:13" ht="13.5" thickBot="1" x14ac:dyDescent="0.25">
      <c r="A228" s="280" t="s">
        <v>351</v>
      </c>
      <c r="B228" s="281" t="s">
        <v>473</v>
      </c>
      <c r="C228" s="282" t="s">
        <v>1309</v>
      </c>
      <c r="D228" s="283" t="s">
        <v>425</v>
      </c>
      <c r="E228" s="284" t="s">
        <v>426</v>
      </c>
      <c r="F228" s="283" t="s">
        <v>427</v>
      </c>
      <c r="G228" s="284" t="s">
        <v>79</v>
      </c>
      <c r="H228" s="285" t="str">
        <f t="shared" si="0"/>
        <v>None</v>
      </c>
      <c r="I228" s="285"/>
      <c r="J228" s="284"/>
      <c r="K228" s="284" t="s">
        <v>6</v>
      </c>
      <c r="L228" s="288"/>
      <c r="M228" s="146"/>
    </row>
    <row r="229" spans="1:13" ht="13.5" thickBot="1" x14ac:dyDescent="0.25">
      <c r="A229" s="280" t="s">
        <v>351</v>
      </c>
      <c r="B229" s="281" t="s">
        <v>473</v>
      </c>
      <c r="C229" s="282" t="s">
        <v>1310</v>
      </c>
      <c r="D229" s="283" t="s">
        <v>425</v>
      </c>
      <c r="E229" s="284" t="s">
        <v>426</v>
      </c>
      <c r="F229" s="283" t="s">
        <v>427</v>
      </c>
      <c r="G229" s="284" t="s">
        <v>79</v>
      </c>
      <c r="H229" s="285" t="str">
        <f t="shared" si="0"/>
        <v>None</v>
      </c>
      <c r="I229" s="285"/>
      <c r="J229" s="284"/>
      <c r="K229" s="284" t="s">
        <v>6</v>
      </c>
      <c r="L229" s="288"/>
      <c r="M229" s="146"/>
    </row>
    <row r="230" spans="1:13" ht="13.5" thickBot="1" x14ac:dyDescent="0.25">
      <c r="A230" s="280" t="s">
        <v>351</v>
      </c>
      <c r="B230" s="281" t="s">
        <v>473</v>
      </c>
      <c r="C230" s="282" t="s">
        <v>1311</v>
      </c>
      <c r="D230" s="283" t="s">
        <v>425</v>
      </c>
      <c r="E230" s="284" t="s">
        <v>426</v>
      </c>
      <c r="F230" s="283" t="s">
        <v>427</v>
      </c>
      <c r="G230" s="284" t="s">
        <v>79</v>
      </c>
      <c r="H230" s="285" t="str">
        <f t="shared" si="0"/>
        <v>None</v>
      </c>
      <c r="I230" s="285"/>
      <c r="J230" s="284"/>
      <c r="K230" s="284" t="s">
        <v>6</v>
      </c>
      <c r="L230" s="288"/>
      <c r="M230" s="146"/>
    </row>
    <row r="231" spans="1:13" ht="13.5" thickBot="1" x14ac:dyDescent="0.25">
      <c r="A231" s="280" t="s">
        <v>351</v>
      </c>
      <c r="B231" s="281" t="s">
        <v>473</v>
      </c>
      <c r="C231" s="282" t="s">
        <v>1312</v>
      </c>
      <c r="D231" s="283" t="s">
        <v>425</v>
      </c>
      <c r="E231" s="284" t="s">
        <v>426</v>
      </c>
      <c r="F231" s="283" t="s">
        <v>427</v>
      </c>
      <c r="G231" s="284" t="s">
        <v>79</v>
      </c>
      <c r="H231" s="285" t="str">
        <f t="shared" si="0"/>
        <v>None</v>
      </c>
      <c r="I231" s="285"/>
      <c r="J231" s="284"/>
      <c r="K231" s="284" t="s">
        <v>6</v>
      </c>
      <c r="L231" s="288"/>
      <c r="M231" s="146"/>
    </row>
    <row r="232" spans="1:13" ht="13.5" thickBot="1" x14ac:dyDescent="0.25">
      <c r="A232" s="280" t="s">
        <v>351</v>
      </c>
      <c r="B232" s="281" t="s">
        <v>473</v>
      </c>
      <c r="C232" s="282" t="s">
        <v>1313</v>
      </c>
      <c r="D232" s="283" t="s">
        <v>425</v>
      </c>
      <c r="E232" s="284" t="s">
        <v>426</v>
      </c>
      <c r="F232" s="283" t="s">
        <v>427</v>
      </c>
      <c r="G232" s="284" t="s">
        <v>79</v>
      </c>
      <c r="H232" s="285" t="str">
        <f t="shared" si="0"/>
        <v>None</v>
      </c>
      <c r="I232" s="285"/>
      <c r="J232" s="284"/>
      <c r="K232" s="284" t="s">
        <v>6</v>
      </c>
      <c r="L232" s="288"/>
      <c r="M232" s="146"/>
    </row>
    <row r="233" spans="1:13" ht="13.5" thickBot="1" x14ac:dyDescent="0.25">
      <c r="A233" s="280" t="s">
        <v>351</v>
      </c>
      <c r="B233" s="281" t="s">
        <v>473</v>
      </c>
      <c r="C233" s="282" t="s">
        <v>1314</v>
      </c>
      <c r="D233" s="283" t="s">
        <v>425</v>
      </c>
      <c r="E233" s="284" t="s">
        <v>426</v>
      </c>
      <c r="F233" s="283" t="s">
        <v>427</v>
      </c>
      <c r="G233" s="284" t="s">
        <v>79</v>
      </c>
      <c r="H233" s="285" t="str">
        <f t="shared" si="0"/>
        <v>None</v>
      </c>
      <c r="I233" s="285"/>
      <c r="J233" s="284"/>
      <c r="K233" s="284" t="s">
        <v>6</v>
      </c>
      <c r="L233" s="288"/>
      <c r="M233" s="146"/>
    </row>
    <row r="234" spans="1:13" ht="13.5" thickBot="1" x14ac:dyDescent="0.25">
      <c r="A234" s="280" t="s">
        <v>351</v>
      </c>
      <c r="B234" s="281" t="s">
        <v>473</v>
      </c>
      <c r="C234" s="282" t="s">
        <v>1315</v>
      </c>
      <c r="D234" s="283" t="s">
        <v>425</v>
      </c>
      <c r="E234" s="284" t="s">
        <v>426</v>
      </c>
      <c r="F234" s="283" t="s">
        <v>427</v>
      </c>
      <c r="G234" s="284" t="s">
        <v>79</v>
      </c>
      <c r="H234" s="285" t="str">
        <f t="shared" si="0"/>
        <v>None</v>
      </c>
      <c r="I234" s="285"/>
      <c r="J234" s="284"/>
      <c r="K234" s="284" t="s">
        <v>6</v>
      </c>
      <c r="L234" s="288"/>
      <c r="M234" s="146"/>
    </row>
    <row r="235" spans="1:13" ht="13.5" thickBot="1" x14ac:dyDescent="0.25">
      <c r="A235" s="280" t="s">
        <v>351</v>
      </c>
      <c r="B235" s="281" t="s">
        <v>473</v>
      </c>
      <c r="C235" s="282" t="s">
        <v>1316</v>
      </c>
      <c r="D235" s="283" t="s">
        <v>425</v>
      </c>
      <c r="E235" s="284" t="s">
        <v>426</v>
      </c>
      <c r="F235" s="283" t="s">
        <v>427</v>
      </c>
      <c r="G235" s="284" t="s">
        <v>79</v>
      </c>
      <c r="H235" s="285" t="str">
        <f t="shared" si="0"/>
        <v>None</v>
      </c>
      <c r="I235" s="285"/>
      <c r="J235" s="284"/>
      <c r="K235" s="284" t="s">
        <v>6</v>
      </c>
      <c r="L235" s="288"/>
      <c r="M235" s="146"/>
    </row>
    <row r="236" spans="1:13" ht="13.5" thickBot="1" x14ac:dyDescent="0.25">
      <c r="A236" s="280" t="s">
        <v>351</v>
      </c>
      <c r="B236" s="281" t="s">
        <v>473</v>
      </c>
      <c r="C236" s="282" t="s">
        <v>1317</v>
      </c>
      <c r="D236" s="283" t="s">
        <v>425</v>
      </c>
      <c r="E236" s="284" t="s">
        <v>426</v>
      </c>
      <c r="F236" s="283" t="s">
        <v>427</v>
      </c>
      <c r="G236" s="284" t="s">
        <v>79</v>
      </c>
      <c r="H236" s="285" t="str">
        <f t="shared" si="0"/>
        <v>None</v>
      </c>
      <c r="I236" s="285"/>
      <c r="J236" s="284"/>
      <c r="K236" s="284" t="s">
        <v>6</v>
      </c>
      <c r="L236" s="288"/>
      <c r="M236" s="146"/>
    </row>
    <row r="237" spans="1:13" ht="13.5" thickBot="1" x14ac:dyDescent="0.25">
      <c r="A237" s="280" t="s">
        <v>351</v>
      </c>
      <c r="B237" s="281" t="s">
        <v>473</v>
      </c>
      <c r="C237" s="282" t="s">
        <v>1318</v>
      </c>
      <c r="D237" s="283" t="s">
        <v>425</v>
      </c>
      <c r="E237" s="284" t="s">
        <v>426</v>
      </c>
      <c r="F237" s="283" t="s">
        <v>427</v>
      </c>
      <c r="G237" s="284" t="s">
        <v>79</v>
      </c>
      <c r="H237" s="285" t="str">
        <f t="shared" si="0"/>
        <v>None</v>
      </c>
      <c r="I237" s="285"/>
      <c r="J237" s="284"/>
      <c r="K237" s="284" t="s">
        <v>6</v>
      </c>
      <c r="L237" s="288"/>
      <c r="M237" s="146"/>
    </row>
    <row r="238" spans="1:13" ht="13.5" thickBot="1" x14ac:dyDescent="0.25">
      <c r="A238" s="280" t="s">
        <v>351</v>
      </c>
      <c r="B238" s="281" t="s">
        <v>473</v>
      </c>
      <c r="C238" s="282" t="s">
        <v>1319</v>
      </c>
      <c r="D238" s="283" t="s">
        <v>425</v>
      </c>
      <c r="E238" s="284" t="s">
        <v>426</v>
      </c>
      <c r="F238" s="283" t="s">
        <v>427</v>
      </c>
      <c r="G238" s="284" t="s">
        <v>79</v>
      </c>
      <c r="H238" s="285" t="str">
        <f t="shared" si="0"/>
        <v>None</v>
      </c>
      <c r="I238" s="285"/>
      <c r="J238" s="284"/>
      <c r="K238" s="284" t="s">
        <v>6</v>
      </c>
      <c r="L238" s="288"/>
      <c r="M238" s="146"/>
    </row>
    <row r="239" spans="1:13" ht="13.5" thickBot="1" x14ac:dyDescent="0.25">
      <c r="A239" s="280" t="s">
        <v>351</v>
      </c>
      <c r="B239" s="281" t="s">
        <v>473</v>
      </c>
      <c r="C239" s="282" t="s">
        <v>1320</v>
      </c>
      <c r="D239" s="283" t="s">
        <v>425</v>
      </c>
      <c r="E239" s="284" t="s">
        <v>426</v>
      </c>
      <c r="F239" s="283" t="s">
        <v>427</v>
      </c>
      <c r="G239" s="284" t="s">
        <v>79</v>
      </c>
      <c r="H239" s="285" t="str">
        <f t="shared" si="0"/>
        <v>None</v>
      </c>
      <c r="I239" s="285"/>
      <c r="J239" s="284"/>
      <c r="K239" s="284" t="s">
        <v>6</v>
      </c>
      <c r="L239" s="288"/>
      <c r="M239" s="146"/>
    </row>
  </sheetData>
  <pageMargins left="0.7" right="0.7" top="0.75" bottom="0.75" header="0.3" footer="0.3"/>
  <pageSetup paperSize="9" orientation="landscape" r:id="rId1"/>
  <headerFooter alignWithMargins="0"/>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pageSetUpPr fitToPage="1"/>
  </sheetPr>
  <dimension ref="A1:Y52"/>
  <sheetViews>
    <sheetView topLeftCell="B43" zoomScale="80" zoomScaleNormal="80" workbookViewId="0">
      <selection activeCell="V28" sqref="V28:X29"/>
    </sheetView>
  </sheetViews>
  <sheetFormatPr defaultColWidth="8.85546875" defaultRowHeight="12.75" x14ac:dyDescent="0.2"/>
  <cols>
    <col min="1" max="1" width="8.85546875" style="1"/>
    <col min="2" max="2" width="26.85546875" style="5" customWidth="1"/>
    <col min="3" max="3" width="60.85546875" style="1" customWidth="1"/>
    <col min="4" max="4" width="13.42578125" style="1" bestFit="1" customWidth="1"/>
    <col min="5" max="5" width="31.140625" style="1" customWidth="1"/>
    <col min="6" max="6" width="10.42578125" style="1" customWidth="1"/>
    <col min="7" max="10" width="3.28515625" style="1" customWidth="1"/>
    <col min="11" max="24" width="3.28515625" style="1" bestFit="1" customWidth="1"/>
    <col min="25" max="25" width="53.85546875" style="1" bestFit="1" customWidth="1"/>
    <col min="26" max="26" width="19.42578125" style="1" customWidth="1"/>
    <col min="27" max="16384" width="8.85546875" style="1"/>
  </cols>
  <sheetData>
    <row r="1" spans="1:25" ht="13.5" thickBot="1" x14ac:dyDescent="0.25">
      <c r="A1" s="8" t="s">
        <v>47</v>
      </c>
      <c r="B1" s="3"/>
      <c r="C1" s="2"/>
      <c r="D1" s="2"/>
      <c r="E1" s="2"/>
      <c r="F1" s="2"/>
      <c r="G1" s="2"/>
      <c r="H1" s="2"/>
      <c r="I1" s="2"/>
      <c r="J1" s="2"/>
      <c r="K1" s="2"/>
      <c r="L1" s="2"/>
      <c r="M1" s="2"/>
      <c r="N1" s="2"/>
      <c r="O1" s="2"/>
      <c r="P1" s="2"/>
      <c r="Q1" s="2"/>
    </row>
    <row r="2" spans="1:25" x14ac:dyDescent="0.2">
      <c r="A2" s="46"/>
      <c r="B2" s="84"/>
      <c r="C2" s="84"/>
      <c r="D2" s="84"/>
      <c r="E2" s="84"/>
      <c r="F2" s="84"/>
      <c r="G2" s="84"/>
      <c r="H2" s="84"/>
      <c r="I2" s="84"/>
      <c r="J2" s="84"/>
      <c r="K2" s="84"/>
      <c r="L2" s="84"/>
      <c r="M2" s="84"/>
      <c r="N2" s="84"/>
      <c r="O2" s="84"/>
      <c r="P2" s="84"/>
      <c r="Q2" s="84"/>
      <c r="R2" s="660" t="s">
        <v>57</v>
      </c>
      <c r="S2" s="661"/>
      <c r="T2" s="661"/>
      <c r="U2" s="661"/>
      <c r="V2" s="661"/>
      <c r="W2" s="661"/>
      <c r="X2" s="662"/>
      <c r="Y2" s="91" t="s">
        <v>50</v>
      </c>
    </row>
    <row r="3" spans="1:25" ht="13.5" thickBot="1" x14ac:dyDescent="0.25">
      <c r="A3" s="81"/>
      <c r="B3" s="82"/>
      <c r="C3" s="82"/>
      <c r="D3" s="82"/>
      <c r="E3" s="82"/>
      <c r="F3" s="82"/>
      <c r="G3" s="82"/>
      <c r="H3" s="82"/>
      <c r="I3" s="82"/>
      <c r="J3" s="82"/>
      <c r="K3" s="82"/>
      <c r="L3" s="82"/>
      <c r="M3" s="82"/>
      <c r="N3" s="82"/>
      <c r="O3" s="82"/>
      <c r="P3" s="82"/>
      <c r="Q3" s="82"/>
      <c r="R3" s="657" t="s">
        <v>58</v>
      </c>
      <c r="S3" s="658"/>
      <c r="T3" s="658"/>
      <c r="U3" s="658"/>
      <c r="V3" s="658"/>
      <c r="W3" s="658"/>
      <c r="X3" s="659"/>
      <c r="Y3" s="211">
        <v>2018</v>
      </c>
    </row>
    <row r="4" spans="1:25" ht="25.5" customHeight="1" x14ac:dyDescent="0.2">
      <c r="A4" s="655" t="s">
        <v>0</v>
      </c>
      <c r="B4" s="666" t="s">
        <v>8</v>
      </c>
      <c r="C4" s="668" t="s">
        <v>1</v>
      </c>
      <c r="D4" s="668" t="s">
        <v>5</v>
      </c>
      <c r="E4" s="666" t="s">
        <v>18</v>
      </c>
      <c r="F4" s="671" t="s">
        <v>9</v>
      </c>
      <c r="G4" s="663" t="s">
        <v>42</v>
      </c>
      <c r="H4" s="664"/>
      <c r="I4" s="665"/>
      <c r="J4" s="676" t="s">
        <v>19</v>
      </c>
      <c r="K4" s="666"/>
      <c r="L4" s="677"/>
      <c r="M4" s="655" t="s">
        <v>20</v>
      </c>
      <c r="N4" s="668"/>
      <c r="O4" s="678"/>
      <c r="P4" s="655" t="s">
        <v>21</v>
      </c>
      <c r="Q4" s="668"/>
      <c r="R4" s="675"/>
      <c r="S4" s="673" t="s">
        <v>22</v>
      </c>
      <c r="T4" s="674"/>
      <c r="U4" s="675"/>
      <c r="V4" s="673" t="s">
        <v>23</v>
      </c>
      <c r="W4" s="674"/>
      <c r="X4" s="675"/>
      <c r="Y4" s="15" t="s">
        <v>4</v>
      </c>
    </row>
    <row r="5" spans="1:25" ht="27" thickBot="1" x14ac:dyDescent="0.25">
      <c r="A5" s="656"/>
      <c r="B5" s="667"/>
      <c r="C5" s="669"/>
      <c r="D5" s="669"/>
      <c r="E5" s="670"/>
      <c r="F5" s="672"/>
      <c r="G5" s="12">
        <v>2017</v>
      </c>
      <c r="H5" s="9">
        <v>2018</v>
      </c>
      <c r="I5" s="13">
        <v>2019</v>
      </c>
      <c r="J5" s="12">
        <v>2017</v>
      </c>
      <c r="K5" s="9">
        <v>2018</v>
      </c>
      <c r="L5" s="13">
        <v>2019</v>
      </c>
      <c r="M5" s="12">
        <v>2017</v>
      </c>
      <c r="N5" s="9">
        <v>2018</v>
      </c>
      <c r="O5" s="13">
        <v>2019</v>
      </c>
      <c r="P5" s="12">
        <v>2017</v>
      </c>
      <c r="Q5" s="9">
        <v>2018</v>
      </c>
      <c r="R5" s="13">
        <v>2019</v>
      </c>
      <c r="S5" s="12">
        <v>2017</v>
      </c>
      <c r="T5" s="9">
        <v>2018</v>
      </c>
      <c r="U5" s="13">
        <v>2019</v>
      </c>
      <c r="V5" s="12">
        <v>2017</v>
      </c>
      <c r="W5" s="9">
        <v>2018</v>
      </c>
      <c r="X5" s="13">
        <v>2019</v>
      </c>
      <c r="Y5" s="14"/>
    </row>
    <row r="6" spans="1:25" x14ac:dyDescent="0.2">
      <c r="A6" s="193" t="s">
        <v>351</v>
      </c>
      <c r="B6" s="194" t="s">
        <v>352</v>
      </c>
      <c r="C6" s="193" t="s">
        <v>353</v>
      </c>
      <c r="D6" s="193" t="s">
        <v>76</v>
      </c>
      <c r="E6" s="193" t="s">
        <v>354</v>
      </c>
      <c r="F6" s="195" t="s">
        <v>243</v>
      </c>
      <c r="G6" s="196" t="s">
        <v>180</v>
      </c>
      <c r="H6" s="193" t="s">
        <v>180</v>
      </c>
      <c r="I6" s="197" t="s">
        <v>180</v>
      </c>
      <c r="J6" s="197" t="s">
        <v>180</v>
      </c>
      <c r="K6" s="197" t="s">
        <v>180</v>
      </c>
      <c r="L6" s="560" t="s">
        <v>180</v>
      </c>
      <c r="M6" s="196" t="s">
        <v>180</v>
      </c>
      <c r="N6" s="193" t="s">
        <v>180</v>
      </c>
      <c r="O6" s="197" t="s">
        <v>180</v>
      </c>
      <c r="P6" s="196" t="s">
        <v>180</v>
      </c>
      <c r="Q6" s="193" t="s">
        <v>180</v>
      </c>
      <c r="R6" s="197" t="s">
        <v>180</v>
      </c>
      <c r="S6" s="196" t="s">
        <v>180</v>
      </c>
      <c r="T6" s="193" t="s">
        <v>180</v>
      </c>
      <c r="U6" s="197" t="s">
        <v>180</v>
      </c>
      <c r="V6" s="652"/>
      <c r="W6" s="653"/>
      <c r="X6" s="654"/>
      <c r="Y6" s="561" t="s">
        <v>355</v>
      </c>
    </row>
    <row r="7" spans="1:25" x14ac:dyDescent="0.2">
      <c r="A7" s="193" t="s">
        <v>351</v>
      </c>
      <c r="B7" s="194" t="s">
        <v>356</v>
      </c>
      <c r="C7" s="193" t="s">
        <v>353</v>
      </c>
      <c r="D7" s="193" t="s">
        <v>7</v>
      </c>
      <c r="E7" s="193" t="s">
        <v>357</v>
      </c>
      <c r="F7" s="195" t="s">
        <v>243</v>
      </c>
      <c r="G7" s="196" t="s">
        <v>180</v>
      </c>
      <c r="H7" s="193" t="s">
        <v>180</v>
      </c>
      <c r="I7" s="197" t="s">
        <v>180</v>
      </c>
      <c r="J7" s="198"/>
      <c r="K7" s="195"/>
      <c r="L7" s="560"/>
      <c r="M7" s="196" t="s">
        <v>180</v>
      </c>
      <c r="N7" s="193" t="s">
        <v>180</v>
      </c>
      <c r="O7" s="197" t="s">
        <v>180</v>
      </c>
      <c r="P7" s="196"/>
      <c r="Q7" s="193"/>
      <c r="R7" s="197"/>
      <c r="S7" s="196"/>
      <c r="T7" s="193"/>
      <c r="U7" s="197"/>
      <c r="V7" s="652"/>
      <c r="W7" s="653"/>
      <c r="X7" s="654"/>
      <c r="Y7" s="561"/>
    </row>
    <row r="8" spans="1:25" x14ac:dyDescent="0.2">
      <c r="A8" s="193" t="s">
        <v>351</v>
      </c>
      <c r="B8" s="194" t="s">
        <v>358</v>
      </c>
      <c r="C8" s="193" t="s">
        <v>353</v>
      </c>
      <c r="D8" s="193" t="s">
        <v>7</v>
      </c>
      <c r="E8" s="193" t="s">
        <v>354</v>
      </c>
      <c r="F8" s="199" t="s">
        <v>359</v>
      </c>
      <c r="G8" s="200" t="s">
        <v>180</v>
      </c>
      <c r="H8" s="201" t="s">
        <v>180</v>
      </c>
      <c r="I8" s="202" t="s">
        <v>180</v>
      </c>
      <c r="J8" s="203"/>
      <c r="K8" s="204"/>
      <c r="L8" s="562"/>
      <c r="M8" s="200" t="s">
        <v>180</v>
      </c>
      <c r="N8" s="201" t="s">
        <v>180</v>
      </c>
      <c r="O8" s="202" t="s">
        <v>180</v>
      </c>
      <c r="P8" s="200" t="s">
        <v>180</v>
      </c>
      <c r="Q8" s="201" t="s">
        <v>180</v>
      </c>
      <c r="R8" s="202" t="s">
        <v>180</v>
      </c>
      <c r="S8" s="200"/>
      <c r="T8" s="201"/>
      <c r="U8" s="202"/>
      <c r="V8" s="652"/>
      <c r="W8" s="653"/>
      <c r="X8" s="654"/>
      <c r="Y8" s="561" t="s">
        <v>360</v>
      </c>
    </row>
    <row r="9" spans="1:25" x14ac:dyDescent="0.2">
      <c r="A9" s="193" t="s">
        <v>351</v>
      </c>
      <c r="B9" s="194" t="s">
        <v>361</v>
      </c>
      <c r="C9" s="193" t="s">
        <v>353</v>
      </c>
      <c r="D9" s="193" t="s">
        <v>76</v>
      </c>
      <c r="E9" s="193" t="s">
        <v>362</v>
      </c>
      <c r="F9" s="199" t="s">
        <v>359</v>
      </c>
      <c r="G9" s="200" t="s">
        <v>180</v>
      </c>
      <c r="H9" s="201" t="s">
        <v>180</v>
      </c>
      <c r="I9" s="202" t="s">
        <v>180</v>
      </c>
      <c r="J9" s="203"/>
      <c r="K9" s="204"/>
      <c r="L9" s="562"/>
      <c r="M9" s="200" t="s">
        <v>180</v>
      </c>
      <c r="N9" s="201" t="s">
        <v>180</v>
      </c>
      <c r="O9" s="202" t="s">
        <v>180</v>
      </c>
      <c r="P9" s="200" t="s">
        <v>180</v>
      </c>
      <c r="Q9" s="201" t="s">
        <v>180</v>
      </c>
      <c r="R9" s="202" t="s">
        <v>180</v>
      </c>
      <c r="S9" s="200"/>
      <c r="T9" s="201"/>
      <c r="U9" s="202"/>
      <c r="V9" s="652"/>
      <c r="W9" s="653"/>
      <c r="X9" s="654"/>
      <c r="Y9" s="561"/>
    </row>
    <row r="10" spans="1:25" x14ac:dyDescent="0.2">
      <c r="A10" s="193" t="s">
        <v>351</v>
      </c>
      <c r="B10" s="194" t="s">
        <v>363</v>
      </c>
      <c r="C10" s="193" t="s">
        <v>353</v>
      </c>
      <c r="D10" s="193" t="s">
        <v>76</v>
      </c>
      <c r="E10" s="193" t="s">
        <v>364</v>
      </c>
      <c r="F10" s="195" t="s">
        <v>365</v>
      </c>
      <c r="G10" s="196" t="s">
        <v>180</v>
      </c>
      <c r="H10" s="193" t="s">
        <v>180</v>
      </c>
      <c r="I10" s="197" t="s">
        <v>180</v>
      </c>
      <c r="J10" s="197" t="s">
        <v>180</v>
      </c>
      <c r="K10" s="197" t="s">
        <v>180</v>
      </c>
      <c r="L10" s="560" t="s">
        <v>180</v>
      </c>
      <c r="M10" s="196" t="s">
        <v>180</v>
      </c>
      <c r="N10" s="193" t="s">
        <v>180</v>
      </c>
      <c r="O10" s="197" t="s">
        <v>180</v>
      </c>
      <c r="P10" s="196" t="s">
        <v>180</v>
      </c>
      <c r="Q10" s="193" t="s">
        <v>180</v>
      </c>
      <c r="R10" s="197" t="s">
        <v>180</v>
      </c>
      <c r="S10" s="196" t="s">
        <v>180</v>
      </c>
      <c r="T10" s="193" t="s">
        <v>180</v>
      </c>
      <c r="U10" s="197" t="s">
        <v>180</v>
      </c>
      <c r="V10" s="652"/>
      <c r="W10" s="653"/>
      <c r="X10" s="654"/>
      <c r="Y10" s="561"/>
    </row>
    <row r="11" spans="1:25" x14ac:dyDescent="0.2">
      <c r="A11" s="193" t="s">
        <v>351</v>
      </c>
      <c r="B11" s="194" t="s">
        <v>363</v>
      </c>
      <c r="C11" s="193" t="s">
        <v>353</v>
      </c>
      <c r="D11" s="193" t="s">
        <v>76</v>
      </c>
      <c r="E11" s="193" t="s">
        <v>366</v>
      </c>
      <c r="F11" s="195" t="s">
        <v>365</v>
      </c>
      <c r="G11" s="196" t="s">
        <v>180</v>
      </c>
      <c r="H11" s="193" t="s">
        <v>180</v>
      </c>
      <c r="I11" s="197" t="s">
        <v>180</v>
      </c>
      <c r="J11" s="197" t="s">
        <v>180</v>
      </c>
      <c r="K11" s="197" t="s">
        <v>180</v>
      </c>
      <c r="L11" s="560" t="s">
        <v>180</v>
      </c>
      <c r="M11" s="196" t="s">
        <v>180</v>
      </c>
      <c r="N11" s="193" t="s">
        <v>180</v>
      </c>
      <c r="O11" s="197" t="s">
        <v>180</v>
      </c>
      <c r="P11" s="196" t="s">
        <v>180</v>
      </c>
      <c r="Q11" s="193" t="s">
        <v>180</v>
      </c>
      <c r="R11" s="197" t="s">
        <v>180</v>
      </c>
      <c r="S11" s="196" t="s">
        <v>180</v>
      </c>
      <c r="T11" s="193" t="s">
        <v>180</v>
      </c>
      <c r="U11" s="197" t="s">
        <v>180</v>
      </c>
      <c r="V11" s="652"/>
      <c r="W11" s="653"/>
      <c r="X11" s="654"/>
      <c r="Y11" s="561"/>
    </row>
    <row r="12" spans="1:25" x14ac:dyDescent="0.2">
      <c r="A12" s="193" t="s">
        <v>351</v>
      </c>
      <c r="B12" s="194" t="s">
        <v>363</v>
      </c>
      <c r="C12" s="193" t="s">
        <v>353</v>
      </c>
      <c r="D12" s="193" t="s">
        <v>76</v>
      </c>
      <c r="E12" s="193" t="s">
        <v>367</v>
      </c>
      <c r="F12" s="195" t="s">
        <v>365</v>
      </c>
      <c r="G12" s="196" t="s">
        <v>180</v>
      </c>
      <c r="H12" s="193" t="s">
        <v>180</v>
      </c>
      <c r="I12" s="197" t="s">
        <v>180</v>
      </c>
      <c r="J12" s="197" t="s">
        <v>180</v>
      </c>
      <c r="K12" s="197" t="s">
        <v>180</v>
      </c>
      <c r="L12" s="560" t="s">
        <v>180</v>
      </c>
      <c r="M12" s="196" t="s">
        <v>180</v>
      </c>
      <c r="N12" s="193" t="s">
        <v>180</v>
      </c>
      <c r="O12" s="197" t="s">
        <v>180</v>
      </c>
      <c r="P12" s="196" t="s">
        <v>180</v>
      </c>
      <c r="Q12" s="193" t="s">
        <v>180</v>
      </c>
      <c r="R12" s="197" t="s">
        <v>180</v>
      </c>
      <c r="S12" s="196" t="s">
        <v>180</v>
      </c>
      <c r="T12" s="193" t="s">
        <v>180</v>
      </c>
      <c r="U12" s="197" t="s">
        <v>180</v>
      </c>
      <c r="V12" s="652"/>
      <c r="W12" s="653"/>
      <c r="X12" s="654"/>
      <c r="Y12" s="561"/>
    </row>
    <row r="13" spans="1:25" x14ac:dyDescent="0.2">
      <c r="A13" s="193" t="s">
        <v>351</v>
      </c>
      <c r="B13" s="194" t="s">
        <v>363</v>
      </c>
      <c r="C13" s="193" t="s">
        <v>353</v>
      </c>
      <c r="D13" s="193" t="s">
        <v>76</v>
      </c>
      <c r="E13" s="193" t="s">
        <v>368</v>
      </c>
      <c r="F13" s="195" t="s">
        <v>365</v>
      </c>
      <c r="G13" s="196" t="s">
        <v>180</v>
      </c>
      <c r="H13" s="193" t="s">
        <v>180</v>
      </c>
      <c r="I13" s="197" t="s">
        <v>180</v>
      </c>
      <c r="J13" s="197" t="s">
        <v>180</v>
      </c>
      <c r="K13" s="197" t="s">
        <v>180</v>
      </c>
      <c r="L13" s="560" t="s">
        <v>180</v>
      </c>
      <c r="M13" s="196" t="s">
        <v>180</v>
      </c>
      <c r="N13" s="193" t="s">
        <v>180</v>
      </c>
      <c r="O13" s="197" t="s">
        <v>180</v>
      </c>
      <c r="P13" s="196" t="s">
        <v>180</v>
      </c>
      <c r="Q13" s="193" t="s">
        <v>180</v>
      </c>
      <c r="R13" s="197" t="s">
        <v>180</v>
      </c>
      <c r="S13" s="196" t="s">
        <v>180</v>
      </c>
      <c r="T13" s="193" t="s">
        <v>180</v>
      </c>
      <c r="U13" s="197" t="s">
        <v>180</v>
      </c>
      <c r="V13" s="652"/>
      <c r="W13" s="653"/>
      <c r="X13" s="654"/>
      <c r="Y13" s="563" t="s">
        <v>369</v>
      </c>
    </row>
    <row r="14" spans="1:25" x14ac:dyDescent="0.2">
      <c r="A14" s="193" t="s">
        <v>351</v>
      </c>
      <c r="B14" s="194" t="s">
        <v>77</v>
      </c>
      <c r="C14" s="193" t="s">
        <v>353</v>
      </c>
      <c r="D14" s="193" t="s">
        <v>76</v>
      </c>
      <c r="E14" s="193" t="s">
        <v>370</v>
      </c>
      <c r="F14" s="195" t="s">
        <v>365</v>
      </c>
      <c r="G14" s="196" t="s">
        <v>180</v>
      </c>
      <c r="H14" s="193" t="s">
        <v>180</v>
      </c>
      <c r="I14" s="197" t="s">
        <v>180</v>
      </c>
      <c r="J14" s="197" t="s">
        <v>180</v>
      </c>
      <c r="K14" s="197" t="s">
        <v>180</v>
      </c>
      <c r="L14" s="560" t="s">
        <v>180</v>
      </c>
      <c r="M14" s="196" t="s">
        <v>180</v>
      </c>
      <c r="N14" s="193" t="s">
        <v>180</v>
      </c>
      <c r="O14" s="197" t="s">
        <v>180</v>
      </c>
      <c r="P14" s="196" t="s">
        <v>180</v>
      </c>
      <c r="Q14" s="193" t="s">
        <v>180</v>
      </c>
      <c r="R14" s="197" t="s">
        <v>180</v>
      </c>
      <c r="S14" s="196" t="s">
        <v>180</v>
      </c>
      <c r="T14" s="193" t="s">
        <v>180</v>
      </c>
      <c r="U14" s="197" t="s">
        <v>180</v>
      </c>
      <c r="V14" s="652"/>
      <c r="W14" s="653"/>
      <c r="X14" s="654"/>
      <c r="Y14" s="561"/>
    </row>
    <row r="15" spans="1:25" x14ac:dyDescent="0.2">
      <c r="A15" s="193" t="s">
        <v>351</v>
      </c>
      <c r="B15" s="194" t="s">
        <v>77</v>
      </c>
      <c r="C15" s="193" t="s">
        <v>353</v>
      </c>
      <c r="D15" s="193" t="s">
        <v>76</v>
      </c>
      <c r="E15" s="193" t="s">
        <v>367</v>
      </c>
      <c r="F15" s="195" t="s">
        <v>365</v>
      </c>
      <c r="G15" s="196" t="s">
        <v>180</v>
      </c>
      <c r="H15" s="193" t="s">
        <v>180</v>
      </c>
      <c r="I15" s="197" t="s">
        <v>180</v>
      </c>
      <c r="J15" s="197" t="s">
        <v>180</v>
      </c>
      <c r="K15" s="197" t="s">
        <v>180</v>
      </c>
      <c r="L15" s="560" t="s">
        <v>180</v>
      </c>
      <c r="M15" s="196" t="s">
        <v>180</v>
      </c>
      <c r="N15" s="193" t="s">
        <v>180</v>
      </c>
      <c r="O15" s="197" t="s">
        <v>180</v>
      </c>
      <c r="P15" s="196" t="s">
        <v>180</v>
      </c>
      <c r="Q15" s="193" t="s">
        <v>180</v>
      </c>
      <c r="R15" s="197" t="s">
        <v>180</v>
      </c>
      <c r="S15" s="196" t="s">
        <v>180</v>
      </c>
      <c r="T15" s="193" t="s">
        <v>180</v>
      </c>
      <c r="U15" s="197" t="s">
        <v>180</v>
      </c>
      <c r="V15" s="652"/>
      <c r="W15" s="653"/>
      <c r="X15" s="654"/>
      <c r="Y15" s="561"/>
    </row>
    <row r="16" spans="1:25" x14ac:dyDescent="0.2">
      <c r="A16" s="193" t="s">
        <v>351</v>
      </c>
      <c r="B16" s="194" t="s">
        <v>77</v>
      </c>
      <c r="C16" s="193" t="s">
        <v>353</v>
      </c>
      <c r="D16" s="193" t="s">
        <v>76</v>
      </c>
      <c r="E16" s="193" t="s">
        <v>371</v>
      </c>
      <c r="F16" s="195" t="s">
        <v>365</v>
      </c>
      <c r="G16" s="196" t="s">
        <v>180</v>
      </c>
      <c r="H16" s="193" t="s">
        <v>180</v>
      </c>
      <c r="I16" s="197" t="s">
        <v>180</v>
      </c>
      <c r="J16" s="197" t="s">
        <v>180</v>
      </c>
      <c r="K16" s="197" t="s">
        <v>180</v>
      </c>
      <c r="L16" s="560" t="s">
        <v>180</v>
      </c>
      <c r="M16" s="196" t="s">
        <v>180</v>
      </c>
      <c r="N16" s="193" t="s">
        <v>180</v>
      </c>
      <c r="O16" s="197" t="s">
        <v>180</v>
      </c>
      <c r="P16" s="196" t="s">
        <v>180</v>
      </c>
      <c r="Q16" s="193" t="s">
        <v>180</v>
      </c>
      <c r="R16" s="197" t="s">
        <v>180</v>
      </c>
      <c r="S16" s="196" t="s">
        <v>180</v>
      </c>
      <c r="T16" s="193" t="s">
        <v>180</v>
      </c>
      <c r="U16" s="197" t="s">
        <v>180</v>
      </c>
      <c r="V16" s="652"/>
      <c r="W16" s="653"/>
      <c r="X16" s="654"/>
      <c r="Y16" s="561"/>
    </row>
    <row r="17" spans="1:25" x14ac:dyDescent="0.2">
      <c r="A17" s="193" t="s">
        <v>351</v>
      </c>
      <c r="B17" s="194" t="s">
        <v>372</v>
      </c>
      <c r="C17" s="193" t="s">
        <v>353</v>
      </c>
      <c r="D17" s="193" t="s">
        <v>7</v>
      </c>
      <c r="E17" s="193" t="s">
        <v>373</v>
      </c>
      <c r="F17" s="195" t="s">
        <v>243</v>
      </c>
      <c r="G17" s="196" t="s">
        <v>180</v>
      </c>
      <c r="H17" s="193" t="s">
        <v>180</v>
      </c>
      <c r="I17" s="197" t="s">
        <v>180</v>
      </c>
      <c r="J17" s="205"/>
      <c r="K17" s="206"/>
      <c r="L17" s="564"/>
      <c r="M17" s="196" t="s">
        <v>180</v>
      </c>
      <c r="N17" s="193" t="s">
        <v>180</v>
      </c>
      <c r="O17" s="197" t="s">
        <v>180</v>
      </c>
      <c r="P17" s="196" t="s">
        <v>180</v>
      </c>
      <c r="Q17" s="193" t="s">
        <v>180</v>
      </c>
      <c r="R17" s="197" t="s">
        <v>180</v>
      </c>
      <c r="S17" s="196"/>
      <c r="T17" s="193"/>
      <c r="U17" s="197"/>
      <c r="V17" s="652"/>
      <c r="W17" s="653"/>
      <c r="X17" s="654"/>
      <c r="Y17" s="561"/>
    </row>
    <row r="18" spans="1:25" x14ac:dyDescent="0.2">
      <c r="A18" s="193" t="s">
        <v>351</v>
      </c>
      <c r="B18" s="194" t="s">
        <v>374</v>
      </c>
      <c r="C18" s="193" t="s">
        <v>353</v>
      </c>
      <c r="D18" s="193" t="s">
        <v>7</v>
      </c>
      <c r="E18" s="193" t="s">
        <v>362</v>
      </c>
      <c r="F18" s="199" t="s">
        <v>359</v>
      </c>
      <c r="G18" s="200" t="s">
        <v>180</v>
      </c>
      <c r="H18" s="201" t="s">
        <v>180</v>
      </c>
      <c r="I18" s="202" t="s">
        <v>180</v>
      </c>
      <c r="J18" s="203"/>
      <c r="K18" s="204"/>
      <c r="L18" s="562"/>
      <c r="M18" s="200" t="s">
        <v>180</v>
      </c>
      <c r="N18" s="201" t="s">
        <v>180</v>
      </c>
      <c r="O18" s="202" t="s">
        <v>180</v>
      </c>
      <c r="P18" s="200" t="s">
        <v>180</v>
      </c>
      <c r="Q18" s="201" t="s">
        <v>180</v>
      </c>
      <c r="R18" s="202" t="s">
        <v>180</v>
      </c>
      <c r="S18" s="201"/>
      <c r="T18" s="201"/>
      <c r="U18" s="202"/>
      <c r="V18" s="652"/>
      <c r="W18" s="653"/>
      <c r="X18" s="654"/>
      <c r="Y18" s="561"/>
    </row>
    <row r="19" spans="1:25" x14ac:dyDescent="0.2">
      <c r="A19" s="193" t="s">
        <v>351</v>
      </c>
      <c r="B19" s="194" t="s">
        <v>375</v>
      </c>
      <c r="C19" s="193" t="s">
        <v>353</v>
      </c>
      <c r="D19" s="193" t="s">
        <v>76</v>
      </c>
      <c r="E19" s="193" t="s">
        <v>376</v>
      </c>
      <c r="F19" s="195" t="s">
        <v>243</v>
      </c>
      <c r="G19" s="196" t="s">
        <v>180</v>
      </c>
      <c r="H19" s="193" t="s">
        <v>180</v>
      </c>
      <c r="I19" s="197" t="s">
        <v>180</v>
      </c>
      <c r="J19" s="197" t="s">
        <v>180</v>
      </c>
      <c r="K19" s="197" t="s">
        <v>180</v>
      </c>
      <c r="L19" s="560" t="s">
        <v>180</v>
      </c>
      <c r="M19" s="196" t="s">
        <v>180</v>
      </c>
      <c r="N19" s="193" t="s">
        <v>180</v>
      </c>
      <c r="O19" s="197" t="s">
        <v>180</v>
      </c>
      <c r="P19" s="196" t="s">
        <v>180</v>
      </c>
      <c r="Q19" s="193" t="s">
        <v>180</v>
      </c>
      <c r="R19" s="197" t="s">
        <v>180</v>
      </c>
      <c r="S19" s="196" t="s">
        <v>180</v>
      </c>
      <c r="T19" s="193" t="s">
        <v>180</v>
      </c>
      <c r="U19" s="197" t="s">
        <v>180</v>
      </c>
      <c r="V19" s="652"/>
      <c r="W19" s="653"/>
      <c r="X19" s="654"/>
      <c r="Y19" s="561"/>
    </row>
    <row r="20" spans="1:25" x14ac:dyDescent="0.2">
      <c r="A20" s="193" t="s">
        <v>351</v>
      </c>
      <c r="B20" s="194" t="s">
        <v>375</v>
      </c>
      <c r="C20" s="193" t="s">
        <v>353</v>
      </c>
      <c r="D20" s="193" t="s">
        <v>76</v>
      </c>
      <c r="E20" s="193" t="s">
        <v>377</v>
      </c>
      <c r="F20" s="195" t="s">
        <v>243</v>
      </c>
      <c r="G20" s="196" t="s">
        <v>180</v>
      </c>
      <c r="H20" s="193" t="s">
        <v>180</v>
      </c>
      <c r="I20" s="197" t="s">
        <v>180</v>
      </c>
      <c r="J20" s="197" t="s">
        <v>180</v>
      </c>
      <c r="K20" s="197" t="s">
        <v>180</v>
      </c>
      <c r="L20" s="560" t="s">
        <v>180</v>
      </c>
      <c r="M20" s="196" t="s">
        <v>180</v>
      </c>
      <c r="N20" s="193" t="s">
        <v>180</v>
      </c>
      <c r="O20" s="197" t="s">
        <v>180</v>
      </c>
      <c r="P20" s="196" t="s">
        <v>180</v>
      </c>
      <c r="Q20" s="193" t="s">
        <v>180</v>
      </c>
      <c r="R20" s="197" t="s">
        <v>180</v>
      </c>
      <c r="S20" s="196" t="s">
        <v>180</v>
      </c>
      <c r="T20" s="193" t="s">
        <v>180</v>
      </c>
      <c r="U20" s="197" t="s">
        <v>180</v>
      </c>
      <c r="V20" s="652"/>
      <c r="W20" s="653"/>
      <c r="X20" s="654"/>
      <c r="Y20" s="561"/>
    </row>
    <row r="21" spans="1:25" x14ac:dyDescent="0.2">
      <c r="A21" s="193" t="s">
        <v>351</v>
      </c>
      <c r="B21" s="194" t="s">
        <v>378</v>
      </c>
      <c r="C21" s="193" t="s">
        <v>353</v>
      </c>
      <c r="D21" s="193" t="s">
        <v>76</v>
      </c>
      <c r="E21" s="193" t="s">
        <v>379</v>
      </c>
      <c r="F21" s="195" t="s">
        <v>380</v>
      </c>
      <c r="G21" s="196" t="s">
        <v>381</v>
      </c>
      <c r="H21" s="196" t="s">
        <v>381</v>
      </c>
      <c r="I21" s="196" t="s">
        <v>381</v>
      </c>
      <c r="J21" s="196" t="s">
        <v>381</v>
      </c>
      <c r="K21" s="196" t="s">
        <v>381</v>
      </c>
      <c r="L21" s="565" t="s">
        <v>381</v>
      </c>
      <c r="M21" s="196" t="s">
        <v>381</v>
      </c>
      <c r="N21" s="196" t="s">
        <v>381</v>
      </c>
      <c r="O21" s="196" t="s">
        <v>381</v>
      </c>
      <c r="P21" s="196" t="s">
        <v>243</v>
      </c>
      <c r="Q21" s="196" t="s">
        <v>243</v>
      </c>
      <c r="R21" s="196" t="s">
        <v>243</v>
      </c>
      <c r="S21" s="196" t="s">
        <v>243</v>
      </c>
      <c r="T21" s="196" t="s">
        <v>243</v>
      </c>
      <c r="U21" s="196" t="s">
        <v>243</v>
      </c>
      <c r="V21" s="652"/>
      <c r="W21" s="653"/>
      <c r="X21" s="654"/>
      <c r="Y21" s="561" t="s">
        <v>382</v>
      </c>
    </row>
    <row r="22" spans="1:25" x14ac:dyDescent="0.2">
      <c r="A22" s="193" t="s">
        <v>351</v>
      </c>
      <c r="B22" s="194" t="s">
        <v>378</v>
      </c>
      <c r="C22" s="193" t="s">
        <v>353</v>
      </c>
      <c r="D22" s="193" t="s">
        <v>76</v>
      </c>
      <c r="E22" s="193" t="s">
        <v>383</v>
      </c>
      <c r="F22" s="195" t="s">
        <v>380</v>
      </c>
      <c r="G22" s="196" t="s">
        <v>381</v>
      </c>
      <c r="H22" s="196" t="s">
        <v>381</v>
      </c>
      <c r="I22" s="196" t="s">
        <v>381</v>
      </c>
      <c r="J22" s="196" t="s">
        <v>381</v>
      </c>
      <c r="K22" s="196" t="s">
        <v>381</v>
      </c>
      <c r="L22" s="565" t="s">
        <v>381</v>
      </c>
      <c r="M22" s="196" t="s">
        <v>381</v>
      </c>
      <c r="N22" s="196" t="s">
        <v>381</v>
      </c>
      <c r="O22" s="196" t="s">
        <v>381</v>
      </c>
      <c r="P22" s="196" t="s">
        <v>243</v>
      </c>
      <c r="Q22" s="196" t="s">
        <v>243</v>
      </c>
      <c r="R22" s="196" t="s">
        <v>243</v>
      </c>
      <c r="S22" s="196" t="s">
        <v>243</v>
      </c>
      <c r="T22" s="196" t="s">
        <v>243</v>
      </c>
      <c r="U22" s="196" t="s">
        <v>243</v>
      </c>
      <c r="V22" s="652"/>
      <c r="W22" s="653"/>
      <c r="X22" s="654"/>
      <c r="Y22" s="561" t="s">
        <v>382</v>
      </c>
    </row>
    <row r="23" spans="1:25" x14ac:dyDescent="0.2">
      <c r="A23" s="193" t="s">
        <v>351</v>
      </c>
      <c r="B23" s="194" t="s">
        <v>384</v>
      </c>
      <c r="C23" s="193" t="s">
        <v>353</v>
      </c>
      <c r="D23" s="193" t="s">
        <v>76</v>
      </c>
      <c r="E23" s="193" t="s">
        <v>379</v>
      </c>
      <c r="F23" s="195" t="s">
        <v>380</v>
      </c>
      <c r="G23" s="196" t="s">
        <v>381</v>
      </c>
      <c r="H23" s="196" t="s">
        <v>381</v>
      </c>
      <c r="I23" s="196" t="s">
        <v>381</v>
      </c>
      <c r="J23" s="196" t="s">
        <v>381</v>
      </c>
      <c r="K23" s="196" t="s">
        <v>381</v>
      </c>
      <c r="L23" s="565" t="s">
        <v>381</v>
      </c>
      <c r="M23" s="196" t="s">
        <v>381</v>
      </c>
      <c r="N23" s="196" t="s">
        <v>381</v>
      </c>
      <c r="O23" s="196" t="s">
        <v>381</v>
      </c>
      <c r="P23" s="196" t="s">
        <v>243</v>
      </c>
      <c r="Q23" s="196" t="s">
        <v>243</v>
      </c>
      <c r="R23" s="196" t="s">
        <v>243</v>
      </c>
      <c r="S23" s="196" t="s">
        <v>243</v>
      </c>
      <c r="T23" s="196" t="s">
        <v>243</v>
      </c>
      <c r="U23" s="196" t="s">
        <v>243</v>
      </c>
      <c r="V23" s="652"/>
      <c r="W23" s="653"/>
      <c r="X23" s="654"/>
      <c r="Y23" s="561" t="s">
        <v>382</v>
      </c>
    </row>
    <row r="24" spans="1:25" x14ac:dyDescent="0.2">
      <c r="A24" s="193" t="s">
        <v>351</v>
      </c>
      <c r="B24" s="194" t="s">
        <v>384</v>
      </c>
      <c r="C24" s="193" t="s">
        <v>353</v>
      </c>
      <c r="D24" s="193" t="s">
        <v>76</v>
      </c>
      <c r="E24" s="193" t="s">
        <v>383</v>
      </c>
      <c r="F24" s="195" t="s">
        <v>380</v>
      </c>
      <c r="G24" s="196" t="s">
        <v>381</v>
      </c>
      <c r="H24" s="196" t="s">
        <v>381</v>
      </c>
      <c r="I24" s="196" t="s">
        <v>381</v>
      </c>
      <c r="J24" s="196" t="s">
        <v>381</v>
      </c>
      <c r="K24" s="196" t="s">
        <v>381</v>
      </c>
      <c r="L24" s="565" t="s">
        <v>381</v>
      </c>
      <c r="M24" s="196" t="s">
        <v>381</v>
      </c>
      <c r="N24" s="196" t="s">
        <v>381</v>
      </c>
      <c r="O24" s="196" t="s">
        <v>381</v>
      </c>
      <c r="P24" s="196" t="s">
        <v>243</v>
      </c>
      <c r="Q24" s="196" t="s">
        <v>243</v>
      </c>
      <c r="R24" s="196" t="s">
        <v>243</v>
      </c>
      <c r="S24" s="196" t="s">
        <v>243</v>
      </c>
      <c r="T24" s="196" t="s">
        <v>243</v>
      </c>
      <c r="U24" s="196" t="s">
        <v>243</v>
      </c>
      <c r="V24" s="652"/>
      <c r="W24" s="653"/>
      <c r="X24" s="654"/>
      <c r="Y24" s="561" t="s">
        <v>382</v>
      </c>
    </row>
    <row r="25" spans="1:25" x14ac:dyDescent="0.2">
      <c r="A25" s="193" t="s">
        <v>351</v>
      </c>
      <c r="B25" s="194" t="s">
        <v>385</v>
      </c>
      <c r="C25" s="193" t="s">
        <v>353</v>
      </c>
      <c r="D25" s="193" t="s">
        <v>76</v>
      </c>
      <c r="E25" s="193" t="s">
        <v>370</v>
      </c>
      <c r="F25" s="195" t="s">
        <v>380</v>
      </c>
      <c r="G25" s="196" t="s">
        <v>381</v>
      </c>
      <c r="H25" s="196" t="s">
        <v>381</v>
      </c>
      <c r="I25" s="196" t="s">
        <v>381</v>
      </c>
      <c r="J25" s="196" t="s">
        <v>381</v>
      </c>
      <c r="K25" s="196" t="s">
        <v>381</v>
      </c>
      <c r="L25" s="565" t="s">
        <v>381</v>
      </c>
      <c r="M25" s="196" t="s">
        <v>381</v>
      </c>
      <c r="N25" s="196" t="s">
        <v>381</v>
      </c>
      <c r="O25" s="196" t="s">
        <v>381</v>
      </c>
      <c r="P25" s="196" t="s">
        <v>243</v>
      </c>
      <c r="Q25" s="196" t="s">
        <v>243</v>
      </c>
      <c r="R25" s="196" t="s">
        <v>243</v>
      </c>
      <c r="S25" s="196" t="s">
        <v>243</v>
      </c>
      <c r="T25" s="196" t="s">
        <v>243</v>
      </c>
      <c r="U25" s="196" t="s">
        <v>243</v>
      </c>
      <c r="V25" s="652"/>
      <c r="W25" s="653"/>
      <c r="X25" s="654"/>
      <c r="Y25" s="561" t="s">
        <v>386</v>
      </c>
    </row>
    <row r="26" spans="1:25" x14ac:dyDescent="0.2">
      <c r="A26" s="193" t="s">
        <v>351</v>
      </c>
      <c r="B26" s="194" t="s">
        <v>385</v>
      </c>
      <c r="C26" s="193" t="s">
        <v>353</v>
      </c>
      <c r="D26" s="193" t="s">
        <v>76</v>
      </c>
      <c r="E26" s="193" t="s">
        <v>387</v>
      </c>
      <c r="F26" s="195" t="s">
        <v>380</v>
      </c>
      <c r="G26" s="196" t="s">
        <v>381</v>
      </c>
      <c r="H26" s="196" t="s">
        <v>381</v>
      </c>
      <c r="I26" s="196" t="s">
        <v>381</v>
      </c>
      <c r="J26" s="196" t="s">
        <v>381</v>
      </c>
      <c r="K26" s="196" t="s">
        <v>381</v>
      </c>
      <c r="L26" s="565" t="s">
        <v>381</v>
      </c>
      <c r="M26" s="196" t="s">
        <v>381</v>
      </c>
      <c r="N26" s="196" t="s">
        <v>381</v>
      </c>
      <c r="O26" s="196" t="s">
        <v>381</v>
      </c>
      <c r="P26" s="196"/>
      <c r="Q26" s="193"/>
      <c r="R26" s="197"/>
      <c r="S26" s="196"/>
      <c r="T26" s="193"/>
      <c r="U26" s="197"/>
      <c r="V26" s="652"/>
      <c r="W26" s="653"/>
      <c r="X26" s="654"/>
      <c r="Y26" s="561" t="s">
        <v>386</v>
      </c>
    </row>
    <row r="27" spans="1:25" x14ac:dyDescent="0.2">
      <c r="A27" s="193" t="s">
        <v>351</v>
      </c>
      <c r="B27" s="194" t="s">
        <v>385</v>
      </c>
      <c r="C27" s="193" t="s">
        <v>353</v>
      </c>
      <c r="D27" s="193" t="s">
        <v>76</v>
      </c>
      <c r="E27" s="193" t="s">
        <v>367</v>
      </c>
      <c r="F27" s="195" t="s">
        <v>380</v>
      </c>
      <c r="G27" s="196" t="s">
        <v>381</v>
      </c>
      <c r="H27" s="196" t="s">
        <v>381</v>
      </c>
      <c r="I27" s="196" t="s">
        <v>381</v>
      </c>
      <c r="J27" s="196" t="s">
        <v>381</v>
      </c>
      <c r="K27" s="196" t="s">
        <v>381</v>
      </c>
      <c r="L27" s="565" t="s">
        <v>381</v>
      </c>
      <c r="M27" s="196" t="s">
        <v>381</v>
      </c>
      <c r="N27" s="196" t="s">
        <v>381</v>
      </c>
      <c r="O27" s="196" t="s">
        <v>381</v>
      </c>
      <c r="P27" s="196" t="s">
        <v>243</v>
      </c>
      <c r="Q27" s="196" t="s">
        <v>243</v>
      </c>
      <c r="R27" s="196" t="s">
        <v>243</v>
      </c>
      <c r="S27" s="196" t="s">
        <v>243</v>
      </c>
      <c r="T27" s="196" t="s">
        <v>243</v>
      </c>
      <c r="U27" s="196" t="s">
        <v>243</v>
      </c>
      <c r="V27" s="652"/>
      <c r="W27" s="653"/>
      <c r="X27" s="654"/>
      <c r="Y27" s="561" t="s">
        <v>386</v>
      </c>
    </row>
    <row r="28" spans="1:25" x14ac:dyDescent="0.2">
      <c r="A28" s="193" t="s">
        <v>351</v>
      </c>
      <c r="B28" s="194" t="s">
        <v>385</v>
      </c>
      <c r="C28" s="193" t="s">
        <v>353</v>
      </c>
      <c r="D28" s="193" t="s">
        <v>76</v>
      </c>
      <c r="E28" s="193" t="s">
        <v>388</v>
      </c>
      <c r="F28" s="195" t="s">
        <v>380</v>
      </c>
      <c r="G28" s="196" t="s">
        <v>381</v>
      </c>
      <c r="H28" s="196" t="s">
        <v>381</v>
      </c>
      <c r="I28" s="196" t="s">
        <v>381</v>
      </c>
      <c r="J28" s="196" t="s">
        <v>381</v>
      </c>
      <c r="K28" s="196" t="s">
        <v>381</v>
      </c>
      <c r="L28" s="565" t="s">
        <v>381</v>
      </c>
      <c r="M28" s="196" t="s">
        <v>381</v>
      </c>
      <c r="N28" s="196" t="s">
        <v>381</v>
      </c>
      <c r="O28" s="196" t="s">
        <v>381</v>
      </c>
      <c r="P28" s="196" t="s">
        <v>243</v>
      </c>
      <c r="Q28" s="196" t="s">
        <v>243</v>
      </c>
      <c r="R28" s="196" t="s">
        <v>243</v>
      </c>
      <c r="S28" s="196" t="s">
        <v>243</v>
      </c>
      <c r="T28" s="196" t="s">
        <v>243</v>
      </c>
      <c r="U28" s="196" t="s">
        <v>243</v>
      </c>
      <c r="V28" s="652"/>
      <c r="W28" s="653"/>
      <c r="X28" s="654"/>
      <c r="Y28" s="561" t="s">
        <v>386</v>
      </c>
    </row>
    <row r="29" spans="1:25" x14ac:dyDescent="0.2">
      <c r="A29" s="193" t="s">
        <v>351</v>
      </c>
      <c r="B29" s="194" t="s">
        <v>389</v>
      </c>
      <c r="C29" s="193" t="s">
        <v>353</v>
      </c>
      <c r="D29" s="193" t="s">
        <v>76</v>
      </c>
      <c r="E29" s="193" t="s">
        <v>370</v>
      </c>
      <c r="F29" s="195" t="s">
        <v>380</v>
      </c>
      <c r="G29" s="196" t="s">
        <v>381</v>
      </c>
      <c r="H29" s="196" t="s">
        <v>381</v>
      </c>
      <c r="I29" s="196" t="s">
        <v>381</v>
      </c>
      <c r="J29" s="196" t="s">
        <v>381</v>
      </c>
      <c r="K29" s="196" t="s">
        <v>381</v>
      </c>
      <c r="L29" s="565" t="s">
        <v>381</v>
      </c>
      <c r="M29" s="196" t="s">
        <v>381</v>
      </c>
      <c r="N29" s="196" t="s">
        <v>381</v>
      </c>
      <c r="O29" s="196" t="s">
        <v>381</v>
      </c>
      <c r="P29" s="196" t="s">
        <v>243</v>
      </c>
      <c r="Q29" s="196" t="s">
        <v>243</v>
      </c>
      <c r="R29" s="196" t="s">
        <v>243</v>
      </c>
      <c r="S29" s="196" t="s">
        <v>243</v>
      </c>
      <c r="T29" s="196" t="s">
        <v>243</v>
      </c>
      <c r="U29" s="196" t="s">
        <v>243</v>
      </c>
      <c r="V29" s="652"/>
      <c r="W29" s="653"/>
      <c r="X29" s="654"/>
      <c r="Y29" s="561" t="s">
        <v>386</v>
      </c>
    </row>
    <row r="30" spans="1:25" x14ac:dyDescent="0.2">
      <c r="A30" s="193" t="s">
        <v>351</v>
      </c>
      <c r="B30" s="194" t="s">
        <v>389</v>
      </c>
      <c r="C30" s="193" t="s">
        <v>353</v>
      </c>
      <c r="D30" s="193" t="s">
        <v>76</v>
      </c>
      <c r="E30" s="193" t="s">
        <v>367</v>
      </c>
      <c r="F30" s="195" t="s">
        <v>380</v>
      </c>
      <c r="G30" s="196" t="s">
        <v>381</v>
      </c>
      <c r="H30" s="196" t="s">
        <v>381</v>
      </c>
      <c r="I30" s="196" t="s">
        <v>381</v>
      </c>
      <c r="J30" s="196" t="s">
        <v>381</v>
      </c>
      <c r="K30" s="196" t="s">
        <v>381</v>
      </c>
      <c r="L30" s="565" t="s">
        <v>381</v>
      </c>
      <c r="M30" s="196" t="s">
        <v>381</v>
      </c>
      <c r="N30" s="196" t="s">
        <v>381</v>
      </c>
      <c r="O30" s="196" t="s">
        <v>381</v>
      </c>
      <c r="P30" s="196" t="s">
        <v>243</v>
      </c>
      <c r="Q30" s="196" t="s">
        <v>243</v>
      </c>
      <c r="R30" s="196" t="s">
        <v>243</v>
      </c>
      <c r="S30" s="196" t="s">
        <v>243</v>
      </c>
      <c r="T30" s="196" t="s">
        <v>243</v>
      </c>
      <c r="U30" s="196" t="s">
        <v>243</v>
      </c>
      <c r="V30" s="652"/>
      <c r="W30" s="653"/>
      <c r="X30" s="654"/>
      <c r="Y30" s="561" t="s">
        <v>386</v>
      </c>
    </row>
    <row r="31" spans="1:25" x14ac:dyDescent="0.2">
      <c r="A31" s="193" t="s">
        <v>351</v>
      </c>
      <c r="B31" s="194" t="s">
        <v>389</v>
      </c>
      <c r="C31" s="193" t="s">
        <v>353</v>
      </c>
      <c r="D31" s="193" t="s">
        <v>76</v>
      </c>
      <c r="E31" s="193" t="s">
        <v>371</v>
      </c>
      <c r="F31" s="195" t="s">
        <v>380</v>
      </c>
      <c r="G31" s="196" t="s">
        <v>381</v>
      </c>
      <c r="H31" s="196" t="s">
        <v>381</v>
      </c>
      <c r="I31" s="196" t="s">
        <v>381</v>
      </c>
      <c r="J31" s="196" t="s">
        <v>381</v>
      </c>
      <c r="K31" s="196" t="s">
        <v>381</v>
      </c>
      <c r="L31" s="565" t="s">
        <v>381</v>
      </c>
      <c r="M31" s="196" t="s">
        <v>381</v>
      </c>
      <c r="N31" s="196" t="s">
        <v>381</v>
      </c>
      <c r="O31" s="196" t="s">
        <v>381</v>
      </c>
      <c r="P31" s="196" t="s">
        <v>243</v>
      </c>
      <c r="Q31" s="196" t="s">
        <v>243</v>
      </c>
      <c r="R31" s="196" t="s">
        <v>243</v>
      </c>
      <c r="S31" s="196" t="s">
        <v>243</v>
      </c>
      <c r="T31" s="196" t="s">
        <v>243</v>
      </c>
      <c r="U31" s="196" t="s">
        <v>243</v>
      </c>
      <c r="V31" s="652"/>
      <c r="W31" s="653"/>
      <c r="X31" s="654"/>
      <c r="Y31" s="561" t="s">
        <v>386</v>
      </c>
    </row>
    <row r="32" spans="1:25" x14ac:dyDescent="0.2">
      <c r="A32" s="193" t="s">
        <v>351</v>
      </c>
      <c r="B32" s="194" t="s">
        <v>390</v>
      </c>
      <c r="C32" s="193" t="s">
        <v>353</v>
      </c>
      <c r="D32" s="193" t="s">
        <v>76</v>
      </c>
      <c r="E32" s="193" t="s">
        <v>391</v>
      </c>
      <c r="F32" s="195" t="s">
        <v>380</v>
      </c>
      <c r="G32" s="196" t="s">
        <v>381</v>
      </c>
      <c r="H32" s="196" t="s">
        <v>381</v>
      </c>
      <c r="I32" s="196" t="s">
        <v>381</v>
      </c>
      <c r="J32" s="196" t="s">
        <v>381</v>
      </c>
      <c r="K32" s="196" t="s">
        <v>381</v>
      </c>
      <c r="L32" s="565" t="s">
        <v>381</v>
      </c>
      <c r="M32" s="196" t="s">
        <v>381</v>
      </c>
      <c r="N32" s="196" t="s">
        <v>381</v>
      </c>
      <c r="O32" s="196" t="s">
        <v>381</v>
      </c>
      <c r="P32" s="196" t="s">
        <v>243</v>
      </c>
      <c r="Q32" s="196" t="s">
        <v>243</v>
      </c>
      <c r="R32" s="196" t="s">
        <v>243</v>
      </c>
      <c r="S32" s="196" t="s">
        <v>243</v>
      </c>
      <c r="T32" s="196" t="s">
        <v>243</v>
      </c>
      <c r="U32" s="196" t="s">
        <v>243</v>
      </c>
      <c r="V32" s="652"/>
      <c r="W32" s="653"/>
      <c r="X32" s="654"/>
      <c r="Y32" s="561" t="s">
        <v>392</v>
      </c>
    </row>
    <row r="33" spans="1:25" x14ac:dyDescent="0.2">
      <c r="A33" s="193" t="s">
        <v>351</v>
      </c>
      <c r="B33" s="194" t="s">
        <v>393</v>
      </c>
      <c r="C33" s="193" t="s">
        <v>353</v>
      </c>
      <c r="D33" s="193" t="s">
        <v>76</v>
      </c>
      <c r="E33" s="193" t="s">
        <v>394</v>
      </c>
      <c r="F33" s="195" t="s">
        <v>365</v>
      </c>
      <c r="G33" s="196" t="s">
        <v>180</v>
      </c>
      <c r="H33" s="193" t="s">
        <v>180</v>
      </c>
      <c r="I33" s="197" t="s">
        <v>180</v>
      </c>
      <c r="J33" s="197" t="s">
        <v>180</v>
      </c>
      <c r="K33" s="197" t="s">
        <v>180</v>
      </c>
      <c r="L33" s="560" t="s">
        <v>180</v>
      </c>
      <c r="M33" s="196" t="s">
        <v>180</v>
      </c>
      <c r="N33" s="193" t="s">
        <v>180</v>
      </c>
      <c r="O33" s="197" t="s">
        <v>180</v>
      </c>
      <c r="P33" s="196" t="s">
        <v>180</v>
      </c>
      <c r="Q33" s="193" t="s">
        <v>180</v>
      </c>
      <c r="R33" s="197" t="s">
        <v>180</v>
      </c>
      <c r="S33" s="196" t="s">
        <v>180</v>
      </c>
      <c r="T33" s="193" t="s">
        <v>180</v>
      </c>
      <c r="U33" s="197" t="s">
        <v>180</v>
      </c>
      <c r="V33" s="652"/>
      <c r="W33" s="653"/>
      <c r="X33" s="654"/>
      <c r="Y33" s="561"/>
    </row>
    <row r="34" spans="1:25" x14ac:dyDescent="0.2">
      <c r="A34" s="193" t="s">
        <v>351</v>
      </c>
      <c r="B34" s="194" t="s">
        <v>395</v>
      </c>
      <c r="C34" s="193" t="s">
        <v>353</v>
      </c>
      <c r="D34" s="193" t="s">
        <v>76</v>
      </c>
      <c r="E34" s="193" t="s">
        <v>396</v>
      </c>
      <c r="F34" s="195" t="s">
        <v>380</v>
      </c>
      <c r="G34" s="196" t="s">
        <v>381</v>
      </c>
      <c r="H34" s="196" t="s">
        <v>381</v>
      </c>
      <c r="I34" s="196" t="s">
        <v>381</v>
      </c>
      <c r="J34" s="205"/>
      <c r="K34" s="206"/>
      <c r="L34" s="564"/>
      <c r="M34" s="196" t="s">
        <v>243</v>
      </c>
      <c r="N34" s="196" t="s">
        <v>243</v>
      </c>
      <c r="O34" s="196" t="s">
        <v>243</v>
      </c>
      <c r="P34" s="196" t="s">
        <v>381</v>
      </c>
      <c r="Q34" s="196" t="s">
        <v>381</v>
      </c>
      <c r="R34" s="196" t="s">
        <v>381</v>
      </c>
      <c r="S34" s="196" t="s">
        <v>381</v>
      </c>
      <c r="T34" s="196" t="s">
        <v>381</v>
      </c>
      <c r="U34" s="196" t="s">
        <v>381</v>
      </c>
      <c r="V34" s="652"/>
      <c r="W34" s="653"/>
      <c r="X34" s="654"/>
      <c r="Y34" s="561" t="s">
        <v>397</v>
      </c>
    </row>
    <row r="35" spans="1:25" x14ac:dyDescent="0.2">
      <c r="A35" s="193" t="s">
        <v>351</v>
      </c>
      <c r="B35" s="194" t="s">
        <v>398</v>
      </c>
      <c r="C35" s="193" t="s">
        <v>353</v>
      </c>
      <c r="D35" s="193" t="s">
        <v>76</v>
      </c>
      <c r="E35" s="193" t="s">
        <v>367</v>
      </c>
      <c r="F35" s="195" t="s">
        <v>243</v>
      </c>
      <c r="G35" s="196" t="s">
        <v>180</v>
      </c>
      <c r="H35" s="193" t="s">
        <v>180</v>
      </c>
      <c r="I35" s="197" t="s">
        <v>180</v>
      </c>
      <c r="J35" s="197" t="s">
        <v>180</v>
      </c>
      <c r="K35" s="197" t="s">
        <v>180</v>
      </c>
      <c r="L35" s="560" t="s">
        <v>180</v>
      </c>
      <c r="M35" s="196" t="s">
        <v>180</v>
      </c>
      <c r="N35" s="193" t="s">
        <v>180</v>
      </c>
      <c r="O35" s="197" t="s">
        <v>180</v>
      </c>
      <c r="P35" s="196" t="s">
        <v>180</v>
      </c>
      <c r="Q35" s="193" t="s">
        <v>180</v>
      </c>
      <c r="R35" s="197" t="s">
        <v>180</v>
      </c>
      <c r="S35" s="196" t="s">
        <v>180</v>
      </c>
      <c r="T35" s="193" t="s">
        <v>180</v>
      </c>
      <c r="U35" s="197" t="s">
        <v>180</v>
      </c>
      <c r="V35" s="652"/>
      <c r="W35" s="653"/>
      <c r="X35" s="654"/>
      <c r="Y35" s="561"/>
    </row>
    <row r="36" spans="1:25" x14ac:dyDescent="0.2">
      <c r="A36" s="193" t="s">
        <v>351</v>
      </c>
      <c r="B36" s="194" t="s">
        <v>398</v>
      </c>
      <c r="C36" s="193" t="s">
        <v>353</v>
      </c>
      <c r="D36" s="193" t="s">
        <v>76</v>
      </c>
      <c r="E36" s="193" t="s">
        <v>399</v>
      </c>
      <c r="F36" s="195" t="s">
        <v>243</v>
      </c>
      <c r="G36" s="196" t="s">
        <v>180</v>
      </c>
      <c r="H36" s="193" t="s">
        <v>180</v>
      </c>
      <c r="I36" s="197" t="s">
        <v>180</v>
      </c>
      <c r="J36" s="197"/>
      <c r="K36" s="197"/>
      <c r="L36" s="560"/>
      <c r="M36" s="196" t="s">
        <v>180</v>
      </c>
      <c r="N36" s="193" t="s">
        <v>180</v>
      </c>
      <c r="O36" s="197" t="s">
        <v>180</v>
      </c>
      <c r="P36" s="196" t="s">
        <v>180</v>
      </c>
      <c r="Q36" s="193" t="s">
        <v>180</v>
      </c>
      <c r="R36" s="197" t="s">
        <v>180</v>
      </c>
      <c r="S36" s="196" t="s">
        <v>180</v>
      </c>
      <c r="T36" s="193" t="s">
        <v>180</v>
      </c>
      <c r="U36" s="197" t="s">
        <v>180</v>
      </c>
      <c r="V36" s="652"/>
      <c r="W36" s="653"/>
      <c r="X36" s="654"/>
      <c r="Y36" s="561" t="s">
        <v>400</v>
      </c>
    </row>
    <row r="37" spans="1:25" x14ac:dyDescent="0.2">
      <c r="A37" s="193" t="s">
        <v>351</v>
      </c>
      <c r="B37" s="194" t="s">
        <v>398</v>
      </c>
      <c r="C37" s="193" t="s">
        <v>353</v>
      </c>
      <c r="D37" s="193" t="s">
        <v>76</v>
      </c>
      <c r="E37" s="193" t="s">
        <v>401</v>
      </c>
      <c r="F37" s="195" t="s">
        <v>243</v>
      </c>
      <c r="G37" s="196" t="s">
        <v>180</v>
      </c>
      <c r="H37" s="193" t="s">
        <v>180</v>
      </c>
      <c r="I37" s="197" t="s">
        <v>180</v>
      </c>
      <c r="J37" s="197" t="s">
        <v>180</v>
      </c>
      <c r="K37" s="197" t="s">
        <v>180</v>
      </c>
      <c r="L37" s="560" t="s">
        <v>180</v>
      </c>
      <c r="M37" s="196" t="s">
        <v>180</v>
      </c>
      <c r="N37" s="193" t="s">
        <v>180</v>
      </c>
      <c r="O37" s="197" t="s">
        <v>180</v>
      </c>
      <c r="P37" s="196" t="s">
        <v>180</v>
      </c>
      <c r="Q37" s="193" t="s">
        <v>180</v>
      </c>
      <c r="R37" s="197" t="s">
        <v>180</v>
      </c>
      <c r="S37" s="196" t="s">
        <v>180</v>
      </c>
      <c r="T37" s="193" t="s">
        <v>180</v>
      </c>
      <c r="U37" s="197" t="s">
        <v>180</v>
      </c>
      <c r="V37" s="652"/>
      <c r="W37" s="653"/>
      <c r="X37" s="654"/>
      <c r="Y37" s="561"/>
    </row>
    <row r="38" spans="1:25" x14ac:dyDescent="0.2">
      <c r="A38" s="193" t="s">
        <v>351</v>
      </c>
      <c r="B38" s="194" t="s">
        <v>398</v>
      </c>
      <c r="C38" s="193" t="s">
        <v>353</v>
      </c>
      <c r="D38" s="193" t="s">
        <v>76</v>
      </c>
      <c r="E38" s="193" t="s">
        <v>402</v>
      </c>
      <c r="F38" s="195" t="s">
        <v>243</v>
      </c>
      <c r="G38" s="196" t="s">
        <v>180</v>
      </c>
      <c r="H38" s="193" t="s">
        <v>180</v>
      </c>
      <c r="I38" s="197" t="s">
        <v>180</v>
      </c>
      <c r="J38" s="197" t="s">
        <v>180</v>
      </c>
      <c r="K38" s="197" t="s">
        <v>180</v>
      </c>
      <c r="L38" s="560" t="s">
        <v>180</v>
      </c>
      <c r="M38" s="196" t="s">
        <v>180</v>
      </c>
      <c r="N38" s="193" t="s">
        <v>180</v>
      </c>
      <c r="O38" s="197" t="s">
        <v>180</v>
      </c>
      <c r="P38" s="196" t="s">
        <v>180</v>
      </c>
      <c r="Q38" s="193" t="s">
        <v>180</v>
      </c>
      <c r="R38" s="197" t="s">
        <v>180</v>
      </c>
      <c r="S38" s="196" t="s">
        <v>180</v>
      </c>
      <c r="T38" s="193" t="s">
        <v>180</v>
      </c>
      <c r="U38" s="197" t="s">
        <v>180</v>
      </c>
      <c r="V38" s="652"/>
      <c r="W38" s="653"/>
      <c r="X38" s="654"/>
      <c r="Y38" s="561"/>
    </row>
    <row r="39" spans="1:25" x14ac:dyDescent="0.2">
      <c r="A39" s="193" t="s">
        <v>351</v>
      </c>
      <c r="B39" s="194" t="s">
        <v>403</v>
      </c>
      <c r="C39" s="193" t="s">
        <v>353</v>
      </c>
      <c r="D39" s="193" t="s">
        <v>76</v>
      </c>
      <c r="E39" s="193" t="s">
        <v>404</v>
      </c>
      <c r="F39" s="195" t="s">
        <v>380</v>
      </c>
      <c r="G39" s="196" t="s">
        <v>381</v>
      </c>
      <c r="H39" s="196" t="s">
        <v>381</v>
      </c>
      <c r="I39" s="196" t="s">
        <v>381</v>
      </c>
      <c r="J39" s="196" t="s">
        <v>381</v>
      </c>
      <c r="K39" s="196" t="s">
        <v>381</v>
      </c>
      <c r="L39" s="565" t="s">
        <v>381</v>
      </c>
      <c r="M39" s="196" t="s">
        <v>381</v>
      </c>
      <c r="N39" s="196" t="s">
        <v>381</v>
      </c>
      <c r="O39" s="196" t="s">
        <v>381</v>
      </c>
      <c r="P39" s="196" t="s">
        <v>243</v>
      </c>
      <c r="Q39" s="196" t="s">
        <v>243</v>
      </c>
      <c r="R39" s="196" t="s">
        <v>243</v>
      </c>
      <c r="S39" s="196" t="s">
        <v>243</v>
      </c>
      <c r="T39" s="196" t="s">
        <v>243</v>
      </c>
      <c r="U39" s="196" t="s">
        <v>243</v>
      </c>
      <c r="V39" s="652"/>
      <c r="W39" s="653"/>
      <c r="X39" s="654"/>
      <c r="Y39" s="561" t="s">
        <v>386</v>
      </c>
    </row>
    <row r="40" spans="1:25" x14ac:dyDescent="0.2">
      <c r="A40" s="193" t="s">
        <v>351</v>
      </c>
      <c r="B40" s="194" t="s">
        <v>405</v>
      </c>
      <c r="C40" s="193" t="s">
        <v>353</v>
      </c>
      <c r="D40" s="193" t="s">
        <v>76</v>
      </c>
      <c r="E40" s="193" t="s">
        <v>406</v>
      </c>
      <c r="F40" s="195" t="s">
        <v>380</v>
      </c>
      <c r="G40" s="196" t="s">
        <v>381</v>
      </c>
      <c r="H40" s="196" t="s">
        <v>381</v>
      </c>
      <c r="I40" s="196" t="s">
        <v>381</v>
      </c>
      <c r="J40" s="196" t="s">
        <v>381</v>
      </c>
      <c r="K40" s="196" t="s">
        <v>381</v>
      </c>
      <c r="L40" s="565" t="s">
        <v>381</v>
      </c>
      <c r="M40" s="196" t="s">
        <v>381</v>
      </c>
      <c r="N40" s="196" t="s">
        <v>381</v>
      </c>
      <c r="O40" s="196" t="s">
        <v>381</v>
      </c>
      <c r="P40" s="196" t="s">
        <v>243</v>
      </c>
      <c r="Q40" s="196" t="s">
        <v>243</v>
      </c>
      <c r="R40" s="196" t="s">
        <v>243</v>
      </c>
      <c r="S40" s="196"/>
      <c r="T40" s="193"/>
      <c r="U40" s="197"/>
      <c r="V40" s="652"/>
      <c r="W40" s="653"/>
      <c r="X40" s="654"/>
      <c r="Y40" s="561" t="s">
        <v>407</v>
      </c>
    </row>
    <row r="41" spans="1:25" x14ac:dyDescent="0.2">
      <c r="A41" s="193" t="s">
        <v>351</v>
      </c>
      <c r="B41" s="194" t="s">
        <v>408</v>
      </c>
      <c r="C41" s="193" t="s">
        <v>353</v>
      </c>
      <c r="D41" s="193" t="s">
        <v>76</v>
      </c>
      <c r="E41" s="193" t="s">
        <v>409</v>
      </c>
      <c r="F41" s="195" t="s">
        <v>380</v>
      </c>
      <c r="G41" s="196" t="s">
        <v>381</v>
      </c>
      <c r="H41" s="196" t="s">
        <v>381</v>
      </c>
      <c r="I41" s="196" t="s">
        <v>381</v>
      </c>
      <c r="J41" s="196" t="s">
        <v>381</v>
      </c>
      <c r="K41" s="196" t="s">
        <v>381</v>
      </c>
      <c r="L41" s="565" t="s">
        <v>381</v>
      </c>
      <c r="M41" s="196" t="s">
        <v>381</v>
      </c>
      <c r="N41" s="196" t="s">
        <v>381</v>
      </c>
      <c r="O41" s="196" t="s">
        <v>381</v>
      </c>
      <c r="P41" s="196" t="s">
        <v>243</v>
      </c>
      <c r="Q41" s="196" t="s">
        <v>243</v>
      </c>
      <c r="R41" s="196" t="s">
        <v>243</v>
      </c>
      <c r="S41" s="196" t="s">
        <v>243</v>
      </c>
      <c r="T41" s="196" t="s">
        <v>243</v>
      </c>
      <c r="U41" s="196" t="s">
        <v>243</v>
      </c>
      <c r="V41" s="196"/>
      <c r="W41" s="193"/>
      <c r="X41" s="197" t="s">
        <v>243</v>
      </c>
      <c r="Y41" s="561" t="s">
        <v>386</v>
      </c>
    </row>
    <row r="42" spans="1:25" x14ac:dyDescent="0.2">
      <c r="A42" s="193" t="s">
        <v>351</v>
      </c>
      <c r="B42" s="194" t="s">
        <v>410</v>
      </c>
      <c r="C42" s="193" t="s">
        <v>353</v>
      </c>
      <c r="D42" s="193" t="s">
        <v>76</v>
      </c>
      <c r="E42" s="193" t="s">
        <v>367</v>
      </c>
      <c r="F42" s="195" t="s">
        <v>243</v>
      </c>
      <c r="G42" s="196" t="s">
        <v>180</v>
      </c>
      <c r="H42" s="193" t="s">
        <v>180</v>
      </c>
      <c r="I42" s="197" t="s">
        <v>180</v>
      </c>
      <c r="J42" s="197" t="s">
        <v>180</v>
      </c>
      <c r="K42" s="197" t="s">
        <v>180</v>
      </c>
      <c r="L42" s="560" t="s">
        <v>180</v>
      </c>
      <c r="M42" s="196" t="s">
        <v>180</v>
      </c>
      <c r="N42" s="193" t="s">
        <v>180</v>
      </c>
      <c r="O42" s="197" t="s">
        <v>180</v>
      </c>
      <c r="P42" s="196" t="s">
        <v>180</v>
      </c>
      <c r="Q42" s="193" t="s">
        <v>180</v>
      </c>
      <c r="R42" s="197" t="s">
        <v>180</v>
      </c>
      <c r="S42" s="196" t="s">
        <v>180</v>
      </c>
      <c r="T42" s="193" t="s">
        <v>180</v>
      </c>
      <c r="U42" s="197" t="s">
        <v>180</v>
      </c>
      <c r="V42" s="652"/>
      <c r="W42" s="653"/>
      <c r="X42" s="654"/>
      <c r="Y42" s="561"/>
    </row>
    <row r="43" spans="1:25" x14ac:dyDescent="0.2">
      <c r="A43" s="193" t="s">
        <v>351</v>
      </c>
      <c r="B43" s="194" t="s">
        <v>410</v>
      </c>
      <c r="C43" s="193" t="s">
        <v>353</v>
      </c>
      <c r="D43" s="193" t="s">
        <v>76</v>
      </c>
      <c r="E43" s="193" t="s">
        <v>399</v>
      </c>
      <c r="F43" s="195" t="s">
        <v>243</v>
      </c>
      <c r="G43" s="196" t="s">
        <v>180</v>
      </c>
      <c r="H43" s="193" t="s">
        <v>180</v>
      </c>
      <c r="I43" s="197" t="s">
        <v>180</v>
      </c>
      <c r="J43" s="197"/>
      <c r="K43" s="197"/>
      <c r="L43" s="560"/>
      <c r="M43" s="196" t="s">
        <v>180</v>
      </c>
      <c r="N43" s="193" t="s">
        <v>180</v>
      </c>
      <c r="O43" s="197" t="s">
        <v>180</v>
      </c>
      <c r="P43" s="196" t="s">
        <v>180</v>
      </c>
      <c r="Q43" s="193" t="s">
        <v>180</v>
      </c>
      <c r="R43" s="197" t="s">
        <v>180</v>
      </c>
      <c r="S43" s="196" t="s">
        <v>180</v>
      </c>
      <c r="T43" s="193" t="s">
        <v>180</v>
      </c>
      <c r="U43" s="197" t="s">
        <v>180</v>
      </c>
      <c r="V43" s="652"/>
      <c r="W43" s="653"/>
      <c r="X43" s="654"/>
      <c r="Y43" s="561" t="s">
        <v>400</v>
      </c>
    </row>
    <row r="44" spans="1:25" x14ac:dyDescent="0.2">
      <c r="A44" s="193" t="s">
        <v>351</v>
      </c>
      <c r="B44" s="194" t="s">
        <v>410</v>
      </c>
      <c r="C44" s="193" t="s">
        <v>353</v>
      </c>
      <c r="D44" s="193" t="s">
        <v>76</v>
      </c>
      <c r="E44" s="193" t="s">
        <v>411</v>
      </c>
      <c r="F44" s="195" t="s">
        <v>243</v>
      </c>
      <c r="G44" s="196" t="s">
        <v>180</v>
      </c>
      <c r="H44" s="193" t="s">
        <v>180</v>
      </c>
      <c r="I44" s="197" t="s">
        <v>180</v>
      </c>
      <c r="J44" s="197" t="s">
        <v>180</v>
      </c>
      <c r="K44" s="197" t="s">
        <v>180</v>
      </c>
      <c r="L44" s="560" t="s">
        <v>180</v>
      </c>
      <c r="M44" s="196" t="s">
        <v>180</v>
      </c>
      <c r="N44" s="193" t="s">
        <v>180</v>
      </c>
      <c r="O44" s="197" t="s">
        <v>180</v>
      </c>
      <c r="P44" s="196" t="s">
        <v>180</v>
      </c>
      <c r="Q44" s="193" t="s">
        <v>180</v>
      </c>
      <c r="R44" s="197" t="s">
        <v>180</v>
      </c>
      <c r="S44" s="196" t="s">
        <v>180</v>
      </c>
      <c r="T44" s="193" t="s">
        <v>180</v>
      </c>
      <c r="U44" s="197" t="s">
        <v>180</v>
      </c>
      <c r="V44" s="652"/>
      <c r="W44" s="653"/>
      <c r="X44" s="654"/>
      <c r="Y44" s="561"/>
    </row>
    <row r="45" spans="1:25" x14ac:dyDescent="0.2">
      <c r="A45" s="193" t="s">
        <v>351</v>
      </c>
      <c r="B45" s="194" t="s">
        <v>412</v>
      </c>
      <c r="C45" s="193" t="s">
        <v>353</v>
      </c>
      <c r="D45" s="193" t="s">
        <v>76</v>
      </c>
      <c r="E45" s="193" t="s">
        <v>413</v>
      </c>
      <c r="F45" s="195" t="s">
        <v>380</v>
      </c>
      <c r="G45" s="196" t="s">
        <v>381</v>
      </c>
      <c r="H45" s="196" t="s">
        <v>381</v>
      </c>
      <c r="I45" s="196" t="s">
        <v>381</v>
      </c>
      <c r="J45" s="196" t="s">
        <v>381</v>
      </c>
      <c r="K45" s="196" t="s">
        <v>381</v>
      </c>
      <c r="L45" s="565" t="s">
        <v>381</v>
      </c>
      <c r="M45" s="196" t="s">
        <v>381</v>
      </c>
      <c r="N45" s="196" t="s">
        <v>381</v>
      </c>
      <c r="O45" s="196" t="s">
        <v>381</v>
      </c>
      <c r="P45" s="196" t="s">
        <v>381</v>
      </c>
      <c r="Q45" s="196" t="s">
        <v>381</v>
      </c>
      <c r="R45" s="196" t="s">
        <v>381</v>
      </c>
      <c r="S45" s="196" t="s">
        <v>381</v>
      </c>
      <c r="T45" s="196" t="s">
        <v>381</v>
      </c>
      <c r="U45" s="196" t="s">
        <v>381</v>
      </c>
      <c r="V45" s="196"/>
      <c r="W45" s="193"/>
      <c r="X45" s="197" t="s">
        <v>243</v>
      </c>
      <c r="Y45" s="561"/>
    </row>
    <row r="46" spans="1:25" x14ac:dyDescent="0.2">
      <c r="A46" s="193" t="s">
        <v>351</v>
      </c>
      <c r="B46" s="194" t="s">
        <v>414</v>
      </c>
      <c r="C46" s="193" t="s">
        <v>353</v>
      </c>
      <c r="D46" s="193" t="s">
        <v>76</v>
      </c>
      <c r="E46" s="193" t="s">
        <v>415</v>
      </c>
      <c r="F46" s="195" t="s">
        <v>243</v>
      </c>
      <c r="G46" s="196" t="s">
        <v>180</v>
      </c>
      <c r="H46" s="193" t="s">
        <v>180</v>
      </c>
      <c r="I46" s="197" t="s">
        <v>180</v>
      </c>
      <c r="J46" s="197"/>
      <c r="K46" s="197"/>
      <c r="L46" s="560"/>
      <c r="M46" s="196" t="s">
        <v>180</v>
      </c>
      <c r="N46" s="193" t="s">
        <v>180</v>
      </c>
      <c r="O46" s="197" t="s">
        <v>180</v>
      </c>
      <c r="P46" s="196" t="s">
        <v>180</v>
      </c>
      <c r="Q46" s="193" t="s">
        <v>180</v>
      </c>
      <c r="R46" s="197" t="s">
        <v>180</v>
      </c>
      <c r="S46" s="196" t="s">
        <v>180</v>
      </c>
      <c r="T46" s="193" t="s">
        <v>180</v>
      </c>
      <c r="U46" s="197" t="s">
        <v>180</v>
      </c>
      <c r="V46" s="652"/>
      <c r="W46" s="653"/>
      <c r="X46" s="654"/>
      <c r="Y46" s="561"/>
    </row>
    <row r="47" spans="1:25" x14ac:dyDescent="0.2">
      <c r="A47" s="193" t="s">
        <v>351</v>
      </c>
      <c r="B47" s="194" t="s">
        <v>416</v>
      </c>
      <c r="C47" s="193" t="s">
        <v>353</v>
      </c>
      <c r="D47" s="193" t="s">
        <v>76</v>
      </c>
      <c r="E47" s="193" t="s">
        <v>417</v>
      </c>
      <c r="F47" s="195" t="s">
        <v>243</v>
      </c>
      <c r="G47" s="196" t="s">
        <v>180</v>
      </c>
      <c r="H47" s="193" t="s">
        <v>180</v>
      </c>
      <c r="I47" s="197" t="s">
        <v>180</v>
      </c>
      <c r="J47" s="197"/>
      <c r="K47" s="197"/>
      <c r="L47" s="560"/>
      <c r="M47" s="196" t="s">
        <v>180</v>
      </c>
      <c r="N47" s="193" t="s">
        <v>180</v>
      </c>
      <c r="O47" s="197" t="s">
        <v>180</v>
      </c>
      <c r="P47" s="196" t="s">
        <v>180</v>
      </c>
      <c r="Q47" s="193" t="s">
        <v>180</v>
      </c>
      <c r="R47" s="197" t="s">
        <v>180</v>
      </c>
      <c r="S47" s="196" t="s">
        <v>180</v>
      </c>
      <c r="T47" s="193" t="s">
        <v>180</v>
      </c>
      <c r="U47" s="197" t="s">
        <v>180</v>
      </c>
      <c r="V47" s="652"/>
      <c r="W47" s="653"/>
      <c r="X47" s="654"/>
      <c r="Y47" s="561"/>
    </row>
    <row r="48" spans="1:25" x14ac:dyDescent="0.2">
      <c r="A48" s="207" t="s">
        <v>351</v>
      </c>
      <c r="B48" s="194" t="s">
        <v>418</v>
      </c>
      <c r="C48" s="207" t="s">
        <v>353</v>
      </c>
      <c r="D48" s="207" t="s">
        <v>76</v>
      </c>
      <c r="E48" s="207" t="s">
        <v>419</v>
      </c>
      <c r="F48" s="208" t="s">
        <v>243</v>
      </c>
      <c r="G48" s="209" t="s">
        <v>180</v>
      </c>
      <c r="H48" s="207" t="s">
        <v>180</v>
      </c>
      <c r="I48" s="210" t="s">
        <v>180</v>
      </c>
      <c r="J48" s="210"/>
      <c r="K48" s="210"/>
      <c r="L48" s="566"/>
      <c r="M48" s="196" t="s">
        <v>180</v>
      </c>
      <c r="N48" s="193" t="s">
        <v>180</v>
      </c>
      <c r="O48" s="197" t="s">
        <v>180</v>
      </c>
      <c r="P48" s="209" t="s">
        <v>180</v>
      </c>
      <c r="Q48" s="207" t="s">
        <v>180</v>
      </c>
      <c r="R48" s="210" t="s">
        <v>180</v>
      </c>
      <c r="S48" s="209" t="s">
        <v>180</v>
      </c>
      <c r="T48" s="207" t="s">
        <v>180</v>
      </c>
      <c r="U48" s="210" t="s">
        <v>180</v>
      </c>
      <c r="V48" s="649"/>
      <c r="W48" s="650"/>
      <c r="X48" s="651"/>
      <c r="Y48" s="561" t="s">
        <v>420</v>
      </c>
    </row>
    <row r="49" spans="1:25" x14ac:dyDescent="0.2">
      <c r="A49" s="207" t="s">
        <v>351</v>
      </c>
      <c r="B49" s="194" t="s">
        <v>421</v>
      </c>
      <c r="C49" s="207" t="s">
        <v>353</v>
      </c>
      <c r="D49" s="207" t="s">
        <v>76</v>
      </c>
      <c r="E49" s="207" t="s">
        <v>415</v>
      </c>
      <c r="F49" s="208" t="s">
        <v>243</v>
      </c>
      <c r="G49" s="209" t="s">
        <v>180</v>
      </c>
      <c r="H49" s="207" t="s">
        <v>180</v>
      </c>
      <c r="I49" s="210" t="s">
        <v>180</v>
      </c>
      <c r="J49" s="210"/>
      <c r="K49" s="210"/>
      <c r="L49" s="566"/>
      <c r="M49" s="196" t="s">
        <v>180</v>
      </c>
      <c r="N49" s="193" t="s">
        <v>180</v>
      </c>
      <c r="O49" s="197" t="s">
        <v>180</v>
      </c>
      <c r="P49" s="209" t="s">
        <v>180</v>
      </c>
      <c r="Q49" s="207" t="s">
        <v>180</v>
      </c>
      <c r="R49" s="210" t="s">
        <v>180</v>
      </c>
      <c r="S49" s="209" t="s">
        <v>180</v>
      </c>
      <c r="T49" s="207" t="s">
        <v>180</v>
      </c>
      <c r="U49" s="210" t="s">
        <v>180</v>
      </c>
      <c r="V49" s="649"/>
      <c r="W49" s="650"/>
      <c r="X49" s="651"/>
      <c r="Y49" s="561" t="s">
        <v>420</v>
      </c>
    </row>
    <row r="50" spans="1:25" x14ac:dyDescent="0.2">
      <c r="A50" s="207" t="s">
        <v>351</v>
      </c>
      <c r="B50" s="194" t="s">
        <v>421</v>
      </c>
      <c r="C50" s="207" t="s">
        <v>353</v>
      </c>
      <c r="D50" s="207" t="s">
        <v>76</v>
      </c>
      <c r="E50" s="207" t="s">
        <v>376</v>
      </c>
      <c r="F50" s="208" t="s">
        <v>243</v>
      </c>
      <c r="G50" s="209" t="s">
        <v>180</v>
      </c>
      <c r="H50" s="207" t="s">
        <v>180</v>
      </c>
      <c r="I50" s="210" t="s">
        <v>180</v>
      </c>
      <c r="J50" s="210"/>
      <c r="K50" s="210"/>
      <c r="L50" s="566"/>
      <c r="M50" s="196" t="s">
        <v>180</v>
      </c>
      <c r="N50" s="193" t="s">
        <v>180</v>
      </c>
      <c r="O50" s="197" t="s">
        <v>180</v>
      </c>
      <c r="P50" s="209" t="s">
        <v>180</v>
      </c>
      <c r="Q50" s="207" t="s">
        <v>180</v>
      </c>
      <c r="R50" s="210" t="s">
        <v>180</v>
      </c>
      <c r="S50" s="209" t="s">
        <v>180</v>
      </c>
      <c r="T50" s="207" t="s">
        <v>180</v>
      </c>
      <c r="U50" s="210" t="s">
        <v>180</v>
      </c>
      <c r="V50" s="649"/>
      <c r="W50" s="650"/>
      <c r="X50" s="651"/>
      <c r="Y50" s="561" t="s">
        <v>420</v>
      </c>
    </row>
    <row r="51" spans="1:25" x14ac:dyDescent="0.2">
      <c r="A51" s="207" t="s">
        <v>351</v>
      </c>
      <c r="B51" s="194" t="s">
        <v>422</v>
      </c>
      <c r="C51" s="207" t="s">
        <v>353</v>
      </c>
      <c r="D51" s="207" t="s">
        <v>76</v>
      </c>
      <c r="E51" s="207" t="s">
        <v>423</v>
      </c>
      <c r="F51" s="208" t="s">
        <v>243</v>
      </c>
      <c r="G51" s="209" t="s">
        <v>180</v>
      </c>
      <c r="H51" s="207" t="s">
        <v>180</v>
      </c>
      <c r="I51" s="210" t="s">
        <v>180</v>
      </c>
      <c r="J51" s="210"/>
      <c r="K51" s="210"/>
      <c r="L51" s="566"/>
      <c r="M51" s="196" t="s">
        <v>180</v>
      </c>
      <c r="N51" s="193" t="s">
        <v>180</v>
      </c>
      <c r="O51" s="197" t="s">
        <v>180</v>
      </c>
      <c r="P51" s="209" t="s">
        <v>180</v>
      </c>
      <c r="Q51" s="207" t="s">
        <v>180</v>
      </c>
      <c r="R51" s="210" t="s">
        <v>180</v>
      </c>
      <c r="S51" s="209" t="s">
        <v>180</v>
      </c>
      <c r="T51" s="207" t="s">
        <v>180</v>
      </c>
      <c r="U51" s="210" t="s">
        <v>180</v>
      </c>
      <c r="V51" s="649"/>
      <c r="W51" s="650"/>
      <c r="X51" s="651"/>
      <c r="Y51" s="561" t="s">
        <v>420</v>
      </c>
    </row>
    <row r="52" spans="1:25" x14ac:dyDescent="0.2">
      <c r="A52" s="193" t="s">
        <v>351</v>
      </c>
      <c r="B52" s="194" t="s">
        <v>424</v>
      </c>
      <c r="C52" s="193" t="s">
        <v>425</v>
      </c>
      <c r="D52" s="193" t="s">
        <v>426</v>
      </c>
      <c r="E52" s="193" t="s">
        <v>427</v>
      </c>
      <c r="F52" s="195" t="s">
        <v>243</v>
      </c>
      <c r="G52" s="196" t="s">
        <v>180</v>
      </c>
      <c r="H52" s="193" t="s">
        <v>180</v>
      </c>
      <c r="I52" s="197" t="s">
        <v>180</v>
      </c>
      <c r="J52" s="197"/>
      <c r="K52" s="197"/>
      <c r="L52" s="560"/>
      <c r="M52" s="196" t="s">
        <v>180</v>
      </c>
      <c r="N52" s="193" t="s">
        <v>180</v>
      </c>
      <c r="O52" s="197" t="s">
        <v>180</v>
      </c>
      <c r="P52" s="196"/>
      <c r="Q52" s="193"/>
      <c r="R52" s="197"/>
      <c r="S52" s="196"/>
      <c r="T52" s="193"/>
      <c r="U52" s="197"/>
      <c r="V52" s="652"/>
      <c r="W52" s="653"/>
      <c r="X52" s="654"/>
      <c r="Y52" s="561"/>
    </row>
  </sheetData>
  <mergeCells count="59">
    <mergeCell ref="A4:A5"/>
    <mergeCell ref="R3:X3"/>
    <mergeCell ref="R2:X2"/>
    <mergeCell ref="G4:I4"/>
    <mergeCell ref="B4:B5"/>
    <mergeCell ref="C4:C5"/>
    <mergeCell ref="D4:D5"/>
    <mergeCell ref="E4:E5"/>
    <mergeCell ref="F4:F5"/>
    <mergeCell ref="V4:X4"/>
    <mergeCell ref="J4:L4"/>
    <mergeCell ref="M4:O4"/>
    <mergeCell ref="P4:R4"/>
    <mergeCell ref="S4:U4"/>
    <mergeCell ref="V6:X6"/>
    <mergeCell ref="V7:X7"/>
    <mergeCell ref="V8:X8"/>
    <mergeCell ref="V9:X9"/>
    <mergeCell ref="V10:X10"/>
    <mergeCell ref="V11:X11"/>
    <mergeCell ref="V12:X12"/>
    <mergeCell ref="V13:X13"/>
    <mergeCell ref="V14:X14"/>
    <mergeCell ref="V15:X15"/>
    <mergeCell ref="V16:X16"/>
    <mergeCell ref="V17:X17"/>
    <mergeCell ref="V18:X18"/>
    <mergeCell ref="V19:X19"/>
    <mergeCell ref="V20:X20"/>
    <mergeCell ref="V21:X21"/>
    <mergeCell ref="V22:X22"/>
    <mergeCell ref="V23:X23"/>
    <mergeCell ref="V24:X24"/>
    <mergeCell ref="V25:X25"/>
    <mergeCell ref="V26:X26"/>
    <mergeCell ref="V27:X27"/>
    <mergeCell ref="V28:X28"/>
    <mergeCell ref="V29:X29"/>
    <mergeCell ref="V30:X30"/>
    <mergeCell ref="V31:X31"/>
    <mergeCell ref="V32:X32"/>
    <mergeCell ref="V33:X33"/>
    <mergeCell ref="V34:X34"/>
    <mergeCell ref="V35:X35"/>
    <mergeCell ref="V36:X36"/>
    <mergeCell ref="V37:X37"/>
    <mergeCell ref="V38:X38"/>
    <mergeCell ref="V39:X39"/>
    <mergeCell ref="V40:X40"/>
    <mergeCell ref="V42:X42"/>
    <mergeCell ref="V43:X43"/>
    <mergeCell ref="V44:X44"/>
    <mergeCell ref="V46:X46"/>
    <mergeCell ref="V47:X47"/>
    <mergeCell ref="V48:X48"/>
    <mergeCell ref="V49:X49"/>
    <mergeCell ref="V50:X50"/>
    <mergeCell ref="V51:X51"/>
    <mergeCell ref="V52:X52"/>
  </mergeCells>
  <pageMargins left="0.7" right="0.7" top="0.75" bottom="0.75" header="0.3" footer="0.3"/>
  <pageSetup paperSize="9" scale="61" fitToHeight="0" orientation="landscape" r:id="rId1"/>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pageSetUpPr fitToPage="1"/>
  </sheetPr>
  <dimension ref="A1:R472"/>
  <sheetViews>
    <sheetView zoomScale="70" zoomScaleNormal="70" workbookViewId="0">
      <pane xSplit="2" ySplit="4" topLeftCell="F446" activePane="bottomRight" state="frozen"/>
      <selection pane="topRight" activeCell="C1" sqref="C1"/>
      <selection pane="bottomLeft" activeCell="A5" sqref="A5"/>
      <selection pane="bottomRight" activeCell="N4" sqref="N4:N469"/>
    </sheetView>
  </sheetViews>
  <sheetFormatPr defaultColWidth="8.85546875" defaultRowHeight="12.75" x14ac:dyDescent="0.2"/>
  <cols>
    <col min="1" max="1" width="8.85546875" style="296" customWidth="1"/>
    <col min="2" max="3" width="19.28515625" style="296" customWidth="1"/>
    <col min="4" max="4" width="22.42578125" style="296" bestFit="1" customWidth="1"/>
    <col min="5" max="5" width="63" style="296" customWidth="1"/>
    <col min="6" max="6" width="13.42578125" style="296" customWidth="1"/>
    <col min="7" max="7" width="35.85546875" style="296" customWidth="1"/>
    <col min="8" max="8" width="9.140625" style="296" customWidth="1"/>
    <col min="9" max="9" width="11.28515625" style="296" bestFit="1" customWidth="1"/>
    <col min="10" max="11" width="12.42578125" style="296" customWidth="1"/>
    <col min="12" max="12" width="29.42578125" style="309" customWidth="1"/>
    <col min="13" max="15" width="14.85546875" style="296" customWidth="1"/>
    <col min="16" max="16" width="20" style="295" customWidth="1"/>
    <col min="17" max="17" width="31.5703125" style="296" customWidth="1"/>
    <col min="18" max="16384" width="8.85546875" style="296"/>
  </cols>
  <sheetData>
    <row r="1" spans="1:17" ht="13.5" thickBot="1" x14ac:dyDescent="0.25">
      <c r="A1" s="10" t="s">
        <v>48</v>
      </c>
      <c r="B1" s="46"/>
      <c r="C1" s="46"/>
      <c r="D1" s="46"/>
      <c r="E1" s="46"/>
      <c r="F1" s="46"/>
      <c r="G1" s="46"/>
      <c r="H1" s="46"/>
      <c r="I1" s="46"/>
      <c r="J1" s="46"/>
      <c r="K1" s="46"/>
      <c r="L1" s="304"/>
      <c r="M1" s="46"/>
      <c r="N1" s="46"/>
      <c r="O1" s="46"/>
    </row>
    <row r="2" spans="1:17" x14ac:dyDescent="0.2">
      <c r="A2" s="46"/>
      <c r="B2" s="84"/>
      <c r="C2" s="84"/>
      <c r="D2" s="84"/>
      <c r="E2" s="84"/>
      <c r="F2" s="84"/>
      <c r="G2" s="84"/>
      <c r="H2" s="84"/>
      <c r="I2" s="84"/>
      <c r="J2" s="85"/>
      <c r="K2" s="85"/>
      <c r="L2" s="294"/>
      <c r="M2" s="85"/>
      <c r="N2" s="85"/>
      <c r="O2" s="85"/>
      <c r="P2" s="297" t="s">
        <v>56</v>
      </c>
      <c r="Q2" s="212" t="s">
        <v>50</v>
      </c>
    </row>
    <row r="3" spans="1:17" s="298" customFormat="1" ht="13.5" thickBot="1" x14ac:dyDescent="0.25">
      <c r="A3" s="84"/>
      <c r="B3" s="84"/>
      <c r="C3" s="84"/>
      <c r="D3" s="84"/>
      <c r="E3" s="84"/>
      <c r="F3" s="84"/>
      <c r="G3" s="84"/>
      <c r="H3" s="84"/>
      <c r="I3" s="84"/>
      <c r="J3" s="85"/>
      <c r="K3" s="85"/>
      <c r="L3" s="294"/>
      <c r="M3" s="85"/>
      <c r="N3" s="85"/>
      <c r="O3" s="85"/>
      <c r="P3" s="186" t="s">
        <v>55</v>
      </c>
      <c r="Q3" s="213">
        <v>2018</v>
      </c>
    </row>
    <row r="4" spans="1:17" s="310" customFormat="1" ht="78.75" x14ac:dyDescent="0.2">
      <c r="A4" s="187" t="s">
        <v>0</v>
      </c>
      <c r="B4" s="188" t="s">
        <v>24</v>
      </c>
      <c r="C4" s="188" t="s">
        <v>11</v>
      </c>
      <c r="D4" s="188" t="s">
        <v>8</v>
      </c>
      <c r="E4" s="188" t="s">
        <v>1</v>
      </c>
      <c r="F4" s="188" t="s">
        <v>5</v>
      </c>
      <c r="G4" s="188" t="s">
        <v>18</v>
      </c>
      <c r="H4" s="188" t="s">
        <v>2</v>
      </c>
      <c r="I4" s="188" t="s">
        <v>3</v>
      </c>
      <c r="J4" s="188" t="s">
        <v>44</v>
      </c>
      <c r="K4" s="188" t="s">
        <v>45</v>
      </c>
      <c r="L4" s="188" t="s">
        <v>4</v>
      </c>
      <c r="M4" s="189" t="s">
        <v>51</v>
      </c>
      <c r="N4" s="189" t="s">
        <v>62</v>
      </c>
      <c r="O4" s="189" t="s">
        <v>52</v>
      </c>
      <c r="P4" s="189" t="s">
        <v>53</v>
      </c>
      <c r="Q4" s="185" t="s">
        <v>61</v>
      </c>
    </row>
    <row r="5" spans="1:17" ht="25.5" x14ac:dyDescent="0.2">
      <c r="A5" s="255" t="s">
        <v>351</v>
      </c>
      <c r="B5" s="255" t="s">
        <v>351</v>
      </c>
      <c r="C5" s="255">
        <v>2018</v>
      </c>
      <c r="D5" s="255" t="s">
        <v>352</v>
      </c>
      <c r="E5" s="255" t="s">
        <v>353</v>
      </c>
      <c r="F5" s="255" t="s">
        <v>76</v>
      </c>
      <c r="G5" s="255" t="s">
        <v>354</v>
      </c>
      <c r="H5" s="255" t="s">
        <v>42</v>
      </c>
      <c r="I5" s="255" t="s">
        <v>456</v>
      </c>
      <c r="J5" s="255">
        <v>2000</v>
      </c>
      <c r="K5" s="255" t="s">
        <v>457</v>
      </c>
      <c r="L5" s="305"/>
      <c r="M5" s="299">
        <v>3480</v>
      </c>
      <c r="N5" s="779">
        <f t="shared" ref="N5:N15" si="0">(100*M5/J5)</f>
        <v>174</v>
      </c>
      <c r="O5" s="300">
        <v>154</v>
      </c>
      <c r="P5" s="311" t="s">
        <v>1322</v>
      </c>
      <c r="Q5" s="312" t="s">
        <v>1324</v>
      </c>
    </row>
    <row r="6" spans="1:17" x14ac:dyDescent="0.2">
      <c r="A6" s="255" t="s">
        <v>351</v>
      </c>
      <c r="B6" s="255" t="s">
        <v>351</v>
      </c>
      <c r="C6" s="255">
        <v>2018</v>
      </c>
      <c r="D6" s="255" t="s">
        <v>352</v>
      </c>
      <c r="E6" s="255" t="s">
        <v>353</v>
      </c>
      <c r="F6" s="255" t="s">
        <v>76</v>
      </c>
      <c r="G6" s="255" t="s">
        <v>354</v>
      </c>
      <c r="H6" s="255" t="s">
        <v>19</v>
      </c>
      <c r="I6" s="255" t="s">
        <v>456</v>
      </c>
      <c r="J6" s="255">
        <v>150</v>
      </c>
      <c r="K6" s="255" t="s">
        <v>457</v>
      </c>
      <c r="L6" s="305"/>
      <c r="M6" s="299">
        <v>163</v>
      </c>
      <c r="N6" s="779">
        <f t="shared" si="0"/>
        <v>108.66666666666667</v>
      </c>
      <c r="O6" s="300">
        <v>4</v>
      </c>
      <c r="P6" s="311" t="s">
        <v>1323</v>
      </c>
      <c r="Q6" s="312"/>
    </row>
    <row r="7" spans="1:17" x14ac:dyDescent="0.2">
      <c r="A7" s="255" t="s">
        <v>351</v>
      </c>
      <c r="B7" s="255" t="s">
        <v>351</v>
      </c>
      <c r="C7" s="255">
        <v>2018</v>
      </c>
      <c r="D7" s="255" t="s">
        <v>352</v>
      </c>
      <c r="E7" s="255" t="s">
        <v>353</v>
      </c>
      <c r="F7" s="255" t="s">
        <v>76</v>
      </c>
      <c r="G7" s="255" t="s">
        <v>354</v>
      </c>
      <c r="H7" s="255" t="s">
        <v>20</v>
      </c>
      <c r="I7" s="255" t="s">
        <v>456</v>
      </c>
      <c r="J7" s="255">
        <v>150</v>
      </c>
      <c r="K7" s="255" t="s">
        <v>457</v>
      </c>
      <c r="L7" s="305"/>
      <c r="M7" s="299">
        <v>163</v>
      </c>
      <c r="N7" s="779">
        <f t="shared" si="0"/>
        <v>108.66666666666667</v>
      </c>
      <c r="O7" s="300">
        <v>4</v>
      </c>
      <c r="P7" s="311" t="s">
        <v>1323</v>
      </c>
      <c r="Q7" s="312"/>
    </row>
    <row r="8" spans="1:17" x14ac:dyDescent="0.2">
      <c r="A8" s="255" t="s">
        <v>351</v>
      </c>
      <c r="B8" s="255" t="s">
        <v>351</v>
      </c>
      <c r="C8" s="255">
        <v>2018</v>
      </c>
      <c r="D8" s="255" t="s">
        <v>352</v>
      </c>
      <c r="E8" s="255" t="s">
        <v>353</v>
      </c>
      <c r="F8" s="255" t="s">
        <v>76</v>
      </c>
      <c r="G8" s="255" t="s">
        <v>354</v>
      </c>
      <c r="H8" s="255" t="s">
        <v>458</v>
      </c>
      <c r="I8" s="255" t="s">
        <v>456</v>
      </c>
      <c r="J8" s="255">
        <v>150</v>
      </c>
      <c r="K8" s="255" t="s">
        <v>457</v>
      </c>
      <c r="L8" s="305"/>
      <c r="M8" s="299">
        <v>163</v>
      </c>
      <c r="N8" s="779">
        <f t="shared" si="0"/>
        <v>108.66666666666667</v>
      </c>
      <c r="O8" s="300">
        <v>4</v>
      </c>
      <c r="P8" s="311" t="s">
        <v>1323</v>
      </c>
      <c r="Q8" s="312"/>
    </row>
    <row r="9" spans="1:17" x14ac:dyDescent="0.2">
      <c r="A9" s="255" t="s">
        <v>351</v>
      </c>
      <c r="B9" s="255" t="s">
        <v>351</v>
      </c>
      <c r="C9" s="255">
        <v>2018</v>
      </c>
      <c r="D9" s="255" t="s">
        <v>352</v>
      </c>
      <c r="E9" s="255" t="s">
        <v>353</v>
      </c>
      <c r="F9" s="255" t="s">
        <v>76</v>
      </c>
      <c r="G9" s="255" t="s">
        <v>354</v>
      </c>
      <c r="H9" s="255" t="s">
        <v>459</v>
      </c>
      <c r="I9" s="255" t="s">
        <v>456</v>
      </c>
      <c r="J9" s="255">
        <v>150</v>
      </c>
      <c r="K9" s="255" t="s">
        <v>457</v>
      </c>
      <c r="L9" s="305"/>
      <c r="M9" s="299">
        <v>163</v>
      </c>
      <c r="N9" s="779">
        <f t="shared" si="0"/>
        <v>108.66666666666667</v>
      </c>
      <c r="O9" s="300">
        <v>4</v>
      </c>
      <c r="P9" s="311" t="s">
        <v>1323</v>
      </c>
      <c r="Q9" s="312"/>
    </row>
    <row r="10" spans="1:17" ht="25.5" x14ac:dyDescent="0.2">
      <c r="A10" s="255" t="s">
        <v>351</v>
      </c>
      <c r="B10" s="255" t="s">
        <v>351</v>
      </c>
      <c r="C10" s="255">
        <v>2018</v>
      </c>
      <c r="D10" s="255" t="s">
        <v>352</v>
      </c>
      <c r="E10" s="255" t="s">
        <v>353</v>
      </c>
      <c r="F10" s="255" t="s">
        <v>76</v>
      </c>
      <c r="G10" s="255" t="s">
        <v>354</v>
      </c>
      <c r="H10" s="255" t="s">
        <v>42</v>
      </c>
      <c r="I10" s="255" t="s">
        <v>460</v>
      </c>
      <c r="J10" s="255">
        <v>500</v>
      </c>
      <c r="K10" s="255" t="s">
        <v>457</v>
      </c>
      <c r="L10" s="305"/>
      <c r="M10" s="299">
        <v>4807</v>
      </c>
      <c r="N10" s="779">
        <f t="shared" si="0"/>
        <v>961.4</v>
      </c>
      <c r="O10" s="300">
        <v>42</v>
      </c>
      <c r="P10" s="311" t="s">
        <v>1322</v>
      </c>
      <c r="Q10" s="312" t="s">
        <v>1324</v>
      </c>
    </row>
    <row r="11" spans="1:17" ht="25.5" x14ac:dyDescent="0.2">
      <c r="A11" s="255" t="s">
        <v>351</v>
      </c>
      <c r="B11" s="255" t="s">
        <v>351</v>
      </c>
      <c r="C11" s="255">
        <v>2018</v>
      </c>
      <c r="D11" s="255" t="s">
        <v>352</v>
      </c>
      <c r="E11" s="255" t="s">
        <v>353</v>
      </c>
      <c r="F11" s="255" t="s">
        <v>76</v>
      </c>
      <c r="G11" s="255" t="s">
        <v>354</v>
      </c>
      <c r="H11" s="255" t="s">
        <v>19</v>
      </c>
      <c r="I11" s="255" t="s">
        <v>460</v>
      </c>
      <c r="J11" s="255">
        <v>100</v>
      </c>
      <c r="K11" s="255" t="s">
        <v>457</v>
      </c>
      <c r="L11" s="305"/>
      <c r="M11" s="299">
        <v>945</v>
      </c>
      <c r="N11" s="779">
        <f t="shared" si="0"/>
        <v>945</v>
      </c>
      <c r="O11" s="300">
        <v>42</v>
      </c>
      <c r="P11" s="311" t="s">
        <v>1323</v>
      </c>
      <c r="Q11" s="312" t="s">
        <v>1324</v>
      </c>
    </row>
    <row r="12" spans="1:17" ht="25.5" x14ac:dyDescent="0.2">
      <c r="A12" s="255" t="s">
        <v>351</v>
      </c>
      <c r="B12" s="255" t="s">
        <v>351</v>
      </c>
      <c r="C12" s="255">
        <v>2018</v>
      </c>
      <c r="D12" s="255" t="s">
        <v>352</v>
      </c>
      <c r="E12" s="255" t="s">
        <v>353</v>
      </c>
      <c r="F12" s="255" t="s">
        <v>76</v>
      </c>
      <c r="G12" s="255" t="s">
        <v>354</v>
      </c>
      <c r="H12" s="255" t="s">
        <v>20</v>
      </c>
      <c r="I12" s="255" t="s">
        <v>460</v>
      </c>
      <c r="J12" s="255">
        <v>100</v>
      </c>
      <c r="K12" s="255" t="s">
        <v>457</v>
      </c>
      <c r="L12" s="305"/>
      <c r="M12" s="299">
        <v>2234</v>
      </c>
      <c r="N12" s="779">
        <f t="shared" si="0"/>
        <v>2234</v>
      </c>
      <c r="O12" s="300">
        <v>42</v>
      </c>
      <c r="P12" s="311" t="s">
        <v>1323</v>
      </c>
      <c r="Q12" s="312" t="s">
        <v>1324</v>
      </c>
    </row>
    <row r="13" spans="1:17" ht="25.5" x14ac:dyDescent="0.2">
      <c r="A13" s="255" t="s">
        <v>351</v>
      </c>
      <c r="B13" s="255" t="s">
        <v>351</v>
      </c>
      <c r="C13" s="255">
        <v>2018</v>
      </c>
      <c r="D13" s="255" t="s">
        <v>352</v>
      </c>
      <c r="E13" s="255" t="s">
        <v>353</v>
      </c>
      <c r="F13" s="255" t="s">
        <v>76</v>
      </c>
      <c r="G13" s="255" t="s">
        <v>354</v>
      </c>
      <c r="H13" s="255" t="s">
        <v>458</v>
      </c>
      <c r="I13" s="255" t="s">
        <v>460</v>
      </c>
      <c r="J13" s="255">
        <v>100</v>
      </c>
      <c r="K13" s="255" t="s">
        <v>457</v>
      </c>
      <c r="L13" s="305"/>
      <c r="M13" s="299">
        <v>945</v>
      </c>
      <c r="N13" s="779">
        <f t="shared" si="0"/>
        <v>945</v>
      </c>
      <c r="O13" s="300">
        <v>42</v>
      </c>
      <c r="P13" s="311" t="s">
        <v>1323</v>
      </c>
      <c r="Q13" s="312" t="s">
        <v>1324</v>
      </c>
    </row>
    <row r="14" spans="1:17" ht="25.5" x14ac:dyDescent="0.2">
      <c r="A14" s="255" t="s">
        <v>351</v>
      </c>
      <c r="B14" s="255" t="s">
        <v>351</v>
      </c>
      <c r="C14" s="255">
        <v>2018</v>
      </c>
      <c r="D14" s="255" t="s">
        <v>352</v>
      </c>
      <c r="E14" s="255" t="s">
        <v>353</v>
      </c>
      <c r="F14" s="255" t="s">
        <v>76</v>
      </c>
      <c r="G14" s="255" t="s">
        <v>354</v>
      </c>
      <c r="H14" s="255" t="s">
        <v>459</v>
      </c>
      <c r="I14" s="255" t="s">
        <v>460</v>
      </c>
      <c r="J14" s="255">
        <v>100</v>
      </c>
      <c r="K14" s="255" t="s">
        <v>457</v>
      </c>
      <c r="L14" s="305"/>
      <c r="M14" s="299">
        <v>945</v>
      </c>
      <c r="N14" s="779">
        <f t="shared" si="0"/>
        <v>945</v>
      </c>
      <c r="O14" s="300">
        <v>42</v>
      </c>
      <c r="P14" s="311" t="s">
        <v>1323</v>
      </c>
      <c r="Q14" s="312" t="s">
        <v>1324</v>
      </c>
    </row>
    <row r="15" spans="1:17" ht="38.25" x14ac:dyDescent="0.2">
      <c r="A15" s="255" t="s">
        <v>351</v>
      </c>
      <c r="B15" s="255" t="s">
        <v>351</v>
      </c>
      <c r="C15" s="255">
        <v>2018</v>
      </c>
      <c r="D15" s="255" t="s">
        <v>356</v>
      </c>
      <c r="E15" s="255" t="s">
        <v>353</v>
      </c>
      <c r="F15" s="255" t="s">
        <v>7</v>
      </c>
      <c r="G15" s="255" t="s">
        <v>357</v>
      </c>
      <c r="H15" s="255" t="s">
        <v>42</v>
      </c>
      <c r="I15" s="255" t="s">
        <v>456</v>
      </c>
      <c r="J15" s="255">
        <v>3000</v>
      </c>
      <c r="K15" s="255" t="s">
        <v>457</v>
      </c>
      <c r="L15" s="305"/>
      <c r="M15" s="299">
        <v>30337</v>
      </c>
      <c r="N15" s="779">
        <f t="shared" si="0"/>
        <v>1011.2333333333333</v>
      </c>
      <c r="O15" s="300">
        <v>98</v>
      </c>
      <c r="P15" s="311" t="s">
        <v>1352</v>
      </c>
      <c r="Q15" s="312" t="s">
        <v>1324</v>
      </c>
    </row>
    <row r="16" spans="1:17" x14ac:dyDescent="0.2">
      <c r="A16" s="255" t="s">
        <v>351</v>
      </c>
      <c r="B16" s="255" t="s">
        <v>351</v>
      </c>
      <c r="C16" s="255">
        <v>2018</v>
      </c>
      <c r="D16" s="255" t="s">
        <v>356</v>
      </c>
      <c r="E16" s="255" t="s">
        <v>353</v>
      </c>
      <c r="F16" s="255" t="s">
        <v>7</v>
      </c>
      <c r="G16" s="255" t="s">
        <v>357</v>
      </c>
      <c r="H16" s="255" t="s">
        <v>19</v>
      </c>
      <c r="I16" s="255" t="s">
        <v>456</v>
      </c>
      <c r="J16" s="255">
        <v>0</v>
      </c>
      <c r="K16" s="255" t="s">
        <v>457</v>
      </c>
      <c r="L16" s="305" t="s">
        <v>462</v>
      </c>
      <c r="M16" s="299">
        <v>0</v>
      </c>
      <c r="N16" s="300" t="s">
        <v>1153</v>
      </c>
      <c r="O16" s="300">
        <v>0</v>
      </c>
      <c r="P16" s="311" t="s">
        <v>1325</v>
      </c>
      <c r="Q16" s="312"/>
    </row>
    <row r="17" spans="1:17" ht="38.25" x14ac:dyDescent="0.2">
      <c r="A17" s="255" t="s">
        <v>351</v>
      </c>
      <c r="B17" s="255" t="s">
        <v>351</v>
      </c>
      <c r="C17" s="255">
        <v>2018</v>
      </c>
      <c r="D17" s="255" t="s">
        <v>356</v>
      </c>
      <c r="E17" s="255" t="s">
        <v>353</v>
      </c>
      <c r="F17" s="255" t="s">
        <v>7</v>
      </c>
      <c r="G17" s="255" t="s">
        <v>357</v>
      </c>
      <c r="H17" s="255" t="s">
        <v>20</v>
      </c>
      <c r="I17" s="255" t="s">
        <v>456</v>
      </c>
      <c r="J17" s="255">
        <v>300</v>
      </c>
      <c r="K17" s="255" t="s">
        <v>457</v>
      </c>
      <c r="L17" s="305"/>
      <c r="M17" s="299">
        <v>0</v>
      </c>
      <c r="N17" s="779">
        <f>(100*M17/J17)</f>
        <v>0</v>
      </c>
      <c r="O17" s="300">
        <v>0</v>
      </c>
      <c r="P17" s="311" t="s">
        <v>1352</v>
      </c>
      <c r="Q17" s="312" t="s">
        <v>1326</v>
      </c>
    </row>
    <row r="18" spans="1:17" x14ac:dyDescent="0.2">
      <c r="A18" s="255" t="s">
        <v>351</v>
      </c>
      <c r="B18" s="255" t="s">
        <v>351</v>
      </c>
      <c r="C18" s="255">
        <v>2018</v>
      </c>
      <c r="D18" s="255" t="s">
        <v>356</v>
      </c>
      <c r="E18" s="255" t="s">
        <v>353</v>
      </c>
      <c r="F18" s="255" t="s">
        <v>7</v>
      </c>
      <c r="G18" s="255" t="s">
        <v>357</v>
      </c>
      <c r="H18" s="255" t="s">
        <v>458</v>
      </c>
      <c r="I18" s="255" t="s">
        <v>456</v>
      </c>
      <c r="J18" s="255">
        <v>0</v>
      </c>
      <c r="K18" s="255" t="s">
        <v>457</v>
      </c>
      <c r="L18" s="305" t="s">
        <v>1327</v>
      </c>
      <c r="M18" s="299">
        <v>0</v>
      </c>
      <c r="N18" s="300" t="s">
        <v>1153</v>
      </c>
      <c r="O18" s="300">
        <v>0</v>
      </c>
      <c r="P18" s="311" t="s">
        <v>1325</v>
      </c>
      <c r="Q18" s="312"/>
    </row>
    <row r="19" spans="1:17" x14ac:dyDescent="0.2">
      <c r="A19" s="255" t="s">
        <v>351</v>
      </c>
      <c r="B19" s="255" t="s">
        <v>351</v>
      </c>
      <c r="C19" s="255">
        <v>2018</v>
      </c>
      <c r="D19" s="255" t="s">
        <v>356</v>
      </c>
      <c r="E19" s="255" t="s">
        <v>353</v>
      </c>
      <c r="F19" s="255" t="s">
        <v>7</v>
      </c>
      <c r="G19" s="255" t="s">
        <v>357</v>
      </c>
      <c r="H19" s="255" t="s">
        <v>459</v>
      </c>
      <c r="I19" s="255" t="s">
        <v>456</v>
      </c>
      <c r="J19" s="255">
        <v>0</v>
      </c>
      <c r="K19" s="255" t="s">
        <v>457</v>
      </c>
      <c r="L19" s="305" t="s">
        <v>462</v>
      </c>
      <c r="M19" s="299">
        <v>0</v>
      </c>
      <c r="N19" s="300" t="s">
        <v>1153</v>
      </c>
      <c r="O19" s="300">
        <v>0</v>
      </c>
      <c r="P19" s="311" t="s">
        <v>1325</v>
      </c>
      <c r="Q19" s="312"/>
    </row>
    <row r="20" spans="1:17" ht="25.5" x14ac:dyDescent="0.2">
      <c r="A20" s="255" t="s">
        <v>351</v>
      </c>
      <c r="B20" s="255" t="s">
        <v>351</v>
      </c>
      <c r="C20" s="255">
        <v>2018</v>
      </c>
      <c r="D20" s="255" t="s">
        <v>356</v>
      </c>
      <c r="E20" s="255" t="s">
        <v>353</v>
      </c>
      <c r="F20" s="255" t="s">
        <v>7</v>
      </c>
      <c r="G20" s="255" t="s">
        <v>357</v>
      </c>
      <c r="H20" s="255" t="s">
        <v>42</v>
      </c>
      <c r="I20" s="255" t="s">
        <v>460</v>
      </c>
      <c r="J20" s="255">
        <v>500</v>
      </c>
      <c r="K20" s="255" t="s">
        <v>457</v>
      </c>
      <c r="L20" s="305"/>
      <c r="M20" s="299">
        <v>3238</v>
      </c>
      <c r="N20" s="779">
        <f>(100*M20/J20)</f>
        <v>647.6</v>
      </c>
      <c r="O20" s="300">
        <v>49</v>
      </c>
      <c r="P20" s="311" t="s">
        <v>1322</v>
      </c>
      <c r="Q20" s="312" t="s">
        <v>1324</v>
      </c>
    </row>
    <row r="21" spans="1:17" x14ac:dyDescent="0.2">
      <c r="A21" s="255" t="s">
        <v>351</v>
      </c>
      <c r="B21" s="255" t="s">
        <v>351</v>
      </c>
      <c r="C21" s="255">
        <v>2018</v>
      </c>
      <c r="D21" s="255" t="s">
        <v>356</v>
      </c>
      <c r="E21" s="255" t="s">
        <v>353</v>
      </c>
      <c r="F21" s="255" t="s">
        <v>7</v>
      </c>
      <c r="G21" s="255" t="s">
        <v>357</v>
      </c>
      <c r="H21" s="255" t="s">
        <v>19</v>
      </c>
      <c r="I21" s="255" t="s">
        <v>460</v>
      </c>
      <c r="J21" s="255">
        <v>0</v>
      </c>
      <c r="K21" s="255" t="s">
        <v>457</v>
      </c>
      <c r="L21" s="305" t="s">
        <v>462</v>
      </c>
      <c r="M21" s="299">
        <v>0</v>
      </c>
      <c r="N21" s="300" t="s">
        <v>1153</v>
      </c>
      <c r="O21" s="300">
        <v>0</v>
      </c>
      <c r="P21" s="311" t="s">
        <v>1325</v>
      </c>
      <c r="Q21" s="312"/>
    </row>
    <row r="22" spans="1:17" ht="25.5" x14ac:dyDescent="0.2">
      <c r="A22" s="255" t="s">
        <v>351</v>
      </c>
      <c r="B22" s="255" t="s">
        <v>351</v>
      </c>
      <c r="C22" s="255">
        <v>2018</v>
      </c>
      <c r="D22" s="255" t="s">
        <v>356</v>
      </c>
      <c r="E22" s="255" t="s">
        <v>353</v>
      </c>
      <c r="F22" s="255" t="s">
        <v>7</v>
      </c>
      <c r="G22" s="255" t="s">
        <v>357</v>
      </c>
      <c r="H22" s="255" t="s">
        <v>20</v>
      </c>
      <c r="I22" s="255" t="s">
        <v>460</v>
      </c>
      <c r="J22" s="255">
        <v>100</v>
      </c>
      <c r="K22" s="255" t="s">
        <v>457</v>
      </c>
      <c r="L22" s="305"/>
      <c r="M22" s="299">
        <v>620</v>
      </c>
      <c r="N22" s="300">
        <f>(100*M22/J22)</f>
        <v>620</v>
      </c>
      <c r="O22" s="300">
        <v>49</v>
      </c>
      <c r="P22" s="311" t="s">
        <v>461</v>
      </c>
      <c r="Q22" s="312" t="s">
        <v>1324</v>
      </c>
    </row>
    <row r="23" spans="1:17" x14ac:dyDescent="0.2">
      <c r="A23" s="255" t="s">
        <v>351</v>
      </c>
      <c r="B23" s="255" t="s">
        <v>351</v>
      </c>
      <c r="C23" s="255">
        <v>2018</v>
      </c>
      <c r="D23" s="255" t="s">
        <v>356</v>
      </c>
      <c r="E23" s="255" t="s">
        <v>353</v>
      </c>
      <c r="F23" s="255" t="s">
        <v>7</v>
      </c>
      <c r="G23" s="255" t="s">
        <v>357</v>
      </c>
      <c r="H23" s="255" t="s">
        <v>458</v>
      </c>
      <c r="I23" s="255" t="s">
        <v>460</v>
      </c>
      <c r="J23" s="255">
        <v>0</v>
      </c>
      <c r="K23" s="255" t="s">
        <v>457</v>
      </c>
      <c r="L23" s="305" t="s">
        <v>1327</v>
      </c>
      <c r="M23" s="299">
        <v>0</v>
      </c>
      <c r="N23" s="300" t="s">
        <v>1153</v>
      </c>
      <c r="O23" s="300">
        <v>0</v>
      </c>
      <c r="P23" s="311" t="s">
        <v>1325</v>
      </c>
      <c r="Q23" s="312"/>
    </row>
    <row r="24" spans="1:17" x14ac:dyDescent="0.2">
      <c r="A24" s="255" t="s">
        <v>351</v>
      </c>
      <c r="B24" s="255" t="s">
        <v>351</v>
      </c>
      <c r="C24" s="255">
        <v>2018</v>
      </c>
      <c r="D24" s="255" t="s">
        <v>356</v>
      </c>
      <c r="E24" s="255" t="s">
        <v>353</v>
      </c>
      <c r="F24" s="255" t="s">
        <v>7</v>
      </c>
      <c r="G24" s="255" t="s">
        <v>357</v>
      </c>
      <c r="H24" s="255" t="s">
        <v>459</v>
      </c>
      <c r="I24" s="255" t="s">
        <v>460</v>
      </c>
      <c r="J24" s="255">
        <v>0</v>
      </c>
      <c r="K24" s="255" t="s">
        <v>457</v>
      </c>
      <c r="L24" s="305" t="s">
        <v>462</v>
      </c>
      <c r="M24" s="299">
        <v>0</v>
      </c>
      <c r="N24" s="300" t="s">
        <v>1153</v>
      </c>
      <c r="O24" s="300">
        <v>0</v>
      </c>
      <c r="P24" s="311" t="s">
        <v>1325</v>
      </c>
      <c r="Q24" s="312"/>
    </row>
    <row r="25" spans="1:17" ht="38.25" x14ac:dyDescent="0.2">
      <c r="A25" s="255" t="s">
        <v>351</v>
      </c>
      <c r="B25" s="255" t="s">
        <v>351</v>
      </c>
      <c r="C25" s="255">
        <v>2018</v>
      </c>
      <c r="D25" s="255" t="s">
        <v>358</v>
      </c>
      <c r="E25" s="255" t="s">
        <v>353</v>
      </c>
      <c r="F25" s="255" t="s">
        <v>7</v>
      </c>
      <c r="G25" s="255" t="s">
        <v>354</v>
      </c>
      <c r="H25" s="255" t="s">
        <v>42</v>
      </c>
      <c r="I25" s="255" t="s">
        <v>456</v>
      </c>
      <c r="J25" s="255">
        <v>500</v>
      </c>
      <c r="K25" s="255" t="s">
        <v>457</v>
      </c>
      <c r="L25" s="305" t="s">
        <v>1328</v>
      </c>
      <c r="M25" s="299">
        <v>4122</v>
      </c>
      <c r="N25" s="779">
        <f>(100*M25/J25)</f>
        <v>824.4</v>
      </c>
      <c r="O25" s="300">
        <v>73</v>
      </c>
      <c r="P25" s="311" t="s">
        <v>1329</v>
      </c>
      <c r="Q25" s="312" t="s">
        <v>1324</v>
      </c>
    </row>
    <row r="26" spans="1:17" x14ac:dyDescent="0.2">
      <c r="A26" s="255" t="s">
        <v>351</v>
      </c>
      <c r="B26" s="255" t="s">
        <v>351</v>
      </c>
      <c r="C26" s="255">
        <v>2018</v>
      </c>
      <c r="D26" s="255" t="s">
        <v>358</v>
      </c>
      <c r="E26" s="255" t="s">
        <v>353</v>
      </c>
      <c r="F26" s="255" t="s">
        <v>7</v>
      </c>
      <c r="G26" s="255" t="s">
        <v>354</v>
      </c>
      <c r="H26" s="255" t="s">
        <v>19</v>
      </c>
      <c r="I26" s="255" t="s">
        <v>456</v>
      </c>
      <c r="J26" s="255">
        <v>0</v>
      </c>
      <c r="K26" s="255" t="s">
        <v>457</v>
      </c>
      <c r="L26" s="305" t="s">
        <v>462</v>
      </c>
      <c r="M26" s="299">
        <v>0</v>
      </c>
      <c r="N26" s="300" t="s">
        <v>1153</v>
      </c>
      <c r="O26" s="300">
        <v>0</v>
      </c>
      <c r="P26" s="311" t="s">
        <v>1325</v>
      </c>
      <c r="Q26" s="312"/>
    </row>
    <row r="27" spans="1:17" ht="38.25" x14ac:dyDescent="0.2">
      <c r="A27" s="255" t="s">
        <v>351</v>
      </c>
      <c r="B27" s="255" t="s">
        <v>351</v>
      </c>
      <c r="C27" s="255">
        <v>2018</v>
      </c>
      <c r="D27" s="255" t="s">
        <v>358</v>
      </c>
      <c r="E27" s="255" t="s">
        <v>353</v>
      </c>
      <c r="F27" s="255" t="s">
        <v>7</v>
      </c>
      <c r="G27" s="255" t="s">
        <v>354</v>
      </c>
      <c r="H27" s="255" t="s">
        <v>20</v>
      </c>
      <c r="I27" s="255" t="s">
        <v>456</v>
      </c>
      <c r="J27" s="255">
        <v>200</v>
      </c>
      <c r="K27" s="255" t="s">
        <v>457</v>
      </c>
      <c r="L27" s="305" t="s">
        <v>1328</v>
      </c>
      <c r="M27" s="299">
        <v>0</v>
      </c>
      <c r="N27" s="300">
        <v>0</v>
      </c>
      <c r="O27" s="300">
        <v>0</v>
      </c>
      <c r="P27" s="311" t="s">
        <v>1330</v>
      </c>
      <c r="Q27" s="312" t="s">
        <v>1331</v>
      </c>
    </row>
    <row r="28" spans="1:17" ht="38.25" x14ac:dyDescent="0.2">
      <c r="A28" s="255" t="s">
        <v>351</v>
      </c>
      <c r="B28" s="255" t="s">
        <v>351</v>
      </c>
      <c r="C28" s="255">
        <v>2018</v>
      </c>
      <c r="D28" s="255" t="s">
        <v>358</v>
      </c>
      <c r="E28" s="255" t="s">
        <v>353</v>
      </c>
      <c r="F28" s="255" t="s">
        <v>7</v>
      </c>
      <c r="G28" s="255" t="s">
        <v>354</v>
      </c>
      <c r="H28" s="255" t="s">
        <v>458</v>
      </c>
      <c r="I28" s="255" t="s">
        <v>456</v>
      </c>
      <c r="J28" s="255">
        <v>500</v>
      </c>
      <c r="K28" s="255" t="s">
        <v>457</v>
      </c>
      <c r="L28" s="305" t="s">
        <v>1328</v>
      </c>
      <c r="M28" s="299">
        <v>4122</v>
      </c>
      <c r="N28" s="779">
        <f>(100*M28/J28)</f>
        <v>824.4</v>
      </c>
      <c r="O28" s="300">
        <v>73</v>
      </c>
      <c r="P28" s="311" t="s">
        <v>1330</v>
      </c>
      <c r="Q28" s="312" t="s">
        <v>1324</v>
      </c>
    </row>
    <row r="29" spans="1:17" x14ac:dyDescent="0.2">
      <c r="A29" s="255" t="s">
        <v>351</v>
      </c>
      <c r="B29" s="255" t="s">
        <v>351</v>
      </c>
      <c r="C29" s="255">
        <v>2018</v>
      </c>
      <c r="D29" s="255" t="s">
        <v>358</v>
      </c>
      <c r="E29" s="255" t="s">
        <v>353</v>
      </c>
      <c r="F29" s="255" t="s">
        <v>7</v>
      </c>
      <c r="G29" s="255" t="s">
        <v>354</v>
      </c>
      <c r="H29" s="255" t="s">
        <v>459</v>
      </c>
      <c r="I29" s="255" t="s">
        <v>456</v>
      </c>
      <c r="J29" s="255">
        <v>0</v>
      </c>
      <c r="K29" s="255" t="s">
        <v>457</v>
      </c>
      <c r="L29" s="305" t="s">
        <v>462</v>
      </c>
      <c r="M29" s="299">
        <v>0</v>
      </c>
      <c r="N29" s="300" t="s">
        <v>1153</v>
      </c>
      <c r="O29" s="300">
        <v>0</v>
      </c>
      <c r="P29" s="311" t="s">
        <v>1325</v>
      </c>
      <c r="Q29" s="312"/>
    </row>
    <row r="30" spans="1:17" ht="38.25" x14ac:dyDescent="0.2">
      <c r="A30" s="255" t="s">
        <v>351</v>
      </c>
      <c r="B30" s="255" t="s">
        <v>351</v>
      </c>
      <c r="C30" s="255">
        <v>2018</v>
      </c>
      <c r="D30" s="255" t="s">
        <v>358</v>
      </c>
      <c r="E30" s="255" t="s">
        <v>353</v>
      </c>
      <c r="F30" s="255" t="s">
        <v>7</v>
      </c>
      <c r="G30" s="255" t="s">
        <v>354</v>
      </c>
      <c r="H30" s="255" t="s">
        <v>42</v>
      </c>
      <c r="I30" s="255" t="s">
        <v>456</v>
      </c>
      <c r="J30" s="255">
        <v>500</v>
      </c>
      <c r="K30" s="255" t="s">
        <v>457</v>
      </c>
      <c r="L30" s="305"/>
      <c r="M30" s="299">
        <v>4122</v>
      </c>
      <c r="N30" s="779">
        <f>(100*M30/J30)</f>
        <v>824.4</v>
      </c>
      <c r="O30" s="300">
        <v>73</v>
      </c>
      <c r="P30" s="311" t="s">
        <v>1329</v>
      </c>
      <c r="Q30" s="412" t="s">
        <v>1597</v>
      </c>
    </row>
    <row r="31" spans="1:17" ht="25.5" x14ac:dyDescent="0.2">
      <c r="A31" s="255" t="s">
        <v>351</v>
      </c>
      <c r="B31" s="255" t="s">
        <v>351</v>
      </c>
      <c r="C31" s="255">
        <v>2018</v>
      </c>
      <c r="D31" s="255" t="s">
        <v>358</v>
      </c>
      <c r="E31" s="255" t="s">
        <v>353</v>
      </c>
      <c r="F31" s="255" t="s">
        <v>7</v>
      </c>
      <c r="G31" s="255" t="s">
        <v>354</v>
      </c>
      <c r="H31" s="255" t="s">
        <v>19</v>
      </c>
      <c r="I31" s="255" t="s">
        <v>456</v>
      </c>
      <c r="J31" s="255">
        <v>0</v>
      </c>
      <c r="K31" s="255" t="s">
        <v>457</v>
      </c>
      <c r="L31" s="305" t="s">
        <v>462</v>
      </c>
      <c r="M31" s="299">
        <v>0</v>
      </c>
      <c r="N31" s="300" t="s">
        <v>1153</v>
      </c>
      <c r="O31" s="300">
        <v>0</v>
      </c>
      <c r="P31" s="311" t="s">
        <v>1325</v>
      </c>
      <c r="Q31" s="412" t="s">
        <v>1597</v>
      </c>
    </row>
    <row r="32" spans="1:17" ht="38.25" x14ac:dyDescent="0.2">
      <c r="A32" s="255" t="s">
        <v>351</v>
      </c>
      <c r="B32" s="255" t="s">
        <v>351</v>
      </c>
      <c r="C32" s="255">
        <v>2018</v>
      </c>
      <c r="D32" s="255" t="s">
        <v>358</v>
      </c>
      <c r="E32" s="255" t="s">
        <v>353</v>
      </c>
      <c r="F32" s="255" t="s">
        <v>7</v>
      </c>
      <c r="G32" s="255" t="s">
        <v>354</v>
      </c>
      <c r="H32" s="255" t="s">
        <v>20</v>
      </c>
      <c r="I32" s="255" t="s">
        <v>456</v>
      </c>
      <c r="J32" s="255">
        <v>200</v>
      </c>
      <c r="K32" s="255" t="s">
        <v>457</v>
      </c>
      <c r="L32" s="305"/>
      <c r="M32" s="299">
        <v>0</v>
      </c>
      <c r="N32" s="300">
        <f>(100*M32/J32)</f>
        <v>0</v>
      </c>
      <c r="O32" s="300">
        <v>0</v>
      </c>
      <c r="P32" s="311" t="s">
        <v>1330</v>
      </c>
      <c r="Q32" s="412" t="s">
        <v>1597</v>
      </c>
    </row>
    <row r="33" spans="1:17" ht="38.25" x14ac:dyDescent="0.2">
      <c r="A33" s="255" t="s">
        <v>351</v>
      </c>
      <c r="B33" s="255" t="s">
        <v>351</v>
      </c>
      <c r="C33" s="255">
        <v>2018</v>
      </c>
      <c r="D33" s="255" t="s">
        <v>358</v>
      </c>
      <c r="E33" s="255" t="s">
        <v>353</v>
      </c>
      <c r="F33" s="255" t="s">
        <v>7</v>
      </c>
      <c r="G33" s="255" t="s">
        <v>354</v>
      </c>
      <c r="H33" s="255" t="s">
        <v>458</v>
      </c>
      <c r="I33" s="255" t="s">
        <v>456</v>
      </c>
      <c r="J33" s="255">
        <v>500</v>
      </c>
      <c r="K33" s="255" t="s">
        <v>457</v>
      </c>
      <c r="L33" s="305"/>
      <c r="M33" s="299">
        <v>4122</v>
      </c>
      <c r="N33" s="300">
        <f>(100*M33/J33)</f>
        <v>824.4</v>
      </c>
      <c r="O33" s="300">
        <v>73</v>
      </c>
      <c r="P33" s="311" t="s">
        <v>1330</v>
      </c>
      <c r="Q33" s="412" t="s">
        <v>1597</v>
      </c>
    </row>
    <row r="34" spans="1:17" ht="25.5" x14ac:dyDescent="0.2">
      <c r="A34" s="255" t="s">
        <v>351</v>
      </c>
      <c r="B34" s="255" t="s">
        <v>351</v>
      </c>
      <c r="C34" s="255">
        <v>2018</v>
      </c>
      <c r="D34" s="255" t="s">
        <v>358</v>
      </c>
      <c r="E34" s="255" t="s">
        <v>353</v>
      </c>
      <c r="F34" s="255" t="s">
        <v>7</v>
      </c>
      <c r="G34" s="255" t="s">
        <v>354</v>
      </c>
      <c r="H34" s="255" t="s">
        <v>459</v>
      </c>
      <c r="I34" s="255" t="s">
        <v>456</v>
      </c>
      <c r="J34" s="255">
        <v>0</v>
      </c>
      <c r="K34" s="255" t="s">
        <v>457</v>
      </c>
      <c r="L34" s="305" t="s">
        <v>462</v>
      </c>
      <c r="M34" s="299">
        <v>0</v>
      </c>
      <c r="N34" s="300" t="s">
        <v>1153</v>
      </c>
      <c r="O34" s="300">
        <v>0</v>
      </c>
      <c r="P34" s="311" t="s">
        <v>1325</v>
      </c>
      <c r="Q34" s="412" t="s">
        <v>1597</v>
      </c>
    </row>
    <row r="35" spans="1:17" ht="76.5" x14ac:dyDescent="0.2">
      <c r="A35" s="255" t="s">
        <v>351</v>
      </c>
      <c r="B35" s="255" t="s">
        <v>351</v>
      </c>
      <c r="C35" s="255">
        <v>2018</v>
      </c>
      <c r="D35" s="255" t="s">
        <v>361</v>
      </c>
      <c r="E35" s="255" t="s">
        <v>353</v>
      </c>
      <c r="F35" s="255" t="s">
        <v>76</v>
      </c>
      <c r="G35" s="255" t="s">
        <v>362</v>
      </c>
      <c r="H35" s="255" t="s">
        <v>42</v>
      </c>
      <c r="I35" s="255" t="s">
        <v>456</v>
      </c>
      <c r="J35" s="255">
        <v>3000</v>
      </c>
      <c r="K35" s="255" t="s">
        <v>457</v>
      </c>
      <c r="L35" s="305"/>
      <c r="M35" s="299">
        <v>25167</v>
      </c>
      <c r="N35" s="779">
        <f>(100*M35/J35)</f>
        <v>838.9</v>
      </c>
      <c r="O35" s="300">
        <v>87</v>
      </c>
      <c r="P35" s="311" t="s">
        <v>1333</v>
      </c>
      <c r="Q35" s="312" t="s">
        <v>1324</v>
      </c>
    </row>
    <row r="36" spans="1:17" x14ac:dyDescent="0.2">
      <c r="A36" s="255" t="s">
        <v>351</v>
      </c>
      <c r="B36" s="255" t="s">
        <v>351</v>
      </c>
      <c r="C36" s="255">
        <v>2018</v>
      </c>
      <c r="D36" s="255" t="s">
        <v>361</v>
      </c>
      <c r="E36" s="255" t="s">
        <v>353</v>
      </c>
      <c r="F36" s="255" t="s">
        <v>76</v>
      </c>
      <c r="G36" s="255" t="s">
        <v>362</v>
      </c>
      <c r="H36" s="255" t="s">
        <v>19</v>
      </c>
      <c r="I36" s="255" t="s">
        <v>456</v>
      </c>
      <c r="J36" s="255">
        <v>0</v>
      </c>
      <c r="K36" s="255" t="s">
        <v>457</v>
      </c>
      <c r="L36" s="305" t="s">
        <v>462</v>
      </c>
      <c r="M36" s="299">
        <v>0</v>
      </c>
      <c r="N36" s="300" t="s">
        <v>1153</v>
      </c>
      <c r="O36" s="300">
        <v>0</v>
      </c>
      <c r="P36" s="311" t="s">
        <v>1325</v>
      </c>
      <c r="Q36" s="312"/>
    </row>
    <row r="37" spans="1:17" ht="76.5" x14ac:dyDescent="0.2">
      <c r="A37" s="255" t="s">
        <v>351</v>
      </c>
      <c r="B37" s="255" t="s">
        <v>351</v>
      </c>
      <c r="C37" s="255">
        <v>2018</v>
      </c>
      <c r="D37" s="255" t="s">
        <v>361</v>
      </c>
      <c r="E37" s="255" t="s">
        <v>353</v>
      </c>
      <c r="F37" s="255" t="s">
        <v>76</v>
      </c>
      <c r="G37" s="255" t="s">
        <v>362</v>
      </c>
      <c r="H37" s="255" t="s">
        <v>20</v>
      </c>
      <c r="I37" s="255" t="s">
        <v>456</v>
      </c>
      <c r="J37" s="255">
        <v>1000</v>
      </c>
      <c r="K37" s="255" t="s">
        <v>457</v>
      </c>
      <c r="L37" s="305"/>
      <c r="M37" s="299">
        <v>6400</v>
      </c>
      <c r="N37" s="779">
        <f>(100*M37/J37)</f>
        <v>640</v>
      </c>
      <c r="O37" s="300">
        <v>87</v>
      </c>
      <c r="P37" s="311" t="s">
        <v>1333</v>
      </c>
      <c r="Q37" s="312" t="s">
        <v>1324</v>
      </c>
    </row>
    <row r="38" spans="1:17" ht="76.5" x14ac:dyDescent="0.2">
      <c r="A38" s="255" t="s">
        <v>351</v>
      </c>
      <c r="B38" s="255" t="s">
        <v>351</v>
      </c>
      <c r="C38" s="255">
        <v>2018</v>
      </c>
      <c r="D38" s="255" t="s">
        <v>361</v>
      </c>
      <c r="E38" s="255" t="s">
        <v>353</v>
      </c>
      <c r="F38" s="255" t="s">
        <v>76</v>
      </c>
      <c r="G38" s="255" t="s">
        <v>362</v>
      </c>
      <c r="H38" s="255" t="s">
        <v>458</v>
      </c>
      <c r="I38" s="255" t="s">
        <v>456</v>
      </c>
      <c r="J38" s="255">
        <v>3000</v>
      </c>
      <c r="K38" s="255" t="s">
        <v>457</v>
      </c>
      <c r="L38" s="305"/>
      <c r="M38" s="299">
        <v>25167</v>
      </c>
      <c r="N38" s="779">
        <f>(100*M38/J38)</f>
        <v>838.9</v>
      </c>
      <c r="O38" s="300">
        <v>87</v>
      </c>
      <c r="P38" s="311" t="s">
        <v>1333</v>
      </c>
      <c r="Q38" s="312" t="s">
        <v>1324</v>
      </c>
    </row>
    <row r="39" spans="1:17" x14ac:dyDescent="0.2">
      <c r="A39" s="255" t="s">
        <v>351</v>
      </c>
      <c r="B39" s="255" t="s">
        <v>351</v>
      </c>
      <c r="C39" s="255">
        <v>2018</v>
      </c>
      <c r="D39" s="255" t="s">
        <v>361</v>
      </c>
      <c r="E39" s="255" t="s">
        <v>353</v>
      </c>
      <c r="F39" s="255" t="s">
        <v>76</v>
      </c>
      <c r="G39" s="255" t="s">
        <v>362</v>
      </c>
      <c r="H39" s="255" t="s">
        <v>459</v>
      </c>
      <c r="I39" s="255" t="s">
        <v>456</v>
      </c>
      <c r="J39" s="255">
        <v>0</v>
      </c>
      <c r="K39" s="255" t="s">
        <v>457</v>
      </c>
      <c r="L39" s="305" t="s">
        <v>462</v>
      </c>
      <c r="M39" s="299">
        <v>0</v>
      </c>
      <c r="N39" s="300" t="s">
        <v>1153</v>
      </c>
      <c r="O39" s="300">
        <v>0</v>
      </c>
      <c r="P39" s="311" t="s">
        <v>1325</v>
      </c>
      <c r="Q39" s="312"/>
    </row>
    <row r="40" spans="1:17" ht="76.5" x14ac:dyDescent="0.2">
      <c r="A40" s="255" t="s">
        <v>351</v>
      </c>
      <c r="B40" s="255" t="s">
        <v>351</v>
      </c>
      <c r="C40" s="255">
        <v>2018</v>
      </c>
      <c r="D40" s="255" t="s">
        <v>361</v>
      </c>
      <c r="E40" s="255" t="s">
        <v>353</v>
      </c>
      <c r="F40" s="255" t="s">
        <v>76</v>
      </c>
      <c r="G40" s="255" t="s">
        <v>362</v>
      </c>
      <c r="H40" s="255" t="s">
        <v>42</v>
      </c>
      <c r="I40" s="255" t="s">
        <v>456</v>
      </c>
      <c r="J40" s="255">
        <v>3000</v>
      </c>
      <c r="K40" s="255" t="s">
        <v>457</v>
      </c>
      <c r="L40" s="305"/>
      <c r="M40" s="299">
        <v>25167</v>
      </c>
      <c r="N40" s="779">
        <f>(100*M40/J40)</f>
        <v>838.9</v>
      </c>
      <c r="O40" s="300">
        <v>87</v>
      </c>
      <c r="P40" s="311" t="s">
        <v>1333</v>
      </c>
      <c r="Q40" s="412" t="s">
        <v>1332</v>
      </c>
    </row>
    <row r="41" spans="1:17" x14ac:dyDescent="0.2">
      <c r="A41" s="255" t="s">
        <v>351</v>
      </c>
      <c r="B41" s="255" t="s">
        <v>351</v>
      </c>
      <c r="C41" s="255">
        <v>2018</v>
      </c>
      <c r="D41" s="255" t="s">
        <v>361</v>
      </c>
      <c r="E41" s="255" t="s">
        <v>353</v>
      </c>
      <c r="F41" s="255" t="s">
        <v>76</v>
      </c>
      <c r="G41" s="255" t="s">
        <v>362</v>
      </c>
      <c r="H41" s="255" t="s">
        <v>19</v>
      </c>
      <c r="I41" s="255" t="s">
        <v>456</v>
      </c>
      <c r="J41" s="255">
        <v>0</v>
      </c>
      <c r="K41" s="255" t="s">
        <v>457</v>
      </c>
      <c r="L41" s="305" t="s">
        <v>462</v>
      </c>
      <c r="M41" s="299">
        <v>0</v>
      </c>
      <c r="N41" s="300" t="s">
        <v>1153</v>
      </c>
      <c r="O41" s="300">
        <v>0</v>
      </c>
      <c r="P41" s="311" t="s">
        <v>1325</v>
      </c>
      <c r="Q41" s="412" t="s">
        <v>1332</v>
      </c>
    </row>
    <row r="42" spans="1:17" ht="76.5" x14ac:dyDescent="0.2">
      <c r="A42" s="255" t="s">
        <v>351</v>
      </c>
      <c r="B42" s="255" t="s">
        <v>351</v>
      </c>
      <c r="C42" s="255">
        <v>2018</v>
      </c>
      <c r="D42" s="255" t="s">
        <v>361</v>
      </c>
      <c r="E42" s="255" t="s">
        <v>353</v>
      </c>
      <c r="F42" s="255" t="s">
        <v>76</v>
      </c>
      <c r="G42" s="255" t="s">
        <v>362</v>
      </c>
      <c r="H42" s="255" t="s">
        <v>20</v>
      </c>
      <c r="I42" s="255" t="s">
        <v>456</v>
      </c>
      <c r="J42" s="255">
        <v>1000</v>
      </c>
      <c r="K42" s="255" t="s">
        <v>457</v>
      </c>
      <c r="L42" s="305"/>
      <c r="M42" s="299">
        <v>6400</v>
      </c>
      <c r="N42" s="779">
        <f>(100*M42/J42)</f>
        <v>640</v>
      </c>
      <c r="O42" s="300">
        <v>87</v>
      </c>
      <c r="P42" s="311" t="s">
        <v>1333</v>
      </c>
      <c r="Q42" s="412" t="s">
        <v>1332</v>
      </c>
    </row>
    <row r="43" spans="1:17" ht="76.5" x14ac:dyDescent="0.2">
      <c r="A43" s="255" t="s">
        <v>351</v>
      </c>
      <c r="B43" s="255" t="s">
        <v>351</v>
      </c>
      <c r="C43" s="255">
        <v>2018</v>
      </c>
      <c r="D43" s="255" t="s">
        <v>361</v>
      </c>
      <c r="E43" s="255" t="s">
        <v>353</v>
      </c>
      <c r="F43" s="255" t="s">
        <v>76</v>
      </c>
      <c r="G43" s="255" t="s">
        <v>362</v>
      </c>
      <c r="H43" s="255" t="s">
        <v>458</v>
      </c>
      <c r="I43" s="255" t="s">
        <v>456</v>
      </c>
      <c r="J43" s="255">
        <v>3000</v>
      </c>
      <c r="K43" s="255" t="s">
        <v>457</v>
      </c>
      <c r="L43" s="305"/>
      <c r="M43" s="299">
        <v>25167</v>
      </c>
      <c r="N43" s="779">
        <f>(100*M43/J43)</f>
        <v>838.9</v>
      </c>
      <c r="O43" s="300">
        <v>87</v>
      </c>
      <c r="P43" s="311" t="s">
        <v>1333</v>
      </c>
      <c r="Q43" s="412" t="s">
        <v>1332</v>
      </c>
    </row>
    <row r="44" spans="1:17" x14ac:dyDescent="0.2">
      <c r="A44" s="255" t="s">
        <v>351</v>
      </c>
      <c r="B44" s="255" t="s">
        <v>351</v>
      </c>
      <c r="C44" s="255">
        <v>2018</v>
      </c>
      <c r="D44" s="255" t="s">
        <v>361</v>
      </c>
      <c r="E44" s="255" t="s">
        <v>353</v>
      </c>
      <c r="F44" s="255" t="s">
        <v>76</v>
      </c>
      <c r="G44" s="255" t="s">
        <v>362</v>
      </c>
      <c r="H44" s="255" t="s">
        <v>459</v>
      </c>
      <c r="I44" s="255" t="s">
        <v>456</v>
      </c>
      <c r="J44" s="255">
        <v>0</v>
      </c>
      <c r="K44" s="255" t="s">
        <v>457</v>
      </c>
      <c r="L44" s="305" t="s">
        <v>462</v>
      </c>
      <c r="M44" s="299">
        <v>0</v>
      </c>
      <c r="N44" s="300" t="s">
        <v>1153</v>
      </c>
      <c r="O44" s="300">
        <v>0</v>
      </c>
      <c r="P44" s="311" t="s">
        <v>1325</v>
      </c>
      <c r="Q44" s="412" t="s">
        <v>1332</v>
      </c>
    </row>
    <row r="45" spans="1:17" ht="25.5" x14ac:dyDescent="0.2">
      <c r="A45" s="255" t="s">
        <v>351</v>
      </c>
      <c r="B45" s="255" t="s">
        <v>351</v>
      </c>
      <c r="C45" s="255">
        <v>2018</v>
      </c>
      <c r="D45" s="255" t="s">
        <v>363</v>
      </c>
      <c r="E45" s="255" t="s">
        <v>353</v>
      </c>
      <c r="F45" s="255" t="s">
        <v>76</v>
      </c>
      <c r="G45" s="255" t="s">
        <v>364</v>
      </c>
      <c r="H45" s="255" t="s">
        <v>42</v>
      </c>
      <c r="I45" s="255" t="s">
        <v>456</v>
      </c>
      <c r="J45" s="255">
        <v>320</v>
      </c>
      <c r="K45" s="255" t="s">
        <v>457</v>
      </c>
      <c r="L45" s="305"/>
      <c r="M45" s="299">
        <v>0</v>
      </c>
      <c r="N45" s="300">
        <f t="shared" ref="N45:N69" si="1">(100*M45/J45)</f>
        <v>0</v>
      </c>
      <c r="O45" s="300">
        <v>0</v>
      </c>
      <c r="P45" s="311" t="s">
        <v>1322</v>
      </c>
      <c r="Q45" s="312" t="s">
        <v>1334</v>
      </c>
    </row>
    <row r="46" spans="1:17" x14ac:dyDescent="0.2">
      <c r="A46" s="255" t="s">
        <v>351</v>
      </c>
      <c r="B46" s="255" t="s">
        <v>351</v>
      </c>
      <c r="C46" s="255">
        <v>2018</v>
      </c>
      <c r="D46" s="255" t="s">
        <v>363</v>
      </c>
      <c r="E46" s="255" t="s">
        <v>353</v>
      </c>
      <c r="F46" s="255" t="s">
        <v>76</v>
      </c>
      <c r="G46" s="255" t="s">
        <v>364</v>
      </c>
      <c r="H46" s="255" t="s">
        <v>19</v>
      </c>
      <c r="I46" s="255" t="s">
        <v>456</v>
      </c>
      <c r="J46" s="255">
        <v>320</v>
      </c>
      <c r="K46" s="255" t="s">
        <v>457</v>
      </c>
      <c r="L46" s="305"/>
      <c r="M46" s="299">
        <v>0</v>
      </c>
      <c r="N46" s="300">
        <f t="shared" si="1"/>
        <v>0</v>
      </c>
      <c r="O46" s="300">
        <v>0</v>
      </c>
      <c r="P46" s="311" t="s">
        <v>1335</v>
      </c>
      <c r="Q46" s="312" t="s">
        <v>1334</v>
      </c>
    </row>
    <row r="47" spans="1:17" x14ac:dyDescent="0.2">
      <c r="A47" s="255" t="s">
        <v>351</v>
      </c>
      <c r="B47" s="255" t="s">
        <v>351</v>
      </c>
      <c r="C47" s="255">
        <v>2018</v>
      </c>
      <c r="D47" s="255" t="s">
        <v>363</v>
      </c>
      <c r="E47" s="255" t="s">
        <v>353</v>
      </c>
      <c r="F47" s="255" t="s">
        <v>76</v>
      </c>
      <c r="G47" s="255" t="s">
        <v>364</v>
      </c>
      <c r="H47" s="255" t="s">
        <v>20</v>
      </c>
      <c r="I47" s="255" t="s">
        <v>456</v>
      </c>
      <c r="J47" s="255">
        <v>320</v>
      </c>
      <c r="K47" s="255" t="s">
        <v>457</v>
      </c>
      <c r="L47" s="305"/>
      <c r="M47" s="299">
        <v>0</v>
      </c>
      <c r="N47" s="300">
        <f t="shared" si="1"/>
        <v>0</v>
      </c>
      <c r="O47" s="300">
        <v>0</v>
      </c>
      <c r="P47" s="311" t="s">
        <v>1335</v>
      </c>
      <c r="Q47" s="312" t="s">
        <v>1334</v>
      </c>
    </row>
    <row r="48" spans="1:17" x14ac:dyDescent="0.2">
      <c r="A48" s="255" t="s">
        <v>351</v>
      </c>
      <c r="B48" s="255" t="s">
        <v>351</v>
      </c>
      <c r="C48" s="255">
        <v>2018</v>
      </c>
      <c r="D48" s="255" t="s">
        <v>363</v>
      </c>
      <c r="E48" s="255" t="s">
        <v>353</v>
      </c>
      <c r="F48" s="255" t="s">
        <v>76</v>
      </c>
      <c r="G48" s="255" t="s">
        <v>364</v>
      </c>
      <c r="H48" s="255" t="s">
        <v>458</v>
      </c>
      <c r="I48" s="255" t="s">
        <v>456</v>
      </c>
      <c r="J48" s="255">
        <v>320</v>
      </c>
      <c r="K48" s="255" t="s">
        <v>457</v>
      </c>
      <c r="L48" s="305"/>
      <c r="M48" s="299">
        <v>0</v>
      </c>
      <c r="N48" s="300">
        <f t="shared" si="1"/>
        <v>0</v>
      </c>
      <c r="O48" s="300">
        <v>0</v>
      </c>
      <c r="P48" s="311" t="s">
        <v>1335</v>
      </c>
      <c r="Q48" s="312" t="s">
        <v>1334</v>
      </c>
    </row>
    <row r="49" spans="1:17" x14ac:dyDescent="0.2">
      <c r="A49" s="255" t="s">
        <v>351</v>
      </c>
      <c r="B49" s="255" t="s">
        <v>351</v>
      </c>
      <c r="C49" s="255">
        <v>2018</v>
      </c>
      <c r="D49" s="255" t="s">
        <v>363</v>
      </c>
      <c r="E49" s="255" t="s">
        <v>353</v>
      </c>
      <c r="F49" s="255" t="s">
        <v>76</v>
      </c>
      <c r="G49" s="255" t="s">
        <v>364</v>
      </c>
      <c r="H49" s="255" t="s">
        <v>459</v>
      </c>
      <c r="I49" s="255" t="s">
        <v>456</v>
      </c>
      <c r="J49" s="255">
        <v>320</v>
      </c>
      <c r="K49" s="255" t="s">
        <v>457</v>
      </c>
      <c r="L49" s="305"/>
      <c r="M49" s="299">
        <v>0</v>
      </c>
      <c r="N49" s="300">
        <f t="shared" si="1"/>
        <v>0</v>
      </c>
      <c r="O49" s="300">
        <v>0</v>
      </c>
      <c r="P49" s="311" t="s">
        <v>1335</v>
      </c>
      <c r="Q49" s="312" t="s">
        <v>1334</v>
      </c>
    </row>
    <row r="50" spans="1:17" ht="25.5" x14ac:dyDescent="0.2">
      <c r="A50" s="255" t="s">
        <v>351</v>
      </c>
      <c r="B50" s="255" t="s">
        <v>351</v>
      </c>
      <c r="C50" s="255">
        <v>2018</v>
      </c>
      <c r="D50" s="255" t="s">
        <v>363</v>
      </c>
      <c r="E50" s="255" t="s">
        <v>353</v>
      </c>
      <c r="F50" s="255" t="s">
        <v>76</v>
      </c>
      <c r="G50" s="255" t="s">
        <v>364</v>
      </c>
      <c r="H50" s="255" t="s">
        <v>42</v>
      </c>
      <c r="I50" s="255" t="s">
        <v>460</v>
      </c>
      <c r="J50" s="255">
        <v>100</v>
      </c>
      <c r="K50" s="255" t="s">
        <v>457</v>
      </c>
      <c r="L50" s="305"/>
      <c r="M50" s="299">
        <v>3231</v>
      </c>
      <c r="N50" s="779">
        <f t="shared" si="1"/>
        <v>3231</v>
      </c>
      <c r="O50" s="300">
        <v>42</v>
      </c>
      <c r="P50" s="311" t="s">
        <v>1322</v>
      </c>
      <c r="Q50" s="312" t="s">
        <v>1324</v>
      </c>
    </row>
    <row r="51" spans="1:17" ht="25.5" x14ac:dyDescent="0.2">
      <c r="A51" s="255" t="s">
        <v>351</v>
      </c>
      <c r="B51" s="255" t="s">
        <v>351</v>
      </c>
      <c r="C51" s="255">
        <v>2018</v>
      </c>
      <c r="D51" s="255" t="s">
        <v>363</v>
      </c>
      <c r="E51" s="255" t="s">
        <v>353</v>
      </c>
      <c r="F51" s="255" t="s">
        <v>76</v>
      </c>
      <c r="G51" s="255" t="s">
        <v>364</v>
      </c>
      <c r="H51" s="255" t="s">
        <v>19</v>
      </c>
      <c r="I51" s="255" t="s">
        <v>460</v>
      </c>
      <c r="J51" s="255">
        <v>100</v>
      </c>
      <c r="K51" s="255" t="s">
        <v>457</v>
      </c>
      <c r="L51" s="305"/>
      <c r="M51" s="299">
        <v>681</v>
      </c>
      <c r="N51" s="779">
        <f t="shared" si="1"/>
        <v>681</v>
      </c>
      <c r="O51" s="300">
        <v>42</v>
      </c>
      <c r="P51" s="311" t="s">
        <v>461</v>
      </c>
      <c r="Q51" s="312" t="s">
        <v>1324</v>
      </c>
    </row>
    <row r="52" spans="1:17" ht="25.5" x14ac:dyDescent="0.2">
      <c r="A52" s="255" t="s">
        <v>351</v>
      </c>
      <c r="B52" s="255" t="s">
        <v>351</v>
      </c>
      <c r="C52" s="255">
        <v>2018</v>
      </c>
      <c r="D52" s="255" t="s">
        <v>363</v>
      </c>
      <c r="E52" s="255" t="s">
        <v>353</v>
      </c>
      <c r="F52" s="255" t="s">
        <v>76</v>
      </c>
      <c r="G52" s="255" t="s">
        <v>364</v>
      </c>
      <c r="H52" s="255" t="s">
        <v>20</v>
      </c>
      <c r="I52" s="255" t="s">
        <v>460</v>
      </c>
      <c r="J52" s="255">
        <v>100</v>
      </c>
      <c r="K52" s="255" t="s">
        <v>457</v>
      </c>
      <c r="L52" s="305"/>
      <c r="M52" s="299">
        <v>782</v>
      </c>
      <c r="N52" s="779">
        <f t="shared" si="1"/>
        <v>782</v>
      </c>
      <c r="O52" s="300">
        <v>42</v>
      </c>
      <c r="P52" s="311" t="s">
        <v>461</v>
      </c>
      <c r="Q52" s="312" t="s">
        <v>1324</v>
      </c>
    </row>
    <row r="53" spans="1:17" ht="25.5" x14ac:dyDescent="0.2">
      <c r="A53" s="255" t="s">
        <v>351</v>
      </c>
      <c r="B53" s="255" t="s">
        <v>351</v>
      </c>
      <c r="C53" s="255">
        <v>2018</v>
      </c>
      <c r="D53" s="255" t="s">
        <v>363</v>
      </c>
      <c r="E53" s="255" t="s">
        <v>353</v>
      </c>
      <c r="F53" s="255" t="s">
        <v>76</v>
      </c>
      <c r="G53" s="255" t="s">
        <v>364</v>
      </c>
      <c r="H53" s="255" t="s">
        <v>458</v>
      </c>
      <c r="I53" s="255" t="s">
        <v>460</v>
      </c>
      <c r="J53" s="255">
        <v>100</v>
      </c>
      <c r="K53" s="255" t="s">
        <v>457</v>
      </c>
      <c r="L53" s="305"/>
      <c r="M53" s="299">
        <v>681</v>
      </c>
      <c r="N53" s="779">
        <f t="shared" si="1"/>
        <v>681</v>
      </c>
      <c r="O53" s="300">
        <v>42</v>
      </c>
      <c r="P53" s="311" t="s">
        <v>461</v>
      </c>
      <c r="Q53" s="312" t="s">
        <v>1324</v>
      </c>
    </row>
    <row r="54" spans="1:17" ht="25.5" x14ac:dyDescent="0.2">
      <c r="A54" s="255" t="s">
        <v>351</v>
      </c>
      <c r="B54" s="255" t="s">
        <v>351</v>
      </c>
      <c r="C54" s="255">
        <v>2018</v>
      </c>
      <c r="D54" s="255" t="s">
        <v>363</v>
      </c>
      <c r="E54" s="255" t="s">
        <v>353</v>
      </c>
      <c r="F54" s="255" t="s">
        <v>76</v>
      </c>
      <c r="G54" s="255" t="s">
        <v>364</v>
      </c>
      <c r="H54" s="255" t="s">
        <v>459</v>
      </c>
      <c r="I54" s="255" t="s">
        <v>460</v>
      </c>
      <c r="J54" s="255">
        <v>100</v>
      </c>
      <c r="K54" s="255" t="s">
        <v>457</v>
      </c>
      <c r="L54" s="305"/>
      <c r="M54" s="299">
        <v>681</v>
      </c>
      <c r="N54" s="779">
        <f t="shared" si="1"/>
        <v>681</v>
      </c>
      <c r="O54" s="300">
        <v>42</v>
      </c>
      <c r="P54" s="311" t="s">
        <v>461</v>
      </c>
      <c r="Q54" s="312" t="s">
        <v>1324</v>
      </c>
    </row>
    <row r="55" spans="1:17" ht="25.5" x14ac:dyDescent="0.2">
      <c r="A55" s="255" t="s">
        <v>351</v>
      </c>
      <c r="B55" s="255" t="s">
        <v>351</v>
      </c>
      <c r="C55" s="255">
        <v>2018</v>
      </c>
      <c r="D55" s="255" t="s">
        <v>363</v>
      </c>
      <c r="E55" s="255" t="s">
        <v>353</v>
      </c>
      <c r="F55" s="255" t="s">
        <v>76</v>
      </c>
      <c r="G55" s="255" t="s">
        <v>366</v>
      </c>
      <c r="H55" s="255" t="s">
        <v>42</v>
      </c>
      <c r="I55" s="255" t="s">
        <v>456</v>
      </c>
      <c r="J55" s="255">
        <v>320</v>
      </c>
      <c r="K55" s="255" t="s">
        <v>457</v>
      </c>
      <c r="L55" s="305"/>
      <c r="M55" s="299">
        <v>5952</v>
      </c>
      <c r="N55" s="779">
        <f t="shared" si="1"/>
        <v>1860</v>
      </c>
      <c r="O55" s="300">
        <v>29</v>
      </c>
      <c r="P55" s="311" t="s">
        <v>1322</v>
      </c>
      <c r="Q55" s="312" t="s">
        <v>1324</v>
      </c>
    </row>
    <row r="56" spans="1:17" ht="25.5" x14ac:dyDescent="0.2">
      <c r="A56" s="255" t="s">
        <v>351</v>
      </c>
      <c r="B56" s="255" t="s">
        <v>351</v>
      </c>
      <c r="C56" s="255">
        <v>2018</v>
      </c>
      <c r="D56" s="255" t="s">
        <v>363</v>
      </c>
      <c r="E56" s="255" t="s">
        <v>353</v>
      </c>
      <c r="F56" s="255" t="s">
        <v>76</v>
      </c>
      <c r="G56" s="255" t="s">
        <v>366</v>
      </c>
      <c r="H56" s="255" t="s">
        <v>19</v>
      </c>
      <c r="I56" s="255" t="s">
        <v>456</v>
      </c>
      <c r="J56" s="255">
        <v>320</v>
      </c>
      <c r="K56" s="255" t="s">
        <v>457</v>
      </c>
      <c r="L56" s="305"/>
      <c r="M56" s="299">
        <v>1852</v>
      </c>
      <c r="N56" s="779">
        <f t="shared" si="1"/>
        <v>578.75</v>
      </c>
      <c r="O56" s="300">
        <v>28</v>
      </c>
      <c r="P56" s="311" t="s">
        <v>1323</v>
      </c>
      <c r="Q56" s="312" t="s">
        <v>1324</v>
      </c>
    </row>
    <row r="57" spans="1:17" ht="25.5" x14ac:dyDescent="0.2">
      <c r="A57" s="255" t="s">
        <v>351</v>
      </c>
      <c r="B57" s="255" t="s">
        <v>351</v>
      </c>
      <c r="C57" s="255">
        <v>2018</v>
      </c>
      <c r="D57" s="255" t="s">
        <v>363</v>
      </c>
      <c r="E57" s="255" t="s">
        <v>353</v>
      </c>
      <c r="F57" s="255" t="s">
        <v>76</v>
      </c>
      <c r="G57" s="255" t="s">
        <v>366</v>
      </c>
      <c r="H57" s="255" t="s">
        <v>20</v>
      </c>
      <c r="I57" s="255" t="s">
        <v>456</v>
      </c>
      <c r="J57" s="255">
        <v>320</v>
      </c>
      <c r="K57" s="255" t="s">
        <v>457</v>
      </c>
      <c r="L57" s="305"/>
      <c r="M57" s="299">
        <v>1852</v>
      </c>
      <c r="N57" s="779">
        <f t="shared" si="1"/>
        <v>578.75</v>
      </c>
      <c r="O57" s="300">
        <v>28</v>
      </c>
      <c r="P57" s="311" t="s">
        <v>1323</v>
      </c>
      <c r="Q57" s="312" t="s">
        <v>1324</v>
      </c>
    </row>
    <row r="58" spans="1:17" ht="25.5" x14ac:dyDescent="0.2">
      <c r="A58" s="255" t="s">
        <v>351</v>
      </c>
      <c r="B58" s="255" t="s">
        <v>351</v>
      </c>
      <c r="C58" s="255">
        <v>2018</v>
      </c>
      <c r="D58" s="255" t="s">
        <v>363</v>
      </c>
      <c r="E58" s="255" t="s">
        <v>353</v>
      </c>
      <c r="F58" s="255" t="s">
        <v>76</v>
      </c>
      <c r="G58" s="255" t="s">
        <v>366</v>
      </c>
      <c r="H58" s="255" t="s">
        <v>458</v>
      </c>
      <c r="I58" s="255" t="s">
        <v>456</v>
      </c>
      <c r="J58" s="255">
        <v>320</v>
      </c>
      <c r="K58" s="255" t="s">
        <v>457</v>
      </c>
      <c r="L58" s="305"/>
      <c r="M58" s="299">
        <v>1852</v>
      </c>
      <c r="N58" s="779">
        <f t="shared" si="1"/>
        <v>578.75</v>
      </c>
      <c r="O58" s="300">
        <v>28</v>
      </c>
      <c r="P58" s="311" t="s">
        <v>1323</v>
      </c>
      <c r="Q58" s="312" t="s">
        <v>1324</v>
      </c>
    </row>
    <row r="59" spans="1:17" ht="25.5" x14ac:dyDescent="0.2">
      <c r="A59" s="255" t="s">
        <v>351</v>
      </c>
      <c r="B59" s="255" t="s">
        <v>351</v>
      </c>
      <c r="C59" s="255">
        <v>2018</v>
      </c>
      <c r="D59" s="255" t="s">
        <v>363</v>
      </c>
      <c r="E59" s="255" t="s">
        <v>353</v>
      </c>
      <c r="F59" s="255" t="s">
        <v>76</v>
      </c>
      <c r="G59" s="255" t="s">
        <v>366</v>
      </c>
      <c r="H59" s="255" t="s">
        <v>459</v>
      </c>
      <c r="I59" s="255" t="s">
        <v>456</v>
      </c>
      <c r="J59" s="255">
        <v>320</v>
      </c>
      <c r="K59" s="255" t="s">
        <v>457</v>
      </c>
      <c r="L59" s="305"/>
      <c r="M59" s="299">
        <v>1852</v>
      </c>
      <c r="N59" s="779">
        <f t="shared" si="1"/>
        <v>578.75</v>
      </c>
      <c r="O59" s="300">
        <v>28</v>
      </c>
      <c r="P59" s="311" t="s">
        <v>1323</v>
      </c>
      <c r="Q59" s="312" t="s">
        <v>1324</v>
      </c>
    </row>
    <row r="60" spans="1:17" x14ac:dyDescent="0.2">
      <c r="A60" s="255" t="s">
        <v>351</v>
      </c>
      <c r="B60" s="255" t="s">
        <v>351</v>
      </c>
      <c r="C60" s="255">
        <v>2018</v>
      </c>
      <c r="D60" s="255" t="s">
        <v>363</v>
      </c>
      <c r="E60" s="255" t="s">
        <v>353</v>
      </c>
      <c r="F60" s="255" t="s">
        <v>76</v>
      </c>
      <c r="G60" s="255" t="s">
        <v>366</v>
      </c>
      <c r="H60" s="255" t="s">
        <v>42</v>
      </c>
      <c r="I60" s="255" t="s">
        <v>460</v>
      </c>
      <c r="J60" s="255">
        <v>500</v>
      </c>
      <c r="K60" s="255" t="s">
        <v>457</v>
      </c>
      <c r="L60" s="305"/>
      <c r="M60" s="299">
        <v>500</v>
      </c>
      <c r="N60" s="779">
        <f t="shared" si="1"/>
        <v>100</v>
      </c>
      <c r="O60" s="300">
        <v>2</v>
      </c>
      <c r="P60" s="311" t="s">
        <v>1336</v>
      </c>
      <c r="Q60" s="312"/>
    </row>
    <row r="61" spans="1:17" ht="38.25" x14ac:dyDescent="0.2">
      <c r="A61" s="255" t="s">
        <v>351</v>
      </c>
      <c r="B61" s="255" t="s">
        <v>351</v>
      </c>
      <c r="C61" s="255">
        <v>2018</v>
      </c>
      <c r="D61" s="255" t="s">
        <v>363</v>
      </c>
      <c r="E61" s="255" t="s">
        <v>353</v>
      </c>
      <c r="F61" s="255" t="s">
        <v>76</v>
      </c>
      <c r="G61" s="255" t="s">
        <v>366</v>
      </c>
      <c r="H61" s="255" t="s">
        <v>19</v>
      </c>
      <c r="I61" s="255" t="s">
        <v>460</v>
      </c>
      <c r="J61" s="255">
        <v>250</v>
      </c>
      <c r="K61" s="255" t="s">
        <v>457</v>
      </c>
      <c r="L61" s="305"/>
      <c r="M61" s="299">
        <v>100</v>
      </c>
      <c r="N61" s="779">
        <f t="shared" si="1"/>
        <v>40</v>
      </c>
      <c r="O61" s="300">
        <v>2</v>
      </c>
      <c r="P61" s="311" t="s">
        <v>461</v>
      </c>
      <c r="Q61" s="312" t="s">
        <v>1337</v>
      </c>
    </row>
    <row r="62" spans="1:17" ht="25.5" x14ac:dyDescent="0.2">
      <c r="A62" s="255" t="s">
        <v>351</v>
      </c>
      <c r="B62" s="255" t="s">
        <v>351</v>
      </c>
      <c r="C62" s="255">
        <v>2018</v>
      </c>
      <c r="D62" s="255" t="s">
        <v>363</v>
      </c>
      <c r="E62" s="255" t="s">
        <v>353</v>
      </c>
      <c r="F62" s="255" t="s">
        <v>76</v>
      </c>
      <c r="G62" s="255" t="s">
        <v>366</v>
      </c>
      <c r="H62" s="255" t="s">
        <v>20</v>
      </c>
      <c r="I62" s="255" t="s">
        <v>460</v>
      </c>
      <c r="J62" s="255">
        <v>250</v>
      </c>
      <c r="K62" s="255" t="s">
        <v>457</v>
      </c>
      <c r="L62" s="305"/>
      <c r="M62" s="299">
        <v>300</v>
      </c>
      <c r="N62" s="779">
        <f t="shared" si="1"/>
        <v>120</v>
      </c>
      <c r="O62" s="300">
        <v>2</v>
      </c>
      <c r="P62" s="311" t="s">
        <v>461</v>
      </c>
      <c r="Q62" s="312"/>
    </row>
    <row r="63" spans="1:17" ht="38.25" x14ac:dyDescent="0.2">
      <c r="A63" s="255" t="s">
        <v>351</v>
      </c>
      <c r="B63" s="255" t="s">
        <v>351</v>
      </c>
      <c r="C63" s="255">
        <v>2018</v>
      </c>
      <c r="D63" s="255" t="s">
        <v>363</v>
      </c>
      <c r="E63" s="255" t="s">
        <v>353</v>
      </c>
      <c r="F63" s="255" t="s">
        <v>76</v>
      </c>
      <c r="G63" s="255" t="s">
        <v>366</v>
      </c>
      <c r="H63" s="255" t="s">
        <v>458</v>
      </c>
      <c r="I63" s="255" t="s">
        <v>460</v>
      </c>
      <c r="J63" s="255">
        <v>250</v>
      </c>
      <c r="K63" s="255" t="s">
        <v>457</v>
      </c>
      <c r="L63" s="305"/>
      <c r="M63" s="299">
        <v>100</v>
      </c>
      <c r="N63" s="779">
        <f t="shared" si="1"/>
        <v>40</v>
      </c>
      <c r="O63" s="300">
        <v>2</v>
      </c>
      <c r="P63" s="311" t="s">
        <v>461</v>
      </c>
      <c r="Q63" s="312" t="s">
        <v>1337</v>
      </c>
    </row>
    <row r="64" spans="1:17" ht="38.25" x14ac:dyDescent="0.2">
      <c r="A64" s="255" t="s">
        <v>351</v>
      </c>
      <c r="B64" s="255" t="s">
        <v>351</v>
      </c>
      <c r="C64" s="255">
        <v>2018</v>
      </c>
      <c r="D64" s="255" t="s">
        <v>363</v>
      </c>
      <c r="E64" s="255" t="s">
        <v>353</v>
      </c>
      <c r="F64" s="255" t="s">
        <v>76</v>
      </c>
      <c r="G64" s="255" t="s">
        <v>366</v>
      </c>
      <c r="H64" s="255" t="s">
        <v>459</v>
      </c>
      <c r="I64" s="255" t="s">
        <v>460</v>
      </c>
      <c r="J64" s="255">
        <v>250</v>
      </c>
      <c r="K64" s="255" t="s">
        <v>457</v>
      </c>
      <c r="L64" s="305"/>
      <c r="M64" s="299">
        <v>100</v>
      </c>
      <c r="N64" s="779">
        <f t="shared" si="1"/>
        <v>40</v>
      </c>
      <c r="O64" s="300">
        <v>2</v>
      </c>
      <c r="P64" s="311" t="s">
        <v>461</v>
      </c>
      <c r="Q64" s="312" t="s">
        <v>1337</v>
      </c>
    </row>
    <row r="65" spans="1:18" ht="25.5" x14ac:dyDescent="0.2">
      <c r="A65" s="255" t="s">
        <v>351</v>
      </c>
      <c r="B65" s="255" t="s">
        <v>351</v>
      </c>
      <c r="C65" s="255">
        <v>2018</v>
      </c>
      <c r="D65" s="255" t="s">
        <v>363</v>
      </c>
      <c r="E65" s="255" t="s">
        <v>353</v>
      </c>
      <c r="F65" s="255" t="s">
        <v>76</v>
      </c>
      <c r="G65" s="255" t="s">
        <v>367</v>
      </c>
      <c r="H65" s="255" t="s">
        <v>42</v>
      </c>
      <c r="I65" s="255" t="s">
        <v>456</v>
      </c>
      <c r="J65" s="255">
        <v>80</v>
      </c>
      <c r="K65" s="255" t="s">
        <v>457</v>
      </c>
      <c r="L65" s="305"/>
      <c r="M65" s="299">
        <v>1220</v>
      </c>
      <c r="N65" s="779">
        <f t="shared" si="1"/>
        <v>1525</v>
      </c>
      <c r="O65" s="300">
        <v>7</v>
      </c>
      <c r="P65" s="311" t="s">
        <v>1322</v>
      </c>
      <c r="Q65" s="312" t="s">
        <v>1324</v>
      </c>
    </row>
    <row r="66" spans="1:18" ht="25.5" x14ac:dyDescent="0.2">
      <c r="A66" s="255" t="s">
        <v>351</v>
      </c>
      <c r="B66" s="255" t="s">
        <v>351</v>
      </c>
      <c r="C66" s="255">
        <v>2018</v>
      </c>
      <c r="D66" s="255" t="s">
        <v>363</v>
      </c>
      <c r="E66" s="255" t="s">
        <v>353</v>
      </c>
      <c r="F66" s="255" t="s">
        <v>76</v>
      </c>
      <c r="G66" s="255" t="s">
        <v>367</v>
      </c>
      <c r="H66" s="255" t="s">
        <v>19</v>
      </c>
      <c r="I66" s="255" t="s">
        <v>456</v>
      </c>
      <c r="J66" s="255">
        <v>80</v>
      </c>
      <c r="K66" s="255" t="s">
        <v>457</v>
      </c>
      <c r="L66" s="305"/>
      <c r="M66" s="299">
        <v>483</v>
      </c>
      <c r="N66" s="779">
        <f t="shared" si="1"/>
        <v>603.75</v>
      </c>
      <c r="O66" s="300">
        <v>7</v>
      </c>
      <c r="P66" s="311" t="s">
        <v>1335</v>
      </c>
      <c r="Q66" s="312" t="s">
        <v>1324</v>
      </c>
    </row>
    <row r="67" spans="1:18" ht="25.5" x14ac:dyDescent="0.2">
      <c r="A67" s="255" t="s">
        <v>351</v>
      </c>
      <c r="B67" s="255" t="s">
        <v>351</v>
      </c>
      <c r="C67" s="255">
        <v>2018</v>
      </c>
      <c r="D67" s="255" t="s">
        <v>363</v>
      </c>
      <c r="E67" s="255" t="s">
        <v>353</v>
      </c>
      <c r="F67" s="255" t="s">
        <v>76</v>
      </c>
      <c r="G67" s="255" t="s">
        <v>367</v>
      </c>
      <c r="H67" s="255" t="s">
        <v>20</v>
      </c>
      <c r="I67" s="255" t="s">
        <v>456</v>
      </c>
      <c r="J67" s="255">
        <v>80</v>
      </c>
      <c r="K67" s="255" t="s">
        <v>457</v>
      </c>
      <c r="L67" s="305"/>
      <c r="M67" s="299">
        <v>483</v>
      </c>
      <c r="N67" s="779">
        <f t="shared" si="1"/>
        <v>603.75</v>
      </c>
      <c r="O67" s="300">
        <v>7</v>
      </c>
      <c r="P67" s="311" t="s">
        <v>1335</v>
      </c>
      <c r="Q67" s="312" t="s">
        <v>1324</v>
      </c>
    </row>
    <row r="68" spans="1:18" ht="25.5" x14ac:dyDescent="0.2">
      <c r="A68" s="255" t="s">
        <v>351</v>
      </c>
      <c r="B68" s="255" t="s">
        <v>351</v>
      </c>
      <c r="C68" s="255">
        <v>2018</v>
      </c>
      <c r="D68" s="255" t="s">
        <v>363</v>
      </c>
      <c r="E68" s="255" t="s">
        <v>353</v>
      </c>
      <c r="F68" s="255" t="s">
        <v>76</v>
      </c>
      <c r="G68" s="255" t="s">
        <v>367</v>
      </c>
      <c r="H68" s="255" t="s">
        <v>458</v>
      </c>
      <c r="I68" s="255" t="s">
        <v>456</v>
      </c>
      <c r="J68" s="255">
        <v>80</v>
      </c>
      <c r="K68" s="255" t="s">
        <v>457</v>
      </c>
      <c r="L68" s="305"/>
      <c r="M68" s="299">
        <v>483</v>
      </c>
      <c r="N68" s="779">
        <f t="shared" si="1"/>
        <v>603.75</v>
      </c>
      <c r="O68" s="300">
        <v>7</v>
      </c>
      <c r="P68" s="311" t="s">
        <v>1335</v>
      </c>
      <c r="Q68" s="312" t="s">
        <v>1324</v>
      </c>
    </row>
    <row r="69" spans="1:18" ht="25.5" x14ac:dyDescent="0.2">
      <c r="A69" s="255" t="s">
        <v>351</v>
      </c>
      <c r="B69" s="255" t="s">
        <v>351</v>
      </c>
      <c r="C69" s="255">
        <v>2018</v>
      </c>
      <c r="D69" s="255" t="s">
        <v>363</v>
      </c>
      <c r="E69" s="255" t="s">
        <v>353</v>
      </c>
      <c r="F69" s="255" t="s">
        <v>76</v>
      </c>
      <c r="G69" s="255" t="s">
        <v>367</v>
      </c>
      <c r="H69" s="255" t="s">
        <v>459</v>
      </c>
      <c r="I69" s="255" t="s">
        <v>456</v>
      </c>
      <c r="J69" s="255">
        <v>80</v>
      </c>
      <c r="K69" s="255" t="s">
        <v>457</v>
      </c>
      <c r="L69" s="305"/>
      <c r="M69" s="299">
        <v>483</v>
      </c>
      <c r="N69" s="779">
        <f t="shared" si="1"/>
        <v>603.75</v>
      </c>
      <c r="O69" s="300">
        <v>7</v>
      </c>
      <c r="P69" s="311" t="s">
        <v>1335</v>
      </c>
      <c r="Q69" s="312" t="s">
        <v>1324</v>
      </c>
    </row>
    <row r="70" spans="1:18" x14ac:dyDescent="0.2">
      <c r="A70" s="255" t="s">
        <v>351</v>
      </c>
      <c r="B70" s="255" t="s">
        <v>351</v>
      </c>
      <c r="C70" s="255">
        <v>2018</v>
      </c>
      <c r="D70" s="255" t="s">
        <v>363</v>
      </c>
      <c r="E70" s="255" t="s">
        <v>353</v>
      </c>
      <c r="F70" s="255" t="s">
        <v>76</v>
      </c>
      <c r="G70" s="255" t="s">
        <v>367</v>
      </c>
      <c r="H70" s="255" t="s">
        <v>42</v>
      </c>
      <c r="I70" s="255" t="s">
        <v>460</v>
      </c>
      <c r="J70" s="255">
        <v>0</v>
      </c>
      <c r="K70" s="255" t="s">
        <v>457</v>
      </c>
      <c r="L70" s="305" t="s">
        <v>463</v>
      </c>
      <c r="M70" s="299">
        <v>285</v>
      </c>
      <c r="N70" s="300" t="s">
        <v>1153</v>
      </c>
      <c r="O70" s="300">
        <v>2</v>
      </c>
      <c r="P70" s="311" t="s">
        <v>1325</v>
      </c>
      <c r="Q70" s="312"/>
    </row>
    <row r="71" spans="1:18" x14ac:dyDescent="0.2">
      <c r="A71" s="255" t="s">
        <v>351</v>
      </c>
      <c r="B71" s="255" t="s">
        <v>351</v>
      </c>
      <c r="C71" s="255">
        <v>2018</v>
      </c>
      <c r="D71" s="255" t="s">
        <v>363</v>
      </c>
      <c r="E71" s="255" t="s">
        <v>353</v>
      </c>
      <c r="F71" s="255" t="s">
        <v>76</v>
      </c>
      <c r="G71" s="255" t="s">
        <v>367</v>
      </c>
      <c r="H71" s="255" t="s">
        <v>19</v>
      </c>
      <c r="I71" s="255" t="s">
        <v>460</v>
      </c>
      <c r="J71" s="255">
        <v>0</v>
      </c>
      <c r="K71" s="255" t="s">
        <v>457</v>
      </c>
      <c r="L71" s="305" t="s">
        <v>463</v>
      </c>
      <c r="M71" s="299">
        <v>13</v>
      </c>
      <c r="N71" s="300" t="s">
        <v>1153</v>
      </c>
      <c r="O71" s="300">
        <v>2</v>
      </c>
      <c r="P71" s="311" t="s">
        <v>1325</v>
      </c>
      <c r="Q71" s="312"/>
    </row>
    <row r="72" spans="1:18" x14ac:dyDescent="0.2">
      <c r="A72" s="255" t="s">
        <v>351</v>
      </c>
      <c r="B72" s="255" t="s">
        <v>351</v>
      </c>
      <c r="C72" s="255">
        <v>2018</v>
      </c>
      <c r="D72" s="255" t="s">
        <v>363</v>
      </c>
      <c r="E72" s="255" t="s">
        <v>353</v>
      </c>
      <c r="F72" s="255" t="s">
        <v>76</v>
      </c>
      <c r="G72" s="255" t="s">
        <v>367</v>
      </c>
      <c r="H72" s="255" t="s">
        <v>20</v>
      </c>
      <c r="I72" s="255" t="s">
        <v>460</v>
      </c>
      <c r="J72" s="255">
        <v>0</v>
      </c>
      <c r="K72" s="255" t="s">
        <v>457</v>
      </c>
      <c r="L72" s="305" t="s">
        <v>463</v>
      </c>
      <c r="M72" s="299">
        <v>13</v>
      </c>
      <c r="N72" s="300" t="s">
        <v>1153</v>
      </c>
      <c r="O72" s="300">
        <v>2</v>
      </c>
      <c r="P72" s="311" t="s">
        <v>1325</v>
      </c>
      <c r="Q72" s="312"/>
    </row>
    <row r="73" spans="1:18" x14ac:dyDescent="0.2">
      <c r="A73" s="255" t="s">
        <v>351</v>
      </c>
      <c r="B73" s="255" t="s">
        <v>351</v>
      </c>
      <c r="C73" s="255">
        <v>2018</v>
      </c>
      <c r="D73" s="255" t="s">
        <v>363</v>
      </c>
      <c r="E73" s="255" t="s">
        <v>353</v>
      </c>
      <c r="F73" s="255" t="s">
        <v>76</v>
      </c>
      <c r="G73" s="255" t="s">
        <v>367</v>
      </c>
      <c r="H73" s="255" t="s">
        <v>458</v>
      </c>
      <c r="I73" s="255" t="s">
        <v>460</v>
      </c>
      <c r="J73" s="255">
        <v>0</v>
      </c>
      <c r="K73" s="255" t="s">
        <v>457</v>
      </c>
      <c r="L73" s="305" t="s">
        <v>463</v>
      </c>
      <c r="M73" s="299">
        <v>13</v>
      </c>
      <c r="N73" s="300" t="s">
        <v>1153</v>
      </c>
      <c r="O73" s="300">
        <v>2</v>
      </c>
      <c r="P73" s="311" t="s">
        <v>1325</v>
      </c>
      <c r="Q73" s="312"/>
    </row>
    <row r="74" spans="1:18" x14ac:dyDescent="0.2">
      <c r="A74" s="255" t="s">
        <v>351</v>
      </c>
      <c r="B74" s="255" t="s">
        <v>351</v>
      </c>
      <c r="C74" s="255">
        <v>2018</v>
      </c>
      <c r="D74" s="255" t="s">
        <v>363</v>
      </c>
      <c r="E74" s="255" t="s">
        <v>353</v>
      </c>
      <c r="F74" s="255" t="s">
        <v>76</v>
      </c>
      <c r="G74" s="255" t="s">
        <v>367</v>
      </c>
      <c r="H74" s="255" t="s">
        <v>459</v>
      </c>
      <c r="I74" s="255" t="s">
        <v>460</v>
      </c>
      <c r="J74" s="255">
        <v>0</v>
      </c>
      <c r="K74" s="255" t="s">
        <v>457</v>
      </c>
      <c r="L74" s="305" t="s">
        <v>463</v>
      </c>
      <c r="M74" s="299">
        <v>13</v>
      </c>
      <c r="N74" s="300" t="s">
        <v>1153</v>
      </c>
      <c r="O74" s="300">
        <v>2</v>
      </c>
      <c r="P74" s="311" t="s">
        <v>1325</v>
      </c>
      <c r="Q74" s="312"/>
    </row>
    <row r="75" spans="1:18" ht="25.5" x14ac:dyDescent="0.2">
      <c r="A75" s="255" t="s">
        <v>351</v>
      </c>
      <c r="B75" s="255" t="s">
        <v>351</v>
      </c>
      <c r="C75" s="255">
        <v>2018</v>
      </c>
      <c r="D75" s="255" t="s">
        <v>363</v>
      </c>
      <c r="E75" s="255" t="s">
        <v>353</v>
      </c>
      <c r="F75" s="255" t="s">
        <v>76</v>
      </c>
      <c r="G75" s="255" t="s">
        <v>368</v>
      </c>
      <c r="H75" s="255" t="s">
        <v>42</v>
      </c>
      <c r="I75" s="255" t="s">
        <v>456</v>
      </c>
      <c r="J75" s="255">
        <v>1500</v>
      </c>
      <c r="K75" s="255" t="s">
        <v>457</v>
      </c>
      <c r="L75" s="305" t="s">
        <v>464</v>
      </c>
      <c r="M75" s="299">
        <v>3052</v>
      </c>
      <c r="N75" s="779">
        <f t="shared" ref="N75:N99" si="2">(100*M75/J75)</f>
        <v>203.46666666666667</v>
      </c>
      <c r="O75" s="300">
        <v>14</v>
      </c>
      <c r="P75" s="311" t="s">
        <v>1322</v>
      </c>
      <c r="Q75" s="312" t="s">
        <v>1324</v>
      </c>
    </row>
    <row r="76" spans="1:18" ht="38.25" x14ac:dyDescent="0.2">
      <c r="A76" s="255" t="s">
        <v>351</v>
      </c>
      <c r="B76" s="255" t="s">
        <v>351</v>
      </c>
      <c r="C76" s="255">
        <v>2018</v>
      </c>
      <c r="D76" s="255" t="s">
        <v>363</v>
      </c>
      <c r="E76" s="255" t="s">
        <v>353</v>
      </c>
      <c r="F76" s="255" t="s">
        <v>76</v>
      </c>
      <c r="G76" s="255" t="s">
        <v>368</v>
      </c>
      <c r="H76" s="255" t="s">
        <v>19</v>
      </c>
      <c r="I76" s="255" t="s">
        <v>456</v>
      </c>
      <c r="J76" s="255">
        <v>1500</v>
      </c>
      <c r="K76" s="255" t="s">
        <v>457</v>
      </c>
      <c r="L76" s="305" t="s">
        <v>464</v>
      </c>
      <c r="M76" s="299">
        <v>799</v>
      </c>
      <c r="N76" s="779">
        <f t="shared" si="2"/>
        <v>53.266666666666666</v>
      </c>
      <c r="O76" s="300">
        <v>14</v>
      </c>
      <c r="P76" s="311" t="s">
        <v>1335</v>
      </c>
      <c r="Q76" s="312" t="s">
        <v>1729</v>
      </c>
      <c r="R76" s="298"/>
    </row>
    <row r="77" spans="1:18" ht="38.25" x14ac:dyDescent="0.2">
      <c r="A77" s="255" t="s">
        <v>351</v>
      </c>
      <c r="B77" s="255" t="s">
        <v>351</v>
      </c>
      <c r="C77" s="255">
        <v>2018</v>
      </c>
      <c r="D77" s="255" t="s">
        <v>363</v>
      </c>
      <c r="E77" s="255" t="s">
        <v>353</v>
      </c>
      <c r="F77" s="255" t="s">
        <v>76</v>
      </c>
      <c r="G77" s="255" t="s">
        <v>368</v>
      </c>
      <c r="H77" s="255" t="s">
        <v>20</v>
      </c>
      <c r="I77" s="255" t="s">
        <v>456</v>
      </c>
      <c r="J77" s="255">
        <v>1500</v>
      </c>
      <c r="K77" s="255" t="s">
        <v>457</v>
      </c>
      <c r="L77" s="305" t="s">
        <v>464</v>
      </c>
      <c r="M77" s="299">
        <v>799</v>
      </c>
      <c r="N77" s="779">
        <f t="shared" si="2"/>
        <v>53.266666666666666</v>
      </c>
      <c r="O77" s="300">
        <v>14</v>
      </c>
      <c r="P77" s="311" t="s">
        <v>1335</v>
      </c>
      <c r="Q77" s="312" t="s">
        <v>1732</v>
      </c>
    </row>
    <row r="78" spans="1:18" ht="38.25" x14ac:dyDescent="0.2">
      <c r="A78" s="255" t="s">
        <v>351</v>
      </c>
      <c r="B78" s="255" t="s">
        <v>351</v>
      </c>
      <c r="C78" s="255">
        <v>2018</v>
      </c>
      <c r="D78" s="255" t="s">
        <v>363</v>
      </c>
      <c r="E78" s="255" t="s">
        <v>353</v>
      </c>
      <c r="F78" s="255" t="s">
        <v>76</v>
      </c>
      <c r="G78" s="255" t="s">
        <v>368</v>
      </c>
      <c r="H78" s="255" t="s">
        <v>458</v>
      </c>
      <c r="I78" s="255" t="s">
        <v>456</v>
      </c>
      <c r="J78" s="255">
        <v>1500</v>
      </c>
      <c r="K78" s="255" t="s">
        <v>457</v>
      </c>
      <c r="L78" s="305" t="s">
        <v>464</v>
      </c>
      <c r="M78" s="299">
        <v>799</v>
      </c>
      <c r="N78" s="779">
        <f t="shared" si="2"/>
        <v>53.266666666666666</v>
      </c>
      <c r="O78" s="300">
        <v>14</v>
      </c>
      <c r="P78" s="311" t="s">
        <v>1335</v>
      </c>
      <c r="Q78" s="312" t="s">
        <v>1733</v>
      </c>
    </row>
    <row r="79" spans="1:18" ht="38.25" x14ac:dyDescent="0.2">
      <c r="A79" s="255" t="s">
        <v>351</v>
      </c>
      <c r="B79" s="255" t="s">
        <v>351</v>
      </c>
      <c r="C79" s="255">
        <v>2018</v>
      </c>
      <c r="D79" s="255" t="s">
        <v>363</v>
      </c>
      <c r="E79" s="255" t="s">
        <v>353</v>
      </c>
      <c r="F79" s="255" t="s">
        <v>76</v>
      </c>
      <c r="G79" s="255" t="s">
        <v>368</v>
      </c>
      <c r="H79" s="255" t="s">
        <v>459</v>
      </c>
      <c r="I79" s="255" t="s">
        <v>456</v>
      </c>
      <c r="J79" s="255">
        <v>1500</v>
      </c>
      <c r="K79" s="255" t="s">
        <v>457</v>
      </c>
      <c r="L79" s="305" t="s">
        <v>464</v>
      </c>
      <c r="M79" s="299">
        <v>796</v>
      </c>
      <c r="N79" s="779">
        <f t="shared" si="2"/>
        <v>53.06666666666667</v>
      </c>
      <c r="O79" s="300">
        <v>14</v>
      </c>
      <c r="P79" s="311" t="s">
        <v>1335</v>
      </c>
      <c r="Q79" s="312" t="s">
        <v>1733</v>
      </c>
    </row>
    <row r="80" spans="1:18" ht="25.5" x14ac:dyDescent="0.2">
      <c r="A80" s="255" t="s">
        <v>351</v>
      </c>
      <c r="B80" s="255" t="s">
        <v>351</v>
      </c>
      <c r="C80" s="255">
        <v>2018</v>
      </c>
      <c r="D80" s="255" t="s">
        <v>363</v>
      </c>
      <c r="E80" s="255" t="s">
        <v>353</v>
      </c>
      <c r="F80" s="255" t="s">
        <v>76</v>
      </c>
      <c r="G80" s="255" t="s">
        <v>368</v>
      </c>
      <c r="H80" s="255" t="s">
        <v>42</v>
      </c>
      <c r="I80" s="255" t="s">
        <v>460</v>
      </c>
      <c r="J80" s="255">
        <v>100</v>
      </c>
      <c r="K80" s="255" t="s">
        <v>457</v>
      </c>
      <c r="L80" s="305" t="s">
        <v>464</v>
      </c>
      <c r="M80" s="299">
        <v>1668</v>
      </c>
      <c r="N80" s="779">
        <f t="shared" si="2"/>
        <v>1668</v>
      </c>
      <c r="O80" s="300">
        <v>15</v>
      </c>
      <c r="P80" s="311" t="s">
        <v>1322</v>
      </c>
      <c r="Q80" s="312" t="s">
        <v>1324</v>
      </c>
    </row>
    <row r="81" spans="1:17" ht="25.5" x14ac:dyDescent="0.2">
      <c r="A81" s="255" t="s">
        <v>351</v>
      </c>
      <c r="B81" s="255" t="s">
        <v>351</v>
      </c>
      <c r="C81" s="255">
        <v>2018</v>
      </c>
      <c r="D81" s="255" t="s">
        <v>363</v>
      </c>
      <c r="E81" s="255" t="s">
        <v>353</v>
      </c>
      <c r="F81" s="255" t="s">
        <v>76</v>
      </c>
      <c r="G81" s="255" t="s">
        <v>368</v>
      </c>
      <c r="H81" s="255" t="s">
        <v>19</v>
      </c>
      <c r="I81" s="255" t="s">
        <v>460</v>
      </c>
      <c r="J81" s="255">
        <v>100</v>
      </c>
      <c r="K81" s="255" t="s">
        <v>457</v>
      </c>
      <c r="L81" s="305" t="s">
        <v>465</v>
      </c>
      <c r="M81" s="299">
        <v>529</v>
      </c>
      <c r="N81" s="779">
        <f t="shared" si="2"/>
        <v>529</v>
      </c>
      <c r="O81" s="300">
        <v>15</v>
      </c>
      <c r="P81" s="311" t="s">
        <v>461</v>
      </c>
      <c r="Q81" s="312" t="s">
        <v>1324</v>
      </c>
    </row>
    <row r="82" spans="1:17" ht="25.5" x14ac:dyDescent="0.2">
      <c r="A82" s="255" t="s">
        <v>351</v>
      </c>
      <c r="B82" s="255" t="s">
        <v>351</v>
      </c>
      <c r="C82" s="255">
        <v>2018</v>
      </c>
      <c r="D82" s="255" t="s">
        <v>363</v>
      </c>
      <c r="E82" s="255" t="s">
        <v>353</v>
      </c>
      <c r="F82" s="255" t="s">
        <v>76</v>
      </c>
      <c r="G82" s="255" t="s">
        <v>368</v>
      </c>
      <c r="H82" s="255" t="s">
        <v>20</v>
      </c>
      <c r="I82" s="255" t="s">
        <v>460</v>
      </c>
      <c r="J82" s="255">
        <v>100</v>
      </c>
      <c r="K82" s="255" t="s">
        <v>457</v>
      </c>
      <c r="L82" s="305" t="s">
        <v>465</v>
      </c>
      <c r="M82" s="299">
        <v>807</v>
      </c>
      <c r="N82" s="779">
        <f t="shared" si="2"/>
        <v>807</v>
      </c>
      <c r="O82" s="300">
        <v>15</v>
      </c>
      <c r="P82" s="311" t="s">
        <v>461</v>
      </c>
      <c r="Q82" s="312" t="s">
        <v>1324</v>
      </c>
    </row>
    <row r="83" spans="1:17" ht="25.5" x14ac:dyDescent="0.2">
      <c r="A83" s="255" t="s">
        <v>351</v>
      </c>
      <c r="B83" s="255" t="s">
        <v>351</v>
      </c>
      <c r="C83" s="255">
        <v>2018</v>
      </c>
      <c r="D83" s="255" t="s">
        <v>363</v>
      </c>
      <c r="E83" s="255" t="s">
        <v>353</v>
      </c>
      <c r="F83" s="255" t="s">
        <v>76</v>
      </c>
      <c r="G83" s="255" t="s">
        <v>368</v>
      </c>
      <c r="H83" s="255" t="s">
        <v>458</v>
      </c>
      <c r="I83" s="255" t="s">
        <v>460</v>
      </c>
      <c r="J83" s="255">
        <v>100</v>
      </c>
      <c r="K83" s="255" t="s">
        <v>457</v>
      </c>
      <c r="L83" s="305" t="s">
        <v>465</v>
      </c>
      <c r="M83" s="299">
        <v>529</v>
      </c>
      <c r="N83" s="779">
        <f t="shared" si="2"/>
        <v>529</v>
      </c>
      <c r="O83" s="300">
        <v>15</v>
      </c>
      <c r="P83" s="311" t="s">
        <v>461</v>
      </c>
      <c r="Q83" s="312" t="s">
        <v>1324</v>
      </c>
    </row>
    <row r="84" spans="1:17" ht="25.5" x14ac:dyDescent="0.2">
      <c r="A84" s="255" t="s">
        <v>351</v>
      </c>
      <c r="B84" s="255" t="s">
        <v>351</v>
      </c>
      <c r="C84" s="255">
        <v>2018</v>
      </c>
      <c r="D84" s="255" t="s">
        <v>363</v>
      </c>
      <c r="E84" s="255" t="s">
        <v>353</v>
      </c>
      <c r="F84" s="255" t="s">
        <v>76</v>
      </c>
      <c r="G84" s="255" t="s">
        <v>368</v>
      </c>
      <c r="H84" s="255" t="s">
        <v>459</v>
      </c>
      <c r="I84" s="255" t="s">
        <v>460</v>
      </c>
      <c r="J84" s="255">
        <v>100</v>
      </c>
      <c r="K84" s="255" t="s">
        <v>457</v>
      </c>
      <c r="L84" s="305" t="s">
        <v>465</v>
      </c>
      <c r="M84" s="299">
        <v>529</v>
      </c>
      <c r="N84" s="779">
        <f t="shared" si="2"/>
        <v>529</v>
      </c>
      <c r="O84" s="300">
        <v>15</v>
      </c>
      <c r="P84" s="311" t="s">
        <v>461</v>
      </c>
      <c r="Q84" s="312" t="s">
        <v>1324</v>
      </c>
    </row>
    <row r="85" spans="1:17" ht="25.5" x14ac:dyDescent="0.2">
      <c r="A85" s="255" t="s">
        <v>351</v>
      </c>
      <c r="B85" s="255" t="s">
        <v>351</v>
      </c>
      <c r="C85" s="255">
        <v>2018</v>
      </c>
      <c r="D85" s="255" t="s">
        <v>77</v>
      </c>
      <c r="E85" s="255" t="s">
        <v>353</v>
      </c>
      <c r="F85" s="255" t="s">
        <v>76</v>
      </c>
      <c r="G85" s="255" t="s">
        <v>370</v>
      </c>
      <c r="H85" s="255" t="s">
        <v>42</v>
      </c>
      <c r="I85" s="255" t="s">
        <v>456</v>
      </c>
      <c r="J85" s="255">
        <v>1000</v>
      </c>
      <c r="K85" s="255" t="s">
        <v>457</v>
      </c>
      <c r="L85" s="255"/>
      <c r="M85" s="299">
        <v>853</v>
      </c>
      <c r="N85" s="779">
        <f t="shared" si="2"/>
        <v>85.3</v>
      </c>
      <c r="O85" s="311">
        <v>35</v>
      </c>
      <c r="P85" s="311" t="s">
        <v>1322</v>
      </c>
      <c r="Q85" s="312" t="s">
        <v>1595</v>
      </c>
    </row>
    <row r="86" spans="1:17" ht="63.75" x14ac:dyDescent="0.2">
      <c r="A86" s="255" t="s">
        <v>351</v>
      </c>
      <c r="B86" s="255" t="s">
        <v>351</v>
      </c>
      <c r="C86" s="255">
        <v>2018</v>
      </c>
      <c r="D86" s="255" t="s">
        <v>77</v>
      </c>
      <c r="E86" s="255" t="s">
        <v>353</v>
      </c>
      <c r="F86" s="255" t="s">
        <v>76</v>
      </c>
      <c r="G86" s="255" t="s">
        <v>370</v>
      </c>
      <c r="H86" s="255" t="s">
        <v>19</v>
      </c>
      <c r="I86" s="255" t="s">
        <v>456</v>
      </c>
      <c r="J86" s="255">
        <v>750</v>
      </c>
      <c r="K86" s="255" t="s">
        <v>457</v>
      </c>
      <c r="L86" s="305"/>
      <c r="M86" s="299">
        <v>522</v>
      </c>
      <c r="N86" s="779">
        <f t="shared" si="2"/>
        <v>69.599999999999994</v>
      </c>
      <c r="O86" s="300">
        <v>25</v>
      </c>
      <c r="P86" s="311" t="s">
        <v>1338</v>
      </c>
      <c r="Q86" s="312" t="s">
        <v>1734</v>
      </c>
    </row>
    <row r="87" spans="1:17" ht="63.75" x14ac:dyDescent="0.2">
      <c r="A87" s="255" t="s">
        <v>351</v>
      </c>
      <c r="B87" s="255" t="s">
        <v>351</v>
      </c>
      <c r="C87" s="255">
        <v>2018</v>
      </c>
      <c r="D87" s="255" t="s">
        <v>77</v>
      </c>
      <c r="E87" s="255" t="s">
        <v>353</v>
      </c>
      <c r="F87" s="255" t="s">
        <v>76</v>
      </c>
      <c r="G87" s="255" t="s">
        <v>370</v>
      </c>
      <c r="H87" s="255" t="s">
        <v>20</v>
      </c>
      <c r="I87" s="255" t="s">
        <v>456</v>
      </c>
      <c r="J87" s="255">
        <v>750</v>
      </c>
      <c r="K87" s="255" t="s">
        <v>457</v>
      </c>
      <c r="L87" s="305"/>
      <c r="M87" s="299">
        <v>522</v>
      </c>
      <c r="N87" s="779">
        <f t="shared" si="2"/>
        <v>69.599999999999994</v>
      </c>
      <c r="O87" s="300">
        <v>25</v>
      </c>
      <c r="P87" s="311" t="s">
        <v>1338</v>
      </c>
      <c r="Q87" s="312" t="s">
        <v>1735</v>
      </c>
    </row>
    <row r="88" spans="1:17" ht="25.5" x14ac:dyDescent="0.2">
      <c r="A88" s="255" t="s">
        <v>351</v>
      </c>
      <c r="B88" s="255" t="s">
        <v>351</v>
      </c>
      <c r="C88" s="255">
        <v>2018</v>
      </c>
      <c r="D88" s="255" t="s">
        <v>77</v>
      </c>
      <c r="E88" s="255" t="s">
        <v>353</v>
      </c>
      <c r="F88" s="255" t="s">
        <v>76</v>
      </c>
      <c r="G88" s="255" t="s">
        <v>370</v>
      </c>
      <c r="H88" s="255" t="s">
        <v>458</v>
      </c>
      <c r="I88" s="255" t="s">
        <v>456</v>
      </c>
      <c r="J88" s="255">
        <v>250</v>
      </c>
      <c r="K88" s="255" t="s">
        <v>457</v>
      </c>
      <c r="L88" s="305"/>
      <c r="M88" s="299">
        <v>511</v>
      </c>
      <c r="N88" s="779">
        <f t="shared" si="2"/>
        <v>204.4</v>
      </c>
      <c r="O88" s="300">
        <v>22</v>
      </c>
      <c r="P88" s="311" t="s">
        <v>1338</v>
      </c>
      <c r="Q88" s="312" t="s">
        <v>1324</v>
      </c>
    </row>
    <row r="89" spans="1:17" ht="38.25" x14ac:dyDescent="0.2">
      <c r="A89" s="255" t="s">
        <v>351</v>
      </c>
      <c r="B89" s="255" t="s">
        <v>351</v>
      </c>
      <c r="C89" s="255">
        <v>2018</v>
      </c>
      <c r="D89" s="255" t="s">
        <v>77</v>
      </c>
      <c r="E89" s="255" t="s">
        <v>353</v>
      </c>
      <c r="F89" s="255" t="s">
        <v>76</v>
      </c>
      <c r="G89" s="255" t="s">
        <v>370</v>
      </c>
      <c r="H89" s="255" t="s">
        <v>459</v>
      </c>
      <c r="I89" s="255" t="s">
        <v>456</v>
      </c>
      <c r="J89" s="255">
        <v>100</v>
      </c>
      <c r="K89" s="255" t="s">
        <v>457</v>
      </c>
      <c r="L89" s="305"/>
      <c r="M89" s="299">
        <v>47</v>
      </c>
      <c r="N89" s="779">
        <f t="shared" si="2"/>
        <v>47</v>
      </c>
      <c r="O89" s="300">
        <v>1</v>
      </c>
      <c r="P89" s="311" t="s">
        <v>1338</v>
      </c>
      <c r="Q89" s="312" t="s">
        <v>1736</v>
      </c>
    </row>
    <row r="90" spans="1:17" ht="25.5" x14ac:dyDescent="0.2">
      <c r="A90" s="255" t="s">
        <v>351</v>
      </c>
      <c r="B90" s="255" t="s">
        <v>351</v>
      </c>
      <c r="C90" s="255">
        <v>2018</v>
      </c>
      <c r="D90" s="255" t="s">
        <v>77</v>
      </c>
      <c r="E90" s="255" t="s">
        <v>353</v>
      </c>
      <c r="F90" s="255" t="s">
        <v>76</v>
      </c>
      <c r="G90" s="255" t="s">
        <v>370</v>
      </c>
      <c r="H90" s="255" t="s">
        <v>42</v>
      </c>
      <c r="I90" s="255" t="s">
        <v>460</v>
      </c>
      <c r="J90" s="255">
        <v>25</v>
      </c>
      <c r="K90" s="255" t="s">
        <v>457</v>
      </c>
      <c r="L90" s="305"/>
      <c r="M90" s="299">
        <v>64</v>
      </c>
      <c r="N90" s="779">
        <f t="shared" si="2"/>
        <v>256</v>
      </c>
      <c r="O90" s="300">
        <v>27</v>
      </c>
      <c r="P90" s="311" t="s">
        <v>1325</v>
      </c>
      <c r="Q90" s="312" t="s">
        <v>1324</v>
      </c>
    </row>
    <row r="91" spans="1:17" ht="25.5" x14ac:dyDescent="0.2">
      <c r="A91" s="255" t="s">
        <v>351</v>
      </c>
      <c r="B91" s="255" t="s">
        <v>351</v>
      </c>
      <c r="C91" s="255">
        <v>2018</v>
      </c>
      <c r="D91" s="255" t="s">
        <v>77</v>
      </c>
      <c r="E91" s="255" t="s">
        <v>353</v>
      </c>
      <c r="F91" s="255" t="s">
        <v>76</v>
      </c>
      <c r="G91" s="255" t="s">
        <v>370</v>
      </c>
      <c r="H91" s="255" t="s">
        <v>19</v>
      </c>
      <c r="I91" s="255" t="s">
        <v>460</v>
      </c>
      <c r="J91" s="255">
        <v>25</v>
      </c>
      <c r="K91" s="255" t="s">
        <v>457</v>
      </c>
      <c r="L91" s="305"/>
      <c r="M91" s="299">
        <v>62</v>
      </c>
      <c r="N91" s="779">
        <f t="shared" si="2"/>
        <v>248</v>
      </c>
      <c r="O91" s="300">
        <v>27</v>
      </c>
      <c r="P91" s="311" t="s">
        <v>1325</v>
      </c>
      <c r="Q91" s="312" t="s">
        <v>1324</v>
      </c>
    </row>
    <row r="92" spans="1:17" ht="25.5" x14ac:dyDescent="0.2">
      <c r="A92" s="255" t="s">
        <v>351</v>
      </c>
      <c r="B92" s="255" t="s">
        <v>351</v>
      </c>
      <c r="C92" s="255">
        <v>2018</v>
      </c>
      <c r="D92" s="255" t="s">
        <v>77</v>
      </c>
      <c r="E92" s="255" t="s">
        <v>353</v>
      </c>
      <c r="F92" s="255" t="s">
        <v>76</v>
      </c>
      <c r="G92" s="255" t="s">
        <v>370</v>
      </c>
      <c r="H92" s="255" t="s">
        <v>20</v>
      </c>
      <c r="I92" s="255" t="s">
        <v>460</v>
      </c>
      <c r="J92" s="255">
        <v>25</v>
      </c>
      <c r="K92" s="255" t="s">
        <v>457</v>
      </c>
      <c r="L92" s="305"/>
      <c r="M92" s="299">
        <v>62</v>
      </c>
      <c r="N92" s="779">
        <f t="shared" si="2"/>
        <v>248</v>
      </c>
      <c r="O92" s="300">
        <v>27</v>
      </c>
      <c r="P92" s="311" t="s">
        <v>1325</v>
      </c>
      <c r="Q92" s="312" t="s">
        <v>1324</v>
      </c>
    </row>
    <row r="93" spans="1:17" ht="25.5" x14ac:dyDescent="0.2">
      <c r="A93" s="255" t="s">
        <v>351</v>
      </c>
      <c r="B93" s="255" t="s">
        <v>351</v>
      </c>
      <c r="C93" s="255">
        <v>2018</v>
      </c>
      <c r="D93" s="255" t="s">
        <v>77</v>
      </c>
      <c r="E93" s="255" t="s">
        <v>353</v>
      </c>
      <c r="F93" s="255" t="s">
        <v>76</v>
      </c>
      <c r="G93" s="255" t="s">
        <v>370</v>
      </c>
      <c r="H93" s="255" t="s">
        <v>458</v>
      </c>
      <c r="I93" s="255" t="s">
        <v>460</v>
      </c>
      <c r="J93" s="255">
        <v>25</v>
      </c>
      <c r="K93" s="255" t="s">
        <v>457</v>
      </c>
      <c r="L93" s="305"/>
      <c r="M93" s="299">
        <v>62</v>
      </c>
      <c r="N93" s="779">
        <f t="shared" si="2"/>
        <v>248</v>
      </c>
      <c r="O93" s="300">
        <v>27</v>
      </c>
      <c r="P93" s="311" t="s">
        <v>1325</v>
      </c>
      <c r="Q93" s="312" t="s">
        <v>1324</v>
      </c>
    </row>
    <row r="94" spans="1:17" x14ac:dyDescent="0.2">
      <c r="A94" s="255" t="s">
        <v>351</v>
      </c>
      <c r="B94" s="255" t="s">
        <v>351</v>
      </c>
      <c r="C94" s="255">
        <v>2018</v>
      </c>
      <c r="D94" s="255" t="s">
        <v>77</v>
      </c>
      <c r="E94" s="255" t="s">
        <v>353</v>
      </c>
      <c r="F94" s="255" t="s">
        <v>76</v>
      </c>
      <c r="G94" s="255" t="s">
        <v>370</v>
      </c>
      <c r="H94" s="255" t="s">
        <v>459</v>
      </c>
      <c r="I94" s="255" t="s">
        <v>460</v>
      </c>
      <c r="J94" s="255">
        <v>0</v>
      </c>
      <c r="K94" s="255" t="s">
        <v>457</v>
      </c>
      <c r="L94" s="305" t="s">
        <v>463</v>
      </c>
      <c r="M94" s="299">
        <v>62</v>
      </c>
      <c r="N94" s="300" t="s">
        <v>1153</v>
      </c>
      <c r="O94" s="300">
        <v>27</v>
      </c>
      <c r="P94" s="311" t="s">
        <v>1325</v>
      </c>
      <c r="Q94" s="312"/>
    </row>
    <row r="95" spans="1:17" ht="38.25" x14ac:dyDescent="0.2">
      <c r="A95" s="255" t="s">
        <v>351</v>
      </c>
      <c r="B95" s="255" t="s">
        <v>351</v>
      </c>
      <c r="C95" s="255">
        <v>2018</v>
      </c>
      <c r="D95" s="255" t="s">
        <v>77</v>
      </c>
      <c r="E95" s="255" t="s">
        <v>353</v>
      </c>
      <c r="F95" s="255" t="s">
        <v>76</v>
      </c>
      <c r="G95" s="255" t="s">
        <v>367</v>
      </c>
      <c r="H95" s="255" t="s">
        <v>42</v>
      </c>
      <c r="I95" s="255" t="s">
        <v>456</v>
      </c>
      <c r="J95" s="255">
        <v>1000</v>
      </c>
      <c r="K95" s="255" t="s">
        <v>457</v>
      </c>
      <c r="L95" s="305"/>
      <c r="M95" s="299">
        <v>727</v>
      </c>
      <c r="N95" s="779">
        <f t="shared" si="2"/>
        <v>72.7</v>
      </c>
      <c r="O95" s="300">
        <v>41</v>
      </c>
      <c r="P95" s="311" t="s">
        <v>1322</v>
      </c>
      <c r="Q95" s="312" t="s">
        <v>1339</v>
      </c>
    </row>
    <row r="96" spans="1:17" ht="38.25" x14ac:dyDescent="0.2">
      <c r="A96" s="255" t="s">
        <v>351</v>
      </c>
      <c r="B96" s="255" t="s">
        <v>351</v>
      </c>
      <c r="C96" s="255">
        <v>2018</v>
      </c>
      <c r="D96" s="255" t="s">
        <v>77</v>
      </c>
      <c r="E96" s="255" t="s">
        <v>353</v>
      </c>
      <c r="F96" s="255" t="s">
        <v>76</v>
      </c>
      <c r="G96" s="255" t="s">
        <v>367</v>
      </c>
      <c r="H96" s="255" t="s">
        <v>19</v>
      </c>
      <c r="I96" s="255" t="s">
        <v>456</v>
      </c>
      <c r="J96" s="255">
        <v>750</v>
      </c>
      <c r="K96" s="255" t="s">
        <v>457</v>
      </c>
      <c r="L96" s="305"/>
      <c r="M96" s="299">
        <v>272</v>
      </c>
      <c r="N96" s="779">
        <f t="shared" si="2"/>
        <v>36.266666666666666</v>
      </c>
      <c r="O96" s="300">
        <v>18</v>
      </c>
      <c r="P96" s="311" t="s">
        <v>1338</v>
      </c>
      <c r="Q96" s="312" t="s">
        <v>1340</v>
      </c>
    </row>
    <row r="97" spans="1:18" ht="38.25" x14ac:dyDescent="0.2">
      <c r="A97" s="255" t="s">
        <v>351</v>
      </c>
      <c r="B97" s="255" t="s">
        <v>351</v>
      </c>
      <c r="C97" s="255">
        <v>2018</v>
      </c>
      <c r="D97" s="255" t="s">
        <v>77</v>
      </c>
      <c r="E97" s="255" t="s">
        <v>353</v>
      </c>
      <c r="F97" s="255" t="s">
        <v>76</v>
      </c>
      <c r="G97" s="255" t="s">
        <v>367</v>
      </c>
      <c r="H97" s="255" t="s">
        <v>20</v>
      </c>
      <c r="I97" s="255" t="s">
        <v>456</v>
      </c>
      <c r="J97" s="255">
        <v>750</v>
      </c>
      <c r="K97" s="255" t="s">
        <v>457</v>
      </c>
      <c r="L97" s="305"/>
      <c r="M97" s="299">
        <v>272</v>
      </c>
      <c r="N97" s="779">
        <f t="shared" si="2"/>
        <v>36.266666666666666</v>
      </c>
      <c r="O97" s="300">
        <v>18</v>
      </c>
      <c r="P97" s="311" t="s">
        <v>1338</v>
      </c>
      <c r="Q97" s="312" t="s">
        <v>1340</v>
      </c>
    </row>
    <row r="98" spans="1:18" x14ac:dyDescent="0.2">
      <c r="A98" s="255" t="s">
        <v>351</v>
      </c>
      <c r="B98" s="255" t="s">
        <v>351</v>
      </c>
      <c r="C98" s="255">
        <v>2018</v>
      </c>
      <c r="D98" s="255" t="s">
        <v>77</v>
      </c>
      <c r="E98" s="255" t="s">
        <v>353</v>
      </c>
      <c r="F98" s="255" t="s">
        <v>76</v>
      </c>
      <c r="G98" s="255" t="s">
        <v>367</v>
      </c>
      <c r="H98" s="255" t="s">
        <v>458</v>
      </c>
      <c r="I98" s="255" t="s">
        <v>456</v>
      </c>
      <c r="J98" s="255">
        <v>250</v>
      </c>
      <c r="K98" s="255" t="s">
        <v>457</v>
      </c>
      <c r="L98" s="305"/>
      <c r="M98" s="299">
        <v>265</v>
      </c>
      <c r="N98" s="779">
        <f t="shared" si="2"/>
        <v>106</v>
      </c>
      <c r="O98" s="300">
        <v>15</v>
      </c>
      <c r="P98" s="311" t="s">
        <v>1338</v>
      </c>
      <c r="Q98" s="312"/>
    </row>
    <row r="99" spans="1:18" ht="25.5" x14ac:dyDescent="0.2">
      <c r="A99" s="255" t="s">
        <v>351</v>
      </c>
      <c r="B99" s="255" t="s">
        <v>351</v>
      </c>
      <c r="C99" s="255">
        <v>2018</v>
      </c>
      <c r="D99" s="255" t="s">
        <v>77</v>
      </c>
      <c r="E99" s="255" t="s">
        <v>353</v>
      </c>
      <c r="F99" s="255" t="s">
        <v>76</v>
      </c>
      <c r="G99" s="255" t="s">
        <v>367</v>
      </c>
      <c r="H99" s="255" t="s">
        <v>459</v>
      </c>
      <c r="I99" s="255" t="s">
        <v>456</v>
      </c>
      <c r="J99" s="255">
        <v>250</v>
      </c>
      <c r="K99" s="255" t="s">
        <v>457</v>
      </c>
      <c r="L99" s="305"/>
      <c r="M99" s="299">
        <v>12</v>
      </c>
      <c r="N99" s="779">
        <f t="shared" si="2"/>
        <v>4.8</v>
      </c>
      <c r="O99" s="300">
        <v>1</v>
      </c>
      <c r="P99" s="311" t="s">
        <v>1338</v>
      </c>
      <c r="Q99" s="312" t="s">
        <v>1341</v>
      </c>
      <c r="R99" s="298"/>
    </row>
    <row r="100" spans="1:18" x14ac:dyDescent="0.2">
      <c r="A100" s="255" t="s">
        <v>351</v>
      </c>
      <c r="B100" s="255" t="s">
        <v>351</v>
      </c>
      <c r="C100" s="255">
        <v>2018</v>
      </c>
      <c r="D100" s="255" t="s">
        <v>77</v>
      </c>
      <c r="E100" s="255" t="s">
        <v>353</v>
      </c>
      <c r="F100" s="255" t="s">
        <v>76</v>
      </c>
      <c r="G100" s="255" t="s">
        <v>367</v>
      </c>
      <c r="H100" s="255" t="s">
        <v>42</v>
      </c>
      <c r="I100" s="255" t="s">
        <v>460</v>
      </c>
      <c r="J100" s="255">
        <v>0</v>
      </c>
      <c r="K100" s="255" t="s">
        <v>457</v>
      </c>
      <c r="L100" s="305" t="s">
        <v>463</v>
      </c>
      <c r="M100" s="299">
        <v>0</v>
      </c>
      <c r="N100" s="300" t="s">
        <v>1153</v>
      </c>
      <c r="O100" s="300">
        <v>0</v>
      </c>
      <c r="P100" s="311" t="s">
        <v>1325</v>
      </c>
      <c r="Q100" s="312"/>
    </row>
    <row r="101" spans="1:18" x14ac:dyDescent="0.2">
      <c r="A101" s="255" t="s">
        <v>351</v>
      </c>
      <c r="B101" s="255" t="s">
        <v>351</v>
      </c>
      <c r="C101" s="255">
        <v>2018</v>
      </c>
      <c r="D101" s="255" t="s">
        <v>77</v>
      </c>
      <c r="E101" s="255" t="s">
        <v>353</v>
      </c>
      <c r="F101" s="255" t="s">
        <v>76</v>
      </c>
      <c r="G101" s="255" t="s">
        <v>367</v>
      </c>
      <c r="H101" s="255" t="s">
        <v>19</v>
      </c>
      <c r="I101" s="255" t="s">
        <v>460</v>
      </c>
      <c r="J101" s="255">
        <v>0</v>
      </c>
      <c r="K101" s="255" t="s">
        <v>457</v>
      </c>
      <c r="L101" s="305" t="s">
        <v>463</v>
      </c>
      <c r="M101" s="299">
        <v>0</v>
      </c>
      <c r="N101" s="300" t="s">
        <v>1153</v>
      </c>
      <c r="O101" s="300">
        <v>0</v>
      </c>
      <c r="P101" s="311" t="s">
        <v>1325</v>
      </c>
      <c r="Q101" s="312"/>
    </row>
    <row r="102" spans="1:18" x14ac:dyDescent="0.2">
      <c r="A102" s="255" t="s">
        <v>351</v>
      </c>
      <c r="B102" s="255" t="s">
        <v>351</v>
      </c>
      <c r="C102" s="255">
        <v>2018</v>
      </c>
      <c r="D102" s="255" t="s">
        <v>77</v>
      </c>
      <c r="E102" s="255" t="s">
        <v>353</v>
      </c>
      <c r="F102" s="255" t="s">
        <v>76</v>
      </c>
      <c r="G102" s="255" t="s">
        <v>367</v>
      </c>
      <c r="H102" s="255" t="s">
        <v>20</v>
      </c>
      <c r="I102" s="255" t="s">
        <v>460</v>
      </c>
      <c r="J102" s="255">
        <v>0</v>
      </c>
      <c r="K102" s="255" t="s">
        <v>457</v>
      </c>
      <c r="L102" s="305" t="s">
        <v>463</v>
      </c>
      <c r="M102" s="299">
        <v>0</v>
      </c>
      <c r="N102" s="300" t="s">
        <v>1153</v>
      </c>
      <c r="O102" s="300">
        <v>0</v>
      </c>
      <c r="P102" s="311" t="s">
        <v>1325</v>
      </c>
      <c r="Q102" s="312"/>
    </row>
    <row r="103" spans="1:18" x14ac:dyDescent="0.2">
      <c r="A103" s="255" t="s">
        <v>351</v>
      </c>
      <c r="B103" s="255" t="s">
        <v>351</v>
      </c>
      <c r="C103" s="255">
        <v>2018</v>
      </c>
      <c r="D103" s="255" t="s">
        <v>77</v>
      </c>
      <c r="E103" s="255" t="s">
        <v>353</v>
      </c>
      <c r="F103" s="255" t="s">
        <v>76</v>
      </c>
      <c r="G103" s="255" t="s">
        <v>367</v>
      </c>
      <c r="H103" s="255" t="s">
        <v>458</v>
      </c>
      <c r="I103" s="255" t="s">
        <v>460</v>
      </c>
      <c r="J103" s="255">
        <v>0</v>
      </c>
      <c r="K103" s="255" t="s">
        <v>457</v>
      </c>
      <c r="L103" s="305" t="s">
        <v>463</v>
      </c>
      <c r="M103" s="299">
        <v>0</v>
      </c>
      <c r="N103" s="300" t="s">
        <v>1153</v>
      </c>
      <c r="O103" s="300">
        <v>0</v>
      </c>
      <c r="P103" s="311" t="s">
        <v>1325</v>
      </c>
      <c r="Q103" s="312"/>
    </row>
    <row r="104" spans="1:18" x14ac:dyDescent="0.2">
      <c r="A104" s="255" t="s">
        <v>351</v>
      </c>
      <c r="B104" s="255" t="s">
        <v>351</v>
      </c>
      <c r="C104" s="255">
        <v>2018</v>
      </c>
      <c r="D104" s="255" t="s">
        <v>77</v>
      </c>
      <c r="E104" s="255" t="s">
        <v>353</v>
      </c>
      <c r="F104" s="255" t="s">
        <v>76</v>
      </c>
      <c r="G104" s="255" t="s">
        <v>367</v>
      </c>
      <c r="H104" s="255" t="s">
        <v>459</v>
      </c>
      <c r="I104" s="255" t="s">
        <v>460</v>
      </c>
      <c r="J104" s="255">
        <v>0</v>
      </c>
      <c r="K104" s="255" t="s">
        <v>457</v>
      </c>
      <c r="L104" s="305" t="s">
        <v>463</v>
      </c>
      <c r="M104" s="299">
        <v>0</v>
      </c>
      <c r="N104" s="300" t="s">
        <v>1153</v>
      </c>
      <c r="O104" s="300">
        <v>0</v>
      </c>
      <c r="P104" s="311" t="s">
        <v>1325</v>
      </c>
      <c r="Q104" s="312"/>
    </row>
    <row r="105" spans="1:18" ht="25.5" x14ac:dyDescent="0.2">
      <c r="A105" s="255" t="s">
        <v>351</v>
      </c>
      <c r="B105" s="255" t="s">
        <v>351</v>
      </c>
      <c r="C105" s="255">
        <v>2018</v>
      </c>
      <c r="D105" s="255" t="s">
        <v>77</v>
      </c>
      <c r="E105" s="255" t="s">
        <v>353</v>
      </c>
      <c r="F105" s="255" t="s">
        <v>76</v>
      </c>
      <c r="G105" s="255" t="s">
        <v>371</v>
      </c>
      <c r="H105" s="255" t="s">
        <v>42</v>
      </c>
      <c r="I105" s="255" t="s">
        <v>456</v>
      </c>
      <c r="J105" s="255">
        <v>2000</v>
      </c>
      <c r="K105" s="255" t="s">
        <v>457</v>
      </c>
      <c r="L105" s="305"/>
      <c r="M105" s="299">
        <v>4250</v>
      </c>
      <c r="N105" s="779">
        <f t="shared" ref="N105:N115" si="3">(100*M105/J105)</f>
        <v>212.5</v>
      </c>
      <c r="O105" s="300">
        <v>306</v>
      </c>
      <c r="P105" s="311" t="s">
        <v>1322</v>
      </c>
      <c r="Q105" s="312" t="s">
        <v>1324</v>
      </c>
    </row>
    <row r="106" spans="1:18" ht="25.5" x14ac:dyDescent="0.2">
      <c r="A106" s="255" t="s">
        <v>351</v>
      </c>
      <c r="B106" s="255" t="s">
        <v>351</v>
      </c>
      <c r="C106" s="255">
        <v>2018</v>
      </c>
      <c r="D106" s="255" t="s">
        <v>77</v>
      </c>
      <c r="E106" s="255" t="s">
        <v>353</v>
      </c>
      <c r="F106" s="255" t="s">
        <v>76</v>
      </c>
      <c r="G106" s="255" t="s">
        <v>371</v>
      </c>
      <c r="H106" s="255" t="s">
        <v>19</v>
      </c>
      <c r="I106" s="255" t="s">
        <v>456</v>
      </c>
      <c r="J106" s="255">
        <v>1000</v>
      </c>
      <c r="K106" s="255" t="s">
        <v>457</v>
      </c>
      <c r="L106" s="305"/>
      <c r="M106" s="299">
        <v>1857</v>
      </c>
      <c r="N106" s="779">
        <f t="shared" si="3"/>
        <v>185.7</v>
      </c>
      <c r="O106" s="300">
        <v>116</v>
      </c>
      <c r="P106" s="311" t="s">
        <v>1338</v>
      </c>
      <c r="Q106" s="312" t="s">
        <v>1324</v>
      </c>
    </row>
    <row r="107" spans="1:18" ht="25.5" x14ac:dyDescent="0.2">
      <c r="A107" s="255" t="s">
        <v>351</v>
      </c>
      <c r="B107" s="255" t="s">
        <v>351</v>
      </c>
      <c r="C107" s="255">
        <v>2018</v>
      </c>
      <c r="D107" s="255" t="s">
        <v>77</v>
      </c>
      <c r="E107" s="255" t="s">
        <v>353</v>
      </c>
      <c r="F107" s="255" t="s">
        <v>76</v>
      </c>
      <c r="G107" s="255" t="s">
        <v>371</v>
      </c>
      <c r="H107" s="255" t="s">
        <v>20</v>
      </c>
      <c r="I107" s="255" t="s">
        <v>456</v>
      </c>
      <c r="J107" s="255">
        <v>1000</v>
      </c>
      <c r="K107" s="255" t="s">
        <v>457</v>
      </c>
      <c r="L107" s="305"/>
      <c r="M107" s="299">
        <v>1857</v>
      </c>
      <c r="N107" s="779">
        <f t="shared" si="3"/>
        <v>185.7</v>
      </c>
      <c r="O107" s="300">
        <v>116</v>
      </c>
      <c r="P107" s="311" t="s">
        <v>1338</v>
      </c>
      <c r="Q107" s="312" t="s">
        <v>1324</v>
      </c>
    </row>
    <row r="108" spans="1:18" ht="25.5" x14ac:dyDescent="0.2">
      <c r="A108" s="255" t="s">
        <v>351</v>
      </c>
      <c r="B108" s="255" t="s">
        <v>351</v>
      </c>
      <c r="C108" s="255">
        <v>2018</v>
      </c>
      <c r="D108" s="255" t="s">
        <v>77</v>
      </c>
      <c r="E108" s="255" t="s">
        <v>353</v>
      </c>
      <c r="F108" s="255" t="s">
        <v>76</v>
      </c>
      <c r="G108" s="255" t="s">
        <v>371</v>
      </c>
      <c r="H108" s="255" t="s">
        <v>458</v>
      </c>
      <c r="I108" s="255" t="s">
        <v>456</v>
      </c>
      <c r="J108" s="255">
        <v>500</v>
      </c>
      <c r="K108" s="255" t="s">
        <v>457</v>
      </c>
      <c r="L108" s="305"/>
      <c r="M108" s="299">
        <v>1709</v>
      </c>
      <c r="N108" s="779">
        <f t="shared" si="3"/>
        <v>341.8</v>
      </c>
      <c r="O108" s="300">
        <v>102</v>
      </c>
      <c r="P108" s="311" t="s">
        <v>1338</v>
      </c>
      <c r="Q108" s="312" t="s">
        <v>1324</v>
      </c>
    </row>
    <row r="109" spans="1:18" x14ac:dyDescent="0.2">
      <c r="A109" s="255" t="s">
        <v>351</v>
      </c>
      <c r="B109" s="255" t="s">
        <v>351</v>
      </c>
      <c r="C109" s="255">
        <v>2018</v>
      </c>
      <c r="D109" s="255" t="s">
        <v>77</v>
      </c>
      <c r="E109" s="255" t="s">
        <v>353</v>
      </c>
      <c r="F109" s="255" t="s">
        <v>76</v>
      </c>
      <c r="G109" s="255" t="s">
        <v>371</v>
      </c>
      <c r="H109" s="255" t="s">
        <v>459</v>
      </c>
      <c r="I109" s="255" t="s">
        <v>456</v>
      </c>
      <c r="J109" s="255">
        <v>500</v>
      </c>
      <c r="K109" s="255" t="s">
        <v>457</v>
      </c>
      <c r="L109" s="305"/>
      <c r="M109" s="299">
        <v>501</v>
      </c>
      <c r="N109" s="779">
        <f t="shared" si="3"/>
        <v>100.2</v>
      </c>
      <c r="O109" s="300">
        <v>14</v>
      </c>
      <c r="P109" s="311" t="s">
        <v>1338</v>
      </c>
      <c r="Q109" s="312"/>
    </row>
    <row r="110" spans="1:18" ht="25.5" x14ac:dyDescent="0.2">
      <c r="A110" s="255" t="s">
        <v>351</v>
      </c>
      <c r="B110" s="255" t="s">
        <v>351</v>
      </c>
      <c r="C110" s="255">
        <v>2018</v>
      </c>
      <c r="D110" s="255" t="s">
        <v>77</v>
      </c>
      <c r="E110" s="255" t="s">
        <v>353</v>
      </c>
      <c r="F110" s="255" t="s">
        <v>76</v>
      </c>
      <c r="G110" s="255" t="s">
        <v>371</v>
      </c>
      <c r="H110" s="255" t="s">
        <v>42</v>
      </c>
      <c r="I110" s="255" t="s">
        <v>460</v>
      </c>
      <c r="J110" s="255">
        <v>50</v>
      </c>
      <c r="K110" s="255" t="s">
        <v>457</v>
      </c>
      <c r="L110" s="305"/>
      <c r="M110" s="299">
        <v>39</v>
      </c>
      <c r="N110" s="779">
        <f t="shared" si="3"/>
        <v>78</v>
      </c>
      <c r="O110" s="300">
        <v>17</v>
      </c>
      <c r="P110" s="311" t="s">
        <v>467</v>
      </c>
      <c r="Q110" s="312" t="s">
        <v>1342</v>
      </c>
    </row>
    <row r="111" spans="1:18" ht="38.25" x14ac:dyDescent="0.2">
      <c r="A111" s="255" t="s">
        <v>351</v>
      </c>
      <c r="B111" s="255" t="s">
        <v>351</v>
      </c>
      <c r="C111" s="255">
        <v>2018</v>
      </c>
      <c r="D111" s="255" t="s">
        <v>77</v>
      </c>
      <c r="E111" s="255" t="s">
        <v>353</v>
      </c>
      <c r="F111" s="255" t="s">
        <v>76</v>
      </c>
      <c r="G111" s="255" t="s">
        <v>371</v>
      </c>
      <c r="H111" s="255" t="s">
        <v>19</v>
      </c>
      <c r="I111" s="255" t="s">
        <v>460</v>
      </c>
      <c r="J111" s="255">
        <v>50</v>
      </c>
      <c r="K111" s="255" t="s">
        <v>457</v>
      </c>
      <c r="L111" s="305"/>
      <c r="M111" s="299">
        <v>37</v>
      </c>
      <c r="N111" s="779">
        <f t="shared" si="3"/>
        <v>74</v>
      </c>
      <c r="O111" s="300">
        <v>17</v>
      </c>
      <c r="P111" s="311" t="s">
        <v>467</v>
      </c>
      <c r="Q111" s="312" t="s">
        <v>1343</v>
      </c>
    </row>
    <row r="112" spans="1:18" ht="38.25" x14ac:dyDescent="0.2">
      <c r="A112" s="255" t="s">
        <v>351</v>
      </c>
      <c r="B112" s="255" t="s">
        <v>351</v>
      </c>
      <c r="C112" s="255">
        <v>2018</v>
      </c>
      <c r="D112" s="255" t="s">
        <v>77</v>
      </c>
      <c r="E112" s="255" t="s">
        <v>353</v>
      </c>
      <c r="F112" s="255" t="s">
        <v>76</v>
      </c>
      <c r="G112" s="255" t="s">
        <v>371</v>
      </c>
      <c r="H112" s="255" t="s">
        <v>20</v>
      </c>
      <c r="I112" s="255" t="s">
        <v>460</v>
      </c>
      <c r="J112" s="255">
        <v>50</v>
      </c>
      <c r="K112" s="255" t="s">
        <v>457</v>
      </c>
      <c r="L112" s="305"/>
      <c r="M112" s="299">
        <v>37</v>
      </c>
      <c r="N112" s="779">
        <f t="shared" si="3"/>
        <v>74</v>
      </c>
      <c r="O112" s="300">
        <v>17</v>
      </c>
      <c r="P112" s="311" t="s">
        <v>467</v>
      </c>
      <c r="Q112" s="312" t="s">
        <v>1343</v>
      </c>
    </row>
    <row r="113" spans="1:17" ht="38.25" x14ac:dyDescent="0.2">
      <c r="A113" s="255" t="s">
        <v>351</v>
      </c>
      <c r="B113" s="255" t="s">
        <v>351</v>
      </c>
      <c r="C113" s="255">
        <v>2018</v>
      </c>
      <c r="D113" s="255" t="s">
        <v>77</v>
      </c>
      <c r="E113" s="255" t="s">
        <v>353</v>
      </c>
      <c r="F113" s="255" t="s">
        <v>76</v>
      </c>
      <c r="G113" s="255" t="s">
        <v>371</v>
      </c>
      <c r="H113" s="255" t="s">
        <v>458</v>
      </c>
      <c r="I113" s="255" t="s">
        <v>460</v>
      </c>
      <c r="J113" s="255">
        <v>50</v>
      </c>
      <c r="K113" s="255" t="s">
        <v>457</v>
      </c>
      <c r="L113" s="305"/>
      <c r="M113" s="299">
        <v>37</v>
      </c>
      <c r="N113" s="779">
        <f t="shared" si="3"/>
        <v>74</v>
      </c>
      <c r="O113" s="300">
        <v>17</v>
      </c>
      <c r="P113" s="311" t="s">
        <v>467</v>
      </c>
      <c r="Q113" s="312" t="s">
        <v>1343</v>
      </c>
    </row>
    <row r="114" spans="1:17" ht="38.25" x14ac:dyDescent="0.2">
      <c r="A114" s="255" t="s">
        <v>351</v>
      </c>
      <c r="B114" s="255" t="s">
        <v>351</v>
      </c>
      <c r="C114" s="255">
        <v>2018</v>
      </c>
      <c r="D114" s="255" t="s">
        <v>77</v>
      </c>
      <c r="E114" s="255" t="s">
        <v>353</v>
      </c>
      <c r="F114" s="255" t="s">
        <v>76</v>
      </c>
      <c r="G114" s="255" t="s">
        <v>371</v>
      </c>
      <c r="H114" s="255" t="s">
        <v>459</v>
      </c>
      <c r="I114" s="255" t="s">
        <v>460</v>
      </c>
      <c r="J114" s="255">
        <v>50</v>
      </c>
      <c r="K114" s="255" t="s">
        <v>457</v>
      </c>
      <c r="L114" s="305"/>
      <c r="M114" s="299">
        <v>37</v>
      </c>
      <c r="N114" s="779">
        <f t="shared" si="3"/>
        <v>74</v>
      </c>
      <c r="O114" s="300">
        <v>17</v>
      </c>
      <c r="P114" s="311" t="s">
        <v>467</v>
      </c>
      <c r="Q114" s="312" t="s">
        <v>1343</v>
      </c>
    </row>
    <row r="115" spans="1:17" ht="25.5" x14ac:dyDescent="0.2">
      <c r="A115" s="255" t="s">
        <v>351</v>
      </c>
      <c r="B115" s="255" t="s">
        <v>351</v>
      </c>
      <c r="C115" s="255">
        <v>2018</v>
      </c>
      <c r="D115" s="255" t="s">
        <v>372</v>
      </c>
      <c r="E115" s="255" t="s">
        <v>353</v>
      </c>
      <c r="F115" s="255" t="s">
        <v>7</v>
      </c>
      <c r="G115" s="255" t="s">
        <v>373</v>
      </c>
      <c r="H115" s="255" t="s">
        <v>42</v>
      </c>
      <c r="I115" s="255" t="s">
        <v>456</v>
      </c>
      <c r="J115" s="255">
        <v>1000</v>
      </c>
      <c r="K115" s="255" t="s">
        <v>457</v>
      </c>
      <c r="L115" s="305"/>
      <c r="M115" s="299">
        <v>1809</v>
      </c>
      <c r="N115" s="779">
        <f t="shared" si="3"/>
        <v>180.9</v>
      </c>
      <c r="O115" s="300">
        <v>13</v>
      </c>
      <c r="P115" s="311" t="s">
        <v>467</v>
      </c>
      <c r="Q115" s="312" t="s">
        <v>1324</v>
      </c>
    </row>
    <row r="116" spans="1:17" x14ac:dyDescent="0.2">
      <c r="A116" s="255" t="s">
        <v>351</v>
      </c>
      <c r="B116" s="255" t="s">
        <v>351</v>
      </c>
      <c r="C116" s="255">
        <v>2018</v>
      </c>
      <c r="D116" s="255" t="s">
        <v>372</v>
      </c>
      <c r="E116" s="255" t="s">
        <v>353</v>
      </c>
      <c r="F116" s="255" t="s">
        <v>7</v>
      </c>
      <c r="G116" s="255" t="s">
        <v>373</v>
      </c>
      <c r="H116" s="255" t="s">
        <v>19</v>
      </c>
      <c r="I116" s="255" t="s">
        <v>456</v>
      </c>
      <c r="J116" s="255">
        <v>0</v>
      </c>
      <c r="K116" s="255" t="s">
        <v>457</v>
      </c>
      <c r="L116" s="305" t="s">
        <v>462</v>
      </c>
      <c r="M116" s="299">
        <v>0</v>
      </c>
      <c r="N116" s="300" t="s">
        <v>1153</v>
      </c>
      <c r="O116" s="300">
        <v>0</v>
      </c>
      <c r="P116" s="311" t="s">
        <v>1325</v>
      </c>
      <c r="Q116" s="312"/>
    </row>
    <row r="117" spans="1:17" x14ac:dyDescent="0.2">
      <c r="A117" s="255" t="s">
        <v>351</v>
      </c>
      <c r="B117" s="255" t="s">
        <v>351</v>
      </c>
      <c r="C117" s="255">
        <v>2018</v>
      </c>
      <c r="D117" s="255" t="s">
        <v>372</v>
      </c>
      <c r="E117" s="255" t="s">
        <v>353</v>
      </c>
      <c r="F117" s="255" t="s">
        <v>7</v>
      </c>
      <c r="G117" s="255" t="s">
        <v>373</v>
      </c>
      <c r="H117" s="255" t="s">
        <v>20</v>
      </c>
      <c r="I117" s="255" t="s">
        <v>456</v>
      </c>
      <c r="J117" s="255">
        <v>0</v>
      </c>
      <c r="K117" s="255" t="s">
        <v>457</v>
      </c>
      <c r="L117" s="305" t="s">
        <v>466</v>
      </c>
      <c r="M117" s="299">
        <v>0</v>
      </c>
      <c r="N117" s="300" t="s">
        <v>1153</v>
      </c>
      <c r="O117" s="300">
        <v>0</v>
      </c>
      <c r="P117" s="311" t="s">
        <v>1325</v>
      </c>
      <c r="Q117" s="312"/>
    </row>
    <row r="118" spans="1:17" x14ac:dyDescent="0.2">
      <c r="A118" s="255" t="s">
        <v>351</v>
      </c>
      <c r="B118" s="255" t="s">
        <v>351</v>
      </c>
      <c r="C118" s="255">
        <v>2018</v>
      </c>
      <c r="D118" s="255" t="s">
        <v>372</v>
      </c>
      <c r="E118" s="255" t="s">
        <v>353</v>
      </c>
      <c r="F118" s="255" t="s">
        <v>7</v>
      </c>
      <c r="G118" s="255" t="s">
        <v>373</v>
      </c>
      <c r="H118" s="255" t="s">
        <v>458</v>
      </c>
      <c r="I118" s="255" t="s">
        <v>456</v>
      </c>
      <c r="J118" s="255">
        <v>0</v>
      </c>
      <c r="K118" s="255" t="s">
        <v>457</v>
      </c>
      <c r="L118" s="305" t="s">
        <v>466</v>
      </c>
      <c r="M118" s="299">
        <v>0</v>
      </c>
      <c r="N118" s="300" t="s">
        <v>1153</v>
      </c>
      <c r="O118" s="300">
        <v>0</v>
      </c>
      <c r="P118" s="311" t="s">
        <v>1325</v>
      </c>
      <c r="Q118" s="312"/>
    </row>
    <row r="119" spans="1:17" x14ac:dyDescent="0.2">
      <c r="A119" s="255" t="s">
        <v>351</v>
      </c>
      <c r="B119" s="255" t="s">
        <v>351</v>
      </c>
      <c r="C119" s="255">
        <v>2018</v>
      </c>
      <c r="D119" s="255" t="s">
        <v>372</v>
      </c>
      <c r="E119" s="255" t="s">
        <v>353</v>
      </c>
      <c r="F119" s="255" t="s">
        <v>7</v>
      </c>
      <c r="G119" s="255" t="s">
        <v>373</v>
      </c>
      <c r="H119" s="255" t="s">
        <v>459</v>
      </c>
      <c r="I119" s="255" t="s">
        <v>456</v>
      </c>
      <c r="J119" s="255">
        <v>0</v>
      </c>
      <c r="K119" s="255" t="s">
        <v>457</v>
      </c>
      <c r="L119" s="305" t="s">
        <v>462</v>
      </c>
      <c r="M119" s="299">
        <v>0</v>
      </c>
      <c r="N119" s="300" t="s">
        <v>1153</v>
      </c>
      <c r="O119" s="300">
        <v>0</v>
      </c>
      <c r="P119" s="311" t="s">
        <v>1325</v>
      </c>
      <c r="Q119" s="312"/>
    </row>
    <row r="120" spans="1:17" ht="25.5" x14ac:dyDescent="0.2">
      <c r="A120" s="255" t="s">
        <v>351</v>
      </c>
      <c r="B120" s="255" t="s">
        <v>351</v>
      </c>
      <c r="C120" s="255">
        <v>2018</v>
      </c>
      <c r="D120" s="255" t="s">
        <v>372</v>
      </c>
      <c r="E120" s="255" t="s">
        <v>353</v>
      </c>
      <c r="F120" s="255" t="s">
        <v>7</v>
      </c>
      <c r="G120" s="255" t="s">
        <v>373</v>
      </c>
      <c r="H120" s="255" t="s">
        <v>42</v>
      </c>
      <c r="I120" s="255" t="s">
        <v>460</v>
      </c>
      <c r="J120" s="255">
        <v>250</v>
      </c>
      <c r="K120" s="255" t="s">
        <v>457</v>
      </c>
      <c r="L120" s="305"/>
      <c r="M120" s="299">
        <v>1870</v>
      </c>
      <c r="N120" s="779">
        <f t="shared" ref="N120:N152" si="4">(100*M120/J120)</f>
        <v>748</v>
      </c>
      <c r="O120" s="300">
        <v>141</v>
      </c>
      <c r="P120" s="311" t="s">
        <v>467</v>
      </c>
      <c r="Q120" s="312" t="s">
        <v>1324</v>
      </c>
    </row>
    <row r="121" spans="1:17" x14ac:dyDescent="0.2">
      <c r="A121" s="255" t="s">
        <v>351</v>
      </c>
      <c r="B121" s="255" t="s">
        <v>351</v>
      </c>
      <c r="C121" s="255">
        <v>2018</v>
      </c>
      <c r="D121" s="255" t="s">
        <v>372</v>
      </c>
      <c r="E121" s="255" t="s">
        <v>353</v>
      </c>
      <c r="F121" s="255" t="s">
        <v>7</v>
      </c>
      <c r="G121" s="255" t="s">
        <v>373</v>
      </c>
      <c r="H121" s="255" t="s">
        <v>19</v>
      </c>
      <c r="I121" s="255" t="s">
        <v>460</v>
      </c>
      <c r="J121" s="255">
        <v>0</v>
      </c>
      <c r="K121" s="255" t="s">
        <v>457</v>
      </c>
      <c r="L121" s="305" t="s">
        <v>462</v>
      </c>
      <c r="M121" s="299">
        <v>1064</v>
      </c>
      <c r="N121" s="300" t="s">
        <v>1153</v>
      </c>
      <c r="O121" s="300">
        <v>140</v>
      </c>
      <c r="P121" s="311" t="s">
        <v>1325</v>
      </c>
      <c r="Q121" s="312"/>
    </row>
    <row r="122" spans="1:17" ht="25.5" x14ac:dyDescent="0.2">
      <c r="A122" s="255" t="s">
        <v>351</v>
      </c>
      <c r="B122" s="255" t="s">
        <v>351</v>
      </c>
      <c r="C122" s="255">
        <v>2018</v>
      </c>
      <c r="D122" s="255" t="s">
        <v>372</v>
      </c>
      <c r="E122" s="255" t="s">
        <v>353</v>
      </c>
      <c r="F122" s="255" t="s">
        <v>7</v>
      </c>
      <c r="G122" s="255" t="s">
        <v>373</v>
      </c>
      <c r="H122" s="255" t="s">
        <v>20</v>
      </c>
      <c r="I122" s="255" t="s">
        <v>460</v>
      </c>
      <c r="J122" s="255">
        <v>250</v>
      </c>
      <c r="K122" s="255" t="s">
        <v>457</v>
      </c>
      <c r="L122" s="305"/>
      <c r="M122" s="299">
        <v>1064</v>
      </c>
      <c r="N122" s="779">
        <f t="shared" si="4"/>
        <v>425.6</v>
      </c>
      <c r="O122" s="300">
        <v>140</v>
      </c>
      <c r="P122" s="311" t="s">
        <v>467</v>
      </c>
      <c r="Q122" s="312" t="s">
        <v>1324</v>
      </c>
    </row>
    <row r="123" spans="1:17" ht="25.5" x14ac:dyDescent="0.2">
      <c r="A123" s="255" t="s">
        <v>351</v>
      </c>
      <c r="B123" s="255" t="s">
        <v>351</v>
      </c>
      <c r="C123" s="255">
        <v>2018</v>
      </c>
      <c r="D123" s="255" t="s">
        <v>372</v>
      </c>
      <c r="E123" s="255" t="s">
        <v>353</v>
      </c>
      <c r="F123" s="255" t="s">
        <v>7</v>
      </c>
      <c r="G123" s="255" t="s">
        <v>373</v>
      </c>
      <c r="H123" s="255" t="s">
        <v>458</v>
      </c>
      <c r="I123" s="255" t="s">
        <v>460</v>
      </c>
      <c r="J123" s="255">
        <v>250</v>
      </c>
      <c r="K123" s="255" t="s">
        <v>457</v>
      </c>
      <c r="L123" s="305"/>
      <c r="M123" s="299">
        <v>1064</v>
      </c>
      <c r="N123" s="779">
        <f t="shared" si="4"/>
        <v>425.6</v>
      </c>
      <c r="O123" s="300">
        <v>140</v>
      </c>
      <c r="P123" s="311" t="s">
        <v>467</v>
      </c>
      <c r="Q123" s="312" t="s">
        <v>1324</v>
      </c>
    </row>
    <row r="124" spans="1:17" x14ac:dyDescent="0.2">
      <c r="A124" s="255" t="s">
        <v>351</v>
      </c>
      <c r="B124" s="255" t="s">
        <v>351</v>
      </c>
      <c r="C124" s="255">
        <v>2018</v>
      </c>
      <c r="D124" s="255" t="s">
        <v>372</v>
      </c>
      <c r="E124" s="255" t="s">
        <v>353</v>
      </c>
      <c r="F124" s="255" t="s">
        <v>7</v>
      </c>
      <c r="G124" s="255" t="s">
        <v>373</v>
      </c>
      <c r="H124" s="255" t="s">
        <v>459</v>
      </c>
      <c r="I124" s="255" t="s">
        <v>460</v>
      </c>
      <c r="J124" s="255">
        <v>0</v>
      </c>
      <c r="K124" s="255" t="s">
        <v>457</v>
      </c>
      <c r="L124" s="305" t="s">
        <v>462</v>
      </c>
      <c r="M124" s="299">
        <v>1064</v>
      </c>
      <c r="N124" s="300" t="s">
        <v>1153</v>
      </c>
      <c r="O124" s="300">
        <v>140</v>
      </c>
      <c r="P124" s="311" t="s">
        <v>1325</v>
      </c>
      <c r="Q124" s="312"/>
    </row>
    <row r="125" spans="1:17" ht="25.5" x14ac:dyDescent="0.2">
      <c r="A125" s="255" t="s">
        <v>351</v>
      </c>
      <c r="B125" s="255" t="s">
        <v>351</v>
      </c>
      <c r="C125" s="255">
        <v>2018</v>
      </c>
      <c r="D125" s="256" t="s">
        <v>374</v>
      </c>
      <c r="E125" s="255" t="s">
        <v>353</v>
      </c>
      <c r="F125" s="255" t="s">
        <v>7</v>
      </c>
      <c r="G125" s="255" t="s">
        <v>362</v>
      </c>
      <c r="H125" s="255" t="s">
        <v>42</v>
      </c>
      <c r="I125" s="255" t="s">
        <v>456</v>
      </c>
      <c r="J125" s="255">
        <v>3000</v>
      </c>
      <c r="K125" s="255" t="s">
        <v>457</v>
      </c>
      <c r="L125" s="305"/>
      <c r="M125" s="299">
        <v>7697</v>
      </c>
      <c r="N125" s="779">
        <f t="shared" si="4"/>
        <v>256.56666666666666</v>
      </c>
      <c r="O125" s="300">
        <v>79</v>
      </c>
      <c r="P125" s="311" t="s">
        <v>1322</v>
      </c>
      <c r="Q125" s="312" t="s">
        <v>1324</v>
      </c>
    </row>
    <row r="126" spans="1:17" x14ac:dyDescent="0.2">
      <c r="A126" s="255" t="s">
        <v>351</v>
      </c>
      <c r="B126" s="255" t="s">
        <v>351</v>
      </c>
      <c r="C126" s="255">
        <v>2018</v>
      </c>
      <c r="D126" s="256" t="s">
        <v>374</v>
      </c>
      <c r="E126" s="255" t="s">
        <v>353</v>
      </c>
      <c r="F126" s="255" t="s">
        <v>7</v>
      </c>
      <c r="G126" s="255" t="s">
        <v>362</v>
      </c>
      <c r="H126" s="255" t="s">
        <v>19</v>
      </c>
      <c r="I126" s="255" t="s">
        <v>456</v>
      </c>
      <c r="J126" s="255">
        <v>0</v>
      </c>
      <c r="K126" s="255" t="s">
        <v>457</v>
      </c>
      <c r="L126" s="305" t="s">
        <v>462</v>
      </c>
      <c r="M126" s="299">
        <v>0</v>
      </c>
      <c r="N126" s="300" t="s">
        <v>1153</v>
      </c>
      <c r="O126" s="300">
        <v>0</v>
      </c>
      <c r="P126" s="311" t="s">
        <v>1325</v>
      </c>
      <c r="Q126" s="312"/>
    </row>
    <row r="127" spans="1:17" ht="38.25" x14ac:dyDescent="0.2">
      <c r="A127" s="255" t="s">
        <v>351</v>
      </c>
      <c r="B127" s="255" t="s">
        <v>351</v>
      </c>
      <c r="C127" s="255">
        <v>2018</v>
      </c>
      <c r="D127" s="256" t="s">
        <v>374</v>
      </c>
      <c r="E127" s="255" t="s">
        <v>353</v>
      </c>
      <c r="F127" s="255" t="s">
        <v>7</v>
      </c>
      <c r="G127" s="255" t="s">
        <v>362</v>
      </c>
      <c r="H127" s="255" t="s">
        <v>20</v>
      </c>
      <c r="I127" s="255" t="s">
        <v>456</v>
      </c>
      <c r="J127" s="255">
        <v>1000</v>
      </c>
      <c r="K127" s="255" t="s">
        <v>457</v>
      </c>
      <c r="L127" s="305"/>
      <c r="M127" s="299">
        <v>867</v>
      </c>
      <c r="N127" s="779">
        <f t="shared" si="4"/>
        <v>86.7</v>
      </c>
      <c r="O127" s="300">
        <v>5</v>
      </c>
      <c r="P127" s="311" t="s">
        <v>1344</v>
      </c>
      <c r="Q127" s="312" t="s">
        <v>1591</v>
      </c>
    </row>
    <row r="128" spans="1:17" ht="38.25" x14ac:dyDescent="0.2">
      <c r="A128" s="255" t="s">
        <v>351</v>
      </c>
      <c r="B128" s="255" t="s">
        <v>351</v>
      </c>
      <c r="C128" s="255">
        <v>2018</v>
      </c>
      <c r="D128" s="256" t="s">
        <v>374</v>
      </c>
      <c r="E128" s="255" t="s">
        <v>353</v>
      </c>
      <c r="F128" s="255" t="s">
        <v>7</v>
      </c>
      <c r="G128" s="255" t="s">
        <v>362</v>
      </c>
      <c r="H128" s="255" t="s">
        <v>458</v>
      </c>
      <c r="I128" s="255" t="s">
        <v>456</v>
      </c>
      <c r="J128" s="255">
        <v>3000</v>
      </c>
      <c r="K128" s="255" t="s">
        <v>457</v>
      </c>
      <c r="L128" s="305"/>
      <c r="M128" s="299">
        <v>7697</v>
      </c>
      <c r="N128" s="779">
        <f t="shared" si="4"/>
        <v>256.56666666666666</v>
      </c>
      <c r="O128" s="300">
        <v>79</v>
      </c>
      <c r="P128" s="311" t="s">
        <v>1344</v>
      </c>
      <c r="Q128" s="312" t="s">
        <v>1324</v>
      </c>
    </row>
    <row r="129" spans="1:17" x14ac:dyDescent="0.2">
      <c r="A129" s="255" t="s">
        <v>351</v>
      </c>
      <c r="B129" s="255" t="s">
        <v>351</v>
      </c>
      <c r="C129" s="255">
        <v>2018</v>
      </c>
      <c r="D129" s="256" t="s">
        <v>374</v>
      </c>
      <c r="E129" s="255" t="s">
        <v>353</v>
      </c>
      <c r="F129" s="255" t="s">
        <v>7</v>
      </c>
      <c r="G129" s="255" t="s">
        <v>362</v>
      </c>
      <c r="H129" s="255" t="s">
        <v>459</v>
      </c>
      <c r="I129" s="255" t="s">
        <v>456</v>
      </c>
      <c r="J129" s="255">
        <v>0</v>
      </c>
      <c r="K129" s="255" t="s">
        <v>457</v>
      </c>
      <c r="L129" s="305" t="s">
        <v>462</v>
      </c>
      <c r="M129" s="299">
        <v>0</v>
      </c>
      <c r="N129" s="300" t="s">
        <v>1153</v>
      </c>
      <c r="O129" s="300">
        <v>0</v>
      </c>
      <c r="P129" s="311" t="s">
        <v>1325</v>
      </c>
      <c r="Q129" s="312"/>
    </row>
    <row r="130" spans="1:17" ht="25.5" x14ac:dyDescent="0.2">
      <c r="A130" s="255" t="s">
        <v>351</v>
      </c>
      <c r="B130" s="255" t="s">
        <v>351</v>
      </c>
      <c r="C130" s="255">
        <v>2018</v>
      </c>
      <c r="D130" s="255" t="s">
        <v>375</v>
      </c>
      <c r="E130" s="255" t="s">
        <v>353</v>
      </c>
      <c r="F130" s="255" t="s">
        <v>76</v>
      </c>
      <c r="G130" s="255" t="s">
        <v>376</v>
      </c>
      <c r="H130" s="255" t="s">
        <v>42</v>
      </c>
      <c r="I130" s="255" t="s">
        <v>456</v>
      </c>
      <c r="J130" s="255">
        <v>2000</v>
      </c>
      <c r="K130" s="255" t="s">
        <v>457</v>
      </c>
      <c r="L130" s="305"/>
      <c r="M130" s="299">
        <v>11567</v>
      </c>
      <c r="N130" s="779">
        <f t="shared" si="4"/>
        <v>578.35</v>
      </c>
      <c r="O130" s="300">
        <v>149</v>
      </c>
      <c r="P130" s="311" t="s">
        <v>1322</v>
      </c>
      <c r="Q130" s="312" t="s">
        <v>1324</v>
      </c>
    </row>
    <row r="131" spans="1:17" x14ac:dyDescent="0.2">
      <c r="A131" s="255" t="s">
        <v>351</v>
      </c>
      <c r="B131" s="255" t="s">
        <v>351</v>
      </c>
      <c r="C131" s="255">
        <v>2018</v>
      </c>
      <c r="D131" s="255" t="s">
        <v>375</v>
      </c>
      <c r="E131" s="255" t="s">
        <v>353</v>
      </c>
      <c r="F131" s="255" t="s">
        <v>76</v>
      </c>
      <c r="G131" s="255" t="s">
        <v>376</v>
      </c>
      <c r="H131" s="255" t="s">
        <v>19</v>
      </c>
      <c r="I131" s="255" t="s">
        <v>456</v>
      </c>
      <c r="J131" s="255">
        <v>1000</v>
      </c>
      <c r="K131" s="255" t="s">
        <v>457</v>
      </c>
      <c r="L131" s="305"/>
      <c r="M131" s="299">
        <v>974</v>
      </c>
      <c r="N131" s="779">
        <f t="shared" si="4"/>
        <v>97.4</v>
      </c>
      <c r="O131" s="300">
        <v>33</v>
      </c>
      <c r="P131" s="311" t="s">
        <v>1338</v>
      </c>
      <c r="Q131" s="312"/>
    </row>
    <row r="132" spans="1:17" x14ac:dyDescent="0.2">
      <c r="A132" s="255" t="s">
        <v>351</v>
      </c>
      <c r="B132" s="255" t="s">
        <v>351</v>
      </c>
      <c r="C132" s="255">
        <v>2018</v>
      </c>
      <c r="D132" s="255" t="s">
        <v>375</v>
      </c>
      <c r="E132" s="255" t="s">
        <v>353</v>
      </c>
      <c r="F132" s="255" t="s">
        <v>76</v>
      </c>
      <c r="G132" s="255" t="s">
        <v>376</v>
      </c>
      <c r="H132" s="255" t="s">
        <v>20</v>
      </c>
      <c r="I132" s="255" t="s">
        <v>456</v>
      </c>
      <c r="J132" s="255">
        <v>1000</v>
      </c>
      <c r="K132" s="255" t="s">
        <v>457</v>
      </c>
      <c r="L132" s="305"/>
      <c r="M132" s="299">
        <v>974</v>
      </c>
      <c r="N132" s="779">
        <f t="shared" si="4"/>
        <v>97.4</v>
      </c>
      <c r="O132" s="300">
        <v>33</v>
      </c>
      <c r="P132" s="311" t="s">
        <v>1338</v>
      </c>
      <c r="Q132" s="312"/>
    </row>
    <row r="133" spans="1:17" x14ac:dyDescent="0.2">
      <c r="A133" s="255" t="s">
        <v>351</v>
      </c>
      <c r="B133" s="255" t="s">
        <v>351</v>
      </c>
      <c r="C133" s="255">
        <v>2018</v>
      </c>
      <c r="D133" s="255" t="s">
        <v>375</v>
      </c>
      <c r="E133" s="255" t="s">
        <v>353</v>
      </c>
      <c r="F133" s="255" t="s">
        <v>76</v>
      </c>
      <c r="G133" s="255" t="s">
        <v>376</v>
      </c>
      <c r="H133" s="255" t="s">
        <v>458</v>
      </c>
      <c r="I133" s="255" t="s">
        <v>456</v>
      </c>
      <c r="J133" s="255">
        <v>750</v>
      </c>
      <c r="K133" s="255" t="s">
        <v>457</v>
      </c>
      <c r="L133" s="305"/>
      <c r="M133" s="299">
        <v>967</v>
      </c>
      <c r="N133" s="779">
        <f t="shared" si="4"/>
        <v>128.93333333333334</v>
      </c>
      <c r="O133" s="300">
        <v>33</v>
      </c>
      <c r="P133" s="311" t="s">
        <v>1338</v>
      </c>
      <c r="Q133" s="312"/>
    </row>
    <row r="134" spans="1:17" x14ac:dyDescent="0.2">
      <c r="A134" s="255" t="s">
        <v>351</v>
      </c>
      <c r="B134" s="255" t="s">
        <v>351</v>
      </c>
      <c r="C134" s="255">
        <v>2018</v>
      </c>
      <c r="D134" s="255" t="s">
        <v>375</v>
      </c>
      <c r="E134" s="255" t="s">
        <v>353</v>
      </c>
      <c r="F134" s="255" t="s">
        <v>76</v>
      </c>
      <c r="G134" s="255" t="s">
        <v>376</v>
      </c>
      <c r="H134" s="255" t="s">
        <v>459</v>
      </c>
      <c r="I134" s="255" t="s">
        <v>456</v>
      </c>
      <c r="J134" s="255">
        <v>0</v>
      </c>
      <c r="K134" s="255" t="s">
        <v>457</v>
      </c>
      <c r="L134" s="305" t="s">
        <v>466</v>
      </c>
      <c r="M134" s="299">
        <v>49</v>
      </c>
      <c r="N134" s="300" t="s">
        <v>1153</v>
      </c>
      <c r="O134" s="300">
        <v>1</v>
      </c>
      <c r="P134" s="311" t="s">
        <v>1325</v>
      </c>
      <c r="Q134" s="312"/>
    </row>
    <row r="135" spans="1:17" ht="25.5" x14ac:dyDescent="0.2">
      <c r="A135" s="255" t="s">
        <v>351</v>
      </c>
      <c r="B135" s="255" t="s">
        <v>351</v>
      </c>
      <c r="C135" s="255">
        <v>2018</v>
      </c>
      <c r="D135" s="255" t="s">
        <v>375</v>
      </c>
      <c r="E135" s="255" t="s">
        <v>353</v>
      </c>
      <c r="F135" s="255" t="s">
        <v>76</v>
      </c>
      <c r="G135" s="255" t="s">
        <v>376</v>
      </c>
      <c r="H135" s="255" t="s">
        <v>42</v>
      </c>
      <c r="I135" s="255" t="s">
        <v>460</v>
      </c>
      <c r="J135" s="255">
        <v>100</v>
      </c>
      <c r="K135" s="255" t="s">
        <v>457</v>
      </c>
      <c r="L135" s="305"/>
      <c r="M135" s="299">
        <v>909</v>
      </c>
      <c r="N135" s="779">
        <f t="shared" si="4"/>
        <v>909</v>
      </c>
      <c r="O135" s="300">
        <v>63</v>
      </c>
      <c r="P135" s="311" t="s">
        <v>467</v>
      </c>
      <c r="Q135" s="312" t="s">
        <v>1324</v>
      </c>
    </row>
    <row r="136" spans="1:17" ht="25.5" x14ac:dyDescent="0.2">
      <c r="A136" s="255" t="s">
        <v>351</v>
      </c>
      <c r="B136" s="255" t="s">
        <v>351</v>
      </c>
      <c r="C136" s="255">
        <v>2018</v>
      </c>
      <c r="D136" s="255" t="s">
        <v>375</v>
      </c>
      <c r="E136" s="255" t="s">
        <v>353</v>
      </c>
      <c r="F136" s="255" t="s">
        <v>76</v>
      </c>
      <c r="G136" s="255" t="s">
        <v>376</v>
      </c>
      <c r="H136" s="255" t="s">
        <v>19</v>
      </c>
      <c r="I136" s="255" t="s">
        <v>460</v>
      </c>
      <c r="J136" s="255">
        <v>75</v>
      </c>
      <c r="K136" s="255" t="s">
        <v>457</v>
      </c>
      <c r="L136" s="305"/>
      <c r="M136" s="299">
        <v>517</v>
      </c>
      <c r="N136" s="779">
        <f t="shared" si="4"/>
        <v>689.33333333333337</v>
      </c>
      <c r="O136" s="300">
        <v>63</v>
      </c>
      <c r="P136" s="311" t="s">
        <v>467</v>
      </c>
      <c r="Q136" s="312" t="s">
        <v>1324</v>
      </c>
    </row>
    <row r="137" spans="1:17" ht="25.5" x14ac:dyDescent="0.2">
      <c r="A137" s="255" t="s">
        <v>351</v>
      </c>
      <c r="B137" s="255" t="s">
        <v>351</v>
      </c>
      <c r="C137" s="255">
        <v>2018</v>
      </c>
      <c r="D137" s="255" t="s">
        <v>375</v>
      </c>
      <c r="E137" s="255" t="s">
        <v>353</v>
      </c>
      <c r="F137" s="255" t="s">
        <v>76</v>
      </c>
      <c r="G137" s="255" t="s">
        <v>376</v>
      </c>
      <c r="H137" s="255" t="s">
        <v>20</v>
      </c>
      <c r="I137" s="255" t="s">
        <v>460</v>
      </c>
      <c r="J137" s="255">
        <v>75</v>
      </c>
      <c r="K137" s="255" t="s">
        <v>457</v>
      </c>
      <c r="L137" s="305"/>
      <c r="M137" s="299">
        <v>517</v>
      </c>
      <c r="N137" s="779">
        <f t="shared" si="4"/>
        <v>689.33333333333337</v>
      </c>
      <c r="O137" s="300">
        <v>63</v>
      </c>
      <c r="P137" s="311" t="s">
        <v>467</v>
      </c>
      <c r="Q137" s="312" t="s">
        <v>1324</v>
      </c>
    </row>
    <row r="138" spans="1:17" ht="25.5" x14ac:dyDescent="0.2">
      <c r="A138" s="255" t="s">
        <v>351</v>
      </c>
      <c r="B138" s="255" t="s">
        <v>351</v>
      </c>
      <c r="C138" s="255">
        <v>2018</v>
      </c>
      <c r="D138" s="255" t="s">
        <v>375</v>
      </c>
      <c r="E138" s="255" t="s">
        <v>353</v>
      </c>
      <c r="F138" s="255" t="s">
        <v>76</v>
      </c>
      <c r="G138" s="255" t="s">
        <v>376</v>
      </c>
      <c r="H138" s="255" t="s">
        <v>458</v>
      </c>
      <c r="I138" s="255" t="s">
        <v>460</v>
      </c>
      <c r="J138" s="255">
        <v>75</v>
      </c>
      <c r="K138" s="255" t="s">
        <v>457</v>
      </c>
      <c r="L138" s="305"/>
      <c r="M138" s="299">
        <v>517</v>
      </c>
      <c r="N138" s="779">
        <f t="shared" si="4"/>
        <v>689.33333333333337</v>
      </c>
      <c r="O138" s="300">
        <v>63</v>
      </c>
      <c r="P138" s="311" t="s">
        <v>467</v>
      </c>
      <c r="Q138" s="312" t="s">
        <v>1324</v>
      </c>
    </row>
    <row r="139" spans="1:17" ht="25.5" x14ac:dyDescent="0.2">
      <c r="A139" s="255" t="s">
        <v>351</v>
      </c>
      <c r="B139" s="255" t="s">
        <v>351</v>
      </c>
      <c r="C139" s="255">
        <v>2018</v>
      </c>
      <c r="D139" s="255" t="s">
        <v>375</v>
      </c>
      <c r="E139" s="255" t="s">
        <v>353</v>
      </c>
      <c r="F139" s="255" t="s">
        <v>76</v>
      </c>
      <c r="G139" s="255" t="s">
        <v>376</v>
      </c>
      <c r="H139" s="255" t="s">
        <v>459</v>
      </c>
      <c r="I139" s="255" t="s">
        <v>460</v>
      </c>
      <c r="J139" s="255">
        <v>75</v>
      </c>
      <c r="K139" s="255" t="s">
        <v>457</v>
      </c>
      <c r="L139" s="305"/>
      <c r="M139" s="299">
        <v>517</v>
      </c>
      <c r="N139" s="779">
        <f t="shared" si="4"/>
        <v>689.33333333333337</v>
      </c>
      <c r="O139" s="300">
        <v>63</v>
      </c>
      <c r="P139" s="311" t="s">
        <v>467</v>
      </c>
      <c r="Q139" s="312" t="s">
        <v>1324</v>
      </c>
    </row>
    <row r="140" spans="1:17" ht="25.5" x14ac:dyDescent="0.2">
      <c r="A140" s="255" t="s">
        <v>351</v>
      </c>
      <c r="B140" s="255" t="s">
        <v>351</v>
      </c>
      <c r="C140" s="255">
        <v>2018</v>
      </c>
      <c r="D140" s="255" t="s">
        <v>375</v>
      </c>
      <c r="E140" s="255" t="s">
        <v>353</v>
      </c>
      <c r="F140" s="255" t="s">
        <v>76</v>
      </c>
      <c r="G140" s="255" t="s">
        <v>377</v>
      </c>
      <c r="H140" s="255" t="s">
        <v>42</v>
      </c>
      <c r="I140" s="255" t="s">
        <v>456</v>
      </c>
      <c r="J140" s="255">
        <v>2000</v>
      </c>
      <c r="K140" s="255" t="s">
        <v>457</v>
      </c>
      <c r="L140" s="305"/>
      <c r="M140" s="299">
        <v>25835</v>
      </c>
      <c r="N140" s="779">
        <f t="shared" si="4"/>
        <v>1291.75</v>
      </c>
      <c r="O140" s="300">
        <v>458</v>
      </c>
      <c r="P140" s="311" t="s">
        <v>1322</v>
      </c>
      <c r="Q140" s="312" t="s">
        <v>1324</v>
      </c>
    </row>
    <row r="141" spans="1:17" ht="25.5" x14ac:dyDescent="0.2">
      <c r="A141" s="255" t="s">
        <v>351</v>
      </c>
      <c r="B141" s="255" t="s">
        <v>351</v>
      </c>
      <c r="C141" s="255">
        <v>2018</v>
      </c>
      <c r="D141" s="255" t="s">
        <v>375</v>
      </c>
      <c r="E141" s="255" t="s">
        <v>353</v>
      </c>
      <c r="F141" s="255" t="s">
        <v>76</v>
      </c>
      <c r="G141" s="255" t="s">
        <v>377</v>
      </c>
      <c r="H141" s="255" t="s">
        <v>19</v>
      </c>
      <c r="I141" s="255" t="s">
        <v>456</v>
      </c>
      <c r="J141" s="255">
        <v>1000</v>
      </c>
      <c r="K141" s="255" t="s">
        <v>457</v>
      </c>
      <c r="L141" s="305"/>
      <c r="M141" s="299">
        <v>2548</v>
      </c>
      <c r="N141" s="779">
        <f t="shared" si="4"/>
        <v>254.8</v>
      </c>
      <c r="O141" s="300">
        <v>87</v>
      </c>
      <c r="P141" s="311" t="s">
        <v>1338</v>
      </c>
      <c r="Q141" s="312" t="s">
        <v>1324</v>
      </c>
    </row>
    <row r="142" spans="1:17" ht="25.5" x14ac:dyDescent="0.2">
      <c r="A142" s="255" t="s">
        <v>351</v>
      </c>
      <c r="B142" s="255" t="s">
        <v>351</v>
      </c>
      <c r="C142" s="255">
        <v>2018</v>
      </c>
      <c r="D142" s="255" t="s">
        <v>375</v>
      </c>
      <c r="E142" s="255" t="s">
        <v>353</v>
      </c>
      <c r="F142" s="255" t="s">
        <v>76</v>
      </c>
      <c r="G142" s="255" t="s">
        <v>377</v>
      </c>
      <c r="H142" s="255" t="s">
        <v>20</v>
      </c>
      <c r="I142" s="255" t="s">
        <v>456</v>
      </c>
      <c r="J142" s="255">
        <v>1000</v>
      </c>
      <c r="K142" s="255" t="s">
        <v>457</v>
      </c>
      <c r="L142" s="305"/>
      <c r="M142" s="299">
        <v>2548</v>
      </c>
      <c r="N142" s="779">
        <f t="shared" si="4"/>
        <v>254.8</v>
      </c>
      <c r="O142" s="300">
        <v>87</v>
      </c>
      <c r="P142" s="311" t="s">
        <v>1338</v>
      </c>
      <c r="Q142" s="312" t="s">
        <v>1324</v>
      </c>
    </row>
    <row r="143" spans="1:17" ht="25.5" x14ac:dyDescent="0.2">
      <c r="A143" s="255" t="s">
        <v>351</v>
      </c>
      <c r="B143" s="255" t="s">
        <v>351</v>
      </c>
      <c r="C143" s="255">
        <v>2018</v>
      </c>
      <c r="D143" s="255" t="s">
        <v>375</v>
      </c>
      <c r="E143" s="255" t="s">
        <v>353</v>
      </c>
      <c r="F143" s="255" t="s">
        <v>76</v>
      </c>
      <c r="G143" s="255" t="s">
        <v>377</v>
      </c>
      <c r="H143" s="255" t="s">
        <v>458</v>
      </c>
      <c r="I143" s="255" t="s">
        <v>456</v>
      </c>
      <c r="J143" s="255">
        <v>750</v>
      </c>
      <c r="K143" s="255" t="s">
        <v>457</v>
      </c>
      <c r="L143" s="305"/>
      <c r="M143" s="299">
        <v>2375</v>
      </c>
      <c r="N143" s="779">
        <f t="shared" si="4"/>
        <v>316.66666666666669</v>
      </c>
      <c r="O143" s="300">
        <v>80</v>
      </c>
      <c r="P143" s="311" t="s">
        <v>1338</v>
      </c>
      <c r="Q143" s="312" t="s">
        <v>1324</v>
      </c>
    </row>
    <row r="144" spans="1:17" ht="38.25" x14ac:dyDescent="0.2">
      <c r="A144" s="255" t="s">
        <v>351</v>
      </c>
      <c r="B144" s="255" t="s">
        <v>351</v>
      </c>
      <c r="C144" s="255">
        <v>2018</v>
      </c>
      <c r="D144" s="255" t="s">
        <v>375</v>
      </c>
      <c r="E144" s="255" t="s">
        <v>353</v>
      </c>
      <c r="F144" s="255" t="s">
        <v>76</v>
      </c>
      <c r="G144" s="255" t="s">
        <v>377</v>
      </c>
      <c r="H144" s="255" t="s">
        <v>459</v>
      </c>
      <c r="I144" s="255" t="s">
        <v>456</v>
      </c>
      <c r="J144" s="255">
        <v>500</v>
      </c>
      <c r="K144" s="255" t="s">
        <v>457</v>
      </c>
      <c r="L144" s="305"/>
      <c r="M144" s="299">
        <v>141</v>
      </c>
      <c r="N144" s="779">
        <f t="shared" si="4"/>
        <v>28.2</v>
      </c>
      <c r="O144" s="300">
        <v>6</v>
      </c>
      <c r="P144" s="311" t="s">
        <v>1338</v>
      </c>
      <c r="Q144" s="312" t="s">
        <v>1737</v>
      </c>
    </row>
    <row r="145" spans="1:17" ht="25.5" x14ac:dyDescent="0.2">
      <c r="A145" s="255" t="s">
        <v>351</v>
      </c>
      <c r="B145" s="255" t="s">
        <v>351</v>
      </c>
      <c r="C145" s="255">
        <v>2018</v>
      </c>
      <c r="D145" s="255" t="s">
        <v>375</v>
      </c>
      <c r="E145" s="255" t="s">
        <v>353</v>
      </c>
      <c r="F145" s="255" t="s">
        <v>76</v>
      </c>
      <c r="G145" s="255" t="s">
        <v>377</v>
      </c>
      <c r="H145" s="255" t="s">
        <v>42</v>
      </c>
      <c r="I145" s="255" t="s">
        <v>460</v>
      </c>
      <c r="J145" s="255">
        <v>1500</v>
      </c>
      <c r="K145" s="255" t="s">
        <v>457</v>
      </c>
      <c r="L145" s="305"/>
      <c r="M145" s="299">
        <v>10531</v>
      </c>
      <c r="N145" s="779">
        <f t="shared" si="4"/>
        <v>702.06666666666672</v>
      </c>
      <c r="O145" s="300">
        <v>196</v>
      </c>
      <c r="P145" s="311" t="s">
        <v>467</v>
      </c>
      <c r="Q145" s="312" t="s">
        <v>1324</v>
      </c>
    </row>
    <row r="146" spans="1:17" ht="25.5" x14ac:dyDescent="0.2">
      <c r="A146" s="255" t="s">
        <v>351</v>
      </c>
      <c r="B146" s="255" t="s">
        <v>351</v>
      </c>
      <c r="C146" s="255">
        <v>2018</v>
      </c>
      <c r="D146" s="255" t="s">
        <v>375</v>
      </c>
      <c r="E146" s="255" t="s">
        <v>353</v>
      </c>
      <c r="F146" s="255" t="s">
        <v>76</v>
      </c>
      <c r="G146" s="255" t="s">
        <v>377</v>
      </c>
      <c r="H146" s="255" t="s">
        <v>19</v>
      </c>
      <c r="I146" s="255" t="s">
        <v>460</v>
      </c>
      <c r="J146" s="255">
        <v>750</v>
      </c>
      <c r="K146" s="255" t="s">
        <v>457</v>
      </c>
      <c r="L146" s="305"/>
      <c r="M146" s="299">
        <v>3728</v>
      </c>
      <c r="N146" s="779">
        <f t="shared" si="4"/>
        <v>497.06666666666666</v>
      </c>
      <c r="O146" s="300">
        <v>196</v>
      </c>
      <c r="P146" s="311" t="s">
        <v>467</v>
      </c>
      <c r="Q146" s="312" t="s">
        <v>1324</v>
      </c>
    </row>
    <row r="147" spans="1:17" ht="25.5" x14ac:dyDescent="0.2">
      <c r="A147" s="255" t="s">
        <v>351</v>
      </c>
      <c r="B147" s="255" t="s">
        <v>351</v>
      </c>
      <c r="C147" s="255">
        <v>2018</v>
      </c>
      <c r="D147" s="255" t="s">
        <v>375</v>
      </c>
      <c r="E147" s="255" t="s">
        <v>353</v>
      </c>
      <c r="F147" s="255" t="s">
        <v>76</v>
      </c>
      <c r="G147" s="255" t="s">
        <v>377</v>
      </c>
      <c r="H147" s="255" t="s">
        <v>20</v>
      </c>
      <c r="I147" s="255" t="s">
        <v>460</v>
      </c>
      <c r="J147" s="255">
        <v>750</v>
      </c>
      <c r="K147" s="255" t="s">
        <v>457</v>
      </c>
      <c r="L147" s="305"/>
      <c r="M147" s="299">
        <v>3728</v>
      </c>
      <c r="N147" s="779">
        <f t="shared" si="4"/>
        <v>497.06666666666666</v>
      </c>
      <c r="O147" s="300">
        <v>196</v>
      </c>
      <c r="P147" s="311" t="s">
        <v>467</v>
      </c>
      <c r="Q147" s="312" t="s">
        <v>1324</v>
      </c>
    </row>
    <row r="148" spans="1:17" ht="25.5" x14ac:dyDescent="0.2">
      <c r="A148" s="255" t="s">
        <v>351</v>
      </c>
      <c r="B148" s="255" t="s">
        <v>351</v>
      </c>
      <c r="C148" s="255">
        <v>2018</v>
      </c>
      <c r="D148" s="255" t="s">
        <v>375</v>
      </c>
      <c r="E148" s="255" t="s">
        <v>353</v>
      </c>
      <c r="F148" s="255" t="s">
        <v>76</v>
      </c>
      <c r="G148" s="255" t="s">
        <v>377</v>
      </c>
      <c r="H148" s="255" t="s">
        <v>458</v>
      </c>
      <c r="I148" s="255" t="s">
        <v>460</v>
      </c>
      <c r="J148" s="255">
        <v>750</v>
      </c>
      <c r="K148" s="255" t="s">
        <v>457</v>
      </c>
      <c r="L148" s="305"/>
      <c r="M148" s="299">
        <v>3728</v>
      </c>
      <c r="N148" s="779">
        <f t="shared" si="4"/>
        <v>497.06666666666666</v>
      </c>
      <c r="O148" s="300">
        <v>196</v>
      </c>
      <c r="P148" s="311" t="s">
        <v>467</v>
      </c>
      <c r="Q148" s="312" t="s">
        <v>1324</v>
      </c>
    </row>
    <row r="149" spans="1:17" ht="25.5" x14ac:dyDescent="0.2">
      <c r="A149" s="255" t="s">
        <v>351</v>
      </c>
      <c r="B149" s="255" t="s">
        <v>351</v>
      </c>
      <c r="C149" s="255">
        <v>2018</v>
      </c>
      <c r="D149" s="255" t="s">
        <v>375</v>
      </c>
      <c r="E149" s="255" t="s">
        <v>353</v>
      </c>
      <c r="F149" s="255" t="s">
        <v>76</v>
      </c>
      <c r="G149" s="255" t="s">
        <v>377</v>
      </c>
      <c r="H149" s="255" t="s">
        <v>459</v>
      </c>
      <c r="I149" s="255" t="s">
        <v>460</v>
      </c>
      <c r="J149" s="255">
        <v>750</v>
      </c>
      <c r="K149" s="255" t="s">
        <v>457</v>
      </c>
      <c r="L149" s="305"/>
      <c r="M149" s="299">
        <v>3726</v>
      </c>
      <c r="N149" s="779">
        <f t="shared" si="4"/>
        <v>496.8</v>
      </c>
      <c r="O149" s="300">
        <v>196</v>
      </c>
      <c r="P149" s="311" t="s">
        <v>467</v>
      </c>
      <c r="Q149" s="312" t="s">
        <v>1324</v>
      </c>
    </row>
    <row r="150" spans="1:17" ht="63.75" x14ac:dyDescent="0.2">
      <c r="A150" s="255" t="s">
        <v>351</v>
      </c>
      <c r="B150" s="255" t="s">
        <v>351</v>
      </c>
      <c r="C150" s="255">
        <v>2018</v>
      </c>
      <c r="D150" s="255" t="s">
        <v>378</v>
      </c>
      <c r="E150" s="255" t="s">
        <v>353</v>
      </c>
      <c r="F150" s="255" t="s">
        <v>76</v>
      </c>
      <c r="G150" s="255" t="s">
        <v>379</v>
      </c>
      <c r="H150" s="255" t="s">
        <v>42</v>
      </c>
      <c r="I150" s="255" t="s">
        <v>456</v>
      </c>
      <c r="J150" s="255">
        <v>2000</v>
      </c>
      <c r="K150" s="255" t="s">
        <v>457</v>
      </c>
      <c r="L150" s="305"/>
      <c r="M150" s="299">
        <v>455</v>
      </c>
      <c r="N150" s="779">
        <f t="shared" si="4"/>
        <v>22.75</v>
      </c>
      <c r="O150" s="300">
        <v>58</v>
      </c>
      <c r="P150" s="311" t="s">
        <v>1322</v>
      </c>
      <c r="Q150" s="312" t="s">
        <v>1738</v>
      </c>
    </row>
    <row r="151" spans="1:17" ht="38.25" x14ac:dyDescent="0.2">
      <c r="A151" s="255" t="s">
        <v>351</v>
      </c>
      <c r="B151" s="255" t="s">
        <v>351</v>
      </c>
      <c r="C151" s="255">
        <v>2018</v>
      </c>
      <c r="D151" s="255" t="s">
        <v>378</v>
      </c>
      <c r="E151" s="255" t="s">
        <v>353</v>
      </c>
      <c r="F151" s="255" t="s">
        <v>76</v>
      </c>
      <c r="G151" s="255" t="s">
        <v>379</v>
      </c>
      <c r="H151" s="255" t="s">
        <v>19</v>
      </c>
      <c r="I151" s="255" t="s">
        <v>456</v>
      </c>
      <c r="J151" s="255">
        <v>250</v>
      </c>
      <c r="K151" s="255" t="s">
        <v>457</v>
      </c>
      <c r="L151" s="305"/>
      <c r="M151" s="299">
        <v>94</v>
      </c>
      <c r="N151" s="779">
        <f t="shared" si="4"/>
        <v>37.6</v>
      </c>
      <c r="O151" s="300">
        <v>10</v>
      </c>
      <c r="P151" s="311" t="s">
        <v>1338</v>
      </c>
      <c r="Q151" s="312" t="s">
        <v>1739</v>
      </c>
    </row>
    <row r="152" spans="1:17" ht="38.25" x14ac:dyDescent="0.2">
      <c r="A152" s="255" t="s">
        <v>351</v>
      </c>
      <c r="B152" s="255" t="s">
        <v>351</v>
      </c>
      <c r="C152" s="255">
        <v>2018</v>
      </c>
      <c r="D152" s="255" t="s">
        <v>378</v>
      </c>
      <c r="E152" s="255" t="s">
        <v>353</v>
      </c>
      <c r="F152" s="255" t="s">
        <v>76</v>
      </c>
      <c r="G152" s="255" t="s">
        <v>379</v>
      </c>
      <c r="H152" s="255" t="s">
        <v>20</v>
      </c>
      <c r="I152" s="255" t="s">
        <v>456</v>
      </c>
      <c r="J152" s="255">
        <v>250</v>
      </c>
      <c r="K152" s="255" t="s">
        <v>457</v>
      </c>
      <c r="L152" s="305"/>
      <c r="M152" s="299">
        <v>94</v>
      </c>
      <c r="N152" s="779">
        <f t="shared" si="4"/>
        <v>37.6</v>
      </c>
      <c r="O152" s="300">
        <v>10</v>
      </c>
      <c r="P152" s="311" t="s">
        <v>1338</v>
      </c>
      <c r="Q152" s="312" t="s">
        <v>1739</v>
      </c>
    </row>
    <row r="153" spans="1:17" x14ac:dyDescent="0.2">
      <c r="A153" s="255" t="s">
        <v>351</v>
      </c>
      <c r="B153" s="255" t="s">
        <v>351</v>
      </c>
      <c r="C153" s="255">
        <v>2018</v>
      </c>
      <c r="D153" s="255" t="s">
        <v>378</v>
      </c>
      <c r="E153" s="255" t="s">
        <v>353</v>
      </c>
      <c r="F153" s="255" t="s">
        <v>76</v>
      </c>
      <c r="G153" s="255" t="s">
        <v>379</v>
      </c>
      <c r="H153" s="255" t="s">
        <v>458</v>
      </c>
      <c r="I153" s="255" t="s">
        <v>456</v>
      </c>
      <c r="J153" s="255">
        <v>0</v>
      </c>
      <c r="K153" s="255" t="s">
        <v>457</v>
      </c>
      <c r="L153" s="305" t="s">
        <v>466</v>
      </c>
      <c r="M153" s="299">
        <v>73</v>
      </c>
      <c r="N153" s="300" t="s">
        <v>1153</v>
      </c>
      <c r="O153" s="300">
        <v>7</v>
      </c>
      <c r="P153" s="311" t="s">
        <v>1325</v>
      </c>
      <c r="Q153" s="312"/>
    </row>
    <row r="154" spans="1:17" x14ac:dyDescent="0.2">
      <c r="A154" s="255" t="s">
        <v>351</v>
      </c>
      <c r="B154" s="255" t="s">
        <v>351</v>
      </c>
      <c r="C154" s="255">
        <v>2018</v>
      </c>
      <c r="D154" s="255" t="s">
        <v>378</v>
      </c>
      <c r="E154" s="255" t="s">
        <v>353</v>
      </c>
      <c r="F154" s="255" t="s">
        <v>76</v>
      </c>
      <c r="G154" s="255" t="s">
        <v>379</v>
      </c>
      <c r="H154" s="255" t="s">
        <v>459</v>
      </c>
      <c r="I154" s="255" t="s">
        <v>456</v>
      </c>
      <c r="J154" s="255">
        <v>0</v>
      </c>
      <c r="K154" s="255" t="s">
        <v>457</v>
      </c>
      <c r="L154" s="305" t="s">
        <v>466</v>
      </c>
      <c r="M154" s="299">
        <v>40</v>
      </c>
      <c r="N154" s="300" t="s">
        <v>1153</v>
      </c>
      <c r="O154" s="300">
        <v>1</v>
      </c>
      <c r="P154" s="311" t="s">
        <v>1325</v>
      </c>
      <c r="Q154" s="312"/>
    </row>
    <row r="155" spans="1:17" ht="25.5" x14ac:dyDescent="0.2">
      <c r="A155" s="255" t="s">
        <v>351</v>
      </c>
      <c r="B155" s="255" t="s">
        <v>351</v>
      </c>
      <c r="C155" s="255">
        <v>2018</v>
      </c>
      <c r="D155" s="255" t="s">
        <v>378</v>
      </c>
      <c r="E155" s="255" t="s">
        <v>353</v>
      </c>
      <c r="F155" s="255" t="s">
        <v>76</v>
      </c>
      <c r="G155" s="255" t="s">
        <v>379</v>
      </c>
      <c r="H155" s="255" t="s">
        <v>42</v>
      </c>
      <c r="I155" s="255" t="s">
        <v>460</v>
      </c>
      <c r="J155" s="255">
        <v>150</v>
      </c>
      <c r="K155" s="255" t="s">
        <v>457</v>
      </c>
      <c r="L155" s="305"/>
      <c r="M155" s="299">
        <v>232</v>
      </c>
      <c r="N155" s="779">
        <f t="shared" ref="N155:N172" si="5">(100*M155/J155)</f>
        <v>154.66666666666666</v>
      </c>
      <c r="O155" s="300">
        <v>35</v>
      </c>
      <c r="P155" s="311" t="s">
        <v>467</v>
      </c>
      <c r="Q155" s="312" t="s">
        <v>1324</v>
      </c>
    </row>
    <row r="156" spans="1:17" x14ac:dyDescent="0.2">
      <c r="A156" s="255" t="s">
        <v>351</v>
      </c>
      <c r="B156" s="255" t="s">
        <v>351</v>
      </c>
      <c r="C156" s="255">
        <v>2018</v>
      </c>
      <c r="D156" s="255" t="s">
        <v>378</v>
      </c>
      <c r="E156" s="255" t="s">
        <v>353</v>
      </c>
      <c r="F156" s="255" t="s">
        <v>76</v>
      </c>
      <c r="G156" s="255" t="s">
        <v>379</v>
      </c>
      <c r="H156" s="255" t="s">
        <v>19</v>
      </c>
      <c r="I156" s="255" t="s">
        <v>460</v>
      </c>
      <c r="J156" s="255">
        <v>150</v>
      </c>
      <c r="K156" s="255" t="s">
        <v>457</v>
      </c>
      <c r="L156" s="305"/>
      <c r="M156" s="299">
        <v>216</v>
      </c>
      <c r="N156" s="779">
        <f t="shared" si="5"/>
        <v>144</v>
      </c>
      <c r="O156" s="300">
        <v>35</v>
      </c>
      <c r="P156" s="311" t="s">
        <v>467</v>
      </c>
      <c r="Q156" s="312"/>
    </row>
    <row r="157" spans="1:17" x14ac:dyDescent="0.2">
      <c r="A157" s="255" t="s">
        <v>351</v>
      </c>
      <c r="B157" s="255" t="s">
        <v>351</v>
      </c>
      <c r="C157" s="255">
        <v>2018</v>
      </c>
      <c r="D157" s="255" t="s">
        <v>378</v>
      </c>
      <c r="E157" s="255" t="s">
        <v>353</v>
      </c>
      <c r="F157" s="255" t="s">
        <v>76</v>
      </c>
      <c r="G157" s="255" t="s">
        <v>379</v>
      </c>
      <c r="H157" s="255" t="s">
        <v>20</v>
      </c>
      <c r="I157" s="255" t="s">
        <v>460</v>
      </c>
      <c r="J157" s="255">
        <v>150</v>
      </c>
      <c r="K157" s="255" t="s">
        <v>457</v>
      </c>
      <c r="L157" s="305"/>
      <c r="M157" s="299">
        <v>216</v>
      </c>
      <c r="N157" s="779">
        <f t="shared" si="5"/>
        <v>144</v>
      </c>
      <c r="O157" s="300">
        <v>35</v>
      </c>
      <c r="P157" s="311" t="s">
        <v>467</v>
      </c>
      <c r="Q157" s="312"/>
    </row>
    <row r="158" spans="1:17" x14ac:dyDescent="0.2">
      <c r="A158" s="255" t="s">
        <v>351</v>
      </c>
      <c r="B158" s="255" t="s">
        <v>351</v>
      </c>
      <c r="C158" s="255">
        <v>2018</v>
      </c>
      <c r="D158" s="255" t="s">
        <v>378</v>
      </c>
      <c r="E158" s="255" t="s">
        <v>353</v>
      </c>
      <c r="F158" s="255" t="s">
        <v>76</v>
      </c>
      <c r="G158" s="255" t="s">
        <v>379</v>
      </c>
      <c r="H158" s="255" t="s">
        <v>458</v>
      </c>
      <c r="I158" s="255" t="s">
        <v>460</v>
      </c>
      <c r="J158" s="255">
        <v>150</v>
      </c>
      <c r="K158" s="255" t="s">
        <v>457</v>
      </c>
      <c r="L158" s="305"/>
      <c r="M158" s="299">
        <v>216</v>
      </c>
      <c r="N158" s="779">
        <f t="shared" si="5"/>
        <v>144</v>
      </c>
      <c r="O158" s="300">
        <v>35</v>
      </c>
      <c r="P158" s="311" t="s">
        <v>467</v>
      </c>
      <c r="Q158" s="312"/>
    </row>
    <row r="159" spans="1:17" x14ac:dyDescent="0.2">
      <c r="A159" s="255" t="s">
        <v>351</v>
      </c>
      <c r="B159" s="255" t="s">
        <v>351</v>
      </c>
      <c r="C159" s="255">
        <v>2018</v>
      </c>
      <c r="D159" s="255" t="s">
        <v>378</v>
      </c>
      <c r="E159" s="255" t="s">
        <v>353</v>
      </c>
      <c r="F159" s="255" t="s">
        <v>76</v>
      </c>
      <c r="G159" s="255" t="s">
        <v>379</v>
      </c>
      <c r="H159" s="255" t="s">
        <v>459</v>
      </c>
      <c r="I159" s="255" t="s">
        <v>460</v>
      </c>
      <c r="J159" s="255">
        <v>150</v>
      </c>
      <c r="K159" s="255" t="s">
        <v>457</v>
      </c>
      <c r="L159" s="305"/>
      <c r="M159" s="299">
        <v>216</v>
      </c>
      <c r="N159" s="779">
        <f t="shared" si="5"/>
        <v>144</v>
      </c>
      <c r="O159" s="300">
        <v>35</v>
      </c>
      <c r="P159" s="311" t="s">
        <v>467</v>
      </c>
      <c r="Q159" s="312"/>
    </row>
    <row r="160" spans="1:17" ht="25.5" x14ac:dyDescent="0.2">
      <c r="A160" s="255" t="s">
        <v>351</v>
      </c>
      <c r="B160" s="255" t="s">
        <v>351</v>
      </c>
      <c r="C160" s="255">
        <v>2018</v>
      </c>
      <c r="D160" s="255" t="s">
        <v>378</v>
      </c>
      <c r="E160" s="255" t="s">
        <v>353</v>
      </c>
      <c r="F160" s="255" t="s">
        <v>76</v>
      </c>
      <c r="G160" s="255" t="s">
        <v>383</v>
      </c>
      <c r="H160" s="255" t="s">
        <v>42</v>
      </c>
      <c r="I160" s="255" t="s">
        <v>456</v>
      </c>
      <c r="J160" s="255">
        <v>2000</v>
      </c>
      <c r="K160" s="255" t="s">
        <v>457</v>
      </c>
      <c r="L160" s="305"/>
      <c r="M160" s="299">
        <v>4944</v>
      </c>
      <c r="N160" s="779">
        <f t="shared" si="5"/>
        <v>247.2</v>
      </c>
      <c r="O160" s="300">
        <v>305</v>
      </c>
      <c r="P160" s="311" t="s">
        <v>1322</v>
      </c>
      <c r="Q160" s="312" t="s">
        <v>1324</v>
      </c>
    </row>
    <row r="161" spans="1:17" x14ac:dyDescent="0.2">
      <c r="A161" s="255" t="s">
        <v>351</v>
      </c>
      <c r="B161" s="255" t="s">
        <v>351</v>
      </c>
      <c r="C161" s="255">
        <v>2018</v>
      </c>
      <c r="D161" s="255" t="s">
        <v>378</v>
      </c>
      <c r="E161" s="255" t="s">
        <v>353</v>
      </c>
      <c r="F161" s="255" t="s">
        <v>76</v>
      </c>
      <c r="G161" s="255" t="s">
        <v>383</v>
      </c>
      <c r="H161" s="255" t="s">
        <v>19</v>
      </c>
      <c r="I161" s="255" t="s">
        <v>456</v>
      </c>
      <c r="J161" s="255">
        <v>500</v>
      </c>
      <c r="K161" s="255" t="s">
        <v>457</v>
      </c>
      <c r="L161" s="305"/>
      <c r="M161" s="299">
        <v>547</v>
      </c>
      <c r="N161" s="779">
        <f t="shared" si="5"/>
        <v>109.4</v>
      </c>
      <c r="O161" s="300">
        <v>55</v>
      </c>
      <c r="P161" s="311" t="s">
        <v>1345</v>
      </c>
      <c r="Q161" s="312"/>
    </row>
    <row r="162" spans="1:17" x14ac:dyDescent="0.2">
      <c r="A162" s="255" t="s">
        <v>351</v>
      </c>
      <c r="B162" s="255" t="s">
        <v>351</v>
      </c>
      <c r="C162" s="255">
        <v>2018</v>
      </c>
      <c r="D162" s="255" t="s">
        <v>378</v>
      </c>
      <c r="E162" s="255" t="s">
        <v>353</v>
      </c>
      <c r="F162" s="255" t="s">
        <v>76</v>
      </c>
      <c r="G162" s="255" t="s">
        <v>383</v>
      </c>
      <c r="H162" s="255" t="s">
        <v>20</v>
      </c>
      <c r="I162" s="255" t="s">
        <v>456</v>
      </c>
      <c r="J162" s="255">
        <v>500</v>
      </c>
      <c r="K162" s="255" t="s">
        <v>457</v>
      </c>
      <c r="L162" s="305"/>
      <c r="M162" s="299">
        <v>547</v>
      </c>
      <c r="N162" s="779">
        <f t="shared" si="5"/>
        <v>109.4</v>
      </c>
      <c r="O162" s="300">
        <v>55</v>
      </c>
      <c r="P162" s="311" t="s">
        <v>1345</v>
      </c>
      <c r="Q162" s="312"/>
    </row>
    <row r="163" spans="1:17" ht="25.5" x14ac:dyDescent="0.2">
      <c r="A163" s="255" t="s">
        <v>351</v>
      </c>
      <c r="B163" s="255" t="s">
        <v>351</v>
      </c>
      <c r="C163" s="255">
        <v>2018</v>
      </c>
      <c r="D163" s="255" t="s">
        <v>378</v>
      </c>
      <c r="E163" s="255" t="s">
        <v>353</v>
      </c>
      <c r="F163" s="255" t="s">
        <v>76</v>
      </c>
      <c r="G163" s="255" t="s">
        <v>383</v>
      </c>
      <c r="H163" s="255" t="s">
        <v>458</v>
      </c>
      <c r="I163" s="255" t="s">
        <v>456</v>
      </c>
      <c r="J163" s="255">
        <v>200</v>
      </c>
      <c r="K163" s="255" t="s">
        <v>457</v>
      </c>
      <c r="L163" s="305"/>
      <c r="M163" s="299">
        <v>311</v>
      </c>
      <c r="N163" s="779">
        <f t="shared" si="5"/>
        <v>155.5</v>
      </c>
      <c r="O163" s="300">
        <v>41</v>
      </c>
      <c r="P163" s="311" t="s">
        <v>1345</v>
      </c>
      <c r="Q163" s="312" t="s">
        <v>1324</v>
      </c>
    </row>
    <row r="164" spans="1:17" ht="38.25" x14ac:dyDescent="0.2">
      <c r="A164" s="255" t="s">
        <v>351</v>
      </c>
      <c r="B164" s="255" t="s">
        <v>351</v>
      </c>
      <c r="C164" s="255">
        <v>2018</v>
      </c>
      <c r="D164" s="255" t="s">
        <v>378</v>
      </c>
      <c r="E164" s="255" t="s">
        <v>353</v>
      </c>
      <c r="F164" s="255" t="s">
        <v>76</v>
      </c>
      <c r="G164" s="255" t="s">
        <v>383</v>
      </c>
      <c r="H164" s="255" t="s">
        <v>459</v>
      </c>
      <c r="I164" s="255" t="s">
        <v>456</v>
      </c>
      <c r="J164" s="255">
        <v>200</v>
      </c>
      <c r="K164" s="255" t="s">
        <v>457</v>
      </c>
      <c r="L164" s="305"/>
      <c r="M164" s="299">
        <v>69</v>
      </c>
      <c r="N164" s="779">
        <f t="shared" si="5"/>
        <v>34.5</v>
      </c>
      <c r="O164" s="300">
        <v>4</v>
      </c>
      <c r="P164" s="311" t="s">
        <v>1345</v>
      </c>
      <c r="Q164" s="312" t="s">
        <v>1737</v>
      </c>
    </row>
    <row r="165" spans="1:17" ht="25.5" x14ac:dyDescent="0.2">
      <c r="A165" s="255" t="s">
        <v>351</v>
      </c>
      <c r="B165" s="255" t="s">
        <v>351</v>
      </c>
      <c r="C165" s="255">
        <v>2018</v>
      </c>
      <c r="D165" s="255" t="s">
        <v>378</v>
      </c>
      <c r="E165" s="255" t="s">
        <v>353</v>
      </c>
      <c r="F165" s="255" t="s">
        <v>76</v>
      </c>
      <c r="G165" s="255" t="s">
        <v>383</v>
      </c>
      <c r="H165" s="255" t="s">
        <v>42</v>
      </c>
      <c r="I165" s="255" t="s">
        <v>460</v>
      </c>
      <c r="J165" s="255">
        <v>1000</v>
      </c>
      <c r="K165" s="255" t="s">
        <v>457</v>
      </c>
      <c r="L165" s="305"/>
      <c r="M165" s="299">
        <v>3369</v>
      </c>
      <c r="N165" s="779">
        <f t="shared" si="5"/>
        <v>336.9</v>
      </c>
      <c r="O165" s="300">
        <v>159</v>
      </c>
      <c r="P165" s="311" t="s">
        <v>467</v>
      </c>
      <c r="Q165" s="312" t="s">
        <v>1324</v>
      </c>
    </row>
    <row r="166" spans="1:17" ht="25.5" x14ac:dyDescent="0.2">
      <c r="A166" s="255" t="s">
        <v>351</v>
      </c>
      <c r="B166" s="255" t="s">
        <v>351</v>
      </c>
      <c r="C166" s="255">
        <v>2018</v>
      </c>
      <c r="D166" s="255" t="s">
        <v>378</v>
      </c>
      <c r="E166" s="255" t="s">
        <v>353</v>
      </c>
      <c r="F166" s="255" t="s">
        <v>76</v>
      </c>
      <c r="G166" s="255" t="s">
        <v>383</v>
      </c>
      <c r="H166" s="255" t="s">
        <v>19</v>
      </c>
      <c r="I166" s="255" t="s">
        <v>460</v>
      </c>
      <c r="J166" s="255">
        <v>1000</v>
      </c>
      <c r="K166" s="255" t="s">
        <v>457</v>
      </c>
      <c r="L166" s="305"/>
      <c r="M166" s="299">
        <v>1611</v>
      </c>
      <c r="N166" s="779">
        <f t="shared" si="5"/>
        <v>161.1</v>
      </c>
      <c r="O166" s="300">
        <v>158</v>
      </c>
      <c r="P166" s="311" t="s">
        <v>467</v>
      </c>
      <c r="Q166" s="312" t="s">
        <v>1324</v>
      </c>
    </row>
    <row r="167" spans="1:17" ht="25.5" x14ac:dyDescent="0.2">
      <c r="A167" s="255" t="s">
        <v>351</v>
      </c>
      <c r="B167" s="255" t="s">
        <v>351</v>
      </c>
      <c r="C167" s="255">
        <v>2018</v>
      </c>
      <c r="D167" s="255" t="s">
        <v>378</v>
      </c>
      <c r="E167" s="255" t="s">
        <v>353</v>
      </c>
      <c r="F167" s="255" t="s">
        <v>76</v>
      </c>
      <c r="G167" s="255" t="s">
        <v>383</v>
      </c>
      <c r="H167" s="255" t="s">
        <v>20</v>
      </c>
      <c r="I167" s="255" t="s">
        <v>460</v>
      </c>
      <c r="J167" s="255">
        <v>1000</v>
      </c>
      <c r="K167" s="255" t="s">
        <v>457</v>
      </c>
      <c r="L167" s="305"/>
      <c r="M167" s="299">
        <v>1611</v>
      </c>
      <c r="N167" s="779">
        <f t="shared" si="5"/>
        <v>161.1</v>
      </c>
      <c r="O167" s="300">
        <v>158</v>
      </c>
      <c r="P167" s="311" t="s">
        <v>467</v>
      </c>
      <c r="Q167" s="312" t="s">
        <v>1324</v>
      </c>
    </row>
    <row r="168" spans="1:17" ht="25.5" x14ac:dyDescent="0.2">
      <c r="A168" s="255" t="s">
        <v>351</v>
      </c>
      <c r="B168" s="255" t="s">
        <v>351</v>
      </c>
      <c r="C168" s="255">
        <v>2018</v>
      </c>
      <c r="D168" s="255" t="s">
        <v>378</v>
      </c>
      <c r="E168" s="255" t="s">
        <v>353</v>
      </c>
      <c r="F168" s="255" t="s">
        <v>76</v>
      </c>
      <c r="G168" s="255" t="s">
        <v>383</v>
      </c>
      <c r="H168" s="255" t="s">
        <v>458</v>
      </c>
      <c r="I168" s="255" t="s">
        <v>460</v>
      </c>
      <c r="J168" s="255">
        <v>1000</v>
      </c>
      <c r="K168" s="255" t="s">
        <v>457</v>
      </c>
      <c r="L168" s="305"/>
      <c r="M168" s="299">
        <v>1611</v>
      </c>
      <c r="N168" s="779">
        <f t="shared" si="5"/>
        <v>161.1</v>
      </c>
      <c r="O168" s="300">
        <v>158</v>
      </c>
      <c r="P168" s="311" t="s">
        <v>467</v>
      </c>
      <c r="Q168" s="312" t="s">
        <v>1324</v>
      </c>
    </row>
    <row r="169" spans="1:17" ht="25.5" x14ac:dyDescent="0.2">
      <c r="A169" s="255" t="s">
        <v>351</v>
      </c>
      <c r="B169" s="255" t="s">
        <v>351</v>
      </c>
      <c r="C169" s="255">
        <v>2018</v>
      </c>
      <c r="D169" s="255" t="s">
        <v>378</v>
      </c>
      <c r="E169" s="255" t="s">
        <v>353</v>
      </c>
      <c r="F169" s="255" t="s">
        <v>76</v>
      </c>
      <c r="G169" s="255" t="s">
        <v>383</v>
      </c>
      <c r="H169" s="255" t="s">
        <v>459</v>
      </c>
      <c r="I169" s="255" t="s">
        <v>460</v>
      </c>
      <c r="J169" s="255">
        <v>1000</v>
      </c>
      <c r="K169" s="255" t="s">
        <v>457</v>
      </c>
      <c r="L169" s="305"/>
      <c r="M169" s="299">
        <v>1611</v>
      </c>
      <c r="N169" s="779">
        <f t="shared" si="5"/>
        <v>161.1</v>
      </c>
      <c r="O169" s="300">
        <v>158</v>
      </c>
      <c r="P169" s="311" t="s">
        <v>467</v>
      </c>
      <c r="Q169" s="312" t="s">
        <v>1324</v>
      </c>
    </row>
    <row r="170" spans="1:17" ht="63.75" x14ac:dyDescent="0.2">
      <c r="A170" s="255" t="s">
        <v>351</v>
      </c>
      <c r="B170" s="255" t="s">
        <v>351</v>
      </c>
      <c r="C170" s="255">
        <v>2018</v>
      </c>
      <c r="D170" s="255" t="s">
        <v>384</v>
      </c>
      <c r="E170" s="255" t="s">
        <v>353</v>
      </c>
      <c r="F170" s="255" t="s">
        <v>76</v>
      </c>
      <c r="G170" s="255" t="s">
        <v>379</v>
      </c>
      <c r="H170" s="255" t="s">
        <v>42</v>
      </c>
      <c r="I170" s="255" t="s">
        <v>456</v>
      </c>
      <c r="J170" s="255">
        <v>2000</v>
      </c>
      <c r="K170" s="255" t="s">
        <v>457</v>
      </c>
      <c r="L170" s="305"/>
      <c r="M170" s="299">
        <v>1282</v>
      </c>
      <c r="N170" s="779">
        <f t="shared" si="5"/>
        <v>64.099999999999994</v>
      </c>
      <c r="O170" s="300">
        <v>120</v>
      </c>
      <c r="P170" s="311" t="s">
        <v>1322</v>
      </c>
      <c r="Q170" s="312" t="s">
        <v>1740</v>
      </c>
    </row>
    <row r="171" spans="1:17" ht="63.75" x14ac:dyDescent="0.2">
      <c r="A171" s="255" t="s">
        <v>351</v>
      </c>
      <c r="B171" s="255" t="s">
        <v>351</v>
      </c>
      <c r="C171" s="255">
        <v>2018</v>
      </c>
      <c r="D171" s="255" t="s">
        <v>384</v>
      </c>
      <c r="E171" s="255" t="s">
        <v>353</v>
      </c>
      <c r="F171" s="255" t="s">
        <v>76</v>
      </c>
      <c r="G171" s="255" t="s">
        <v>379</v>
      </c>
      <c r="H171" s="255" t="s">
        <v>19</v>
      </c>
      <c r="I171" s="255" t="s">
        <v>456</v>
      </c>
      <c r="J171" s="255">
        <v>500</v>
      </c>
      <c r="K171" s="255" t="s">
        <v>457</v>
      </c>
      <c r="L171" s="305"/>
      <c r="M171" s="299">
        <v>291</v>
      </c>
      <c r="N171" s="779">
        <f t="shared" si="5"/>
        <v>58.2</v>
      </c>
      <c r="O171" s="300">
        <v>26</v>
      </c>
      <c r="P171" s="311" t="s">
        <v>1345</v>
      </c>
      <c r="Q171" s="312" t="s">
        <v>1741</v>
      </c>
    </row>
    <row r="172" spans="1:17" ht="63.75" x14ac:dyDescent="0.2">
      <c r="A172" s="255" t="s">
        <v>351</v>
      </c>
      <c r="B172" s="255" t="s">
        <v>351</v>
      </c>
      <c r="C172" s="255">
        <v>2018</v>
      </c>
      <c r="D172" s="255" t="s">
        <v>384</v>
      </c>
      <c r="E172" s="255" t="s">
        <v>353</v>
      </c>
      <c r="F172" s="255" t="s">
        <v>76</v>
      </c>
      <c r="G172" s="255" t="s">
        <v>379</v>
      </c>
      <c r="H172" s="255" t="s">
        <v>20</v>
      </c>
      <c r="I172" s="255" t="s">
        <v>456</v>
      </c>
      <c r="J172" s="255">
        <v>500</v>
      </c>
      <c r="K172" s="255" t="s">
        <v>457</v>
      </c>
      <c r="L172" s="305"/>
      <c r="M172" s="299">
        <v>291</v>
      </c>
      <c r="N172" s="779">
        <f t="shared" si="5"/>
        <v>58.2</v>
      </c>
      <c r="O172" s="300">
        <v>26</v>
      </c>
      <c r="P172" s="311" t="s">
        <v>1345</v>
      </c>
      <c r="Q172" s="312" t="s">
        <v>1741</v>
      </c>
    </row>
    <row r="173" spans="1:17" x14ac:dyDescent="0.2">
      <c r="A173" s="255" t="s">
        <v>351</v>
      </c>
      <c r="B173" s="255" t="s">
        <v>351</v>
      </c>
      <c r="C173" s="255">
        <v>2018</v>
      </c>
      <c r="D173" s="255" t="s">
        <v>384</v>
      </c>
      <c r="E173" s="255" t="s">
        <v>353</v>
      </c>
      <c r="F173" s="255" t="s">
        <v>76</v>
      </c>
      <c r="G173" s="255" t="s">
        <v>379</v>
      </c>
      <c r="H173" s="255" t="s">
        <v>458</v>
      </c>
      <c r="I173" s="255" t="s">
        <v>456</v>
      </c>
      <c r="J173" s="255">
        <v>0</v>
      </c>
      <c r="K173" s="255" t="s">
        <v>457</v>
      </c>
      <c r="L173" s="305" t="s">
        <v>466</v>
      </c>
      <c r="M173" s="299">
        <v>234</v>
      </c>
      <c r="N173" s="300" t="s">
        <v>1153</v>
      </c>
      <c r="O173" s="300">
        <v>20</v>
      </c>
      <c r="P173" s="311" t="s">
        <v>1325</v>
      </c>
      <c r="Q173" s="312"/>
    </row>
    <row r="174" spans="1:17" x14ac:dyDescent="0.2">
      <c r="A174" s="255" t="s">
        <v>351</v>
      </c>
      <c r="B174" s="255" t="s">
        <v>351</v>
      </c>
      <c r="C174" s="255">
        <v>2018</v>
      </c>
      <c r="D174" s="255" t="s">
        <v>384</v>
      </c>
      <c r="E174" s="255" t="s">
        <v>353</v>
      </c>
      <c r="F174" s="255" t="s">
        <v>76</v>
      </c>
      <c r="G174" s="255" t="s">
        <v>379</v>
      </c>
      <c r="H174" s="255" t="s">
        <v>459</v>
      </c>
      <c r="I174" s="255" t="s">
        <v>456</v>
      </c>
      <c r="J174" s="255">
        <v>0</v>
      </c>
      <c r="K174" s="255" t="s">
        <v>457</v>
      </c>
      <c r="L174" s="305" t="s">
        <v>466</v>
      </c>
      <c r="M174" s="299">
        <v>5</v>
      </c>
      <c r="N174" s="300" t="s">
        <v>1153</v>
      </c>
      <c r="O174" s="300">
        <v>1</v>
      </c>
      <c r="P174" s="311" t="s">
        <v>1325</v>
      </c>
      <c r="Q174" s="312"/>
    </row>
    <row r="175" spans="1:17" x14ac:dyDescent="0.2">
      <c r="A175" s="255" t="s">
        <v>351</v>
      </c>
      <c r="B175" s="255" t="s">
        <v>351</v>
      </c>
      <c r="C175" s="255">
        <v>2018</v>
      </c>
      <c r="D175" s="255" t="s">
        <v>384</v>
      </c>
      <c r="E175" s="255" t="s">
        <v>353</v>
      </c>
      <c r="F175" s="255" t="s">
        <v>76</v>
      </c>
      <c r="G175" s="255" t="s">
        <v>379</v>
      </c>
      <c r="H175" s="255" t="s">
        <v>42</v>
      </c>
      <c r="I175" s="255" t="s">
        <v>460</v>
      </c>
      <c r="J175" s="255">
        <v>750</v>
      </c>
      <c r="K175" s="255" t="s">
        <v>457</v>
      </c>
      <c r="L175" s="305"/>
      <c r="M175" s="299">
        <v>1016</v>
      </c>
      <c r="N175" s="779">
        <f t="shared" ref="N175:N182" si="6">(100*M175/J175)</f>
        <v>135.46666666666667</v>
      </c>
      <c r="O175" s="300">
        <v>61</v>
      </c>
      <c r="P175" s="311" t="s">
        <v>467</v>
      </c>
      <c r="Q175" s="312"/>
    </row>
    <row r="176" spans="1:17" x14ac:dyDescent="0.2">
      <c r="A176" s="255" t="s">
        <v>351</v>
      </c>
      <c r="B176" s="255" t="s">
        <v>351</v>
      </c>
      <c r="C176" s="255">
        <v>2018</v>
      </c>
      <c r="D176" s="255" t="s">
        <v>384</v>
      </c>
      <c r="E176" s="255" t="s">
        <v>353</v>
      </c>
      <c r="F176" s="255" t="s">
        <v>76</v>
      </c>
      <c r="G176" s="255" t="s">
        <v>379</v>
      </c>
      <c r="H176" s="255" t="s">
        <v>19</v>
      </c>
      <c r="I176" s="255" t="s">
        <v>460</v>
      </c>
      <c r="J176" s="255">
        <v>750</v>
      </c>
      <c r="K176" s="255" t="s">
        <v>457</v>
      </c>
      <c r="L176" s="305"/>
      <c r="M176" s="299">
        <v>824</v>
      </c>
      <c r="N176" s="779">
        <f t="shared" si="6"/>
        <v>109.86666666666666</v>
      </c>
      <c r="O176" s="300">
        <v>61</v>
      </c>
      <c r="P176" s="311" t="s">
        <v>467</v>
      </c>
      <c r="Q176" s="312"/>
    </row>
    <row r="177" spans="1:17" x14ac:dyDescent="0.2">
      <c r="A177" s="255" t="s">
        <v>351</v>
      </c>
      <c r="B177" s="255" t="s">
        <v>351</v>
      </c>
      <c r="C177" s="255">
        <v>2018</v>
      </c>
      <c r="D177" s="255" t="s">
        <v>384</v>
      </c>
      <c r="E177" s="255" t="s">
        <v>353</v>
      </c>
      <c r="F177" s="255" t="s">
        <v>76</v>
      </c>
      <c r="G177" s="255" t="s">
        <v>379</v>
      </c>
      <c r="H177" s="255" t="s">
        <v>20</v>
      </c>
      <c r="I177" s="255" t="s">
        <v>460</v>
      </c>
      <c r="J177" s="255">
        <v>750</v>
      </c>
      <c r="K177" s="255" t="s">
        <v>457</v>
      </c>
      <c r="L177" s="305"/>
      <c r="M177" s="299">
        <v>824</v>
      </c>
      <c r="N177" s="779">
        <f t="shared" si="6"/>
        <v>109.86666666666666</v>
      </c>
      <c r="O177" s="300">
        <v>61</v>
      </c>
      <c r="P177" s="311" t="s">
        <v>467</v>
      </c>
      <c r="Q177" s="312"/>
    </row>
    <row r="178" spans="1:17" x14ac:dyDescent="0.2">
      <c r="A178" s="255" t="s">
        <v>351</v>
      </c>
      <c r="B178" s="255" t="s">
        <v>351</v>
      </c>
      <c r="C178" s="255">
        <v>2018</v>
      </c>
      <c r="D178" s="255" t="s">
        <v>384</v>
      </c>
      <c r="E178" s="255" t="s">
        <v>353</v>
      </c>
      <c r="F178" s="255" t="s">
        <v>76</v>
      </c>
      <c r="G178" s="255" t="s">
        <v>379</v>
      </c>
      <c r="H178" s="255" t="s">
        <v>458</v>
      </c>
      <c r="I178" s="255" t="s">
        <v>460</v>
      </c>
      <c r="J178" s="255">
        <v>750</v>
      </c>
      <c r="K178" s="255" t="s">
        <v>457</v>
      </c>
      <c r="L178" s="305"/>
      <c r="M178" s="299">
        <v>824</v>
      </c>
      <c r="N178" s="779">
        <f t="shared" si="6"/>
        <v>109.86666666666666</v>
      </c>
      <c r="O178" s="300">
        <v>61</v>
      </c>
      <c r="P178" s="311" t="s">
        <v>467</v>
      </c>
      <c r="Q178" s="312"/>
    </row>
    <row r="179" spans="1:17" x14ac:dyDescent="0.2">
      <c r="A179" s="255" t="s">
        <v>351</v>
      </c>
      <c r="B179" s="255" t="s">
        <v>351</v>
      </c>
      <c r="C179" s="255">
        <v>2018</v>
      </c>
      <c r="D179" s="255" t="s">
        <v>384</v>
      </c>
      <c r="E179" s="255" t="s">
        <v>353</v>
      </c>
      <c r="F179" s="255" t="s">
        <v>76</v>
      </c>
      <c r="G179" s="255" t="s">
        <v>379</v>
      </c>
      <c r="H179" s="255" t="s">
        <v>459</v>
      </c>
      <c r="I179" s="255" t="s">
        <v>460</v>
      </c>
      <c r="J179" s="255">
        <v>750</v>
      </c>
      <c r="K179" s="255" t="s">
        <v>457</v>
      </c>
      <c r="L179" s="305"/>
      <c r="M179" s="299">
        <v>824</v>
      </c>
      <c r="N179" s="779">
        <f t="shared" si="6"/>
        <v>109.86666666666666</v>
      </c>
      <c r="O179" s="300">
        <v>61</v>
      </c>
      <c r="P179" s="311" t="s">
        <v>467</v>
      </c>
      <c r="Q179" s="312"/>
    </row>
    <row r="180" spans="1:17" ht="25.5" x14ac:dyDescent="0.2">
      <c r="A180" s="255" t="s">
        <v>351</v>
      </c>
      <c r="B180" s="255" t="s">
        <v>351</v>
      </c>
      <c r="C180" s="255">
        <v>2018</v>
      </c>
      <c r="D180" s="255" t="s">
        <v>384</v>
      </c>
      <c r="E180" s="255" t="s">
        <v>353</v>
      </c>
      <c r="F180" s="255" t="s">
        <v>76</v>
      </c>
      <c r="G180" s="255" t="s">
        <v>383</v>
      </c>
      <c r="H180" s="255" t="s">
        <v>42</v>
      </c>
      <c r="I180" s="255" t="s">
        <v>456</v>
      </c>
      <c r="J180" s="255">
        <v>2000</v>
      </c>
      <c r="K180" s="255" t="s">
        <v>457</v>
      </c>
      <c r="L180" s="305"/>
      <c r="M180" s="299">
        <v>6447</v>
      </c>
      <c r="N180" s="779">
        <f t="shared" si="6"/>
        <v>322.35000000000002</v>
      </c>
      <c r="O180" s="300">
        <v>377</v>
      </c>
      <c r="P180" s="311" t="s">
        <v>1322</v>
      </c>
      <c r="Q180" s="312" t="s">
        <v>1324</v>
      </c>
    </row>
    <row r="181" spans="1:17" x14ac:dyDescent="0.2">
      <c r="A181" s="255" t="s">
        <v>351</v>
      </c>
      <c r="B181" s="255" t="s">
        <v>351</v>
      </c>
      <c r="C181" s="255">
        <v>2018</v>
      </c>
      <c r="D181" s="255" t="s">
        <v>384</v>
      </c>
      <c r="E181" s="255" t="s">
        <v>353</v>
      </c>
      <c r="F181" s="255" t="s">
        <v>76</v>
      </c>
      <c r="G181" s="255" t="s">
        <v>383</v>
      </c>
      <c r="H181" s="255" t="s">
        <v>19</v>
      </c>
      <c r="I181" s="255" t="s">
        <v>456</v>
      </c>
      <c r="J181" s="255">
        <v>750</v>
      </c>
      <c r="K181" s="255" t="s">
        <v>457</v>
      </c>
      <c r="L181" s="305"/>
      <c r="M181" s="299">
        <v>734</v>
      </c>
      <c r="N181" s="779">
        <f t="shared" si="6"/>
        <v>97.86666666666666</v>
      </c>
      <c r="O181" s="300">
        <v>68</v>
      </c>
      <c r="P181" s="311" t="s">
        <v>1345</v>
      </c>
      <c r="Q181" s="312"/>
    </row>
    <row r="182" spans="1:17" x14ac:dyDescent="0.2">
      <c r="A182" s="255" t="s">
        <v>351</v>
      </c>
      <c r="B182" s="255" t="s">
        <v>351</v>
      </c>
      <c r="C182" s="255">
        <v>2018</v>
      </c>
      <c r="D182" s="255" t="s">
        <v>384</v>
      </c>
      <c r="E182" s="255" t="s">
        <v>353</v>
      </c>
      <c r="F182" s="255" t="s">
        <v>76</v>
      </c>
      <c r="G182" s="255" t="s">
        <v>383</v>
      </c>
      <c r="H182" s="255" t="s">
        <v>20</v>
      </c>
      <c r="I182" s="255" t="s">
        <v>456</v>
      </c>
      <c r="J182" s="255">
        <v>750</v>
      </c>
      <c r="K182" s="255" t="s">
        <v>457</v>
      </c>
      <c r="L182" s="305"/>
      <c r="M182" s="299">
        <v>734</v>
      </c>
      <c r="N182" s="779">
        <f t="shared" si="6"/>
        <v>97.86666666666666</v>
      </c>
      <c r="O182" s="300">
        <v>68</v>
      </c>
      <c r="P182" s="311" t="s">
        <v>1345</v>
      </c>
      <c r="Q182" s="312"/>
    </row>
    <row r="183" spans="1:17" x14ac:dyDescent="0.2">
      <c r="A183" s="255" t="s">
        <v>351</v>
      </c>
      <c r="B183" s="255" t="s">
        <v>351</v>
      </c>
      <c r="C183" s="255">
        <v>2018</v>
      </c>
      <c r="D183" s="255" t="s">
        <v>384</v>
      </c>
      <c r="E183" s="255" t="s">
        <v>353</v>
      </c>
      <c r="F183" s="255" t="s">
        <v>76</v>
      </c>
      <c r="G183" s="255" t="s">
        <v>383</v>
      </c>
      <c r="H183" s="255" t="s">
        <v>458</v>
      </c>
      <c r="I183" s="255" t="s">
        <v>456</v>
      </c>
      <c r="J183" s="255">
        <v>0</v>
      </c>
      <c r="K183" s="255" t="s">
        <v>457</v>
      </c>
      <c r="L183" s="305" t="s">
        <v>466</v>
      </c>
      <c r="M183" s="299">
        <v>504</v>
      </c>
      <c r="N183" s="300" t="s">
        <v>1153</v>
      </c>
      <c r="O183" s="300">
        <v>52</v>
      </c>
      <c r="P183" s="311" t="s">
        <v>1325</v>
      </c>
      <c r="Q183" s="312"/>
    </row>
    <row r="184" spans="1:17" x14ac:dyDescent="0.2">
      <c r="A184" s="255" t="s">
        <v>351</v>
      </c>
      <c r="B184" s="255" t="s">
        <v>351</v>
      </c>
      <c r="C184" s="255">
        <v>2018</v>
      </c>
      <c r="D184" s="255" t="s">
        <v>384</v>
      </c>
      <c r="E184" s="255" t="s">
        <v>353</v>
      </c>
      <c r="F184" s="255" t="s">
        <v>76</v>
      </c>
      <c r="G184" s="255" t="s">
        <v>383</v>
      </c>
      <c r="H184" s="255" t="s">
        <v>459</v>
      </c>
      <c r="I184" s="255" t="s">
        <v>456</v>
      </c>
      <c r="J184" s="255">
        <v>0</v>
      </c>
      <c r="K184" s="255" t="s">
        <v>457</v>
      </c>
      <c r="L184" s="305" t="s">
        <v>466</v>
      </c>
      <c r="M184" s="299">
        <v>50</v>
      </c>
      <c r="N184" s="300" t="s">
        <v>1153</v>
      </c>
      <c r="O184" s="300">
        <v>6</v>
      </c>
      <c r="P184" s="311" t="s">
        <v>1325</v>
      </c>
      <c r="Q184" s="312"/>
    </row>
    <row r="185" spans="1:17" ht="25.5" x14ac:dyDescent="0.2">
      <c r="A185" s="255" t="s">
        <v>351</v>
      </c>
      <c r="B185" s="255" t="s">
        <v>351</v>
      </c>
      <c r="C185" s="255">
        <v>2018</v>
      </c>
      <c r="D185" s="255" t="s">
        <v>384</v>
      </c>
      <c r="E185" s="255" t="s">
        <v>353</v>
      </c>
      <c r="F185" s="255" t="s">
        <v>76</v>
      </c>
      <c r="G185" s="255" t="s">
        <v>383</v>
      </c>
      <c r="H185" s="255" t="s">
        <v>42</v>
      </c>
      <c r="I185" s="255" t="s">
        <v>460</v>
      </c>
      <c r="J185" s="255">
        <v>750</v>
      </c>
      <c r="K185" s="255" t="s">
        <v>457</v>
      </c>
      <c r="L185" s="305"/>
      <c r="M185" s="299">
        <v>1656</v>
      </c>
      <c r="N185" s="779">
        <f t="shared" ref="N185:N202" si="7">(100*M185/J185)</f>
        <v>220.8</v>
      </c>
      <c r="O185" s="300">
        <v>203</v>
      </c>
      <c r="P185" s="311" t="s">
        <v>467</v>
      </c>
      <c r="Q185" s="312" t="s">
        <v>1324</v>
      </c>
    </row>
    <row r="186" spans="1:17" ht="25.5" x14ac:dyDescent="0.2">
      <c r="A186" s="255" t="s">
        <v>351</v>
      </c>
      <c r="B186" s="255" t="s">
        <v>351</v>
      </c>
      <c r="C186" s="255">
        <v>2018</v>
      </c>
      <c r="D186" s="255" t="s">
        <v>384</v>
      </c>
      <c r="E186" s="255" t="s">
        <v>353</v>
      </c>
      <c r="F186" s="255" t="s">
        <v>76</v>
      </c>
      <c r="G186" s="255" t="s">
        <v>383</v>
      </c>
      <c r="H186" s="255" t="s">
        <v>19</v>
      </c>
      <c r="I186" s="255" t="s">
        <v>460</v>
      </c>
      <c r="J186" s="255">
        <v>750</v>
      </c>
      <c r="K186" s="255" t="s">
        <v>457</v>
      </c>
      <c r="L186" s="305"/>
      <c r="M186" s="299">
        <v>1274</v>
      </c>
      <c r="N186" s="779">
        <f t="shared" si="7"/>
        <v>169.86666666666667</v>
      </c>
      <c r="O186" s="300">
        <v>195</v>
      </c>
      <c r="P186" s="311" t="s">
        <v>467</v>
      </c>
      <c r="Q186" s="312" t="s">
        <v>1324</v>
      </c>
    </row>
    <row r="187" spans="1:17" ht="25.5" x14ac:dyDescent="0.2">
      <c r="A187" s="255" t="s">
        <v>351</v>
      </c>
      <c r="B187" s="255" t="s">
        <v>351</v>
      </c>
      <c r="C187" s="255">
        <v>2018</v>
      </c>
      <c r="D187" s="255" t="s">
        <v>384</v>
      </c>
      <c r="E187" s="255" t="s">
        <v>353</v>
      </c>
      <c r="F187" s="255" t="s">
        <v>76</v>
      </c>
      <c r="G187" s="255" t="s">
        <v>383</v>
      </c>
      <c r="H187" s="255" t="s">
        <v>20</v>
      </c>
      <c r="I187" s="255" t="s">
        <v>460</v>
      </c>
      <c r="J187" s="255">
        <v>750</v>
      </c>
      <c r="K187" s="255" t="s">
        <v>457</v>
      </c>
      <c r="L187" s="305"/>
      <c r="M187" s="299">
        <v>1274</v>
      </c>
      <c r="N187" s="779">
        <f t="shared" si="7"/>
        <v>169.86666666666667</v>
      </c>
      <c r="O187" s="300">
        <v>195</v>
      </c>
      <c r="P187" s="311" t="s">
        <v>467</v>
      </c>
      <c r="Q187" s="312" t="s">
        <v>1324</v>
      </c>
    </row>
    <row r="188" spans="1:17" ht="25.5" x14ac:dyDescent="0.2">
      <c r="A188" s="255" t="s">
        <v>351</v>
      </c>
      <c r="B188" s="255" t="s">
        <v>351</v>
      </c>
      <c r="C188" s="255">
        <v>2018</v>
      </c>
      <c r="D188" s="255" t="s">
        <v>384</v>
      </c>
      <c r="E188" s="255" t="s">
        <v>353</v>
      </c>
      <c r="F188" s="255" t="s">
        <v>76</v>
      </c>
      <c r="G188" s="255" t="s">
        <v>383</v>
      </c>
      <c r="H188" s="255" t="s">
        <v>458</v>
      </c>
      <c r="I188" s="255" t="s">
        <v>460</v>
      </c>
      <c r="J188" s="255">
        <v>750</v>
      </c>
      <c r="K188" s="255" t="s">
        <v>457</v>
      </c>
      <c r="L188" s="305"/>
      <c r="M188" s="299">
        <v>1274</v>
      </c>
      <c r="N188" s="779">
        <f t="shared" si="7"/>
        <v>169.86666666666667</v>
      </c>
      <c r="O188" s="300">
        <v>195</v>
      </c>
      <c r="P188" s="311" t="s">
        <v>467</v>
      </c>
      <c r="Q188" s="312" t="s">
        <v>1324</v>
      </c>
    </row>
    <row r="189" spans="1:17" ht="25.5" x14ac:dyDescent="0.2">
      <c r="A189" s="255" t="s">
        <v>351</v>
      </c>
      <c r="B189" s="255" t="s">
        <v>351</v>
      </c>
      <c r="C189" s="255">
        <v>2018</v>
      </c>
      <c r="D189" s="255" t="s">
        <v>384</v>
      </c>
      <c r="E189" s="255" t="s">
        <v>353</v>
      </c>
      <c r="F189" s="255" t="s">
        <v>76</v>
      </c>
      <c r="G189" s="255" t="s">
        <v>383</v>
      </c>
      <c r="H189" s="255" t="s">
        <v>459</v>
      </c>
      <c r="I189" s="255" t="s">
        <v>460</v>
      </c>
      <c r="J189" s="255">
        <v>750</v>
      </c>
      <c r="K189" s="255" t="s">
        <v>457</v>
      </c>
      <c r="L189" s="305"/>
      <c r="M189" s="299">
        <v>1274</v>
      </c>
      <c r="N189" s="779">
        <f t="shared" si="7"/>
        <v>169.86666666666667</v>
      </c>
      <c r="O189" s="300">
        <v>195</v>
      </c>
      <c r="P189" s="311" t="s">
        <v>467</v>
      </c>
      <c r="Q189" s="312" t="s">
        <v>1324</v>
      </c>
    </row>
    <row r="190" spans="1:17" ht="25.5" x14ac:dyDescent="0.2">
      <c r="A190" s="255" t="s">
        <v>351</v>
      </c>
      <c r="B190" s="255" t="s">
        <v>351</v>
      </c>
      <c r="C190" s="255">
        <v>2018</v>
      </c>
      <c r="D190" s="255" t="s">
        <v>385</v>
      </c>
      <c r="E190" s="255" t="s">
        <v>353</v>
      </c>
      <c r="F190" s="255" t="s">
        <v>76</v>
      </c>
      <c r="G190" s="255" t="s">
        <v>370</v>
      </c>
      <c r="H190" s="255" t="s">
        <v>42</v>
      </c>
      <c r="I190" s="255" t="s">
        <v>456</v>
      </c>
      <c r="J190" s="255">
        <v>5000</v>
      </c>
      <c r="K190" s="255" t="s">
        <v>457</v>
      </c>
      <c r="L190" s="305"/>
      <c r="M190" s="299">
        <v>9747</v>
      </c>
      <c r="N190" s="779">
        <f t="shared" si="7"/>
        <v>194.94</v>
      </c>
      <c r="O190" s="300">
        <v>120</v>
      </c>
      <c r="P190" s="311" t="s">
        <v>1322</v>
      </c>
      <c r="Q190" s="312" t="s">
        <v>1324</v>
      </c>
    </row>
    <row r="191" spans="1:17" x14ac:dyDescent="0.2">
      <c r="A191" s="255" t="s">
        <v>351</v>
      </c>
      <c r="B191" s="255" t="s">
        <v>351</v>
      </c>
      <c r="C191" s="255">
        <v>2018</v>
      </c>
      <c r="D191" s="255" t="s">
        <v>385</v>
      </c>
      <c r="E191" s="255" t="s">
        <v>353</v>
      </c>
      <c r="F191" s="255" t="s">
        <v>76</v>
      </c>
      <c r="G191" s="255" t="s">
        <v>370</v>
      </c>
      <c r="H191" s="255" t="s">
        <v>19</v>
      </c>
      <c r="I191" s="255" t="s">
        <v>456</v>
      </c>
      <c r="J191" s="255">
        <v>1000</v>
      </c>
      <c r="K191" s="255" t="s">
        <v>457</v>
      </c>
      <c r="L191" s="305"/>
      <c r="M191" s="299">
        <v>939</v>
      </c>
      <c r="N191" s="779">
        <f t="shared" si="7"/>
        <v>93.9</v>
      </c>
      <c r="O191" s="300">
        <v>29</v>
      </c>
      <c r="P191" s="311" t="s">
        <v>1338</v>
      </c>
      <c r="Q191" s="312"/>
    </row>
    <row r="192" spans="1:17" x14ac:dyDescent="0.2">
      <c r="A192" s="255" t="s">
        <v>351</v>
      </c>
      <c r="B192" s="255" t="s">
        <v>351</v>
      </c>
      <c r="C192" s="255">
        <v>2018</v>
      </c>
      <c r="D192" s="255" t="s">
        <v>385</v>
      </c>
      <c r="E192" s="255" t="s">
        <v>353</v>
      </c>
      <c r="F192" s="255" t="s">
        <v>76</v>
      </c>
      <c r="G192" s="255" t="s">
        <v>370</v>
      </c>
      <c r="H192" s="255" t="s">
        <v>20</v>
      </c>
      <c r="I192" s="255" t="s">
        <v>456</v>
      </c>
      <c r="J192" s="255">
        <v>1000</v>
      </c>
      <c r="K192" s="255" t="s">
        <v>457</v>
      </c>
      <c r="L192" s="305"/>
      <c r="M192" s="299">
        <v>939</v>
      </c>
      <c r="N192" s="779">
        <f t="shared" si="7"/>
        <v>93.9</v>
      </c>
      <c r="O192" s="300">
        <v>29</v>
      </c>
      <c r="P192" s="311" t="s">
        <v>1338</v>
      </c>
      <c r="Q192" s="312"/>
    </row>
    <row r="193" spans="1:17" ht="25.5" x14ac:dyDescent="0.2">
      <c r="A193" s="255" t="s">
        <v>351</v>
      </c>
      <c r="B193" s="255" t="s">
        <v>351</v>
      </c>
      <c r="C193" s="255">
        <v>2018</v>
      </c>
      <c r="D193" s="255" t="s">
        <v>385</v>
      </c>
      <c r="E193" s="255" t="s">
        <v>353</v>
      </c>
      <c r="F193" s="255" t="s">
        <v>76</v>
      </c>
      <c r="G193" s="255" t="s">
        <v>370</v>
      </c>
      <c r="H193" s="255" t="s">
        <v>458</v>
      </c>
      <c r="I193" s="255" t="s">
        <v>456</v>
      </c>
      <c r="J193" s="255">
        <v>100</v>
      </c>
      <c r="K193" s="255" t="s">
        <v>457</v>
      </c>
      <c r="L193" s="305"/>
      <c r="M193" s="299">
        <v>834</v>
      </c>
      <c r="N193" s="779">
        <f t="shared" si="7"/>
        <v>834</v>
      </c>
      <c r="O193" s="300">
        <v>24</v>
      </c>
      <c r="P193" s="311" t="s">
        <v>1338</v>
      </c>
      <c r="Q193" s="312" t="s">
        <v>1324</v>
      </c>
    </row>
    <row r="194" spans="1:17" ht="38.25" x14ac:dyDescent="0.2">
      <c r="A194" s="255" t="s">
        <v>351</v>
      </c>
      <c r="B194" s="255" t="s">
        <v>351</v>
      </c>
      <c r="C194" s="255">
        <v>2018</v>
      </c>
      <c r="D194" s="255" t="s">
        <v>385</v>
      </c>
      <c r="E194" s="255" t="s">
        <v>353</v>
      </c>
      <c r="F194" s="255" t="s">
        <v>76</v>
      </c>
      <c r="G194" s="255" t="s">
        <v>370</v>
      </c>
      <c r="H194" s="255" t="s">
        <v>459</v>
      </c>
      <c r="I194" s="255" t="s">
        <v>456</v>
      </c>
      <c r="J194" s="255">
        <v>100</v>
      </c>
      <c r="K194" s="255" t="s">
        <v>457</v>
      </c>
      <c r="L194" s="305"/>
      <c r="M194" s="299">
        <v>8</v>
      </c>
      <c r="N194" s="779">
        <f t="shared" si="7"/>
        <v>8</v>
      </c>
      <c r="O194" s="300">
        <v>1</v>
      </c>
      <c r="P194" s="311" t="s">
        <v>1338</v>
      </c>
      <c r="Q194" s="312" t="s">
        <v>1737</v>
      </c>
    </row>
    <row r="195" spans="1:17" x14ac:dyDescent="0.2">
      <c r="A195" s="255" t="s">
        <v>351</v>
      </c>
      <c r="B195" s="255" t="s">
        <v>351</v>
      </c>
      <c r="C195" s="255">
        <v>2018</v>
      </c>
      <c r="D195" s="255" t="s">
        <v>385</v>
      </c>
      <c r="E195" s="255" t="s">
        <v>353</v>
      </c>
      <c r="F195" s="255" t="s">
        <v>76</v>
      </c>
      <c r="G195" s="255" t="s">
        <v>370</v>
      </c>
      <c r="H195" s="255" t="s">
        <v>42</v>
      </c>
      <c r="I195" s="255" t="s">
        <v>460</v>
      </c>
      <c r="J195" s="255">
        <v>5000</v>
      </c>
      <c r="K195" s="255" t="s">
        <v>457</v>
      </c>
      <c r="L195" s="305"/>
      <c r="M195" s="299">
        <v>6790</v>
      </c>
      <c r="N195" s="779">
        <f t="shared" si="7"/>
        <v>135.80000000000001</v>
      </c>
      <c r="O195" s="300">
        <v>69</v>
      </c>
      <c r="P195" s="311" t="s">
        <v>467</v>
      </c>
      <c r="Q195" s="312"/>
    </row>
    <row r="196" spans="1:17" ht="25.5" x14ac:dyDescent="0.2">
      <c r="A196" s="255" t="s">
        <v>351</v>
      </c>
      <c r="B196" s="255" t="s">
        <v>351</v>
      </c>
      <c r="C196" s="255">
        <v>2018</v>
      </c>
      <c r="D196" s="255" t="s">
        <v>385</v>
      </c>
      <c r="E196" s="255" t="s">
        <v>353</v>
      </c>
      <c r="F196" s="255" t="s">
        <v>76</v>
      </c>
      <c r="G196" s="255" t="s">
        <v>370</v>
      </c>
      <c r="H196" s="255" t="s">
        <v>19</v>
      </c>
      <c r="I196" s="255" t="s">
        <v>460</v>
      </c>
      <c r="J196" s="255">
        <v>500</v>
      </c>
      <c r="K196" s="255" t="s">
        <v>457</v>
      </c>
      <c r="L196" s="305"/>
      <c r="M196" s="299">
        <v>828</v>
      </c>
      <c r="N196" s="779">
        <f t="shared" si="7"/>
        <v>165.6</v>
      </c>
      <c r="O196" s="300">
        <v>69</v>
      </c>
      <c r="P196" s="311" t="s">
        <v>467</v>
      </c>
      <c r="Q196" s="312" t="s">
        <v>1324</v>
      </c>
    </row>
    <row r="197" spans="1:17" ht="25.5" x14ac:dyDescent="0.2">
      <c r="A197" s="255" t="s">
        <v>351</v>
      </c>
      <c r="B197" s="255" t="s">
        <v>351</v>
      </c>
      <c r="C197" s="255">
        <v>2018</v>
      </c>
      <c r="D197" s="255" t="s">
        <v>385</v>
      </c>
      <c r="E197" s="255" t="s">
        <v>353</v>
      </c>
      <c r="F197" s="255" t="s">
        <v>76</v>
      </c>
      <c r="G197" s="255" t="s">
        <v>370</v>
      </c>
      <c r="H197" s="255" t="s">
        <v>20</v>
      </c>
      <c r="I197" s="255" t="s">
        <v>460</v>
      </c>
      <c r="J197" s="255">
        <v>500</v>
      </c>
      <c r="K197" s="255" t="s">
        <v>457</v>
      </c>
      <c r="L197" s="305"/>
      <c r="M197" s="299">
        <v>828</v>
      </c>
      <c r="N197" s="779">
        <f t="shared" si="7"/>
        <v>165.6</v>
      </c>
      <c r="O197" s="300">
        <v>69</v>
      </c>
      <c r="P197" s="311" t="s">
        <v>467</v>
      </c>
      <c r="Q197" s="312" t="s">
        <v>1324</v>
      </c>
    </row>
    <row r="198" spans="1:17" ht="25.5" x14ac:dyDescent="0.2">
      <c r="A198" s="255" t="s">
        <v>351</v>
      </c>
      <c r="B198" s="255" t="s">
        <v>351</v>
      </c>
      <c r="C198" s="255">
        <v>2018</v>
      </c>
      <c r="D198" s="255" t="s">
        <v>385</v>
      </c>
      <c r="E198" s="255" t="s">
        <v>353</v>
      </c>
      <c r="F198" s="255" t="s">
        <v>76</v>
      </c>
      <c r="G198" s="255" t="s">
        <v>370</v>
      </c>
      <c r="H198" s="255" t="s">
        <v>458</v>
      </c>
      <c r="I198" s="255" t="s">
        <v>460</v>
      </c>
      <c r="J198" s="255">
        <v>100</v>
      </c>
      <c r="K198" s="255" t="s">
        <v>457</v>
      </c>
      <c r="L198" s="305"/>
      <c r="M198" s="299">
        <v>828</v>
      </c>
      <c r="N198" s="779">
        <f t="shared" si="7"/>
        <v>828</v>
      </c>
      <c r="O198" s="300">
        <v>69</v>
      </c>
      <c r="P198" s="311" t="s">
        <v>467</v>
      </c>
      <c r="Q198" s="312" t="s">
        <v>1324</v>
      </c>
    </row>
    <row r="199" spans="1:17" ht="25.5" x14ac:dyDescent="0.2">
      <c r="A199" s="255" t="s">
        <v>351</v>
      </c>
      <c r="B199" s="255" t="s">
        <v>351</v>
      </c>
      <c r="C199" s="255">
        <v>2018</v>
      </c>
      <c r="D199" s="255" t="s">
        <v>385</v>
      </c>
      <c r="E199" s="255" t="s">
        <v>353</v>
      </c>
      <c r="F199" s="255" t="s">
        <v>76</v>
      </c>
      <c r="G199" s="255" t="s">
        <v>370</v>
      </c>
      <c r="H199" s="255" t="s">
        <v>459</v>
      </c>
      <c r="I199" s="255" t="s">
        <v>460</v>
      </c>
      <c r="J199" s="255">
        <v>100</v>
      </c>
      <c r="K199" s="255" t="s">
        <v>457</v>
      </c>
      <c r="L199" s="305"/>
      <c r="M199" s="299">
        <v>828</v>
      </c>
      <c r="N199" s="779">
        <f t="shared" si="7"/>
        <v>828</v>
      </c>
      <c r="O199" s="300">
        <v>69</v>
      </c>
      <c r="P199" s="311" t="s">
        <v>467</v>
      </c>
      <c r="Q199" s="312" t="s">
        <v>1324</v>
      </c>
    </row>
    <row r="200" spans="1:17" ht="25.5" x14ac:dyDescent="0.2">
      <c r="A200" s="255" t="s">
        <v>351</v>
      </c>
      <c r="B200" s="255" t="s">
        <v>351</v>
      </c>
      <c r="C200" s="255">
        <v>2018</v>
      </c>
      <c r="D200" s="255" t="s">
        <v>385</v>
      </c>
      <c r="E200" s="255" t="s">
        <v>353</v>
      </c>
      <c r="F200" s="255" t="s">
        <v>76</v>
      </c>
      <c r="G200" s="255" t="s">
        <v>387</v>
      </c>
      <c r="H200" s="255" t="s">
        <v>42</v>
      </c>
      <c r="I200" s="255" t="s">
        <v>456</v>
      </c>
      <c r="J200" s="255">
        <v>2500</v>
      </c>
      <c r="K200" s="255" t="s">
        <v>457</v>
      </c>
      <c r="L200" s="305"/>
      <c r="M200" s="299">
        <v>7135</v>
      </c>
      <c r="N200" s="779">
        <f t="shared" si="7"/>
        <v>285.39999999999998</v>
      </c>
      <c r="O200" s="300">
        <v>51</v>
      </c>
      <c r="P200" s="311" t="s">
        <v>1322</v>
      </c>
      <c r="Q200" s="312" t="s">
        <v>1324</v>
      </c>
    </row>
    <row r="201" spans="1:17" x14ac:dyDescent="0.2">
      <c r="A201" s="255" t="s">
        <v>351</v>
      </c>
      <c r="B201" s="255" t="s">
        <v>351</v>
      </c>
      <c r="C201" s="255">
        <v>2018</v>
      </c>
      <c r="D201" s="255" t="s">
        <v>385</v>
      </c>
      <c r="E201" s="255" t="s">
        <v>353</v>
      </c>
      <c r="F201" s="255" t="s">
        <v>76</v>
      </c>
      <c r="G201" s="255" t="s">
        <v>387</v>
      </c>
      <c r="H201" s="255" t="s">
        <v>19</v>
      </c>
      <c r="I201" s="255" t="s">
        <v>456</v>
      </c>
      <c r="J201" s="255">
        <v>500</v>
      </c>
      <c r="K201" s="255" t="s">
        <v>457</v>
      </c>
      <c r="L201" s="305"/>
      <c r="M201" s="299">
        <v>459</v>
      </c>
      <c r="N201" s="779">
        <f t="shared" si="7"/>
        <v>91.8</v>
      </c>
      <c r="O201" s="300">
        <v>9</v>
      </c>
      <c r="P201" s="311" t="s">
        <v>1338</v>
      </c>
      <c r="Q201" s="312"/>
    </row>
    <row r="202" spans="1:17" x14ac:dyDescent="0.2">
      <c r="A202" s="255" t="s">
        <v>351</v>
      </c>
      <c r="B202" s="255" t="s">
        <v>351</v>
      </c>
      <c r="C202" s="255">
        <v>2018</v>
      </c>
      <c r="D202" s="255" t="s">
        <v>385</v>
      </c>
      <c r="E202" s="255" t="s">
        <v>353</v>
      </c>
      <c r="F202" s="255" t="s">
        <v>76</v>
      </c>
      <c r="G202" s="255" t="s">
        <v>387</v>
      </c>
      <c r="H202" s="255" t="s">
        <v>20</v>
      </c>
      <c r="I202" s="255" t="s">
        <v>456</v>
      </c>
      <c r="J202" s="255">
        <v>500</v>
      </c>
      <c r="K202" s="255" t="s">
        <v>457</v>
      </c>
      <c r="L202" s="305"/>
      <c r="M202" s="299">
        <v>459</v>
      </c>
      <c r="N202" s="779">
        <f t="shared" si="7"/>
        <v>91.8</v>
      </c>
      <c r="O202" s="300">
        <v>9</v>
      </c>
      <c r="P202" s="311" t="s">
        <v>1338</v>
      </c>
      <c r="Q202" s="312"/>
    </row>
    <row r="203" spans="1:17" x14ac:dyDescent="0.2">
      <c r="A203" s="255" t="s">
        <v>351</v>
      </c>
      <c r="B203" s="255" t="s">
        <v>351</v>
      </c>
      <c r="C203" s="255">
        <v>2018</v>
      </c>
      <c r="D203" s="255" t="s">
        <v>385</v>
      </c>
      <c r="E203" s="255" t="s">
        <v>353</v>
      </c>
      <c r="F203" s="255" t="s">
        <v>76</v>
      </c>
      <c r="G203" s="255" t="s">
        <v>387</v>
      </c>
      <c r="H203" s="255" t="s">
        <v>458</v>
      </c>
      <c r="I203" s="255" t="s">
        <v>456</v>
      </c>
      <c r="J203" s="255">
        <v>0</v>
      </c>
      <c r="K203" s="255" t="s">
        <v>457</v>
      </c>
      <c r="L203" s="305" t="s">
        <v>462</v>
      </c>
      <c r="M203" s="299">
        <v>326</v>
      </c>
      <c r="N203" s="300" t="s">
        <v>1153</v>
      </c>
      <c r="O203" s="300">
        <v>6</v>
      </c>
      <c r="P203" s="311" t="s">
        <v>1325</v>
      </c>
      <c r="Q203" s="312"/>
    </row>
    <row r="204" spans="1:17" x14ac:dyDescent="0.2">
      <c r="A204" s="255" t="s">
        <v>351</v>
      </c>
      <c r="B204" s="255" t="s">
        <v>351</v>
      </c>
      <c r="C204" s="255">
        <v>2018</v>
      </c>
      <c r="D204" s="255" t="s">
        <v>385</v>
      </c>
      <c r="E204" s="255" t="s">
        <v>353</v>
      </c>
      <c r="F204" s="255" t="s">
        <v>76</v>
      </c>
      <c r="G204" s="255" t="s">
        <v>387</v>
      </c>
      <c r="H204" s="255" t="s">
        <v>459</v>
      </c>
      <c r="I204" s="255" t="s">
        <v>456</v>
      </c>
      <c r="J204" s="255">
        <v>0</v>
      </c>
      <c r="K204" s="255" t="s">
        <v>457</v>
      </c>
      <c r="L204" s="305" t="s">
        <v>462</v>
      </c>
      <c r="M204" s="299">
        <v>0</v>
      </c>
      <c r="N204" s="300" t="s">
        <v>1153</v>
      </c>
      <c r="O204" s="300">
        <v>0</v>
      </c>
      <c r="P204" s="311" t="s">
        <v>1325</v>
      </c>
      <c r="Q204" s="312"/>
    </row>
    <row r="205" spans="1:17" x14ac:dyDescent="0.2">
      <c r="A205" s="255" t="s">
        <v>351</v>
      </c>
      <c r="B205" s="255" t="s">
        <v>351</v>
      </c>
      <c r="C205" s="255">
        <v>2018</v>
      </c>
      <c r="D205" s="255" t="s">
        <v>385</v>
      </c>
      <c r="E205" s="255" t="s">
        <v>353</v>
      </c>
      <c r="F205" s="255" t="s">
        <v>76</v>
      </c>
      <c r="G205" s="255" t="s">
        <v>387</v>
      </c>
      <c r="H205" s="255" t="s">
        <v>42</v>
      </c>
      <c r="I205" s="255" t="s">
        <v>460</v>
      </c>
      <c r="J205" s="255">
        <v>0</v>
      </c>
      <c r="K205" s="255" t="s">
        <v>457</v>
      </c>
      <c r="L205" s="305" t="s">
        <v>463</v>
      </c>
      <c r="M205" s="299">
        <v>0</v>
      </c>
      <c r="N205" s="300" t="s">
        <v>1153</v>
      </c>
      <c r="O205" s="300">
        <v>0</v>
      </c>
      <c r="P205" s="311" t="s">
        <v>1325</v>
      </c>
      <c r="Q205" s="312"/>
    </row>
    <row r="206" spans="1:17" x14ac:dyDescent="0.2">
      <c r="A206" s="255" t="s">
        <v>351</v>
      </c>
      <c r="B206" s="255" t="s">
        <v>351</v>
      </c>
      <c r="C206" s="255">
        <v>2018</v>
      </c>
      <c r="D206" s="255" t="s">
        <v>385</v>
      </c>
      <c r="E206" s="255" t="s">
        <v>353</v>
      </c>
      <c r="F206" s="255" t="s">
        <v>76</v>
      </c>
      <c r="G206" s="255" t="s">
        <v>387</v>
      </c>
      <c r="H206" s="255" t="s">
        <v>19</v>
      </c>
      <c r="I206" s="255" t="s">
        <v>460</v>
      </c>
      <c r="J206" s="255">
        <v>0</v>
      </c>
      <c r="K206" s="255" t="s">
        <v>457</v>
      </c>
      <c r="L206" s="305" t="s">
        <v>463</v>
      </c>
      <c r="M206" s="299">
        <v>0</v>
      </c>
      <c r="N206" s="300" t="s">
        <v>1153</v>
      </c>
      <c r="O206" s="300">
        <v>0</v>
      </c>
      <c r="P206" s="311" t="s">
        <v>1325</v>
      </c>
      <c r="Q206" s="312"/>
    </row>
    <row r="207" spans="1:17" x14ac:dyDescent="0.2">
      <c r="A207" s="255" t="s">
        <v>351</v>
      </c>
      <c r="B207" s="255" t="s">
        <v>351</v>
      </c>
      <c r="C207" s="255">
        <v>2018</v>
      </c>
      <c r="D207" s="255" t="s">
        <v>385</v>
      </c>
      <c r="E207" s="255" t="s">
        <v>353</v>
      </c>
      <c r="F207" s="255" t="s">
        <v>76</v>
      </c>
      <c r="G207" s="255" t="s">
        <v>387</v>
      </c>
      <c r="H207" s="255" t="s">
        <v>20</v>
      </c>
      <c r="I207" s="255" t="s">
        <v>460</v>
      </c>
      <c r="J207" s="255">
        <v>0</v>
      </c>
      <c r="K207" s="255" t="s">
        <v>457</v>
      </c>
      <c r="L207" s="305" t="s">
        <v>463</v>
      </c>
      <c r="M207" s="299">
        <v>0</v>
      </c>
      <c r="N207" s="300" t="s">
        <v>1153</v>
      </c>
      <c r="O207" s="300">
        <v>0</v>
      </c>
      <c r="P207" s="311" t="s">
        <v>1325</v>
      </c>
      <c r="Q207" s="312"/>
    </row>
    <row r="208" spans="1:17" x14ac:dyDescent="0.2">
      <c r="A208" s="255" t="s">
        <v>351</v>
      </c>
      <c r="B208" s="255" t="s">
        <v>351</v>
      </c>
      <c r="C208" s="255">
        <v>2018</v>
      </c>
      <c r="D208" s="255" t="s">
        <v>385</v>
      </c>
      <c r="E208" s="255" t="s">
        <v>353</v>
      </c>
      <c r="F208" s="255" t="s">
        <v>76</v>
      </c>
      <c r="G208" s="255" t="s">
        <v>387</v>
      </c>
      <c r="H208" s="255" t="s">
        <v>458</v>
      </c>
      <c r="I208" s="255" t="s">
        <v>460</v>
      </c>
      <c r="J208" s="255">
        <v>0</v>
      </c>
      <c r="K208" s="255" t="s">
        <v>457</v>
      </c>
      <c r="L208" s="305" t="s">
        <v>462</v>
      </c>
      <c r="M208" s="299">
        <v>0</v>
      </c>
      <c r="N208" s="300" t="s">
        <v>1153</v>
      </c>
      <c r="O208" s="300">
        <v>0</v>
      </c>
      <c r="P208" s="311" t="s">
        <v>1325</v>
      </c>
      <c r="Q208" s="312"/>
    </row>
    <row r="209" spans="1:17" x14ac:dyDescent="0.2">
      <c r="A209" s="255" t="s">
        <v>351</v>
      </c>
      <c r="B209" s="255" t="s">
        <v>351</v>
      </c>
      <c r="C209" s="255">
        <v>2018</v>
      </c>
      <c r="D209" s="255" t="s">
        <v>385</v>
      </c>
      <c r="E209" s="255" t="s">
        <v>353</v>
      </c>
      <c r="F209" s="255" t="s">
        <v>76</v>
      </c>
      <c r="G209" s="255" t="s">
        <v>387</v>
      </c>
      <c r="H209" s="255" t="s">
        <v>459</v>
      </c>
      <c r="I209" s="255" t="s">
        <v>460</v>
      </c>
      <c r="J209" s="255">
        <v>0</v>
      </c>
      <c r="K209" s="255" t="s">
        <v>457</v>
      </c>
      <c r="L209" s="305" t="s">
        <v>462</v>
      </c>
      <c r="M209" s="299">
        <v>0</v>
      </c>
      <c r="N209" s="300" t="s">
        <v>1153</v>
      </c>
      <c r="O209" s="300">
        <v>0</v>
      </c>
      <c r="P209" s="311" t="s">
        <v>1325</v>
      </c>
      <c r="Q209" s="312"/>
    </row>
    <row r="210" spans="1:17" ht="25.5" x14ac:dyDescent="0.2">
      <c r="A210" s="255" t="s">
        <v>351</v>
      </c>
      <c r="B210" s="255" t="s">
        <v>351</v>
      </c>
      <c r="C210" s="255">
        <v>2018</v>
      </c>
      <c r="D210" s="255" t="s">
        <v>385</v>
      </c>
      <c r="E210" s="255" t="s">
        <v>353</v>
      </c>
      <c r="F210" s="255" t="s">
        <v>76</v>
      </c>
      <c r="G210" s="255" t="s">
        <v>367</v>
      </c>
      <c r="H210" s="255" t="s">
        <v>42</v>
      </c>
      <c r="I210" s="255" t="s">
        <v>456</v>
      </c>
      <c r="J210" s="255">
        <v>2000</v>
      </c>
      <c r="K210" s="255" t="s">
        <v>457</v>
      </c>
      <c r="L210" s="305"/>
      <c r="M210" s="299">
        <v>4413</v>
      </c>
      <c r="N210" s="779">
        <f t="shared" ref="N210:N214" si="8">(100*M210/J210)</f>
        <v>220.65</v>
      </c>
      <c r="O210" s="300">
        <v>76</v>
      </c>
      <c r="P210" s="311" t="s">
        <v>1322</v>
      </c>
      <c r="Q210" s="312" t="s">
        <v>1324</v>
      </c>
    </row>
    <row r="211" spans="1:17" ht="25.5" x14ac:dyDescent="0.2">
      <c r="A211" s="255" t="s">
        <v>351</v>
      </c>
      <c r="B211" s="255" t="s">
        <v>351</v>
      </c>
      <c r="C211" s="255">
        <v>2018</v>
      </c>
      <c r="D211" s="255" t="s">
        <v>385</v>
      </c>
      <c r="E211" s="255" t="s">
        <v>353</v>
      </c>
      <c r="F211" s="255" t="s">
        <v>76</v>
      </c>
      <c r="G211" s="255" t="s">
        <v>367</v>
      </c>
      <c r="H211" s="255" t="s">
        <v>19</v>
      </c>
      <c r="I211" s="255" t="s">
        <v>456</v>
      </c>
      <c r="J211" s="255">
        <v>300</v>
      </c>
      <c r="K211" s="255" t="s">
        <v>457</v>
      </c>
      <c r="L211" s="255"/>
      <c r="M211" s="299">
        <v>258</v>
      </c>
      <c r="N211" s="779">
        <f t="shared" si="8"/>
        <v>86</v>
      </c>
      <c r="O211" s="311">
        <v>14</v>
      </c>
      <c r="P211" s="311" t="s">
        <v>1338</v>
      </c>
      <c r="Q211" s="312" t="s">
        <v>1596</v>
      </c>
    </row>
    <row r="212" spans="1:17" ht="25.5" x14ac:dyDescent="0.2">
      <c r="A212" s="255" t="s">
        <v>351</v>
      </c>
      <c r="B212" s="255" t="s">
        <v>351</v>
      </c>
      <c r="C212" s="255">
        <v>2018</v>
      </c>
      <c r="D212" s="255" t="s">
        <v>385</v>
      </c>
      <c r="E212" s="255" t="s">
        <v>353</v>
      </c>
      <c r="F212" s="255" t="s">
        <v>76</v>
      </c>
      <c r="G212" s="255" t="s">
        <v>367</v>
      </c>
      <c r="H212" s="255" t="s">
        <v>20</v>
      </c>
      <c r="I212" s="255" t="s">
        <v>456</v>
      </c>
      <c r="J212" s="255">
        <v>300</v>
      </c>
      <c r="K212" s="255" t="s">
        <v>457</v>
      </c>
      <c r="L212" s="255"/>
      <c r="M212" s="299">
        <v>258</v>
      </c>
      <c r="N212" s="779">
        <f t="shared" si="8"/>
        <v>86</v>
      </c>
      <c r="O212" s="311">
        <v>14</v>
      </c>
      <c r="P212" s="311" t="s">
        <v>1338</v>
      </c>
      <c r="Q212" s="312" t="s">
        <v>1596</v>
      </c>
    </row>
    <row r="213" spans="1:17" ht="25.5" x14ac:dyDescent="0.2">
      <c r="A213" s="255" t="s">
        <v>351</v>
      </c>
      <c r="B213" s="255" t="s">
        <v>351</v>
      </c>
      <c r="C213" s="255">
        <v>2018</v>
      </c>
      <c r="D213" s="255" t="s">
        <v>385</v>
      </c>
      <c r="E213" s="255" t="s">
        <v>353</v>
      </c>
      <c r="F213" s="255" t="s">
        <v>76</v>
      </c>
      <c r="G213" s="255" t="s">
        <v>367</v>
      </c>
      <c r="H213" s="255" t="s">
        <v>458</v>
      </c>
      <c r="I213" s="255" t="s">
        <v>456</v>
      </c>
      <c r="J213" s="255">
        <v>100</v>
      </c>
      <c r="K213" s="255" t="s">
        <v>457</v>
      </c>
      <c r="L213" s="305"/>
      <c r="M213" s="299">
        <v>215</v>
      </c>
      <c r="N213" s="779">
        <f t="shared" si="8"/>
        <v>215</v>
      </c>
      <c r="O213" s="300">
        <v>11</v>
      </c>
      <c r="P213" s="311" t="s">
        <v>1338</v>
      </c>
      <c r="Q213" s="312" t="s">
        <v>1324</v>
      </c>
    </row>
    <row r="214" spans="1:17" ht="38.25" x14ac:dyDescent="0.2">
      <c r="A214" s="255" t="s">
        <v>351</v>
      </c>
      <c r="B214" s="255" t="s">
        <v>351</v>
      </c>
      <c r="C214" s="255">
        <v>2018</v>
      </c>
      <c r="D214" s="255" t="s">
        <v>385</v>
      </c>
      <c r="E214" s="255" t="s">
        <v>353</v>
      </c>
      <c r="F214" s="255" t="s">
        <v>76</v>
      </c>
      <c r="G214" s="255" t="s">
        <v>367</v>
      </c>
      <c r="H214" s="255" t="s">
        <v>459</v>
      </c>
      <c r="I214" s="255" t="s">
        <v>456</v>
      </c>
      <c r="J214" s="255">
        <v>100</v>
      </c>
      <c r="K214" s="255" t="s">
        <v>457</v>
      </c>
      <c r="L214" s="305"/>
      <c r="M214" s="299">
        <v>25</v>
      </c>
      <c r="N214" s="779">
        <f t="shared" si="8"/>
        <v>25</v>
      </c>
      <c r="O214" s="300">
        <v>2</v>
      </c>
      <c r="P214" s="311" t="s">
        <v>1338</v>
      </c>
      <c r="Q214" s="312" t="s">
        <v>1737</v>
      </c>
    </row>
    <row r="215" spans="1:17" x14ac:dyDescent="0.2">
      <c r="A215" s="255" t="s">
        <v>351</v>
      </c>
      <c r="B215" s="255" t="s">
        <v>351</v>
      </c>
      <c r="C215" s="255">
        <v>2018</v>
      </c>
      <c r="D215" s="255" t="s">
        <v>385</v>
      </c>
      <c r="E215" s="255" t="s">
        <v>353</v>
      </c>
      <c r="F215" s="255" t="s">
        <v>76</v>
      </c>
      <c r="G215" s="255" t="s">
        <v>367</v>
      </c>
      <c r="H215" s="255" t="s">
        <v>42</v>
      </c>
      <c r="I215" s="255" t="s">
        <v>460</v>
      </c>
      <c r="J215" s="255">
        <v>0</v>
      </c>
      <c r="K215" s="255" t="s">
        <v>457</v>
      </c>
      <c r="L215" s="305" t="s">
        <v>463</v>
      </c>
      <c r="M215" s="299">
        <v>91</v>
      </c>
      <c r="N215" s="300" t="s">
        <v>1153</v>
      </c>
      <c r="O215" s="300">
        <v>2</v>
      </c>
      <c r="P215" s="311" t="s">
        <v>1325</v>
      </c>
      <c r="Q215" s="312"/>
    </row>
    <row r="216" spans="1:17" x14ac:dyDescent="0.2">
      <c r="A216" s="255" t="s">
        <v>351</v>
      </c>
      <c r="B216" s="255" t="s">
        <v>351</v>
      </c>
      <c r="C216" s="255">
        <v>2018</v>
      </c>
      <c r="D216" s="255" t="s">
        <v>385</v>
      </c>
      <c r="E216" s="255" t="s">
        <v>353</v>
      </c>
      <c r="F216" s="255" t="s">
        <v>76</v>
      </c>
      <c r="G216" s="255" t="s">
        <v>367</v>
      </c>
      <c r="H216" s="255" t="s">
        <v>19</v>
      </c>
      <c r="I216" s="255" t="s">
        <v>460</v>
      </c>
      <c r="J216" s="255">
        <v>0</v>
      </c>
      <c r="K216" s="255" t="s">
        <v>457</v>
      </c>
      <c r="L216" s="305" t="s">
        <v>463</v>
      </c>
      <c r="M216" s="299">
        <v>8</v>
      </c>
      <c r="N216" s="300" t="s">
        <v>1153</v>
      </c>
      <c r="O216" s="300">
        <v>2</v>
      </c>
      <c r="P216" s="311" t="s">
        <v>1325</v>
      </c>
      <c r="Q216" s="312"/>
    </row>
    <row r="217" spans="1:17" x14ac:dyDescent="0.2">
      <c r="A217" s="255" t="s">
        <v>351</v>
      </c>
      <c r="B217" s="255" t="s">
        <v>351</v>
      </c>
      <c r="C217" s="255">
        <v>2018</v>
      </c>
      <c r="D217" s="255" t="s">
        <v>385</v>
      </c>
      <c r="E217" s="255" t="s">
        <v>353</v>
      </c>
      <c r="F217" s="255" t="s">
        <v>76</v>
      </c>
      <c r="G217" s="255" t="s">
        <v>367</v>
      </c>
      <c r="H217" s="255" t="s">
        <v>20</v>
      </c>
      <c r="I217" s="255" t="s">
        <v>460</v>
      </c>
      <c r="J217" s="255">
        <v>0</v>
      </c>
      <c r="K217" s="255" t="s">
        <v>457</v>
      </c>
      <c r="L217" s="305" t="s">
        <v>463</v>
      </c>
      <c r="M217" s="299">
        <v>8</v>
      </c>
      <c r="N217" s="300" t="s">
        <v>1153</v>
      </c>
      <c r="O217" s="300">
        <v>2</v>
      </c>
      <c r="P217" s="311" t="s">
        <v>1325</v>
      </c>
      <c r="Q217" s="312"/>
    </row>
    <row r="218" spans="1:17" x14ac:dyDescent="0.2">
      <c r="A218" s="255" t="s">
        <v>351</v>
      </c>
      <c r="B218" s="255" t="s">
        <v>351</v>
      </c>
      <c r="C218" s="255">
        <v>2018</v>
      </c>
      <c r="D218" s="255" t="s">
        <v>385</v>
      </c>
      <c r="E218" s="255" t="s">
        <v>353</v>
      </c>
      <c r="F218" s="255" t="s">
        <v>76</v>
      </c>
      <c r="G218" s="255" t="s">
        <v>367</v>
      </c>
      <c r="H218" s="255" t="s">
        <v>458</v>
      </c>
      <c r="I218" s="255" t="s">
        <v>460</v>
      </c>
      <c r="J218" s="255">
        <v>0</v>
      </c>
      <c r="K218" s="255" t="s">
        <v>457</v>
      </c>
      <c r="L218" s="305" t="s">
        <v>463</v>
      </c>
      <c r="M218" s="299">
        <v>8</v>
      </c>
      <c r="N218" s="300" t="s">
        <v>1153</v>
      </c>
      <c r="O218" s="300">
        <v>2</v>
      </c>
      <c r="P218" s="311" t="s">
        <v>1325</v>
      </c>
      <c r="Q218" s="312"/>
    </row>
    <row r="219" spans="1:17" x14ac:dyDescent="0.2">
      <c r="A219" s="255" t="s">
        <v>351</v>
      </c>
      <c r="B219" s="255" t="s">
        <v>351</v>
      </c>
      <c r="C219" s="255">
        <v>2018</v>
      </c>
      <c r="D219" s="255" t="s">
        <v>385</v>
      </c>
      <c r="E219" s="255" t="s">
        <v>353</v>
      </c>
      <c r="F219" s="255" t="s">
        <v>76</v>
      </c>
      <c r="G219" s="255" t="s">
        <v>367</v>
      </c>
      <c r="H219" s="255" t="s">
        <v>459</v>
      </c>
      <c r="I219" s="255" t="s">
        <v>460</v>
      </c>
      <c r="J219" s="255">
        <v>0</v>
      </c>
      <c r="K219" s="255" t="s">
        <v>457</v>
      </c>
      <c r="L219" s="305" t="s">
        <v>463</v>
      </c>
      <c r="M219" s="299">
        <v>8</v>
      </c>
      <c r="N219" s="300" t="s">
        <v>1153</v>
      </c>
      <c r="O219" s="300">
        <v>2</v>
      </c>
      <c r="P219" s="311" t="s">
        <v>1325</v>
      </c>
      <c r="Q219" s="312"/>
    </row>
    <row r="220" spans="1:17" ht="25.5" x14ac:dyDescent="0.2">
      <c r="A220" s="255" t="s">
        <v>351</v>
      </c>
      <c r="B220" s="255" t="s">
        <v>351</v>
      </c>
      <c r="C220" s="255">
        <v>2018</v>
      </c>
      <c r="D220" s="255" t="s">
        <v>385</v>
      </c>
      <c r="E220" s="255" t="s">
        <v>353</v>
      </c>
      <c r="F220" s="255" t="s">
        <v>76</v>
      </c>
      <c r="G220" s="255" t="s">
        <v>388</v>
      </c>
      <c r="H220" s="255" t="s">
        <v>42</v>
      </c>
      <c r="I220" s="255" t="s">
        <v>456</v>
      </c>
      <c r="J220" s="255">
        <v>5000</v>
      </c>
      <c r="K220" s="255" t="s">
        <v>457</v>
      </c>
      <c r="L220" s="305"/>
      <c r="M220" s="299">
        <v>20964</v>
      </c>
      <c r="N220" s="779">
        <f t="shared" ref="N220:N244" si="9">(100*M220/J220)</f>
        <v>419.28</v>
      </c>
      <c r="O220" s="300">
        <v>519</v>
      </c>
      <c r="P220" s="311" t="s">
        <v>1322</v>
      </c>
      <c r="Q220" s="312" t="s">
        <v>1324</v>
      </c>
    </row>
    <row r="221" spans="1:17" ht="25.5" x14ac:dyDescent="0.2">
      <c r="A221" s="255" t="s">
        <v>351</v>
      </c>
      <c r="B221" s="255" t="s">
        <v>351</v>
      </c>
      <c r="C221" s="255">
        <v>2018</v>
      </c>
      <c r="D221" s="255" t="s">
        <v>385</v>
      </c>
      <c r="E221" s="255" t="s">
        <v>353</v>
      </c>
      <c r="F221" s="255" t="s">
        <v>76</v>
      </c>
      <c r="G221" s="255" t="s">
        <v>388</v>
      </c>
      <c r="H221" s="255" t="s">
        <v>19</v>
      </c>
      <c r="I221" s="255" t="s">
        <v>456</v>
      </c>
      <c r="J221" s="255">
        <v>1000</v>
      </c>
      <c r="K221" s="255" t="s">
        <v>457</v>
      </c>
      <c r="L221" s="305"/>
      <c r="M221" s="299">
        <v>2343</v>
      </c>
      <c r="N221" s="779">
        <f t="shared" si="9"/>
        <v>234.3</v>
      </c>
      <c r="O221" s="300">
        <v>127</v>
      </c>
      <c r="P221" s="311" t="s">
        <v>1338</v>
      </c>
      <c r="Q221" s="312" t="s">
        <v>1324</v>
      </c>
    </row>
    <row r="222" spans="1:17" ht="25.5" x14ac:dyDescent="0.2">
      <c r="A222" s="255" t="s">
        <v>351</v>
      </c>
      <c r="B222" s="255" t="s">
        <v>351</v>
      </c>
      <c r="C222" s="255">
        <v>2018</v>
      </c>
      <c r="D222" s="255" t="s">
        <v>385</v>
      </c>
      <c r="E222" s="255" t="s">
        <v>353</v>
      </c>
      <c r="F222" s="255" t="s">
        <v>76</v>
      </c>
      <c r="G222" s="255" t="s">
        <v>388</v>
      </c>
      <c r="H222" s="255" t="s">
        <v>20</v>
      </c>
      <c r="I222" s="255" t="s">
        <v>456</v>
      </c>
      <c r="J222" s="255">
        <v>1000</v>
      </c>
      <c r="K222" s="255" t="s">
        <v>457</v>
      </c>
      <c r="L222" s="305"/>
      <c r="M222" s="299">
        <v>2343</v>
      </c>
      <c r="N222" s="779">
        <f t="shared" si="9"/>
        <v>234.3</v>
      </c>
      <c r="O222" s="300">
        <v>127</v>
      </c>
      <c r="P222" s="311" t="s">
        <v>1338</v>
      </c>
      <c r="Q222" s="312" t="s">
        <v>1324</v>
      </c>
    </row>
    <row r="223" spans="1:17" ht="25.5" x14ac:dyDescent="0.2">
      <c r="A223" s="255" t="s">
        <v>351</v>
      </c>
      <c r="B223" s="255" t="s">
        <v>351</v>
      </c>
      <c r="C223" s="255">
        <v>2018</v>
      </c>
      <c r="D223" s="255" t="s">
        <v>385</v>
      </c>
      <c r="E223" s="255" t="s">
        <v>353</v>
      </c>
      <c r="F223" s="255" t="s">
        <v>76</v>
      </c>
      <c r="G223" s="255" t="s">
        <v>388</v>
      </c>
      <c r="H223" s="255" t="s">
        <v>458</v>
      </c>
      <c r="I223" s="255" t="s">
        <v>456</v>
      </c>
      <c r="J223" s="255">
        <v>500</v>
      </c>
      <c r="K223" s="255" t="s">
        <v>457</v>
      </c>
      <c r="L223" s="305"/>
      <c r="M223" s="299">
        <v>1901</v>
      </c>
      <c r="N223" s="779">
        <f t="shared" si="9"/>
        <v>380.2</v>
      </c>
      <c r="O223" s="300">
        <v>109</v>
      </c>
      <c r="P223" s="311" t="s">
        <v>1338</v>
      </c>
      <c r="Q223" s="312" t="s">
        <v>1324</v>
      </c>
    </row>
    <row r="224" spans="1:17" ht="38.25" x14ac:dyDescent="0.2">
      <c r="A224" s="255" t="s">
        <v>351</v>
      </c>
      <c r="B224" s="255" t="s">
        <v>351</v>
      </c>
      <c r="C224" s="255">
        <v>2018</v>
      </c>
      <c r="D224" s="255" t="s">
        <v>385</v>
      </c>
      <c r="E224" s="255" t="s">
        <v>353</v>
      </c>
      <c r="F224" s="255" t="s">
        <v>76</v>
      </c>
      <c r="G224" s="255" t="s">
        <v>388</v>
      </c>
      <c r="H224" s="255" t="s">
        <v>459</v>
      </c>
      <c r="I224" s="255" t="s">
        <v>456</v>
      </c>
      <c r="J224" s="255">
        <v>500</v>
      </c>
      <c r="K224" s="255" t="s">
        <v>457</v>
      </c>
      <c r="L224" s="305"/>
      <c r="M224" s="299">
        <v>74</v>
      </c>
      <c r="N224" s="779">
        <f t="shared" si="9"/>
        <v>14.8</v>
      </c>
      <c r="O224" s="300">
        <v>7</v>
      </c>
      <c r="P224" s="311" t="s">
        <v>1338</v>
      </c>
      <c r="Q224" s="312" t="s">
        <v>1737</v>
      </c>
    </row>
    <row r="225" spans="1:17" ht="25.5" x14ac:dyDescent="0.2">
      <c r="A225" s="255" t="s">
        <v>351</v>
      </c>
      <c r="B225" s="255" t="s">
        <v>351</v>
      </c>
      <c r="C225" s="255">
        <v>2018</v>
      </c>
      <c r="D225" s="255" t="s">
        <v>385</v>
      </c>
      <c r="E225" s="255" t="s">
        <v>353</v>
      </c>
      <c r="F225" s="255" t="s">
        <v>76</v>
      </c>
      <c r="G225" s="255" t="s">
        <v>388</v>
      </c>
      <c r="H225" s="255" t="s">
        <v>42</v>
      </c>
      <c r="I225" s="255" t="s">
        <v>460</v>
      </c>
      <c r="J225" s="255">
        <v>5000</v>
      </c>
      <c r="K225" s="255" t="s">
        <v>457</v>
      </c>
      <c r="L225" s="305"/>
      <c r="M225" s="299">
        <v>13209</v>
      </c>
      <c r="N225" s="779">
        <f t="shared" si="9"/>
        <v>264.18</v>
      </c>
      <c r="O225" s="300">
        <v>171</v>
      </c>
      <c r="P225" s="311" t="s">
        <v>467</v>
      </c>
      <c r="Q225" s="312" t="s">
        <v>1324</v>
      </c>
    </row>
    <row r="226" spans="1:17" ht="25.5" x14ac:dyDescent="0.2">
      <c r="A226" s="255" t="s">
        <v>351</v>
      </c>
      <c r="B226" s="255" t="s">
        <v>351</v>
      </c>
      <c r="C226" s="255">
        <v>2018</v>
      </c>
      <c r="D226" s="255" t="s">
        <v>385</v>
      </c>
      <c r="E226" s="255" t="s">
        <v>353</v>
      </c>
      <c r="F226" s="255" t="s">
        <v>76</v>
      </c>
      <c r="G226" s="255" t="s">
        <v>388</v>
      </c>
      <c r="H226" s="255" t="s">
        <v>19</v>
      </c>
      <c r="I226" s="255" t="s">
        <v>460</v>
      </c>
      <c r="J226" s="255">
        <v>750</v>
      </c>
      <c r="K226" s="255" t="s">
        <v>457</v>
      </c>
      <c r="L226" s="305"/>
      <c r="M226" s="299">
        <v>1679</v>
      </c>
      <c r="N226" s="779">
        <f t="shared" si="9"/>
        <v>223.86666666666667</v>
      </c>
      <c r="O226" s="300">
        <v>162</v>
      </c>
      <c r="P226" s="311" t="s">
        <v>467</v>
      </c>
      <c r="Q226" s="312" t="s">
        <v>1324</v>
      </c>
    </row>
    <row r="227" spans="1:17" ht="25.5" x14ac:dyDescent="0.2">
      <c r="A227" s="255" t="s">
        <v>351</v>
      </c>
      <c r="B227" s="255" t="s">
        <v>351</v>
      </c>
      <c r="C227" s="255">
        <v>2018</v>
      </c>
      <c r="D227" s="255" t="s">
        <v>385</v>
      </c>
      <c r="E227" s="255" t="s">
        <v>353</v>
      </c>
      <c r="F227" s="255" t="s">
        <v>76</v>
      </c>
      <c r="G227" s="255" t="s">
        <v>388</v>
      </c>
      <c r="H227" s="255" t="s">
        <v>20</v>
      </c>
      <c r="I227" s="255" t="s">
        <v>460</v>
      </c>
      <c r="J227" s="255">
        <v>750</v>
      </c>
      <c r="K227" s="255" t="s">
        <v>457</v>
      </c>
      <c r="L227" s="305"/>
      <c r="M227" s="299">
        <v>1679</v>
      </c>
      <c r="N227" s="779">
        <f t="shared" si="9"/>
        <v>223.86666666666667</v>
      </c>
      <c r="O227" s="300">
        <v>162</v>
      </c>
      <c r="P227" s="311" t="s">
        <v>467</v>
      </c>
      <c r="Q227" s="312" t="s">
        <v>1324</v>
      </c>
    </row>
    <row r="228" spans="1:17" ht="25.5" x14ac:dyDescent="0.2">
      <c r="A228" s="255" t="s">
        <v>351</v>
      </c>
      <c r="B228" s="255" t="s">
        <v>351</v>
      </c>
      <c r="C228" s="255">
        <v>2018</v>
      </c>
      <c r="D228" s="255" t="s">
        <v>385</v>
      </c>
      <c r="E228" s="255" t="s">
        <v>353</v>
      </c>
      <c r="F228" s="255" t="s">
        <v>76</v>
      </c>
      <c r="G228" s="255" t="s">
        <v>388</v>
      </c>
      <c r="H228" s="255" t="s">
        <v>458</v>
      </c>
      <c r="I228" s="255" t="s">
        <v>460</v>
      </c>
      <c r="J228" s="255">
        <v>100</v>
      </c>
      <c r="K228" s="255" t="s">
        <v>457</v>
      </c>
      <c r="L228" s="305"/>
      <c r="M228" s="299">
        <v>1679</v>
      </c>
      <c r="N228" s="779">
        <f t="shared" si="9"/>
        <v>1679</v>
      </c>
      <c r="O228" s="300">
        <v>162</v>
      </c>
      <c r="P228" s="311" t="s">
        <v>467</v>
      </c>
      <c r="Q228" s="312" t="s">
        <v>1324</v>
      </c>
    </row>
    <row r="229" spans="1:17" ht="25.5" x14ac:dyDescent="0.2">
      <c r="A229" s="255" t="s">
        <v>351</v>
      </c>
      <c r="B229" s="255" t="s">
        <v>351</v>
      </c>
      <c r="C229" s="255">
        <v>2018</v>
      </c>
      <c r="D229" s="255" t="s">
        <v>385</v>
      </c>
      <c r="E229" s="255" t="s">
        <v>353</v>
      </c>
      <c r="F229" s="255" t="s">
        <v>76</v>
      </c>
      <c r="G229" s="255" t="s">
        <v>388</v>
      </c>
      <c r="H229" s="255" t="s">
        <v>459</v>
      </c>
      <c r="I229" s="255" t="s">
        <v>460</v>
      </c>
      <c r="J229" s="255">
        <v>100</v>
      </c>
      <c r="K229" s="255" t="s">
        <v>457</v>
      </c>
      <c r="L229" s="305"/>
      <c r="M229" s="299">
        <v>1679</v>
      </c>
      <c r="N229" s="779">
        <f t="shared" si="9"/>
        <v>1679</v>
      </c>
      <c r="O229" s="300">
        <v>162</v>
      </c>
      <c r="P229" s="311" t="s">
        <v>467</v>
      </c>
      <c r="Q229" s="312" t="s">
        <v>1324</v>
      </c>
    </row>
    <row r="230" spans="1:17" ht="25.5" x14ac:dyDescent="0.2">
      <c r="A230" s="255" t="s">
        <v>351</v>
      </c>
      <c r="B230" s="255" t="s">
        <v>351</v>
      </c>
      <c r="C230" s="255">
        <v>2018</v>
      </c>
      <c r="D230" s="255" t="s">
        <v>389</v>
      </c>
      <c r="E230" s="255" t="s">
        <v>353</v>
      </c>
      <c r="F230" s="255" t="s">
        <v>76</v>
      </c>
      <c r="G230" s="255" t="s">
        <v>370</v>
      </c>
      <c r="H230" s="255" t="s">
        <v>42</v>
      </c>
      <c r="I230" s="255" t="s">
        <v>456</v>
      </c>
      <c r="J230" s="255">
        <v>3000</v>
      </c>
      <c r="K230" s="255" t="s">
        <v>457</v>
      </c>
      <c r="L230" s="305"/>
      <c r="M230" s="299">
        <v>6678</v>
      </c>
      <c r="N230" s="779">
        <f t="shared" si="9"/>
        <v>222.6</v>
      </c>
      <c r="O230" s="300">
        <v>113</v>
      </c>
      <c r="P230" s="311" t="s">
        <v>1322</v>
      </c>
      <c r="Q230" s="312" t="s">
        <v>1324</v>
      </c>
    </row>
    <row r="231" spans="1:17" ht="63.75" x14ac:dyDescent="0.2">
      <c r="A231" s="255" t="s">
        <v>351</v>
      </c>
      <c r="B231" s="255" t="s">
        <v>351</v>
      </c>
      <c r="C231" s="255">
        <v>2018</v>
      </c>
      <c r="D231" s="255" t="s">
        <v>389</v>
      </c>
      <c r="E231" s="255" t="s">
        <v>353</v>
      </c>
      <c r="F231" s="255" t="s">
        <v>76</v>
      </c>
      <c r="G231" s="255" t="s">
        <v>370</v>
      </c>
      <c r="H231" s="255" t="s">
        <v>19</v>
      </c>
      <c r="I231" s="255" t="s">
        <v>456</v>
      </c>
      <c r="J231" s="255">
        <v>1000</v>
      </c>
      <c r="K231" s="255" t="s">
        <v>457</v>
      </c>
      <c r="L231" s="305"/>
      <c r="M231" s="299">
        <v>415</v>
      </c>
      <c r="N231" s="779">
        <f t="shared" si="9"/>
        <v>41.5</v>
      </c>
      <c r="O231" s="300">
        <v>27</v>
      </c>
      <c r="P231" s="311" t="s">
        <v>1338</v>
      </c>
      <c r="Q231" s="312" t="s">
        <v>1742</v>
      </c>
    </row>
    <row r="232" spans="1:17" ht="63.75" x14ac:dyDescent="0.2">
      <c r="A232" s="255" t="s">
        <v>351</v>
      </c>
      <c r="B232" s="255" t="s">
        <v>351</v>
      </c>
      <c r="C232" s="255">
        <v>2018</v>
      </c>
      <c r="D232" s="255" t="s">
        <v>389</v>
      </c>
      <c r="E232" s="255" t="s">
        <v>353</v>
      </c>
      <c r="F232" s="255" t="s">
        <v>76</v>
      </c>
      <c r="G232" s="255" t="s">
        <v>370</v>
      </c>
      <c r="H232" s="255" t="s">
        <v>20</v>
      </c>
      <c r="I232" s="255" t="s">
        <v>456</v>
      </c>
      <c r="J232" s="255">
        <v>1000</v>
      </c>
      <c r="K232" s="255" t="s">
        <v>457</v>
      </c>
      <c r="L232" s="305"/>
      <c r="M232" s="299">
        <v>415</v>
      </c>
      <c r="N232" s="779">
        <f t="shared" si="9"/>
        <v>41.5</v>
      </c>
      <c r="O232" s="300">
        <v>27</v>
      </c>
      <c r="P232" s="311" t="s">
        <v>1338</v>
      </c>
      <c r="Q232" s="312" t="s">
        <v>1742</v>
      </c>
    </row>
    <row r="233" spans="1:17" ht="25.5" x14ac:dyDescent="0.2">
      <c r="A233" s="255" t="s">
        <v>351</v>
      </c>
      <c r="B233" s="255" t="s">
        <v>351</v>
      </c>
      <c r="C233" s="255">
        <v>2018</v>
      </c>
      <c r="D233" s="255" t="s">
        <v>389</v>
      </c>
      <c r="E233" s="255" t="s">
        <v>353</v>
      </c>
      <c r="F233" s="255" t="s">
        <v>76</v>
      </c>
      <c r="G233" s="255" t="s">
        <v>370</v>
      </c>
      <c r="H233" s="255" t="s">
        <v>458</v>
      </c>
      <c r="I233" s="255" t="s">
        <v>456</v>
      </c>
      <c r="J233" s="255">
        <v>100</v>
      </c>
      <c r="K233" s="255" t="s">
        <v>457</v>
      </c>
      <c r="L233" s="305"/>
      <c r="M233" s="299">
        <v>311</v>
      </c>
      <c r="N233" s="779">
        <f t="shared" si="9"/>
        <v>311</v>
      </c>
      <c r="O233" s="300">
        <v>22</v>
      </c>
      <c r="P233" s="311" t="s">
        <v>1338</v>
      </c>
      <c r="Q233" s="312" t="s">
        <v>1324</v>
      </c>
    </row>
    <row r="234" spans="1:17" ht="38.25" x14ac:dyDescent="0.2">
      <c r="A234" s="255" t="s">
        <v>351</v>
      </c>
      <c r="B234" s="255" t="s">
        <v>351</v>
      </c>
      <c r="C234" s="255">
        <v>2018</v>
      </c>
      <c r="D234" s="255" t="s">
        <v>389</v>
      </c>
      <c r="E234" s="255" t="s">
        <v>353</v>
      </c>
      <c r="F234" s="255" t="s">
        <v>76</v>
      </c>
      <c r="G234" s="255" t="s">
        <v>370</v>
      </c>
      <c r="H234" s="255" t="s">
        <v>459</v>
      </c>
      <c r="I234" s="255" t="s">
        <v>456</v>
      </c>
      <c r="J234" s="255">
        <v>100</v>
      </c>
      <c r="K234" s="255" t="s">
        <v>457</v>
      </c>
      <c r="L234" s="305"/>
      <c r="M234" s="299">
        <v>0</v>
      </c>
      <c r="N234" s="779">
        <f t="shared" si="9"/>
        <v>0</v>
      </c>
      <c r="O234" s="300">
        <v>0</v>
      </c>
      <c r="P234" s="311" t="s">
        <v>1338</v>
      </c>
      <c r="Q234" s="312" t="s">
        <v>1737</v>
      </c>
    </row>
    <row r="235" spans="1:17" x14ac:dyDescent="0.2">
      <c r="A235" s="255" t="s">
        <v>351</v>
      </c>
      <c r="B235" s="255" t="s">
        <v>351</v>
      </c>
      <c r="C235" s="255">
        <v>2018</v>
      </c>
      <c r="D235" s="255" t="s">
        <v>389</v>
      </c>
      <c r="E235" s="255" t="s">
        <v>353</v>
      </c>
      <c r="F235" s="255" t="s">
        <v>76</v>
      </c>
      <c r="G235" s="255" t="s">
        <v>370</v>
      </c>
      <c r="H235" s="255" t="s">
        <v>42</v>
      </c>
      <c r="I235" s="255" t="s">
        <v>460</v>
      </c>
      <c r="J235" s="255">
        <v>5000</v>
      </c>
      <c r="K235" s="255" t="s">
        <v>457</v>
      </c>
      <c r="L235" s="305"/>
      <c r="M235" s="299">
        <v>6039</v>
      </c>
      <c r="N235" s="779">
        <f t="shared" si="9"/>
        <v>120.78</v>
      </c>
      <c r="O235" s="300">
        <v>56</v>
      </c>
      <c r="P235" s="311" t="s">
        <v>467</v>
      </c>
      <c r="Q235" s="312"/>
    </row>
    <row r="236" spans="1:17" x14ac:dyDescent="0.2">
      <c r="A236" s="255" t="s">
        <v>351</v>
      </c>
      <c r="B236" s="255" t="s">
        <v>351</v>
      </c>
      <c r="C236" s="255">
        <v>2018</v>
      </c>
      <c r="D236" s="255" t="s">
        <v>389</v>
      </c>
      <c r="E236" s="255" t="s">
        <v>353</v>
      </c>
      <c r="F236" s="255" t="s">
        <v>76</v>
      </c>
      <c r="G236" s="255" t="s">
        <v>370</v>
      </c>
      <c r="H236" s="255" t="s">
        <v>19</v>
      </c>
      <c r="I236" s="255" t="s">
        <v>460</v>
      </c>
      <c r="J236" s="255">
        <v>500</v>
      </c>
      <c r="K236" s="255" t="s">
        <v>457</v>
      </c>
      <c r="L236" s="305"/>
      <c r="M236" s="299">
        <v>628</v>
      </c>
      <c r="N236" s="779">
        <f t="shared" si="9"/>
        <v>125.6</v>
      </c>
      <c r="O236" s="300">
        <v>56</v>
      </c>
      <c r="P236" s="311" t="s">
        <v>467</v>
      </c>
      <c r="Q236" s="312"/>
    </row>
    <row r="237" spans="1:17" x14ac:dyDescent="0.2">
      <c r="A237" s="255" t="s">
        <v>351</v>
      </c>
      <c r="B237" s="255" t="s">
        <v>351</v>
      </c>
      <c r="C237" s="255">
        <v>2018</v>
      </c>
      <c r="D237" s="255" t="s">
        <v>389</v>
      </c>
      <c r="E237" s="255" t="s">
        <v>353</v>
      </c>
      <c r="F237" s="255" t="s">
        <v>76</v>
      </c>
      <c r="G237" s="255" t="s">
        <v>370</v>
      </c>
      <c r="H237" s="255" t="s">
        <v>20</v>
      </c>
      <c r="I237" s="255" t="s">
        <v>460</v>
      </c>
      <c r="J237" s="255">
        <v>500</v>
      </c>
      <c r="K237" s="255" t="s">
        <v>457</v>
      </c>
      <c r="L237" s="305"/>
      <c r="M237" s="299">
        <v>628</v>
      </c>
      <c r="N237" s="779">
        <f t="shared" si="9"/>
        <v>125.6</v>
      </c>
      <c r="O237" s="300">
        <v>56</v>
      </c>
      <c r="P237" s="311" t="s">
        <v>467</v>
      </c>
      <c r="Q237" s="312"/>
    </row>
    <row r="238" spans="1:17" x14ac:dyDescent="0.2">
      <c r="A238" s="255" t="s">
        <v>351</v>
      </c>
      <c r="B238" s="255" t="s">
        <v>351</v>
      </c>
      <c r="C238" s="255">
        <v>2018</v>
      </c>
      <c r="D238" s="255" t="s">
        <v>389</v>
      </c>
      <c r="E238" s="255" t="s">
        <v>353</v>
      </c>
      <c r="F238" s="255" t="s">
        <v>76</v>
      </c>
      <c r="G238" s="255" t="s">
        <v>370</v>
      </c>
      <c r="H238" s="255" t="s">
        <v>458</v>
      </c>
      <c r="I238" s="255" t="s">
        <v>460</v>
      </c>
      <c r="J238" s="255">
        <v>500</v>
      </c>
      <c r="K238" s="255" t="s">
        <v>457</v>
      </c>
      <c r="L238" s="305"/>
      <c r="M238" s="299">
        <v>628</v>
      </c>
      <c r="N238" s="779">
        <f t="shared" si="9"/>
        <v>125.6</v>
      </c>
      <c r="O238" s="300">
        <v>56</v>
      </c>
      <c r="P238" s="311" t="s">
        <v>467</v>
      </c>
      <c r="Q238" s="312"/>
    </row>
    <row r="239" spans="1:17" ht="25.5" x14ac:dyDescent="0.2">
      <c r="A239" s="255" t="s">
        <v>351</v>
      </c>
      <c r="B239" s="255" t="s">
        <v>351</v>
      </c>
      <c r="C239" s="255">
        <v>2018</v>
      </c>
      <c r="D239" s="255" t="s">
        <v>389</v>
      </c>
      <c r="E239" s="255" t="s">
        <v>353</v>
      </c>
      <c r="F239" s="255" t="s">
        <v>76</v>
      </c>
      <c r="G239" s="255" t="s">
        <v>370</v>
      </c>
      <c r="H239" s="255" t="s">
        <v>459</v>
      </c>
      <c r="I239" s="255" t="s">
        <v>460</v>
      </c>
      <c r="J239" s="255">
        <v>100</v>
      </c>
      <c r="K239" s="255" t="s">
        <v>457</v>
      </c>
      <c r="L239" s="305"/>
      <c r="M239" s="299">
        <v>628</v>
      </c>
      <c r="N239" s="779">
        <f t="shared" si="9"/>
        <v>628</v>
      </c>
      <c r="O239" s="300">
        <v>56</v>
      </c>
      <c r="P239" s="311" t="s">
        <v>467</v>
      </c>
      <c r="Q239" s="312" t="s">
        <v>1324</v>
      </c>
    </row>
    <row r="240" spans="1:17" ht="25.5" x14ac:dyDescent="0.2">
      <c r="A240" s="255" t="s">
        <v>351</v>
      </c>
      <c r="B240" s="255" t="s">
        <v>351</v>
      </c>
      <c r="C240" s="255">
        <v>2018</v>
      </c>
      <c r="D240" s="255" t="s">
        <v>389</v>
      </c>
      <c r="E240" s="255" t="s">
        <v>353</v>
      </c>
      <c r="F240" s="255" t="s">
        <v>76</v>
      </c>
      <c r="G240" s="255" t="s">
        <v>367</v>
      </c>
      <c r="H240" s="255" t="s">
        <v>42</v>
      </c>
      <c r="I240" s="255" t="s">
        <v>456</v>
      </c>
      <c r="J240" s="255">
        <v>2500</v>
      </c>
      <c r="K240" s="255" t="s">
        <v>457</v>
      </c>
      <c r="L240" s="305"/>
      <c r="M240" s="299">
        <v>3429</v>
      </c>
      <c r="N240" s="779">
        <f t="shared" si="9"/>
        <v>137.16</v>
      </c>
      <c r="O240" s="300">
        <v>74</v>
      </c>
      <c r="P240" s="311" t="s">
        <v>1322</v>
      </c>
      <c r="Q240" s="312"/>
    </row>
    <row r="241" spans="1:17" ht="38.25" x14ac:dyDescent="0.2">
      <c r="A241" s="255" t="s">
        <v>351</v>
      </c>
      <c r="B241" s="255" t="s">
        <v>351</v>
      </c>
      <c r="C241" s="255">
        <v>2018</v>
      </c>
      <c r="D241" s="255" t="s">
        <v>389</v>
      </c>
      <c r="E241" s="255" t="s">
        <v>353</v>
      </c>
      <c r="F241" s="255" t="s">
        <v>76</v>
      </c>
      <c r="G241" s="255" t="s">
        <v>367</v>
      </c>
      <c r="H241" s="255" t="s">
        <v>19</v>
      </c>
      <c r="I241" s="255" t="s">
        <v>456</v>
      </c>
      <c r="J241" s="255">
        <v>500</v>
      </c>
      <c r="K241" s="255" t="s">
        <v>457</v>
      </c>
      <c r="L241" s="305"/>
      <c r="M241" s="299">
        <v>153</v>
      </c>
      <c r="N241" s="779">
        <f t="shared" si="9"/>
        <v>30.6</v>
      </c>
      <c r="O241" s="300">
        <v>10</v>
      </c>
      <c r="P241" s="311" t="s">
        <v>1338</v>
      </c>
      <c r="Q241" s="312" t="s">
        <v>1743</v>
      </c>
    </row>
    <row r="242" spans="1:17" ht="38.25" x14ac:dyDescent="0.2">
      <c r="A242" s="255" t="s">
        <v>351</v>
      </c>
      <c r="B242" s="255" t="s">
        <v>351</v>
      </c>
      <c r="C242" s="255">
        <v>2018</v>
      </c>
      <c r="D242" s="255" t="s">
        <v>389</v>
      </c>
      <c r="E242" s="255" t="s">
        <v>353</v>
      </c>
      <c r="F242" s="255" t="s">
        <v>76</v>
      </c>
      <c r="G242" s="255" t="s">
        <v>367</v>
      </c>
      <c r="H242" s="255" t="s">
        <v>20</v>
      </c>
      <c r="I242" s="255" t="s">
        <v>456</v>
      </c>
      <c r="J242" s="255">
        <v>500</v>
      </c>
      <c r="K242" s="255" t="s">
        <v>457</v>
      </c>
      <c r="L242" s="305"/>
      <c r="M242" s="299">
        <v>153</v>
      </c>
      <c r="N242" s="779">
        <f t="shared" si="9"/>
        <v>30.6</v>
      </c>
      <c r="O242" s="300">
        <v>10</v>
      </c>
      <c r="P242" s="311" t="s">
        <v>1338</v>
      </c>
      <c r="Q242" s="312" t="s">
        <v>1743</v>
      </c>
    </row>
    <row r="243" spans="1:17" x14ac:dyDescent="0.2">
      <c r="A243" s="255" t="s">
        <v>351</v>
      </c>
      <c r="B243" s="255" t="s">
        <v>351</v>
      </c>
      <c r="C243" s="255">
        <v>2018</v>
      </c>
      <c r="D243" s="255" t="s">
        <v>389</v>
      </c>
      <c r="E243" s="255" t="s">
        <v>353</v>
      </c>
      <c r="F243" s="255" t="s">
        <v>76</v>
      </c>
      <c r="G243" s="255" t="s">
        <v>367</v>
      </c>
      <c r="H243" s="255" t="s">
        <v>458</v>
      </c>
      <c r="I243" s="255" t="s">
        <v>456</v>
      </c>
      <c r="J243" s="255">
        <v>100</v>
      </c>
      <c r="K243" s="255" t="s">
        <v>457</v>
      </c>
      <c r="L243" s="305"/>
      <c r="M243" s="299">
        <v>88</v>
      </c>
      <c r="N243" s="779">
        <f t="shared" si="9"/>
        <v>88</v>
      </c>
      <c r="O243" s="300">
        <v>6</v>
      </c>
      <c r="P243" s="311" t="s">
        <v>1338</v>
      </c>
      <c r="Q243" s="312"/>
    </row>
    <row r="244" spans="1:17" ht="25.5" x14ac:dyDescent="0.2">
      <c r="A244" s="255" t="s">
        <v>351</v>
      </c>
      <c r="B244" s="255" t="s">
        <v>351</v>
      </c>
      <c r="C244" s="255">
        <v>2018</v>
      </c>
      <c r="D244" s="255" t="s">
        <v>389</v>
      </c>
      <c r="E244" s="255" t="s">
        <v>353</v>
      </c>
      <c r="F244" s="255" t="s">
        <v>76</v>
      </c>
      <c r="G244" s="255" t="s">
        <v>367</v>
      </c>
      <c r="H244" s="255" t="s">
        <v>459</v>
      </c>
      <c r="I244" s="255" t="s">
        <v>456</v>
      </c>
      <c r="J244" s="255">
        <v>100</v>
      </c>
      <c r="K244" s="255" t="s">
        <v>457</v>
      </c>
      <c r="L244" s="305"/>
      <c r="M244" s="299">
        <v>2</v>
      </c>
      <c r="N244" s="779">
        <f t="shared" si="9"/>
        <v>2</v>
      </c>
      <c r="O244" s="300">
        <v>1</v>
      </c>
      <c r="P244" s="311" t="s">
        <v>1338</v>
      </c>
      <c r="Q244" s="312" t="s">
        <v>1341</v>
      </c>
    </row>
    <row r="245" spans="1:17" x14ac:dyDescent="0.2">
      <c r="A245" s="255" t="s">
        <v>351</v>
      </c>
      <c r="B245" s="255" t="s">
        <v>351</v>
      </c>
      <c r="C245" s="255">
        <v>2018</v>
      </c>
      <c r="D245" s="255" t="s">
        <v>389</v>
      </c>
      <c r="E245" s="255" t="s">
        <v>353</v>
      </c>
      <c r="F245" s="255" t="s">
        <v>76</v>
      </c>
      <c r="G245" s="255" t="s">
        <v>367</v>
      </c>
      <c r="H245" s="255" t="s">
        <v>42</v>
      </c>
      <c r="I245" s="255" t="s">
        <v>460</v>
      </c>
      <c r="J245" s="255">
        <v>0</v>
      </c>
      <c r="K245" s="255" t="s">
        <v>457</v>
      </c>
      <c r="L245" s="305" t="s">
        <v>463</v>
      </c>
      <c r="M245" s="299">
        <v>758</v>
      </c>
      <c r="N245" s="300" t="s">
        <v>1153</v>
      </c>
      <c r="O245" s="300">
        <v>2</v>
      </c>
      <c r="P245" s="311" t="s">
        <v>1325</v>
      </c>
      <c r="Q245" s="312"/>
    </row>
    <row r="246" spans="1:17" x14ac:dyDescent="0.2">
      <c r="A246" s="255" t="s">
        <v>351</v>
      </c>
      <c r="B246" s="255" t="s">
        <v>351</v>
      </c>
      <c r="C246" s="255">
        <v>2018</v>
      </c>
      <c r="D246" s="255" t="s">
        <v>389</v>
      </c>
      <c r="E246" s="255" t="s">
        <v>353</v>
      </c>
      <c r="F246" s="255" t="s">
        <v>76</v>
      </c>
      <c r="G246" s="255" t="s">
        <v>367</v>
      </c>
      <c r="H246" s="255" t="s">
        <v>19</v>
      </c>
      <c r="I246" s="255" t="s">
        <v>460</v>
      </c>
      <c r="J246" s="255">
        <v>0</v>
      </c>
      <c r="K246" s="255" t="s">
        <v>457</v>
      </c>
      <c r="L246" s="305" t="s">
        <v>463</v>
      </c>
      <c r="M246" s="299">
        <v>24</v>
      </c>
      <c r="N246" s="300" t="s">
        <v>1153</v>
      </c>
      <c r="O246" s="300">
        <v>2</v>
      </c>
      <c r="P246" s="311" t="s">
        <v>1325</v>
      </c>
      <c r="Q246" s="312"/>
    </row>
    <row r="247" spans="1:17" x14ac:dyDescent="0.2">
      <c r="A247" s="255" t="s">
        <v>351</v>
      </c>
      <c r="B247" s="255" t="s">
        <v>351</v>
      </c>
      <c r="C247" s="255">
        <v>2018</v>
      </c>
      <c r="D247" s="255" t="s">
        <v>389</v>
      </c>
      <c r="E247" s="255" t="s">
        <v>353</v>
      </c>
      <c r="F247" s="255" t="s">
        <v>76</v>
      </c>
      <c r="G247" s="255" t="s">
        <v>367</v>
      </c>
      <c r="H247" s="255" t="s">
        <v>20</v>
      </c>
      <c r="I247" s="255" t="s">
        <v>460</v>
      </c>
      <c r="J247" s="255">
        <v>0</v>
      </c>
      <c r="K247" s="255" t="s">
        <v>457</v>
      </c>
      <c r="L247" s="305" t="s">
        <v>463</v>
      </c>
      <c r="M247" s="299">
        <v>24</v>
      </c>
      <c r="N247" s="300" t="s">
        <v>1153</v>
      </c>
      <c r="O247" s="300">
        <v>2</v>
      </c>
      <c r="P247" s="311" t="s">
        <v>1325</v>
      </c>
      <c r="Q247" s="312"/>
    </row>
    <row r="248" spans="1:17" x14ac:dyDescent="0.2">
      <c r="A248" s="255" t="s">
        <v>351</v>
      </c>
      <c r="B248" s="255" t="s">
        <v>351</v>
      </c>
      <c r="C248" s="255">
        <v>2018</v>
      </c>
      <c r="D248" s="255" t="s">
        <v>389</v>
      </c>
      <c r="E248" s="255" t="s">
        <v>353</v>
      </c>
      <c r="F248" s="255" t="s">
        <v>76</v>
      </c>
      <c r="G248" s="255" t="s">
        <v>367</v>
      </c>
      <c r="H248" s="255" t="s">
        <v>458</v>
      </c>
      <c r="I248" s="255" t="s">
        <v>460</v>
      </c>
      <c r="J248" s="255">
        <v>0</v>
      </c>
      <c r="K248" s="255" t="s">
        <v>457</v>
      </c>
      <c r="L248" s="305" t="s">
        <v>463</v>
      </c>
      <c r="M248" s="299">
        <v>24</v>
      </c>
      <c r="N248" s="300" t="s">
        <v>1153</v>
      </c>
      <c r="O248" s="300">
        <v>2</v>
      </c>
      <c r="P248" s="311" t="s">
        <v>1325</v>
      </c>
      <c r="Q248" s="312"/>
    </row>
    <row r="249" spans="1:17" x14ac:dyDescent="0.2">
      <c r="A249" s="255" t="s">
        <v>351</v>
      </c>
      <c r="B249" s="255" t="s">
        <v>351</v>
      </c>
      <c r="C249" s="255">
        <v>2018</v>
      </c>
      <c r="D249" s="255" t="s">
        <v>389</v>
      </c>
      <c r="E249" s="255" t="s">
        <v>353</v>
      </c>
      <c r="F249" s="255" t="s">
        <v>76</v>
      </c>
      <c r="G249" s="255" t="s">
        <v>367</v>
      </c>
      <c r="H249" s="255" t="s">
        <v>459</v>
      </c>
      <c r="I249" s="255" t="s">
        <v>460</v>
      </c>
      <c r="J249" s="255">
        <v>0</v>
      </c>
      <c r="K249" s="255" t="s">
        <v>457</v>
      </c>
      <c r="L249" s="305" t="s">
        <v>463</v>
      </c>
      <c r="M249" s="299">
        <v>24</v>
      </c>
      <c r="N249" s="300" t="s">
        <v>1153</v>
      </c>
      <c r="O249" s="300">
        <v>2</v>
      </c>
      <c r="P249" s="311" t="s">
        <v>1325</v>
      </c>
      <c r="Q249" s="312"/>
    </row>
    <row r="250" spans="1:17" ht="25.5" x14ac:dyDescent="0.2">
      <c r="A250" s="255" t="s">
        <v>351</v>
      </c>
      <c r="B250" s="255" t="s">
        <v>351</v>
      </c>
      <c r="C250" s="255">
        <v>2018</v>
      </c>
      <c r="D250" s="255" t="s">
        <v>389</v>
      </c>
      <c r="E250" s="255" t="s">
        <v>353</v>
      </c>
      <c r="F250" s="255" t="s">
        <v>76</v>
      </c>
      <c r="G250" s="255" t="s">
        <v>371</v>
      </c>
      <c r="H250" s="255" t="s">
        <v>42</v>
      </c>
      <c r="I250" s="255" t="s">
        <v>456</v>
      </c>
      <c r="J250" s="255">
        <v>5000</v>
      </c>
      <c r="K250" s="255" t="s">
        <v>457</v>
      </c>
      <c r="L250" s="305"/>
      <c r="M250" s="299">
        <v>14883</v>
      </c>
      <c r="N250" s="779">
        <f t="shared" ref="N250:N280" si="10">(100*M250/J250)</f>
        <v>297.66000000000003</v>
      </c>
      <c r="O250" s="300">
        <v>356</v>
      </c>
      <c r="P250" s="311" t="s">
        <v>1322</v>
      </c>
      <c r="Q250" s="312" t="s">
        <v>1324</v>
      </c>
    </row>
    <row r="251" spans="1:17" ht="25.5" x14ac:dyDescent="0.2">
      <c r="A251" s="255" t="s">
        <v>351</v>
      </c>
      <c r="B251" s="255" t="s">
        <v>351</v>
      </c>
      <c r="C251" s="255">
        <v>2018</v>
      </c>
      <c r="D251" s="255" t="s">
        <v>389</v>
      </c>
      <c r="E251" s="255" t="s">
        <v>353</v>
      </c>
      <c r="F251" s="255" t="s">
        <v>76</v>
      </c>
      <c r="G251" s="255" t="s">
        <v>371</v>
      </c>
      <c r="H251" s="255" t="s">
        <v>19</v>
      </c>
      <c r="I251" s="255" t="s">
        <v>456</v>
      </c>
      <c r="J251" s="255">
        <v>1000</v>
      </c>
      <c r="K251" s="255" t="s">
        <v>457</v>
      </c>
      <c r="L251" s="305"/>
      <c r="M251" s="299">
        <v>1572</v>
      </c>
      <c r="N251" s="779">
        <f t="shared" si="10"/>
        <v>157.19999999999999</v>
      </c>
      <c r="O251" s="300">
        <v>93</v>
      </c>
      <c r="P251" s="311" t="s">
        <v>1338</v>
      </c>
      <c r="Q251" s="312" t="s">
        <v>1324</v>
      </c>
    </row>
    <row r="252" spans="1:17" ht="25.5" x14ac:dyDescent="0.2">
      <c r="A252" s="255" t="s">
        <v>351</v>
      </c>
      <c r="B252" s="255" t="s">
        <v>351</v>
      </c>
      <c r="C252" s="255">
        <v>2018</v>
      </c>
      <c r="D252" s="255" t="s">
        <v>389</v>
      </c>
      <c r="E252" s="255" t="s">
        <v>353</v>
      </c>
      <c r="F252" s="255" t="s">
        <v>76</v>
      </c>
      <c r="G252" s="255" t="s">
        <v>371</v>
      </c>
      <c r="H252" s="255" t="s">
        <v>20</v>
      </c>
      <c r="I252" s="255" t="s">
        <v>456</v>
      </c>
      <c r="J252" s="255">
        <v>1000</v>
      </c>
      <c r="K252" s="255" t="s">
        <v>457</v>
      </c>
      <c r="L252" s="305"/>
      <c r="M252" s="299">
        <v>1572</v>
      </c>
      <c r="N252" s="779">
        <f t="shared" si="10"/>
        <v>157.19999999999999</v>
      </c>
      <c r="O252" s="300">
        <v>93</v>
      </c>
      <c r="P252" s="311" t="s">
        <v>1338</v>
      </c>
      <c r="Q252" s="312" t="s">
        <v>1324</v>
      </c>
    </row>
    <row r="253" spans="1:17" ht="25.5" x14ac:dyDescent="0.2">
      <c r="A253" s="255" t="s">
        <v>351</v>
      </c>
      <c r="B253" s="255" t="s">
        <v>351</v>
      </c>
      <c r="C253" s="255">
        <v>2018</v>
      </c>
      <c r="D253" s="255" t="s">
        <v>389</v>
      </c>
      <c r="E253" s="255" t="s">
        <v>353</v>
      </c>
      <c r="F253" s="255" t="s">
        <v>76</v>
      </c>
      <c r="G253" s="255" t="s">
        <v>371</v>
      </c>
      <c r="H253" s="255" t="s">
        <v>458</v>
      </c>
      <c r="I253" s="255" t="s">
        <v>456</v>
      </c>
      <c r="J253" s="255">
        <v>250</v>
      </c>
      <c r="K253" s="255" t="s">
        <v>457</v>
      </c>
      <c r="L253" s="305"/>
      <c r="M253" s="299">
        <v>1470</v>
      </c>
      <c r="N253" s="779">
        <f t="shared" si="10"/>
        <v>588</v>
      </c>
      <c r="O253" s="300">
        <v>85</v>
      </c>
      <c r="P253" s="311" t="s">
        <v>1338</v>
      </c>
      <c r="Q253" s="312" t="s">
        <v>1324</v>
      </c>
    </row>
    <row r="254" spans="1:17" ht="38.25" x14ac:dyDescent="0.2">
      <c r="A254" s="255" t="s">
        <v>351</v>
      </c>
      <c r="B254" s="255" t="s">
        <v>351</v>
      </c>
      <c r="C254" s="255">
        <v>2018</v>
      </c>
      <c r="D254" s="255" t="s">
        <v>389</v>
      </c>
      <c r="E254" s="255" t="s">
        <v>353</v>
      </c>
      <c r="F254" s="255" t="s">
        <v>76</v>
      </c>
      <c r="G254" s="255" t="s">
        <v>371</v>
      </c>
      <c r="H254" s="255" t="s">
        <v>459</v>
      </c>
      <c r="I254" s="255" t="s">
        <v>456</v>
      </c>
      <c r="J254" s="255">
        <v>250</v>
      </c>
      <c r="K254" s="255" t="s">
        <v>457</v>
      </c>
      <c r="L254" s="305"/>
      <c r="M254" s="299">
        <v>19</v>
      </c>
      <c r="N254" s="779">
        <f t="shared" si="10"/>
        <v>7.6</v>
      </c>
      <c r="O254" s="300">
        <v>5</v>
      </c>
      <c r="P254" s="311" t="s">
        <v>1338</v>
      </c>
      <c r="Q254" s="312" t="s">
        <v>1737</v>
      </c>
    </row>
    <row r="255" spans="1:17" ht="25.5" x14ac:dyDescent="0.2">
      <c r="A255" s="305" t="s">
        <v>351</v>
      </c>
      <c r="B255" s="305" t="s">
        <v>351</v>
      </c>
      <c r="C255" s="305">
        <v>2018</v>
      </c>
      <c r="D255" s="305" t="s">
        <v>389</v>
      </c>
      <c r="E255" s="305" t="s">
        <v>353</v>
      </c>
      <c r="F255" s="305" t="s">
        <v>76</v>
      </c>
      <c r="G255" s="305" t="s">
        <v>371</v>
      </c>
      <c r="H255" s="305" t="s">
        <v>42</v>
      </c>
      <c r="I255" s="305" t="s">
        <v>460</v>
      </c>
      <c r="J255" s="305">
        <v>5000</v>
      </c>
      <c r="K255" s="305" t="s">
        <v>457</v>
      </c>
      <c r="L255" s="305"/>
      <c r="M255" s="299">
        <v>4327</v>
      </c>
      <c r="N255" s="779">
        <f t="shared" si="10"/>
        <v>86.54</v>
      </c>
      <c r="O255" s="311">
        <v>92</v>
      </c>
      <c r="P255" s="311" t="s">
        <v>467</v>
      </c>
      <c r="Q255" s="312" t="s">
        <v>1594</v>
      </c>
    </row>
    <row r="256" spans="1:17" x14ac:dyDescent="0.2">
      <c r="A256" s="255" t="s">
        <v>351</v>
      </c>
      <c r="B256" s="255" t="s">
        <v>351</v>
      </c>
      <c r="C256" s="255">
        <v>2018</v>
      </c>
      <c r="D256" s="255" t="s">
        <v>389</v>
      </c>
      <c r="E256" s="255" t="s">
        <v>353</v>
      </c>
      <c r="F256" s="255" t="s">
        <v>76</v>
      </c>
      <c r="G256" s="255" t="s">
        <v>371</v>
      </c>
      <c r="H256" s="255" t="s">
        <v>19</v>
      </c>
      <c r="I256" s="255" t="s">
        <v>460</v>
      </c>
      <c r="J256" s="255">
        <v>750</v>
      </c>
      <c r="K256" s="255" t="s">
        <v>457</v>
      </c>
      <c r="L256" s="305"/>
      <c r="M256" s="299">
        <v>686</v>
      </c>
      <c r="N256" s="779">
        <f t="shared" si="10"/>
        <v>91.466666666666669</v>
      </c>
      <c r="O256" s="300">
        <v>92</v>
      </c>
      <c r="P256" s="311" t="s">
        <v>467</v>
      </c>
      <c r="Q256" s="312"/>
    </row>
    <row r="257" spans="1:17" x14ac:dyDescent="0.2">
      <c r="A257" s="255" t="s">
        <v>351</v>
      </c>
      <c r="B257" s="255" t="s">
        <v>351</v>
      </c>
      <c r="C257" s="255">
        <v>2018</v>
      </c>
      <c r="D257" s="255" t="s">
        <v>389</v>
      </c>
      <c r="E257" s="255" t="s">
        <v>353</v>
      </c>
      <c r="F257" s="255" t="s">
        <v>76</v>
      </c>
      <c r="G257" s="255" t="s">
        <v>371</v>
      </c>
      <c r="H257" s="255" t="s">
        <v>20</v>
      </c>
      <c r="I257" s="255" t="s">
        <v>460</v>
      </c>
      <c r="J257" s="255">
        <v>750</v>
      </c>
      <c r="K257" s="255" t="s">
        <v>457</v>
      </c>
      <c r="L257" s="305"/>
      <c r="M257" s="299">
        <v>686</v>
      </c>
      <c r="N257" s="779">
        <f t="shared" si="10"/>
        <v>91.466666666666669</v>
      </c>
      <c r="O257" s="300">
        <v>92</v>
      </c>
      <c r="P257" s="311" t="s">
        <v>467</v>
      </c>
      <c r="Q257" s="312"/>
    </row>
    <row r="258" spans="1:17" x14ac:dyDescent="0.2">
      <c r="A258" s="255" t="s">
        <v>351</v>
      </c>
      <c r="B258" s="255" t="s">
        <v>351</v>
      </c>
      <c r="C258" s="255">
        <v>2018</v>
      </c>
      <c r="D258" s="255" t="s">
        <v>389</v>
      </c>
      <c r="E258" s="255" t="s">
        <v>353</v>
      </c>
      <c r="F258" s="255" t="s">
        <v>76</v>
      </c>
      <c r="G258" s="255" t="s">
        <v>371</v>
      </c>
      <c r="H258" s="255" t="s">
        <v>458</v>
      </c>
      <c r="I258" s="255" t="s">
        <v>460</v>
      </c>
      <c r="J258" s="255">
        <v>750</v>
      </c>
      <c r="K258" s="255" t="s">
        <v>457</v>
      </c>
      <c r="L258" s="305"/>
      <c r="M258" s="299">
        <v>686</v>
      </c>
      <c r="N258" s="779">
        <f t="shared" si="10"/>
        <v>91.466666666666669</v>
      </c>
      <c r="O258" s="300">
        <v>92</v>
      </c>
      <c r="P258" s="311" t="s">
        <v>467</v>
      </c>
      <c r="Q258" s="312"/>
    </row>
    <row r="259" spans="1:17" ht="25.5" x14ac:dyDescent="0.2">
      <c r="A259" s="255" t="s">
        <v>351</v>
      </c>
      <c r="B259" s="255" t="s">
        <v>351</v>
      </c>
      <c r="C259" s="255">
        <v>2018</v>
      </c>
      <c r="D259" s="255" t="s">
        <v>389</v>
      </c>
      <c r="E259" s="255" t="s">
        <v>353</v>
      </c>
      <c r="F259" s="255" t="s">
        <v>76</v>
      </c>
      <c r="G259" s="255" t="s">
        <v>371</v>
      </c>
      <c r="H259" s="255" t="s">
        <v>459</v>
      </c>
      <c r="I259" s="255" t="s">
        <v>460</v>
      </c>
      <c r="J259" s="255">
        <v>100</v>
      </c>
      <c r="K259" s="255" t="s">
        <v>457</v>
      </c>
      <c r="L259" s="305"/>
      <c r="M259" s="299">
        <v>686</v>
      </c>
      <c r="N259" s="779">
        <f t="shared" si="10"/>
        <v>686</v>
      </c>
      <c r="O259" s="300">
        <v>92</v>
      </c>
      <c r="P259" s="311" t="s">
        <v>467</v>
      </c>
      <c r="Q259" s="312" t="s">
        <v>1324</v>
      </c>
    </row>
    <row r="260" spans="1:17" ht="25.5" x14ac:dyDescent="0.2">
      <c r="A260" s="255" t="s">
        <v>351</v>
      </c>
      <c r="B260" s="255" t="s">
        <v>351</v>
      </c>
      <c r="C260" s="255">
        <v>2018</v>
      </c>
      <c r="D260" s="255" t="s">
        <v>390</v>
      </c>
      <c r="E260" s="255" t="s">
        <v>353</v>
      </c>
      <c r="F260" s="255" t="s">
        <v>76</v>
      </c>
      <c r="G260" s="255" t="s">
        <v>391</v>
      </c>
      <c r="H260" s="255" t="s">
        <v>42</v>
      </c>
      <c r="I260" s="255" t="s">
        <v>456</v>
      </c>
      <c r="J260" s="255">
        <v>5000</v>
      </c>
      <c r="K260" s="255" t="s">
        <v>457</v>
      </c>
      <c r="L260" s="305"/>
      <c r="M260" s="299">
        <v>9521</v>
      </c>
      <c r="N260" s="779">
        <f t="shared" si="10"/>
        <v>190.42</v>
      </c>
      <c r="O260" s="300">
        <v>587</v>
      </c>
      <c r="P260" s="311" t="s">
        <v>1322</v>
      </c>
      <c r="Q260" s="312" t="s">
        <v>1324</v>
      </c>
    </row>
    <row r="261" spans="1:17" ht="25.5" x14ac:dyDescent="0.2">
      <c r="A261" s="255" t="s">
        <v>351</v>
      </c>
      <c r="B261" s="255" t="s">
        <v>351</v>
      </c>
      <c r="C261" s="255">
        <v>2018</v>
      </c>
      <c r="D261" s="255" t="s">
        <v>390</v>
      </c>
      <c r="E261" s="255" t="s">
        <v>353</v>
      </c>
      <c r="F261" s="255" t="s">
        <v>76</v>
      </c>
      <c r="G261" s="255" t="s">
        <v>391</v>
      </c>
      <c r="H261" s="255" t="s">
        <v>19</v>
      </c>
      <c r="I261" s="255" t="s">
        <v>456</v>
      </c>
      <c r="J261" s="255">
        <v>250</v>
      </c>
      <c r="K261" s="255" t="s">
        <v>457</v>
      </c>
      <c r="L261" s="305"/>
      <c r="M261" s="299">
        <v>740</v>
      </c>
      <c r="N261" s="779">
        <f t="shared" si="10"/>
        <v>296</v>
      </c>
      <c r="O261" s="300">
        <v>67</v>
      </c>
      <c r="P261" s="311" t="s">
        <v>1338</v>
      </c>
      <c r="Q261" s="312" t="s">
        <v>1324</v>
      </c>
    </row>
    <row r="262" spans="1:17" ht="25.5" x14ac:dyDescent="0.2">
      <c r="A262" s="255" t="s">
        <v>351</v>
      </c>
      <c r="B262" s="255" t="s">
        <v>351</v>
      </c>
      <c r="C262" s="255">
        <v>2018</v>
      </c>
      <c r="D262" s="255" t="s">
        <v>390</v>
      </c>
      <c r="E262" s="255" t="s">
        <v>353</v>
      </c>
      <c r="F262" s="255" t="s">
        <v>76</v>
      </c>
      <c r="G262" s="255" t="s">
        <v>391</v>
      </c>
      <c r="H262" s="255" t="s">
        <v>20</v>
      </c>
      <c r="I262" s="255" t="s">
        <v>456</v>
      </c>
      <c r="J262" s="255">
        <v>250</v>
      </c>
      <c r="K262" s="255" t="s">
        <v>457</v>
      </c>
      <c r="L262" s="305"/>
      <c r="M262" s="299">
        <v>740</v>
      </c>
      <c r="N262" s="779">
        <f t="shared" si="10"/>
        <v>296</v>
      </c>
      <c r="O262" s="300">
        <v>67</v>
      </c>
      <c r="P262" s="311" t="s">
        <v>1338</v>
      </c>
      <c r="Q262" s="312" t="s">
        <v>1324</v>
      </c>
    </row>
    <row r="263" spans="1:17" ht="25.5" x14ac:dyDescent="0.2">
      <c r="A263" s="255" t="s">
        <v>351</v>
      </c>
      <c r="B263" s="255" t="s">
        <v>351</v>
      </c>
      <c r="C263" s="255">
        <v>2018</v>
      </c>
      <c r="D263" s="255" t="s">
        <v>390</v>
      </c>
      <c r="E263" s="255" t="s">
        <v>353</v>
      </c>
      <c r="F263" s="255" t="s">
        <v>76</v>
      </c>
      <c r="G263" s="255" t="s">
        <v>391</v>
      </c>
      <c r="H263" s="255" t="s">
        <v>458</v>
      </c>
      <c r="I263" s="255" t="s">
        <v>456</v>
      </c>
      <c r="J263" s="255">
        <v>100</v>
      </c>
      <c r="K263" s="255" t="s">
        <v>457</v>
      </c>
      <c r="L263" s="305"/>
      <c r="M263" s="299">
        <v>637</v>
      </c>
      <c r="N263" s="779">
        <f t="shared" si="10"/>
        <v>637</v>
      </c>
      <c r="O263" s="300">
        <v>55</v>
      </c>
      <c r="P263" s="311" t="s">
        <v>1338</v>
      </c>
      <c r="Q263" s="312" t="s">
        <v>1324</v>
      </c>
    </row>
    <row r="264" spans="1:17" ht="38.25" x14ac:dyDescent="0.2">
      <c r="A264" s="255" t="s">
        <v>351</v>
      </c>
      <c r="B264" s="255" t="s">
        <v>351</v>
      </c>
      <c r="C264" s="255">
        <v>2018</v>
      </c>
      <c r="D264" s="255" t="s">
        <v>390</v>
      </c>
      <c r="E264" s="255" t="s">
        <v>353</v>
      </c>
      <c r="F264" s="255" t="s">
        <v>76</v>
      </c>
      <c r="G264" s="255" t="s">
        <v>391</v>
      </c>
      <c r="H264" s="255" t="s">
        <v>459</v>
      </c>
      <c r="I264" s="255" t="s">
        <v>456</v>
      </c>
      <c r="J264" s="255">
        <v>100</v>
      </c>
      <c r="K264" s="255" t="s">
        <v>457</v>
      </c>
      <c r="L264" s="305"/>
      <c r="M264" s="299">
        <v>0</v>
      </c>
      <c r="N264" s="779">
        <f t="shared" si="10"/>
        <v>0</v>
      </c>
      <c r="O264" s="300">
        <v>0</v>
      </c>
      <c r="P264" s="311" t="s">
        <v>1338</v>
      </c>
      <c r="Q264" s="312" t="s">
        <v>1744</v>
      </c>
    </row>
    <row r="265" spans="1:17" ht="25.5" x14ac:dyDescent="0.2">
      <c r="A265" s="255" t="s">
        <v>351</v>
      </c>
      <c r="B265" s="255" t="s">
        <v>351</v>
      </c>
      <c r="C265" s="255">
        <v>2018</v>
      </c>
      <c r="D265" s="255" t="s">
        <v>390</v>
      </c>
      <c r="E265" s="255" t="s">
        <v>353</v>
      </c>
      <c r="F265" s="255" t="s">
        <v>76</v>
      </c>
      <c r="G265" s="255" t="s">
        <v>391</v>
      </c>
      <c r="H265" s="255" t="s">
        <v>42</v>
      </c>
      <c r="I265" s="255" t="s">
        <v>460</v>
      </c>
      <c r="J265" s="255">
        <v>5000</v>
      </c>
      <c r="K265" s="255" t="s">
        <v>457</v>
      </c>
      <c r="L265" s="305"/>
      <c r="M265" s="299">
        <v>12757</v>
      </c>
      <c r="N265" s="779">
        <f t="shared" si="10"/>
        <v>255.14</v>
      </c>
      <c r="O265" s="300">
        <v>274</v>
      </c>
      <c r="P265" s="311" t="s">
        <v>467</v>
      </c>
      <c r="Q265" s="312" t="s">
        <v>1324</v>
      </c>
    </row>
    <row r="266" spans="1:17" ht="25.5" x14ac:dyDescent="0.2">
      <c r="A266" s="255" t="s">
        <v>351</v>
      </c>
      <c r="B266" s="255" t="s">
        <v>351</v>
      </c>
      <c r="C266" s="255">
        <v>2018</v>
      </c>
      <c r="D266" s="255" t="s">
        <v>390</v>
      </c>
      <c r="E266" s="255" t="s">
        <v>353</v>
      </c>
      <c r="F266" s="255" t="s">
        <v>76</v>
      </c>
      <c r="G266" s="255" t="s">
        <v>391</v>
      </c>
      <c r="H266" s="255" t="s">
        <v>19</v>
      </c>
      <c r="I266" s="255" t="s">
        <v>460</v>
      </c>
      <c r="J266" s="255">
        <v>250</v>
      </c>
      <c r="K266" s="255" t="s">
        <v>457</v>
      </c>
      <c r="L266" s="305"/>
      <c r="M266" s="299">
        <v>3141</v>
      </c>
      <c r="N266" s="779">
        <f t="shared" si="10"/>
        <v>1256.4000000000001</v>
      </c>
      <c r="O266" s="300">
        <v>240</v>
      </c>
      <c r="P266" s="311" t="s">
        <v>467</v>
      </c>
      <c r="Q266" s="312" t="s">
        <v>1324</v>
      </c>
    </row>
    <row r="267" spans="1:17" ht="25.5" x14ac:dyDescent="0.2">
      <c r="A267" s="255" t="s">
        <v>351</v>
      </c>
      <c r="B267" s="255" t="s">
        <v>351</v>
      </c>
      <c r="C267" s="255">
        <v>2018</v>
      </c>
      <c r="D267" s="255" t="s">
        <v>390</v>
      </c>
      <c r="E267" s="255" t="s">
        <v>353</v>
      </c>
      <c r="F267" s="255" t="s">
        <v>76</v>
      </c>
      <c r="G267" s="255" t="s">
        <v>391</v>
      </c>
      <c r="H267" s="255" t="s">
        <v>20</v>
      </c>
      <c r="I267" s="255" t="s">
        <v>460</v>
      </c>
      <c r="J267" s="255">
        <v>250</v>
      </c>
      <c r="K267" s="255" t="s">
        <v>457</v>
      </c>
      <c r="L267" s="305"/>
      <c r="M267" s="299">
        <v>3141</v>
      </c>
      <c r="N267" s="779">
        <f t="shared" si="10"/>
        <v>1256.4000000000001</v>
      </c>
      <c r="O267" s="300">
        <v>240</v>
      </c>
      <c r="P267" s="311" t="s">
        <v>467</v>
      </c>
      <c r="Q267" s="312" t="s">
        <v>1324</v>
      </c>
    </row>
    <row r="268" spans="1:17" ht="25.5" x14ac:dyDescent="0.2">
      <c r="A268" s="255" t="s">
        <v>351</v>
      </c>
      <c r="B268" s="255" t="s">
        <v>351</v>
      </c>
      <c r="C268" s="255">
        <v>2018</v>
      </c>
      <c r="D268" s="255" t="s">
        <v>390</v>
      </c>
      <c r="E268" s="255" t="s">
        <v>353</v>
      </c>
      <c r="F268" s="255" t="s">
        <v>76</v>
      </c>
      <c r="G268" s="255" t="s">
        <v>391</v>
      </c>
      <c r="H268" s="255" t="s">
        <v>458</v>
      </c>
      <c r="I268" s="255" t="s">
        <v>460</v>
      </c>
      <c r="J268" s="255">
        <v>250</v>
      </c>
      <c r="K268" s="255" t="s">
        <v>457</v>
      </c>
      <c r="L268" s="305"/>
      <c r="M268" s="299">
        <v>3141</v>
      </c>
      <c r="N268" s="779">
        <f t="shared" si="10"/>
        <v>1256.4000000000001</v>
      </c>
      <c r="O268" s="300">
        <v>240</v>
      </c>
      <c r="P268" s="311" t="s">
        <v>467</v>
      </c>
      <c r="Q268" s="312" t="s">
        <v>1324</v>
      </c>
    </row>
    <row r="269" spans="1:17" ht="25.5" x14ac:dyDescent="0.2">
      <c r="A269" s="255" t="s">
        <v>351</v>
      </c>
      <c r="B269" s="255" t="s">
        <v>351</v>
      </c>
      <c r="C269" s="255">
        <v>2018</v>
      </c>
      <c r="D269" s="255" t="s">
        <v>390</v>
      </c>
      <c r="E269" s="255" t="s">
        <v>353</v>
      </c>
      <c r="F269" s="255" t="s">
        <v>76</v>
      </c>
      <c r="G269" s="255" t="s">
        <v>391</v>
      </c>
      <c r="H269" s="255" t="s">
        <v>459</v>
      </c>
      <c r="I269" s="255" t="s">
        <v>460</v>
      </c>
      <c r="J269" s="255">
        <v>250</v>
      </c>
      <c r="K269" s="255" t="s">
        <v>457</v>
      </c>
      <c r="L269" s="305"/>
      <c r="M269" s="299">
        <v>3141</v>
      </c>
      <c r="N269" s="779">
        <f t="shared" si="10"/>
        <v>1256.4000000000001</v>
      </c>
      <c r="O269" s="300">
        <v>240</v>
      </c>
      <c r="P269" s="311" t="s">
        <v>467</v>
      </c>
      <c r="Q269" s="312" t="s">
        <v>1324</v>
      </c>
    </row>
    <row r="270" spans="1:17" ht="25.5" x14ac:dyDescent="0.2">
      <c r="A270" s="255" t="s">
        <v>351</v>
      </c>
      <c r="B270" s="255" t="s">
        <v>351</v>
      </c>
      <c r="C270" s="255">
        <v>2018</v>
      </c>
      <c r="D270" s="255" t="s">
        <v>393</v>
      </c>
      <c r="E270" s="255" t="s">
        <v>353</v>
      </c>
      <c r="F270" s="255" t="s">
        <v>76</v>
      </c>
      <c r="G270" s="255" t="s">
        <v>394</v>
      </c>
      <c r="H270" s="255" t="s">
        <v>42</v>
      </c>
      <c r="I270" s="255" t="s">
        <v>456</v>
      </c>
      <c r="J270" s="255">
        <v>2500</v>
      </c>
      <c r="K270" s="255" t="s">
        <v>457</v>
      </c>
      <c r="L270" s="305"/>
      <c r="M270" s="299">
        <v>3488</v>
      </c>
      <c r="N270" s="779">
        <f t="shared" si="10"/>
        <v>139.52000000000001</v>
      </c>
      <c r="O270" s="300">
        <v>15</v>
      </c>
      <c r="P270" s="311" t="s">
        <v>1322</v>
      </c>
      <c r="Q270" s="312"/>
    </row>
    <row r="271" spans="1:17" x14ac:dyDescent="0.2">
      <c r="A271" s="255" t="s">
        <v>351</v>
      </c>
      <c r="B271" s="255" t="s">
        <v>351</v>
      </c>
      <c r="C271" s="255">
        <v>2018</v>
      </c>
      <c r="D271" s="255" t="s">
        <v>393</v>
      </c>
      <c r="E271" s="255" t="s">
        <v>353</v>
      </c>
      <c r="F271" s="255" t="s">
        <v>76</v>
      </c>
      <c r="G271" s="255" t="s">
        <v>394</v>
      </c>
      <c r="H271" s="255" t="s">
        <v>19</v>
      </c>
      <c r="I271" s="255" t="s">
        <v>456</v>
      </c>
      <c r="J271" s="255">
        <v>1000</v>
      </c>
      <c r="K271" s="255" t="s">
        <v>457</v>
      </c>
      <c r="L271" s="305"/>
      <c r="M271" s="299">
        <v>1500</v>
      </c>
      <c r="N271" s="779">
        <f t="shared" si="10"/>
        <v>150</v>
      </c>
      <c r="O271" s="300">
        <v>15</v>
      </c>
      <c r="P271" s="311" t="s">
        <v>1346</v>
      </c>
      <c r="Q271" s="312"/>
    </row>
    <row r="272" spans="1:17" x14ac:dyDescent="0.2">
      <c r="A272" s="255" t="s">
        <v>351</v>
      </c>
      <c r="B272" s="255" t="s">
        <v>351</v>
      </c>
      <c r="C272" s="255">
        <v>2018</v>
      </c>
      <c r="D272" s="255" t="s">
        <v>393</v>
      </c>
      <c r="E272" s="255" t="s">
        <v>353</v>
      </c>
      <c r="F272" s="255" t="s">
        <v>76</v>
      </c>
      <c r="G272" s="255" t="s">
        <v>394</v>
      </c>
      <c r="H272" s="255" t="s">
        <v>20</v>
      </c>
      <c r="I272" s="255" t="s">
        <v>456</v>
      </c>
      <c r="J272" s="255">
        <v>1000</v>
      </c>
      <c r="K272" s="255" t="s">
        <v>457</v>
      </c>
      <c r="L272" s="305"/>
      <c r="M272" s="299">
        <v>1500</v>
      </c>
      <c r="N272" s="779">
        <f t="shared" si="10"/>
        <v>150</v>
      </c>
      <c r="O272" s="300">
        <v>15</v>
      </c>
      <c r="P272" s="311" t="s">
        <v>1346</v>
      </c>
      <c r="Q272" s="312"/>
    </row>
    <row r="273" spans="1:17" ht="25.5" x14ac:dyDescent="0.2">
      <c r="A273" s="255" t="s">
        <v>351</v>
      </c>
      <c r="B273" s="255" t="s">
        <v>351</v>
      </c>
      <c r="C273" s="255">
        <v>2018</v>
      </c>
      <c r="D273" s="255" t="s">
        <v>393</v>
      </c>
      <c r="E273" s="255" t="s">
        <v>353</v>
      </c>
      <c r="F273" s="255" t="s">
        <v>76</v>
      </c>
      <c r="G273" s="255" t="s">
        <v>394</v>
      </c>
      <c r="H273" s="255" t="s">
        <v>458</v>
      </c>
      <c r="I273" s="255" t="s">
        <v>456</v>
      </c>
      <c r="J273" s="255">
        <v>250</v>
      </c>
      <c r="K273" s="255" t="s">
        <v>457</v>
      </c>
      <c r="L273" s="305"/>
      <c r="M273" s="299">
        <v>1500</v>
      </c>
      <c r="N273" s="779">
        <f t="shared" si="10"/>
        <v>600</v>
      </c>
      <c r="O273" s="300">
        <v>15</v>
      </c>
      <c r="P273" s="311" t="s">
        <v>1346</v>
      </c>
      <c r="Q273" s="312" t="s">
        <v>1324</v>
      </c>
    </row>
    <row r="274" spans="1:17" ht="25.5" x14ac:dyDescent="0.2">
      <c r="A274" s="255" t="s">
        <v>351</v>
      </c>
      <c r="B274" s="255" t="s">
        <v>351</v>
      </c>
      <c r="C274" s="255">
        <v>2018</v>
      </c>
      <c r="D274" s="255" t="s">
        <v>393</v>
      </c>
      <c r="E274" s="255" t="s">
        <v>353</v>
      </c>
      <c r="F274" s="255" t="s">
        <v>76</v>
      </c>
      <c r="G274" s="255" t="s">
        <v>394</v>
      </c>
      <c r="H274" s="255" t="s">
        <v>459</v>
      </c>
      <c r="I274" s="255" t="s">
        <v>456</v>
      </c>
      <c r="J274" s="255">
        <v>250</v>
      </c>
      <c r="K274" s="255" t="s">
        <v>457</v>
      </c>
      <c r="L274" s="305"/>
      <c r="M274" s="299">
        <v>1499</v>
      </c>
      <c r="N274" s="779">
        <f t="shared" si="10"/>
        <v>599.6</v>
      </c>
      <c r="O274" s="300">
        <v>15</v>
      </c>
      <c r="P274" s="311" t="s">
        <v>1346</v>
      </c>
      <c r="Q274" s="312" t="s">
        <v>1324</v>
      </c>
    </row>
    <row r="275" spans="1:17" ht="25.5" x14ac:dyDescent="0.2">
      <c r="A275" s="255" t="s">
        <v>351</v>
      </c>
      <c r="B275" s="255" t="s">
        <v>351</v>
      </c>
      <c r="C275" s="255">
        <v>2018</v>
      </c>
      <c r="D275" s="255" t="s">
        <v>393</v>
      </c>
      <c r="E275" s="255" t="s">
        <v>353</v>
      </c>
      <c r="F275" s="255" t="s">
        <v>76</v>
      </c>
      <c r="G275" s="255" t="s">
        <v>394</v>
      </c>
      <c r="H275" s="255" t="s">
        <v>42</v>
      </c>
      <c r="I275" s="255" t="s">
        <v>460</v>
      </c>
      <c r="J275" s="255">
        <v>5000</v>
      </c>
      <c r="K275" s="255" t="s">
        <v>457</v>
      </c>
      <c r="L275" s="305"/>
      <c r="M275" s="299">
        <v>8735</v>
      </c>
      <c r="N275" s="779">
        <f t="shared" si="10"/>
        <v>174.7</v>
      </c>
      <c r="O275" s="300">
        <v>112</v>
      </c>
      <c r="P275" s="311" t="s">
        <v>1322</v>
      </c>
      <c r="Q275" s="312" t="s">
        <v>1324</v>
      </c>
    </row>
    <row r="276" spans="1:17" ht="25.5" x14ac:dyDescent="0.2">
      <c r="A276" s="255" t="s">
        <v>351</v>
      </c>
      <c r="B276" s="255" t="s">
        <v>351</v>
      </c>
      <c r="C276" s="255">
        <v>2018</v>
      </c>
      <c r="D276" s="255" t="s">
        <v>393</v>
      </c>
      <c r="E276" s="255" t="s">
        <v>353</v>
      </c>
      <c r="F276" s="255" t="s">
        <v>76</v>
      </c>
      <c r="G276" s="255" t="s">
        <v>394</v>
      </c>
      <c r="H276" s="255" t="s">
        <v>19</v>
      </c>
      <c r="I276" s="255" t="s">
        <v>460</v>
      </c>
      <c r="J276" s="255">
        <v>500</v>
      </c>
      <c r="K276" s="255" t="s">
        <v>457</v>
      </c>
      <c r="L276" s="305"/>
      <c r="M276" s="299">
        <v>1189</v>
      </c>
      <c r="N276" s="779">
        <f t="shared" si="10"/>
        <v>237.8</v>
      </c>
      <c r="O276" s="300">
        <v>112</v>
      </c>
      <c r="P276" s="311" t="s">
        <v>1346</v>
      </c>
      <c r="Q276" s="312" t="s">
        <v>1324</v>
      </c>
    </row>
    <row r="277" spans="1:17" ht="25.5" x14ac:dyDescent="0.2">
      <c r="A277" s="255" t="s">
        <v>351</v>
      </c>
      <c r="B277" s="255" t="s">
        <v>351</v>
      </c>
      <c r="C277" s="255">
        <v>2018</v>
      </c>
      <c r="D277" s="255" t="s">
        <v>393</v>
      </c>
      <c r="E277" s="255" t="s">
        <v>353</v>
      </c>
      <c r="F277" s="255" t="s">
        <v>76</v>
      </c>
      <c r="G277" s="255" t="s">
        <v>394</v>
      </c>
      <c r="H277" s="255" t="s">
        <v>20</v>
      </c>
      <c r="I277" s="255" t="s">
        <v>460</v>
      </c>
      <c r="J277" s="255">
        <v>500</v>
      </c>
      <c r="K277" s="255" t="s">
        <v>457</v>
      </c>
      <c r="L277" s="305"/>
      <c r="M277" s="299">
        <v>1339</v>
      </c>
      <c r="N277" s="779">
        <f t="shared" si="10"/>
        <v>267.8</v>
      </c>
      <c r="O277" s="300">
        <v>112</v>
      </c>
      <c r="P277" s="311" t="s">
        <v>1346</v>
      </c>
      <c r="Q277" s="312" t="s">
        <v>1324</v>
      </c>
    </row>
    <row r="278" spans="1:17" ht="25.5" x14ac:dyDescent="0.2">
      <c r="A278" s="255" t="s">
        <v>351</v>
      </c>
      <c r="B278" s="255" t="s">
        <v>351</v>
      </c>
      <c r="C278" s="255">
        <v>2018</v>
      </c>
      <c r="D278" s="255" t="s">
        <v>393</v>
      </c>
      <c r="E278" s="255" t="s">
        <v>353</v>
      </c>
      <c r="F278" s="255" t="s">
        <v>76</v>
      </c>
      <c r="G278" s="255" t="s">
        <v>394</v>
      </c>
      <c r="H278" s="255" t="s">
        <v>458</v>
      </c>
      <c r="I278" s="255" t="s">
        <v>460</v>
      </c>
      <c r="J278" s="255">
        <v>500</v>
      </c>
      <c r="K278" s="255" t="s">
        <v>457</v>
      </c>
      <c r="L278" s="305"/>
      <c r="M278" s="299">
        <v>1189</v>
      </c>
      <c r="N278" s="779">
        <f t="shared" si="10"/>
        <v>237.8</v>
      </c>
      <c r="O278" s="300">
        <v>112</v>
      </c>
      <c r="P278" s="311" t="s">
        <v>1346</v>
      </c>
      <c r="Q278" s="312" t="s">
        <v>1324</v>
      </c>
    </row>
    <row r="279" spans="1:17" ht="25.5" x14ac:dyDescent="0.2">
      <c r="A279" s="255" t="s">
        <v>351</v>
      </c>
      <c r="B279" s="255" t="s">
        <v>351</v>
      </c>
      <c r="C279" s="255">
        <v>2018</v>
      </c>
      <c r="D279" s="255" t="s">
        <v>393</v>
      </c>
      <c r="E279" s="255" t="s">
        <v>353</v>
      </c>
      <c r="F279" s="255" t="s">
        <v>76</v>
      </c>
      <c r="G279" s="255" t="s">
        <v>394</v>
      </c>
      <c r="H279" s="255" t="s">
        <v>459</v>
      </c>
      <c r="I279" s="255" t="s">
        <v>460</v>
      </c>
      <c r="J279" s="255">
        <v>100</v>
      </c>
      <c r="K279" s="255" t="s">
        <v>457</v>
      </c>
      <c r="L279" s="305"/>
      <c r="M279" s="299">
        <v>1189</v>
      </c>
      <c r="N279" s="779">
        <f t="shared" si="10"/>
        <v>1189</v>
      </c>
      <c r="O279" s="300">
        <v>112</v>
      </c>
      <c r="P279" s="311" t="s">
        <v>1346</v>
      </c>
      <c r="Q279" s="312" t="s">
        <v>1324</v>
      </c>
    </row>
    <row r="280" spans="1:17" ht="25.5" x14ac:dyDescent="0.2">
      <c r="A280" s="255" t="s">
        <v>351</v>
      </c>
      <c r="B280" s="255" t="s">
        <v>351</v>
      </c>
      <c r="C280" s="255">
        <v>2018</v>
      </c>
      <c r="D280" s="255" t="s">
        <v>395</v>
      </c>
      <c r="E280" s="255" t="s">
        <v>353</v>
      </c>
      <c r="F280" s="255" t="s">
        <v>76</v>
      </c>
      <c r="G280" s="255" t="s">
        <v>396</v>
      </c>
      <c r="H280" s="255" t="s">
        <v>42</v>
      </c>
      <c r="I280" s="255" t="s">
        <v>456</v>
      </c>
      <c r="J280" s="255">
        <v>80000</v>
      </c>
      <c r="K280" s="255" t="s">
        <v>457</v>
      </c>
      <c r="L280" s="305"/>
      <c r="M280" s="299">
        <v>88704</v>
      </c>
      <c r="N280" s="779">
        <f t="shared" si="10"/>
        <v>110.88</v>
      </c>
      <c r="O280" s="300">
        <v>245</v>
      </c>
      <c r="P280" s="311" t="s">
        <v>1322</v>
      </c>
      <c r="Q280" s="312"/>
    </row>
    <row r="281" spans="1:17" x14ac:dyDescent="0.2">
      <c r="A281" s="255" t="s">
        <v>351</v>
      </c>
      <c r="B281" s="255" t="s">
        <v>351</v>
      </c>
      <c r="C281" s="255">
        <v>2018</v>
      </c>
      <c r="D281" s="255" t="s">
        <v>395</v>
      </c>
      <c r="E281" s="255" t="s">
        <v>353</v>
      </c>
      <c r="F281" s="255" t="s">
        <v>76</v>
      </c>
      <c r="G281" s="255" t="s">
        <v>396</v>
      </c>
      <c r="H281" s="255" t="s">
        <v>19</v>
      </c>
      <c r="I281" s="255" t="s">
        <v>456</v>
      </c>
      <c r="J281" s="255">
        <v>0</v>
      </c>
      <c r="K281" s="255" t="s">
        <v>457</v>
      </c>
      <c r="L281" s="305" t="s">
        <v>462</v>
      </c>
      <c r="M281" s="299">
        <v>0</v>
      </c>
      <c r="N281" s="300" t="s">
        <v>1153</v>
      </c>
      <c r="O281" s="300">
        <v>0</v>
      </c>
      <c r="P281" s="311" t="s">
        <v>1325</v>
      </c>
      <c r="Q281" s="312"/>
    </row>
    <row r="282" spans="1:17" x14ac:dyDescent="0.2">
      <c r="A282" s="255" t="s">
        <v>351</v>
      </c>
      <c r="B282" s="255" t="s">
        <v>351</v>
      </c>
      <c r="C282" s="255">
        <v>2018</v>
      </c>
      <c r="D282" s="255" t="s">
        <v>395</v>
      </c>
      <c r="E282" s="255" t="s">
        <v>353</v>
      </c>
      <c r="F282" s="255" t="s">
        <v>76</v>
      </c>
      <c r="G282" s="255" t="s">
        <v>396</v>
      </c>
      <c r="H282" s="255" t="s">
        <v>20</v>
      </c>
      <c r="I282" s="255" t="s">
        <v>456</v>
      </c>
      <c r="J282" s="255">
        <v>0</v>
      </c>
      <c r="K282" s="255" t="s">
        <v>457</v>
      </c>
      <c r="L282" s="305" t="s">
        <v>466</v>
      </c>
      <c r="M282" s="299">
        <v>0</v>
      </c>
      <c r="N282" s="300" t="s">
        <v>1153</v>
      </c>
      <c r="O282" s="300">
        <v>0</v>
      </c>
      <c r="P282" s="311" t="s">
        <v>1325</v>
      </c>
      <c r="Q282" s="312"/>
    </row>
    <row r="283" spans="1:17" ht="25.5" x14ac:dyDescent="0.2">
      <c r="A283" s="255" t="s">
        <v>351</v>
      </c>
      <c r="B283" s="255" t="s">
        <v>351</v>
      </c>
      <c r="C283" s="255">
        <v>2018</v>
      </c>
      <c r="D283" s="255" t="s">
        <v>395</v>
      </c>
      <c r="E283" s="255" t="s">
        <v>353</v>
      </c>
      <c r="F283" s="255" t="s">
        <v>76</v>
      </c>
      <c r="G283" s="255" t="s">
        <v>396</v>
      </c>
      <c r="H283" s="255" t="s">
        <v>458</v>
      </c>
      <c r="I283" s="255" t="s">
        <v>456</v>
      </c>
      <c r="J283" s="255">
        <v>80000</v>
      </c>
      <c r="K283" s="255" t="s">
        <v>457</v>
      </c>
      <c r="L283" s="305"/>
      <c r="M283" s="299">
        <v>88704</v>
      </c>
      <c r="N283" s="779">
        <f t="shared" ref="N283:N285" si="11">(100*M283/J283)</f>
        <v>110.88</v>
      </c>
      <c r="O283" s="300">
        <v>245</v>
      </c>
      <c r="P283" s="311" t="s">
        <v>1322</v>
      </c>
      <c r="Q283" s="312"/>
    </row>
    <row r="284" spans="1:17" ht="25.5" x14ac:dyDescent="0.2">
      <c r="A284" s="255" t="s">
        <v>351</v>
      </c>
      <c r="B284" s="255" t="s">
        <v>351</v>
      </c>
      <c r="C284" s="255">
        <v>2018</v>
      </c>
      <c r="D284" s="255" t="s">
        <v>395</v>
      </c>
      <c r="E284" s="255" t="s">
        <v>353</v>
      </c>
      <c r="F284" s="255" t="s">
        <v>76</v>
      </c>
      <c r="G284" s="255" t="s">
        <v>396</v>
      </c>
      <c r="H284" s="255" t="s">
        <v>459</v>
      </c>
      <c r="I284" s="255" t="s">
        <v>456</v>
      </c>
      <c r="J284" s="255">
        <v>20000</v>
      </c>
      <c r="K284" s="255" t="s">
        <v>457</v>
      </c>
      <c r="L284" s="305"/>
      <c r="M284" s="299">
        <v>28473</v>
      </c>
      <c r="N284" s="779">
        <f t="shared" si="11"/>
        <v>142.36500000000001</v>
      </c>
      <c r="O284" s="300">
        <v>245</v>
      </c>
      <c r="P284" s="311" t="s">
        <v>1322</v>
      </c>
      <c r="Q284" s="312"/>
    </row>
    <row r="285" spans="1:17" ht="25.5" x14ac:dyDescent="0.2">
      <c r="A285" s="255" t="s">
        <v>351</v>
      </c>
      <c r="B285" s="255" t="s">
        <v>351</v>
      </c>
      <c r="C285" s="255">
        <v>2018</v>
      </c>
      <c r="D285" s="255" t="s">
        <v>395</v>
      </c>
      <c r="E285" s="255" t="s">
        <v>353</v>
      </c>
      <c r="F285" s="255" t="s">
        <v>76</v>
      </c>
      <c r="G285" s="255" t="s">
        <v>396</v>
      </c>
      <c r="H285" s="255" t="s">
        <v>42</v>
      </c>
      <c r="I285" s="255" t="s">
        <v>460</v>
      </c>
      <c r="J285" s="255">
        <v>1000</v>
      </c>
      <c r="K285" s="255" t="s">
        <v>457</v>
      </c>
      <c r="L285" s="305"/>
      <c r="M285" s="299">
        <v>7129</v>
      </c>
      <c r="N285" s="779">
        <f t="shared" si="11"/>
        <v>712.9</v>
      </c>
      <c r="O285" s="300">
        <v>82</v>
      </c>
      <c r="P285" s="311" t="s">
        <v>1347</v>
      </c>
      <c r="Q285" s="312" t="s">
        <v>1324</v>
      </c>
    </row>
    <row r="286" spans="1:17" x14ac:dyDescent="0.2">
      <c r="A286" s="255" t="s">
        <v>351</v>
      </c>
      <c r="B286" s="255" t="s">
        <v>351</v>
      </c>
      <c r="C286" s="255">
        <v>2018</v>
      </c>
      <c r="D286" s="255" t="s">
        <v>395</v>
      </c>
      <c r="E286" s="255" t="s">
        <v>353</v>
      </c>
      <c r="F286" s="255" t="s">
        <v>76</v>
      </c>
      <c r="G286" s="255" t="s">
        <v>396</v>
      </c>
      <c r="H286" s="255" t="s">
        <v>19</v>
      </c>
      <c r="I286" s="255" t="s">
        <v>460</v>
      </c>
      <c r="J286" s="255">
        <v>0</v>
      </c>
      <c r="K286" s="255" t="s">
        <v>457</v>
      </c>
      <c r="L286" s="305" t="s">
        <v>462</v>
      </c>
      <c r="M286" s="299">
        <v>0</v>
      </c>
      <c r="N286" s="300" t="s">
        <v>1153</v>
      </c>
      <c r="O286" s="300">
        <v>0</v>
      </c>
      <c r="P286" s="311" t="s">
        <v>1325</v>
      </c>
      <c r="Q286" s="312"/>
    </row>
    <row r="287" spans="1:17" ht="25.5" x14ac:dyDescent="0.2">
      <c r="A287" s="255" t="s">
        <v>351</v>
      </c>
      <c r="B287" s="255" t="s">
        <v>351</v>
      </c>
      <c r="C287" s="255">
        <v>2018</v>
      </c>
      <c r="D287" s="255" t="s">
        <v>395</v>
      </c>
      <c r="E287" s="255" t="s">
        <v>353</v>
      </c>
      <c r="F287" s="255" t="s">
        <v>76</v>
      </c>
      <c r="G287" s="255" t="s">
        <v>396</v>
      </c>
      <c r="H287" s="255" t="s">
        <v>20</v>
      </c>
      <c r="I287" s="255" t="s">
        <v>460</v>
      </c>
      <c r="J287" s="255">
        <v>500</v>
      </c>
      <c r="K287" s="255" t="s">
        <v>457</v>
      </c>
      <c r="L287" s="305"/>
      <c r="M287" s="299">
        <v>3991</v>
      </c>
      <c r="N287" s="779">
        <f t="shared" ref="N287:N294" si="12">(100*M287/J287)</f>
        <v>798.2</v>
      </c>
      <c r="O287" s="300">
        <v>82</v>
      </c>
      <c r="P287" s="311" t="s">
        <v>1347</v>
      </c>
      <c r="Q287" s="312" t="s">
        <v>1324</v>
      </c>
    </row>
    <row r="288" spans="1:17" ht="25.5" x14ac:dyDescent="0.2">
      <c r="A288" s="255" t="s">
        <v>351</v>
      </c>
      <c r="B288" s="255" t="s">
        <v>351</v>
      </c>
      <c r="C288" s="255">
        <v>2018</v>
      </c>
      <c r="D288" s="255" t="s">
        <v>395</v>
      </c>
      <c r="E288" s="255" t="s">
        <v>353</v>
      </c>
      <c r="F288" s="255" t="s">
        <v>76</v>
      </c>
      <c r="G288" s="255" t="s">
        <v>396</v>
      </c>
      <c r="H288" s="255" t="s">
        <v>458</v>
      </c>
      <c r="I288" s="255" t="s">
        <v>460</v>
      </c>
      <c r="J288" s="255">
        <v>1000</v>
      </c>
      <c r="K288" s="255" t="s">
        <v>457</v>
      </c>
      <c r="L288" s="305"/>
      <c r="M288" s="299">
        <v>7129</v>
      </c>
      <c r="N288" s="779">
        <f t="shared" si="12"/>
        <v>712.9</v>
      </c>
      <c r="O288" s="300">
        <v>82</v>
      </c>
      <c r="P288" s="311" t="s">
        <v>1347</v>
      </c>
      <c r="Q288" s="312" t="s">
        <v>1324</v>
      </c>
    </row>
    <row r="289" spans="1:17" ht="25.5" x14ac:dyDescent="0.2">
      <c r="A289" s="255" t="s">
        <v>351</v>
      </c>
      <c r="B289" s="255" t="s">
        <v>351</v>
      </c>
      <c r="C289" s="255">
        <v>2018</v>
      </c>
      <c r="D289" s="255" t="s">
        <v>395</v>
      </c>
      <c r="E289" s="255" t="s">
        <v>353</v>
      </c>
      <c r="F289" s="255" t="s">
        <v>76</v>
      </c>
      <c r="G289" s="255" t="s">
        <v>396</v>
      </c>
      <c r="H289" s="255" t="s">
        <v>459</v>
      </c>
      <c r="I289" s="255" t="s">
        <v>460</v>
      </c>
      <c r="J289" s="255">
        <v>300</v>
      </c>
      <c r="K289" s="255" t="s">
        <v>457</v>
      </c>
      <c r="L289" s="305"/>
      <c r="M289" s="299">
        <v>2190</v>
      </c>
      <c r="N289" s="779">
        <f t="shared" si="12"/>
        <v>730</v>
      </c>
      <c r="O289" s="300">
        <v>82</v>
      </c>
      <c r="P289" s="311" t="s">
        <v>1347</v>
      </c>
      <c r="Q289" s="312" t="s">
        <v>1324</v>
      </c>
    </row>
    <row r="290" spans="1:17" ht="25.5" x14ac:dyDescent="0.2">
      <c r="A290" s="255" t="s">
        <v>351</v>
      </c>
      <c r="B290" s="255" t="s">
        <v>351</v>
      </c>
      <c r="C290" s="255">
        <v>2018</v>
      </c>
      <c r="D290" s="255" t="s">
        <v>398</v>
      </c>
      <c r="E290" s="255" t="s">
        <v>353</v>
      </c>
      <c r="F290" s="255" t="s">
        <v>76</v>
      </c>
      <c r="G290" s="255" t="s">
        <v>367</v>
      </c>
      <c r="H290" s="255" t="s">
        <v>42</v>
      </c>
      <c r="I290" s="255" t="s">
        <v>456</v>
      </c>
      <c r="J290" s="255">
        <v>2000</v>
      </c>
      <c r="K290" s="255" t="s">
        <v>457</v>
      </c>
      <c r="L290" s="305"/>
      <c r="M290" s="299">
        <v>3079</v>
      </c>
      <c r="N290" s="779">
        <f t="shared" si="12"/>
        <v>153.94999999999999</v>
      </c>
      <c r="O290" s="300">
        <v>78</v>
      </c>
      <c r="P290" s="311" t="s">
        <v>1322</v>
      </c>
      <c r="Q290" s="312" t="s">
        <v>1324</v>
      </c>
    </row>
    <row r="291" spans="1:17" ht="25.5" x14ac:dyDescent="0.2">
      <c r="A291" s="255" t="s">
        <v>351</v>
      </c>
      <c r="B291" s="255" t="s">
        <v>351</v>
      </c>
      <c r="C291" s="255">
        <v>2018</v>
      </c>
      <c r="D291" s="255" t="s">
        <v>398</v>
      </c>
      <c r="E291" s="255" t="s">
        <v>353</v>
      </c>
      <c r="F291" s="255" t="s">
        <v>76</v>
      </c>
      <c r="G291" s="255" t="s">
        <v>367</v>
      </c>
      <c r="H291" s="255" t="s">
        <v>19</v>
      </c>
      <c r="I291" s="255" t="s">
        <v>456</v>
      </c>
      <c r="J291" s="255">
        <v>250</v>
      </c>
      <c r="K291" s="255" t="s">
        <v>457</v>
      </c>
      <c r="L291" s="305"/>
      <c r="M291" s="299">
        <v>415</v>
      </c>
      <c r="N291" s="779">
        <f t="shared" si="12"/>
        <v>166</v>
      </c>
      <c r="O291" s="300">
        <v>20</v>
      </c>
      <c r="P291" s="311" t="s">
        <v>1338</v>
      </c>
      <c r="Q291" s="312" t="s">
        <v>1324</v>
      </c>
    </row>
    <row r="292" spans="1:17" ht="25.5" x14ac:dyDescent="0.2">
      <c r="A292" s="255" t="s">
        <v>351</v>
      </c>
      <c r="B292" s="255" t="s">
        <v>351</v>
      </c>
      <c r="C292" s="255">
        <v>2018</v>
      </c>
      <c r="D292" s="255" t="s">
        <v>398</v>
      </c>
      <c r="E292" s="255" t="s">
        <v>353</v>
      </c>
      <c r="F292" s="255" t="s">
        <v>76</v>
      </c>
      <c r="G292" s="255" t="s">
        <v>367</v>
      </c>
      <c r="H292" s="255" t="s">
        <v>20</v>
      </c>
      <c r="I292" s="255" t="s">
        <v>456</v>
      </c>
      <c r="J292" s="255">
        <v>250</v>
      </c>
      <c r="K292" s="255" t="s">
        <v>457</v>
      </c>
      <c r="L292" s="305"/>
      <c r="M292" s="299">
        <v>415</v>
      </c>
      <c r="N292" s="779">
        <f t="shared" si="12"/>
        <v>166</v>
      </c>
      <c r="O292" s="300">
        <v>20</v>
      </c>
      <c r="P292" s="311" t="s">
        <v>1338</v>
      </c>
      <c r="Q292" s="312" t="s">
        <v>1324</v>
      </c>
    </row>
    <row r="293" spans="1:17" ht="25.5" x14ac:dyDescent="0.2">
      <c r="A293" s="255" t="s">
        <v>351</v>
      </c>
      <c r="B293" s="255" t="s">
        <v>351</v>
      </c>
      <c r="C293" s="255">
        <v>2018</v>
      </c>
      <c r="D293" s="255" t="s">
        <v>398</v>
      </c>
      <c r="E293" s="255" t="s">
        <v>353</v>
      </c>
      <c r="F293" s="255" t="s">
        <v>76</v>
      </c>
      <c r="G293" s="255" t="s">
        <v>367</v>
      </c>
      <c r="H293" s="255" t="s">
        <v>458</v>
      </c>
      <c r="I293" s="255" t="s">
        <v>456</v>
      </c>
      <c r="J293" s="255">
        <v>100</v>
      </c>
      <c r="K293" s="255" t="s">
        <v>457</v>
      </c>
      <c r="L293" s="305"/>
      <c r="M293" s="299">
        <v>330</v>
      </c>
      <c r="N293" s="779">
        <f t="shared" si="12"/>
        <v>330</v>
      </c>
      <c r="O293" s="300">
        <v>16</v>
      </c>
      <c r="P293" s="311" t="s">
        <v>1338</v>
      </c>
      <c r="Q293" s="312" t="s">
        <v>1324</v>
      </c>
    </row>
    <row r="294" spans="1:17" ht="38.25" x14ac:dyDescent="0.2">
      <c r="A294" s="255" t="s">
        <v>351</v>
      </c>
      <c r="B294" s="255" t="s">
        <v>351</v>
      </c>
      <c r="C294" s="255">
        <v>2018</v>
      </c>
      <c r="D294" s="255" t="s">
        <v>398</v>
      </c>
      <c r="E294" s="255" t="s">
        <v>353</v>
      </c>
      <c r="F294" s="255" t="s">
        <v>76</v>
      </c>
      <c r="G294" s="255" t="s">
        <v>367</v>
      </c>
      <c r="H294" s="255" t="s">
        <v>459</v>
      </c>
      <c r="I294" s="255" t="s">
        <v>456</v>
      </c>
      <c r="J294" s="255">
        <v>100</v>
      </c>
      <c r="K294" s="255" t="s">
        <v>457</v>
      </c>
      <c r="L294" s="305"/>
      <c r="M294" s="299">
        <v>1</v>
      </c>
      <c r="N294" s="779">
        <f t="shared" si="12"/>
        <v>1</v>
      </c>
      <c r="O294" s="300">
        <v>1</v>
      </c>
      <c r="P294" s="311" t="s">
        <v>1338</v>
      </c>
      <c r="Q294" s="312" t="s">
        <v>1744</v>
      </c>
    </row>
    <row r="295" spans="1:17" x14ac:dyDescent="0.2">
      <c r="A295" s="255" t="s">
        <v>351</v>
      </c>
      <c r="B295" s="255" t="s">
        <v>351</v>
      </c>
      <c r="C295" s="255">
        <v>2018</v>
      </c>
      <c r="D295" s="255" t="s">
        <v>398</v>
      </c>
      <c r="E295" s="255" t="s">
        <v>353</v>
      </c>
      <c r="F295" s="255" t="s">
        <v>76</v>
      </c>
      <c r="G295" s="255" t="s">
        <v>367</v>
      </c>
      <c r="H295" s="255" t="s">
        <v>42</v>
      </c>
      <c r="I295" s="255" t="s">
        <v>460</v>
      </c>
      <c r="J295" s="255">
        <v>0</v>
      </c>
      <c r="K295" s="255" t="s">
        <v>457</v>
      </c>
      <c r="L295" s="305" t="s">
        <v>463</v>
      </c>
      <c r="M295" s="299">
        <v>144</v>
      </c>
      <c r="N295" s="300" t="s">
        <v>1153</v>
      </c>
      <c r="O295" s="300">
        <v>2</v>
      </c>
      <c r="P295" s="311" t="s">
        <v>1325</v>
      </c>
      <c r="Q295" s="312"/>
    </row>
    <row r="296" spans="1:17" x14ac:dyDescent="0.2">
      <c r="A296" s="255" t="s">
        <v>351</v>
      </c>
      <c r="B296" s="255" t="s">
        <v>351</v>
      </c>
      <c r="C296" s="255">
        <v>2018</v>
      </c>
      <c r="D296" s="255" t="s">
        <v>398</v>
      </c>
      <c r="E296" s="255" t="s">
        <v>353</v>
      </c>
      <c r="F296" s="255" t="s">
        <v>76</v>
      </c>
      <c r="G296" s="255" t="s">
        <v>367</v>
      </c>
      <c r="H296" s="255" t="s">
        <v>19</v>
      </c>
      <c r="I296" s="255" t="s">
        <v>460</v>
      </c>
      <c r="J296" s="255">
        <v>0</v>
      </c>
      <c r="K296" s="255" t="s">
        <v>457</v>
      </c>
      <c r="L296" s="305" t="s">
        <v>463</v>
      </c>
      <c r="M296" s="299">
        <v>35</v>
      </c>
      <c r="N296" s="300" t="s">
        <v>1153</v>
      </c>
      <c r="O296" s="300">
        <v>2</v>
      </c>
      <c r="P296" s="311" t="s">
        <v>1325</v>
      </c>
      <c r="Q296" s="312"/>
    </row>
    <row r="297" spans="1:17" x14ac:dyDescent="0.2">
      <c r="A297" s="255" t="s">
        <v>351</v>
      </c>
      <c r="B297" s="255" t="s">
        <v>351</v>
      </c>
      <c r="C297" s="255">
        <v>2018</v>
      </c>
      <c r="D297" s="255" t="s">
        <v>398</v>
      </c>
      <c r="E297" s="255" t="s">
        <v>353</v>
      </c>
      <c r="F297" s="255" t="s">
        <v>76</v>
      </c>
      <c r="G297" s="255" t="s">
        <v>367</v>
      </c>
      <c r="H297" s="255" t="s">
        <v>20</v>
      </c>
      <c r="I297" s="255" t="s">
        <v>460</v>
      </c>
      <c r="J297" s="255">
        <v>0</v>
      </c>
      <c r="K297" s="255" t="s">
        <v>457</v>
      </c>
      <c r="L297" s="305" t="s">
        <v>463</v>
      </c>
      <c r="M297" s="299">
        <v>35</v>
      </c>
      <c r="N297" s="300" t="s">
        <v>1153</v>
      </c>
      <c r="O297" s="300">
        <v>2</v>
      </c>
      <c r="P297" s="311" t="s">
        <v>1325</v>
      </c>
      <c r="Q297" s="312"/>
    </row>
    <row r="298" spans="1:17" x14ac:dyDescent="0.2">
      <c r="A298" s="255" t="s">
        <v>351</v>
      </c>
      <c r="B298" s="255" t="s">
        <v>351</v>
      </c>
      <c r="C298" s="255">
        <v>2018</v>
      </c>
      <c r="D298" s="255" t="s">
        <v>398</v>
      </c>
      <c r="E298" s="255" t="s">
        <v>353</v>
      </c>
      <c r="F298" s="255" t="s">
        <v>76</v>
      </c>
      <c r="G298" s="255" t="s">
        <v>367</v>
      </c>
      <c r="H298" s="255" t="s">
        <v>458</v>
      </c>
      <c r="I298" s="255" t="s">
        <v>460</v>
      </c>
      <c r="J298" s="255">
        <v>0</v>
      </c>
      <c r="K298" s="255" t="s">
        <v>457</v>
      </c>
      <c r="L298" s="305" t="s">
        <v>463</v>
      </c>
      <c r="M298" s="299">
        <v>35</v>
      </c>
      <c r="N298" s="300" t="s">
        <v>1153</v>
      </c>
      <c r="O298" s="300">
        <v>2</v>
      </c>
      <c r="P298" s="311" t="s">
        <v>1325</v>
      </c>
      <c r="Q298" s="312"/>
    </row>
    <row r="299" spans="1:17" x14ac:dyDescent="0.2">
      <c r="A299" s="255" t="s">
        <v>351</v>
      </c>
      <c r="B299" s="255" t="s">
        <v>351</v>
      </c>
      <c r="C299" s="255">
        <v>2018</v>
      </c>
      <c r="D299" s="255" t="s">
        <v>398</v>
      </c>
      <c r="E299" s="255" t="s">
        <v>353</v>
      </c>
      <c r="F299" s="255" t="s">
        <v>76</v>
      </c>
      <c r="G299" s="255" t="s">
        <v>367</v>
      </c>
      <c r="H299" s="255" t="s">
        <v>459</v>
      </c>
      <c r="I299" s="255" t="s">
        <v>460</v>
      </c>
      <c r="J299" s="255">
        <v>0</v>
      </c>
      <c r="K299" s="255" t="s">
        <v>457</v>
      </c>
      <c r="L299" s="305" t="s">
        <v>463</v>
      </c>
      <c r="M299" s="299">
        <v>35</v>
      </c>
      <c r="N299" s="300" t="s">
        <v>1153</v>
      </c>
      <c r="O299" s="300">
        <v>2</v>
      </c>
      <c r="P299" s="311" t="s">
        <v>1325</v>
      </c>
      <c r="Q299" s="312"/>
    </row>
    <row r="300" spans="1:17" ht="25.5" x14ac:dyDescent="0.2">
      <c r="A300" s="255" t="s">
        <v>351</v>
      </c>
      <c r="B300" s="255" t="s">
        <v>351</v>
      </c>
      <c r="C300" s="255">
        <v>2018</v>
      </c>
      <c r="D300" s="255" t="s">
        <v>398</v>
      </c>
      <c r="E300" s="255" t="s">
        <v>353</v>
      </c>
      <c r="F300" s="255" t="s">
        <v>76</v>
      </c>
      <c r="G300" s="255" t="s">
        <v>399</v>
      </c>
      <c r="H300" s="255" t="s">
        <v>42</v>
      </c>
      <c r="I300" s="255" t="s">
        <v>456</v>
      </c>
      <c r="J300" s="255">
        <v>100</v>
      </c>
      <c r="K300" s="255" t="s">
        <v>457</v>
      </c>
      <c r="L300" s="305"/>
      <c r="M300" s="299">
        <v>784</v>
      </c>
      <c r="N300" s="779">
        <f t="shared" ref="N300" si="13">(100*M300/J300)</f>
        <v>784</v>
      </c>
      <c r="O300" s="300">
        <v>39</v>
      </c>
      <c r="P300" s="311" t="s">
        <v>1322</v>
      </c>
      <c r="Q300" s="312" t="s">
        <v>1324</v>
      </c>
    </row>
    <row r="301" spans="1:17" x14ac:dyDescent="0.2">
      <c r="A301" s="255" t="s">
        <v>351</v>
      </c>
      <c r="B301" s="255" t="s">
        <v>351</v>
      </c>
      <c r="C301" s="255">
        <v>2018</v>
      </c>
      <c r="D301" s="255" t="s">
        <v>398</v>
      </c>
      <c r="E301" s="255" t="s">
        <v>353</v>
      </c>
      <c r="F301" s="255" t="s">
        <v>76</v>
      </c>
      <c r="G301" s="255" t="s">
        <v>399</v>
      </c>
      <c r="H301" s="255" t="s">
        <v>19</v>
      </c>
      <c r="I301" s="255" t="s">
        <v>456</v>
      </c>
      <c r="J301" s="255">
        <v>0</v>
      </c>
      <c r="K301" s="255" t="s">
        <v>457</v>
      </c>
      <c r="L301" s="305" t="s">
        <v>462</v>
      </c>
      <c r="M301" s="299">
        <v>188</v>
      </c>
      <c r="N301" s="300" t="s">
        <v>1153</v>
      </c>
      <c r="O301" s="300">
        <v>12</v>
      </c>
      <c r="P301" s="311" t="s">
        <v>1325</v>
      </c>
      <c r="Q301" s="312"/>
    </row>
    <row r="302" spans="1:17" ht="25.5" x14ac:dyDescent="0.2">
      <c r="A302" s="255" t="s">
        <v>351</v>
      </c>
      <c r="B302" s="255" t="s">
        <v>351</v>
      </c>
      <c r="C302" s="255">
        <v>2018</v>
      </c>
      <c r="D302" s="255" t="s">
        <v>398</v>
      </c>
      <c r="E302" s="255" t="s">
        <v>353</v>
      </c>
      <c r="F302" s="255" t="s">
        <v>76</v>
      </c>
      <c r="G302" s="255" t="s">
        <v>399</v>
      </c>
      <c r="H302" s="255" t="s">
        <v>20</v>
      </c>
      <c r="I302" s="255" t="s">
        <v>456</v>
      </c>
      <c r="J302" s="255">
        <v>50</v>
      </c>
      <c r="K302" s="255" t="s">
        <v>457</v>
      </c>
      <c r="L302" s="305"/>
      <c r="M302" s="299">
        <v>188</v>
      </c>
      <c r="N302" s="779">
        <f t="shared" ref="N302:N343" si="14">(100*M302/J302)</f>
        <v>376</v>
      </c>
      <c r="O302" s="300">
        <v>12</v>
      </c>
      <c r="P302" s="311" t="s">
        <v>1338</v>
      </c>
      <c r="Q302" s="312" t="s">
        <v>1324</v>
      </c>
    </row>
    <row r="303" spans="1:17" ht="25.5" x14ac:dyDescent="0.2">
      <c r="A303" s="255" t="s">
        <v>351</v>
      </c>
      <c r="B303" s="255" t="s">
        <v>351</v>
      </c>
      <c r="C303" s="255">
        <v>2018</v>
      </c>
      <c r="D303" s="255" t="s">
        <v>398</v>
      </c>
      <c r="E303" s="255" t="s">
        <v>353</v>
      </c>
      <c r="F303" s="255" t="s">
        <v>76</v>
      </c>
      <c r="G303" s="255" t="s">
        <v>399</v>
      </c>
      <c r="H303" s="255" t="s">
        <v>458</v>
      </c>
      <c r="I303" s="255" t="s">
        <v>456</v>
      </c>
      <c r="J303" s="255">
        <v>50</v>
      </c>
      <c r="K303" s="255" t="s">
        <v>457</v>
      </c>
      <c r="L303" s="305"/>
      <c r="M303" s="299">
        <v>156</v>
      </c>
      <c r="N303" s="779">
        <f t="shared" si="14"/>
        <v>312</v>
      </c>
      <c r="O303" s="300">
        <v>9</v>
      </c>
      <c r="P303" s="311" t="s">
        <v>1338</v>
      </c>
      <c r="Q303" s="312" t="s">
        <v>1324</v>
      </c>
    </row>
    <row r="304" spans="1:17" ht="38.25" x14ac:dyDescent="0.2">
      <c r="A304" s="255" t="s">
        <v>351</v>
      </c>
      <c r="B304" s="255" t="s">
        <v>351</v>
      </c>
      <c r="C304" s="255">
        <v>2018</v>
      </c>
      <c r="D304" s="255" t="s">
        <v>398</v>
      </c>
      <c r="E304" s="255" t="s">
        <v>353</v>
      </c>
      <c r="F304" s="255" t="s">
        <v>76</v>
      </c>
      <c r="G304" s="255" t="s">
        <v>399</v>
      </c>
      <c r="H304" s="255" t="s">
        <v>459</v>
      </c>
      <c r="I304" s="255" t="s">
        <v>456</v>
      </c>
      <c r="J304" s="255">
        <v>50</v>
      </c>
      <c r="K304" s="255" t="s">
        <v>457</v>
      </c>
      <c r="L304" s="305"/>
      <c r="M304" s="299">
        <v>0</v>
      </c>
      <c r="N304" s="779">
        <f t="shared" si="14"/>
        <v>0</v>
      </c>
      <c r="O304" s="300">
        <v>0</v>
      </c>
      <c r="P304" s="311" t="s">
        <v>1338</v>
      </c>
      <c r="Q304" s="312" t="s">
        <v>1737</v>
      </c>
    </row>
    <row r="305" spans="1:17" ht="25.5" x14ac:dyDescent="0.2">
      <c r="A305" s="255" t="s">
        <v>351</v>
      </c>
      <c r="B305" s="255" t="s">
        <v>351</v>
      </c>
      <c r="C305" s="255">
        <v>2018</v>
      </c>
      <c r="D305" s="255" t="s">
        <v>398</v>
      </c>
      <c r="E305" s="255" t="s">
        <v>353</v>
      </c>
      <c r="F305" s="255" t="s">
        <v>76</v>
      </c>
      <c r="G305" s="255" t="s">
        <v>399</v>
      </c>
      <c r="H305" s="255" t="s">
        <v>42</v>
      </c>
      <c r="I305" s="255" t="s">
        <v>460</v>
      </c>
      <c r="J305" s="255">
        <v>500</v>
      </c>
      <c r="K305" s="255" t="s">
        <v>457</v>
      </c>
      <c r="L305" s="305"/>
      <c r="M305" s="299">
        <v>1675</v>
      </c>
      <c r="N305" s="779">
        <f t="shared" si="14"/>
        <v>335</v>
      </c>
      <c r="O305" s="300">
        <v>36</v>
      </c>
      <c r="P305" s="311" t="s">
        <v>467</v>
      </c>
      <c r="Q305" s="312" t="s">
        <v>1324</v>
      </c>
    </row>
    <row r="306" spans="1:17" ht="25.5" x14ac:dyDescent="0.2">
      <c r="A306" s="255" t="s">
        <v>351</v>
      </c>
      <c r="B306" s="255" t="s">
        <v>351</v>
      </c>
      <c r="C306" s="255">
        <v>2018</v>
      </c>
      <c r="D306" s="255" t="s">
        <v>398</v>
      </c>
      <c r="E306" s="255" t="s">
        <v>353</v>
      </c>
      <c r="F306" s="255" t="s">
        <v>76</v>
      </c>
      <c r="G306" s="255" t="s">
        <v>399</v>
      </c>
      <c r="H306" s="255" t="s">
        <v>19</v>
      </c>
      <c r="I306" s="255" t="s">
        <v>460</v>
      </c>
      <c r="J306" s="255">
        <v>100</v>
      </c>
      <c r="K306" s="255" t="s">
        <v>457</v>
      </c>
      <c r="L306" s="305" t="s">
        <v>462</v>
      </c>
      <c r="M306" s="299">
        <v>344</v>
      </c>
      <c r="N306" s="779">
        <f t="shared" si="14"/>
        <v>344</v>
      </c>
      <c r="O306" s="300">
        <v>31</v>
      </c>
      <c r="P306" s="311" t="s">
        <v>467</v>
      </c>
      <c r="Q306" s="312" t="s">
        <v>1324</v>
      </c>
    </row>
    <row r="307" spans="1:17" ht="25.5" x14ac:dyDescent="0.2">
      <c r="A307" s="255" t="s">
        <v>351</v>
      </c>
      <c r="B307" s="255" t="s">
        <v>351</v>
      </c>
      <c r="C307" s="255">
        <v>2018</v>
      </c>
      <c r="D307" s="255" t="s">
        <v>398</v>
      </c>
      <c r="E307" s="255" t="s">
        <v>353</v>
      </c>
      <c r="F307" s="255" t="s">
        <v>76</v>
      </c>
      <c r="G307" s="255" t="s">
        <v>399</v>
      </c>
      <c r="H307" s="255" t="s">
        <v>20</v>
      </c>
      <c r="I307" s="255" t="s">
        <v>460</v>
      </c>
      <c r="J307" s="255">
        <v>100</v>
      </c>
      <c r="K307" s="255" t="s">
        <v>457</v>
      </c>
      <c r="L307" s="305"/>
      <c r="M307" s="299">
        <v>344</v>
      </c>
      <c r="N307" s="779">
        <f t="shared" si="14"/>
        <v>344</v>
      </c>
      <c r="O307" s="300">
        <v>31</v>
      </c>
      <c r="P307" s="311" t="s">
        <v>467</v>
      </c>
      <c r="Q307" s="312" t="s">
        <v>1324</v>
      </c>
    </row>
    <row r="308" spans="1:17" ht="25.5" x14ac:dyDescent="0.2">
      <c r="A308" s="255" t="s">
        <v>351</v>
      </c>
      <c r="B308" s="255" t="s">
        <v>351</v>
      </c>
      <c r="C308" s="255">
        <v>2018</v>
      </c>
      <c r="D308" s="255" t="s">
        <v>398</v>
      </c>
      <c r="E308" s="255" t="s">
        <v>353</v>
      </c>
      <c r="F308" s="255" t="s">
        <v>76</v>
      </c>
      <c r="G308" s="255" t="s">
        <v>399</v>
      </c>
      <c r="H308" s="255" t="s">
        <v>458</v>
      </c>
      <c r="I308" s="255" t="s">
        <v>460</v>
      </c>
      <c r="J308" s="255">
        <v>100</v>
      </c>
      <c r="K308" s="255" t="s">
        <v>457</v>
      </c>
      <c r="L308" s="305"/>
      <c r="M308" s="299">
        <v>344</v>
      </c>
      <c r="N308" s="779">
        <f t="shared" si="14"/>
        <v>344</v>
      </c>
      <c r="O308" s="300">
        <v>31</v>
      </c>
      <c r="P308" s="311" t="s">
        <v>467</v>
      </c>
      <c r="Q308" s="312" t="s">
        <v>1324</v>
      </c>
    </row>
    <row r="309" spans="1:17" ht="25.5" x14ac:dyDescent="0.2">
      <c r="A309" s="255" t="s">
        <v>351</v>
      </c>
      <c r="B309" s="255" t="s">
        <v>351</v>
      </c>
      <c r="C309" s="255">
        <v>2018</v>
      </c>
      <c r="D309" s="255" t="s">
        <v>398</v>
      </c>
      <c r="E309" s="255" t="s">
        <v>353</v>
      </c>
      <c r="F309" s="255" t="s">
        <v>76</v>
      </c>
      <c r="G309" s="255" t="s">
        <v>399</v>
      </c>
      <c r="H309" s="255" t="s">
        <v>459</v>
      </c>
      <c r="I309" s="255" t="s">
        <v>460</v>
      </c>
      <c r="J309" s="255">
        <v>100</v>
      </c>
      <c r="K309" s="255" t="s">
        <v>457</v>
      </c>
      <c r="L309" s="305"/>
      <c r="M309" s="299">
        <v>344</v>
      </c>
      <c r="N309" s="779">
        <f t="shared" si="14"/>
        <v>344</v>
      </c>
      <c r="O309" s="300">
        <v>31</v>
      </c>
      <c r="P309" s="311" t="s">
        <v>467</v>
      </c>
      <c r="Q309" s="312" t="s">
        <v>1324</v>
      </c>
    </row>
    <row r="310" spans="1:17" ht="25.5" x14ac:dyDescent="0.2">
      <c r="A310" s="255" t="s">
        <v>351</v>
      </c>
      <c r="B310" s="255" t="s">
        <v>351</v>
      </c>
      <c r="C310" s="255">
        <v>2018</v>
      </c>
      <c r="D310" s="255" t="s">
        <v>398</v>
      </c>
      <c r="E310" s="255" t="s">
        <v>353</v>
      </c>
      <c r="F310" s="255" t="s">
        <v>76</v>
      </c>
      <c r="G310" s="255" t="s">
        <v>401</v>
      </c>
      <c r="H310" s="255" t="s">
        <v>42</v>
      </c>
      <c r="I310" s="255" t="s">
        <v>456</v>
      </c>
      <c r="J310" s="255">
        <v>2500</v>
      </c>
      <c r="K310" s="255" t="s">
        <v>457</v>
      </c>
      <c r="L310" s="305"/>
      <c r="M310" s="299">
        <v>4506</v>
      </c>
      <c r="N310" s="779">
        <f t="shared" si="14"/>
        <v>180.24</v>
      </c>
      <c r="O310" s="300">
        <v>226</v>
      </c>
      <c r="P310" s="311" t="s">
        <v>1322</v>
      </c>
      <c r="Q310" s="312" t="s">
        <v>1324</v>
      </c>
    </row>
    <row r="311" spans="1:17" ht="25.5" x14ac:dyDescent="0.2">
      <c r="A311" s="305" t="s">
        <v>351</v>
      </c>
      <c r="B311" s="305" t="s">
        <v>351</v>
      </c>
      <c r="C311" s="305">
        <v>2018</v>
      </c>
      <c r="D311" s="305" t="s">
        <v>398</v>
      </c>
      <c r="E311" s="305" t="s">
        <v>353</v>
      </c>
      <c r="F311" s="305" t="s">
        <v>76</v>
      </c>
      <c r="G311" s="305" t="s">
        <v>401</v>
      </c>
      <c r="H311" s="305" t="s">
        <v>19</v>
      </c>
      <c r="I311" s="305" t="s">
        <v>456</v>
      </c>
      <c r="J311" s="305">
        <v>1000</v>
      </c>
      <c r="K311" s="305" t="s">
        <v>457</v>
      </c>
      <c r="L311" s="305"/>
      <c r="M311" s="299">
        <v>814</v>
      </c>
      <c r="N311" s="779">
        <f t="shared" si="14"/>
        <v>81.400000000000006</v>
      </c>
      <c r="O311" s="300">
        <v>53</v>
      </c>
      <c r="P311" s="311" t="s">
        <v>1338</v>
      </c>
      <c r="Q311" s="312" t="s">
        <v>1593</v>
      </c>
    </row>
    <row r="312" spans="1:17" ht="25.5" x14ac:dyDescent="0.2">
      <c r="A312" s="305" t="s">
        <v>351</v>
      </c>
      <c r="B312" s="305" t="s">
        <v>351</v>
      </c>
      <c r="C312" s="305">
        <v>2018</v>
      </c>
      <c r="D312" s="305" t="s">
        <v>398</v>
      </c>
      <c r="E312" s="305" t="s">
        <v>353</v>
      </c>
      <c r="F312" s="305" t="s">
        <v>76</v>
      </c>
      <c r="G312" s="305" t="s">
        <v>401</v>
      </c>
      <c r="H312" s="305" t="s">
        <v>20</v>
      </c>
      <c r="I312" s="305" t="s">
        <v>456</v>
      </c>
      <c r="J312" s="305">
        <v>1000</v>
      </c>
      <c r="K312" s="305" t="s">
        <v>457</v>
      </c>
      <c r="L312" s="305"/>
      <c r="M312" s="299">
        <v>814</v>
      </c>
      <c r="N312" s="779">
        <f t="shared" si="14"/>
        <v>81.400000000000006</v>
      </c>
      <c r="O312" s="300">
        <v>53</v>
      </c>
      <c r="P312" s="311" t="s">
        <v>1338</v>
      </c>
      <c r="Q312" s="312" t="s">
        <v>1593</v>
      </c>
    </row>
    <row r="313" spans="1:17" ht="25.5" x14ac:dyDescent="0.2">
      <c r="A313" s="255" t="s">
        <v>351</v>
      </c>
      <c r="B313" s="255" t="s">
        <v>351</v>
      </c>
      <c r="C313" s="255">
        <v>2018</v>
      </c>
      <c r="D313" s="255" t="s">
        <v>398</v>
      </c>
      <c r="E313" s="255" t="s">
        <v>353</v>
      </c>
      <c r="F313" s="255" t="s">
        <v>76</v>
      </c>
      <c r="G313" s="255" t="s">
        <v>401</v>
      </c>
      <c r="H313" s="255" t="s">
        <v>458</v>
      </c>
      <c r="I313" s="255" t="s">
        <v>456</v>
      </c>
      <c r="J313" s="255">
        <v>100</v>
      </c>
      <c r="K313" s="255" t="s">
        <v>457</v>
      </c>
      <c r="L313" s="305"/>
      <c r="M313" s="299">
        <v>721</v>
      </c>
      <c r="N313" s="779">
        <f t="shared" si="14"/>
        <v>721</v>
      </c>
      <c r="O313" s="300">
        <v>44</v>
      </c>
      <c r="P313" s="311" t="s">
        <v>1338</v>
      </c>
      <c r="Q313" s="312" t="s">
        <v>1324</v>
      </c>
    </row>
    <row r="314" spans="1:17" ht="38.25" x14ac:dyDescent="0.2">
      <c r="A314" s="255" t="s">
        <v>351</v>
      </c>
      <c r="B314" s="255" t="s">
        <v>351</v>
      </c>
      <c r="C314" s="255">
        <v>2018</v>
      </c>
      <c r="D314" s="255" t="s">
        <v>398</v>
      </c>
      <c r="E314" s="255" t="s">
        <v>353</v>
      </c>
      <c r="F314" s="255" t="s">
        <v>76</v>
      </c>
      <c r="G314" s="255" t="s">
        <v>401</v>
      </c>
      <c r="H314" s="255" t="s">
        <v>459</v>
      </c>
      <c r="I314" s="255" t="s">
        <v>456</v>
      </c>
      <c r="J314" s="255">
        <v>100</v>
      </c>
      <c r="K314" s="255" t="s">
        <v>457</v>
      </c>
      <c r="L314" s="305"/>
      <c r="M314" s="299">
        <v>19</v>
      </c>
      <c r="N314" s="779">
        <f t="shared" si="14"/>
        <v>19</v>
      </c>
      <c r="O314" s="300">
        <v>3</v>
      </c>
      <c r="P314" s="311" t="s">
        <v>1338</v>
      </c>
      <c r="Q314" s="312" t="s">
        <v>1737</v>
      </c>
    </row>
    <row r="315" spans="1:17" ht="63.75" x14ac:dyDescent="0.2">
      <c r="A315" s="255" t="s">
        <v>351</v>
      </c>
      <c r="B315" s="255" t="s">
        <v>351</v>
      </c>
      <c r="C315" s="255">
        <v>2018</v>
      </c>
      <c r="D315" s="255" t="s">
        <v>398</v>
      </c>
      <c r="E315" s="255" t="s">
        <v>353</v>
      </c>
      <c r="F315" s="255" t="s">
        <v>76</v>
      </c>
      <c r="G315" s="255" t="s">
        <v>401</v>
      </c>
      <c r="H315" s="255" t="s">
        <v>42</v>
      </c>
      <c r="I315" s="255" t="s">
        <v>460</v>
      </c>
      <c r="J315" s="255">
        <v>750</v>
      </c>
      <c r="K315" s="255" t="s">
        <v>457</v>
      </c>
      <c r="L315" s="305"/>
      <c r="M315" s="299">
        <v>539</v>
      </c>
      <c r="N315" s="779">
        <f t="shared" si="14"/>
        <v>71.86666666666666</v>
      </c>
      <c r="O315" s="300">
        <v>40</v>
      </c>
      <c r="P315" s="311" t="s">
        <v>467</v>
      </c>
      <c r="Q315" s="312" t="s">
        <v>1745</v>
      </c>
    </row>
    <row r="316" spans="1:17" x14ac:dyDescent="0.2">
      <c r="A316" s="255" t="s">
        <v>351</v>
      </c>
      <c r="B316" s="255" t="s">
        <v>351</v>
      </c>
      <c r="C316" s="255">
        <v>2018</v>
      </c>
      <c r="D316" s="255" t="s">
        <v>398</v>
      </c>
      <c r="E316" s="255" t="s">
        <v>353</v>
      </c>
      <c r="F316" s="255" t="s">
        <v>76</v>
      </c>
      <c r="G316" s="255" t="s">
        <v>401</v>
      </c>
      <c r="H316" s="255" t="s">
        <v>19</v>
      </c>
      <c r="I316" s="255" t="s">
        <v>460</v>
      </c>
      <c r="J316" s="255">
        <v>250</v>
      </c>
      <c r="K316" s="255" t="s">
        <v>457</v>
      </c>
      <c r="L316" s="305"/>
      <c r="M316" s="299">
        <v>260</v>
      </c>
      <c r="N316" s="779">
        <f t="shared" si="14"/>
        <v>104</v>
      </c>
      <c r="O316" s="300">
        <v>39</v>
      </c>
      <c r="P316" s="311" t="s">
        <v>467</v>
      </c>
      <c r="Q316" s="312"/>
    </row>
    <row r="317" spans="1:17" x14ac:dyDescent="0.2">
      <c r="A317" s="255" t="s">
        <v>351</v>
      </c>
      <c r="B317" s="255" t="s">
        <v>351</v>
      </c>
      <c r="C317" s="255">
        <v>2018</v>
      </c>
      <c r="D317" s="255" t="s">
        <v>398</v>
      </c>
      <c r="E317" s="255" t="s">
        <v>353</v>
      </c>
      <c r="F317" s="255" t="s">
        <v>76</v>
      </c>
      <c r="G317" s="255" t="s">
        <v>401</v>
      </c>
      <c r="H317" s="255" t="s">
        <v>20</v>
      </c>
      <c r="I317" s="255" t="s">
        <v>460</v>
      </c>
      <c r="J317" s="255">
        <v>250</v>
      </c>
      <c r="K317" s="255" t="s">
        <v>457</v>
      </c>
      <c r="L317" s="305"/>
      <c r="M317" s="299">
        <v>260</v>
      </c>
      <c r="N317" s="779">
        <f t="shared" si="14"/>
        <v>104</v>
      </c>
      <c r="O317" s="300">
        <v>39</v>
      </c>
      <c r="P317" s="311" t="s">
        <v>467</v>
      </c>
      <c r="Q317" s="312"/>
    </row>
    <row r="318" spans="1:17" x14ac:dyDescent="0.2">
      <c r="A318" s="255" t="s">
        <v>351</v>
      </c>
      <c r="B318" s="255" t="s">
        <v>351</v>
      </c>
      <c r="C318" s="255">
        <v>2018</v>
      </c>
      <c r="D318" s="255" t="s">
        <v>398</v>
      </c>
      <c r="E318" s="255" t="s">
        <v>353</v>
      </c>
      <c r="F318" s="255" t="s">
        <v>76</v>
      </c>
      <c r="G318" s="255" t="s">
        <v>401</v>
      </c>
      <c r="H318" s="255" t="s">
        <v>458</v>
      </c>
      <c r="I318" s="255" t="s">
        <v>460</v>
      </c>
      <c r="J318" s="255">
        <v>250</v>
      </c>
      <c r="K318" s="255" t="s">
        <v>457</v>
      </c>
      <c r="L318" s="305"/>
      <c r="M318" s="299">
        <v>260</v>
      </c>
      <c r="N318" s="779">
        <f t="shared" si="14"/>
        <v>104</v>
      </c>
      <c r="O318" s="300">
        <v>39</v>
      </c>
      <c r="P318" s="311" t="s">
        <v>467</v>
      </c>
      <c r="Q318" s="312"/>
    </row>
    <row r="319" spans="1:17" x14ac:dyDescent="0.2">
      <c r="A319" s="255" t="s">
        <v>351</v>
      </c>
      <c r="B319" s="255" t="s">
        <v>351</v>
      </c>
      <c r="C319" s="255">
        <v>2018</v>
      </c>
      <c r="D319" s="255" t="s">
        <v>398</v>
      </c>
      <c r="E319" s="255" t="s">
        <v>353</v>
      </c>
      <c r="F319" s="255" t="s">
        <v>76</v>
      </c>
      <c r="G319" s="255" t="s">
        <v>401</v>
      </c>
      <c r="H319" s="255" t="s">
        <v>459</v>
      </c>
      <c r="I319" s="255" t="s">
        <v>460</v>
      </c>
      <c r="J319" s="255">
        <v>250</v>
      </c>
      <c r="K319" s="255" t="s">
        <v>457</v>
      </c>
      <c r="L319" s="305"/>
      <c r="M319" s="299">
        <v>260</v>
      </c>
      <c r="N319" s="779">
        <f t="shared" si="14"/>
        <v>104</v>
      </c>
      <c r="O319" s="300">
        <v>39</v>
      </c>
      <c r="P319" s="311" t="s">
        <v>467</v>
      </c>
      <c r="Q319" s="312"/>
    </row>
    <row r="320" spans="1:17" ht="25.5" x14ac:dyDescent="0.2">
      <c r="A320" s="255" t="s">
        <v>351</v>
      </c>
      <c r="B320" s="255" t="s">
        <v>351</v>
      </c>
      <c r="C320" s="255">
        <v>2018</v>
      </c>
      <c r="D320" s="255" t="s">
        <v>398</v>
      </c>
      <c r="E320" s="255" t="s">
        <v>353</v>
      </c>
      <c r="F320" s="255" t="s">
        <v>76</v>
      </c>
      <c r="G320" s="255" t="s">
        <v>402</v>
      </c>
      <c r="H320" s="255" t="s">
        <v>42</v>
      </c>
      <c r="I320" s="255" t="s">
        <v>456</v>
      </c>
      <c r="J320" s="255">
        <v>2000</v>
      </c>
      <c r="K320" s="255" t="s">
        <v>457</v>
      </c>
      <c r="L320" s="305"/>
      <c r="M320" s="299">
        <v>3011</v>
      </c>
      <c r="N320" s="779">
        <f t="shared" si="14"/>
        <v>150.55000000000001</v>
      </c>
      <c r="O320" s="300">
        <v>74</v>
      </c>
      <c r="P320" s="311" t="s">
        <v>1322</v>
      </c>
      <c r="Q320" s="312" t="s">
        <v>1324</v>
      </c>
    </row>
    <row r="321" spans="1:17" x14ac:dyDescent="0.2">
      <c r="A321" s="255" t="s">
        <v>351</v>
      </c>
      <c r="B321" s="255" t="s">
        <v>351</v>
      </c>
      <c r="C321" s="255">
        <v>2018</v>
      </c>
      <c r="D321" s="255" t="s">
        <v>398</v>
      </c>
      <c r="E321" s="255" t="s">
        <v>353</v>
      </c>
      <c r="F321" s="255" t="s">
        <v>76</v>
      </c>
      <c r="G321" s="255" t="s">
        <v>402</v>
      </c>
      <c r="H321" s="255" t="s">
        <v>19</v>
      </c>
      <c r="I321" s="255" t="s">
        <v>456</v>
      </c>
      <c r="J321" s="255">
        <v>750</v>
      </c>
      <c r="K321" s="255" t="s">
        <v>457</v>
      </c>
      <c r="L321" s="305"/>
      <c r="M321" s="299">
        <v>1025</v>
      </c>
      <c r="N321" s="779">
        <f t="shared" si="14"/>
        <v>136.66666666666666</v>
      </c>
      <c r="O321" s="300">
        <v>50</v>
      </c>
      <c r="P321" s="311" t="s">
        <v>1338</v>
      </c>
      <c r="Q321" s="312"/>
    </row>
    <row r="322" spans="1:17" x14ac:dyDescent="0.2">
      <c r="A322" s="255" t="s">
        <v>351</v>
      </c>
      <c r="B322" s="255" t="s">
        <v>351</v>
      </c>
      <c r="C322" s="255">
        <v>2018</v>
      </c>
      <c r="D322" s="255" t="s">
        <v>398</v>
      </c>
      <c r="E322" s="255" t="s">
        <v>353</v>
      </c>
      <c r="F322" s="255" t="s">
        <v>76</v>
      </c>
      <c r="G322" s="255" t="s">
        <v>402</v>
      </c>
      <c r="H322" s="255" t="s">
        <v>20</v>
      </c>
      <c r="I322" s="255" t="s">
        <v>456</v>
      </c>
      <c r="J322" s="255">
        <v>750</v>
      </c>
      <c r="K322" s="255" t="s">
        <v>457</v>
      </c>
      <c r="L322" s="305"/>
      <c r="M322" s="299">
        <v>1025</v>
      </c>
      <c r="N322" s="779">
        <f t="shared" si="14"/>
        <v>136.66666666666666</v>
      </c>
      <c r="O322" s="300">
        <v>50</v>
      </c>
      <c r="P322" s="311" t="s">
        <v>1338</v>
      </c>
      <c r="Q322" s="312"/>
    </row>
    <row r="323" spans="1:17" ht="25.5" x14ac:dyDescent="0.2">
      <c r="A323" s="255" t="s">
        <v>351</v>
      </c>
      <c r="B323" s="255" t="s">
        <v>351</v>
      </c>
      <c r="C323" s="255">
        <v>2018</v>
      </c>
      <c r="D323" s="255" t="s">
        <v>398</v>
      </c>
      <c r="E323" s="255" t="s">
        <v>353</v>
      </c>
      <c r="F323" s="255" t="s">
        <v>76</v>
      </c>
      <c r="G323" s="255" t="s">
        <v>402</v>
      </c>
      <c r="H323" s="255" t="s">
        <v>458</v>
      </c>
      <c r="I323" s="255" t="s">
        <v>456</v>
      </c>
      <c r="J323" s="255">
        <v>100</v>
      </c>
      <c r="K323" s="255" t="s">
        <v>457</v>
      </c>
      <c r="L323" s="305"/>
      <c r="M323" s="299">
        <v>1007</v>
      </c>
      <c r="N323" s="779">
        <f t="shared" si="14"/>
        <v>1007</v>
      </c>
      <c r="O323" s="300">
        <v>50</v>
      </c>
      <c r="P323" s="311" t="s">
        <v>1338</v>
      </c>
      <c r="Q323" s="312" t="s">
        <v>1324</v>
      </c>
    </row>
    <row r="324" spans="1:17" ht="38.25" x14ac:dyDescent="0.2">
      <c r="A324" s="255" t="s">
        <v>351</v>
      </c>
      <c r="B324" s="255" t="s">
        <v>351</v>
      </c>
      <c r="C324" s="255">
        <v>2018</v>
      </c>
      <c r="D324" s="255" t="s">
        <v>398</v>
      </c>
      <c r="E324" s="255" t="s">
        <v>353</v>
      </c>
      <c r="F324" s="255" t="s">
        <v>76</v>
      </c>
      <c r="G324" s="255" t="s">
        <v>402</v>
      </c>
      <c r="H324" s="255" t="s">
        <v>459</v>
      </c>
      <c r="I324" s="255" t="s">
        <v>456</v>
      </c>
      <c r="J324" s="255">
        <v>100</v>
      </c>
      <c r="K324" s="255" t="s">
        <v>457</v>
      </c>
      <c r="L324" s="305"/>
      <c r="M324" s="299">
        <v>35</v>
      </c>
      <c r="N324" s="779">
        <f t="shared" si="14"/>
        <v>35</v>
      </c>
      <c r="O324" s="300">
        <v>3</v>
      </c>
      <c r="P324" s="311" t="s">
        <v>1338</v>
      </c>
      <c r="Q324" s="312" t="s">
        <v>1737</v>
      </c>
    </row>
    <row r="325" spans="1:17" ht="25.5" x14ac:dyDescent="0.2">
      <c r="A325" s="255" t="s">
        <v>351</v>
      </c>
      <c r="B325" s="255" t="s">
        <v>351</v>
      </c>
      <c r="C325" s="255">
        <v>2018</v>
      </c>
      <c r="D325" s="255" t="s">
        <v>398</v>
      </c>
      <c r="E325" s="255" t="s">
        <v>353</v>
      </c>
      <c r="F325" s="255" t="s">
        <v>76</v>
      </c>
      <c r="G325" s="255" t="s">
        <v>402</v>
      </c>
      <c r="H325" s="255" t="s">
        <v>42</v>
      </c>
      <c r="I325" s="255" t="s">
        <v>460</v>
      </c>
      <c r="J325" s="255">
        <v>100</v>
      </c>
      <c r="K325" s="255" t="s">
        <v>457</v>
      </c>
      <c r="L325" s="305"/>
      <c r="M325" s="299">
        <v>462</v>
      </c>
      <c r="N325" s="779">
        <f t="shared" si="14"/>
        <v>462</v>
      </c>
      <c r="O325" s="300">
        <v>25</v>
      </c>
      <c r="P325" s="311" t="s">
        <v>467</v>
      </c>
      <c r="Q325" s="312" t="s">
        <v>1324</v>
      </c>
    </row>
    <row r="326" spans="1:17" ht="25.5" x14ac:dyDescent="0.2">
      <c r="A326" s="255" t="s">
        <v>351</v>
      </c>
      <c r="B326" s="255" t="s">
        <v>351</v>
      </c>
      <c r="C326" s="255">
        <v>2018</v>
      </c>
      <c r="D326" s="255" t="s">
        <v>398</v>
      </c>
      <c r="E326" s="255" t="s">
        <v>353</v>
      </c>
      <c r="F326" s="255" t="s">
        <v>76</v>
      </c>
      <c r="G326" s="255" t="s">
        <v>402</v>
      </c>
      <c r="H326" s="255" t="s">
        <v>19</v>
      </c>
      <c r="I326" s="255" t="s">
        <v>460</v>
      </c>
      <c r="J326" s="255">
        <v>50</v>
      </c>
      <c r="K326" s="255" t="s">
        <v>457</v>
      </c>
      <c r="L326" s="305"/>
      <c r="M326" s="299">
        <v>185</v>
      </c>
      <c r="N326" s="779">
        <f t="shared" si="14"/>
        <v>370</v>
      </c>
      <c r="O326" s="300">
        <v>25</v>
      </c>
      <c r="P326" s="311" t="s">
        <v>467</v>
      </c>
      <c r="Q326" s="312" t="s">
        <v>1324</v>
      </c>
    </row>
    <row r="327" spans="1:17" ht="25.5" x14ac:dyDescent="0.2">
      <c r="A327" s="255" t="s">
        <v>351</v>
      </c>
      <c r="B327" s="255" t="s">
        <v>351</v>
      </c>
      <c r="C327" s="255">
        <v>2018</v>
      </c>
      <c r="D327" s="255" t="s">
        <v>398</v>
      </c>
      <c r="E327" s="255" t="s">
        <v>353</v>
      </c>
      <c r="F327" s="255" t="s">
        <v>76</v>
      </c>
      <c r="G327" s="255" t="s">
        <v>402</v>
      </c>
      <c r="H327" s="255" t="s">
        <v>20</v>
      </c>
      <c r="I327" s="255" t="s">
        <v>460</v>
      </c>
      <c r="J327" s="255">
        <v>50</v>
      </c>
      <c r="K327" s="255" t="s">
        <v>457</v>
      </c>
      <c r="L327" s="305"/>
      <c r="M327" s="299">
        <v>185</v>
      </c>
      <c r="N327" s="779">
        <f t="shared" si="14"/>
        <v>370</v>
      </c>
      <c r="O327" s="300">
        <v>25</v>
      </c>
      <c r="P327" s="311" t="s">
        <v>467</v>
      </c>
      <c r="Q327" s="312" t="s">
        <v>1324</v>
      </c>
    </row>
    <row r="328" spans="1:17" ht="25.5" x14ac:dyDescent="0.2">
      <c r="A328" s="255" t="s">
        <v>351</v>
      </c>
      <c r="B328" s="255" t="s">
        <v>351</v>
      </c>
      <c r="C328" s="255">
        <v>2018</v>
      </c>
      <c r="D328" s="255" t="s">
        <v>398</v>
      </c>
      <c r="E328" s="255" t="s">
        <v>353</v>
      </c>
      <c r="F328" s="255" t="s">
        <v>76</v>
      </c>
      <c r="G328" s="255" t="s">
        <v>402</v>
      </c>
      <c r="H328" s="255" t="s">
        <v>458</v>
      </c>
      <c r="I328" s="255" t="s">
        <v>460</v>
      </c>
      <c r="J328" s="255">
        <v>50</v>
      </c>
      <c r="K328" s="255" t="s">
        <v>457</v>
      </c>
      <c r="L328" s="305"/>
      <c r="M328" s="299">
        <v>185</v>
      </c>
      <c r="N328" s="779">
        <f t="shared" si="14"/>
        <v>370</v>
      </c>
      <c r="O328" s="300">
        <v>25</v>
      </c>
      <c r="P328" s="311" t="s">
        <v>467</v>
      </c>
      <c r="Q328" s="312" t="s">
        <v>1324</v>
      </c>
    </row>
    <row r="329" spans="1:17" ht="25.5" x14ac:dyDescent="0.2">
      <c r="A329" s="255" t="s">
        <v>351</v>
      </c>
      <c r="B329" s="255" t="s">
        <v>351</v>
      </c>
      <c r="C329" s="255">
        <v>2018</v>
      </c>
      <c r="D329" s="255" t="s">
        <v>398</v>
      </c>
      <c r="E329" s="255" t="s">
        <v>353</v>
      </c>
      <c r="F329" s="255" t="s">
        <v>76</v>
      </c>
      <c r="G329" s="255" t="s">
        <v>402</v>
      </c>
      <c r="H329" s="255" t="s">
        <v>459</v>
      </c>
      <c r="I329" s="255" t="s">
        <v>460</v>
      </c>
      <c r="J329" s="255">
        <v>50</v>
      </c>
      <c r="K329" s="255" t="s">
        <v>457</v>
      </c>
      <c r="L329" s="305"/>
      <c r="M329" s="299">
        <v>185</v>
      </c>
      <c r="N329" s="779">
        <f t="shared" si="14"/>
        <v>370</v>
      </c>
      <c r="O329" s="300">
        <v>25</v>
      </c>
      <c r="P329" s="311" t="s">
        <v>467</v>
      </c>
      <c r="Q329" s="312" t="s">
        <v>1324</v>
      </c>
    </row>
    <row r="330" spans="1:17" ht="25.5" x14ac:dyDescent="0.2">
      <c r="A330" s="255" t="s">
        <v>351</v>
      </c>
      <c r="B330" s="255" t="s">
        <v>351</v>
      </c>
      <c r="C330" s="255">
        <v>2018</v>
      </c>
      <c r="D330" s="255" t="s">
        <v>403</v>
      </c>
      <c r="E330" s="255" t="s">
        <v>353</v>
      </c>
      <c r="F330" s="255" t="s">
        <v>76</v>
      </c>
      <c r="G330" s="255" t="s">
        <v>404</v>
      </c>
      <c r="H330" s="255" t="s">
        <v>42</v>
      </c>
      <c r="I330" s="255" t="s">
        <v>456</v>
      </c>
      <c r="J330" s="255">
        <v>500</v>
      </c>
      <c r="K330" s="255" t="s">
        <v>457</v>
      </c>
      <c r="L330" s="305"/>
      <c r="M330" s="299">
        <v>2039</v>
      </c>
      <c r="N330" s="779">
        <f t="shared" si="14"/>
        <v>407.8</v>
      </c>
      <c r="O330" s="300">
        <v>76</v>
      </c>
      <c r="P330" s="311" t="s">
        <v>1322</v>
      </c>
      <c r="Q330" s="312" t="s">
        <v>1324</v>
      </c>
    </row>
    <row r="331" spans="1:17" ht="25.5" x14ac:dyDescent="0.2">
      <c r="A331" s="255" t="s">
        <v>351</v>
      </c>
      <c r="B331" s="255" t="s">
        <v>351</v>
      </c>
      <c r="C331" s="255">
        <v>2018</v>
      </c>
      <c r="D331" s="255" t="s">
        <v>403</v>
      </c>
      <c r="E331" s="255" t="s">
        <v>353</v>
      </c>
      <c r="F331" s="255" t="s">
        <v>76</v>
      </c>
      <c r="G331" s="255" t="s">
        <v>404</v>
      </c>
      <c r="H331" s="255" t="s">
        <v>19</v>
      </c>
      <c r="I331" s="255" t="s">
        <v>456</v>
      </c>
      <c r="J331" s="255">
        <v>100</v>
      </c>
      <c r="K331" s="255" t="s">
        <v>457</v>
      </c>
      <c r="L331" s="305"/>
      <c r="M331" s="299">
        <v>564</v>
      </c>
      <c r="N331" s="779">
        <f t="shared" si="14"/>
        <v>564</v>
      </c>
      <c r="O331" s="300">
        <v>52</v>
      </c>
      <c r="P331" s="311" t="s">
        <v>1338</v>
      </c>
      <c r="Q331" s="312" t="s">
        <v>1324</v>
      </c>
    </row>
    <row r="332" spans="1:17" ht="25.5" x14ac:dyDescent="0.2">
      <c r="A332" s="255" t="s">
        <v>351</v>
      </c>
      <c r="B332" s="255" t="s">
        <v>351</v>
      </c>
      <c r="C332" s="255">
        <v>2018</v>
      </c>
      <c r="D332" s="255" t="s">
        <v>403</v>
      </c>
      <c r="E332" s="255" t="s">
        <v>353</v>
      </c>
      <c r="F332" s="255" t="s">
        <v>76</v>
      </c>
      <c r="G332" s="255" t="s">
        <v>404</v>
      </c>
      <c r="H332" s="255" t="s">
        <v>20</v>
      </c>
      <c r="I332" s="255" t="s">
        <v>456</v>
      </c>
      <c r="J332" s="255">
        <v>100</v>
      </c>
      <c r="K332" s="255" t="s">
        <v>457</v>
      </c>
      <c r="L332" s="305"/>
      <c r="M332" s="299">
        <v>564</v>
      </c>
      <c r="N332" s="779">
        <f t="shared" si="14"/>
        <v>564</v>
      </c>
      <c r="O332" s="300">
        <v>52</v>
      </c>
      <c r="P332" s="311" t="s">
        <v>1338</v>
      </c>
      <c r="Q332" s="312" t="s">
        <v>1324</v>
      </c>
    </row>
    <row r="333" spans="1:17" ht="25.5" x14ac:dyDescent="0.2">
      <c r="A333" s="255" t="s">
        <v>351</v>
      </c>
      <c r="B333" s="255" t="s">
        <v>351</v>
      </c>
      <c r="C333" s="255">
        <v>2018</v>
      </c>
      <c r="D333" s="255" t="s">
        <v>403</v>
      </c>
      <c r="E333" s="255" t="s">
        <v>353</v>
      </c>
      <c r="F333" s="255" t="s">
        <v>76</v>
      </c>
      <c r="G333" s="255" t="s">
        <v>404</v>
      </c>
      <c r="H333" s="255" t="s">
        <v>458</v>
      </c>
      <c r="I333" s="255" t="s">
        <v>456</v>
      </c>
      <c r="J333" s="255">
        <v>100</v>
      </c>
      <c r="K333" s="255" t="s">
        <v>457</v>
      </c>
      <c r="L333" s="305"/>
      <c r="M333" s="299">
        <v>564</v>
      </c>
      <c r="N333" s="779">
        <f t="shared" si="14"/>
        <v>564</v>
      </c>
      <c r="O333" s="300">
        <v>52</v>
      </c>
      <c r="P333" s="311" t="s">
        <v>1338</v>
      </c>
      <c r="Q333" s="312" t="s">
        <v>1324</v>
      </c>
    </row>
    <row r="334" spans="1:17" ht="38.25" x14ac:dyDescent="0.2">
      <c r="A334" s="255" t="s">
        <v>351</v>
      </c>
      <c r="B334" s="255" t="s">
        <v>351</v>
      </c>
      <c r="C334" s="255">
        <v>2018</v>
      </c>
      <c r="D334" s="255" t="s">
        <v>403</v>
      </c>
      <c r="E334" s="255" t="s">
        <v>353</v>
      </c>
      <c r="F334" s="255" t="s">
        <v>76</v>
      </c>
      <c r="G334" s="255" t="s">
        <v>404</v>
      </c>
      <c r="H334" s="255" t="s">
        <v>459</v>
      </c>
      <c r="I334" s="255" t="s">
        <v>456</v>
      </c>
      <c r="J334" s="255">
        <v>100</v>
      </c>
      <c r="K334" s="255" t="s">
        <v>457</v>
      </c>
      <c r="L334" s="305"/>
      <c r="M334" s="299">
        <v>0</v>
      </c>
      <c r="N334" s="779">
        <f t="shared" si="14"/>
        <v>0</v>
      </c>
      <c r="O334" s="300">
        <v>0</v>
      </c>
      <c r="P334" s="311" t="s">
        <v>1338</v>
      </c>
      <c r="Q334" s="312" t="s">
        <v>1737</v>
      </c>
    </row>
    <row r="335" spans="1:17" x14ac:dyDescent="0.2">
      <c r="A335" s="255" t="s">
        <v>351</v>
      </c>
      <c r="B335" s="255" t="s">
        <v>351</v>
      </c>
      <c r="C335" s="255">
        <v>2018</v>
      </c>
      <c r="D335" s="255" t="s">
        <v>403</v>
      </c>
      <c r="E335" s="255" t="s">
        <v>353</v>
      </c>
      <c r="F335" s="255" t="s">
        <v>76</v>
      </c>
      <c r="G335" s="255" t="s">
        <v>404</v>
      </c>
      <c r="H335" s="255" t="s">
        <v>42</v>
      </c>
      <c r="I335" s="255" t="s">
        <v>460</v>
      </c>
      <c r="J335" s="255">
        <v>25</v>
      </c>
      <c r="K335" s="255" t="s">
        <v>457</v>
      </c>
      <c r="L335" s="305"/>
      <c r="M335" s="299">
        <v>31</v>
      </c>
      <c r="N335" s="779">
        <f t="shared" si="14"/>
        <v>124</v>
      </c>
      <c r="O335" s="300">
        <v>17</v>
      </c>
      <c r="P335" s="311" t="s">
        <v>467</v>
      </c>
      <c r="Q335" s="312"/>
    </row>
    <row r="336" spans="1:17" x14ac:dyDescent="0.2">
      <c r="A336" s="255" t="s">
        <v>351</v>
      </c>
      <c r="B336" s="255" t="s">
        <v>351</v>
      </c>
      <c r="C336" s="255">
        <v>2018</v>
      </c>
      <c r="D336" s="255" t="s">
        <v>403</v>
      </c>
      <c r="E336" s="255" t="s">
        <v>353</v>
      </c>
      <c r="F336" s="255" t="s">
        <v>76</v>
      </c>
      <c r="G336" s="255" t="s">
        <v>404</v>
      </c>
      <c r="H336" s="255" t="s">
        <v>19</v>
      </c>
      <c r="I336" s="255" t="s">
        <v>460</v>
      </c>
      <c r="J336" s="255">
        <v>25</v>
      </c>
      <c r="K336" s="255" t="s">
        <v>457</v>
      </c>
      <c r="L336" s="305"/>
      <c r="M336" s="299">
        <v>25</v>
      </c>
      <c r="N336" s="779">
        <f t="shared" si="14"/>
        <v>100</v>
      </c>
      <c r="O336" s="300">
        <v>17</v>
      </c>
      <c r="P336" s="311" t="s">
        <v>467</v>
      </c>
      <c r="Q336" s="312"/>
    </row>
    <row r="337" spans="1:18" x14ac:dyDescent="0.2">
      <c r="A337" s="255" t="s">
        <v>351</v>
      </c>
      <c r="B337" s="255" t="s">
        <v>351</v>
      </c>
      <c r="C337" s="255">
        <v>2018</v>
      </c>
      <c r="D337" s="255" t="s">
        <v>403</v>
      </c>
      <c r="E337" s="255" t="s">
        <v>353</v>
      </c>
      <c r="F337" s="255" t="s">
        <v>76</v>
      </c>
      <c r="G337" s="255" t="s">
        <v>404</v>
      </c>
      <c r="H337" s="255" t="s">
        <v>20</v>
      </c>
      <c r="I337" s="255" t="s">
        <v>460</v>
      </c>
      <c r="J337" s="255">
        <v>25</v>
      </c>
      <c r="K337" s="255" t="s">
        <v>457</v>
      </c>
      <c r="L337" s="305"/>
      <c r="M337" s="299">
        <v>25</v>
      </c>
      <c r="N337" s="779">
        <f t="shared" si="14"/>
        <v>100</v>
      </c>
      <c r="O337" s="300">
        <v>17</v>
      </c>
      <c r="P337" s="311" t="s">
        <v>467</v>
      </c>
      <c r="Q337" s="312"/>
    </row>
    <row r="338" spans="1:18" x14ac:dyDescent="0.2">
      <c r="A338" s="255" t="s">
        <v>351</v>
      </c>
      <c r="B338" s="255" t="s">
        <v>351</v>
      </c>
      <c r="C338" s="255">
        <v>2018</v>
      </c>
      <c r="D338" s="255" t="s">
        <v>403</v>
      </c>
      <c r="E338" s="255" t="s">
        <v>353</v>
      </c>
      <c r="F338" s="255" t="s">
        <v>76</v>
      </c>
      <c r="G338" s="255" t="s">
        <v>404</v>
      </c>
      <c r="H338" s="255" t="s">
        <v>458</v>
      </c>
      <c r="I338" s="255" t="s">
        <v>460</v>
      </c>
      <c r="J338" s="255">
        <v>25</v>
      </c>
      <c r="K338" s="255" t="s">
        <v>457</v>
      </c>
      <c r="L338" s="305"/>
      <c r="M338" s="299">
        <v>25</v>
      </c>
      <c r="N338" s="779">
        <f t="shared" si="14"/>
        <v>100</v>
      </c>
      <c r="O338" s="300">
        <v>17</v>
      </c>
      <c r="P338" s="311" t="s">
        <v>467</v>
      </c>
      <c r="Q338" s="312"/>
    </row>
    <row r="339" spans="1:18" x14ac:dyDescent="0.2">
      <c r="A339" s="255" t="s">
        <v>351</v>
      </c>
      <c r="B339" s="255" t="s">
        <v>351</v>
      </c>
      <c r="C339" s="255">
        <v>2018</v>
      </c>
      <c r="D339" s="255" t="s">
        <v>403</v>
      </c>
      <c r="E339" s="255" t="s">
        <v>353</v>
      </c>
      <c r="F339" s="255" t="s">
        <v>76</v>
      </c>
      <c r="G339" s="255" t="s">
        <v>404</v>
      </c>
      <c r="H339" s="255" t="s">
        <v>459</v>
      </c>
      <c r="I339" s="255" t="s">
        <v>460</v>
      </c>
      <c r="J339" s="255">
        <v>25</v>
      </c>
      <c r="K339" s="255" t="s">
        <v>457</v>
      </c>
      <c r="L339" s="305"/>
      <c r="M339" s="299">
        <v>25</v>
      </c>
      <c r="N339" s="779">
        <f t="shared" si="14"/>
        <v>100</v>
      </c>
      <c r="O339" s="300">
        <v>17</v>
      </c>
      <c r="P339" s="311" t="s">
        <v>467</v>
      </c>
      <c r="Q339" s="312"/>
    </row>
    <row r="340" spans="1:18" ht="25.5" x14ac:dyDescent="0.2">
      <c r="A340" s="255" t="s">
        <v>351</v>
      </c>
      <c r="B340" s="255" t="s">
        <v>351</v>
      </c>
      <c r="C340" s="255">
        <v>2018</v>
      </c>
      <c r="D340" s="255" t="s">
        <v>405</v>
      </c>
      <c r="E340" s="255" t="s">
        <v>353</v>
      </c>
      <c r="F340" s="255" t="s">
        <v>76</v>
      </c>
      <c r="G340" s="255" t="s">
        <v>406</v>
      </c>
      <c r="H340" s="255" t="s">
        <v>42</v>
      </c>
      <c r="I340" s="255" t="s">
        <v>456</v>
      </c>
      <c r="J340" s="255">
        <v>250</v>
      </c>
      <c r="K340" s="255" t="s">
        <v>457</v>
      </c>
      <c r="L340" s="305"/>
      <c r="M340" s="299">
        <v>561</v>
      </c>
      <c r="N340" s="779">
        <f t="shared" si="14"/>
        <v>224.4</v>
      </c>
      <c r="O340" s="300">
        <v>39</v>
      </c>
      <c r="P340" s="311" t="s">
        <v>1322</v>
      </c>
      <c r="Q340" s="312" t="s">
        <v>1324</v>
      </c>
    </row>
    <row r="341" spans="1:18" ht="25.5" x14ac:dyDescent="0.2">
      <c r="A341" s="255" t="s">
        <v>351</v>
      </c>
      <c r="B341" s="255" t="s">
        <v>351</v>
      </c>
      <c r="C341" s="255">
        <v>2018</v>
      </c>
      <c r="D341" s="255" t="s">
        <v>405</v>
      </c>
      <c r="E341" s="255" t="s">
        <v>353</v>
      </c>
      <c r="F341" s="255" t="s">
        <v>76</v>
      </c>
      <c r="G341" s="255" t="s">
        <v>406</v>
      </c>
      <c r="H341" s="255" t="s">
        <v>19</v>
      </c>
      <c r="I341" s="255" t="s">
        <v>456</v>
      </c>
      <c r="J341" s="255">
        <v>50</v>
      </c>
      <c r="K341" s="255" t="s">
        <v>457</v>
      </c>
      <c r="L341" s="305"/>
      <c r="M341" s="299">
        <v>234</v>
      </c>
      <c r="N341" s="779">
        <f t="shared" si="14"/>
        <v>468</v>
      </c>
      <c r="O341" s="300">
        <v>28</v>
      </c>
      <c r="P341" s="311" t="s">
        <v>1338</v>
      </c>
      <c r="Q341" s="312" t="s">
        <v>1324</v>
      </c>
    </row>
    <row r="342" spans="1:18" ht="25.5" x14ac:dyDescent="0.2">
      <c r="A342" s="255" t="s">
        <v>351</v>
      </c>
      <c r="B342" s="255" t="s">
        <v>351</v>
      </c>
      <c r="C342" s="255">
        <v>2018</v>
      </c>
      <c r="D342" s="255" t="s">
        <v>405</v>
      </c>
      <c r="E342" s="255" t="s">
        <v>353</v>
      </c>
      <c r="F342" s="255" t="s">
        <v>76</v>
      </c>
      <c r="G342" s="255" t="s">
        <v>406</v>
      </c>
      <c r="H342" s="255" t="s">
        <v>20</v>
      </c>
      <c r="I342" s="255" t="s">
        <v>456</v>
      </c>
      <c r="J342" s="255">
        <v>50</v>
      </c>
      <c r="K342" s="255" t="s">
        <v>457</v>
      </c>
      <c r="L342" s="305"/>
      <c r="M342" s="299">
        <v>234</v>
      </c>
      <c r="N342" s="779">
        <f t="shared" si="14"/>
        <v>468</v>
      </c>
      <c r="O342" s="300">
        <v>28</v>
      </c>
      <c r="P342" s="311" t="s">
        <v>1338</v>
      </c>
      <c r="Q342" s="312" t="s">
        <v>1324</v>
      </c>
    </row>
    <row r="343" spans="1:18" ht="25.5" x14ac:dyDescent="0.2">
      <c r="A343" s="255" t="s">
        <v>351</v>
      </c>
      <c r="B343" s="255" t="s">
        <v>351</v>
      </c>
      <c r="C343" s="255">
        <v>2018</v>
      </c>
      <c r="D343" s="255" t="s">
        <v>405</v>
      </c>
      <c r="E343" s="255" t="s">
        <v>353</v>
      </c>
      <c r="F343" s="255" t="s">
        <v>76</v>
      </c>
      <c r="G343" s="255" t="s">
        <v>406</v>
      </c>
      <c r="H343" s="255" t="s">
        <v>458</v>
      </c>
      <c r="I343" s="255" t="s">
        <v>456</v>
      </c>
      <c r="J343" s="255">
        <v>50</v>
      </c>
      <c r="K343" s="255" t="s">
        <v>457</v>
      </c>
      <c r="L343" s="305"/>
      <c r="M343" s="299">
        <v>234</v>
      </c>
      <c r="N343" s="779">
        <f t="shared" si="14"/>
        <v>468</v>
      </c>
      <c r="O343" s="300">
        <v>28</v>
      </c>
      <c r="P343" s="311" t="s">
        <v>1338</v>
      </c>
      <c r="Q343" s="312" t="s">
        <v>1324</v>
      </c>
    </row>
    <row r="344" spans="1:18" x14ac:dyDescent="0.2">
      <c r="A344" s="255" t="s">
        <v>351</v>
      </c>
      <c r="B344" s="255" t="s">
        <v>351</v>
      </c>
      <c r="C344" s="255">
        <v>2018</v>
      </c>
      <c r="D344" s="255" t="s">
        <v>405</v>
      </c>
      <c r="E344" s="255" t="s">
        <v>353</v>
      </c>
      <c r="F344" s="255" t="s">
        <v>76</v>
      </c>
      <c r="G344" s="255" t="s">
        <v>406</v>
      </c>
      <c r="H344" s="255" t="s">
        <v>459</v>
      </c>
      <c r="I344" s="255" t="s">
        <v>456</v>
      </c>
      <c r="J344" s="255">
        <v>0</v>
      </c>
      <c r="K344" s="255" t="s">
        <v>457</v>
      </c>
      <c r="L344" s="305" t="s">
        <v>462</v>
      </c>
      <c r="M344" s="299">
        <v>0</v>
      </c>
      <c r="N344" s="300" t="s">
        <v>1153</v>
      </c>
      <c r="O344" s="300">
        <v>0</v>
      </c>
      <c r="P344" s="311" t="s">
        <v>1325</v>
      </c>
      <c r="Q344" s="312"/>
    </row>
    <row r="345" spans="1:18" ht="25.5" x14ac:dyDescent="0.2">
      <c r="A345" s="255" t="s">
        <v>351</v>
      </c>
      <c r="B345" s="255" t="s">
        <v>351</v>
      </c>
      <c r="C345" s="255">
        <v>2018</v>
      </c>
      <c r="D345" s="255" t="s">
        <v>405</v>
      </c>
      <c r="E345" s="255" t="s">
        <v>353</v>
      </c>
      <c r="F345" s="255" t="s">
        <v>76</v>
      </c>
      <c r="G345" s="255" t="s">
        <v>406</v>
      </c>
      <c r="H345" s="255" t="s">
        <v>42</v>
      </c>
      <c r="I345" s="255" t="s">
        <v>460</v>
      </c>
      <c r="J345" s="255">
        <v>25</v>
      </c>
      <c r="K345" s="255" t="s">
        <v>457</v>
      </c>
      <c r="L345" s="305"/>
      <c r="M345" s="299">
        <v>9</v>
      </c>
      <c r="N345" s="779">
        <f t="shared" ref="N345:N348" si="15">(100*M345/J345)</f>
        <v>36</v>
      </c>
      <c r="O345" s="300">
        <v>5</v>
      </c>
      <c r="P345" s="311" t="s">
        <v>467</v>
      </c>
      <c r="Q345" s="312" t="s">
        <v>1749</v>
      </c>
      <c r="R345" s="298"/>
    </row>
    <row r="346" spans="1:18" ht="25.5" x14ac:dyDescent="0.2">
      <c r="A346" s="255" t="s">
        <v>351</v>
      </c>
      <c r="B346" s="255" t="s">
        <v>351</v>
      </c>
      <c r="C346" s="255">
        <v>2018</v>
      </c>
      <c r="D346" s="255" t="s">
        <v>405</v>
      </c>
      <c r="E346" s="255" t="s">
        <v>353</v>
      </c>
      <c r="F346" s="255" t="s">
        <v>76</v>
      </c>
      <c r="G346" s="255" t="s">
        <v>406</v>
      </c>
      <c r="H346" s="255" t="s">
        <v>19</v>
      </c>
      <c r="I346" s="255" t="s">
        <v>460</v>
      </c>
      <c r="J346" s="255">
        <v>25</v>
      </c>
      <c r="K346" s="255" t="s">
        <v>457</v>
      </c>
      <c r="L346" s="305"/>
      <c r="M346" s="299">
        <v>7</v>
      </c>
      <c r="N346" s="779">
        <f t="shared" si="15"/>
        <v>28</v>
      </c>
      <c r="O346" s="300">
        <v>5</v>
      </c>
      <c r="P346" s="311" t="s">
        <v>467</v>
      </c>
      <c r="Q346" s="312" t="s">
        <v>1750</v>
      </c>
      <c r="R346" s="298"/>
    </row>
    <row r="347" spans="1:18" ht="25.5" x14ac:dyDescent="0.2">
      <c r="A347" s="255" t="s">
        <v>351</v>
      </c>
      <c r="B347" s="255" t="s">
        <v>351</v>
      </c>
      <c r="C347" s="255">
        <v>2018</v>
      </c>
      <c r="D347" s="255" t="s">
        <v>405</v>
      </c>
      <c r="E347" s="255" t="s">
        <v>353</v>
      </c>
      <c r="F347" s="255" t="s">
        <v>76</v>
      </c>
      <c r="G347" s="255" t="s">
        <v>406</v>
      </c>
      <c r="H347" s="255" t="s">
        <v>20</v>
      </c>
      <c r="I347" s="255" t="s">
        <v>460</v>
      </c>
      <c r="J347" s="255">
        <v>25</v>
      </c>
      <c r="K347" s="255" t="s">
        <v>457</v>
      </c>
      <c r="L347" s="305"/>
      <c r="M347" s="299">
        <v>7</v>
      </c>
      <c r="N347" s="779">
        <f t="shared" si="15"/>
        <v>28</v>
      </c>
      <c r="O347" s="300">
        <v>5</v>
      </c>
      <c r="P347" s="311" t="s">
        <v>467</v>
      </c>
      <c r="Q347" s="312" t="s">
        <v>1750</v>
      </c>
      <c r="R347" s="298"/>
    </row>
    <row r="348" spans="1:18" ht="25.5" x14ac:dyDescent="0.2">
      <c r="A348" s="255" t="s">
        <v>351</v>
      </c>
      <c r="B348" s="255" t="s">
        <v>351</v>
      </c>
      <c r="C348" s="255">
        <v>2018</v>
      </c>
      <c r="D348" s="255" t="s">
        <v>405</v>
      </c>
      <c r="E348" s="255" t="s">
        <v>353</v>
      </c>
      <c r="F348" s="255" t="s">
        <v>76</v>
      </c>
      <c r="G348" s="255" t="s">
        <v>406</v>
      </c>
      <c r="H348" s="255" t="s">
        <v>458</v>
      </c>
      <c r="I348" s="255" t="s">
        <v>460</v>
      </c>
      <c r="J348" s="255">
        <v>25</v>
      </c>
      <c r="K348" s="255" t="s">
        <v>457</v>
      </c>
      <c r="L348" s="305"/>
      <c r="M348" s="299">
        <v>7</v>
      </c>
      <c r="N348" s="779">
        <f t="shared" si="15"/>
        <v>28</v>
      </c>
      <c r="O348" s="300">
        <v>5</v>
      </c>
      <c r="P348" s="311" t="s">
        <v>467</v>
      </c>
      <c r="Q348" s="312" t="s">
        <v>1750</v>
      </c>
      <c r="R348" s="298"/>
    </row>
    <row r="349" spans="1:18" x14ac:dyDescent="0.2">
      <c r="A349" s="255" t="s">
        <v>351</v>
      </c>
      <c r="B349" s="255" t="s">
        <v>351</v>
      </c>
      <c r="C349" s="255">
        <v>2018</v>
      </c>
      <c r="D349" s="255" t="s">
        <v>405</v>
      </c>
      <c r="E349" s="255" t="s">
        <v>353</v>
      </c>
      <c r="F349" s="255" t="s">
        <v>76</v>
      </c>
      <c r="G349" s="255" t="s">
        <v>406</v>
      </c>
      <c r="H349" s="255" t="s">
        <v>459</v>
      </c>
      <c r="I349" s="255" t="s">
        <v>460</v>
      </c>
      <c r="J349" s="255">
        <v>0</v>
      </c>
      <c r="K349" s="255" t="s">
        <v>457</v>
      </c>
      <c r="L349" s="305" t="s">
        <v>462</v>
      </c>
      <c r="M349" s="299">
        <v>7</v>
      </c>
      <c r="N349" s="300" t="s">
        <v>1153</v>
      </c>
      <c r="O349" s="300">
        <v>5</v>
      </c>
      <c r="P349" s="311" t="s">
        <v>1325</v>
      </c>
      <c r="Q349" s="312"/>
      <c r="R349" s="298"/>
    </row>
    <row r="350" spans="1:18" ht="25.5" x14ac:dyDescent="0.2">
      <c r="A350" s="255" t="s">
        <v>351</v>
      </c>
      <c r="B350" s="255" t="s">
        <v>351</v>
      </c>
      <c r="C350" s="255">
        <v>2018</v>
      </c>
      <c r="D350" s="255" t="s">
        <v>408</v>
      </c>
      <c r="E350" s="255" t="s">
        <v>353</v>
      </c>
      <c r="F350" s="255" t="s">
        <v>76</v>
      </c>
      <c r="G350" s="255" t="s">
        <v>409</v>
      </c>
      <c r="H350" s="255" t="s">
        <v>42</v>
      </c>
      <c r="I350" s="255" t="s">
        <v>456</v>
      </c>
      <c r="J350" s="255">
        <v>5000</v>
      </c>
      <c r="K350" s="255" t="s">
        <v>457</v>
      </c>
      <c r="L350" s="305"/>
      <c r="M350" s="299">
        <v>9241</v>
      </c>
      <c r="N350" s="779">
        <f t="shared" ref="N350:N364" si="16">(100*M350/J350)</f>
        <v>184.82</v>
      </c>
      <c r="O350" s="300">
        <v>47</v>
      </c>
      <c r="P350" s="311" t="s">
        <v>1322</v>
      </c>
      <c r="Q350" s="312" t="s">
        <v>1324</v>
      </c>
    </row>
    <row r="351" spans="1:18" x14ac:dyDescent="0.2">
      <c r="A351" s="255" t="s">
        <v>351</v>
      </c>
      <c r="B351" s="255" t="s">
        <v>351</v>
      </c>
      <c r="C351" s="255">
        <v>2018</v>
      </c>
      <c r="D351" s="255" t="s">
        <v>408</v>
      </c>
      <c r="E351" s="255" t="s">
        <v>353</v>
      </c>
      <c r="F351" s="255" t="s">
        <v>76</v>
      </c>
      <c r="G351" s="255" t="s">
        <v>409</v>
      </c>
      <c r="H351" s="255" t="s">
        <v>19</v>
      </c>
      <c r="I351" s="255" t="s">
        <v>456</v>
      </c>
      <c r="J351" s="255">
        <v>2000</v>
      </c>
      <c r="K351" s="255" t="s">
        <v>457</v>
      </c>
      <c r="L351" s="305"/>
      <c r="M351" s="299">
        <v>1904</v>
      </c>
      <c r="N351" s="779">
        <f t="shared" si="16"/>
        <v>95.2</v>
      </c>
      <c r="O351" s="300">
        <v>36</v>
      </c>
      <c r="P351" s="311" t="s">
        <v>1348</v>
      </c>
      <c r="Q351" s="312"/>
    </row>
    <row r="352" spans="1:18" x14ac:dyDescent="0.2">
      <c r="A352" s="255" t="s">
        <v>351</v>
      </c>
      <c r="B352" s="255" t="s">
        <v>351</v>
      </c>
      <c r="C352" s="255">
        <v>2018</v>
      </c>
      <c r="D352" s="255" t="s">
        <v>408</v>
      </c>
      <c r="E352" s="255" t="s">
        <v>353</v>
      </c>
      <c r="F352" s="255" t="s">
        <v>76</v>
      </c>
      <c r="G352" s="255" t="s">
        <v>409</v>
      </c>
      <c r="H352" s="255" t="s">
        <v>20</v>
      </c>
      <c r="I352" s="255" t="s">
        <v>456</v>
      </c>
      <c r="J352" s="255">
        <v>2000</v>
      </c>
      <c r="K352" s="255" t="s">
        <v>457</v>
      </c>
      <c r="L352" s="305"/>
      <c r="M352" s="299">
        <v>1904</v>
      </c>
      <c r="N352" s="779">
        <f t="shared" si="16"/>
        <v>95.2</v>
      </c>
      <c r="O352" s="300">
        <v>36</v>
      </c>
      <c r="P352" s="311" t="s">
        <v>1348</v>
      </c>
      <c r="Q352" s="312"/>
    </row>
    <row r="353" spans="1:17" x14ac:dyDescent="0.2">
      <c r="A353" s="255" t="s">
        <v>351</v>
      </c>
      <c r="B353" s="255" t="s">
        <v>351</v>
      </c>
      <c r="C353" s="255">
        <v>2018</v>
      </c>
      <c r="D353" s="255" t="s">
        <v>408</v>
      </c>
      <c r="E353" s="255" t="s">
        <v>353</v>
      </c>
      <c r="F353" s="255" t="s">
        <v>76</v>
      </c>
      <c r="G353" s="255" t="s">
        <v>409</v>
      </c>
      <c r="H353" s="255" t="s">
        <v>458</v>
      </c>
      <c r="I353" s="255" t="s">
        <v>456</v>
      </c>
      <c r="J353" s="255">
        <v>2000</v>
      </c>
      <c r="K353" s="255" t="s">
        <v>457</v>
      </c>
      <c r="L353" s="305"/>
      <c r="M353" s="299">
        <v>1904</v>
      </c>
      <c r="N353" s="779">
        <f t="shared" si="16"/>
        <v>95.2</v>
      </c>
      <c r="O353" s="300">
        <v>36</v>
      </c>
      <c r="P353" s="311" t="s">
        <v>1348</v>
      </c>
      <c r="Q353" s="312"/>
    </row>
    <row r="354" spans="1:17" x14ac:dyDescent="0.2">
      <c r="A354" s="255" t="s">
        <v>351</v>
      </c>
      <c r="B354" s="255" t="s">
        <v>351</v>
      </c>
      <c r="C354" s="255">
        <v>2018</v>
      </c>
      <c r="D354" s="255" t="s">
        <v>408</v>
      </c>
      <c r="E354" s="255" t="s">
        <v>353</v>
      </c>
      <c r="F354" s="255" t="s">
        <v>76</v>
      </c>
      <c r="G354" s="255" t="s">
        <v>409</v>
      </c>
      <c r="H354" s="255" t="s">
        <v>459</v>
      </c>
      <c r="I354" s="255" t="s">
        <v>456</v>
      </c>
      <c r="J354" s="255">
        <v>2000</v>
      </c>
      <c r="K354" s="255" t="s">
        <v>457</v>
      </c>
      <c r="L354" s="305"/>
      <c r="M354" s="299">
        <v>1904</v>
      </c>
      <c r="N354" s="779">
        <f t="shared" si="16"/>
        <v>95.2</v>
      </c>
      <c r="O354" s="300">
        <v>36</v>
      </c>
      <c r="P354" s="311" t="s">
        <v>1348</v>
      </c>
      <c r="Q354" s="312"/>
    </row>
    <row r="355" spans="1:17" ht="25.5" x14ac:dyDescent="0.2">
      <c r="A355" s="255" t="s">
        <v>351</v>
      </c>
      <c r="B355" s="255" t="s">
        <v>351</v>
      </c>
      <c r="C355" s="255">
        <v>2018</v>
      </c>
      <c r="D355" s="255" t="s">
        <v>408</v>
      </c>
      <c r="E355" s="255" t="s">
        <v>353</v>
      </c>
      <c r="F355" s="255" t="s">
        <v>76</v>
      </c>
      <c r="G355" s="255" t="s">
        <v>409</v>
      </c>
      <c r="H355" s="255" t="s">
        <v>42</v>
      </c>
      <c r="I355" s="255" t="s">
        <v>460</v>
      </c>
      <c r="J355" s="255">
        <v>5000</v>
      </c>
      <c r="K355" s="255" t="s">
        <v>457</v>
      </c>
      <c r="L355" s="305"/>
      <c r="M355" s="299">
        <v>9740</v>
      </c>
      <c r="N355" s="779">
        <f t="shared" si="16"/>
        <v>194.8</v>
      </c>
      <c r="O355" s="300">
        <v>93</v>
      </c>
      <c r="P355" s="311" t="s">
        <v>1322</v>
      </c>
      <c r="Q355" s="312" t="s">
        <v>1324</v>
      </c>
    </row>
    <row r="356" spans="1:17" ht="25.5" x14ac:dyDescent="0.2">
      <c r="A356" s="256" t="s">
        <v>351</v>
      </c>
      <c r="B356" s="256" t="s">
        <v>351</v>
      </c>
      <c r="C356" s="256">
        <v>2018</v>
      </c>
      <c r="D356" s="256" t="s">
        <v>408</v>
      </c>
      <c r="E356" s="256" t="s">
        <v>353</v>
      </c>
      <c r="F356" s="256" t="s">
        <v>76</v>
      </c>
      <c r="G356" s="256" t="s">
        <v>409</v>
      </c>
      <c r="H356" s="256" t="s">
        <v>19</v>
      </c>
      <c r="I356" s="256" t="s">
        <v>460</v>
      </c>
      <c r="J356" s="256">
        <v>500</v>
      </c>
      <c r="K356" s="256" t="s">
        <v>457</v>
      </c>
      <c r="L356" s="388"/>
      <c r="M356" s="299">
        <v>429</v>
      </c>
      <c r="N356" s="779">
        <f t="shared" si="16"/>
        <v>85.8</v>
      </c>
      <c r="O356" s="300">
        <v>90</v>
      </c>
      <c r="P356" s="300" t="s">
        <v>1348</v>
      </c>
      <c r="Q356" s="312" t="s">
        <v>1592</v>
      </c>
    </row>
    <row r="357" spans="1:17" ht="25.5" x14ac:dyDescent="0.2">
      <c r="A357" s="256" t="s">
        <v>351</v>
      </c>
      <c r="B357" s="256" t="s">
        <v>351</v>
      </c>
      <c r="C357" s="256">
        <v>2018</v>
      </c>
      <c r="D357" s="256" t="s">
        <v>408</v>
      </c>
      <c r="E357" s="256" t="s">
        <v>353</v>
      </c>
      <c r="F357" s="256" t="s">
        <v>76</v>
      </c>
      <c r="G357" s="256" t="s">
        <v>409</v>
      </c>
      <c r="H357" s="256" t="s">
        <v>20</v>
      </c>
      <c r="I357" s="256" t="s">
        <v>460</v>
      </c>
      <c r="J357" s="256">
        <v>500</v>
      </c>
      <c r="K357" s="256" t="s">
        <v>457</v>
      </c>
      <c r="L357" s="388"/>
      <c r="M357" s="299">
        <v>429</v>
      </c>
      <c r="N357" s="779">
        <f t="shared" si="16"/>
        <v>85.8</v>
      </c>
      <c r="O357" s="300">
        <v>90</v>
      </c>
      <c r="P357" s="300" t="s">
        <v>1348</v>
      </c>
      <c r="Q357" s="312" t="s">
        <v>1592</v>
      </c>
    </row>
    <row r="358" spans="1:17" ht="25.5" x14ac:dyDescent="0.2">
      <c r="A358" s="256" t="s">
        <v>351</v>
      </c>
      <c r="B358" s="256" t="s">
        <v>351</v>
      </c>
      <c r="C358" s="256">
        <v>2018</v>
      </c>
      <c r="D358" s="256" t="s">
        <v>408</v>
      </c>
      <c r="E358" s="256" t="s">
        <v>353</v>
      </c>
      <c r="F358" s="256" t="s">
        <v>76</v>
      </c>
      <c r="G358" s="256" t="s">
        <v>409</v>
      </c>
      <c r="H358" s="256" t="s">
        <v>458</v>
      </c>
      <c r="I358" s="256" t="s">
        <v>460</v>
      </c>
      <c r="J358" s="256">
        <v>500</v>
      </c>
      <c r="K358" s="256" t="s">
        <v>457</v>
      </c>
      <c r="L358" s="388"/>
      <c r="M358" s="299">
        <v>429</v>
      </c>
      <c r="N358" s="779">
        <f t="shared" si="16"/>
        <v>85.8</v>
      </c>
      <c r="O358" s="300">
        <v>90</v>
      </c>
      <c r="P358" s="300" t="s">
        <v>1348</v>
      </c>
      <c r="Q358" s="312" t="s">
        <v>1592</v>
      </c>
    </row>
    <row r="359" spans="1:17" ht="25.5" x14ac:dyDescent="0.2">
      <c r="A359" s="256" t="s">
        <v>351</v>
      </c>
      <c r="B359" s="256" t="s">
        <v>351</v>
      </c>
      <c r="C359" s="256">
        <v>2018</v>
      </c>
      <c r="D359" s="256" t="s">
        <v>408</v>
      </c>
      <c r="E359" s="256" t="s">
        <v>353</v>
      </c>
      <c r="F359" s="256" t="s">
        <v>76</v>
      </c>
      <c r="G359" s="256" t="s">
        <v>409</v>
      </c>
      <c r="H359" s="256" t="s">
        <v>459</v>
      </c>
      <c r="I359" s="256" t="s">
        <v>460</v>
      </c>
      <c r="J359" s="256">
        <v>500</v>
      </c>
      <c r="K359" s="256" t="s">
        <v>457</v>
      </c>
      <c r="L359" s="388"/>
      <c r="M359" s="299">
        <v>429</v>
      </c>
      <c r="N359" s="779">
        <f t="shared" si="16"/>
        <v>85.8</v>
      </c>
      <c r="O359" s="300">
        <v>90</v>
      </c>
      <c r="P359" s="300" t="s">
        <v>1348</v>
      </c>
      <c r="Q359" s="312" t="s">
        <v>1592</v>
      </c>
    </row>
    <row r="360" spans="1:17" ht="25.5" x14ac:dyDescent="0.2">
      <c r="A360" s="255" t="s">
        <v>351</v>
      </c>
      <c r="B360" s="255" t="s">
        <v>351</v>
      </c>
      <c r="C360" s="255">
        <v>2018</v>
      </c>
      <c r="D360" s="255" t="s">
        <v>410</v>
      </c>
      <c r="E360" s="255" t="s">
        <v>353</v>
      </c>
      <c r="F360" s="255" t="s">
        <v>76</v>
      </c>
      <c r="G360" s="255" t="s">
        <v>367</v>
      </c>
      <c r="H360" s="255" t="s">
        <v>42</v>
      </c>
      <c r="I360" s="255" t="s">
        <v>456</v>
      </c>
      <c r="J360" s="255">
        <v>500</v>
      </c>
      <c r="K360" s="255" t="s">
        <v>457</v>
      </c>
      <c r="L360" s="305"/>
      <c r="M360" s="299">
        <v>962</v>
      </c>
      <c r="N360" s="779">
        <f t="shared" si="16"/>
        <v>192.4</v>
      </c>
      <c r="O360" s="300">
        <v>19</v>
      </c>
      <c r="P360" s="311" t="s">
        <v>1322</v>
      </c>
      <c r="Q360" s="312" t="s">
        <v>1324</v>
      </c>
    </row>
    <row r="361" spans="1:17" ht="25.5" x14ac:dyDescent="0.2">
      <c r="A361" s="255" t="s">
        <v>351</v>
      </c>
      <c r="B361" s="255" t="s">
        <v>351</v>
      </c>
      <c r="C361" s="255">
        <v>2018</v>
      </c>
      <c r="D361" s="255" t="s">
        <v>410</v>
      </c>
      <c r="E361" s="255" t="s">
        <v>353</v>
      </c>
      <c r="F361" s="255" t="s">
        <v>76</v>
      </c>
      <c r="G361" s="255" t="s">
        <v>367</v>
      </c>
      <c r="H361" s="255" t="s">
        <v>19</v>
      </c>
      <c r="I361" s="255" t="s">
        <v>456</v>
      </c>
      <c r="J361" s="255">
        <v>100</v>
      </c>
      <c r="K361" s="255" t="s">
        <v>457</v>
      </c>
      <c r="L361" s="305"/>
      <c r="M361" s="299">
        <v>273</v>
      </c>
      <c r="N361" s="779">
        <f t="shared" si="16"/>
        <v>273</v>
      </c>
      <c r="O361" s="300">
        <v>10</v>
      </c>
      <c r="P361" s="311" t="s">
        <v>1349</v>
      </c>
      <c r="Q361" s="312" t="s">
        <v>1324</v>
      </c>
    </row>
    <row r="362" spans="1:17" ht="25.5" x14ac:dyDescent="0.2">
      <c r="A362" s="255" t="s">
        <v>351</v>
      </c>
      <c r="B362" s="255" t="s">
        <v>351</v>
      </c>
      <c r="C362" s="255">
        <v>2018</v>
      </c>
      <c r="D362" s="255" t="s">
        <v>410</v>
      </c>
      <c r="E362" s="255" t="s">
        <v>353</v>
      </c>
      <c r="F362" s="255" t="s">
        <v>76</v>
      </c>
      <c r="G362" s="255" t="s">
        <v>367</v>
      </c>
      <c r="H362" s="255" t="s">
        <v>20</v>
      </c>
      <c r="I362" s="255" t="s">
        <v>456</v>
      </c>
      <c r="J362" s="255">
        <v>100</v>
      </c>
      <c r="K362" s="255" t="s">
        <v>457</v>
      </c>
      <c r="L362" s="305"/>
      <c r="M362" s="299">
        <v>273</v>
      </c>
      <c r="N362" s="779">
        <f t="shared" si="16"/>
        <v>273</v>
      </c>
      <c r="O362" s="300">
        <v>10</v>
      </c>
      <c r="P362" s="311" t="s">
        <v>1349</v>
      </c>
      <c r="Q362" s="312" t="s">
        <v>1324</v>
      </c>
    </row>
    <row r="363" spans="1:17" ht="25.5" x14ac:dyDescent="0.2">
      <c r="A363" s="255" t="s">
        <v>351</v>
      </c>
      <c r="B363" s="255" t="s">
        <v>351</v>
      </c>
      <c r="C363" s="255">
        <v>2018</v>
      </c>
      <c r="D363" s="255" t="s">
        <v>410</v>
      </c>
      <c r="E363" s="255" t="s">
        <v>353</v>
      </c>
      <c r="F363" s="255" t="s">
        <v>76</v>
      </c>
      <c r="G363" s="255" t="s">
        <v>367</v>
      </c>
      <c r="H363" s="255" t="s">
        <v>458</v>
      </c>
      <c r="I363" s="255" t="s">
        <v>456</v>
      </c>
      <c r="J363" s="255">
        <v>50</v>
      </c>
      <c r="K363" s="255" t="s">
        <v>457</v>
      </c>
      <c r="L363" s="305"/>
      <c r="M363" s="299">
        <v>273</v>
      </c>
      <c r="N363" s="779">
        <f t="shared" si="16"/>
        <v>546</v>
      </c>
      <c r="O363" s="300">
        <v>10</v>
      </c>
      <c r="P363" s="311" t="s">
        <v>1349</v>
      </c>
      <c r="Q363" s="312" t="s">
        <v>1324</v>
      </c>
    </row>
    <row r="364" spans="1:17" ht="38.25" x14ac:dyDescent="0.2">
      <c r="A364" s="255" t="s">
        <v>351</v>
      </c>
      <c r="B364" s="255" t="s">
        <v>351</v>
      </c>
      <c r="C364" s="255">
        <v>2018</v>
      </c>
      <c r="D364" s="255" t="s">
        <v>410</v>
      </c>
      <c r="E364" s="255" t="s">
        <v>353</v>
      </c>
      <c r="F364" s="255" t="s">
        <v>76</v>
      </c>
      <c r="G364" s="255" t="s">
        <v>367</v>
      </c>
      <c r="H364" s="255" t="s">
        <v>459</v>
      </c>
      <c r="I364" s="255" t="s">
        <v>456</v>
      </c>
      <c r="J364" s="255">
        <v>50</v>
      </c>
      <c r="K364" s="255" t="s">
        <v>457</v>
      </c>
      <c r="L364" s="305"/>
      <c r="M364" s="299">
        <v>0</v>
      </c>
      <c r="N364" s="779">
        <f t="shared" si="16"/>
        <v>0</v>
      </c>
      <c r="O364" s="300">
        <v>0</v>
      </c>
      <c r="P364" s="311" t="s">
        <v>1349</v>
      </c>
      <c r="Q364" s="312" t="s">
        <v>1737</v>
      </c>
    </row>
    <row r="365" spans="1:17" x14ac:dyDescent="0.2">
      <c r="A365" s="255" t="s">
        <v>351</v>
      </c>
      <c r="B365" s="255" t="s">
        <v>351</v>
      </c>
      <c r="C365" s="255">
        <v>2018</v>
      </c>
      <c r="D365" s="255" t="s">
        <v>410</v>
      </c>
      <c r="E365" s="255" t="s">
        <v>353</v>
      </c>
      <c r="F365" s="255" t="s">
        <v>76</v>
      </c>
      <c r="G365" s="255" t="s">
        <v>367</v>
      </c>
      <c r="H365" s="255" t="s">
        <v>42</v>
      </c>
      <c r="I365" s="255" t="s">
        <v>460</v>
      </c>
      <c r="J365" s="255">
        <v>0</v>
      </c>
      <c r="K365" s="255" t="s">
        <v>457</v>
      </c>
      <c r="L365" s="305" t="s">
        <v>463</v>
      </c>
      <c r="M365" s="299">
        <v>2</v>
      </c>
      <c r="N365" s="300" t="s">
        <v>1153</v>
      </c>
      <c r="O365" s="300">
        <v>1</v>
      </c>
      <c r="P365" s="311" t="s">
        <v>1325</v>
      </c>
      <c r="Q365" s="312"/>
    </row>
    <row r="366" spans="1:17" x14ac:dyDescent="0.2">
      <c r="A366" s="255" t="s">
        <v>351</v>
      </c>
      <c r="B366" s="255" t="s">
        <v>351</v>
      </c>
      <c r="C366" s="255">
        <v>2018</v>
      </c>
      <c r="D366" s="255" t="s">
        <v>410</v>
      </c>
      <c r="E366" s="255" t="s">
        <v>353</v>
      </c>
      <c r="F366" s="255" t="s">
        <v>76</v>
      </c>
      <c r="G366" s="255" t="s">
        <v>367</v>
      </c>
      <c r="H366" s="255" t="s">
        <v>19</v>
      </c>
      <c r="I366" s="255" t="s">
        <v>460</v>
      </c>
      <c r="J366" s="255">
        <v>0</v>
      </c>
      <c r="K366" s="255" t="s">
        <v>457</v>
      </c>
      <c r="L366" s="305" t="s">
        <v>463</v>
      </c>
      <c r="M366" s="299">
        <v>2</v>
      </c>
      <c r="N366" s="300" t="s">
        <v>1153</v>
      </c>
      <c r="O366" s="300">
        <v>1</v>
      </c>
      <c r="P366" s="311" t="s">
        <v>1325</v>
      </c>
      <c r="Q366" s="312"/>
    </row>
    <row r="367" spans="1:17" x14ac:dyDescent="0.2">
      <c r="A367" s="255" t="s">
        <v>351</v>
      </c>
      <c r="B367" s="255" t="s">
        <v>351</v>
      </c>
      <c r="C367" s="255">
        <v>2018</v>
      </c>
      <c r="D367" s="255" t="s">
        <v>410</v>
      </c>
      <c r="E367" s="255" t="s">
        <v>353</v>
      </c>
      <c r="F367" s="255" t="s">
        <v>76</v>
      </c>
      <c r="G367" s="255" t="s">
        <v>367</v>
      </c>
      <c r="H367" s="255" t="s">
        <v>20</v>
      </c>
      <c r="I367" s="255" t="s">
        <v>460</v>
      </c>
      <c r="J367" s="255">
        <v>0</v>
      </c>
      <c r="K367" s="255" t="s">
        <v>457</v>
      </c>
      <c r="L367" s="305" t="s">
        <v>463</v>
      </c>
      <c r="M367" s="299">
        <v>2</v>
      </c>
      <c r="N367" s="300" t="s">
        <v>1153</v>
      </c>
      <c r="O367" s="300">
        <v>1</v>
      </c>
      <c r="P367" s="311" t="s">
        <v>1325</v>
      </c>
      <c r="Q367" s="312"/>
    </row>
    <row r="368" spans="1:17" x14ac:dyDescent="0.2">
      <c r="A368" s="255" t="s">
        <v>351</v>
      </c>
      <c r="B368" s="255" t="s">
        <v>351</v>
      </c>
      <c r="C368" s="255">
        <v>2018</v>
      </c>
      <c r="D368" s="255" t="s">
        <v>410</v>
      </c>
      <c r="E368" s="255" t="s">
        <v>353</v>
      </c>
      <c r="F368" s="255" t="s">
        <v>76</v>
      </c>
      <c r="G368" s="255" t="s">
        <v>367</v>
      </c>
      <c r="H368" s="255" t="s">
        <v>458</v>
      </c>
      <c r="I368" s="255" t="s">
        <v>460</v>
      </c>
      <c r="J368" s="255">
        <v>0</v>
      </c>
      <c r="K368" s="255" t="s">
        <v>457</v>
      </c>
      <c r="L368" s="305" t="s">
        <v>463</v>
      </c>
      <c r="M368" s="299">
        <v>2</v>
      </c>
      <c r="N368" s="300" t="s">
        <v>1153</v>
      </c>
      <c r="O368" s="300">
        <v>1</v>
      </c>
      <c r="P368" s="311" t="s">
        <v>1325</v>
      </c>
      <c r="Q368" s="312"/>
    </row>
    <row r="369" spans="1:17" x14ac:dyDescent="0.2">
      <c r="A369" s="255" t="s">
        <v>351</v>
      </c>
      <c r="B369" s="255" t="s">
        <v>351</v>
      </c>
      <c r="C369" s="255">
        <v>2018</v>
      </c>
      <c r="D369" s="255" t="s">
        <v>410</v>
      </c>
      <c r="E369" s="255" t="s">
        <v>353</v>
      </c>
      <c r="F369" s="255" t="s">
        <v>76</v>
      </c>
      <c r="G369" s="255" t="s">
        <v>367</v>
      </c>
      <c r="H369" s="255" t="s">
        <v>459</v>
      </c>
      <c r="I369" s="255" t="s">
        <v>460</v>
      </c>
      <c r="J369" s="255">
        <v>0</v>
      </c>
      <c r="K369" s="255" t="s">
        <v>457</v>
      </c>
      <c r="L369" s="305" t="s">
        <v>463</v>
      </c>
      <c r="M369" s="299">
        <v>2</v>
      </c>
      <c r="N369" s="300" t="s">
        <v>1153</v>
      </c>
      <c r="O369" s="300">
        <v>1</v>
      </c>
      <c r="P369" s="311" t="s">
        <v>1325</v>
      </c>
      <c r="Q369" s="312"/>
    </row>
    <row r="370" spans="1:17" ht="25.5" x14ac:dyDescent="0.2">
      <c r="A370" s="255" t="s">
        <v>351</v>
      </c>
      <c r="B370" s="255" t="s">
        <v>351</v>
      </c>
      <c r="C370" s="255">
        <v>2018</v>
      </c>
      <c r="D370" s="255" t="s">
        <v>410</v>
      </c>
      <c r="E370" s="255" t="s">
        <v>353</v>
      </c>
      <c r="F370" s="255" t="s">
        <v>76</v>
      </c>
      <c r="G370" s="255" t="s">
        <v>399</v>
      </c>
      <c r="H370" s="255" t="s">
        <v>42</v>
      </c>
      <c r="I370" s="255" t="s">
        <v>456</v>
      </c>
      <c r="J370" s="255">
        <v>500</v>
      </c>
      <c r="K370" s="255" t="s">
        <v>457</v>
      </c>
      <c r="L370" s="305"/>
      <c r="M370" s="299">
        <v>948</v>
      </c>
      <c r="N370" s="779">
        <f t="shared" ref="N370" si="17">(100*M370/J370)</f>
        <v>189.6</v>
      </c>
      <c r="O370" s="300">
        <v>16</v>
      </c>
      <c r="P370" s="311" t="s">
        <v>1322</v>
      </c>
      <c r="Q370" s="312" t="s">
        <v>1324</v>
      </c>
    </row>
    <row r="371" spans="1:17" x14ac:dyDescent="0.2">
      <c r="A371" s="255" t="s">
        <v>351</v>
      </c>
      <c r="B371" s="255" t="s">
        <v>351</v>
      </c>
      <c r="C371" s="255">
        <v>2018</v>
      </c>
      <c r="D371" s="255" t="s">
        <v>410</v>
      </c>
      <c r="E371" s="255" t="s">
        <v>353</v>
      </c>
      <c r="F371" s="255" t="s">
        <v>76</v>
      </c>
      <c r="G371" s="255" t="s">
        <v>399</v>
      </c>
      <c r="H371" s="255" t="s">
        <v>19</v>
      </c>
      <c r="I371" s="255" t="s">
        <v>456</v>
      </c>
      <c r="J371" s="255">
        <v>0</v>
      </c>
      <c r="K371" s="255" t="s">
        <v>457</v>
      </c>
      <c r="L371" s="305" t="s">
        <v>462</v>
      </c>
      <c r="M371" s="299">
        <v>376</v>
      </c>
      <c r="N371" s="300" t="s">
        <v>1153</v>
      </c>
      <c r="O371" s="300">
        <v>13</v>
      </c>
      <c r="P371" s="311" t="s">
        <v>1325</v>
      </c>
      <c r="Q371" s="312"/>
    </row>
    <row r="372" spans="1:17" ht="25.5" x14ac:dyDescent="0.2">
      <c r="A372" s="255" t="s">
        <v>351</v>
      </c>
      <c r="B372" s="255" t="s">
        <v>351</v>
      </c>
      <c r="C372" s="255">
        <v>2018</v>
      </c>
      <c r="D372" s="255" t="s">
        <v>410</v>
      </c>
      <c r="E372" s="255" t="s">
        <v>353</v>
      </c>
      <c r="F372" s="255" t="s">
        <v>76</v>
      </c>
      <c r="G372" s="255" t="s">
        <v>399</v>
      </c>
      <c r="H372" s="255" t="s">
        <v>20</v>
      </c>
      <c r="I372" s="255" t="s">
        <v>456</v>
      </c>
      <c r="J372" s="255">
        <v>50</v>
      </c>
      <c r="K372" s="255" t="s">
        <v>457</v>
      </c>
      <c r="L372" s="305"/>
      <c r="M372" s="299">
        <v>376</v>
      </c>
      <c r="N372" s="779">
        <f t="shared" ref="N372:N400" si="18">(100*M372/J372)</f>
        <v>752</v>
      </c>
      <c r="O372" s="300">
        <v>13</v>
      </c>
      <c r="P372" s="311" t="s">
        <v>1349</v>
      </c>
      <c r="Q372" s="312" t="s">
        <v>1324</v>
      </c>
    </row>
    <row r="373" spans="1:17" ht="25.5" x14ac:dyDescent="0.2">
      <c r="A373" s="255" t="s">
        <v>351</v>
      </c>
      <c r="B373" s="255" t="s">
        <v>351</v>
      </c>
      <c r="C373" s="255">
        <v>2018</v>
      </c>
      <c r="D373" s="255" t="s">
        <v>410</v>
      </c>
      <c r="E373" s="255" t="s">
        <v>353</v>
      </c>
      <c r="F373" s="255" t="s">
        <v>76</v>
      </c>
      <c r="G373" s="255" t="s">
        <v>399</v>
      </c>
      <c r="H373" s="255" t="s">
        <v>458</v>
      </c>
      <c r="I373" s="255" t="s">
        <v>456</v>
      </c>
      <c r="J373" s="255">
        <v>50</v>
      </c>
      <c r="K373" s="255" t="s">
        <v>457</v>
      </c>
      <c r="L373" s="305"/>
      <c r="M373" s="299">
        <v>375</v>
      </c>
      <c r="N373" s="779">
        <f t="shared" si="18"/>
        <v>750</v>
      </c>
      <c r="O373" s="300">
        <v>13</v>
      </c>
      <c r="P373" s="311" t="s">
        <v>1349</v>
      </c>
      <c r="Q373" s="312" t="s">
        <v>1324</v>
      </c>
    </row>
    <row r="374" spans="1:17" ht="25.5" x14ac:dyDescent="0.2">
      <c r="A374" s="255" t="s">
        <v>351</v>
      </c>
      <c r="B374" s="255" t="s">
        <v>351</v>
      </c>
      <c r="C374" s="255">
        <v>2018</v>
      </c>
      <c r="D374" s="255" t="s">
        <v>410</v>
      </c>
      <c r="E374" s="255" t="s">
        <v>353</v>
      </c>
      <c r="F374" s="255" t="s">
        <v>76</v>
      </c>
      <c r="G374" s="255" t="s">
        <v>399</v>
      </c>
      <c r="H374" s="255" t="s">
        <v>459</v>
      </c>
      <c r="I374" s="255" t="s">
        <v>456</v>
      </c>
      <c r="J374" s="255">
        <v>50</v>
      </c>
      <c r="K374" s="255" t="s">
        <v>457</v>
      </c>
      <c r="L374" s="305"/>
      <c r="M374" s="299">
        <v>178</v>
      </c>
      <c r="N374" s="779">
        <f t="shared" si="18"/>
        <v>356</v>
      </c>
      <c r="O374" s="300">
        <v>6</v>
      </c>
      <c r="P374" s="311" t="s">
        <v>1349</v>
      </c>
      <c r="Q374" s="312" t="s">
        <v>1324</v>
      </c>
    </row>
    <row r="375" spans="1:17" ht="25.5" x14ac:dyDescent="0.2">
      <c r="A375" s="255" t="s">
        <v>351</v>
      </c>
      <c r="B375" s="255" t="s">
        <v>351</v>
      </c>
      <c r="C375" s="255">
        <v>2018</v>
      </c>
      <c r="D375" s="255" t="s">
        <v>410</v>
      </c>
      <c r="E375" s="255" t="s">
        <v>353</v>
      </c>
      <c r="F375" s="255" t="s">
        <v>76</v>
      </c>
      <c r="G375" s="255" t="s">
        <v>399</v>
      </c>
      <c r="H375" s="255" t="s">
        <v>42</v>
      </c>
      <c r="I375" s="255" t="s">
        <v>460</v>
      </c>
      <c r="J375" s="255">
        <v>50</v>
      </c>
      <c r="K375" s="255" t="s">
        <v>457</v>
      </c>
      <c r="L375" s="305"/>
      <c r="M375" s="299">
        <v>185</v>
      </c>
      <c r="N375" s="779">
        <f t="shared" si="18"/>
        <v>370</v>
      </c>
      <c r="O375" s="300">
        <v>27</v>
      </c>
      <c r="P375" s="311" t="s">
        <v>467</v>
      </c>
      <c r="Q375" s="312" t="s">
        <v>1324</v>
      </c>
    </row>
    <row r="376" spans="1:17" ht="25.5" x14ac:dyDescent="0.2">
      <c r="A376" s="255" t="s">
        <v>351</v>
      </c>
      <c r="B376" s="255" t="s">
        <v>351</v>
      </c>
      <c r="C376" s="255">
        <v>2018</v>
      </c>
      <c r="D376" s="255" t="s">
        <v>410</v>
      </c>
      <c r="E376" s="255" t="s">
        <v>353</v>
      </c>
      <c r="F376" s="255" t="s">
        <v>76</v>
      </c>
      <c r="G376" s="255" t="s">
        <v>399</v>
      </c>
      <c r="H376" s="255" t="s">
        <v>19</v>
      </c>
      <c r="I376" s="255" t="s">
        <v>460</v>
      </c>
      <c r="J376" s="255">
        <v>50</v>
      </c>
      <c r="K376" s="255" t="s">
        <v>457</v>
      </c>
      <c r="L376" s="305" t="s">
        <v>462</v>
      </c>
      <c r="M376" s="299">
        <v>144</v>
      </c>
      <c r="N376" s="779">
        <f t="shared" si="18"/>
        <v>288</v>
      </c>
      <c r="O376" s="300">
        <v>20</v>
      </c>
      <c r="P376" s="311" t="s">
        <v>467</v>
      </c>
      <c r="Q376" s="312" t="s">
        <v>1324</v>
      </c>
    </row>
    <row r="377" spans="1:17" ht="25.5" x14ac:dyDescent="0.2">
      <c r="A377" s="255" t="s">
        <v>351</v>
      </c>
      <c r="B377" s="255" t="s">
        <v>351</v>
      </c>
      <c r="C377" s="255">
        <v>2018</v>
      </c>
      <c r="D377" s="255" t="s">
        <v>410</v>
      </c>
      <c r="E377" s="255" t="s">
        <v>353</v>
      </c>
      <c r="F377" s="255" t="s">
        <v>76</v>
      </c>
      <c r="G377" s="255" t="s">
        <v>399</v>
      </c>
      <c r="H377" s="255" t="s">
        <v>20</v>
      </c>
      <c r="I377" s="255" t="s">
        <v>460</v>
      </c>
      <c r="J377" s="255">
        <v>50</v>
      </c>
      <c r="K377" s="255" t="s">
        <v>457</v>
      </c>
      <c r="L377" s="305"/>
      <c r="M377" s="299">
        <v>144</v>
      </c>
      <c r="N377" s="779">
        <f t="shared" si="18"/>
        <v>288</v>
      </c>
      <c r="O377" s="300">
        <v>20</v>
      </c>
      <c r="P377" s="311" t="s">
        <v>467</v>
      </c>
      <c r="Q377" s="312" t="s">
        <v>1324</v>
      </c>
    </row>
    <row r="378" spans="1:17" ht="25.5" x14ac:dyDescent="0.2">
      <c r="A378" s="255" t="s">
        <v>351</v>
      </c>
      <c r="B378" s="255" t="s">
        <v>351</v>
      </c>
      <c r="C378" s="255">
        <v>2018</v>
      </c>
      <c r="D378" s="255" t="s">
        <v>410</v>
      </c>
      <c r="E378" s="255" t="s">
        <v>353</v>
      </c>
      <c r="F378" s="255" t="s">
        <v>76</v>
      </c>
      <c r="G378" s="255" t="s">
        <v>399</v>
      </c>
      <c r="H378" s="255" t="s">
        <v>458</v>
      </c>
      <c r="I378" s="255" t="s">
        <v>460</v>
      </c>
      <c r="J378" s="255">
        <v>50</v>
      </c>
      <c r="K378" s="255" t="s">
        <v>457</v>
      </c>
      <c r="L378" s="305"/>
      <c r="M378" s="299">
        <v>144</v>
      </c>
      <c r="N378" s="779">
        <f t="shared" si="18"/>
        <v>288</v>
      </c>
      <c r="O378" s="300">
        <v>20</v>
      </c>
      <c r="P378" s="311" t="s">
        <v>467</v>
      </c>
      <c r="Q378" s="312" t="s">
        <v>1324</v>
      </c>
    </row>
    <row r="379" spans="1:17" ht="25.5" x14ac:dyDescent="0.2">
      <c r="A379" s="255" t="s">
        <v>351</v>
      </c>
      <c r="B379" s="255" t="s">
        <v>351</v>
      </c>
      <c r="C379" s="255">
        <v>2018</v>
      </c>
      <c r="D379" s="255" t="s">
        <v>410</v>
      </c>
      <c r="E379" s="255" t="s">
        <v>353</v>
      </c>
      <c r="F379" s="255" t="s">
        <v>76</v>
      </c>
      <c r="G379" s="255" t="s">
        <v>399</v>
      </c>
      <c r="H379" s="255" t="s">
        <v>459</v>
      </c>
      <c r="I379" s="255" t="s">
        <v>460</v>
      </c>
      <c r="J379" s="255">
        <v>50</v>
      </c>
      <c r="K379" s="255" t="s">
        <v>457</v>
      </c>
      <c r="L379" s="305"/>
      <c r="M379" s="299">
        <v>144</v>
      </c>
      <c r="N379" s="779">
        <f t="shared" si="18"/>
        <v>288</v>
      </c>
      <c r="O379" s="300">
        <v>20</v>
      </c>
      <c r="P379" s="311" t="s">
        <v>467</v>
      </c>
      <c r="Q379" s="312" t="s">
        <v>1324</v>
      </c>
    </row>
    <row r="380" spans="1:17" ht="25.5" x14ac:dyDescent="0.2">
      <c r="A380" s="255" t="s">
        <v>351</v>
      </c>
      <c r="B380" s="255" t="s">
        <v>351</v>
      </c>
      <c r="C380" s="255">
        <v>2018</v>
      </c>
      <c r="D380" s="255" t="s">
        <v>410</v>
      </c>
      <c r="E380" s="255" t="s">
        <v>353</v>
      </c>
      <c r="F380" s="255" t="s">
        <v>76</v>
      </c>
      <c r="G380" s="255" t="s">
        <v>411</v>
      </c>
      <c r="H380" s="255" t="s">
        <v>42</v>
      </c>
      <c r="I380" s="255" t="s">
        <v>456</v>
      </c>
      <c r="J380" s="255">
        <v>1500</v>
      </c>
      <c r="K380" s="255" t="s">
        <v>457</v>
      </c>
      <c r="L380" s="305"/>
      <c r="M380" s="299">
        <v>3703</v>
      </c>
      <c r="N380" s="779">
        <f t="shared" si="18"/>
        <v>246.86666666666667</v>
      </c>
      <c r="O380" s="300">
        <v>53</v>
      </c>
      <c r="P380" s="311" t="s">
        <v>1322</v>
      </c>
      <c r="Q380" s="312" t="s">
        <v>1324</v>
      </c>
    </row>
    <row r="381" spans="1:17" ht="25.5" x14ac:dyDescent="0.2">
      <c r="A381" s="255" t="s">
        <v>351</v>
      </c>
      <c r="B381" s="255" t="s">
        <v>351</v>
      </c>
      <c r="C381" s="255">
        <v>2018</v>
      </c>
      <c r="D381" s="255" t="s">
        <v>410</v>
      </c>
      <c r="E381" s="255" t="s">
        <v>353</v>
      </c>
      <c r="F381" s="255" t="s">
        <v>76</v>
      </c>
      <c r="G381" s="255" t="s">
        <v>411</v>
      </c>
      <c r="H381" s="255" t="s">
        <v>19</v>
      </c>
      <c r="I381" s="255" t="s">
        <v>456</v>
      </c>
      <c r="J381" s="255">
        <v>750</v>
      </c>
      <c r="K381" s="255" t="s">
        <v>457</v>
      </c>
      <c r="L381" s="305"/>
      <c r="M381" s="299">
        <v>1159</v>
      </c>
      <c r="N381" s="779">
        <f t="shared" si="18"/>
        <v>154.53333333333333</v>
      </c>
      <c r="O381" s="300">
        <v>43</v>
      </c>
      <c r="P381" s="311" t="s">
        <v>1349</v>
      </c>
      <c r="Q381" s="312" t="s">
        <v>1324</v>
      </c>
    </row>
    <row r="382" spans="1:17" ht="25.5" x14ac:dyDescent="0.2">
      <c r="A382" s="255" t="s">
        <v>351</v>
      </c>
      <c r="B382" s="255" t="s">
        <v>351</v>
      </c>
      <c r="C382" s="255">
        <v>2018</v>
      </c>
      <c r="D382" s="255" t="s">
        <v>410</v>
      </c>
      <c r="E382" s="255" t="s">
        <v>353</v>
      </c>
      <c r="F382" s="255" t="s">
        <v>76</v>
      </c>
      <c r="G382" s="255" t="s">
        <v>411</v>
      </c>
      <c r="H382" s="255" t="s">
        <v>20</v>
      </c>
      <c r="I382" s="255" t="s">
        <v>456</v>
      </c>
      <c r="J382" s="255">
        <v>750</v>
      </c>
      <c r="K382" s="255" t="s">
        <v>457</v>
      </c>
      <c r="L382" s="305"/>
      <c r="M382" s="299">
        <v>1159</v>
      </c>
      <c r="N382" s="779">
        <f t="shared" si="18"/>
        <v>154.53333333333333</v>
      </c>
      <c r="O382" s="300">
        <v>43</v>
      </c>
      <c r="P382" s="311" t="s">
        <v>1349</v>
      </c>
      <c r="Q382" s="312" t="s">
        <v>1324</v>
      </c>
    </row>
    <row r="383" spans="1:17" ht="25.5" x14ac:dyDescent="0.2">
      <c r="A383" s="255" t="s">
        <v>351</v>
      </c>
      <c r="B383" s="255" t="s">
        <v>351</v>
      </c>
      <c r="C383" s="255">
        <v>2018</v>
      </c>
      <c r="D383" s="255" t="s">
        <v>410</v>
      </c>
      <c r="E383" s="255" t="s">
        <v>353</v>
      </c>
      <c r="F383" s="255" t="s">
        <v>76</v>
      </c>
      <c r="G383" s="255" t="s">
        <v>411</v>
      </c>
      <c r="H383" s="255" t="s">
        <v>458</v>
      </c>
      <c r="I383" s="255" t="s">
        <v>456</v>
      </c>
      <c r="J383" s="255">
        <v>750</v>
      </c>
      <c r="K383" s="255" t="s">
        <v>457</v>
      </c>
      <c r="L383" s="305"/>
      <c r="M383" s="299">
        <v>1159</v>
      </c>
      <c r="N383" s="779">
        <f t="shared" si="18"/>
        <v>154.53333333333333</v>
      </c>
      <c r="O383" s="300">
        <v>43</v>
      </c>
      <c r="P383" s="311" t="s">
        <v>1349</v>
      </c>
      <c r="Q383" s="312" t="s">
        <v>1324</v>
      </c>
    </row>
    <row r="384" spans="1:17" ht="38.25" x14ac:dyDescent="0.2">
      <c r="A384" s="255" t="s">
        <v>351</v>
      </c>
      <c r="B384" s="255" t="s">
        <v>351</v>
      </c>
      <c r="C384" s="255">
        <v>2018</v>
      </c>
      <c r="D384" s="255" t="s">
        <v>410</v>
      </c>
      <c r="E384" s="255" t="s">
        <v>353</v>
      </c>
      <c r="F384" s="255" t="s">
        <v>76</v>
      </c>
      <c r="G384" s="255" t="s">
        <v>411</v>
      </c>
      <c r="H384" s="255" t="s">
        <v>459</v>
      </c>
      <c r="I384" s="255" t="s">
        <v>456</v>
      </c>
      <c r="J384" s="255">
        <v>100</v>
      </c>
      <c r="K384" s="255" t="s">
        <v>457</v>
      </c>
      <c r="L384" s="305"/>
      <c r="M384" s="299">
        <v>32</v>
      </c>
      <c r="N384" s="779">
        <f t="shared" si="18"/>
        <v>32</v>
      </c>
      <c r="O384" s="300">
        <v>1</v>
      </c>
      <c r="P384" s="311" t="s">
        <v>1349</v>
      </c>
      <c r="Q384" s="312" t="s">
        <v>1737</v>
      </c>
    </row>
    <row r="385" spans="1:17" ht="25.5" x14ac:dyDescent="0.2">
      <c r="A385" s="255" t="s">
        <v>351</v>
      </c>
      <c r="B385" s="255" t="s">
        <v>351</v>
      </c>
      <c r="C385" s="255">
        <v>2018</v>
      </c>
      <c r="D385" s="255" t="s">
        <v>410</v>
      </c>
      <c r="E385" s="255" t="s">
        <v>353</v>
      </c>
      <c r="F385" s="255" t="s">
        <v>76</v>
      </c>
      <c r="G385" s="255" t="s">
        <v>411</v>
      </c>
      <c r="H385" s="255" t="s">
        <v>42</v>
      </c>
      <c r="I385" s="255" t="s">
        <v>460</v>
      </c>
      <c r="J385" s="255">
        <v>25</v>
      </c>
      <c r="K385" s="255" t="s">
        <v>457</v>
      </c>
      <c r="L385" s="305"/>
      <c r="M385" s="299">
        <v>323</v>
      </c>
      <c r="N385" s="779">
        <f t="shared" si="18"/>
        <v>1292</v>
      </c>
      <c r="O385" s="300">
        <v>20</v>
      </c>
      <c r="P385" s="311" t="s">
        <v>467</v>
      </c>
      <c r="Q385" s="312" t="s">
        <v>1324</v>
      </c>
    </row>
    <row r="386" spans="1:17" ht="25.5" x14ac:dyDescent="0.2">
      <c r="A386" s="255" t="s">
        <v>351</v>
      </c>
      <c r="B386" s="255" t="s">
        <v>351</v>
      </c>
      <c r="C386" s="255">
        <v>2018</v>
      </c>
      <c r="D386" s="255" t="s">
        <v>410</v>
      </c>
      <c r="E386" s="255" t="s">
        <v>353</v>
      </c>
      <c r="F386" s="255" t="s">
        <v>76</v>
      </c>
      <c r="G386" s="255" t="s">
        <v>411</v>
      </c>
      <c r="H386" s="255" t="s">
        <v>19</v>
      </c>
      <c r="I386" s="255" t="s">
        <v>460</v>
      </c>
      <c r="J386" s="255">
        <v>25</v>
      </c>
      <c r="K386" s="255" t="s">
        <v>457</v>
      </c>
      <c r="L386" s="305"/>
      <c r="M386" s="299">
        <v>141</v>
      </c>
      <c r="N386" s="779">
        <f t="shared" si="18"/>
        <v>564</v>
      </c>
      <c r="O386" s="300">
        <v>20</v>
      </c>
      <c r="P386" s="311" t="s">
        <v>467</v>
      </c>
      <c r="Q386" s="312" t="s">
        <v>1324</v>
      </c>
    </row>
    <row r="387" spans="1:17" ht="25.5" x14ac:dyDescent="0.2">
      <c r="A387" s="255" t="s">
        <v>351</v>
      </c>
      <c r="B387" s="255" t="s">
        <v>351</v>
      </c>
      <c r="C387" s="255">
        <v>2018</v>
      </c>
      <c r="D387" s="255" t="s">
        <v>410</v>
      </c>
      <c r="E387" s="255" t="s">
        <v>353</v>
      </c>
      <c r="F387" s="255" t="s">
        <v>76</v>
      </c>
      <c r="G387" s="255" t="s">
        <v>411</v>
      </c>
      <c r="H387" s="255" t="s">
        <v>20</v>
      </c>
      <c r="I387" s="255" t="s">
        <v>460</v>
      </c>
      <c r="J387" s="255">
        <v>25</v>
      </c>
      <c r="K387" s="255" t="s">
        <v>457</v>
      </c>
      <c r="L387" s="305"/>
      <c r="M387" s="299">
        <v>141</v>
      </c>
      <c r="N387" s="779">
        <f t="shared" si="18"/>
        <v>564</v>
      </c>
      <c r="O387" s="300">
        <v>20</v>
      </c>
      <c r="P387" s="311" t="s">
        <v>467</v>
      </c>
      <c r="Q387" s="312" t="s">
        <v>1324</v>
      </c>
    </row>
    <row r="388" spans="1:17" ht="25.5" x14ac:dyDescent="0.2">
      <c r="A388" s="255" t="s">
        <v>351</v>
      </c>
      <c r="B388" s="255" t="s">
        <v>351</v>
      </c>
      <c r="C388" s="255">
        <v>2018</v>
      </c>
      <c r="D388" s="255" t="s">
        <v>410</v>
      </c>
      <c r="E388" s="255" t="s">
        <v>353</v>
      </c>
      <c r="F388" s="255" t="s">
        <v>76</v>
      </c>
      <c r="G388" s="255" t="s">
        <v>411</v>
      </c>
      <c r="H388" s="255" t="s">
        <v>458</v>
      </c>
      <c r="I388" s="255" t="s">
        <v>460</v>
      </c>
      <c r="J388" s="255">
        <v>25</v>
      </c>
      <c r="K388" s="255" t="s">
        <v>457</v>
      </c>
      <c r="L388" s="305"/>
      <c r="M388" s="299">
        <v>141</v>
      </c>
      <c r="N388" s="779">
        <f t="shared" si="18"/>
        <v>564</v>
      </c>
      <c r="O388" s="300">
        <v>20</v>
      </c>
      <c r="P388" s="311" t="s">
        <v>467</v>
      </c>
      <c r="Q388" s="312" t="s">
        <v>1324</v>
      </c>
    </row>
    <row r="389" spans="1:17" ht="25.5" x14ac:dyDescent="0.2">
      <c r="A389" s="255" t="s">
        <v>351</v>
      </c>
      <c r="B389" s="255" t="s">
        <v>351</v>
      </c>
      <c r="C389" s="255">
        <v>2018</v>
      </c>
      <c r="D389" s="255" t="s">
        <v>410</v>
      </c>
      <c r="E389" s="255" t="s">
        <v>353</v>
      </c>
      <c r="F389" s="255" t="s">
        <v>76</v>
      </c>
      <c r="G389" s="255" t="s">
        <v>411</v>
      </c>
      <c r="H389" s="255" t="s">
        <v>459</v>
      </c>
      <c r="I389" s="255" t="s">
        <v>460</v>
      </c>
      <c r="J389" s="255">
        <v>25</v>
      </c>
      <c r="K389" s="255" t="s">
        <v>457</v>
      </c>
      <c r="L389" s="305"/>
      <c r="M389" s="299">
        <v>141</v>
      </c>
      <c r="N389" s="779">
        <f t="shared" si="18"/>
        <v>564</v>
      </c>
      <c r="O389" s="300">
        <v>20</v>
      </c>
      <c r="P389" s="311" t="s">
        <v>467</v>
      </c>
      <c r="Q389" s="312" t="s">
        <v>1324</v>
      </c>
    </row>
    <row r="390" spans="1:17" ht="25.5" x14ac:dyDescent="0.2">
      <c r="A390" s="255" t="s">
        <v>351</v>
      </c>
      <c r="B390" s="255" t="s">
        <v>351</v>
      </c>
      <c r="C390" s="255">
        <v>2018</v>
      </c>
      <c r="D390" s="255" t="s">
        <v>412</v>
      </c>
      <c r="E390" s="255" t="s">
        <v>353</v>
      </c>
      <c r="F390" s="255" t="s">
        <v>76</v>
      </c>
      <c r="G390" s="255" t="s">
        <v>413</v>
      </c>
      <c r="H390" s="255" t="s">
        <v>42</v>
      </c>
      <c r="I390" s="255" t="s">
        <v>456</v>
      </c>
      <c r="J390" s="255">
        <v>3000</v>
      </c>
      <c r="K390" s="255" t="s">
        <v>457</v>
      </c>
      <c r="L390" s="305"/>
      <c r="M390" s="299">
        <v>9160</v>
      </c>
      <c r="N390" s="779">
        <f t="shared" si="18"/>
        <v>305.33333333333331</v>
      </c>
      <c r="O390" s="300">
        <v>44</v>
      </c>
      <c r="P390" s="311" t="s">
        <v>1322</v>
      </c>
      <c r="Q390" s="312" t="s">
        <v>1324</v>
      </c>
    </row>
    <row r="391" spans="1:17" x14ac:dyDescent="0.2">
      <c r="A391" s="255" t="s">
        <v>351</v>
      </c>
      <c r="B391" s="255" t="s">
        <v>351</v>
      </c>
      <c r="C391" s="255">
        <v>2018</v>
      </c>
      <c r="D391" s="255" t="s">
        <v>412</v>
      </c>
      <c r="E391" s="255" t="s">
        <v>353</v>
      </c>
      <c r="F391" s="255" t="s">
        <v>76</v>
      </c>
      <c r="G391" s="255" t="s">
        <v>413</v>
      </c>
      <c r="H391" s="255" t="s">
        <v>19</v>
      </c>
      <c r="I391" s="255" t="s">
        <v>456</v>
      </c>
      <c r="J391" s="255">
        <v>2000</v>
      </c>
      <c r="K391" s="255" t="s">
        <v>457</v>
      </c>
      <c r="L391" s="305"/>
      <c r="M391" s="299">
        <v>2561</v>
      </c>
      <c r="N391" s="779">
        <f t="shared" si="18"/>
        <v>128.05000000000001</v>
      </c>
      <c r="O391" s="300">
        <v>43</v>
      </c>
      <c r="P391" s="311" t="s">
        <v>1348</v>
      </c>
      <c r="Q391" s="312"/>
    </row>
    <row r="392" spans="1:17" x14ac:dyDescent="0.2">
      <c r="A392" s="255" t="s">
        <v>351</v>
      </c>
      <c r="B392" s="255" t="s">
        <v>351</v>
      </c>
      <c r="C392" s="255">
        <v>2018</v>
      </c>
      <c r="D392" s="255" t="s">
        <v>412</v>
      </c>
      <c r="E392" s="255" t="s">
        <v>353</v>
      </c>
      <c r="F392" s="255" t="s">
        <v>76</v>
      </c>
      <c r="G392" s="255" t="s">
        <v>413</v>
      </c>
      <c r="H392" s="255" t="s">
        <v>20</v>
      </c>
      <c r="I392" s="255" t="s">
        <v>456</v>
      </c>
      <c r="J392" s="255">
        <v>2000</v>
      </c>
      <c r="K392" s="255" t="s">
        <v>457</v>
      </c>
      <c r="L392" s="305"/>
      <c r="M392" s="299">
        <v>2561</v>
      </c>
      <c r="N392" s="779">
        <f t="shared" si="18"/>
        <v>128.05000000000001</v>
      </c>
      <c r="O392" s="300">
        <v>43</v>
      </c>
      <c r="P392" s="311" t="s">
        <v>1348</v>
      </c>
      <c r="Q392" s="312"/>
    </row>
    <row r="393" spans="1:17" x14ac:dyDescent="0.2">
      <c r="A393" s="255" t="s">
        <v>351</v>
      </c>
      <c r="B393" s="255" t="s">
        <v>351</v>
      </c>
      <c r="C393" s="255">
        <v>2018</v>
      </c>
      <c r="D393" s="255" t="s">
        <v>412</v>
      </c>
      <c r="E393" s="255" t="s">
        <v>353</v>
      </c>
      <c r="F393" s="255" t="s">
        <v>76</v>
      </c>
      <c r="G393" s="255" t="s">
        <v>413</v>
      </c>
      <c r="H393" s="255" t="s">
        <v>458</v>
      </c>
      <c r="I393" s="255" t="s">
        <v>456</v>
      </c>
      <c r="J393" s="255">
        <v>2000</v>
      </c>
      <c r="K393" s="255" t="s">
        <v>457</v>
      </c>
      <c r="L393" s="305"/>
      <c r="M393" s="299">
        <v>2561</v>
      </c>
      <c r="N393" s="779">
        <f t="shared" si="18"/>
        <v>128.05000000000001</v>
      </c>
      <c r="O393" s="300">
        <v>43</v>
      </c>
      <c r="P393" s="311" t="s">
        <v>1348</v>
      </c>
      <c r="Q393" s="312"/>
    </row>
    <row r="394" spans="1:17" x14ac:dyDescent="0.2">
      <c r="A394" s="255" t="s">
        <v>351</v>
      </c>
      <c r="B394" s="255" t="s">
        <v>351</v>
      </c>
      <c r="C394" s="255">
        <v>2018</v>
      </c>
      <c r="D394" s="255" t="s">
        <v>412</v>
      </c>
      <c r="E394" s="255" t="s">
        <v>353</v>
      </c>
      <c r="F394" s="255" t="s">
        <v>76</v>
      </c>
      <c r="G394" s="255" t="s">
        <v>413</v>
      </c>
      <c r="H394" s="255" t="s">
        <v>459</v>
      </c>
      <c r="I394" s="255" t="s">
        <v>456</v>
      </c>
      <c r="J394" s="255">
        <v>2000</v>
      </c>
      <c r="K394" s="255" t="s">
        <v>457</v>
      </c>
      <c r="L394" s="305"/>
      <c r="M394" s="299">
        <v>2560</v>
      </c>
      <c r="N394" s="779">
        <f t="shared" si="18"/>
        <v>128</v>
      </c>
      <c r="O394" s="300">
        <v>43</v>
      </c>
      <c r="P394" s="311" t="s">
        <v>1348</v>
      </c>
      <c r="Q394" s="312"/>
    </row>
    <row r="395" spans="1:17" ht="25.5" x14ac:dyDescent="0.2">
      <c r="A395" s="255" t="s">
        <v>351</v>
      </c>
      <c r="B395" s="255" t="s">
        <v>351</v>
      </c>
      <c r="C395" s="255">
        <v>2018</v>
      </c>
      <c r="D395" s="255" t="s">
        <v>412</v>
      </c>
      <c r="E395" s="255" t="s">
        <v>353</v>
      </c>
      <c r="F395" s="255" t="s">
        <v>76</v>
      </c>
      <c r="G395" s="255" t="s">
        <v>413</v>
      </c>
      <c r="H395" s="255" t="s">
        <v>42</v>
      </c>
      <c r="I395" s="255" t="s">
        <v>460</v>
      </c>
      <c r="J395" s="255">
        <v>5000</v>
      </c>
      <c r="K395" s="255" t="s">
        <v>457</v>
      </c>
      <c r="L395" s="305"/>
      <c r="M395" s="299">
        <v>13476</v>
      </c>
      <c r="N395" s="779">
        <f t="shared" si="18"/>
        <v>269.52</v>
      </c>
      <c r="O395" s="300">
        <v>139</v>
      </c>
      <c r="P395" s="311" t="s">
        <v>467</v>
      </c>
      <c r="Q395" s="312" t="s">
        <v>1324</v>
      </c>
    </row>
    <row r="396" spans="1:17" ht="25.5" x14ac:dyDescent="0.2">
      <c r="A396" s="255" t="s">
        <v>351</v>
      </c>
      <c r="B396" s="255" t="s">
        <v>351</v>
      </c>
      <c r="C396" s="255">
        <v>2018</v>
      </c>
      <c r="D396" s="255" t="s">
        <v>412</v>
      </c>
      <c r="E396" s="255" t="s">
        <v>353</v>
      </c>
      <c r="F396" s="255" t="s">
        <v>76</v>
      </c>
      <c r="G396" s="255" t="s">
        <v>413</v>
      </c>
      <c r="H396" s="255" t="s">
        <v>19</v>
      </c>
      <c r="I396" s="255" t="s">
        <v>460</v>
      </c>
      <c r="J396" s="255">
        <v>750</v>
      </c>
      <c r="K396" s="255" t="s">
        <v>457</v>
      </c>
      <c r="L396" s="305"/>
      <c r="M396" s="299">
        <v>1200</v>
      </c>
      <c r="N396" s="779">
        <f t="shared" si="18"/>
        <v>160</v>
      </c>
      <c r="O396" s="300">
        <v>135</v>
      </c>
      <c r="P396" s="311" t="s">
        <v>467</v>
      </c>
      <c r="Q396" s="312" t="s">
        <v>1324</v>
      </c>
    </row>
    <row r="397" spans="1:17" ht="25.5" x14ac:dyDescent="0.2">
      <c r="A397" s="255" t="s">
        <v>351</v>
      </c>
      <c r="B397" s="255" t="s">
        <v>351</v>
      </c>
      <c r="C397" s="255">
        <v>2018</v>
      </c>
      <c r="D397" s="255" t="s">
        <v>412</v>
      </c>
      <c r="E397" s="255" t="s">
        <v>353</v>
      </c>
      <c r="F397" s="255" t="s">
        <v>76</v>
      </c>
      <c r="G397" s="255" t="s">
        <v>413</v>
      </c>
      <c r="H397" s="255" t="s">
        <v>20</v>
      </c>
      <c r="I397" s="255" t="s">
        <v>460</v>
      </c>
      <c r="J397" s="255">
        <v>750</v>
      </c>
      <c r="K397" s="255" t="s">
        <v>457</v>
      </c>
      <c r="L397" s="305"/>
      <c r="M397" s="299">
        <v>1200</v>
      </c>
      <c r="N397" s="779">
        <f t="shared" si="18"/>
        <v>160</v>
      </c>
      <c r="O397" s="300">
        <v>135</v>
      </c>
      <c r="P397" s="311" t="s">
        <v>467</v>
      </c>
      <c r="Q397" s="312" t="s">
        <v>1324</v>
      </c>
    </row>
    <row r="398" spans="1:17" ht="25.5" x14ac:dyDescent="0.2">
      <c r="A398" s="255" t="s">
        <v>351</v>
      </c>
      <c r="B398" s="255" t="s">
        <v>351</v>
      </c>
      <c r="C398" s="255">
        <v>2018</v>
      </c>
      <c r="D398" s="255" t="s">
        <v>412</v>
      </c>
      <c r="E398" s="255" t="s">
        <v>353</v>
      </c>
      <c r="F398" s="255" t="s">
        <v>76</v>
      </c>
      <c r="G398" s="255" t="s">
        <v>413</v>
      </c>
      <c r="H398" s="255" t="s">
        <v>458</v>
      </c>
      <c r="I398" s="255" t="s">
        <v>460</v>
      </c>
      <c r="J398" s="255">
        <v>750</v>
      </c>
      <c r="K398" s="255" t="s">
        <v>457</v>
      </c>
      <c r="L398" s="305"/>
      <c r="M398" s="299">
        <v>1200</v>
      </c>
      <c r="N398" s="779">
        <f t="shared" si="18"/>
        <v>160</v>
      </c>
      <c r="O398" s="300">
        <v>135</v>
      </c>
      <c r="P398" s="311" t="s">
        <v>467</v>
      </c>
      <c r="Q398" s="312" t="s">
        <v>1324</v>
      </c>
    </row>
    <row r="399" spans="1:17" ht="25.5" x14ac:dyDescent="0.2">
      <c r="A399" s="255" t="s">
        <v>351</v>
      </c>
      <c r="B399" s="255" t="s">
        <v>351</v>
      </c>
      <c r="C399" s="255">
        <v>2018</v>
      </c>
      <c r="D399" s="255" t="s">
        <v>412</v>
      </c>
      <c r="E399" s="255" t="s">
        <v>353</v>
      </c>
      <c r="F399" s="255" t="s">
        <v>76</v>
      </c>
      <c r="G399" s="255" t="s">
        <v>413</v>
      </c>
      <c r="H399" s="255" t="s">
        <v>459</v>
      </c>
      <c r="I399" s="255" t="s">
        <v>460</v>
      </c>
      <c r="J399" s="255">
        <v>750</v>
      </c>
      <c r="K399" s="255" t="s">
        <v>457</v>
      </c>
      <c r="L399" s="305"/>
      <c r="M399" s="299">
        <v>1200</v>
      </c>
      <c r="N399" s="779">
        <f t="shared" si="18"/>
        <v>160</v>
      </c>
      <c r="O399" s="300">
        <v>135</v>
      </c>
      <c r="P399" s="311" t="s">
        <v>467</v>
      </c>
      <c r="Q399" s="312" t="s">
        <v>1324</v>
      </c>
    </row>
    <row r="400" spans="1:17" ht="25.5" x14ac:dyDescent="0.2">
      <c r="A400" s="255" t="s">
        <v>351</v>
      </c>
      <c r="B400" s="255" t="s">
        <v>351</v>
      </c>
      <c r="C400" s="255">
        <v>2018</v>
      </c>
      <c r="D400" s="255" t="s">
        <v>414</v>
      </c>
      <c r="E400" s="255" t="s">
        <v>353</v>
      </c>
      <c r="F400" s="255" t="s">
        <v>76</v>
      </c>
      <c r="G400" s="255" t="s">
        <v>415</v>
      </c>
      <c r="H400" s="255" t="s">
        <v>42</v>
      </c>
      <c r="I400" s="255" t="s">
        <v>456</v>
      </c>
      <c r="J400" s="255">
        <v>250</v>
      </c>
      <c r="K400" s="255" t="s">
        <v>457</v>
      </c>
      <c r="L400" s="305"/>
      <c r="M400" s="299">
        <v>579</v>
      </c>
      <c r="N400" s="779">
        <f t="shared" si="18"/>
        <v>231.6</v>
      </c>
      <c r="O400" s="300">
        <v>49</v>
      </c>
      <c r="P400" s="311" t="s">
        <v>1322</v>
      </c>
      <c r="Q400" s="312" t="s">
        <v>1324</v>
      </c>
    </row>
    <row r="401" spans="1:17" x14ac:dyDescent="0.2">
      <c r="A401" s="255" t="s">
        <v>351</v>
      </c>
      <c r="B401" s="255" t="s">
        <v>351</v>
      </c>
      <c r="C401" s="255">
        <v>2018</v>
      </c>
      <c r="D401" s="255" t="s">
        <v>414</v>
      </c>
      <c r="E401" s="255" t="s">
        <v>353</v>
      </c>
      <c r="F401" s="255" t="s">
        <v>76</v>
      </c>
      <c r="G401" s="255" t="s">
        <v>415</v>
      </c>
      <c r="H401" s="255" t="s">
        <v>19</v>
      </c>
      <c r="I401" s="255" t="s">
        <v>456</v>
      </c>
      <c r="J401" s="255">
        <v>0</v>
      </c>
      <c r="K401" s="255" t="s">
        <v>457</v>
      </c>
      <c r="L401" s="305" t="s">
        <v>462</v>
      </c>
      <c r="M401" s="299">
        <v>0</v>
      </c>
      <c r="N401" s="300" t="s">
        <v>1153</v>
      </c>
      <c r="O401" s="300">
        <v>0</v>
      </c>
      <c r="P401" s="311" t="s">
        <v>1325</v>
      </c>
      <c r="Q401" s="312"/>
    </row>
    <row r="402" spans="1:17" x14ac:dyDescent="0.2">
      <c r="A402" s="255" t="s">
        <v>351</v>
      </c>
      <c r="B402" s="255" t="s">
        <v>351</v>
      </c>
      <c r="C402" s="255">
        <v>2018</v>
      </c>
      <c r="D402" s="255" t="s">
        <v>414</v>
      </c>
      <c r="E402" s="255" t="s">
        <v>353</v>
      </c>
      <c r="F402" s="255" t="s">
        <v>76</v>
      </c>
      <c r="G402" s="255" t="s">
        <v>415</v>
      </c>
      <c r="H402" s="255" t="s">
        <v>20</v>
      </c>
      <c r="I402" s="255" t="s">
        <v>456</v>
      </c>
      <c r="J402" s="255">
        <v>0</v>
      </c>
      <c r="K402" s="255" t="s">
        <v>457</v>
      </c>
      <c r="L402" s="305" t="s">
        <v>466</v>
      </c>
      <c r="M402" s="299">
        <v>0</v>
      </c>
      <c r="N402" s="300" t="s">
        <v>1153</v>
      </c>
      <c r="O402" s="300">
        <v>0</v>
      </c>
      <c r="P402" s="311" t="s">
        <v>1325</v>
      </c>
      <c r="Q402" s="312"/>
    </row>
    <row r="403" spans="1:17" x14ac:dyDescent="0.2">
      <c r="A403" s="255" t="s">
        <v>351</v>
      </c>
      <c r="B403" s="255" t="s">
        <v>351</v>
      </c>
      <c r="C403" s="255">
        <v>2018</v>
      </c>
      <c r="D403" s="255" t="s">
        <v>414</v>
      </c>
      <c r="E403" s="255" t="s">
        <v>353</v>
      </c>
      <c r="F403" s="255" t="s">
        <v>76</v>
      </c>
      <c r="G403" s="255" t="s">
        <v>415</v>
      </c>
      <c r="H403" s="255" t="s">
        <v>458</v>
      </c>
      <c r="I403" s="255" t="s">
        <v>456</v>
      </c>
      <c r="J403" s="255">
        <v>0</v>
      </c>
      <c r="K403" s="255" t="s">
        <v>457</v>
      </c>
      <c r="L403" s="305" t="s">
        <v>466</v>
      </c>
      <c r="M403" s="299">
        <v>0</v>
      </c>
      <c r="N403" s="300" t="s">
        <v>1153</v>
      </c>
      <c r="O403" s="300">
        <v>0</v>
      </c>
      <c r="P403" s="311" t="s">
        <v>1325</v>
      </c>
      <c r="Q403" s="312"/>
    </row>
    <row r="404" spans="1:17" x14ac:dyDescent="0.2">
      <c r="A404" s="255" t="s">
        <v>351</v>
      </c>
      <c r="B404" s="255" t="s">
        <v>351</v>
      </c>
      <c r="C404" s="255">
        <v>2018</v>
      </c>
      <c r="D404" s="255" t="s">
        <v>414</v>
      </c>
      <c r="E404" s="255" t="s">
        <v>353</v>
      </c>
      <c r="F404" s="255" t="s">
        <v>76</v>
      </c>
      <c r="G404" s="255" t="s">
        <v>415</v>
      </c>
      <c r="H404" s="255" t="s">
        <v>459</v>
      </c>
      <c r="I404" s="255" t="s">
        <v>456</v>
      </c>
      <c r="J404" s="255">
        <v>0</v>
      </c>
      <c r="K404" s="255" t="s">
        <v>457</v>
      </c>
      <c r="L404" s="305" t="s">
        <v>466</v>
      </c>
      <c r="M404" s="299">
        <v>0</v>
      </c>
      <c r="N404" s="300" t="s">
        <v>1153</v>
      </c>
      <c r="O404" s="300">
        <v>0</v>
      </c>
      <c r="P404" s="311" t="s">
        <v>1325</v>
      </c>
      <c r="Q404" s="312"/>
    </row>
    <row r="405" spans="1:17" x14ac:dyDescent="0.2">
      <c r="A405" s="255" t="s">
        <v>351</v>
      </c>
      <c r="B405" s="255" t="s">
        <v>351</v>
      </c>
      <c r="C405" s="255">
        <v>2018</v>
      </c>
      <c r="D405" s="255" t="s">
        <v>414</v>
      </c>
      <c r="E405" s="255" t="s">
        <v>353</v>
      </c>
      <c r="F405" s="255" t="s">
        <v>76</v>
      </c>
      <c r="G405" s="255" t="s">
        <v>415</v>
      </c>
      <c r="H405" s="255" t="s">
        <v>42</v>
      </c>
      <c r="I405" s="255" t="s">
        <v>460</v>
      </c>
      <c r="J405" s="255">
        <v>10</v>
      </c>
      <c r="K405" s="255" t="s">
        <v>457</v>
      </c>
      <c r="L405" s="305"/>
      <c r="M405" s="299">
        <v>12</v>
      </c>
      <c r="N405" s="779">
        <f t="shared" ref="N405" si="19">(100*M405/J405)</f>
        <v>120</v>
      </c>
      <c r="O405" s="300">
        <v>6</v>
      </c>
      <c r="P405" s="311" t="s">
        <v>467</v>
      </c>
      <c r="Q405" s="312"/>
    </row>
    <row r="406" spans="1:17" x14ac:dyDescent="0.2">
      <c r="A406" s="255" t="s">
        <v>351</v>
      </c>
      <c r="B406" s="255" t="s">
        <v>351</v>
      </c>
      <c r="C406" s="255">
        <v>2018</v>
      </c>
      <c r="D406" s="255" t="s">
        <v>414</v>
      </c>
      <c r="E406" s="255" t="s">
        <v>353</v>
      </c>
      <c r="F406" s="255" t="s">
        <v>76</v>
      </c>
      <c r="G406" s="255" t="s">
        <v>415</v>
      </c>
      <c r="H406" s="255" t="s">
        <v>19</v>
      </c>
      <c r="I406" s="255" t="s">
        <v>460</v>
      </c>
      <c r="J406" s="255">
        <v>0</v>
      </c>
      <c r="K406" s="255" t="s">
        <v>457</v>
      </c>
      <c r="L406" s="305" t="s">
        <v>462</v>
      </c>
      <c r="M406" s="299">
        <v>12</v>
      </c>
      <c r="N406" s="300" t="s">
        <v>1153</v>
      </c>
      <c r="O406" s="300">
        <v>6</v>
      </c>
      <c r="P406" s="311" t="s">
        <v>1325</v>
      </c>
      <c r="Q406" s="312"/>
    </row>
    <row r="407" spans="1:17" x14ac:dyDescent="0.2">
      <c r="A407" s="255" t="s">
        <v>351</v>
      </c>
      <c r="B407" s="255" t="s">
        <v>351</v>
      </c>
      <c r="C407" s="255">
        <v>2018</v>
      </c>
      <c r="D407" s="255" t="s">
        <v>414</v>
      </c>
      <c r="E407" s="255" t="s">
        <v>353</v>
      </c>
      <c r="F407" s="255" t="s">
        <v>76</v>
      </c>
      <c r="G407" s="255" t="s">
        <v>415</v>
      </c>
      <c r="H407" s="255" t="s">
        <v>20</v>
      </c>
      <c r="I407" s="255" t="s">
        <v>460</v>
      </c>
      <c r="J407" s="255">
        <v>10</v>
      </c>
      <c r="K407" s="255" t="s">
        <v>457</v>
      </c>
      <c r="L407" s="305" t="s">
        <v>462</v>
      </c>
      <c r="M407" s="299">
        <v>12</v>
      </c>
      <c r="N407" s="779">
        <f t="shared" ref="N407:N410" si="20">(100*M407/J407)</f>
        <v>120</v>
      </c>
      <c r="O407" s="300">
        <v>6</v>
      </c>
      <c r="P407" s="311" t="s">
        <v>467</v>
      </c>
      <c r="Q407" s="312"/>
    </row>
    <row r="408" spans="1:17" x14ac:dyDescent="0.2">
      <c r="A408" s="255" t="s">
        <v>351</v>
      </c>
      <c r="B408" s="255" t="s">
        <v>351</v>
      </c>
      <c r="C408" s="255">
        <v>2018</v>
      </c>
      <c r="D408" s="255" t="s">
        <v>414</v>
      </c>
      <c r="E408" s="255" t="s">
        <v>353</v>
      </c>
      <c r="F408" s="255" t="s">
        <v>76</v>
      </c>
      <c r="G408" s="255" t="s">
        <v>415</v>
      </c>
      <c r="H408" s="255" t="s">
        <v>458</v>
      </c>
      <c r="I408" s="255" t="s">
        <v>460</v>
      </c>
      <c r="J408" s="255">
        <v>10</v>
      </c>
      <c r="K408" s="255" t="s">
        <v>457</v>
      </c>
      <c r="L408" s="305"/>
      <c r="M408" s="299">
        <v>12</v>
      </c>
      <c r="N408" s="779">
        <f t="shared" si="20"/>
        <v>120</v>
      </c>
      <c r="O408" s="300">
        <v>6</v>
      </c>
      <c r="P408" s="311" t="s">
        <v>467</v>
      </c>
      <c r="Q408" s="312"/>
    </row>
    <row r="409" spans="1:17" x14ac:dyDescent="0.2">
      <c r="A409" s="255" t="s">
        <v>351</v>
      </c>
      <c r="B409" s="255" t="s">
        <v>351</v>
      </c>
      <c r="C409" s="255">
        <v>2018</v>
      </c>
      <c r="D409" s="255" t="s">
        <v>414</v>
      </c>
      <c r="E409" s="255" t="s">
        <v>353</v>
      </c>
      <c r="F409" s="255" t="s">
        <v>76</v>
      </c>
      <c r="G409" s="255" t="s">
        <v>415</v>
      </c>
      <c r="H409" s="255" t="s">
        <v>459</v>
      </c>
      <c r="I409" s="255" t="s">
        <v>460</v>
      </c>
      <c r="J409" s="255">
        <v>10</v>
      </c>
      <c r="K409" s="255" t="s">
        <v>457</v>
      </c>
      <c r="L409" s="305"/>
      <c r="M409" s="299">
        <v>12</v>
      </c>
      <c r="N409" s="779">
        <f t="shared" si="20"/>
        <v>120</v>
      </c>
      <c r="O409" s="300">
        <v>6</v>
      </c>
      <c r="P409" s="311" t="s">
        <v>467</v>
      </c>
      <c r="Q409" s="312"/>
    </row>
    <row r="410" spans="1:17" ht="38.25" x14ac:dyDescent="0.2">
      <c r="A410" s="255" t="s">
        <v>351</v>
      </c>
      <c r="B410" s="255" t="s">
        <v>351</v>
      </c>
      <c r="C410" s="255">
        <v>2018</v>
      </c>
      <c r="D410" s="255" t="s">
        <v>416</v>
      </c>
      <c r="E410" s="255" t="s">
        <v>353</v>
      </c>
      <c r="F410" s="255" t="s">
        <v>76</v>
      </c>
      <c r="G410" s="255" t="s">
        <v>417</v>
      </c>
      <c r="H410" s="255" t="s">
        <v>42</v>
      </c>
      <c r="I410" s="255" t="s">
        <v>456</v>
      </c>
      <c r="J410" s="255">
        <v>1200</v>
      </c>
      <c r="K410" s="255" t="s">
        <v>457</v>
      </c>
      <c r="L410" s="305"/>
      <c r="M410" s="299">
        <v>554</v>
      </c>
      <c r="N410" s="779">
        <f t="shared" si="20"/>
        <v>46.166666666666664</v>
      </c>
      <c r="O410" s="300">
        <v>173</v>
      </c>
      <c r="P410" s="311" t="s">
        <v>1322</v>
      </c>
      <c r="Q410" s="312" t="s">
        <v>1350</v>
      </c>
    </row>
    <row r="411" spans="1:17" x14ac:dyDescent="0.2">
      <c r="A411" s="255" t="s">
        <v>351</v>
      </c>
      <c r="B411" s="255" t="s">
        <v>351</v>
      </c>
      <c r="C411" s="255">
        <v>2018</v>
      </c>
      <c r="D411" s="255" t="s">
        <v>416</v>
      </c>
      <c r="E411" s="255" t="s">
        <v>353</v>
      </c>
      <c r="F411" s="255" t="s">
        <v>76</v>
      </c>
      <c r="G411" s="255" t="s">
        <v>417</v>
      </c>
      <c r="H411" s="255" t="s">
        <v>19</v>
      </c>
      <c r="I411" s="255" t="s">
        <v>456</v>
      </c>
      <c r="J411" s="255">
        <v>0</v>
      </c>
      <c r="K411" s="255" t="s">
        <v>457</v>
      </c>
      <c r="L411" s="305" t="s">
        <v>462</v>
      </c>
      <c r="M411" s="299">
        <v>23</v>
      </c>
      <c r="N411" s="300" t="s">
        <v>1153</v>
      </c>
      <c r="O411" s="300">
        <v>1</v>
      </c>
      <c r="P411" s="311" t="s">
        <v>1325</v>
      </c>
      <c r="Q411" s="312"/>
    </row>
    <row r="412" spans="1:17" x14ac:dyDescent="0.2">
      <c r="A412" s="255" t="s">
        <v>351</v>
      </c>
      <c r="B412" s="255" t="s">
        <v>351</v>
      </c>
      <c r="C412" s="255">
        <v>2018</v>
      </c>
      <c r="D412" s="255" t="s">
        <v>416</v>
      </c>
      <c r="E412" s="255" t="s">
        <v>353</v>
      </c>
      <c r="F412" s="255" t="s">
        <v>76</v>
      </c>
      <c r="G412" s="255" t="s">
        <v>417</v>
      </c>
      <c r="H412" s="255" t="s">
        <v>20</v>
      </c>
      <c r="I412" s="255" t="s">
        <v>456</v>
      </c>
      <c r="J412" s="255">
        <v>0</v>
      </c>
      <c r="K412" s="255" t="s">
        <v>457</v>
      </c>
      <c r="L412" s="305" t="s">
        <v>466</v>
      </c>
      <c r="M412" s="299">
        <v>23</v>
      </c>
      <c r="N412" s="300" t="s">
        <v>1153</v>
      </c>
      <c r="O412" s="300">
        <v>1</v>
      </c>
      <c r="P412" s="311" t="s">
        <v>1325</v>
      </c>
      <c r="Q412" s="312"/>
    </row>
    <row r="413" spans="1:17" x14ac:dyDescent="0.2">
      <c r="A413" s="255" t="s">
        <v>351</v>
      </c>
      <c r="B413" s="255" t="s">
        <v>351</v>
      </c>
      <c r="C413" s="255">
        <v>2018</v>
      </c>
      <c r="D413" s="255" t="s">
        <v>416</v>
      </c>
      <c r="E413" s="255" t="s">
        <v>353</v>
      </c>
      <c r="F413" s="255" t="s">
        <v>76</v>
      </c>
      <c r="G413" s="255" t="s">
        <v>417</v>
      </c>
      <c r="H413" s="255" t="s">
        <v>458</v>
      </c>
      <c r="I413" s="255" t="s">
        <v>456</v>
      </c>
      <c r="J413" s="255">
        <v>0</v>
      </c>
      <c r="K413" s="255" t="s">
        <v>457</v>
      </c>
      <c r="L413" s="305" t="s">
        <v>466</v>
      </c>
      <c r="M413" s="299">
        <v>23</v>
      </c>
      <c r="N413" s="300" t="s">
        <v>1153</v>
      </c>
      <c r="O413" s="300">
        <v>1</v>
      </c>
      <c r="P413" s="311" t="s">
        <v>1325</v>
      </c>
      <c r="Q413" s="312"/>
    </row>
    <row r="414" spans="1:17" x14ac:dyDescent="0.2">
      <c r="A414" s="255" t="s">
        <v>351</v>
      </c>
      <c r="B414" s="255" t="s">
        <v>351</v>
      </c>
      <c r="C414" s="255">
        <v>2018</v>
      </c>
      <c r="D414" s="255" t="s">
        <v>416</v>
      </c>
      <c r="E414" s="255" t="s">
        <v>353</v>
      </c>
      <c r="F414" s="255" t="s">
        <v>76</v>
      </c>
      <c r="G414" s="255" t="s">
        <v>417</v>
      </c>
      <c r="H414" s="255" t="s">
        <v>459</v>
      </c>
      <c r="I414" s="255" t="s">
        <v>456</v>
      </c>
      <c r="J414" s="255">
        <v>0</v>
      </c>
      <c r="K414" s="255" t="s">
        <v>457</v>
      </c>
      <c r="L414" s="305" t="s">
        <v>466</v>
      </c>
      <c r="M414" s="299">
        <v>0</v>
      </c>
      <c r="N414" s="300" t="s">
        <v>1153</v>
      </c>
      <c r="O414" s="300">
        <v>0</v>
      </c>
      <c r="P414" s="311" t="s">
        <v>1325</v>
      </c>
      <c r="Q414" s="312"/>
    </row>
    <row r="415" spans="1:17" ht="25.5" x14ac:dyDescent="0.2">
      <c r="A415" s="255" t="s">
        <v>351</v>
      </c>
      <c r="B415" s="255" t="s">
        <v>351</v>
      </c>
      <c r="C415" s="255">
        <v>2018</v>
      </c>
      <c r="D415" s="255" t="s">
        <v>416</v>
      </c>
      <c r="E415" s="255" t="s">
        <v>353</v>
      </c>
      <c r="F415" s="255" t="s">
        <v>76</v>
      </c>
      <c r="G415" s="255" t="s">
        <v>417</v>
      </c>
      <c r="H415" s="255" t="s">
        <v>42</v>
      </c>
      <c r="I415" s="255" t="s">
        <v>460</v>
      </c>
      <c r="J415" s="255">
        <v>100</v>
      </c>
      <c r="K415" s="255" t="s">
        <v>457</v>
      </c>
      <c r="L415" s="305"/>
      <c r="M415" s="299">
        <v>829</v>
      </c>
      <c r="N415" s="779">
        <f t="shared" ref="N415" si="21">(100*M415/J415)</f>
        <v>829</v>
      </c>
      <c r="O415" s="300">
        <v>143</v>
      </c>
      <c r="P415" s="311" t="s">
        <v>467</v>
      </c>
      <c r="Q415" s="312" t="s">
        <v>1324</v>
      </c>
    </row>
    <row r="416" spans="1:17" x14ac:dyDescent="0.2">
      <c r="A416" s="255" t="s">
        <v>351</v>
      </c>
      <c r="B416" s="255" t="s">
        <v>351</v>
      </c>
      <c r="C416" s="255">
        <v>2018</v>
      </c>
      <c r="D416" s="255" t="s">
        <v>416</v>
      </c>
      <c r="E416" s="255" t="s">
        <v>353</v>
      </c>
      <c r="F416" s="255" t="s">
        <v>76</v>
      </c>
      <c r="G416" s="255" t="s">
        <v>417</v>
      </c>
      <c r="H416" s="255" t="s">
        <v>19</v>
      </c>
      <c r="I416" s="255" t="s">
        <v>460</v>
      </c>
      <c r="J416" s="255">
        <v>0</v>
      </c>
      <c r="K416" s="255" t="s">
        <v>457</v>
      </c>
      <c r="L416" s="305" t="s">
        <v>462</v>
      </c>
      <c r="M416" s="299">
        <v>691</v>
      </c>
      <c r="N416" s="300" t="s">
        <v>1153</v>
      </c>
      <c r="O416" s="300">
        <v>143</v>
      </c>
      <c r="P416" s="311" t="s">
        <v>1325</v>
      </c>
      <c r="Q416" s="312"/>
    </row>
    <row r="417" spans="1:17" ht="25.5" x14ac:dyDescent="0.2">
      <c r="A417" s="255" t="s">
        <v>351</v>
      </c>
      <c r="B417" s="255" t="s">
        <v>351</v>
      </c>
      <c r="C417" s="255">
        <v>2018</v>
      </c>
      <c r="D417" s="255" t="s">
        <v>416</v>
      </c>
      <c r="E417" s="255" t="s">
        <v>353</v>
      </c>
      <c r="F417" s="255" t="s">
        <v>76</v>
      </c>
      <c r="G417" s="255" t="s">
        <v>417</v>
      </c>
      <c r="H417" s="255" t="s">
        <v>20</v>
      </c>
      <c r="I417" s="255" t="s">
        <v>460</v>
      </c>
      <c r="J417" s="255">
        <v>100</v>
      </c>
      <c r="K417" s="255" t="s">
        <v>457</v>
      </c>
      <c r="L417" s="305" t="s">
        <v>462</v>
      </c>
      <c r="M417" s="299">
        <v>691</v>
      </c>
      <c r="N417" s="779">
        <f t="shared" ref="N417:N419" si="22">(100*M417/J417)</f>
        <v>691</v>
      </c>
      <c r="O417" s="300">
        <v>143</v>
      </c>
      <c r="P417" s="311" t="s">
        <v>467</v>
      </c>
      <c r="Q417" s="312" t="s">
        <v>1324</v>
      </c>
    </row>
    <row r="418" spans="1:17" ht="25.5" x14ac:dyDescent="0.2">
      <c r="A418" s="255" t="s">
        <v>351</v>
      </c>
      <c r="B418" s="255" t="s">
        <v>351</v>
      </c>
      <c r="C418" s="255">
        <v>2018</v>
      </c>
      <c r="D418" s="255" t="s">
        <v>416</v>
      </c>
      <c r="E418" s="255" t="s">
        <v>353</v>
      </c>
      <c r="F418" s="255" t="s">
        <v>76</v>
      </c>
      <c r="G418" s="255" t="s">
        <v>417</v>
      </c>
      <c r="H418" s="255" t="s">
        <v>458</v>
      </c>
      <c r="I418" s="255" t="s">
        <v>460</v>
      </c>
      <c r="J418" s="255">
        <v>100</v>
      </c>
      <c r="K418" s="255" t="s">
        <v>457</v>
      </c>
      <c r="L418" s="305"/>
      <c r="M418" s="299">
        <v>691</v>
      </c>
      <c r="N418" s="779">
        <f t="shared" si="22"/>
        <v>691</v>
      </c>
      <c r="O418" s="300">
        <v>143</v>
      </c>
      <c r="P418" s="311" t="s">
        <v>467</v>
      </c>
      <c r="Q418" s="312" t="s">
        <v>1324</v>
      </c>
    </row>
    <row r="419" spans="1:17" ht="25.5" x14ac:dyDescent="0.2">
      <c r="A419" s="255" t="s">
        <v>351</v>
      </c>
      <c r="B419" s="255" t="s">
        <v>351</v>
      </c>
      <c r="C419" s="255">
        <v>2018</v>
      </c>
      <c r="D419" s="255" t="s">
        <v>416</v>
      </c>
      <c r="E419" s="255" t="s">
        <v>353</v>
      </c>
      <c r="F419" s="255" t="s">
        <v>76</v>
      </c>
      <c r="G419" s="255" t="s">
        <v>417</v>
      </c>
      <c r="H419" s="255" t="s">
        <v>459</v>
      </c>
      <c r="I419" s="255" t="s">
        <v>460</v>
      </c>
      <c r="J419" s="255">
        <v>100</v>
      </c>
      <c r="K419" s="255" t="s">
        <v>457</v>
      </c>
      <c r="L419" s="305"/>
      <c r="M419" s="299">
        <v>688</v>
      </c>
      <c r="N419" s="779">
        <f t="shared" si="22"/>
        <v>688</v>
      </c>
      <c r="O419" s="300">
        <v>143</v>
      </c>
      <c r="P419" s="311" t="s">
        <v>467</v>
      </c>
      <c r="Q419" s="312" t="s">
        <v>1324</v>
      </c>
    </row>
    <row r="420" spans="1:17" x14ac:dyDescent="0.2">
      <c r="A420" s="255" t="s">
        <v>351</v>
      </c>
      <c r="B420" s="255" t="s">
        <v>351</v>
      </c>
      <c r="C420" s="255">
        <v>2018</v>
      </c>
      <c r="D420" s="255" t="s">
        <v>418</v>
      </c>
      <c r="E420" s="255" t="s">
        <v>353</v>
      </c>
      <c r="F420" s="255" t="s">
        <v>76</v>
      </c>
      <c r="G420" s="255" t="s">
        <v>419</v>
      </c>
      <c r="H420" s="255" t="s">
        <v>42</v>
      </c>
      <c r="I420" s="255" t="s">
        <v>456</v>
      </c>
      <c r="J420" s="255">
        <v>0</v>
      </c>
      <c r="K420" s="255" t="s">
        <v>457</v>
      </c>
      <c r="L420" s="305" t="s">
        <v>466</v>
      </c>
      <c r="M420" s="299">
        <v>992</v>
      </c>
      <c r="N420" s="300" t="s">
        <v>1153</v>
      </c>
      <c r="O420" s="300">
        <v>139</v>
      </c>
      <c r="P420" s="311" t="s">
        <v>1325</v>
      </c>
      <c r="Q420" s="312"/>
    </row>
    <row r="421" spans="1:17" x14ac:dyDescent="0.2">
      <c r="A421" s="255" t="s">
        <v>351</v>
      </c>
      <c r="B421" s="255" t="s">
        <v>351</v>
      </c>
      <c r="C421" s="255">
        <v>2018</v>
      </c>
      <c r="D421" s="255" t="s">
        <v>418</v>
      </c>
      <c r="E421" s="255" t="s">
        <v>353</v>
      </c>
      <c r="F421" s="255" t="s">
        <v>76</v>
      </c>
      <c r="G421" s="255" t="s">
        <v>419</v>
      </c>
      <c r="H421" s="255" t="s">
        <v>19</v>
      </c>
      <c r="I421" s="255" t="s">
        <v>456</v>
      </c>
      <c r="J421" s="255">
        <v>0</v>
      </c>
      <c r="K421" s="255" t="s">
        <v>457</v>
      </c>
      <c r="L421" s="305" t="s">
        <v>462</v>
      </c>
      <c r="M421" s="299">
        <v>0</v>
      </c>
      <c r="N421" s="300" t="s">
        <v>1153</v>
      </c>
      <c r="O421" s="300">
        <v>0</v>
      </c>
      <c r="P421" s="311" t="s">
        <v>1325</v>
      </c>
      <c r="Q421" s="312"/>
    </row>
    <row r="422" spans="1:17" x14ac:dyDescent="0.2">
      <c r="A422" s="255" t="s">
        <v>351</v>
      </c>
      <c r="B422" s="255" t="s">
        <v>351</v>
      </c>
      <c r="C422" s="255">
        <v>2018</v>
      </c>
      <c r="D422" s="255" t="s">
        <v>418</v>
      </c>
      <c r="E422" s="255" t="s">
        <v>353</v>
      </c>
      <c r="F422" s="255" t="s">
        <v>76</v>
      </c>
      <c r="G422" s="255" t="s">
        <v>419</v>
      </c>
      <c r="H422" s="255" t="s">
        <v>20</v>
      </c>
      <c r="I422" s="255" t="s">
        <v>456</v>
      </c>
      <c r="J422" s="255">
        <v>0</v>
      </c>
      <c r="K422" s="255" t="s">
        <v>457</v>
      </c>
      <c r="L422" s="305" t="s">
        <v>466</v>
      </c>
      <c r="M422" s="299">
        <v>0</v>
      </c>
      <c r="N422" s="300" t="s">
        <v>1153</v>
      </c>
      <c r="O422" s="300">
        <v>0</v>
      </c>
      <c r="P422" s="311" t="s">
        <v>1325</v>
      </c>
      <c r="Q422" s="312"/>
    </row>
    <row r="423" spans="1:17" x14ac:dyDescent="0.2">
      <c r="A423" s="255" t="s">
        <v>351</v>
      </c>
      <c r="B423" s="255" t="s">
        <v>351</v>
      </c>
      <c r="C423" s="255">
        <v>2018</v>
      </c>
      <c r="D423" s="255" t="s">
        <v>418</v>
      </c>
      <c r="E423" s="255" t="s">
        <v>353</v>
      </c>
      <c r="F423" s="255" t="s">
        <v>76</v>
      </c>
      <c r="G423" s="255" t="s">
        <v>419</v>
      </c>
      <c r="H423" s="255" t="s">
        <v>458</v>
      </c>
      <c r="I423" s="255" t="s">
        <v>456</v>
      </c>
      <c r="J423" s="255">
        <v>0</v>
      </c>
      <c r="K423" s="255" t="s">
        <v>457</v>
      </c>
      <c r="L423" s="305" t="s">
        <v>466</v>
      </c>
      <c r="M423" s="299">
        <v>0</v>
      </c>
      <c r="N423" s="300" t="s">
        <v>1153</v>
      </c>
      <c r="O423" s="300">
        <v>0</v>
      </c>
      <c r="P423" s="311" t="s">
        <v>1325</v>
      </c>
      <c r="Q423" s="312"/>
    </row>
    <row r="424" spans="1:17" x14ac:dyDescent="0.2">
      <c r="A424" s="255" t="s">
        <v>351</v>
      </c>
      <c r="B424" s="255" t="s">
        <v>351</v>
      </c>
      <c r="C424" s="255">
        <v>2018</v>
      </c>
      <c r="D424" s="255" t="s">
        <v>418</v>
      </c>
      <c r="E424" s="255" t="s">
        <v>353</v>
      </c>
      <c r="F424" s="255" t="s">
        <v>76</v>
      </c>
      <c r="G424" s="255" t="s">
        <v>419</v>
      </c>
      <c r="H424" s="255" t="s">
        <v>459</v>
      </c>
      <c r="I424" s="255" t="s">
        <v>456</v>
      </c>
      <c r="J424" s="255">
        <v>0</v>
      </c>
      <c r="K424" s="255" t="s">
        <v>457</v>
      </c>
      <c r="L424" s="305" t="s">
        <v>466</v>
      </c>
      <c r="M424" s="299">
        <v>0</v>
      </c>
      <c r="N424" s="300" t="s">
        <v>1153</v>
      </c>
      <c r="O424" s="300">
        <v>0</v>
      </c>
      <c r="P424" s="311" t="s">
        <v>1325</v>
      </c>
      <c r="Q424" s="312"/>
    </row>
    <row r="425" spans="1:17" ht="25.5" x14ac:dyDescent="0.2">
      <c r="A425" s="255" t="s">
        <v>351</v>
      </c>
      <c r="B425" s="255" t="s">
        <v>351</v>
      </c>
      <c r="C425" s="255">
        <v>2018</v>
      </c>
      <c r="D425" s="255" t="s">
        <v>418</v>
      </c>
      <c r="E425" s="255" t="s">
        <v>353</v>
      </c>
      <c r="F425" s="255" t="s">
        <v>76</v>
      </c>
      <c r="G425" s="255" t="s">
        <v>419</v>
      </c>
      <c r="H425" s="255" t="s">
        <v>42</v>
      </c>
      <c r="I425" s="255" t="s">
        <v>460</v>
      </c>
      <c r="J425" s="255">
        <v>250</v>
      </c>
      <c r="K425" s="255" t="s">
        <v>457</v>
      </c>
      <c r="L425" s="305"/>
      <c r="M425" s="299">
        <v>772</v>
      </c>
      <c r="N425" s="779">
        <f t="shared" ref="N425" si="23">(100*M425/J425)</f>
        <v>308.8</v>
      </c>
      <c r="O425" s="300">
        <v>26</v>
      </c>
      <c r="P425" s="311" t="s">
        <v>467</v>
      </c>
      <c r="Q425" s="312" t="s">
        <v>1324</v>
      </c>
    </row>
    <row r="426" spans="1:17" x14ac:dyDescent="0.2">
      <c r="A426" s="255" t="s">
        <v>351</v>
      </c>
      <c r="B426" s="255" t="s">
        <v>351</v>
      </c>
      <c r="C426" s="255">
        <v>2018</v>
      </c>
      <c r="D426" s="255" t="s">
        <v>418</v>
      </c>
      <c r="E426" s="255" t="s">
        <v>353</v>
      </c>
      <c r="F426" s="255" t="s">
        <v>76</v>
      </c>
      <c r="G426" s="255" t="s">
        <v>419</v>
      </c>
      <c r="H426" s="255" t="s">
        <v>19</v>
      </c>
      <c r="I426" s="255" t="s">
        <v>460</v>
      </c>
      <c r="J426" s="255">
        <v>0</v>
      </c>
      <c r="K426" s="255" t="s">
        <v>457</v>
      </c>
      <c r="L426" s="305" t="s">
        <v>462</v>
      </c>
      <c r="M426" s="299">
        <v>746</v>
      </c>
      <c r="N426" s="300" t="s">
        <v>1153</v>
      </c>
      <c r="O426" s="300">
        <v>26</v>
      </c>
      <c r="P426" s="311" t="s">
        <v>1325</v>
      </c>
      <c r="Q426" s="312"/>
    </row>
    <row r="427" spans="1:17" ht="25.5" x14ac:dyDescent="0.2">
      <c r="A427" s="255" t="s">
        <v>351</v>
      </c>
      <c r="B427" s="255" t="s">
        <v>351</v>
      </c>
      <c r="C427" s="255">
        <v>2018</v>
      </c>
      <c r="D427" s="255" t="s">
        <v>418</v>
      </c>
      <c r="E427" s="255" t="s">
        <v>353</v>
      </c>
      <c r="F427" s="255" t="s">
        <v>76</v>
      </c>
      <c r="G427" s="255" t="s">
        <v>419</v>
      </c>
      <c r="H427" s="255" t="s">
        <v>20</v>
      </c>
      <c r="I427" s="255" t="s">
        <v>460</v>
      </c>
      <c r="J427" s="255">
        <v>250</v>
      </c>
      <c r="K427" s="255" t="s">
        <v>457</v>
      </c>
      <c r="L427" s="305" t="s">
        <v>462</v>
      </c>
      <c r="M427" s="299">
        <v>746</v>
      </c>
      <c r="N427" s="779">
        <f t="shared" ref="N427:N429" si="24">(100*M427/J427)</f>
        <v>298.39999999999998</v>
      </c>
      <c r="O427" s="300">
        <v>26</v>
      </c>
      <c r="P427" s="311" t="s">
        <v>467</v>
      </c>
      <c r="Q427" s="312" t="s">
        <v>1324</v>
      </c>
    </row>
    <row r="428" spans="1:17" ht="25.5" x14ac:dyDescent="0.2">
      <c r="A428" s="255" t="s">
        <v>351</v>
      </c>
      <c r="B428" s="255" t="s">
        <v>351</v>
      </c>
      <c r="C428" s="255">
        <v>2018</v>
      </c>
      <c r="D428" s="255" t="s">
        <v>418</v>
      </c>
      <c r="E428" s="255" t="s">
        <v>353</v>
      </c>
      <c r="F428" s="255" t="s">
        <v>76</v>
      </c>
      <c r="G428" s="255" t="s">
        <v>419</v>
      </c>
      <c r="H428" s="255" t="s">
        <v>458</v>
      </c>
      <c r="I428" s="255" t="s">
        <v>460</v>
      </c>
      <c r="J428" s="255">
        <v>250</v>
      </c>
      <c r="K428" s="255" t="s">
        <v>457</v>
      </c>
      <c r="L428" s="305"/>
      <c r="M428" s="299">
        <v>746</v>
      </c>
      <c r="N428" s="779">
        <f t="shared" si="24"/>
        <v>298.39999999999998</v>
      </c>
      <c r="O428" s="300">
        <v>26</v>
      </c>
      <c r="P428" s="311" t="s">
        <v>467</v>
      </c>
      <c r="Q428" s="312" t="s">
        <v>1324</v>
      </c>
    </row>
    <row r="429" spans="1:17" ht="25.5" x14ac:dyDescent="0.2">
      <c r="A429" s="255" t="s">
        <v>351</v>
      </c>
      <c r="B429" s="255" t="s">
        <v>351</v>
      </c>
      <c r="C429" s="255">
        <v>2018</v>
      </c>
      <c r="D429" s="255" t="s">
        <v>418</v>
      </c>
      <c r="E429" s="255" t="s">
        <v>353</v>
      </c>
      <c r="F429" s="255" t="s">
        <v>76</v>
      </c>
      <c r="G429" s="255" t="s">
        <v>419</v>
      </c>
      <c r="H429" s="255" t="s">
        <v>459</v>
      </c>
      <c r="I429" s="255" t="s">
        <v>460</v>
      </c>
      <c r="J429" s="255">
        <v>250</v>
      </c>
      <c r="K429" s="255" t="s">
        <v>457</v>
      </c>
      <c r="L429" s="305"/>
      <c r="M429" s="299">
        <v>746</v>
      </c>
      <c r="N429" s="779">
        <f t="shared" si="24"/>
        <v>298.39999999999998</v>
      </c>
      <c r="O429" s="300">
        <v>26</v>
      </c>
      <c r="P429" s="311" t="s">
        <v>467</v>
      </c>
      <c r="Q429" s="312" t="s">
        <v>1324</v>
      </c>
    </row>
    <row r="430" spans="1:17" x14ac:dyDescent="0.2">
      <c r="A430" s="255" t="s">
        <v>351</v>
      </c>
      <c r="B430" s="255" t="s">
        <v>351</v>
      </c>
      <c r="C430" s="255">
        <v>2018</v>
      </c>
      <c r="D430" s="255" t="s">
        <v>421</v>
      </c>
      <c r="E430" s="255" t="s">
        <v>353</v>
      </c>
      <c r="F430" s="255" t="s">
        <v>76</v>
      </c>
      <c r="G430" s="255" t="s">
        <v>415</v>
      </c>
      <c r="H430" s="255" t="s">
        <v>42</v>
      </c>
      <c r="I430" s="255" t="s">
        <v>456</v>
      </c>
      <c r="J430" s="255">
        <v>0</v>
      </c>
      <c r="K430" s="255" t="s">
        <v>457</v>
      </c>
      <c r="L430" s="305" t="s">
        <v>466</v>
      </c>
      <c r="M430" s="299">
        <v>166</v>
      </c>
      <c r="N430" s="300" t="s">
        <v>1153</v>
      </c>
      <c r="O430" s="300">
        <v>48</v>
      </c>
      <c r="P430" s="311" t="s">
        <v>1325</v>
      </c>
      <c r="Q430" s="312"/>
    </row>
    <row r="431" spans="1:17" x14ac:dyDescent="0.2">
      <c r="A431" s="255" t="s">
        <v>351</v>
      </c>
      <c r="B431" s="255" t="s">
        <v>351</v>
      </c>
      <c r="C431" s="255">
        <v>2018</v>
      </c>
      <c r="D431" s="255" t="s">
        <v>421</v>
      </c>
      <c r="E431" s="255" t="s">
        <v>353</v>
      </c>
      <c r="F431" s="255" t="s">
        <v>76</v>
      </c>
      <c r="G431" s="255" t="s">
        <v>415</v>
      </c>
      <c r="H431" s="255" t="s">
        <v>19</v>
      </c>
      <c r="I431" s="255" t="s">
        <v>456</v>
      </c>
      <c r="J431" s="255">
        <v>0</v>
      </c>
      <c r="K431" s="255" t="s">
        <v>457</v>
      </c>
      <c r="L431" s="305" t="s">
        <v>462</v>
      </c>
      <c r="M431" s="299">
        <v>0</v>
      </c>
      <c r="N431" s="300" t="s">
        <v>1153</v>
      </c>
      <c r="O431" s="300">
        <v>0</v>
      </c>
      <c r="P431" s="311" t="s">
        <v>1325</v>
      </c>
      <c r="Q431" s="312"/>
    </row>
    <row r="432" spans="1:17" x14ac:dyDescent="0.2">
      <c r="A432" s="255" t="s">
        <v>351</v>
      </c>
      <c r="B432" s="255" t="s">
        <v>351</v>
      </c>
      <c r="C432" s="255">
        <v>2018</v>
      </c>
      <c r="D432" s="255" t="s">
        <v>421</v>
      </c>
      <c r="E432" s="255" t="s">
        <v>353</v>
      </c>
      <c r="F432" s="255" t="s">
        <v>76</v>
      </c>
      <c r="G432" s="255" t="s">
        <v>415</v>
      </c>
      <c r="H432" s="255" t="s">
        <v>20</v>
      </c>
      <c r="I432" s="255" t="s">
        <v>456</v>
      </c>
      <c r="J432" s="255">
        <v>0</v>
      </c>
      <c r="K432" s="255" t="s">
        <v>457</v>
      </c>
      <c r="L432" s="305" t="s">
        <v>466</v>
      </c>
      <c r="M432" s="299">
        <v>0</v>
      </c>
      <c r="N432" s="300" t="s">
        <v>1153</v>
      </c>
      <c r="O432" s="300">
        <v>0</v>
      </c>
      <c r="P432" s="311" t="s">
        <v>1325</v>
      </c>
      <c r="Q432" s="312"/>
    </row>
    <row r="433" spans="1:17" x14ac:dyDescent="0.2">
      <c r="A433" s="255" t="s">
        <v>351</v>
      </c>
      <c r="B433" s="255" t="s">
        <v>351</v>
      </c>
      <c r="C433" s="255">
        <v>2018</v>
      </c>
      <c r="D433" s="255" t="s">
        <v>421</v>
      </c>
      <c r="E433" s="255" t="s">
        <v>353</v>
      </c>
      <c r="F433" s="255" t="s">
        <v>76</v>
      </c>
      <c r="G433" s="255" t="s">
        <v>415</v>
      </c>
      <c r="H433" s="255" t="s">
        <v>458</v>
      </c>
      <c r="I433" s="255" t="s">
        <v>456</v>
      </c>
      <c r="J433" s="255">
        <v>0</v>
      </c>
      <c r="K433" s="255" t="s">
        <v>457</v>
      </c>
      <c r="L433" s="305" t="s">
        <v>466</v>
      </c>
      <c r="M433" s="299">
        <v>0</v>
      </c>
      <c r="N433" s="300" t="s">
        <v>1153</v>
      </c>
      <c r="O433" s="300">
        <v>0</v>
      </c>
      <c r="P433" s="311" t="s">
        <v>1325</v>
      </c>
      <c r="Q433" s="312"/>
    </row>
    <row r="434" spans="1:17" x14ac:dyDescent="0.2">
      <c r="A434" s="255" t="s">
        <v>351</v>
      </c>
      <c r="B434" s="255" t="s">
        <v>351</v>
      </c>
      <c r="C434" s="255">
        <v>2018</v>
      </c>
      <c r="D434" s="255" t="s">
        <v>421</v>
      </c>
      <c r="E434" s="255" t="s">
        <v>353</v>
      </c>
      <c r="F434" s="255" t="s">
        <v>76</v>
      </c>
      <c r="G434" s="255" t="s">
        <v>415</v>
      </c>
      <c r="H434" s="255" t="s">
        <v>459</v>
      </c>
      <c r="I434" s="255" t="s">
        <v>456</v>
      </c>
      <c r="J434" s="255">
        <v>0</v>
      </c>
      <c r="K434" s="255" t="s">
        <v>457</v>
      </c>
      <c r="L434" s="305" t="s">
        <v>466</v>
      </c>
      <c r="M434" s="299">
        <v>0</v>
      </c>
      <c r="N434" s="300" t="s">
        <v>1153</v>
      </c>
      <c r="O434" s="300">
        <v>0</v>
      </c>
      <c r="P434" s="311" t="s">
        <v>1325</v>
      </c>
      <c r="Q434" s="312"/>
    </row>
    <row r="435" spans="1:17" ht="25.5" x14ac:dyDescent="0.2">
      <c r="A435" s="255" t="s">
        <v>351</v>
      </c>
      <c r="B435" s="255" t="s">
        <v>351</v>
      </c>
      <c r="C435" s="255">
        <v>2018</v>
      </c>
      <c r="D435" s="255" t="s">
        <v>421</v>
      </c>
      <c r="E435" s="255" t="s">
        <v>353</v>
      </c>
      <c r="F435" s="255" t="s">
        <v>76</v>
      </c>
      <c r="G435" s="255" t="s">
        <v>415</v>
      </c>
      <c r="H435" s="255" t="s">
        <v>42</v>
      </c>
      <c r="I435" s="255" t="s">
        <v>460</v>
      </c>
      <c r="J435" s="255">
        <v>75</v>
      </c>
      <c r="K435" s="255" t="s">
        <v>457</v>
      </c>
      <c r="L435" s="305"/>
      <c r="M435" s="299">
        <v>114</v>
      </c>
      <c r="N435" s="779">
        <f t="shared" ref="N435" si="25">(100*M435/J435)</f>
        <v>152</v>
      </c>
      <c r="O435" s="300">
        <v>13</v>
      </c>
      <c r="P435" s="311" t="s">
        <v>467</v>
      </c>
      <c r="Q435" s="312" t="s">
        <v>1324</v>
      </c>
    </row>
    <row r="436" spans="1:17" x14ac:dyDescent="0.2">
      <c r="A436" s="255" t="s">
        <v>351</v>
      </c>
      <c r="B436" s="255" t="s">
        <v>351</v>
      </c>
      <c r="C436" s="255">
        <v>2018</v>
      </c>
      <c r="D436" s="255" t="s">
        <v>421</v>
      </c>
      <c r="E436" s="255" t="s">
        <v>353</v>
      </c>
      <c r="F436" s="255" t="s">
        <v>76</v>
      </c>
      <c r="G436" s="255" t="s">
        <v>415</v>
      </c>
      <c r="H436" s="255" t="s">
        <v>19</v>
      </c>
      <c r="I436" s="255" t="s">
        <v>460</v>
      </c>
      <c r="J436" s="255">
        <v>0</v>
      </c>
      <c r="K436" s="255" t="s">
        <v>457</v>
      </c>
      <c r="L436" s="305" t="s">
        <v>462</v>
      </c>
      <c r="M436" s="299">
        <v>112</v>
      </c>
      <c r="N436" s="300" t="s">
        <v>1153</v>
      </c>
      <c r="O436" s="300">
        <v>13</v>
      </c>
      <c r="P436" s="311" t="s">
        <v>1325</v>
      </c>
      <c r="Q436" s="312"/>
    </row>
    <row r="437" spans="1:17" x14ac:dyDescent="0.2">
      <c r="A437" s="255" t="s">
        <v>351</v>
      </c>
      <c r="B437" s="255" t="s">
        <v>351</v>
      </c>
      <c r="C437" s="255">
        <v>2018</v>
      </c>
      <c r="D437" s="255" t="s">
        <v>421</v>
      </c>
      <c r="E437" s="255" t="s">
        <v>353</v>
      </c>
      <c r="F437" s="255" t="s">
        <v>76</v>
      </c>
      <c r="G437" s="255" t="s">
        <v>415</v>
      </c>
      <c r="H437" s="255" t="s">
        <v>20</v>
      </c>
      <c r="I437" s="255" t="s">
        <v>460</v>
      </c>
      <c r="J437" s="255">
        <v>75</v>
      </c>
      <c r="K437" s="255" t="s">
        <v>457</v>
      </c>
      <c r="L437" s="305"/>
      <c r="M437" s="299">
        <v>112</v>
      </c>
      <c r="N437" s="779">
        <f t="shared" ref="N437:N439" si="26">(100*M437/J437)</f>
        <v>149.33333333333334</v>
      </c>
      <c r="O437" s="300">
        <v>13</v>
      </c>
      <c r="P437" s="311" t="s">
        <v>467</v>
      </c>
      <c r="Q437" s="312"/>
    </row>
    <row r="438" spans="1:17" x14ac:dyDescent="0.2">
      <c r="A438" s="255" t="s">
        <v>351</v>
      </c>
      <c r="B438" s="255" t="s">
        <v>351</v>
      </c>
      <c r="C438" s="255">
        <v>2018</v>
      </c>
      <c r="D438" s="255" t="s">
        <v>421</v>
      </c>
      <c r="E438" s="255" t="s">
        <v>353</v>
      </c>
      <c r="F438" s="255" t="s">
        <v>76</v>
      </c>
      <c r="G438" s="255" t="s">
        <v>415</v>
      </c>
      <c r="H438" s="255" t="s">
        <v>458</v>
      </c>
      <c r="I438" s="255" t="s">
        <v>460</v>
      </c>
      <c r="J438" s="255">
        <v>75</v>
      </c>
      <c r="K438" s="255" t="s">
        <v>457</v>
      </c>
      <c r="L438" s="305"/>
      <c r="M438" s="299">
        <v>112</v>
      </c>
      <c r="N438" s="779">
        <f t="shared" si="26"/>
        <v>149.33333333333334</v>
      </c>
      <c r="O438" s="300">
        <v>13</v>
      </c>
      <c r="P438" s="311" t="s">
        <v>467</v>
      </c>
      <c r="Q438" s="312"/>
    </row>
    <row r="439" spans="1:17" x14ac:dyDescent="0.2">
      <c r="A439" s="255" t="s">
        <v>351</v>
      </c>
      <c r="B439" s="255" t="s">
        <v>351</v>
      </c>
      <c r="C439" s="255">
        <v>2018</v>
      </c>
      <c r="D439" s="255" t="s">
        <v>421</v>
      </c>
      <c r="E439" s="255" t="s">
        <v>353</v>
      </c>
      <c r="F439" s="255" t="s">
        <v>76</v>
      </c>
      <c r="G439" s="255" t="s">
        <v>415</v>
      </c>
      <c r="H439" s="255" t="s">
        <v>459</v>
      </c>
      <c r="I439" s="255" t="s">
        <v>460</v>
      </c>
      <c r="J439" s="255">
        <v>75</v>
      </c>
      <c r="K439" s="255" t="s">
        <v>457</v>
      </c>
      <c r="L439" s="305"/>
      <c r="M439" s="299">
        <v>112</v>
      </c>
      <c r="N439" s="779">
        <f t="shared" si="26"/>
        <v>149.33333333333334</v>
      </c>
      <c r="O439" s="300">
        <v>13</v>
      </c>
      <c r="P439" s="311" t="s">
        <v>467</v>
      </c>
      <c r="Q439" s="312"/>
    </row>
    <row r="440" spans="1:17" x14ac:dyDescent="0.2">
      <c r="A440" s="255" t="s">
        <v>351</v>
      </c>
      <c r="B440" s="255" t="s">
        <v>351</v>
      </c>
      <c r="C440" s="255">
        <v>2018</v>
      </c>
      <c r="D440" s="255" t="s">
        <v>421</v>
      </c>
      <c r="E440" s="255" t="s">
        <v>353</v>
      </c>
      <c r="F440" s="255" t="s">
        <v>76</v>
      </c>
      <c r="G440" s="255" t="s">
        <v>376</v>
      </c>
      <c r="H440" s="255" t="s">
        <v>42</v>
      </c>
      <c r="I440" s="255" t="s">
        <v>456</v>
      </c>
      <c r="J440" s="255">
        <v>0</v>
      </c>
      <c r="K440" s="255" t="s">
        <v>457</v>
      </c>
      <c r="L440" s="305" t="s">
        <v>466</v>
      </c>
      <c r="M440" s="299">
        <v>0</v>
      </c>
      <c r="N440" s="300" t="s">
        <v>1153</v>
      </c>
      <c r="O440" s="300">
        <v>0</v>
      </c>
      <c r="P440" s="311" t="s">
        <v>1325</v>
      </c>
      <c r="Q440" s="312"/>
    </row>
    <row r="441" spans="1:17" x14ac:dyDescent="0.2">
      <c r="A441" s="255" t="s">
        <v>351</v>
      </c>
      <c r="B441" s="255" t="s">
        <v>351</v>
      </c>
      <c r="C441" s="255">
        <v>2018</v>
      </c>
      <c r="D441" s="255" t="s">
        <v>421</v>
      </c>
      <c r="E441" s="255" t="s">
        <v>353</v>
      </c>
      <c r="F441" s="255" t="s">
        <v>76</v>
      </c>
      <c r="G441" s="255" t="s">
        <v>376</v>
      </c>
      <c r="H441" s="255" t="s">
        <v>19</v>
      </c>
      <c r="I441" s="255" t="s">
        <v>456</v>
      </c>
      <c r="J441" s="255">
        <v>0</v>
      </c>
      <c r="K441" s="255" t="s">
        <v>457</v>
      </c>
      <c r="L441" s="305" t="s">
        <v>462</v>
      </c>
      <c r="M441" s="299">
        <v>0</v>
      </c>
      <c r="N441" s="300" t="s">
        <v>1153</v>
      </c>
      <c r="O441" s="300">
        <v>0</v>
      </c>
      <c r="P441" s="311" t="s">
        <v>1325</v>
      </c>
      <c r="Q441" s="312"/>
    </row>
    <row r="442" spans="1:17" x14ac:dyDescent="0.2">
      <c r="A442" s="255" t="s">
        <v>351</v>
      </c>
      <c r="B442" s="255" t="s">
        <v>351</v>
      </c>
      <c r="C442" s="255">
        <v>2018</v>
      </c>
      <c r="D442" s="255" t="s">
        <v>421</v>
      </c>
      <c r="E442" s="255" t="s">
        <v>353</v>
      </c>
      <c r="F442" s="255" t="s">
        <v>76</v>
      </c>
      <c r="G442" s="255" t="s">
        <v>376</v>
      </c>
      <c r="H442" s="255" t="s">
        <v>20</v>
      </c>
      <c r="I442" s="255" t="s">
        <v>456</v>
      </c>
      <c r="J442" s="255">
        <v>0</v>
      </c>
      <c r="K442" s="255" t="s">
        <v>457</v>
      </c>
      <c r="L442" s="305" t="s">
        <v>466</v>
      </c>
      <c r="M442" s="299">
        <v>0</v>
      </c>
      <c r="N442" s="300" t="s">
        <v>1153</v>
      </c>
      <c r="O442" s="300">
        <v>0</v>
      </c>
      <c r="P442" s="311" t="s">
        <v>1325</v>
      </c>
      <c r="Q442" s="312"/>
    </row>
    <row r="443" spans="1:17" x14ac:dyDescent="0.2">
      <c r="A443" s="255" t="s">
        <v>351</v>
      </c>
      <c r="B443" s="255" t="s">
        <v>351</v>
      </c>
      <c r="C443" s="255">
        <v>2018</v>
      </c>
      <c r="D443" s="255" t="s">
        <v>421</v>
      </c>
      <c r="E443" s="255" t="s">
        <v>353</v>
      </c>
      <c r="F443" s="255" t="s">
        <v>76</v>
      </c>
      <c r="G443" s="255" t="s">
        <v>376</v>
      </c>
      <c r="H443" s="255" t="s">
        <v>458</v>
      </c>
      <c r="I443" s="255" t="s">
        <v>456</v>
      </c>
      <c r="J443" s="255">
        <v>0</v>
      </c>
      <c r="K443" s="255" t="s">
        <v>457</v>
      </c>
      <c r="L443" s="305" t="s">
        <v>466</v>
      </c>
      <c r="M443" s="299">
        <v>0</v>
      </c>
      <c r="N443" s="300" t="s">
        <v>1153</v>
      </c>
      <c r="O443" s="300">
        <v>0</v>
      </c>
      <c r="P443" s="311" t="s">
        <v>1325</v>
      </c>
      <c r="Q443" s="312"/>
    </row>
    <row r="444" spans="1:17" x14ac:dyDescent="0.2">
      <c r="A444" s="255" t="s">
        <v>351</v>
      </c>
      <c r="B444" s="255" t="s">
        <v>351</v>
      </c>
      <c r="C444" s="255">
        <v>2018</v>
      </c>
      <c r="D444" s="255" t="s">
        <v>421</v>
      </c>
      <c r="E444" s="255" t="s">
        <v>353</v>
      </c>
      <c r="F444" s="255" t="s">
        <v>76</v>
      </c>
      <c r="G444" s="255" t="s">
        <v>376</v>
      </c>
      <c r="H444" s="255" t="s">
        <v>459</v>
      </c>
      <c r="I444" s="255" t="s">
        <v>456</v>
      </c>
      <c r="J444" s="255">
        <v>0</v>
      </c>
      <c r="K444" s="255" t="s">
        <v>457</v>
      </c>
      <c r="L444" s="305" t="s">
        <v>466</v>
      </c>
      <c r="M444" s="299">
        <v>0</v>
      </c>
      <c r="N444" s="300" t="s">
        <v>1153</v>
      </c>
      <c r="O444" s="300">
        <v>0</v>
      </c>
      <c r="P444" s="311" t="s">
        <v>1325</v>
      </c>
      <c r="Q444" s="312"/>
    </row>
    <row r="445" spans="1:17" x14ac:dyDescent="0.2">
      <c r="A445" s="255" t="s">
        <v>351</v>
      </c>
      <c r="B445" s="255" t="s">
        <v>351</v>
      </c>
      <c r="C445" s="255">
        <v>2018</v>
      </c>
      <c r="D445" s="255" t="s">
        <v>421</v>
      </c>
      <c r="E445" s="255" t="s">
        <v>353</v>
      </c>
      <c r="F445" s="255" t="s">
        <v>76</v>
      </c>
      <c r="G445" s="255" t="s">
        <v>376</v>
      </c>
      <c r="H445" s="255" t="s">
        <v>42</v>
      </c>
      <c r="I445" s="255" t="s">
        <v>460</v>
      </c>
      <c r="J445" s="255">
        <v>75</v>
      </c>
      <c r="K445" s="255" t="s">
        <v>457</v>
      </c>
      <c r="L445" s="305"/>
      <c r="M445" s="299">
        <v>0</v>
      </c>
      <c r="N445" s="779">
        <f t="shared" ref="N445" si="27">(100*M445/J445)</f>
        <v>0</v>
      </c>
      <c r="O445" s="300">
        <v>0</v>
      </c>
      <c r="P445" s="311" t="s">
        <v>467</v>
      </c>
      <c r="Q445" s="312" t="s">
        <v>1351</v>
      </c>
    </row>
    <row r="446" spans="1:17" x14ac:dyDescent="0.2">
      <c r="A446" s="255" t="s">
        <v>351</v>
      </c>
      <c r="B446" s="255" t="s">
        <v>351</v>
      </c>
      <c r="C446" s="255">
        <v>2018</v>
      </c>
      <c r="D446" s="255" t="s">
        <v>421</v>
      </c>
      <c r="E446" s="255" t="s">
        <v>353</v>
      </c>
      <c r="F446" s="255" t="s">
        <v>76</v>
      </c>
      <c r="G446" s="255" t="s">
        <v>376</v>
      </c>
      <c r="H446" s="255" t="s">
        <v>19</v>
      </c>
      <c r="I446" s="255" t="s">
        <v>460</v>
      </c>
      <c r="J446" s="255">
        <v>0</v>
      </c>
      <c r="K446" s="255" t="s">
        <v>457</v>
      </c>
      <c r="L446" s="305" t="s">
        <v>462</v>
      </c>
      <c r="M446" s="299">
        <v>0</v>
      </c>
      <c r="N446" s="300" t="s">
        <v>1153</v>
      </c>
      <c r="O446" s="300">
        <v>0</v>
      </c>
      <c r="P446" s="311" t="s">
        <v>1325</v>
      </c>
      <c r="Q446" s="312"/>
    </row>
    <row r="447" spans="1:17" x14ac:dyDescent="0.2">
      <c r="A447" s="255" t="s">
        <v>351</v>
      </c>
      <c r="B447" s="255" t="s">
        <v>351</v>
      </c>
      <c r="C447" s="255">
        <v>2018</v>
      </c>
      <c r="D447" s="255" t="s">
        <v>421</v>
      </c>
      <c r="E447" s="255" t="s">
        <v>353</v>
      </c>
      <c r="F447" s="255" t="s">
        <v>76</v>
      </c>
      <c r="G447" s="255" t="s">
        <v>376</v>
      </c>
      <c r="H447" s="255" t="s">
        <v>20</v>
      </c>
      <c r="I447" s="255" t="s">
        <v>460</v>
      </c>
      <c r="J447" s="255">
        <v>75</v>
      </c>
      <c r="K447" s="255" t="s">
        <v>457</v>
      </c>
      <c r="L447" s="305"/>
      <c r="M447" s="299">
        <v>0</v>
      </c>
      <c r="N447" s="779">
        <f t="shared" ref="N447:N449" si="28">(100*M447/J447)</f>
        <v>0</v>
      </c>
      <c r="O447" s="300">
        <v>0</v>
      </c>
      <c r="P447" s="311" t="s">
        <v>467</v>
      </c>
      <c r="Q447" s="312" t="s">
        <v>1351</v>
      </c>
    </row>
    <row r="448" spans="1:17" x14ac:dyDescent="0.2">
      <c r="A448" s="255" t="s">
        <v>351</v>
      </c>
      <c r="B448" s="255" t="s">
        <v>351</v>
      </c>
      <c r="C448" s="255">
        <v>2018</v>
      </c>
      <c r="D448" s="255" t="s">
        <v>421</v>
      </c>
      <c r="E448" s="255" t="s">
        <v>353</v>
      </c>
      <c r="F448" s="255" t="s">
        <v>76</v>
      </c>
      <c r="G448" s="255" t="s">
        <v>376</v>
      </c>
      <c r="H448" s="255" t="s">
        <v>458</v>
      </c>
      <c r="I448" s="255" t="s">
        <v>460</v>
      </c>
      <c r="J448" s="255">
        <v>75</v>
      </c>
      <c r="K448" s="255" t="s">
        <v>457</v>
      </c>
      <c r="L448" s="305"/>
      <c r="M448" s="299">
        <v>0</v>
      </c>
      <c r="N448" s="779">
        <f t="shared" si="28"/>
        <v>0</v>
      </c>
      <c r="O448" s="300">
        <v>0</v>
      </c>
      <c r="P448" s="311" t="s">
        <v>467</v>
      </c>
      <c r="Q448" s="312" t="s">
        <v>1351</v>
      </c>
    </row>
    <row r="449" spans="1:17" x14ac:dyDescent="0.2">
      <c r="A449" s="255" t="s">
        <v>351</v>
      </c>
      <c r="B449" s="255" t="s">
        <v>351</v>
      </c>
      <c r="C449" s="255">
        <v>2018</v>
      </c>
      <c r="D449" s="255" t="s">
        <v>421</v>
      </c>
      <c r="E449" s="255" t="s">
        <v>353</v>
      </c>
      <c r="F449" s="255" t="s">
        <v>76</v>
      </c>
      <c r="G449" s="255" t="s">
        <v>376</v>
      </c>
      <c r="H449" s="255" t="s">
        <v>459</v>
      </c>
      <c r="I449" s="255" t="s">
        <v>460</v>
      </c>
      <c r="J449" s="255">
        <v>75</v>
      </c>
      <c r="K449" s="255" t="s">
        <v>457</v>
      </c>
      <c r="L449" s="305"/>
      <c r="M449" s="299">
        <v>0</v>
      </c>
      <c r="N449" s="779">
        <f t="shared" si="28"/>
        <v>0</v>
      </c>
      <c r="O449" s="300">
        <v>0</v>
      </c>
      <c r="P449" s="311" t="s">
        <v>467</v>
      </c>
      <c r="Q449" s="312" t="s">
        <v>1351</v>
      </c>
    </row>
    <row r="450" spans="1:17" x14ac:dyDescent="0.2">
      <c r="A450" s="255" t="s">
        <v>351</v>
      </c>
      <c r="B450" s="255" t="s">
        <v>351</v>
      </c>
      <c r="C450" s="255">
        <v>2018</v>
      </c>
      <c r="D450" s="255" t="s">
        <v>422</v>
      </c>
      <c r="E450" s="255" t="s">
        <v>353</v>
      </c>
      <c r="F450" s="255" t="s">
        <v>76</v>
      </c>
      <c r="G450" s="255" t="s">
        <v>423</v>
      </c>
      <c r="H450" s="255" t="s">
        <v>42</v>
      </c>
      <c r="I450" s="255" t="s">
        <v>456</v>
      </c>
      <c r="J450" s="255">
        <v>0</v>
      </c>
      <c r="K450" s="255" t="s">
        <v>457</v>
      </c>
      <c r="L450" s="305" t="s">
        <v>466</v>
      </c>
      <c r="M450" s="299">
        <v>1294</v>
      </c>
      <c r="N450" s="300" t="s">
        <v>1153</v>
      </c>
      <c r="O450" s="300">
        <v>60</v>
      </c>
      <c r="P450" s="311" t="s">
        <v>1325</v>
      </c>
      <c r="Q450" s="312"/>
    </row>
    <row r="451" spans="1:17" x14ac:dyDescent="0.2">
      <c r="A451" s="255" t="s">
        <v>351</v>
      </c>
      <c r="B451" s="255" t="s">
        <v>351</v>
      </c>
      <c r="C451" s="255">
        <v>2018</v>
      </c>
      <c r="D451" s="255" t="s">
        <v>422</v>
      </c>
      <c r="E451" s="255" t="s">
        <v>353</v>
      </c>
      <c r="F451" s="255" t="s">
        <v>76</v>
      </c>
      <c r="G451" s="255" t="s">
        <v>423</v>
      </c>
      <c r="H451" s="255" t="s">
        <v>19</v>
      </c>
      <c r="I451" s="255" t="s">
        <v>456</v>
      </c>
      <c r="J451" s="255">
        <v>0</v>
      </c>
      <c r="K451" s="255" t="s">
        <v>457</v>
      </c>
      <c r="L451" s="305" t="s">
        <v>462</v>
      </c>
      <c r="M451" s="299">
        <v>-23</v>
      </c>
      <c r="N451" s="300" t="s">
        <v>1153</v>
      </c>
      <c r="O451" s="300">
        <v>-1</v>
      </c>
      <c r="P451" s="311" t="s">
        <v>1325</v>
      </c>
      <c r="Q451" s="312"/>
    </row>
    <row r="452" spans="1:17" x14ac:dyDescent="0.2">
      <c r="A452" s="255" t="s">
        <v>351</v>
      </c>
      <c r="B452" s="255" t="s">
        <v>351</v>
      </c>
      <c r="C452" s="255">
        <v>2018</v>
      </c>
      <c r="D452" s="255" t="s">
        <v>422</v>
      </c>
      <c r="E452" s="255" t="s">
        <v>353</v>
      </c>
      <c r="F452" s="255" t="s">
        <v>76</v>
      </c>
      <c r="G452" s="255" t="s">
        <v>423</v>
      </c>
      <c r="H452" s="255" t="s">
        <v>20</v>
      </c>
      <c r="I452" s="255" t="s">
        <v>456</v>
      </c>
      <c r="J452" s="255">
        <v>0</v>
      </c>
      <c r="K452" s="255" t="s">
        <v>457</v>
      </c>
      <c r="L452" s="305" t="s">
        <v>466</v>
      </c>
      <c r="M452" s="299">
        <v>20</v>
      </c>
      <c r="N452" s="300" t="s">
        <v>1153</v>
      </c>
      <c r="O452" s="300">
        <v>0</v>
      </c>
      <c r="P452" s="311" t="s">
        <v>1325</v>
      </c>
      <c r="Q452" s="312"/>
    </row>
    <row r="453" spans="1:17" x14ac:dyDescent="0.2">
      <c r="A453" s="255" t="s">
        <v>351</v>
      </c>
      <c r="B453" s="255" t="s">
        <v>351</v>
      </c>
      <c r="C453" s="255">
        <v>2018</v>
      </c>
      <c r="D453" s="255" t="s">
        <v>422</v>
      </c>
      <c r="E453" s="255" t="s">
        <v>353</v>
      </c>
      <c r="F453" s="255" t="s">
        <v>76</v>
      </c>
      <c r="G453" s="255" t="s">
        <v>423</v>
      </c>
      <c r="H453" s="255" t="s">
        <v>458</v>
      </c>
      <c r="I453" s="255" t="s">
        <v>456</v>
      </c>
      <c r="J453" s="255">
        <v>0</v>
      </c>
      <c r="K453" s="255" t="s">
        <v>457</v>
      </c>
      <c r="L453" s="305" t="s">
        <v>466</v>
      </c>
      <c r="M453" s="299">
        <v>20</v>
      </c>
      <c r="N453" s="300" t="s">
        <v>1153</v>
      </c>
      <c r="O453" s="300">
        <v>0</v>
      </c>
      <c r="P453" s="311" t="s">
        <v>1325</v>
      </c>
      <c r="Q453" s="312"/>
    </row>
    <row r="454" spans="1:17" x14ac:dyDescent="0.2">
      <c r="A454" s="255" t="s">
        <v>351</v>
      </c>
      <c r="B454" s="255" t="s">
        <v>351</v>
      </c>
      <c r="C454" s="255">
        <v>2018</v>
      </c>
      <c r="D454" s="255" t="s">
        <v>422</v>
      </c>
      <c r="E454" s="255" t="s">
        <v>353</v>
      </c>
      <c r="F454" s="255" t="s">
        <v>76</v>
      </c>
      <c r="G454" s="255" t="s">
        <v>423</v>
      </c>
      <c r="H454" s="255" t="s">
        <v>459</v>
      </c>
      <c r="I454" s="255" t="s">
        <v>456</v>
      </c>
      <c r="J454" s="255">
        <v>0</v>
      </c>
      <c r="K454" s="255" t="s">
        <v>457</v>
      </c>
      <c r="L454" s="305" t="s">
        <v>466</v>
      </c>
      <c r="M454" s="299">
        <v>0</v>
      </c>
      <c r="N454" s="300" t="s">
        <v>1153</v>
      </c>
      <c r="O454" s="300">
        <v>0</v>
      </c>
      <c r="P454" s="311" t="s">
        <v>1325</v>
      </c>
      <c r="Q454" s="312"/>
    </row>
    <row r="455" spans="1:17" ht="25.5" x14ac:dyDescent="0.2">
      <c r="A455" s="255" t="s">
        <v>351</v>
      </c>
      <c r="B455" s="255" t="s">
        <v>351</v>
      </c>
      <c r="C455" s="255">
        <v>2018</v>
      </c>
      <c r="D455" s="255" t="s">
        <v>422</v>
      </c>
      <c r="E455" s="255" t="s">
        <v>353</v>
      </c>
      <c r="F455" s="255" t="s">
        <v>76</v>
      </c>
      <c r="G455" s="255" t="s">
        <v>423</v>
      </c>
      <c r="H455" s="255" t="s">
        <v>42</v>
      </c>
      <c r="I455" s="255" t="s">
        <v>460</v>
      </c>
      <c r="J455" s="255">
        <v>25</v>
      </c>
      <c r="K455" s="255" t="s">
        <v>457</v>
      </c>
      <c r="L455" s="305"/>
      <c r="M455" s="299">
        <v>1923</v>
      </c>
      <c r="N455" s="779">
        <f t="shared" ref="N455" si="29">(100*M455/J455)</f>
        <v>7692</v>
      </c>
      <c r="O455" s="300">
        <v>54</v>
      </c>
      <c r="P455" s="311" t="s">
        <v>467</v>
      </c>
      <c r="Q455" s="312" t="s">
        <v>1324</v>
      </c>
    </row>
    <row r="456" spans="1:17" x14ac:dyDescent="0.2">
      <c r="A456" s="255" t="s">
        <v>351</v>
      </c>
      <c r="B456" s="255" t="s">
        <v>351</v>
      </c>
      <c r="C456" s="255">
        <v>2018</v>
      </c>
      <c r="D456" s="255" t="s">
        <v>422</v>
      </c>
      <c r="E456" s="255" t="s">
        <v>353</v>
      </c>
      <c r="F456" s="255" t="s">
        <v>76</v>
      </c>
      <c r="G456" s="255" t="s">
        <v>423</v>
      </c>
      <c r="H456" s="255" t="s">
        <v>19</v>
      </c>
      <c r="I456" s="255" t="s">
        <v>460</v>
      </c>
      <c r="J456" s="255">
        <v>0</v>
      </c>
      <c r="K456" s="255" t="s">
        <v>457</v>
      </c>
      <c r="L456" s="305" t="s">
        <v>462</v>
      </c>
      <c r="M456" s="299">
        <v>0</v>
      </c>
      <c r="N456" s="300" t="s">
        <v>1153</v>
      </c>
      <c r="O456" s="300">
        <v>0</v>
      </c>
      <c r="P456" s="311" t="s">
        <v>1325</v>
      </c>
      <c r="Q456" s="312"/>
    </row>
    <row r="457" spans="1:17" ht="25.5" x14ac:dyDescent="0.2">
      <c r="A457" s="255" t="s">
        <v>351</v>
      </c>
      <c r="B457" s="255" t="s">
        <v>351</v>
      </c>
      <c r="C457" s="255">
        <v>2018</v>
      </c>
      <c r="D457" s="255" t="s">
        <v>422</v>
      </c>
      <c r="E457" s="255" t="s">
        <v>353</v>
      </c>
      <c r="F457" s="255" t="s">
        <v>76</v>
      </c>
      <c r="G457" s="255" t="s">
        <v>423</v>
      </c>
      <c r="H457" s="255" t="s">
        <v>20</v>
      </c>
      <c r="I457" s="255" t="s">
        <v>460</v>
      </c>
      <c r="J457" s="255">
        <v>25</v>
      </c>
      <c r="K457" s="255" t="s">
        <v>457</v>
      </c>
      <c r="L457" s="305"/>
      <c r="M457" s="299">
        <v>1390</v>
      </c>
      <c r="N457" s="779">
        <f t="shared" ref="N457:N460" si="30">(100*M457/J457)</f>
        <v>5560</v>
      </c>
      <c r="O457" s="300">
        <v>37</v>
      </c>
      <c r="P457" s="311" t="s">
        <v>467</v>
      </c>
      <c r="Q457" s="312" t="s">
        <v>1324</v>
      </c>
    </row>
    <row r="458" spans="1:17" ht="25.5" x14ac:dyDescent="0.2">
      <c r="A458" s="255" t="s">
        <v>351</v>
      </c>
      <c r="B458" s="255" t="s">
        <v>351</v>
      </c>
      <c r="C458" s="255">
        <v>2018</v>
      </c>
      <c r="D458" s="255" t="s">
        <v>422</v>
      </c>
      <c r="E458" s="255" t="s">
        <v>353</v>
      </c>
      <c r="F458" s="255" t="s">
        <v>76</v>
      </c>
      <c r="G458" s="255" t="s">
        <v>423</v>
      </c>
      <c r="H458" s="255" t="s">
        <v>458</v>
      </c>
      <c r="I458" s="255" t="s">
        <v>460</v>
      </c>
      <c r="J458" s="255">
        <v>25</v>
      </c>
      <c r="K458" s="255" t="s">
        <v>457</v>
      </c>
      <c r="L458" s="305"/>
      <c r="M458" s="299">
        <v>1390</v>
      </c>
      <c r="N458" s="779">
        <f t="shared" si="30"/>
        <v>5560</v>
      </c>
      <c r="O458" s="300">
        <v>37</v>
      </c>
      <c r="P458" s="311" t="s">
        <v>467</v>
      </c>
      <c r="Q458" s="312" t="s">
        <v>1324</v>
      </c>
    </row>
    <row r="459" spans="1:17" ht="25.5" x14ac:dyDescent="0.2">
      <c r="A459" s="214" t="s">
        <v>351</v>
      </c>
      <c r="B459" s="214" t="s">
        <v>351</v>
      </c>
      <c r="C459" s="214">
        <v>2018</v>
      </c>
      <c r="D459" s="214" t="s">
        <v>422</v>
      </c>
      <c r="E459" s="214" t="s">
        <v>353</v>
      </c>
      <c r="F459" s="214" t="s">
        <v>76</v>
      </c>
      <c r="G459" s="214" t="s">
        <v>423</v>
      </c>
      <c r="H459" s="214" t="s">
        <v>459</v>
      </c>
      <c r="I459" s="214" t="s">
        <v>460</v>
      </c>
      <c r="J459" s="214">
        <v>25</v>
      </c>
      <c r="K459" s="214" t="s">
        <v>457</v>
      </c>
      <c r="L459" s="306"/>
      <c r="M459" s="299">
        <v>1393</v>
      </c>
      <c r="N459" s="779">
        <f t="shared" si="30"/>
        <v>5572</v>
      </c>
      <c r="O459" s="300">
        <v>37</v>
      </c>
      <c r="P459" s="311" t="s">
        <v>467</v>
      </c>
      <c r="Q459" s="312" t="s">
        <v>1324</v>
      </c>
    </row>
    <row r="460" spans="1:17" ht="38.25" x14ac:dyDescent="0.2">
      <c r="A460" s="214" t="s">
        <v>351</v>
      </c>
      <c r="B460" s="214" t="s">
        <v>351</v>
      </c>
      <c r="C460" s="214">
        <v>2018</v>
      </c>
      <c r="D460" s="214" t="s">
        <v>424</v>
      </c>
      <c r="E460" s="214" t="s">
        <v>425</v>
      </c>
      <c r="F460" s="214" t="s">
        <v>426</v>
      </c>
      <c r="G460" s="214" t="s">
        <v>427</v>
      </c>
      <c r="H460" s="214" t="s">
        <v>42</v>
      </c>
      <c r="I460" s="214" t="s">
        <v>456</v>
      </c>
      <c r="J460" s="214">
        <v>500</v>
      </c>
      <c r="K460" s="214" t="s">
        <v>457</v>
      </c>
      <c r="L460" s="306"/>
      <c r="M460" s="299">
        <v>391</v>
      </c>
      <c r="N460" s="779">
        <f t="shared" si="30"/>
        <v>78.2</v>
      </c>
      <c r="O460" s="300">
        <v>2</v>
      </c>
      <c r="P460" s="311" t="s">
        <v>1322</v>
      </c>
      <c r="Q460" s="312" t="s">
        <v>1730</v>
      </c>
    </row>
    <row r="461" spans="1:17" x14ac:dyDescent="0.2">
      <c r="A461" s="255" t="s">
        <v>351</v>
      </c>
      <c r="B461" s="255" t="s">
        <v>351</v>
      </c>
      <c r="C461" s="255">
        <v>2018</v>
      </c>
      <c r="D461" s="255" t="s">
        <v>424</v>
      </c>
      <c r="E461" s="255" t="s">
        <v>425</v>
      </c>
      <c r="F461" s="255" t="s">
        <v>426</v>
      </c>
      <c r="G461" s="255" t="s">
        <v>427</v>
      </c>
      <c r="H461" s="255" t="s">
        <v>19</v>
      </c>
      <c r="I461" s="255" t="s">
        <v>456</v>
      </c>
      <c r="J461" s="255">
        <v>0</v>
      </c>
      <c r="K461" s="255" t="s">
        <v>457</v>
      </c>
      <c r="L461" s="305" t="s">
        <v>462</v>
      </c>
      <c r="M461" s="299">
        <v>391</v>
      </c>
      <c r="N461" s="301" t="s">
        <v>1153</v>
      </c>
      <c r="O461" s="301">
        <v>2</v>
      </c>
      <c r="P461" s="313" t="s">
        <v>1325</v>
      </c>
      <c r="Q461" s="314"/>
    </row>
    <row r="462" spans="1:17" ht="38.25" x14ac:dyDescent="0.2">
      <c r="A462" s="255" t="s">
        <v>351</v>
      </c>
      <c r="B462" s="255" t="s">
        <v>351</v>
      </c>
      <c r="C462" s="255">
        <v>2018</v>
      </c>
      <c r="D462" s="255" t="s">
        <v>424</v>
      </c>
      <c r="E462" s="255" t="s">
        <v>425</v>
      </c>
      <c r="F462" s="255" t="s">
        <v>426</v>
      </c>
      <c r="G462" s="255" t="s">
        <v>427</v>
      </c>
      <c r="H462" s="255" t="s">
        <v>20</v>
      </c>
      <c r="I462" s="255" t="s">
        <v>456</v>
      </c>
      <c r="J462" s="255">
        <v>500</v>
      </c>
      <c r="K462" s="255" t="s">
        <v>457</v>
      </c>
      <c r="L462" s="305"/>
      <c r="M462" s="299">
        <v>391</v>
      </c>
      <c r="N462" s="780">
        <f t="shared" ref="N462" si="31">(100*M462/J462)</f>
        <v>78.2</v>
      </c>
      <c r="O462" s="301">
        <v>2</v>
      </c>
      <c r="P462" s="313" t="s">
        <v>1322</v>
      </c>
      <c r="Q462" s="314" t="s">
        <v>1746</v>
      </c>
    </row>
    <row r="463" spans="1:17" x14ac:dyDescent="0.2">
      <c r="A463" s="255" t="s">
        <v>351</v>
      </c>
      <c r="B463" s="255" t="s">
        <v>351</v>
      </c>
      <c r="C463" s="255">
        <v>2018</v>
      </c>
      <c r="D463" s="255" t="s">
        <v>424</v>
      </c>
      <c r="E463" s="255" t="s">
        <v>425</v>
      </c>
      <c r="F463" s="255" t="s">
        <v>426</v>
      </c>
      <c r="G463" s="255" t="s">
        <v>427</v>
      </c>
      <c r="H463" s="255" t="s">
        <v>458</v>
      </c>
      <c r="I463" s="255" t="s">
        <v>456</v>
      </c>
      <c r="J463" s="255">
        <v>0</v>
      </c>
      <c r="K463" s="255" t="s">
        <v>457</v>
      </c>
      <c r="L463" s="305" t="s">
        <v>462</v>
      </c>
      <c r="M463" s="299">
        <v>391</v>
      </c>
      <c r="N463" s="301" t="s">
        <v>1153</v>
      </c>
      <c r="O463" s="301">
        <v>2</v>
      </c>
      <c r="P463" s="313" t="s">
        <v>1325</v>
      </c>
      <c r="Q463" s="314"/>
    </row>
    <row r="464" spans="1:17" x14ac:dyDescent="0.2">
      <c r="A464" s="255" t="s">
        <v>351</v>
      </c>
      <c r="B464" s="255" t="s">
        <v>351</v>
      </c>
      <c r="C464" s="255">
        <v>2018</v>
      </c>
      <c r="D464" s="255" t="s">
        <v>424</v>
      </c>
      <c r="E464" s="255" t="s">
        <v>425</v>
      </c>
      <c r="F464" s="255" t="s">
        <v>426</v>
      </c>
      <c r="G464" s="255" t="s">
        <v>427</v>
      </c>
      <c r="H464" s="255" t="s">
        <v>459</v>
      </c>
      <c r="I464" s="255" t="s">
        <v>456</v>
      </c>
      <c r="J464" s="255">
        <v>0</v>
      </c>
      <c r="K464" s="255" t="s">
        <v>457</v>
      </c>
      <c r="L464" s="305" t="s">
        <v>462</v>
      </c>
      <c r="M464" s="299">
        <v>0</v>
      </c>
      <c r="N464" s="301" t="s">
        <v>1153</v>
      </c>
      <c r="O464" s="301">
        <v>0</v>
      </c>
      <c r="P464" s="313" t="s">
        <v>1325</v>
      </c>
      <c r="Q464" s="314"/>
    </row>
    <row r="465" spans="1:17" x14ac:dyDescent="0.2">
      <c r="A465" s="255" t="s">
        <v>351</v>
      </c>
      <c r="B465" s="255" t="s">
        <v>351</v>
      </c>
      <c r="C465" s="255">
        <v>2018</v>
      </c>
      <c r="D465" s="255" t="s">
        <v>424</v>
      </c>
      <c r="E465" s="255" t="s">
        <v>425</v>
      </c>
      <c r="F465" s="255" t="s">
        <v>426</v>
      </c>
      <c r="G465" s="255" t="s">
        <v>427</v>
      </c>
      <c r="H465" s="255" t="s">
        <v>42</v>
      </c>
      <c r="I465" s="255" t="s">
        <v>460</v>
      </c>
      <c r="J465" s="255">
        <v>0</v>
      </c>
      <c r="K465" s="255" t="s">
        <v>457</v>
      </c>
      <c r="L465" s="305" t="s">
        <v>463</v>
      </c>
      <c r="M465" s="299">
        <v>0</v>
      </c>
      <c r="N465" s="301" t="s">
        <v>1153</v>
      </c>
      <c r="O465" s="301">
        <v>0</v>
      </c>
      <c r="P465" s="313" t="s">
        <v>1325</v>
      </c>
      <c r="Q465" s="314"/>
    </row>
    <row r="466" spans="1:17" x14ac:dyDescent="0.2">
      <c r="A466" s="255" t="s">
        <v>351</v>
      </c>
      <c r="B466" s="255" t="s">
        <v>351</v>
      </c>
      <c r="C466" s="255">
        <v>2018</v>
      </c>
      <c r="D466" s="255" t="s">
        <v>424</v>
      </c>
      <c r="E466" s="255" t="s">
        <v>425</v>
      </c>
      <c r="F466" s="255" t="s">
        <v>426</v>
      </c>
      <c r="G466" s="255" t="s">
        <v>427</v>
      </c>
      <c r="H466" s="255" t="s">
        <v>19</v>
      </c>
      <c r="I466" s="255" t="s">
        <v>460</v>
      </c>
      <c r="J466" s="255">
        <v>0</v>
      </c>
      <c r="K466" s="255" t="s">
        <v>457</v>
      </c>
      <c r="L466" s="305" t="s">
        <v>462</v>
      </c>
      <c r="M466" s="299">
        <v>0</v>
      </c>
      <c r="N466" s="301" t="s">
        <v>1153</v>
      </c>
      <c r="O466" s="301">
        <v>0</v>
      </c>
      <c r="P466" s="313" t="s">
        <v>1325</v>
      </c>
      <c r="Q466" s="314"/>
    </row>
    <row r="467" spans="1:17" x14ac:dyDescent="0.2">
      <c r="A467" s="255" t="s">
        <v>351</v>
      </c>
      <c r="B467" s="255" t="s">
        <v>351</v>
      </c>
      <c r="C467" s="255">
        <v>2018</v>
      </c>
      <c r="D467" s="255" t="s">
        <v>424</v>
      </c>
      <c r="E467" s="255" t="s">
        <v>425</v>
      </c>
      <c r="F467" s="255" t="s">
        <v>426</v>
      </c>
      <c r="G467" s="255" t="s">
        <v>427</v>
      </c>
      <c r="H467" s="255" t="s">
        <v>20</v>
      </c>
      <c r="I467" s="255" t="s">
        <v>460</v>
      </c>
      <c r="J467" s="255">
        <v>0</v>
      </c>
      <c r="K467" s="255" t="s">
        <v>457</v>
      </c>
      <c r="L467" s="305" t="s">
        <v>463</v>
      </c>
      <c r="M467" s="299">
        <v>0</v>
      </c>
      <c r="N467" s="301" t="s">
        <v>1153</v>
      </c>
      <c r="O467" s="301">
        <v>0</v>
      </c>
      <c r="P467" s="313" t="s">
        <v>1325</v>
      </c>
      <c r="Q467" s="314"/>
    </row>
    <row r="468" spans="1:17" x14ac:dyDescent="0.2">
      <c r="A468" s="255" t="s">
        <v>351</v>
      </c>
      <c r="B468" s="255" t="s">
        <v>351</v>
      </c>
      <c r="C468" s="255">
        <v>2018</v>
      </c>
      <c r="D468" s="255" t="s">
        <v>424</v>
      </c>
      <c r="E468" s="255" t="s">
        <v>425</v>
      </c>
      <c r="F468" s="255" t="s">
        <v>426</v>
      </c>
      <c r="G468" s="255" t="s">
        <v>427</v>
      </c>
      <c r="H468" s="255" t="s">
        <v>458</v>
      </c>
      <c r="I468" s="255" t="s">
        <v>460</v>
      </c>
      <c r="J468" s="255">
        <v>0</v>
      </c>
      <c r="K468" s="255" t="s">
        <v>457</v>
      </c>
      <c r="L468" s="305" t="s">
        <v>462</v>
      </c>
      <c r="M468" s="299">
        <v>0</v>
      </c>
      <c r="N468" s="301" t="s">
        <v>1153</v>
      </c>
      <c r="O468" s="301">
        <v>0</v>
      </c>
      <c r="P468" s="313" t="s">
        <v>1325</v>
      </c>
      <c r="Q468" s="314"/>
    </row>
    <row r="469" spans="1:17" x14ac:dyDescent="0.2">
      <c r="A469" s="255" t="s">
        <v>351</v>
      </c>
      <c r="B469" s="255" t="s">
        <v>351</v>
      </c>
      <c r="C469" s="255">
        <v>2018</v>
      </c>
      <c r="D469" s="255" t="s">
        <v>424</v>
      </c>
      <c r="E469" s="255" t="s">
        <v>425</v>
      </c>
      <c r="F469" s="255" t="s">
        <v>426</v>
      </c>
      <c r="G469" s="255" t="s">
        <v>427</v>
      </c>
      <c r="H469" s="255" t="s">
        <v>459</v>
      </c>
      <c r="I469" s="255" t="s">
        <v>460</v>
      </c>
      <c r="J469" s="255">
        <v>0</v>
      </c>
      <c r="K469" s="255" t="s">
        <v>457</v>
      </c>
      <c r="L469" s="305" t="s">
        <v>462</v>
      </c>
      <c r="M469" s="299">
        <v>0</v>
      </c>
      <c r="N469" s="301" t="s">
        <v>1153</v>
      </c>
      <c r="O469" s="301">
        <v>0</v>
      </c>
      <c r="P469" s="313" t="s">
        <v>1325</v>
      </c>
      <c r="Q469" s="314"/>
    </row>
    <row r="470" spans="1:17" x14ac:dyDescent="0.2">
      <c r="A470" s="260"/>
      <c r="B470" s="260"/>
      <c r="C470" s="260"/>
      <c r="D470" s="260"/>
      <c r="E470" s="260"/>
      <c r="F470" s="260"/>
      <c r="G470" s="260"/>
      <c r="H470" s="260"/>
      <c r="I470" s="260"/>
      <c r="J470" s="260"/>
      <c r="K470" s="260"/>
      <c r="L470" s="307"/>
      <c r="M470" s="302"/>
      <c r="N470" s="302"/>
      <c r="O470" s="302"/>
      <c r="P470" s="303"/>
      <c r="Q470" s="302"/>
    </row>
    <row r="471" spans="1:17" x14ac:dyDescent="0.2">
      <c r="A471" s="260"/>
      <c r="B471" s="260"/>
      <c r="C471" s="260"/>
      <c r="D471" s="260"/>
      <c r="E471" s="260"/>
      <c r="F471" s="260"/>
      <c r="G471" s="260"/>
      <c r="H471" s="260"/>
      <c r="I471" s="260"/>
      <c r="J471" s="260"/>
      <c r="K471" s="260"/>
      <c r="L471" s="307"/>
      <c r="M471" s="302"/>
      <c r="N471" s="302"/>
      <c r="O471" s="302"/>
      <c r="P471" s="303"/>
      <c r="Q471" s="302"/>
    </row>
    <row r="472" spans="1:17" x14ac:dyDescent="0.2">
      <c r="A472" s="295"/>
      <c r="B472" s="295"/>
      <c r="C472" s="295"/>
      <c r="D472" s="295"/>
      <c r="E472" s="295"/>
      <c r="F472" s="295"/>
      <c r="G472" s="295"/>
      <c r="H472" s="295"/>
      <c r="I472" s="295"/>
      <c r="J472" s="295"/>
      <c r="K472" s="295"/>
      <c r="L472" s="308"/>
    </row>
  </sheetData>
  <dataValidations count="1">
    <dataValidation type="textLength" showInputMessage="1" showErrorMessage="1" sqref="H5:H471">
      <formula1>0</formula1>
      <formula2>150</formula2>
    </dataValidation>
  </dataValidations>
  <pageMargins left="0.7" right="0.7" top="0.75" bottom="0.75" header="0.3" footer="0.3"/>
  <pageSetup paperSize="9" scale="64" fitToHeight="0" orientation="landscape"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pageSetUpPr fitToPage="1"/>
  </sheetPr>
  <dimension ref="A1:Y166"/>
  <sheetViews>
    <sheetView topLeftCell="A7" zoomScale="60" zoomScaleNormal="60" workbookViewId="0">
      <selection activeCell="W16" sqref="W16"/>
    </sheetView>
  </sheetViews>
  <sheetFormatPr defaultColWidth="8.85546875" defaultRowHeight="12.75" x14ac:dyDescent="0.2"/>
  <cols>
    <col min="1" max="1" width="8.85546875" style="64"/>
    <col min="2" max="2" width="12" style="64" customWidth="1"/>
    <col min="3" max="3" width="15.42578125" style="64" customWidth="1"/>
    <col min="4" max="4" width="15.28515625" style="64" customWidth="1"/>
    <col min="5" max="5" width="15" style="64" customWidth="1"/>
    <col min="6" max="6" width="22" style="64" customWidth="1"/>
    <col min="7" max="7" width="18.28515625" style="65" customWidth="1"/>
    <col min="8" max="8" width="18.28515625" style="64" customWidth="1"/>
    <col min="9" max="10" width="16.140625" style="64" customWidth="1"/>
    <col min="11" max="11" width="16.28515625" style="64" customWidth="1"/>
    <col min="12" max="12" width="24.28515625" style="64" customWidth="1"/>
    <col min="13" max="13" width="20" style="64" customWidth="1"/>
    <col min="14" max="15" width="19.140625" style="66" customWidth="1"/>
    <col min="16" max="16" width="13.5703125" style="66" customWidth="1"/>
    <col min="17" max="24" width="19.140625" style="66" customWidth="1"/>
    <col min="25" max="25" width="13.140625" style="64" customWidth="1"/>
    <col min="26" max="16384" width="8.85546875" style="64"/>
  </cols>
  <sheetData>
    <row r="1" spans="1:25" ht="13.5" thickBot="1" x14ac:dyDescent="0.25">
      <c r="A1" s="63" t="s">
        <v>63</v>
      </c>
    </row>
    <row r="2" spans="1:25" ht="13.5" thickBot="1" x14ac:dyDescent="0.25">
      <c r="A2" s="67"/>
      <c r="B2" s="67"/>
      <c r="C2" s="67"/>
      <c r="D2" s="67"/>
      <c r="E2" s="67"/>
      <c r="F2" s="67"/>
      <c r="G2" s="67"/>
      <c r="H2" s="67"/>
      <c r="I2" s="67"/>
      <c r="J2" s="67"/>
      <c r="K2" s="67"/>
      <c r="L2" s="67"/>
      <c r="N2" s="68"/>
      <c r="O2" s="68"/>
      <c r="P2" s="68"/>
      <c r="Q2" s="68"/>
      <c r="R2" s="68"/>
      <c r="S2" s="68"/>
      <c r="T2" s="68"/>
      <c r="U2" s="68"/>
      <c r="V2" s="68"/>
      <c r="X2" s="99" t="s">
        <v>56</v>
      </c>
      <c r="Y2" s="602" t="s">
        <v>50</v>
      </c>
    </row>
    <row r="3" spans="1:25" ht="13.5" thickBot="1" x14ac:dyDescent="0.25">
      <c r="A3" s="69"/>
      <c r="B3" s="69"/>
      <c r="C3" s="69"/>
      <c r="D3" s="69"/>
      <c r="E3" s="69"/>
      <c r="F3" s="69"/>
      <c r="G3" s="69"/>
      <c r="H3" s="69"/>
      <c r="I3" s="69"/>
      <c r="J3" s="69"/>
      <c r="K3" s="69"/>
      <c r="L3" s="69"/>
      <c r="N3" s="70"/>
      <c r="O3" s="70"/>
      <c r="P3" s="70"/>
      <c r="Q3" s="70"/>
      <c r="R3" s="70"/>
      <c r="S3" s="70"/>
      <c r="T3" s="70"/>
      <c r="U3" s="70"/>
      <c r="V3" s="70"/>
      <c r="X3" s="98" t="s">
        <v>55</v>
      </c>
      <c r="Y3" s="603">
        <v>2018</v>
      </c>
    </row>
    <row r="4" spans="1:25" ht="77.25" thickBot="1" x14ac:dyDescent="0.25">
      <c r="A4" s="95" t="s">
        <v>0</v>
      </c>
      <c r="B4" s="95" t="s">
        <v>11</v>
      </c>
      <c r="C4" s="95" t="s">
        <v>64</v>
      </c>
      <c r="D4" s="96" t="s">
        <v>5</v>
      </c>
      <c r="E4" s="95" t="s">
        <v>8</v>
      </c>
      <c r="F4" s="95" t="s">
        <v>65</v>
      </c>
      <c r="G4" s="97" t="s">
        <v>66</v>
      </c>
      <c r="H4" s="95" t="s">
        <v>67</v>
      </c>
      <c r="I4" s="95" t="s">
        <v>68</v>
      </c>
      <c r="J4" s="95" t="s">
        <v>69</v>
      </c>
      <c r="K4" s="95" t="s">
        <v>70</v>
      </c>
      <c r="L4" s="95" t="s">
        <v>71</v>
      </c>
      <c r="M4" s="95" t="s">
        <v>4</v>
      </c>
      <c r="N4" s="151" t="s">
        <v>299</v>
      </c>
      <c r="O4" s="151" t="s">
        <v>300</v>
      </c>
      <c r="P4" s="151" t="s">
        <v>9</v>
      </c>
      <c r="Q4" s="151" t="s">
        <v>302</v>
      </c>
      <c r="R4" s="151" t="s">
        <v>301</v>
      </c>
      <c r="S4" s="151" t="s">
        <v>303</v>
      </c>
      <c r="T4" s="151" t="s">
        <v>72</v>
      </c>
      <c r="U4" s="151" t="s">
        <v>73</v>
      </c>
      <c r="V4" s="152" t="s">
        <v>331</v>
      </c>
      <c r="W4" s="151" t="s">
        <v>74</v>
      </c>
      <c r="X4" s="151" t="s">
        <v>75</v>
      </c>
      <c r="Y4" s="152" t="s">
        <v>332</v>
      </c>
    </row>
    <row r="5" spans="1:25" s="24" customFormat="1" ht="51" x14ac:dyDescent="0.2">
      <c r="A5" s="604" t="s">
        <v>351</v>
      </c>
      <c r="B5" s="604" t="s">
        <v>50</v>
      </c>
      <c r="C5" s="605" t="s">
        <v>81</v>
      </c>
      <c r="D5" s="604" t="s">
        <v>76</v>
      </c>
      <c r="E5" s="604" t="s">
        <v>1124</v>
      </c>
      <c r="F5" s="604" t="s">
        <v>6</v>
      </c>
      <c r="G5" s="604" t="s">
        <v>180</v>
      </c>
      <c r="H5" s="604" t="s">
        <v>79</v>
      </c>
      <c r="I5" s="604" t="s">
        <v>6</v>
      </c>
      <c r="J5" s="604" t="s">
        <v>6</v>
      </c>
      <c r="K5" s="604" t="s">
        <v>6</v>
      </c>
      <c r="L5" s="606" t="s">
        <v>731</v>
      </c>
      <c r="M5" s="607" t="s">
        <v>1125</v>
      </c>
      <c r="N5" s="608" t="s">
        <v>1101</v>
      </c>
      <c r="O5" s="608" t="s">
        <v>1779</v>
      </c>
      <c r="P5" s="608" t="s">
        <v>913</v>
      </c>
      <c r="Q5" s="608" t="s">
        <v>6</v>
      </c>
      <c r="R5" s="608" t="s">
        <v>79</v>
      </c>
      <c r="S5" s="608" t="s">
        <v>6</v>
      </c>
      <c r="T5" s="608" t="s">
        <v>6</v>
      </c>
      <c r="U5" s="608" t="s">
        <v>6</v>
      </c>
      <c r="V5" s="608" t="s">
        <v>6</v>
      </c>
      <c r="W5" s="608" t="s">
        <v>79</v>
      </c>
      <c r="X5" s="608" t="s">
        <v>6</v>
      </c>
      <c r="Y5" s="608"/>
    </row>
    <row r="6" spans="1:25" ht="186.6" customHeight="1" x14ac:dyDescent="0.2">
      <c r="A6" s="271" t="s">
        <v>351</v>
      </c>
      <c r="B6" s="271" t="s">
        <v>50</v>
      </c>
      <c r="C6" s="272" t="s">
        <v>81</v>
      </c>
      <c r="D6" s="271" t="s">
        <v>76</v>
      </c>
      <c r="E6" s="271" t="s">
        <v>1126</v>
      </c>
      <c r="F6" s="271" t="s">
        <v>6</v>
      </c>
      <c r="G6" s="273" t="s">
        <v>1127</v>
      </c>
      <c r="H6" s="271" t="s">
        <v>1128</v>
      </c>
      <c r="I6" s="271" t="s">
        <v>79</v>
      </c>
      <c r="J6" s="271" t="s">
        <v>79</v>
      </c>
      <c r="K6" s="271" t="s">
        <v>79</v>
      </c>
      <c r="L6" s="271" t="s">
        <v>1129</v>
      </c>
      <c r="M6" s="268" t="s">
        <v>1139</v>
      </c>
      <c r="N6" s="610" t="s">
        <v>7</v>
      </c>
      <c r="O6" s="608" t="s">
        <v>1785</v>
      </c>
      <c r="P6" s="608" t="s">
        <v>913</v>
      </c>
      <c r="Q6" s="608" t="s">
        <v>7</v>
      </c>
      <c r="R6" s="608" t="s">
        <v>7</v>
      </c>
      <c r="S6" s="608" t="s">
        <v>7</v>
      </c>
      <c r="T6" s="608" t="s">
        <v>7</v>
      </c>
      <c r="U6" s="608" t="s">
        <v>7</v>
      </c>
      <c r="V6" s="608" t="s">
        <v>7</v>
      </c>
      <c r="W6" s="608" t="s">
        <v>7</v>
      </c>
      <c r="X6" s="608" t="s">
        <v>7</v>
      </c>
      <c r="Y6" s="608" t="s">
        <v>1786</v>
      </c>
    </row>
    <row r="7" spans="1:25" ht="153" x14ac:dyDescent="0.2">
      <c r="A7" s="271" t="s">
        <v>351</v>
      </c>
      <c r="B7" s="271" t="s">
        <v>50</v>
      </c>
      <c r="C7" s="272" t="s">
        <v>81</v>
      </c>
      <c r="D7" s="271" t="s">
        <v>76</v>
      </c>
      <c r="E7" s="271" t="s">
        <v>1130</v>
      </c>
      <c r="F7" s="271" t="s">
        <v>6</v>
      </c>
      <c r="G7" s="273" t="s">
        <v>1131</v>
      </c>
      <c r="H7" s="271" t="s">
        <v>79</v>
      </c>
      <c r="I7" s="271" t="s">
        <v>79</v>
      </c>
      <c r="J7" s="271" t="s">
        <v>79</v>
      </c>
      <c r="K7" s="271" t="s">
        <v>79</v>
      </c>
      <c r="L7" s="271" t="s">
        <v>1132</v>
      </c>
      <c r="M7" s="268" t="s">
        <v>1133</v>
      </c>
      <c r="N7" s="610" t="s">
        <v>7</v>
      </c>
      <c r="O7" s="608" t="s">
        <v>1785</v>
      </c>
      <c r="P7" s="608" t="s">
        <v>913</v>
      </c>
      <c r="Q7" s="608" t="s">
        <v>7</v>
      </c>
      <c r="R7" s="608" t="s">
        <v>7</v>
      </c>
      <c r="S7" s="608" t="s">
        <v>7</v>
      </c>
      <c r="T7" s="608" t="s">
        <v>7</v>
      </c>
      <c r="U7" s="608" t="s">
        <v>7</v>
      </c>
      <c r="V7" s="608" t="s">
        <v>7</v>
      </c>
      <c r="W7" s="608" t="s">
        <v>7</v>
      </c>
      <c r="X7" s="608" t="s">
        <v>7</v>
      </c>
      <c r="Y7" s="608" t="s">
        <v>1786</v>
      </c>
    </row>
    <row r="8" spans="1:25" ht="140.25" x14ac:dyDescent="0.2">
      <c r="A8" s="271" t="s">
        <v>351</v>
      </c>
      <c r="B8" s="271" t="s">
        <v>50</v>
      </c>
      <c r="C8" s="272" t="s">
        <v>81</v>
      </c>
      <c r="D8" s="271" t="s">
        <v>76</v>
      </c>
      <c r="E8" s="271" t="s">
        <v>1134</v>
      </c>
      <c r="F8" s="271" t="s">
        <v>6</v>
      </c>
      <c r="G8" s="273" t="s">
        <v>1135</v>
      </c>
      <c r="H8" s="271" t="s">
        <v>79</v>
      </c>
      <c r="I8" s="271" t="s">
        <v>79</v>
      </c>
      <c r="J8" s="271" t="s">
        <v>79</v>
      </c>
      <c r="K8" s="271" t="s">
        <v>79</v>
      </c>
      <c r="L8" s="271" t="s">
        <v>1129</v>
      </c>
      <c r="M8" s="268" t="s">
        <v>1140</v>
      </c>
      <c r="N8" s="610" t="s">
        <v>7</v>
      </c>
      <c r="O8" s="608" t="s">
        <v>1785</v>
      </c>
      <c r="P8" s="608" t="s">
        <v>913</v>
      </c>
      <c r="Q8" s="608" t="s">
        <v>7</v>
      </c>
      <c r="R8" s="608" t="s">
        <v>7</v>
      </c>
      <c r="S8" s="608" t="s">
        <v>7</v>
      </c>
      <c r="T8" s="608" t="s">
        <v>7</v>
      </c>
      <c r="U8" s="608" t="s">
        <v>7</v>
      </c>
      <c r="V8" s="608" t="s">
        <v>7</v>
      </c>
      <c r="W8" s="608" t="s">
        <v>7</v>
      </c>
      <c r="X8" s="608" t="s">
        <v>7</v>
      </c>
      <c r="Y8" s="608" t="s">
        <v>1786</v>
      </c>
    </row>
    <row r="9" spans="1:25" ht="140.25" x14ac:dyDescent="0.2">
      <c r="A9" s="271" t="s">
        <v>351</v>
      </c>
      <c r="B9" s="271" t="s">
        <v>50</v>
      </c>
      <c r="C9" s="272" t="s">
        <v>81</v>
      </c>
      <c r="D9" s="271" t="s">
        <v>76</v>
      </c>
      <c r="E9" s="271" t="s">
        <v>1136</v>
      </c>
      <c r="F9" s="271" t="s">
        <v>6</v>
      </c>
      <c r="G9" s="273" t="s">
        <v>1135</v>
      </c>
      <c r="H9" s="271" t="s">
        <v>1128</v>
      </c>
      <c r="I9" s="271" t="s">
        <v>79</v>
      </c>
      <c r="J9" s="271" t="s">
        <v>79</v>
      </c>
      <c r="K9" s="271" t="s">
        <v>79</v>
      </c>
      <c r="L9" s="271" t="s">
        <v>1129</v>
      </c>
      <c r="M9" s="268" t="s">
        <v>1140</v>
      </c>
      <c r="N9" s="610" t="s">
        <v>7</v>
      </c>
      <c r="O9" s="608" t="s">
        <v>1785</v>
      </c>
      <c r="P9" s="608" t="s">
        <v>913</v>
      </c>
      <c r="Q9" s="608" t="s">
        <v>7</v>
      </c>
      <c r="R9" s="608" t="s">
        <v>7</v>
      </c>
      <c r="S9" s="608" t="s">
        <v>7</v>
      </c>
      <c r="T9" s="608" t="s">
        <v>7</v>
      </c>
      <c r="U9" s="608" t="s">
        <v>7</v>
      </c>
      <c r="V9" s="608" t="s">
        <v>7</v>
      </c>
      <c r="W9" s="608" t="s">
        <v>7</v>
      </c>
      <c r="X9" s="608" t="s">
        <v>7</v>
      </c>
      <c r="Y9" s="608" t="s">
        <v>1786</v>
      </c>
    </row>
    <row r="10" spans="1:25" ht="154.9" customHeight="1" x14ac:dyDescent="0.2">
      <c r="A10" s="271" t="s">
        <v>351</v>
      </c>
      <c r="B10" s="271" t="s">
        <v>50</v>
      </c>
      <c r="C10" s="272" t="s">
        <v>81</v>
      </c>
      <c r="D10" s="271" t="s">
        <v>76</v>
      </c>
      <c r="E10" s="271" t="s">
        <v>80</v>
      </c>
      <c r="F10" s="271" t="s">
        <v>6</v>
      </c>
      <c r="G10" s="273" t="s">
        <v>1137</v>
      </c>
      <c r="H10" s="271" t="s">
        <v>1128</v>
      </c>
      <c r="I10" s="271" t="s">
        <v>79</v>
      </c>
      <c r="J10" s="271" t="s">
        <v>79</v>
      </c>
      <c r="K10" s="271" t="s">
        <v>79</v>
      </c>
      <c r="L10" s="271" t="s">
        <v>1129</v>
      </c>
      <c r="M10" s="268" t="s">
        <v>1140</v>
      </c>
      <c r="N10" s="610" t="s">
        <v>7</v>
      </c>
      <c r="O10" s="608" t="s">
        <v>1785</v>
      </c>
      <c r="P10" s="608" t="s">
        <v>913</v>
      </c>
      <c r="Q10" s="608" t="s">
        <v>7</v>
      </c>
      <c r="R10" s="608" t="s">
        <v>7</v>
      </c>
      <c r="S10" s="608" t="s">
        <v>7</v>
      </c>
      <c r="T10" s="608" t="s">
        <v>7</v>
      </c>
      <c r="U10" s="608" t="s">
        <v>7</v>
      </c>
      <c r="V10" s="608" t="s">
        <v>7</v>
      </c>
      <c r="W10" s="608" t="s">
        <v>7</v>
      </c>
      <c r="X10" s="608" t="s">
        <v>7</v>
      </c>
      <c r="Y10" s="608" t="s">
        <v>1786</v>
      </c>
    </row>
    <row r="11" spans="1:25" ht="129" customHeight="1" x14ac:dyDescent="0.2">
      <c r="A11" s="271" t="s">
        <v>351</v>
      </c>
      <c r="B11" s="271" t="s">
        <v>50</v>
      </c>
      <c r="C11" s="272" t="s">
        <v>81</v>
      </c>
      <c r="D11" s="271" t="s">
        <v>76</v>
      </c>
      <c r="E11" s="271" t="s">
        <v>1138</v>
      </c>
      <c r="F11" s="271" t="s">
        <v>6</v>
      </c>
      <c r="G11" s="273" t="s">
        <v>1135</v>
      </c>
      <c r="H11" s="271" t="s">
        <v>79</v>
      </c>
      <c r="I11" s="271" t="s">
        <v>79</v>
      </c>
      <c r="J11" s="271" t="s">
        <v>79</v>
      </c>
      <c r="K11" s="271" t="s">
        <v>79</v>
      </c>
      <c r="L11" s="271" t="s">
        <v>1129</v>
      </c>
      <c r="M11" s="268" t="s">
        <v>1140</v>
      </c>
      <c r="N11" s="610" t="s">
        <v>7</v>
      </c>
      <c r="O11" s="608" t="s">
        <v>1785</v>
      </c>
      <c r="P11" s="608" t="s">
        <v>913</v>
      </c>
      <c r="Q11" s="608" t="s">
        <v>7</v>
      </c>
      <c r="R11" s="608" t="s">
        <v>7</v>
      </c>
      <c r="S11" s="608" t="s">
        <v>7</v>
      </c>
      <c r="T11" s="608" t="s">
        <v>7</v>
      </c>
      <c r="U11" s="608" t="s">
        <v>7</v>
      </c>
      <c r="V11" s="608" t="s">
        <v>7</v>
      </c>
      <c r="W11" s="608" t="s">
        <v>7</v>
      </c>
      <c r="X11" s="608" t="s">
        <v>7</v>
      </c>
      <c r="Y11" s="608" t="s">
        <v>1786</v>
      </c>
    </row>
    <row r="12" spans="1:25" x14ac:dyDescent="0.2">
      <c r="G12" s="64"/>
      <c r="L12" s="71"/>
      <c r="M12" s="66"/>
      <c r="N12" s="72"/>
      <c r="O12" s="72"/>
      <c r="P12" s="72"/>
      <c r="Q12" s="72"/>
      <c r="R12" s="72"/>
      <c r="S12" s="72"/>
      <c r="T12" s="72"/>
      <c r="U12" s="72"/>
      <c r="V12" s="72"/>
      <c r="W12" s="72"/>
      <c r="X12" s="72"/>
    </row>
    <row r="13" spans="1:25" x14ac:dyDescent="0.2">
      <c r="G13" s="64"/>
    </row>
    <row r="14" spans="1:25" x14ac:dyDescent="0.2">
      <c r="G14" s="64"/>
    </row>
    <row r="15" spans="1:25" x14ac:dyDescent="0.2">
      <c r="G15" s="64"/>
    </row>
    <row r="16" spans="1:25" x14ac:dyDescent="0.2">
      <c r="G16" s="64"/>
    </row>
    <row r="17" spans="7:7" x14ac:dyDescent="0.2">
      <c r="G17" s="64"/>
    </row>
    <row r="18" spans="7:7" x14ac:dyDescent="0.2">
      <c r="G18" s="64"/>
    </row>
    <row r="19" spans="7:7" x14ac:dyDescent="0.2">
      <c r="G19" s="64"/>
    </row>
    <row r="20" spans="7:7" x14ac:dyDescent="0.2">
      <c r="G20" s="64"/>
    </row>
    <row r="21" spans="7:7" x14ac:dyDescent="0.2">
      <c r="G21" s="64"/>
    </row>
    <row r="22" spans="7:7" x14ac:dyDescent="0.2">
      <c r="G22" s="64"/>
    </row>
    <row r="23" spans="7:7" x14ac:dyDescent="0.2">
      <c r="G23" s="64"/>
    </row>
    <row r="24" spans="7:7" x14ac:dyDescent="0.2">
      <c r="G24" s="64"/>
    </row>
    <row r="25" spans="7:7" x14ac:dyDescent="0.2">
      <c r="G25" s="64"/>
    </row>
    <row r="26" spans="7:7" x14ac:dyDescent="0.2">
      <c r="G26" s="64"/>
    </row>
    <row r="27" spans="7:7" x14ac:dyDescent="0.2">
      <c r="G27" s="64"/>
    </row>
    <row r="28" spans="7:7" x14ac:dyDescent="0.2">
      <c r="G28" s="64"/>
    </row>
    <row r="29" spans="7:7" x14ac:dyDescent="0.2">
      <c r="G29" s="64"/>
    </row>
    <row r="30" spans="7:7" x14ac:dyDescent="0.2">
      <c r="G30" s="64"/>
    </row>
    <row r="31" spans="7:7" x14ac:dyDescent="0.2">
      <c r="G31" s="64"/>
    </row>
    <row r="32" spans="7:7" x14ac:dyDescent="0.2">
      <c r="G32" s="64"/>
    </row>
    <row r="33" spans="7:7" x14ac:dyDescent="0.2">
      <c r="G33" s="64"/>
    </row>
    <row r="34" spans="7:7" x14ac:dyDescent="0.2">
      <c r="G34" s="64"/>
    </row>
    <row r="35" spans="7:7" x14ac:dyDescent="0.2">
      <c r="G35" s="64"/>
    </row>
    <row r="36" spans="7:7" x14ac:dyDescent="0.2">
      <c r="G36" s="64"/>
    </row>
    <row r="37" spans="7:7" x14ac:dyDescent="0.2">
      <c r="G37" s="64"/>
    </row>
    <row r="38" spans="7:7" x14ac:dyDescent="0.2">
      <c r="G38" s="64"/>
    </row>
    <row r="39" spans="7:7" x14ac:dyDescent="0.2">
      <c r="G39" s="64"/>
    </row>
    <row r="40" spans="7:7" x14ac:dyDescent="0.2">
      <c r="G40" s="64"/>
    </row>
    <row r="41" spans="7:7" x14ac:dyDescent="0.2">
      <c r="G41" s="64"/>
    </row>
    <row r="42" spans="7:7" x14ac:dyDescent="0.2">
      <c r="G42" s="64"/>
    </row>
    <row r="43" spans="7:7" x14ac:dyDescent="0.2">
      <c r="G43" s="64"/>
    </row>
    <row r="44" spans="7:7" x14ac:dyDescent="0.2">
      <c r="G44" s="64"/>
    </row>
    <row r="45" spans="7:7" x14ac:dyDescent="0.2">
      <c r="G45" s="64"/>
    </row>
    <row r="46" spans="7:7" x14ac:dyDescent="0.2">
      <c r="G46" s="64"/>
    </row>
    <row r="47" spans="7:7" x14ac:dyDescent="0.2">
      <c r="G47" s="64"/>
    </row>
    <row r="48" spans="7:7" x14ac:dyDescent="0.2">
      <c r="G48" s="64"/>
    </row>
    <row r="49" spans="7:7" x14ac:dyDescent="0.2">
      <c r="G49" s="64"/>
    </row>
    <row r="50" spans="7:7" x14ac:dyDescent="0.2">
      <c r="G50" s="64"/>
    </row>
    <row r="51" spans="7:7" x14ac:dyDescent="0.2">
      <c r="G51" s="64"/>
    </row>
    <row r="52" spans="7:7" x14ac:dyDescent="0.2">
      <c r="G52" s="64"/>
    </row>
    <row r="53" spans="7:7" x14ac:dyDescent="0.2">
      <c r="G53" s="64"/>
    </row>
    <row r="54" spans="7:7" x14ac:dyDescent="0.2">
      <c r="G54" s="64"/>
    </row>
    <row r="55" spans="7:7" x14ac:dyDescent="0.2">
      <c r="G55" s="64"/>
    </row>
    <row r="56" spans="7:7" x14ac:dyDescent="0.2">
      <c r="G56" s="64"/>
    </row>
    <row r="57" spans="7:7" x14ac:dyDescent="0.2">
      <c r="G57" s="64"/>
    </row>
    <row r="58" spans="7:7" x14ac:dyDescent="0.2">
      <c r="G58" s="64"/>
    </row>
    <row r="59" spans="7:7" x14ac:dyDescent="0.2">
      <c r="G59" s="64"/>
    </row>
    <row r="60" spans="7:7" x14ac:dyDescent="0.2">
      <c r="G60" s="64"/>
    </row>
    <row r="61" spans="7:7" x14ac:dyDescent="0.2">
      <c r="G61" s="64"/>
    </row>
    <row r="62" spans="7:7" x14ac:dyDescent="0.2">
      <c r="G62" s="64"/>
    </row>
    <row r="63" spans="7:7" x14ac:dyDescent="0.2">
      <c r="G63" s="64"/>
    </row>
    <row r="64" spans="7:7" x14ac:dyDescent="0.2">
      <c r="G64" s="64"/>
    </row>
    <row r="65" spans="7:7" x14ac:dyDescent="0.2">
      <c r="G65" s="64"/>
    </row>
    <row r="66" spans="7:7" x14ac:dyDescent="0.2">
      <c r="G66" s="64"/>
    </row>
    <row r="67" spans="7:7" x14ac:dyDescent="0.2">
      <c r="G67" s="64"/>
    </row>
    <row r="68" spans="7:7" x14ac:dyDescent="0.2">
      <c r="G68" s="64"/>
    </row>
    <row r="69" spans="7:7" x14ac:dyDescent="0.2">
      <c r="G69" s="64"/>
    </row>
    <row r="70" spans="7:7" x14ac:dyDescent="0.2">
      <c r="G70" s="64"/>
    </row>
    <row r="71" spans="7:7" x14ac:dyDescent="0.2">
      <c r="G71" s="64"/>
    </row>
    <row r="72" spans="7:7" x14ac:dyDescent="0.2">
      <c r="G72" s="64"/>
    </row>
    <row r="73" spans="7:7" x14ac:dyDescent="0.2">
      <c r="G73" s="64"/>
    </row>
    <row r="74" spans="7:7" x14ac:dyDescent="0.2">
      <c r="G74" s="64"/>
    </row>
    <row r="75" spans="7:7" x14ac:dyDescent="0.2">
      <c r="G75" s="64"/>
    </row>
    <row r="76" spans="7:7" x14ac:dyDescent="0.2">
      <c r="G76" s="64"/>
    </row>
    <row r="77" spans="7:7" x14ac:dyDescent="0.2">
      <c r="G77" s="64"/>
    </row>
    <row r="78" spans="7:7" x14ac:dyDescent="0.2">
      <c r="G78" s="64"/>
    </row>
    <row r="79" spans="7:7" x14ac:dyDescent="0.2">
      <c r="G79" s="64"/>
    </row>
    <row r="80" spans="7:7" x14ac:dyDescent="0.2">
      <c r="G80" s="64"/>
    </row>
    <row r="81" spans="7:7" x14ac:dyDescent="0.2">
      <c r="G81" s="64"/>
    </row>
    <row r="82" spans="7:7" x14ac:dyDescent="0.2">
      <c r="G82" s="64"/>
    </row>
    <row r="83" spans="7:7" x14ac:dyDescent="0.2">
      <c r="G83" s="64"/>
    </row>
    <row r="84" spans="7:7" x14ac:dyDescent="0.2">
      <c r="G84" s="64"/>
    </row>
    <row r="85" spans="7:7" x14ac:dyDescent="0.2">
      <c r="G85" s="64"/>
    </row>
    <row r="86" spans="7:7" x14ac:dyDescent="0.2">
      <c r="G86" s="64"/>
    </row>
    <row r="87" spans="7:7" x14ac:dyDescent="0.2">
      <c r="G87" s="64"/>
    </row>
    <row r="88" spans="7:7" x14ac:dyDescent="0.2">
      <c r="G88" s="64"/>
    </row>
    <row r="89" spans="7:7" x14ac:dyDescent="0.2">
      <c r="G89" s="64"/>
    </row>
    <row r="90" spans="7:7" x14ac:dyDescent="0.2">
      <c r="G90" s="64"/>
    </row>
    <row r="91" spans="7:7" x14ac:dyDescent="0.2">
      <c r="G91" s="64"/>
    </row>
    <row r="92" spans="7:7" x14ac:dyDescent="0.2">
      <c r="G92" s="64"/>
    </row>
    <row r="93" spans="7:7" x14ac:dyDescent="0.2">
      <c r="G93" s="64"/>
    </row>
    <row r="94" spans="7:7" x14ac:dyDescent="0.2">
      <c r="G94" s="64"/>
    </row>
    <row r="95" spans="7:7" x14ac:dyDescent="0.2">
      <c r="G95" s="64"/>
    </row>
    <row r="96" spans="7:7" x14ac:dyDescent="0.2">
      <c r="G96" s="64"/>
    </row>
    <row r="97" spans="7:7" x14ac:dyDescent="0.2">
      <c r="G97" s="64"/>
    </row>
    <row r="98" spans="7:7" x14ac:dyDescent="0.2">
      <c r="G98" s="64"/>
    </row>
    <row r="99" spans="7:7" x14ac:dyDescent="0.2">
      <c r="G99" s="64"/>
    </row>
    <row r="100" spans="7:7" x14ac:dyDescent="0.2">
      <c r="G100" s="64"/>
    </row>
    <row r="101" spans="7:7" x14ac:dyDescent="0.2">
      <c r="G101" s="64"/>
    </row>
    <row r="102" spans="7:7" x14ac:dyDescent="0.2">
      <c r="G102" s="64"/>
    </row>
    <row r="103" spans="7:7" x14ac:dyDescent="0.2">
      <c r="G103" s="64"/>
    </row>
    <row r="104" spans="7:7" x14ac:dyDescent="0.2">
      <c r="G104" s="64"/>
    </row>
    <row r="105" spans="7:7" x14ac:dyDescent="0.2">
      <c r="G105" s="64"/>
    </row>
    <row r="106" spans="7:7" x14ac:dyDescent="0.2">
      <c r="G106" s="64"/>
    </row>
    <row r="107" spans="7:7" x14ac:dyDescent="0.2">
      <c r="G107" s="64"/>
    </row>
    <row r="108" spans="7:7" x14ac:dyDescent="0.2">
      <c r="G108" s="64"/>
    </row>
    <row r="109" spans="7:7" x14ac:dyDescent="0.2">
      <c r="G109" s="64"/>
    </row>
    <row r="110" spans="7:7" x14ac:dyDescent="0.2">
      <c r="G110" s="64"/>
    </row>
    <row r="111" spans="7:7" x14ac:dyDescent="0.2">
      <c r="G111" s="64"/>
    </row>
    <row r="112" spans="7:7" x14ac:dyDescent="0.2">
      <c r="G112" s="64"/>
    </row>
    <row r="113" spans="7:7" x14ac:dyDescent="0.2">
      <c r="G113" s="64"/>
    </row>
    <row r="114" spans="7:7" x14ac:dyDescent="0.2">
      <c r="G114" s="64"/>
    </row>
    <row r="115" spans="7:7" x14ac:dyDescent="0.2">
      <c r="G115" s="64"/>
    </row>
    <row r="116" spans="7:7" x14ac:dyDescent="0.2">
      <c r="G116" s="64"/>
    </row>
    <row r="117" spans="7:7" x14ac:dyDescent="0.2">
      <c r="G117" s="64"/>
    </row>
    <row r="118" spans="7:7" x14ac:dyDescent="0.2">
      <c r="G118" s="64"/>
    </row>
    <row r="119" spans="7:7" x14ac:dyDescent="0.2">
      <c r="G119" s="64"/>
    </row>
    <row r="120" spans="7:7" x14ac:dyDescent="0.2">
      <c r="G120" s="64"/>
    </row>
    <row r="121" spans="7:7" x14ac:dyDescent="0.2">
      <c r="G121" s="64"/>
    </row>
    <row r="122" spans="7:7" x14ac:dyDescent="0.2">
      <c r="G122" s="64"/>
    </row>
    <row r="123" spans="7:7" x14ac:dyDescent="0.2">
      <c r="G123" s="64"/>
    </row>
    <row r="124" spans="7:7" x14ac:dyDescent="0.2">
      <c r="G124" s="64"/>
    </row>
    <row r="125" spans="7:7" x14ac:dyDescent="0.2">
      <c r="G125" s="64"/>
    </row>
    <row r="126" spans="7:7" x14ac:dyDescent="0.2">
      <c r="G126" s="64"/>
    </row>
    <row r="127" spans="7:7" x14ac:dyDescent="0.2">
      <c r="G127" s="64"/>
    </row>
    <row r="128" spans="7:7" x14ac:dyDescent="0.2">
      <c r="G128" s="64"/>
    </row>
    <row r="129" spans="7:7" x14ac:dyDescent="0.2">
      <c r="G129" s="64"/>
    </row>
    <row r="130" spans="7:7" x14ac:dyDescent="0.2">
      <c r="G130" s="64"/>
    </row>
    <row r="131" spans="7:7" x14ac:dyDescent="0.2">
      <c r="G131" s="64"/>
    </row>
    <row r="132" spans="7:7" x14ac:dyDescent="0.2">
      <c r="G132" s="64"/>
    </row>
    <row r="133" spans="7:7" x14ac:dyDescent="0.2">
      <c r="G133" s="64"/>
    </row>
    <row r="134" spans="7:7" x14ac:dyDescent="0.2">
      <c r="G134" s="64"/>
    </row>
    <row r="135" spans="7:7" x14ac:dyDescent="0.2">
      <c r="G135" s="64"/>
    </row>
    <row r="136" spans="7:7" x14ac:dyDescent="0.2">
      <c r="G136" s="64"/>
    </row>
    <row r="137" spans="7:7" x14ac:dyDescent="0.2">
      <c r="G137" s="64"/>
    </row>
    <row r="138" spans="7:7" x14ac:dyDescent="0.2">
      <c r="G138" s="64"/>
    </row>
    <row r="139" spans="7:7" x14ac:dyDescent="0.2">
      <c r="G139" s="64"/>
    </row>
    <row r="140" spans="7:7" x14ac:dyDescent="0.2">
      <c r="G140" s="64"/>
    </row>
    <row r="141" spans="7:7" x14ac:dyDescent="0.2">
      <c r="G141" s="64"/>
    </row>
    <row r="142" spans="7:7" x14ac:dyDescent="0.2">
      <c r="G142" s="64"/>
    </row>
    <row r="143" spans="7:7" x14ac:dyDescent="0.2">
      <c r="G143" s="64"/>
    </row>
    <row r="144" spans="7:7" x14ac:dyDescent="0.2">
      <c r="G144" s="64"/>
    </row>
    <row r="145" spans="7:7" x14ac:dyDescent="0.2">
      <c r="G145" s="64"/>
    </row>
    <row r="146" spans="7:7" x14ac:dyDescent="0.2">
      <c r="G146" s="64"/>
    </row>
    <row r="147" spans="7:7" x14ac:dyDescent="0.2">
      <c r="G147" s="64"/>
    </row>
    <row r="148" spans="7:7" x14ac:dyDescent="0.2">
      <c r="G148" s="64"/>
    </row>
    <row r="149" spans="7:7" x14ac:dyDescent="0.2">
      <c r="G149" s="64"/>
    </row>
    <row r="150" spans="7:7" x14ac:dyDescent="0.2">
      <c r="G150" s="64"/>
    </row>
    <row r="151" spans="7:7" x14ac:dyDescent="0.2">
      <c r="G151" s="64"/>
    </row>
    <row r="152" spans="7:7" x14ac:dyDescent="0.2">
      <c r="G152" s="64"/>
    </row>
    <row r="153" spans="7:7" x14ac:dyDescent="0.2">
      <c r="G153" s="64"/>
    </row>
    <row r="154" spans="7:7" x14ac:dyDescent="0.2">
      <c r="G154" s="64"/>
    </row>
    <row r="155" spans="7:7" x14ac:dyDescent="0.2">
      <c r="G155" s="64"/>
    </row>
    <row r="156" spans="7:7" x14ac:dyDescent="0.2">
      <c r="G156" s="64"/>
    </row>
    <row r="157" spans="7:7" x14ac:dyDescent="0.2">
      <c r="G157" s="64"/>
    </row>
    <row r="158" spans="7:7" x14ac:dyDescent="0.2">
      <c r="G158" s="64"/>
    </row>
    <row r="159" spans="7:7" x14ac:dyDescent="0.2">
      <c r="G159" s="64"/>
    </row>
    <row r="160" spans="7:7" x14ac:dyDescent="0.2">
      <c r="G160" s="64"/>
    </row>
    <row r="161" spans="7:7" x14ac:dyDescent="0.2">
      <c r="G161" s="64"/>
    </row>
    <row r="162" spans="7:7" x14ac:dyDescent="0.2">
      <c r="G162" s="64"/>
    </row>
    <row r="163" spans="7:7" x14ac:dyDescent="0.2">
      <c r="G163" s="64"/>
    </row>
    <row r="164" spans="7:7" x14ac:dyDescent="0.2">
      <c r="G164" s="64"/>
    </row>
    <row r="165" spans="7:7" x14ac:dyDescent="0.2">
      <c r="G165" s="64"/>
    </row>
    <row r="166" spans="7:7" x14ac:dyDescent="0.2">
      <c r="G166" s="64"/>
    </row>
  </sheetData>
  <dataValidations count="1">
    <dataValidation type="textLength" showInputMessage="1" showErrorMessage="1" sqref="M5:M11">
      <formula1>0</formula1>
      <formula2>150</formula2>
    </dataValidation>
  </dataValidations>
  <pageMargins left="0.7" right="0.7" top="0.75" bottom="0.75" header="0.3" footer="0.3"/>
  <pageSetup paperSize="9" scale="31" orientation="landscape"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pageSetUpPr fitToPage="1"/>
  </sheetPr>
  <dimension ref="A1:Z36"/>
  <sheetViews>
    <sheetView topLeftCell="A4" zoomScale="55" zoomScaleNormal="55" workbookViewId="0">
      <selection activeCell="W7" sqref="W7"/>
    </sheetView>
  </sheetViews>
  <sheetFormatPr defaultColWidth="8.85546875" defaultRowHeight="12.75" x14ac:dyDescent="0.2"/>
  <cols>
    <col min="1" max="1" width="9" style="27" customWidth="1"/>
    <col min="2" max="2" width="18.7109375" style="27" customWidth="1"/>
    <col min="3" max="3" width="15.5703125" style="27" customWidth="1"/>
    <col min="4" max="4" width="18.140625" style="27" bestFit="1" customWidth="1"/>
    <col min="5" max="5" width="19.28515625" style="27" customWidth="1"/>
    <col min="6" max="6" width="15.85546875" style="27" customWidth="1"/>
    <col min="7" max="7" width="17" style="27" bestFit="1" customWidth="1"/>
    <col min="8" max="8" width="22" style="27" customWidth="1"/>
    <col min="9" max="9" width="20.140625" style="27" customWidth="1"/>
    <col min="10" max="10" width="27.28515625" style="27" bestFit="1" customWidth="1"/>
    <col min="11" max="11" width="25.140625" style="27" customWidth="1"/>
    <col min="12" max="12" width="17.140625" style="27" customWidth="1"/>
    <col min="13" max="13" width="15.140625" style="27" customWidth="1"/>
    <col min="14" max="14" width="17" style="27" customWidth="1"/>
    <col min="15" max="15" width="14.140625" style="27" customWidth="1"/>
    <col min="16" max="16" width="20.140625" style="32" customWidth="1"/>
    <col min="17" max="17" width="16.7109375" style="32" customWidth="1"/>
    <col min="18" max="18" width="26.7109375" style="32" customWidth="1"/>
    <col min="19" max="19" width="11.85546875" style="27" customWidth="1"/>
    <col min="20" max="20" width="18.28515625" style="27" customWidth="1"/>
    <col min="21" max="21" width="29.5703125" style="27" customWidth="1"/>
    <col min="22" max="16384" width="8.85546875" style="27"/>
  </cols>
  <sheetData>
    <row r="1" spans="1:21" ht="13.5" thickBot="1" x14ac:dyDescent="0.25">
      <c r="A1" s="37" t="s">
        <v>214</v>
      </c>
      <c r="B1" s="33"/>
      <c r="C1" s="33"/>
      <c r="D1" s="33"/>
      <c r="E1" s="33"/>
      <c r="F1" s="33"/>
      <c r="G1" s="33"/>
      <c r="H1" s="33"/>
      <c r="I1" s="33"/>
      <c r="J1" s="35"/>
      <c r="K1" s="34"/>
      <c r="L1" s="34"/>
      <c r="M1" s="36"/>
      <c r="N1" s="36"/>
      <c r="O1" s="36"/>
      <c r="P1" s="36"/>
      <c r="Q1" s="36"/>
      <c r="R1" s="36"/>
      <c r="S1" s="36"/>
      <c r="T1" s="36"/>
      <c r="U1" s="33"/>
    </row>
    <row r="2" spans="1:21" x14ac:dyDescent="0.2">
      <c r="A2" s="52"/>
      <c r="B2" s="25"/>
      <c r="C2" s="25"/>
      <c r="D2" s="25"/>
      <c r="E2" s="25"/>
      <c r="F2" s="25"/>
      <c r="G2" s="25"/>
      <c r="H2" s="25"/>
      <c r="I2" s="25"/>
      <c r="J2" s="25"/>
      <c r="K2" s="25"/>
      <c r="L2" s="25"/>
      <c r="M2" s="25"/>
      <c r="N2" s="25"/>
      <c r="O2" s="25"/>
      <c r="P2" s="25"/>
      <c r="Q2" s="25"/>
      <c r="R2" s="25"/>
      <c r="S2" s="28"/>
      <c r="T2" s="100" t="s">
        <v>56</v>
      </c>
      <c r="U2" s="212" t="s">
        <v>50</v>
      </c>
    </row>
    <row r="3" spans="1:21" ht="13.5" thickBot="1" x14ac:dyDescent="0.25">
      <c r="A3" s="51"/>
      <c r="B3" s="25"/>
      <c r="C3" s="25"/>
      <c r="D3" s="25"/>
      <c r="E3" s="25"/>
      <c r="F3" s="25"/>
      <c r="G3" s="25"/>
      <c r="H3" s="25"/>
      <c r="I3" s="25"/>
      <c r="J3" s="25"/>
      <c r="K3" s="25"/>
      <c r="L3" s="25"/>
      <c r="M3" s="25"/>
      <c r="N3" s="25"/>
      <c r="O3" s="25"/>
      <c r="P3" s="25"/>
      <c r="Q3" s="25"/>
      <c r="R3" s="25"/>
      <c r="S3" s="28"/>
      <c r="T3" s="101" t="s">
        <v>55</v>
      </c>
      <c r="U3" s="213">
        <v>2018</v>
      </c>
    </row>
    <row r="4" spans="1:21" s="190" customFormat="1" ht="59.25" customHeight="1" x14ac:dyDescent="0.2">
      <c r="A4" s="679" t="s">
        <v>0</v>
      </c>
      <c r="B4" s="682" t="s">
        <v>213</v>
      </c>
      <c r="C4" s="679" t="s">
        <v>212</v>
      </c>
      <c r="D4" s="682" t="s">
        <v>5</v>
      </c>
      <c r="E4" s="682" t="s">
        <v>8</v>
      </c>
      <c r="F4" s="679" t="s">
        <v>211</v>
      </c>
      <c r="G4" s="679" t="s">
        <v>66</v>
      </c>
      <c r="H4" s="682" t="s">
        <v>210</v>
      </c>
      <c r="I4" s="682" t="s">
        <v>209</v>
      </c>
      <c r="J4" s="687" t="s">
        <v>208</v>
      </c>
      <c r="K4" s="689" t="s">
        <v>207</v>
      </c>
      <c r="L4" s="689" t="s">
        <v>206</v>
      </c>
      <c r="M4" s="689" t="s">
        <v>205</v>
      </c>
      <c r="N4" s="689" t="s">
        <v>9</v>
      </c>
      <c r="O4" s="682" t="s">
        <v>4</v>
      </c>
      <c r="P4" s="685" t="s">
        <v>304</v>
      </c>
      <c r="Q4" s="690" t="s">
        <v>305</v>
      </c>
      <c r="R4" s="690" t="s">
        <v>204</v>
      </c>
      <c r="S4" s="692" t="s">
        <v>203</v>
      </c>
      <c r="T4" s="690" t="s">
        <v>202</v>
      </c>
      <c r="U4" s="694" t="s">
        <v>201</v>
      </c>
    </row>
    <row r="5" spans="1:21" ht="13.5" thickBot="1" x14ac:dyDescent="0.25">
      <c r="A5" s="681"/>
      <c r="B5" s="680"/>
      <c r="C5" s="681"/>
      <c r="D5" s="680"/>
      <c r="E5" s="680"/>
      <c r="F5" s="680"/>
      <c r="G5" s="683"/>
      <c r="H5" s="680"/>
      <c r="I5" s="680"/>
      <c r="J5" s="688"/>
      <c r="K5" s="688"/>
      <c r="L5" s="688"/>
      <c r="M5" s="688"/>
      <c r="N5" s="688"/>
      <c r="O5" s="684"/>
      <c r="P5" s="686"/>
      <c r="Q5" s="691"/>
      <c r="R5" s="691"/>
      <c r="S5" s="693"/>
      <c r="T5" s="691"/>
      <c r="U5" s="686"/>
    </row>
    <row r="6" spans="1:21" ht="51" x14ac:dyDescent="0.2">
      <c r="A6" s="350" t="s">
        <v>351</v>
      </c>
      <c r="B6" s="351" t="s">
        <v>50</v>
      </c>
      <c r="C6" s="352" t="s">
        <v>1516</v>
      </c>
      <c r="D6" s="352" t="s">
        <v>76</v>
      </c>
      <c r="E6" s="353" t="s">
        <v>200</v>
      </c>
      <c r="F6" s="351" t="s">
        <v>6</v>
      </c>
      <c r="G6" s="611" t="s">
        <v>1517</v>
      </c>
      <c r="H6" s="351" t="s">
        <v>1518</v>
      </c>
      <c r="I6" s="354" t="s">
        <v>1519</v>
      </c>
      <c r="J6" s="354" t="s">
        <v>1520</v>
      </c>
      <c r="K6" s="351" t="s">
        <v>1521</v>
      </c>
      <c r="L6" s="351" t="s">
        <v>1522</v>
      </c>
      <c r="M6" s="351">
        <v>1</v>
      </c>
      <c r="N6" s="355" t="s">
        <v>243</v>
      </c>
      <c r="O6" s="356" t="s">
        <v>731</v>
      </c>
      <c r="P6" s="372">
        <v>1</v>
      </c>
      <c r="Q6" s="781">
        <f>P6*100/M6</f>
        <v>100</v>
      </c>
      <c r="R6" s="372"/>
      <c r="S6" s="377" t="s">
        <v>1584</v>
      </c>
      <c r="T6" s="387" t="s">
        <v>6</v>
      </c>
      <c r="U6" s="385"/>
    </row>
    <row r="7" spans="1:21" ht="102" x14ac:dyDescent="0.2">
      <c r="A7" s="371" t="s">
        <v>351</v>
      </c>
      <c r="B7" s="365" t="s">
        <v>50</v>
      </c>
      <c r="C7" s="370" t="s">
        <v>1516</v>
      </c>
      <c r="D7" s="370" t="s">
        <v>76</v>
      </c>
      <c r="E7" s="363" t="s">
        <v>200</v>
      </c>
      <c r="F7" s="365" t="s">
        <v>6</v>
      </c>
      <c r="G7" s="612" t="s">
        <v>1787</v>
      </c>
      <c r="H7" s="365" t="s">
        <v>1523</v>
      </c>
      <c r="I7" s="369" t="s">
        <v>1519</v>
      </c>
      <c r="J7" s="369" t="s">
        <v>1520</v>
      </c>
      <c r="K7" s="365" t="s">
        <v>1521</v>
      </c>
      <c r="L7" s="365" t="s">
        <v>1522</v>
      </c>
      <c r="M7" s="365">
        <v>1</v>
      </c>
      <c r="N7" s="368" t="s">
        <v>243</v>
      </c>
      <c r="O7" s="365" t="s">
        <v>731</v>
      </c>
      <c r="P7" s="373">
        <v>0</v>
      </c>
      <c r="Q7" s="781">
        <f t="shared" ref="Q7:Q23" si="0">P7*100/M7</f>
        <v>0</v>
      </c>
      <c r="R7" s="374" t="s">
        <v>1583</v>
      </c>
      <c r="S7" s="376" t="s">
        <v>1584</v>
      </c>
      <c r="T7" s="374" t="s">
        <v>6</v>
      </c>
      <c r="U7" s="380" t="s">
        <v>1585</v>
      </c>
    </row>
    <row r="8" spans="1:21" ht="51" x14ac:dyDescent="0.2">
      <c r="A8" s="357" t="s">
        <v>351</v>
      </c>
      <c r="B8" s="356" t="s">
        <v>50</v>
      </c>
      <c r="C8" s="358" t="s">
        <v>1516</v>
      </c>
      <c r="D8" s="358" t="s">
        <v>76</v>
      </c>
      <c r="E8" s="359" t="s">
        <v>200</v>
      </c>
      <c r="F8" s="356" t="s">
        <v>6</v>
      </c>
      <c r="G8" s="611" t="s">
        <v>1517</v>
      </c>
      <c r="H8" s="356" t="s">
        <v>1524</v>
      </c>
      <c r="I8" s="360" t="s">
        <v>1519</v>
      </c>
      <c r="J8" s="360" t="s">
        <v>1520</v>
      </c>
      <c r="K8" s="356" t="s">
        <v>1521</v>
      </c>
      <c r="L8" s="356" t="s">
        <v>1522</v>
      </c>
      <c r="M8" s="356">
        <v>1</v>
      </c>
      <c r="N8" s="355" t="s">
        <v>243</v>
      </c>
      <c r="O8" s="356" t="s">
        <v>731</v>
      </c>
      <c r="P8" s="386">
        <v>1</v>
      </c>
      <c r="Q8" s="781">
        <f t="shared" si="0"/>
        <v>100</v>
      </c>
      <c r="R8" s="372"/>
      <c r="S8" s="377" t="s">
        <v>1584</v>
      </c>
      <c r="T8" s="387" t="s">
        <v>6</v>
      </c>
      <c r="U8" s="381"/>
    </row>
    <row r="9" spans="1:21" ht="51" x14ac:dyDescent="0.2">
      <c r="A9" s="357" t="s">
        <v>351</v>
      </c>
      <c r="B9" s="356" t="s">
        <v>50</v>
      </c>
      <c r="C9" s="358" t="s">
        <v>1516</v>
      </c>
      <c r="D9" s="358" t="s">
        <v>76</v>
      </c>
      <c r="E9" s="359" t="s">
        <v>200</v>
      </c>
      <c r="F9" s="356" t="s">
        <v>6</v>
      </c>
      <c r="G9" s="611" t="s">
        <v>1517</v>
      </c>
      <c r="H9" s="356" t="s">
        <v>1525</v>
      </c>
      <c r="I9" s="360" t="s">
        <v>1519</v>
      </c>
      <c r="J9" s="360" t="s">
        <v>1520</v>
      </c>
      <c r="K9" s="356" t="s">
        <v>1521</v>
      </c>
      <c r="L9" s="356" t="s">
        <v>1522</v>
      </c>
      <c r="M9" s="356">
        <v>1</v>
      </c>
      <c r="N9" s="355" t="s">
        <v>243</v>
      </c>
      <c r="O9" s="356" t="s">
        <v>731</v>
      </c>
      <c r="P9" s="386">
        <v>1</v>
      </c>
      <c r="Q9" s="781">
        <f t="shared" si="0"/>
        <v>100</v>
      </c>
      <c r="R9" s="372"/>
      <c r="S9" s="377" t="s">
        <v>1584</v>
      </c>
      <c r="T9" s="387" t="s">
        <v>6</v>
      </c>
      <c r="U9" s="381"/>
    </row>
    <row r="10" spans="1:21" ht="51" x14ac:dyDescent="0.2">
      <c r="A10" s="357" t="s">
        <v>351</v>
      </c>
      <c r="B10" s="356" t="s">
        <v>50</v>
      </c>
      <c r="C10" s="358" t="s">
        <v>1516</v>
      </c>
      <c r="D10" s="358" t="s">
        <v>76</v>
      </c>
      <c r="E10" s="359" t="s">
        <v>200</v>
      </c>
      <c r="F10" s="356" t="s">
        <v>6</v>
      </c>
      <c r="G10" s="611" t="s">
        <v>1517</v>
      </c>
      <c r="H10" s="356" t="s">
        <v>1526</v>
      </c>
      <c r="I10" s="360" t="s">
        <v>1519</v>
      </c>
      <c r="J10" s="360" t="s">
        <v>1520</v>
      </c>
      <c r="K10" s="356" t="s">
        <v>1521</v>
      </c>
      <c r="L10" s="356" t="s">
        <v>1522</v>
      </c>
      <c r="M10" s="356">
        <v>1</v>
      </c>
      <c r="N10" s="355" t="s">
        <v>243</v>
      </c>
      <c r="O10" s="356" t="s">
        <v>731</v>
      </c>
      <c r="P10" s="372">
        <v>1</v>
      </c>
      <c r="Q10" s="781">
        <f t="shared" si="0"/>
        <v>100</v>
      </c>
      <c r="R10" s="372"/>
      <c r="S10" s="377" t="s">
        <v>1584</v>
      </c>
      <c r="T10" s="387" t="s">
        <v>6</v>
      </c>
      <c r="U10" s="381"/>
    </row>
    <row r="11" spans="1:21" ht="51" x14ac:dyDescent="0.2">
      <c r="A11" s="357" t="s">
        <v>351</v>
      </c>
      <c r="B11" s="356" t="s">
        <v>50</v>
      </c>
      <c r="C11" s="358" t="s">
        <v>1516</v>
      </c>
      <c r="D11" s="358" t="s">
        <v>76</v>
      </c>
      <c r="E11" s="359" t="s">
        <v>200</v>
      </c>
      <c r="F11" s="356" t="s">
        <v>6</v>
      </c>
      <c r="G11" s="611" t="s">
        <v>1517</v>
      </c>
      <c r="H11" s="356" t="s">
        <v>1527</v>
      </c>
      <c r="I11" s="360" t="s">
        <v>1519</v>
      </c>
      <c r="J11" s="360" t="s">
        <v>1520</v>
      </c>
      <c r="K11" s="356" t="s">
        <v>1521</v>
      </c>
      <c r="L11" s="356" t="s">
        <v>1522</v>
      </c>
      <c r="M11" s="356">
        <v>1</v>
      </c>
      <c r="N11" s="355" t="s">
        <v>243</v>
      </c>
      <c r="O11" s="356" t="s">
        <v>731</v>
      </c>
      <c r="P11" s="372">
        <v>1</v>
      </c>
      <c r="Q11" s="781">
        <f t="shared" si="0"/>
        <v>100</v>
      </c>
      <c r="R11" s="372"/>
      <c r="S11" s="377" t="s">
        <v>1584</v>
      </c>
      <c r="T11" s="387" t="s">
        <v>6</v>
      </c>
      <c r="U11" s="381"/>
    </row>
    <row r="12" spans="1:21" ht="89.25" x14ac:dyDescent="0.2">
      <c r="A12" s="371" t="s">
        <v>351</v>
      </c>
      <c r="B12" s="365" t="s">
        <v>50</v>
      </c>
      <c r="C12" s="370" t="s">
        <v>1516</v>
      </c>
      <c r="D12" s="370" t="s">
        <v>76</v>
      </c>
      <c r="E12" s="363" t="s">
        <v>200</v>
      </c>
      <c r="F12" s="365" t="s">
        <v>6</v>
      </c>
      <c r="G12" s="567" t="s">
        <v>1528</v>
      </c>
      <c r="H12" s="365" t="s">
        <v>1529</v>
      </c>
      <c r="I12" s="369" t="s">
        <v>1519</v>
      </c>
      <c r="J12" s="369" t="s">
        <v>1520</v>
      </c>
      <c r="K12" s="365" t="s">
        <v>1521</v>
      </c>
      <c r="L12" s="365" t="s">
        <v>1522</v>
      </c>
      <c r="M12" s="365">
        <v>1</v>
      </c>
      <c r="N12" s="368" t="s">
        <v>243</v>
      </c>
      <c r="O12" s="365" t="s">
        <v>731</v>
      </c>
      <c r="P12" s="384">
        <v>0</v>
      </c>
      <c r="Q12" s="781">
        <f t="shared" si="0"/>
        <v>0</v>
      </c>
      <c r="R12" s="387" t="s">
        <v>1583</v>
      </c>
      <c r="S12" s="377" t="s">
        <v>1584</v>
      </c>
      <c r="T12" s="387" t="s">
        <v>6</v>
      </c>
      <c r="U12" s="383" t="s">
        <v>1585</v>
      </c>
    </row>
    <row r="13" spans="1:21" ht="89.25" x14ac:dyDescent="0.2">
      <c r="A13" s="371" t="s">
        <v>351</v>
      </c>
      <c r="B13" s="365" t="s">
        <v>50</v>
      </c>
      <c r="C13" s="370" t="s">
        <v>1516</v>
      </c>
      <c r="D13" s="370" t="s">
        <v>76</v>
      </c>
      <c r="E13" s="363" t="s">
        <v>200</v>
      </c>
      <c r="F13" s="365" t="s">
        <v>6</v>
      </c>
      <c r="G13" s="567" t="s">
        <v>1528</v>
      </c>
      <c r="H13" s="365" t="s">
        <v>1530</v>
      </c>
      <c r="I13" s="369" t="s">
        <v>1519</v>
      </c>
      <c r="J13" s="369" t="s">
        <v>1520</v>
      </c>
      <c r="K13" s="365" t="s">
        <v>1521</v>
      </c>
      <c r="L13" s="365" t="s">
        <v>1522</v>
      </c>
      <c r="M13" s="365">
        <v>1</v>
      </c>
      <c r="N13" s="368" t="s">
        <v>243</v>
      </c>
      <c r="O13" s="365" t="s">
        <v>731</v>
      </c>
      <c r="P13" s="384">
        <v>0</v>
      </c>
      <c r="Q13" s="781">
        <f t="shared" si="0"/>
        <v>0</v>
      </c>
      <c r="R13" s="387" t="s">
        <v>1583</v>
      </c>
      <c r="S13" s="377" t="s">
        <v>1584</v>
      </c>
      <c r="T13" s="387" t="s">
        <v>6</v>
      </c>
      <c r="U13" s="383" t="s">
        <v>1585</v>
      </c>
    </row>
    <row r="14" spans="1:21" ht="89.25" x14ac:dyDescent="0.2">
      <c r="A14" s="371" t="s">
        <v>351</v>
      </c>
      <c r="B14" s="365" t="s">
        <v>50</v>
      </c>
      <c r="C14" s="370" t="s">
        <v>1516</v>
      </c>
      <c r="D14" s="370" t="s">
        <v>76</v>
      </c>
      <c r="E14" s="363" t="s">
        <v>200</v>
      </c>
      <c r="F14" s="365" t="s">
        <v>6</v>
      </c>
      <c r="G14" s="567" t="s">
        <v>1528</v>
      </c>
      <c r="H14" s="365" t="s">
        <v>1531</v>
      </c>
      <c r="I14" s="369" t="s">
        <v>1519</v>
      </c>
      <c r="J14" s="369" t="s">
        <v>1520</v>
      </c>
      <c r="K14" s="365" t="s">
        <v>1521</v>
      </c>
      <c r="L14" s="365" t="s">
        <v>1522</v>
      </c>
      <c r="M14" s="365">
        <v>1</v>
      </c>
      <c r="N14" s="368" t="s">
        <v>243</v>
      </c>
      <c r="O14" s="365" t="s">
        <v>731</v>
      </c>
      <c r="P14" s="382">
        <v>0</v>
      </c>
      <c r="Q14" s="781">
        <f t="shared" si="0"/>
        <v>0</v>
      </c>
      <c r="R14" s="387" t="s">
        <v>1583</v>
      </c>
      <c r="S14" s="377" t="s">
        <v>1584</v>
      </c>
      <c r="T14" s="387" t="s">
        <v>6</v>
      </c>
      <c r="U14" s="383" t="s">
        <v>1585</v>
      </c>
    </row>
    <row r="15" spans="1:21" ht="89.25" x14ac:dyDescent="0.2">
      <c r="A15" s="371" t="s">
        <v>351</v>
      </c>
      <c r="B15" s="365" t="s">
        <v>50</v>
      </c>
      <c r="C15" s="370" t="s">
        <v>1516</v>
      </c>
      <c r="D15" s="370" t="s">
        <v>76</v>
      </c>
      <c r="E15" s="363" t="s">
        <v>200</v>
      </c>
      <c r="F15" s="365" t="s">
        <v>6</v>
      </c>
      <c r="G15" s="567" t="s">
        <v>1528</v>
      </c>
      <c r="H15" s="365" t="s">
        <v>1532</v>
      </c>
      <c r="I15" s="369" t="s">
        <v>1519</v>
      </c>
      <c r="J15" s="369" t="s">
        <v>1520</v>
      </c>
      <c r="K15" s="365" t="s">
        <v>1521</v>
      </c>
      <c r="L15" s="365" t="s">
        <v>1522</v>
      </c>
      <c r="M15" s="365">
        <v>1</v>
      </c>
      <c r="N15" s="368" t="s">
        <v>243</v>
      </c>
      <c r="O15" s="365" t="s">
        <v>731</v>
      </c>
      <c r="P15" s="382">
        <v>0</v>
      </c>
      <c r="Q15" s="781">
        <f t="shared" si="0"/>
        <v>0</v>
      </c>
      <c r="R15" s="387" t="s">
        <v>1583</v>
      </c>
      <c r="S15" s="377" t="s">
        <v>1584</v>
      </c>
      <c r="T15" s="387" t="s">
        <v>6</v>
      </c>
      <c r="U15" s="383" t="s">
        <v>1585</v>
      </c>
    </row>
    <row r="16" spans="1:21" ht="51" x14ac:dyDescent="0.2">
      <c r="A16" s="357" t="s">
        <v>351</v>
      </c>
      <c r="B16" s="356" t="s">
        <v>50</v>
      </c>
      <c r="C16" s="358" t="s">
        <v>1516</v>
      </c>
      <c r="D16" s="358" t="s">
        <v>76</v>
      </c>
      <c r="E16" s="359" t="s">
        <v>200</v>
      </c>
      <c r="F16" s="356" t="s">
        <v>6</v>
      </c>
      <c r="G16" s="356" t="s">
        <v>1517</v>
      </c>
      <c r="H16" s="356" t="s">
        <v>1533</v>
      </c>
      <c r="I16" s="360" t="s">
        <v>1519</v>
      </c>
      <c r="J16" s="360" t="s">
        <v>1520</v>
      </c>
      <c r="K16" s="356" t="s">
        <v>1521</v>
      </c>
      <c r="L16" s="356" t="s">
        <v>1522</v>
      </c>
      <c r="M16" s="356">
        <v>1</v>
      </c>
      <c r="N16" s="355" t="s">
        <v>243</v>
      </c>
      <c r="O16" s="356" t="s">
        <v>731</v>
      </c>
      <c r="P16" s="372">
        <v>1</v>
      </c>
      <c r="Q16" s="781">
        <f t="shared" si="0"/>
        <v>100</v>
      </c>
      <c r="R16" s="372"/>
      <c r="S16" s="377" t="s">
        <v>1584</v>
      </c>
      <c r="T16" s="387" t="s">
        <v>6</v>
      </c>
      <c r="U16" s="381"/>
    </row>
    <row r="17" spans="1:26" ht="89.25" x14ac:dyDescent="0.2">
      <c r="A17" s="371" t="s">
        <v>351</v>
      </c>
      <c r="B17" s="365" t="s">
        <v>50</v>
      </c>
      <c r="C17" s="370" t="s">
        <v>1516</v>
      </c>
      <c r="D17" s="370" t="s">
        <v>76</v>
      </c>
      <c r="E17" s="363" t="s">
        <v>200</v>
      </c>
      <c r="F17" s="365" t="s">
        <v>6</v>
      </c>
      <c r="G17" s="365" t="s">
        <v>1528</v>
      </c>
      <c r="H17" s="365" t="s">
        <v>1534</v>
      </c>
      <c r="I17" s="369" t="s">
        <v>1519</v>
      </c>
      <c r="J17" s="369" t="s">
        <v>1520</v>
      </c>
      <c r="K17" s="365" t="s">
        <v>1521</v>
      </c>
      <c r="L17" s="365" t="s">
        <v>1522</v>
      </c>
      <c r="M17" s="365">
        <v>1</v>
      </c>
      <c r="N17" s="368" t="s">
        <v>243</v>
      </c>
      <c r="O17" s="365" t="s">
        <v>731</v>
      </c>
      <c r="P17" s="382">
        <v>0</v>
      </c>
      <c r="Q17" s="781">
        <f t="shared" si="0"/>
        <v>0</v>
      </c>
      <c r="R17" s="387" t="s">
        <v>1583</v>
      </c>
      <c r="S17" s="377" t="s">
        <v>1584</v>
      </c>
      <c r="T17" s="387" t="s">
        <v>6</v>
      </c>
      <c r="U17" s="383" t="s">
        <v>1585</v>
      </c>
    </row>
    <row r="18" spans="1:26" ht="89.25" x14ac:dyDescent="0.2">
      <c r="A18" s="371" t="s">
        <v>351</v>
      </c>
      <c r="B18" s="365" t="s">
        <v>50</v>
      </c>
      <c r="C18" s="370" t="s">
        <v>1516</v>
      </c>
      <c r="D18" s="370" t="s">
        <v>76</v>
      </c>
      <c r="E18" s="363" t="s">
        <v>200</v>
      </c>
      <c r="F18" s="365" t="s">
        <v>6</v>
      </c>
      <c r="G18" s="365" t="s">
        <v>1528</v>
      </c>
      <c r="H18" s="365" t="s">
        <v>1535</v>
      </c>
      <c r="I18" s="369" t="s">
        <v>1519</v>
      </c>
      <c r="J18" s="369" t="s">
        <v>1520</v>
      </c>
      <c r="K18" s="365" t="s">
        <v>1521</v>
      </c>
      <c r="L18" s="365" t="s">
        <v>1522</v>
      </c>
      <c r="M18" s="365">
        <v>1</v>
      </c>
      <c r="N18" s="368" t="s">
        <v>243</v>
      </c>
      <c r="O18" s="365" t="s">
        <v>731</v>
      </c>
      <c r="P18" s="382">
        <v>0</v>
      </c>
      <c r="Q18" s="781">
        <f t="shared" si="0"/>
        <v>0</v>
      </c>
      <c r="R18" s="387" t="s">
        <v>1583</v>
      </c>
      <c r="S18" s="377" t="s">
        <v>1584</v>
      </c>
      <c r="T18" s="387" t="s">
        <v>6</v>
      </c>
      <c r="U18" s="383" t="s">
        <v>1585</v>
      </c>
    </row>
    <row r="19" spans="1:26" ht="57.6" customHeight="1" x14ac:dyDescent="0.2">
      <c r="A19" s="357" t="s">
        <v>351</v>
      </c>
      <c r="B19" s="356" t="s">
        <v>50</v>
      </c>
      <c r="C19" s="358" t="s">
        <v>1516</v>
      </c>
      <c r="D19" s="358" t="s">
        <v>76</v>
      </c>
      <c r="E19" s="359" t="s">
        <v>200</v>
      </c>
      <c r="F19" s="356" t="s">
        <v>6</v>
      </c>
      <c r="G19" s="356" t="s">
        <v>1517</v>
      </c>
      <c r="H19" s="356" t="s">
        <v>1536</v>
      </c>
      <c r="I19" s="360" t="s">
        <v>1519</v>
      </c>
      <c r="J19" s="360" t="s">
        <v>1520</v>
      </c>
      <c r="K19" s="356" t="s">
        <v>1521</v>
      </c>
      <c r="L19" s="356" t="s">
        <v>1522</v>
      </c>
      <c r="M19" s="356">
        <v>1</v>
      </c>
      <c r="N19" s="355" t="s">
        <v>243</v>
      </c>
      <c r="O19" s="356" t="s">
        <v>731</v>
      </c>
      <c r="P19" s="372">
        <v>1</v>
      </c>
      <c r="Q19" s="781">
        <f t="shared" si="0"/>
        <v>100</v>
      </c>
      <c r="R19" s="372"/>
      <c r="S19" s="377" t="s">
        <v>1584</v>
      </c>
      <c r="T19" s="387" t="s">
        <v>6</v>
      </c>
      <c r="U19" s="381"/>
    </row>
    <row r="20" spans="1:26" ht="63.75" x14ac:dyDescent="0.2">
      <c r="A20" s="357" t="s">
        <v>351</v>
      </c>
      <c r="B20" s="356" t="s">
        <v>50</v>
      </c>
      <c r="C20" s="358" t="s">
        <v>1516</v>
      </c>
      <c r="D20" s="358" t="s">
        <v>76</v>
      </c>
      <c r="E20" s="359" t="s">
        <v>200</v>
      </c>
      <c r="F20" s="356" t="s">
        <v>6</v>
      </c>
      <c r="G20" s="356" t="s">
        <v>1517</v>
      </c>
      <c r="H20" s="360" t="s">
        <v>1537</v>
      </c>
      <c r="I20" s="360" t="s">
        <v>1519</v>
      </c>
      <c r="J20" s="360" t="s">
        <v>1538</v>
      </c>
      <c r="K20" s="356" t="s">
        <v>1539</v>
      </c>
      <c r="L20" s="356" t="s">
        <v>1540</v>
      </c>
      <c r="M20" s="356">
        <v>1</v>
      </c>
      <c r="N20" s="355" t="s">
        <v>243</v>
      </c>
      <c r="O20" s="356" t="s">
        <v>1541</v>
      </c>
      <c r="P20" s="372">
        <v>1</v>
      </c>
      <c r="Q20" s="781">
        <f t="shared" si="0"/>
        <v>100</v>
      </c>
      <c r="R20" s="372"/>
      <c r="S20" s="377" t="s">
        <v>1584</v>
      </c>
      <c r="T20" s="387" t="s">
        <v>6</v>
      </c>
      <c r="U20" s="381"/>
    </row>
    <row r="21" spans="1:26" ht="63.75" x14ac:dyDescent="0.2">
      <c r="A21" s="357" t="s">
        <v>351</v>
      </c>
      <c r="B21" s="356" t="s">
        <v>50</v>
      </c>
      <c r="C21" s="358" t="s">
        <v>1516</v>
      </c>
      <c r="D21" s="358" t="s">
        <v>76</v>
      </c>
      <c r="E21" s="359" t="s">
        <v>200</v>
      </c>
      <c r="F21" s="356" t="s">
        <v>6</v>
      </c>
      <c r="G21" s="356" t="s">
        <v>7</v>
      </c>
      <c r="H21" s="360" t="s">
        <v>1542</v>
      </c>
      <c r="I21" s="360" t="s">
        <v>1519</v>
      </c>
      <c r="J21" s="360" t="s">
        <v>1538</v>
      </c>
      <c r="K21" s="356" t="s">
        <v>1539</v>
      </c>
      <c r="L21" s="356" t="s">
        <v>1540</v>
      </c>
      <c r="M21" s="356">
        <v>1</v>
      </c>
      <c r="N21" s="355" t="s">
        <v>243</v>
      </c>
      <c r="O21" s="356" t="s">
        <v>1541</v>
      </c>
      <c r="P21" s="372" t="s">
        <v>1747</v>
      </c>
      <c r="Q21" s="781" t="s">
        <v>1747</v>
      </c>
      <c r="R21" s="372" t="s">
        <v>1747</v>
      </c>
      <c r="S21" s="372" t="s">
        <v>1747</v>
      </c>
      <c r="T21" s="372" t="s">
        <v>1747</v>
      </c>
      <c r="U21" s="479" t="s">
        <v>1748</v>
      </c>
      <c r="V21" s="378"/>
      <c r="W21" s="378"/>
      <c r="X21" s="378"/>
      <c r="Y21" s="378"/>
      <c r="Z21" s="378"/>
    </row>
    <row r="22" spans="1:26" ht="63.75" x14ac:dyDescent="0.2">
      <c r="A22" s="357" t="s">
        <v>351</v>
      </c>
      <c r="B22" s="356" t="s">
        <v>50</v>
      </c>
      <c r="C22" s="358" t="s">
        <v>1516</v>
      </c>
      <c r="D22" s="358" t="s">
        <v>76</v>
      </c>
      <c r="E22" s="359" t="s">
        <v>200</v>
      </c>
      <c r="F22" s="356" t="s">
        <v>6</v>
      </c>
      <c r="G22" s="356" t="s">
        <v>1517</v>
      </c>
      <c r="H22" s="360" t="s">
        <v>1543</v>
      </c>
      <c r="I22" s="360" t="s">
        <v>1519</v>
      </c>
      <c r="J22" s="360" t="s">
        <v>1538</v>
      </c>
      <c r="K22" s="356" t="s">
        <v>1539</v>
      </c>
      <c r="L22" s="356" t="s">
        <v>1540</v>
      </c>
      <c r="M22" s="356">
        <v>1</v>
      </c>
      <c r="N22" s="355" t="s">
        <v>243</v>
      </c>
      <c r="O22" s="356" t="s">
        <v>1541</v>
      </c>
      <c r="P22" s="372">
        <v>1</v>
      </c>
      <c r="Q22" s="781">
        <f t="shared" si="0"/>
        <v>100</v>
      </c>
      <c r="R22" s="372"/>
      <c r="S22" s="377" t="s">
        <v>1584</v>
      </c>
      <c r="T22" s="387" t="s">
        <v>6</v>
      </c>
      <c r="U22" s="381"/>
    </row>
    <row r="23" spans="1:26" ht="63.75" x14ac:dyDescent="0.2">
      <c r="A23" s="357" t="s">
        <v>351</v>
      </c>
      <c r="B23" s="356" t="s">
        <v>50</v>
      </c>
      <c r="C23" s="358" t="s">
        <v>1516</v>
      </c>
      <c r="D23" s="358" t="s">
        <v>76</v>
      </c>
      <c r="E23" s="359" t="s">
        <v>200</v>
      </c>
      <c r="F23" s="356" t="s">
        <v>6</v>
      </c>
      <c r="G23" s="356" t="s">
        <v>1517</v>
      </c>
      <c r="H23" s="360" t="s">
        <v>1544</v>
      </c>
      <c r="I23" s="360" t="s">
        <v>1519</v>
      </c>
      <c r="J23" s="360" t="s">
        <v>1538</v>
      </c>
      <c r="K23" s="356" t="s">
        <v>1539</v>
      </c>
      <c r="L23" s="356" t="s">
        <v>1540</v>
      </c>
      <c r="M23" s="356">
        <v>1</v>
      </c>
      <c r="N23" s="355" t="s">
        <v>243</v>
      </c>
      <c r="O23" s="356" t="s">
        <v>1541</v>
      </c>
      <c r="P23" s="372">
        <v>1</v>
      </c>
      <c r="Q23" s="781">
        <f t="shared" si="0"/>
        <v>100</v>
      </c>
      <c r="R23" s="372"/>
      <c r="S23" s="377" t="s">
        <v>1584</v>
      </c>
      <c r="T23" s="387" t="s">
        <v>6</v>
      </c>
      <c r="U23" s="381"/>
    </row>
    <row r="24" spans="1:26" ht="76.5" x14ac:dyDescent="0.2">
      <c r="A24" s="357" t="s">
        <v>351</v>
      </c>
      <c r="B24" s="356" t="s">
        <v>50</v>
      </c>
      <c r="C24" s="358" t="s">
        <v>1545</v>
      </c>
      <c r="D24" s="356" t="s">
        <v>76</v>
      </c>
      <c r="E24" s="361" t="s">
        <v>78</v>
      </c>
      <c r="F24" s="356" t="s">
        <v>6</v>
      </c>
      <c r="G24" s="356" t="s">
        <v>1517</v>
      </c>
      <c r="H24" s="360" t="s">
        <v>1537</v>
      </c>
      <c r="I24" s="357" t="s">
        <v>1546</v>
      </c>
      <c r="J24" s="356" t="s">
        <v>1538</v>
      </c>
      <c r="K24" s="357" t="s">
        <v>1547</v>
      </c>
      <c r="L24" s="356" t="s">
        <v>1548</v>
      </c>
      <c r="M24" s="357">
        <v>3</v>
      </c>
      <c r="N24" s="356" t="s">
        <v>243</v>
      </c>
      <c r="O24" s="356" t="s">
        <v>1549</v>
      </c>
      <c r="P24" s="372">
        <v>3</v>
      </c>
      <c r="Q24" s="781">
        <f t="shared" ref="Q24:Q33" si="1">P24*100/M24</f>
        <v>100</v>
      </c>
      <c r="R24" s="372"/>
      <c r="S24" s="377" t="s">
        <v>1586</v>
      </c>
      <c r="T24" s="387" t="s">
        <v>6</v>
      </c>
      <c r="U24" s="381"/>
    </row>
    <row r="25" spans="1:26" ht="89.25" x14ac:dyDescent="0.2">
      <c r="A25" s="357" t="s">
        <v>351</v>
      </c>
      <c r="B25" s="356" t="s">
        <v>50</v>
      </c>
      <c r="C25" s="358" t="s">
        <v>1545</v>
      </c>
      <c r="D25" s="356" t="s">
        <v>76</v>
      </c>
      <c r="E25" s="361" t="s">
        <v>78</v>
      </c>
      <c r="F25" s="356" t="s">
        <v>6</v>
      </c>
      <c r="G25" s="356" t="s">
        <v>1517</v>
      </c>
      <c r="H25" s="360" t="s">
        <v>1543</v>
      </c>
      <c r="I25" s="357" t="s">
        <v>1546</v>
      </c>
      <c r="J25" s="356" t="s">
        <v>1538</v>
      </c>
      <c r="K25" s="357" t="s">
        <v>1547</v>
      </c>
      <c r="L25" s="356" t="s">
        <v>1548</v>
      </c>
      <c r="M25" s="357">
        <v>4</v>
      </c>
      <c r="N25" s="356" t="s">
        <v>243</v>
      </c>
      <c r="O25" s="356" t="s">
        <v>1550</v>
      </c>
      <c r="P25" s="372">
        <v>4</v>
      </c>
      <c r="Q25" s="781">
        <f t="shared" si="1"/>
        <v>100</v>
      </c>
      <c r="R25" s="372"/>
      <c r="S25" s="377" t="s">
        <v>1586</v>
      </c>
      <c r="T25" s="387" t="s">
        <v>6</v>
      </c>
      <c r="U25" s="381"/>
    </row>
    <row r="26" spans="1:26" ht="63.75" x14ac:dyDescent="0.2">
      <c r="A26" s="357" t="s">
        <v>351</v>
      </c>
      <c r="B26" s="356" t="s">
        <v>50</v>
      </c>
      <c r="C26" s="357" t="s">
        <v>1545</v>
      </c>
      <c r="D26" s="356" t="s">
        <v>76</v>
      </c>
      <c r="E26" s="361" t="s">
        <v>78</v>
      </c>
      <c r="F26" s="356" t="s">
        <v>6</v>
      </c>
      <c r="G26" s="356" t="s">
        <v>1517</v>
      </c>
      <c r="H26" s="360" t="s">
        <v>1544</v>
      </c>
      <c r="I26" s="357" t="s">
        <v>1546</v>
      </c>
      <c r="J26" s="356" t="s">
        <v>1538</v>
      </c>
      <c r="K26" s="357" t="s">
        <v>1547</v>
      </c>
      <c r="L26" s="356" t="s">
        <v>1548</v>
      </c>
      <c r="M26" s="357">
        <v>1</v>
      </c>
      <c r="N26" s="356" t="s">
        <v>243</v>
      </c>
      <c r="O26" s="356" t="s">
        <v>1541</v>
      </c>
      <c r="P26" s="372">
        <v>1</v>
      </c>
      <c r="Q26" s="781">
        <f t="shared" si="1"/>
        <v>100</v>
      </c>
      <c r="R26" s="372"/>
      <c r="S26" s="377" t="s">
        <v>1586</v>
      </c>
      <c r="T26" s="387" t="s">
        <v>6</v>
      </c>
      <c r="U26" s="381"/>
    </row>
    <row r="27" spans="1:26" ht="102" x14ac:dyDescent="0.2">
      <c r="A27" s="357" t="s">
        <v>351</v>
      </c>
      <c r="B27" s="356" t="s">
        <v>50</v>
      </c>
      <c r="C27" s="357" t="s">
        <v>1545</v>
      </c>
      <c r="D27" s="356" t="s">
        <v>76</v>
      </c>
      <c r="E27" s="361" t="s">
        <v>78</v>
      </c>
      <c r="F27" s="356" t="s">
        <v>6</v>
      </c>
      <c r="G27" s="356" t="s">
        <v>1517</v>
      </c>
      <c r="H27" s="360" t="s">
        <v>1537</v>
      </c>
      <c r="I27" s="357" t="s">
        <v>1551</v>
      </c>
      <c r="J27" s="356" t="s">
        <v>1538</v>
      </c>
      <c r="K27" s="357" t="s">
        <v>1552</v>
      </c>
      <c r="L27" s="356" t="s">
        <v>1553</v>
      </c>
      <c r="M27" s="357">
        <v>1</v>
      </c>
      <c r="N27" s="356" t="s">
        <v>243</v>
      </c>
      <c r="O27" s="356" t="s">
        <v>1554</v>
      </c>
      <c r="P27" s="372">
        <v>1</v>
      </c>
      <c r="Q27" s="781">
        <f t="shared" si="1"/>
        <v>100</v>
      </c>
      <c r="R27" s="372"/>
      <c r="S27" s="377" t="s">
        <v>1587</v>
      </c>
      <c r="T27" s="372" t="s">
        <v>79</v>
      </c>
      <c r="U27" s="381"/>
    </row>
    <row r="28" spans="1:26" ht="102" x14ac:dyDescent="0.2">
      <c r="A28" s="357" t="s">
        <v>351</v>
      </c>
      <c r="B28" s="356" t="s">
        <v>50</v>
      </c>
      <c r="C28" s="357" t="s">
        <v>1545</v>
      </c>
      <c r="D28" s="356" t="s">
        <v>76</v>
      </c>
      <c r="E28" s="361" t="s">
        <v>78</v>
      </c>
      <c r="F28" s="356" t="s">
        <v>6</v>
      </c>
      <c r="G28" s="356" t="s">
        <v>1517</v>
      </c>
      <c r="H28" s="360" t="s">
        <v>1543</v>
      </c>
      <c r="I28" s="357" t="s">
        <v>1551</v>
      </c>
      <c r="J28" s="356" t="s">
        <v>1538</v>
      </c>
      <c r="K28" s="357" t="s">
        <v>1552</v>
      </c>
      <c r="L28" s="356" t="s">
        <v>1553</v>
      </c>
      <c r="M28" s="357">
        <v>1</v>
      </c>
      <c r="N28" s="356" t="s">
        <v>243</v>
      </c>
      <c r="O28" s="356" t="s">
        <v>1555</v>
      </c>
      <c r="P28" s="372">
        <v>1</v>
      </c>
      <c r="Q28" s="781">
        <f t="shared" si="1"/>
        <v>100</v>
      </c>
      <c r="R28" s="372"/>
      <c r="S28" s="377" t="s">
        <v>1587</v>
      </c>
      <c r="T28" s="372" t="s">
        <v>79</v>
      </c>
      <c r="U28" s="381"/>
    </row>
    <row r="29" spans="1:26" ht="140.25" x14ac:dyDescent="0.2">
      <c r="A29" s="357" t="s">
        <v>351</v>
      </c>
      <c r="B29" s="356" t="s">
        <v>50</v>
      </c>
      <c r="C29" s="357" t="s">
        <v>1545</v>
      </c>
      <c r="D29" s="356" t="s">
        <v>76</v>
      </c>
      <c r="E29" s="361" t="s">
        <v>78</v>
      </c>
      <c r="F29" s="356" t="s">
        <v>6</v>
      </c>
      <c r="G29" s="356" t="s">
        <v>1517</v>
      </c>
      <c r="H29" s="360" t="s">
        <v>1537</v>
      </c>
      <c r="I29" s="357" t="s">
        <v>1551</v>
      </c>
      <c r="J29" s="356" t="s">
        <v>1538</v>
      </c>
      <c r="K29" s="357" t="s">
        <v>1556</v>
      </c>
      <c r="L29" s="356" t="s">
        <v>1557</v>
      </c>
      <c r="M29" s="357">
        <v>7</v>
      </c>
      <c r="N29" s="356" t="s">
        <v>243</v>
      </c>
      <c r="O29" s="356" t="s">
        <v>1558</v>
      </c>
      <c r="P29" s="372">
        <v>6</v>
      </c>
      <c r="Q29" s="781">
        <f t="shared" si="1"/>
        <v>85.714285714285708</v>
      </c>
      <c r="R29" s="375" t="s">
        <v>1576</v>
      </c>
      <c r="S29" s="377" t="s">
        <v>1587</v>
      </c>
      <c r="T29" s="375" t="s">
        <v>79</v>
      </c>
      <c r="U29" s="379" t="s">
        <v>1577</v>
      </c>
    </row>
    <row r="30" spans="1:26" ht="140.25" x14ac:dyDescent="0.2">
      <c r="A30" s="357" t="s">
        <v>351</v>
      </c>
      <c r="B30" s="356" t="s">
        <v>50</v>
      </c>
      <c r="C30" s="357" t="s">
        <v>1545</v>
      </c>
      <c r="D30" s="356" t="s">
        <v>76</v>
      </c>
      <c r="E30" s="361" t="s">
        <v>78</v>
      </c>
      <c r="F30" s="356" t="s">
        <v>6</v>
      </c>
      <c r="G30" s="356" t="s">
        <v>1517</v>
      </c>
      <c r="H30" s="360" t="s">
        <v>1543</v>
      </c>
      <c r="I30" s="357" t="s">
        <v>1551</v>
      </c>
      <c r="J30" s="356" t="s">
        <v>1538</v>
      </c>
      <c r="K30" s="357" t="s">
        <v>1556</v>
      </c>
      <c r="L30" s="356" t="s">
        <v>1557</v>
      </c>
      <c r="M30" s="357">
        <v>4</v>
      </c>
      <c r="N30" s="356" t="s">
        <v>243</v>
      </c>
      <c r="O30" s="356" t="s">
        <v>1558</v>
      </c>
      <c r="P30" s="372">
        <v>2</v>
      </c>
      <c r="Q30" s="781">
        <f t="shared" si="1"/>
        <v>50</v>
      </c>
      <c r="R30" s="375" t="s">
        <v>1578</v>
      </c>
      <c r="S30" s="377" t="s">
        <v>1587</v>
      </c>
      <c r="T30" s="375" t="s">
        <v>79</v>
      </c>
      <c r="U30" s="379" t="s">
        <v>1579</v>
      </c>
    </row>
    <row r="31" spans="1:26" ht="140.25" x14ac:dyDescent="0.2">
      <c r="A31" s="357" t="s">
        <v>351</v>
      </c>
      <c r="B31" s="356" t="s">
        <v>50</v>
      </c>
      <c r="C31" s="357" t="s">
        <v>1545</v>
      </c>
      <c r="D31" s="356" t="s">
        <v>76</v>
      </c>
      <c r="E31" s="361" t="s">
        <v>78</v>
      </c>
      <c r="F31" s="356" t="s">
        <v>6</v>
      </c>
      <c r="G31" s="356" t="s">
        <v>1517</v>
      </c>
      <c r="H31" s="360" t="s">
        <v>1544</v>
      </c>
      <c r="I31" s="357" t="s">
        <v>1551</v>
      </c>
      <c r="J31" s="356" t="s">
        <v>1538</v>
      </c>
      <c r="K31" s="357" t="s">
        <v>1559</v>
      </c>
      <c r="L31" s="356" t="s">
        <v>1557</v>
      </c>
      <c r="M31" s="357">
        <v>1</v>
      </c>
      <c r="N31" s="356" t="s">
        <v>243</v>
      </c>
      <c r="O31" s="356" t="s">
        <v>1558</v>
      </c>
      <c r="P31" s="372">
        <v>1</v>
      </c>
      <c r="Q31" s="781">
        <f t="shared" si="1"/>
        <v>100</v>
      </c>
      <c r="R31" s="375"/>
      <c r="S31" s="377" t="s">
        <v>1588</v>
      </c>
      <c r="T31" s="375" t="s">
        <v>79</v>
      </c>
      <c r="U31" s="379"/>
    </row>
    <row r="32" spans="1:26" ht="51" x14ac:dyDescent="0.2">
      <c r="A32" s="362" t="s">
        <v>351</v>
      </c>
      <c r="B32" s="363" t="s">
        <v>50</v>
      </c>
      <c r="C32" s="364" t="s">
        <v>1545</v>
      </c>
      <c r="D32" s="364" t="s">
        <v>76</v>
      </c>
      <c r="E32" s="361" t="s">
        <v>78</v>
      </c>
      <c r="F32" s="356" t="s">
        <v>6</v>
      </c>
      <c r="G32" s="365" t="s">
        <v>1517</v>
      </c>
      <c r="H32" s="365" t="s">
        <v>1560</v>
      </c>
      <c r="I32" s="366" t="s">
        <v>1546</v>
      </c>
      <c r="J32" s="366" t="s">
        <v>1538</v>
      </c>
      <c r="K32" s="363" t="s">
        <v>1547</v>
      </c>
      <c r="L32" s="363" t="s">
        <v>1548</v>
      </c>
      <c r="M32" s="363">
        <v>1</v>
      </c>
      <c r="N32" s="367" t="s">
        <v>243</v>
      </c>
      <c r="O32" s="356" t="s">
        <v>1561</v>
      </c>
      <c r="P32" s="372">
        <v>1</v>
      </c>
      <c r="Q32" s="781">
        <f t="shared" si="1"/>
        <v>100</v>
      </c>
      <c r="R32" s="375"/>
      <c r="S32" s="377" t="s">
        <v>1588</v>
      </c>
      <c r="T32" s="375" t="s">
        <v>79</v>
      </c>
      <c r="U32" s="379"/>
    </row>
    <row r="33" spans="1:21" ht="51" x14ac:dyDescent="0.2">
      <c r="A33" s="357" t="s">
        <v>351</v>
      </c>
      <c r="B33" s="357" t="s">
        <v>50</v>
      </c>
      <c r="C33" s="357" t="s">
        <v>1545</v>
      </c>
      <c r="D33" s="357" t="s">
        <v>76</v>
      </c>
      <c r="E33" s="361" t="s">
        <v>78</v>
      </c>
      <c r="F33" s="356" t="s">
        <v>6</v>
      </c>
      <c r="G33" s="357" t="s">
        <v>1517</v>
      </c>
      <c r="H33" s="357" t="s">
        <v>1562</v>
      </c>
      <c r="I33" s="357" t="s">
        <v>1563</v>
      </c>
      <c r="J33" s="357" t="s">
        <v>1538</v>
      </c>
      <c r="K33" s="357" t="s">
        <v>1564</v>
      </c>
      <c r="L33" s="357" t="s">
        <v>1565</v>
      </c>
      <c r="M33" s="357">
        <v>170</v>
      </c>
      <c r="N33" s="357" t="s">
        <v>243</v>
      </c>
      <c r="O33" s="356" t="s">
        <v>1566</v>
      </c>
      <c r="P33" s="372">
        <v>300</v>
      </c>
      <c r="Q33" s="781">
        <f t="shared" si="1"/>
        <v>176.47058823529412</v>
      </c>
      <c r="R33" s="375"/>
      <c r="S33" s="377" t="s">
        <v>1588</v>
      </c>
      <c r="T33" s="375" t="s">
        <v>79</v>
      </c>
      <c r="U33" s="379" t="s">
        <v>1580</v>
      </c>
    </row>
    <row r="34" spans="1:21" ht="68.099999999999994" customHeight="1" x14ac:dyDescent="0.2">
      <c r="A34" s="357" t="s">
        <v>351</v>
      </c>
      <c r="B34" s="357" t="s">
        <v>50</v>
      </c>
      <c r="C34" s="357" t="s">
        <v>1545</v>
      </c>
      <c r="D34" s="357" t="s">
        <v>76</v>
      </c>
      <c r="E34" s="361" t="s">
        <v>78</v>
      </c>
      <c r="F34" s="356" t="s">
        <v>6</v>
      </c>
      <c r="G34" s="357" t="s">
        <v>1517</v>
      </c>
      <c r="H34" s="357" t="s">
        <v>1567</v>
      </c>
      <c r="I34" s="357" t="s">
        <v>1563</v>
      </c>
      <c r="J34" s="357" t="s">
        <v>1538</v>
      </c>
      <c r="K34" s="357" t="s">
        <v>1568</v>
      </c>
      <c r="L34" s="357" t="s">
        <v>1569</v>
      </c>
      <c r="M34" s="357" t="s">
        <v>1570</v>
      </c>
      <c r="N34" s="357" t="s">
        <v>243</v>
      </c>
      <c r="O34" s="356" t="s">
        <v>1566</v>
      </c>
      <c r="P34" s="372">
        <v>21</v>
      </c>
      <c r="Q34" s="781">
        <f>P34*100/30</f>
        <v>70</v>
      </c>
      <c r="R34" s="375" t="s">
        <v>1581</v>
      </c>
      <c r="S34" s="377" t="s">
        <v>1589</v>
      </c>
      <c r="T34" s="375" t="s">
        <v>79</v>
      </c>
      <c r="U34" s="379" t="s">
        <v>1581</v>
      </c>
    </row>
    <row r="35" spans="1:21" ht="51" x14ac:dyDescent="0.2">
      <c r="A35" s="357" t="s">
        <v>351</v>
      </c>
      <c r="B35" s="357" t="s">
        <v>50</v>
      </c>
      <c r="C35" s="357" t="s">
        <v>1545</v>
      </c>
      <c r="D35" s="357" t="s">
        <v>76</v>
      </c>
      <c r="E35" s="361" t="s">
        <v>78</v>
      </c>
      <c r="F35" s="356" t="s">
        <v>6</v>
      </c>
      <c r="G35" s="357" t="s">
        <v>1517</v>
      </c>
      <c r="H35" s="357" t="s">
        <v>1571</v>
      </c>
      <c r="I35" s="357" t="s">
        <v>1551</v>
      </c>
      <c r="J35" s="357" t="s">
        <v>1538</v>
      </c>
      <c r="K35" s="357" t="s">
        <v>1572</v>
      </c>
      <c r="L35" s="357" t="s">
        <v>1573</v>
      </c>
      <c r="M35" s="357">
        <v>1</v>
      </c>
      <c r="N35" s="357" t="s">
        <v>243</v>
      </c>
      <c r="O35" s="356" t="s">
        <v>1561</v>
      </c>
      <c r="P35" s="372">
        <v>1</v>
      </c>
      <c r="Q35" s="781">
        <f>P35*100/M35</f>
        <v>100</v>
      </c>
      <c r="R35" s="375"/>
      <c r="S35" s="377" t="s">
        <v>1586</v>
      </c>
      <c r="T35" s="375" t="s">
        <v>79</v>
      </c>
      <c r="U35" s="379"/>
    </row>
    <row r="36" spans="1:21" ht="63.75" x14ac:dyDescent="0.2">
      <c r="A36" s="357" t="s">
        <v>351</v>
      </c>
      <c r="B36" s="357" t="s">
        <v>50</v>
      </c>
      <c r="C36" s="358" t="s">
        <v>1516</v>
      </c>
      <c r="D36" s="357" t="s">
        <v>76</v>
      </c>
      <c r="E36" s="359" t="s">
        <v>200</v>
      </c>
      <c r="F36" s="356" t="s">
        <v>6</v>
      </c>
      <c r="G36" s="357" t="s">
        <v>1517</v>
      </c>
      <c r="H36" s="357" t="s">
        <v>1567</v>
      </c>
      <c r="I36" s="357" t="s">
        <v>1574</v>
      </c>
      <c r="J36" s="357" t="s">
        <v>1538</v>
      </c>
      <c r="K36" s="357" t="s">
        <v>1568</v>
      </c>
      <c r="L36" s="357" t="s">
        <v>1569</v>
      </c>
      <c r="M36" s="357" t="s">
        <v>1570</v>
      </c>
      <c r="N36" s="357" t="s">
        <v>243</v>
      </c>
      <c r="O36" s="356" t="s">
        <v>1575</v>
      </c>
      <c r="P36" s="372">
        <v>21</v>
      </c>
      <c r="Q36" s="781">
        <f>P36*100/30</f>
        <v>70</v>
      </c>
      <c r="R36" s="375" t="s">
        <v>1581</v>
      </c>
      <c r="S36" s="377" t="s">
        <v>1590</v>
      </c>
      <c r="T36" s="375" t="s">
        <v>79</v>
      </c>
      <c r="U36" s="379" t="s">
        <v>1582</v>
      </c>
    </row>
  </sheetData>
  <mergeCells count="21">
    <mergeCell ref="Q4:Q5"/>
    <mergeCell ref="R4:R5"/>
    <mergeCell ref="S4:S5"/>
    <mergeCell ref="T4:T5"/>
    <mergeCell ref="U4:U5"/>
    <mergeCell ref="G4:G5"/>
    <mergeCell ref="H4:H5"/>
    <mergeCell ref="O4:O5"/>
    <mergeCell ref="I4:I5"/>
    <mergeCell ref="P4:P5"/>
    <mergeCell ref="J4:J5"/>
    <mergeCell ref="K4:K5"/>
    <mergeCell ref="L4:L5"/>
    <mergeCell ref="M4:M5"/>
    <mergeCell ref="N4:N5"/>
    <mergeCell ref="F4:F5"/>
    <mergeCell ref="A4:A5"/>
    <mergeCell ref="B4:B5"/>
    <mergeCell ref="C4:C5"/>
    <mergeCell ref="D4:D5"/>
    <mergeCell ref="E4:E5"/>
  </mergeCells>
  <pageMargins left="0.7" right="0.7" top="0.75" bottom="0.75" header="0.3" footer="0.3"/>
  <pageSetup paperSize="9" scale="31" fitToHeight="0" orientation="landscape" r:id="rId1"/>
  <ignoredErrors>
    <ignoredError sqref="Q34:Q35" formula="1"/>
  </ignoredError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pageSetUpPr fitToPage="1"/>
  </sheetPr>
  <dimension ref="A1:W20"/>
  <sheetViews>
    <sheetView topLeftCell="G2" zoomScale="70" zoomScaleNormal="70" zoomScaleSheetLayoutView="100" workbookViewId="0">
      <selection activeCell="S5" sqref="S5:S6"/>
    </sheetView>
  </sheetViews>
  <sheetFormatPr defaultRowHeight="12.75" x14ac:dyDescent="0.2"/>
  <cols>
    <col min="1" max="1" width="8.85546875" style="3"/>
    <col min="2" max="2" width="16.7109375" style="73" customWidth="1"/>
    <col min="3" max="3" width="8.85546875" style="74"/>
    <col min="4" max="4" width="13.5703125" style="3" customWidth="1"/>
    <col min="5" max="5" width="14.7109375" style="3" customWidth="1"/>
    <col min="6" max="6" width="16.28515625" style="3" customWidth="1"/>
    <col min="7" max="7" width="66.42578125" style="30" customWidth="1"/>
    <col min="8" max="8" width="13.140625" style="30" customWidth="1"/>
    <col min="9" max="9" width="15.42578125" style="30" customWidth="1"/>
    <col min="10" max="10" width="38.28515625" style="30" bestFit="1" customWidth="1"/>
    <col min="11" max="11" width="12.7109375" style="30" customWidth="1"/>
    <col min="12" max="12" width="11.140625" style="50" customWidth="1"/>
    <col min="13" max="13" width="13.28515625" style="50" customWidth="1"/>
    <col min="14" max="14" width="14" style="50" customWidth="1"/>
    <col min="15" max="15" width="14.140625" style="50" customWidth="1"/>
    <col min="16" max="21" width="8.85546875" style="50"/>
    <col min="22" max="22" width="11.85546875" style="50" customWidth="1"/>
    <col min="23" max="23" width="21.140625" style="50" customWidth="1"/>
    <col min="24" max="257" width="8.85546875" style="1"/>
    <col min="258" max="258" width="16.7109375" style="1" customWidth="1"/>
    <col min="259" max="259" width="8.85546875" style="1"/>
    <col min="260" max="260" width="13.5703125" style="1" customWidth="1"/>
    <col min="261" max="261" width="14.7109375" style="1" customWidth="1"/>
    <col min="262" max="262" width="16.28515625" style="1" customWidth="1"/>
    <col min="263" max="263" width="66.42578125" style="1" customWidth="1"/>
    <col min="264" max="264" width="13.140625" style="1" customWidth="1"/>
    <col min="265" max="265" width="15.42578125" style="1" customWidth="1"/>
    <col min="266" max="266" width="39" style="1" customWidth="1"/>
    <col min="267" max="513" width="8.85546875" style="1"/>
    <col min="514" max="514" width="16.7109375" style="1" customWidth="1"/>
    <col min="515" max="515" width="8.85546875" style="1"/>
    <col min="516" max="516" width="13.5703125" style="1" customWidth="1"/>
    <col min="517" max="517" width="14.7109375" style="1" customWidth="1"/>
    <col min="518" max="518" width="16.28515625" style="1" customWidth="1"/>
    <col min="519" max="519" width="66.42578125" style="1" customWidth="1"/>
    <col min="520" max="520" width="13.140625" style="1" customWidth="1"/>
    <col min="521" max="521" width="15.42578125" style="1" customWidth="1"/>
    <col min="522" max="522" width="39" style="1" customWidth="1"/>
    <col min="523" max="769" width="8.85546875" style="1"/>
    <col min="770" max="770" width="16.7109375" style="1" customWidth="1"/>
    <col min="771" max="771" width="8.85546875" style="1"/>
    <col min="772" max="772" width="13.5703125" style="1" customWidth="1"/>
    <col min="773" max="773" width="14.7109375" style="1" customWidth="1"/>
    <col min="774" max="774" width="16.28515625" style="1" customWidth="1"/>
    <col min="775" max="775" width="66.42578125" style="1" customWidth="1"/>
    <col min="776" max="776" width="13.140625" style="1" customWidth="1"/>
    <col min="777" max="777" width="15.42578125" style="1" customWidth="1"/>
    <col min="778" max="778" width="39" style="1" customWidth="1"/>
    <col min="779" max="1025" width="8.85546875" style="1"/>
    <col min="1026" max="1026" width="16.7109375" style="1" customWidth="1"/>
    <col min="1027" max="1027" width="8.85546875" style="1"/>
    <col min="1028" max="1028" width="13.5703125" style="1" customWidth="1"/>
    <col min="1029" max="1029" width="14.7109375" style="1" customWidth="1"/>
    <col min="1030" max="1030" width="16.28515625" style="1" customWidth="1"/>
    <col min="1031" max="1031" width="66.42578125" style="1" customWidth="1"/>
    <col min="1032" max="1032" width="13.140625" style="1" customWidth="1"/>
    <col min="1033" max="1033" width="15.42578125" style="1" customWidth="1"/>
    <col min="1034" max="1034" width="39" style="1" customWidth="1"/>
    <col min="1035" max="1281" width="8.85546875" style="1"/>
    <col min="1282" max="1282" width="16.7109375" style="1" customWidth="1"/>
    <col min="1283" max="1283" width="8.85546875" style="1"/>
    <col min="1284" max="1284" width="13.5703125" style="1" customWidth="1"/>
    <col min="1285" max="1285" width="14.7109375" style="1" customWidth="1"/>
    <col min="1286" max="1286" width="16.28515625" style="1" customWidth="1"/>
    <col min="1287" max="1287" width="66.42578125" style="1" customWidth="1"/>
    <col min="1288" max="1288" width="13.140625" style="1" customWidth="1"/>
    <col min="1289" max="1289" width="15.42578125" style="1" customWidth="1"/>
    <col min="1290" max="1290" width="39" style="1" customWidth="1"/>
    <col min="1291" max="1537" width="8.85546875" style="1"/>
    <col min="1538" max="1538" width="16.7109375" style="1" customWidth="1"/>
    <col min="1539" max="1539" width="8.85546875" style="1"/>
    <col min="1540" max="1540" width="13.5703125" style="1" customWidth="1"/>
    <col min="1541" max="1541" width="14.7109375" style="1" customWidth="1"/>
    <col min="1542" max="1542" width="16.28515625" style="1" customWidth="1"/>
    <col min="1543" max="1543" width="66.42578125" style="1" customWidth="1"/>
    <col min="1544" max="1544" width="13.140625" style="1" customWidth="1"/>
    <col min="1545" max="1545" width="15.42578125" style="1" customWidth="1"/>
    <col min="1546" max="1546" width="39" style="1" customWidth="1"/>
    <col min="1547" max="1793" width="8.85546875" style="1"/>
    <col min="1794" max="1794" width="16.7109375" style="1" customWidth="1"/>
    <col min="1795" max="1795" width="8.85546875" style="1"/>
    <col min="1796" max="1796" width="13.5703125" style="1" customWidth="1"/>
    <col min="1797" max="1797" width="14.7109375" style="1" customWidth="1"/>
    <col min="1798" max="1798" width="16.28515625" style="1" customWidth="1"/>
    <col min="1799" max="1799" width="66.42578125" style="1" customWidth="1"/>
    <col min="1800" max="1800" width="13.140625" style="1" customWidth="1"/>
    <col min="1801" max="1801" width="15.42578125" style="1" customWidth="1"/>
    <col min="1802" max="1802" width="39" style="1" customWidth="1"/>
    <col min="1803" max="2049" width="8.85546875" style="1"/>
    <col min="2050" max="2050" width="16.7109375" style="1" customWidth="1"/>
    <col min="2051" max="2051" width="8.85546875" style="1"/>
    <col min="2052" max="2052" width="13.5703125" style="1" customWidth="1"/>
    <col min="2053" max="2053" width="14.7109375" style="1" customWidth="1"/>
    <col min="2054" max="2054" width="16.28515625" style="1" customWidth="1"/>
    <col min="2055" max="2055" width="66.42578125" style="1" customWidth="1"/>
    <col min="2056" max="2056" width="13.140625" style="1" customWidth="1"/>
    <col min="2057" max="2057" width="15.42578125" style="1" customWidth="1"/>
    <col min="2058" max="2058" width="39" style="1" customWidth="1"/>
    <col min="2059" max="2305" width="8.85546875" style="1"/>
    <col min="2306" max="2306" width="16.7109375" style="1" customWidth="1"/>
    <col min="2307" max="2307" width="8.85546875" style="1"/>
    <col min="2308" max="2308" width="13.5703125" style="1" customWidth="1"/>
    <col min="2309" max="2309" width="14.7109375" style="1" customWidth="1"/>
    <col min="2310" max="2310" width="16.28515625" style="1" customWidth="1"/>
    <col min="2311" max="2311" width="66.42578125" style="1" customWidth="1"/>
    <col min="2312" max="2312" width="13.140625" style="1" customWidth="1"/>
    <col min="2313" max="2313" width="15.42578125" style="1" customWidth="1"/>
    <col min="2314" max="2314" width="39" style="1" customWidth="1"/>
    <col min="2315" max="2561" width="8.85546875" style="1"/>
    <col min="2562" max="2562" width="16.7109375" style="1" customWidth="1"/>
    <col min="2563" max="2563" width="8.85546875" style="1"/>
    <col min="2564" max="2564" width="13.5703125" style="1" customWidth="1"/>
    <col min="2565" max="2565" width="14.7109375" style="1" customWidth="1"/>
    <col min="2566" max="2566" width="16.28515625" style="1" customWidth="1"/>
    <col min="2567" max="2567" width="66.42578125" style="1" customWidth="1"/>
    <col min="2568" max="2568" width="13.140625" style="1" customWidth="1"/>
    <col min="2569" max="2569" width="15.42578125" style="1" customWidth="1"/>
    <col min="2570" max="2570" width="39" style="1" customWidth="1"/>
    <col min="2571" max="2817" width="8.85546875" style="1"/>
    <col min="2818" max="2818" width="16.7109375" style="1" customWidth="1"/>
    <col min="2819" max="2819" width="8.85546875" style="1"/>
    <col min="2820" max="2820" width="13.5703125" style="1" customWidth="1"/>
    <col min="2821" max="2821" width="14.7109375" style="1" customWidth="1"/>
    <col min="2822" max="2822" width="16.28515625" style="1" customWidth="1"/>
    <col min="2823" max="2823" width="66.42578125" style="1" customWidth="1"/>
    <col min="2824" max="2824" width="13.140625" style="1" customWidth="1"/>
    <col min="2825" max="2825" width="15.42578125" style="1" customWidth="1"/>
    <col min="2826" max="2826" width="39" style="1" customWidth="1"/>
    <col min="2827" max="3073" width="8.85546875" style="1"/>
    <col min="3074" max="3074" width="16.7109375" style="1" customWidth="1"/>
    <col min="3075" max="3075" width="8.85546875" style="1"/>
    <col min="3076" max="3076" width="13.5703125" style="1" customWidth="1"/>
    <col min="3077" max="3077" width="14.7109375" style="1" customWidth="1"/>
    <col min="3078" max="3078" width="16.28515625" style="1" customWidth="1"/>
    <col min="3079" max="3079" width="66.42578125" style="1" customWidth="1"/>
    <col min="3080" max="3080" width="13.140625" style="1" customWidth="1"/>
    <col min="3081" max="3081" width="15.42578125" style="1" customWidth="1"/>
    <col min="3082" max="3082" width="39" style="1" customWidth="1"/>
    <col min="3083" max="3329" width="8.85546875" style="1"/>
    <col min="3330" max="3330" width="16.7109375" style="1" customWidth="1"/>
    <col min="3331" max="3331" width="8.85546875" style="1"/>
    <col min="3332" max="3332" width="13.5703125" style="1" customWidth="1"/>
    <col min="3333" max="3333" width="14.7109375" style="1" customWidth="1"/>
    <col min="3334" max="3334" width="16.28515625" style="1" customWidth="1"/>
    <col min="3335" max="3335" width="66.42578125" style="1" customWidth="1"/>
    <col min="3336" max="3336" width="13.140625" style="1" customWidth="1"/>
    <col min="3337" max="3337" width="15.42578125" style="1" customWidth="1"/>
    <col min="3338" max="3338" width="39" style="1" customWidth="1"/>
    <col min="3339" max="3585" width="8.85546875" style="1"/>
    <col min="3586" max="3586" width="16.7109375" style="1" customWidth="1"/>
    <col min="3587" max="3587" width="8.85546875" style="1"/>
    <col min="3588" max="3588" width="13.5703125" style="1" customWidth="1"/>
    <col min="3589" max="3589" width="14.7109375" style="1" customWidth="1"/>
    <col min="3590" max="3590" width="16.28515625" style="1" customWidth="1"/>
    <col min="3591" max="3591" width="66.42578125" style="1" customWidth="1"/>
    <col min="3592" max="3592" width="13.140625" style="1" customWidth="1"/>
    <col min="3593" max="3593" width="15.42578125" style="1" customWidth="1"/>
    <col min="3594" max="3594" width="39" style="1" customWidth="1"/>
    <col min="3595" max="3841" width="8.85546875" style="1"/>
    <col min="3842" max="3842" width="16.7109375" style="1" customWidth="1"/>
    <col min="3843" max="3843" width="8.85546875" style="1"/>
    <col min="3844" max="3844" width="13.5703125" style="1" customWidth="1"/>
    <col min="3845" max="3845" width="14.7109375" style="1" customWidth="1"/>
    <col min="3846" max="3846" width="16.28515625" style="1" customWidth="1"/>
    <col min="3847" max="3847" width="66.42578125" style="1" customWidth="1"/>
    <col min="3848" max="3848" width="13.140625" style="1" customWidth="1"/>
    <col min="3849" max="3849" width="15.42578125" style="1" customWidth="1"/>
    <col min="3850" max="3850" width="39" style="1" customWidth="1"/>
    <col min="3851" max="4097" width="8.85546875" style="1"/>
    <col min="4098" max="4098" width="16.7109375" style="1" customWidth="1"/>
    <col min="4099" max="4099" width="8.85546875" style="1"/>
    <col min="4100" max="4100" width="13.5703125" style="1" customWidth="1"/>
    <col min="4101" max="4101" width="14.7109375" style="1" customWidth="1"/>
    <col min="4102" max="4102" width="16.28515625" style="1" customWidth="1"/>
    <col min="4103" max="4103" width="66.42578125" style="1" customWidth="1"/>
    <col min="4104" max="4104" width="13.140625" style="1" customWidth="1"/>
    <col min="4105" max="4105" width="15.42578125" style="1" customWidth="1"/>
    <col min="4106" max="4106" width="39" style="1" customWidth="1"/>
    <col min="4107" max="4353" width="8.85546875" style="1"/>
    <col min="4354" max="4354" width="16.7109375" style="1" customWidth="1"/>
    <col min="4355" max="4355" width="8.85546875" style="1"/>
    <col min="4356" max="4356" width="13.5703125" style="1" customWidth="1"/>
    <col min="4357" max="4357" width="14.7109375" style="1" customWidth="1"/>
    <col min="4358" max="4358" width="16.28515625" style="1" customWidth="1"/>
    <col min="4359" max="4359" width="66.42578125" style="1" customWidth="1"/>
    <col min="4360" max="4360" width="13.140625" style="1" customWidth="1"/>
    <col min="4361" max="4361" width="15.42578125" style="1" customWidth="1"/>
    <col min="4362" max="4362" width="39" style="1" customWidth="1"/>
    <col min="4363" max="4609" width="8.85546875" style="1"/>
    <col min="4610" max="4610" width="16.7109375" style="1" customWidth="1"/>
    <col min="4611" max="4611" width="8.85546875" style="1"/>
    <col min="4612" max="4612" width="13.5703125" style="1" customWidth="1"/>
    <col min="4613" max="4613" width="14.7109375" style="1" customWidth="1"/>
    <col min="4614" max="4614" width="16.28515625" style="1" customWidth="1"/>
    <col min="4615" max="4615" width="66.42578125" style="1" customWidth="1"/>
    <col min="4616" max="4616" width="13.140625" style="1" customWidth="1"/>
    <col min="4617" max="4617" width="15.42578125" style="1" customWidth="1"/>
    <col min="4618" max="4618" width="39" style="1" customWidth="1"/>
    <col min="4619" max="4865" width="8.85546875" style="1"/>
    <col min="4866" max="4866" width="16.7109375" style="1" customWidth="1"/>
    <col min="4867" max="4867" width="8.85546875" style="1"/>
    <col min="4868" max="4868" width="13.5703125" style="1" customWidth="1"/>
    <col min="4869" max="4869" width="14.7109375" style="1" customWidth="1"/>
    <col min="4870" max="4870" width="16.28515625" style="1" customWidth="1"/>
    <col min="4871" max="4871" width="66.42578125" style="1" customWidth="1"/>
    <col min="4872" max="4872" width="13.140625" style="1" customWidth="1"/>
    <col min="4873" max="4873" width="15.42578125" style="1" customWidth="1"/>
    <col min="4874" max="4874" width="39" style="1" customWidth="1"/>
    <col min="4875" max="5121" width="8.85546875" style="1"/>
    <col min="5122" max="5122" width="16.7109375" style="1" customWidth="1"/>
    <col min="5123" max="5123" width="8.85546875" style="1"/>
    <col min="5124" max="5124" width="13.5703125" style="1" customWidth="1"/>
    <col min="5125" max="5125" width="14.7109375" style="1" customWidth="1"/>
    <col min="5126" max="5126" width="16.28515625" style="1" customWidth="1"/>
    <col min="5127" max="5127" width="66.42578125" style="1" customWidth="1"/>
    <col min="5128" max="5128" width="13.140625" style="1" customWidth="1"/>
    <col min="5129" max="5129" width="15.42578125" style="1" customWidth="1"/>
    <col min="5130" max="5130" width="39" style="1" customWidth="1"/>
    <col min="5131" max="5377" width="8.85546875" style="1"/>
    <col min="5378" max="5378" width="16.7109375" style="1" customWidth="1"/>
    <col min="5379" max="5379" width="8.85546875" style="1"/>
    <col min="5380" max="5380" width="13.5703125" style="1" customWidth="1"/>
    <col min="5381" max="5381" width="14.7109375" style="1" customWidth="1"/>
    <col min="5382" max="5382" width="16.28515625" style="1" customWidth="1"/>
    <col min="5383" max="5383" width="66.42578125" style="1" customWidth="1"/>
    <col min="5384" max="5384" width="13.140625" style="1" customWidth="1"/>
    <col min="5385" max="5385" width="15.42578125" style="1" customWidth="1"/>
    <col min="5386" max="5386" width="39" style="1" customWidth="1"/>
    <col min="5387" max="5633" width="8.85546875" style="1"/>
    <col min="5634" max="5634" width="16.7109375" style="1" customWidth="1"/>
    <col min="5635" max="5635" width="8.85546875" style="1"/>
    <col min="5636" max="5636" width="13.5703125" style="1" customWidth="1"/>
    <col min="5637" max="5637" width="14.7109375" style="1" customWidth="1"/>
    <col min="5638" max="5638" width="16.28515625" style="1" customWidth="1"/>
    <col min="5639" max="5639" width="66.42578125" style="1" customWidth="1"/>
    <col min="5640" max="5640" width="13.140625" style="1" customWidth="1"/>
    <col min="5641" max="5641" width="15.42578125" style="1" customWidth="1"/>
    <col min="5642" max="5642" width="39" style="1" customWidth="1"/>
    <col min="5643" max="5889" width="8.85546875" style="1"/>
    <col min="5890" max="5890" width="16.7109375" style="1" customWidth="1"/>
    <col min="5891" max="5891" width="8.85546875" style="1"/>
    <col min="5892" max="5892" width="13.5703125" style="1" customWidth="1"/>
    <col min="5893" max="5893" width="14.7109375" style="1" customWidth="1"/>
    <col min="5894" max="5894" width="16.28515625" style="1" customWidth="1"/>
    <col min="5895" max="5895" width="66.42578125" style="1" customWidth="1"/>
    <col min="5896" max="5896" width="13.140625" style="1" customWidth="1"/>
    <col min="5897" max="5897" width="15.42578125" style="1" customWidth="1"/>
    <col min="5898" max="5898" width="39" style="1" customWidth="1"/>
    <col min="5899" max="6145" width="8.85546875" style="1"/>
    <col min="6146" max="6146" width="16.7109375" style="1" customWidth="1"/>
    <col min="6147" max="6147" width="8.85546875" style="1"/>
    <col min="6148" max="6148" width="13.5703125" style="1" customWidth="1"/>
    <col min="6149" max="6149" width="14.7109375" style="1" customWidth="1"/>
    <col min="6150" max="6150" width="16.28515625" style="1" customWidth="1"/>
    <col min="6151" max="6151" width="66.42578125" style="1" customWidth="1"/>
    <col min="6152" max="6152" width="13.140625" style="1" customWidth="1"/>
    <col min="6153" max="6153" width="15.42578125" style="1" customWidth="1"/>
    <col min="6154" max="6154" width="39" style="1" customWidth="1"/>
    <col min="6155" max="6401" width="8.85546875" style="1"/>
    <col min="6402" max="6402" width="16.7109375" style="1" customWidth="1"/>
    <col min="6403" max="6403" width="8.85546875" style="1"/>
    <col min="6404" max="6404" width="13.5703125" style="1" customWidth="1"/>
    <col min="6405" max="6405" width="14.7109375" style="1" customWidth="1"/>
    <col min="6406" max="6406" width="16.28515625" style="1" customWidth="1"/>
    <col min="6407" max="6407" width="66.42578125" style="1" customWidth="1"/>
    <col min="6408" max="6408" width="13.140625" style="1" customWidth="1"/>
    <col min="6409" max="6409" width="15.42578125" style="1" customWidth="1"/>
    <col min="6410" max="6410" width="39" style="1" customWidth="1"/>
    <col min="6411" max="6657" width="8.85546875" style="1"/>
    <col min="6658" max="6658" width="16.7109375" style="1" customWidth="1"/>
    <col min="6659" max="6659" width="8.85546875" style="1"/>
    <col min="6660" max="6660" width="13.5703125" style="1" customWidth="1"/>
    <col min="6661" max="6661" width="14.7109375" style="1" customWidth="1"/>
    <col min="6662" max="6662" width="16.28515625" style="1" customWidth="1"/>
    <col min="6663" max="6663" width="66.42578125" style="1" customWidth="1"/>
    <col min="6664" max="6664" width="13.140625" style="1" customWidth="1"/>
    <col min="6665" max="6665" width="15.42578125" style="1" customWidth="1"/>
    <col min="6666" max="6666" width="39" style="1" customWidth="1"/>
    <col min="6667" max="6913" width="8.85546875" style="1"/>
    <col min="6914" max="6914" width="16.7109375" style="1" customWidth="1"/>
    <col min="6915" max="6915" width="8.85546875" style="1"/>
    <col min="6916" max="6916" width="13.5703125" style="1" customWidth="1"/>
    <col min="6917" max="6917" width="14.7109375" style="1" customWidth="1"/>
    <col min="6918" max="6918" width="16.28515625" style="1" customWidth="1"/>
    <col min="6919" max="6919" width="66.42578125" style="1" customWidth="1"/>
    <col min="6920" max="6920" width="13.140625" style="1" customWidth="1"/>
    <col min="6921" max="6921" width="15.42578125" style="1" customWidth="1"/>
    <col min="6922" max="6922" width="39" style="1" customWidth="1"/>
    <col min="6923" max="7169" width="8.85546875" style="1"/>
    <col min="7170" max="7170" width="16.7109375" style="1" customWidth="1"/>
    <col min="7171" max="7171" width="8.85546875" style="1"/>
    <col min="7172" max="7172" width="13.5703125" style="1" customWidth="1"/>
    <col min="7173" max="7173" width="14.7109375" style="1" customWidth="1"/>
    <col min="7174" max="7174" width="16.28515625" style="1" customWidth="1"/>
    <col min="7175" max="7175" width="66.42578125" style="1" customWidth="1"/>
    <col min="7176" max="7176" width="13.140625" style="1" customWidth="1"/>
    <col min="7177" max="7177" width="15.42578125" style="1" customWidth="1"/>
    <col min="7178" max="7178" width="39" style="1" customWidth="1"/>
    <col min="7179" max="7425" width="8.85546875" style="1"/>
    <col min="7426" max="7426" width="16.7109375" style="1" customWidth="1"/>
    <col min="7427" max="7427" width="8.85546875" style="1"/>
    <col min="7428" max="7428" width="13.5703125" style="1" customWidth="1"/>
    <col min="7429" max="7429" width="14.7109375" style="1" customWidth="1"/>
    <col min="7430" max="7430" width="16.28515625" style="1" customWidth="1"/>
    <col min="7431" max="7431" width="66.42578125" style="1" customWidth="1"/>
    <col min="7432" max="7432" width="13.140625" style="1" customWidth="1"/>
    <col min="7433" max="7433" width="15.42578125" style="1" customWidth="1"/>
    <col min="7434" max="7434" width="39" style="1" customWidth="1"/>
    <col min="7435" max="7681" width="8.85546875" style="1"/>
    <col min="7682" max="7682" width="16.7109375" style="1" customWidth="1"/>
    <col min="7683" max="7683" width="8.85546875" style="1"/>
    <col min="7684" max="7684" width="13.5703125" style="1" customWidth="1"/>
    <col min="7685" max="7685" width="14.7109375" style="1" customWidth="1"/>
    <col min="7686" max="7686" width="16.28515625" style="1" customWidth="1"/>
    <col min="7687" max="7687" width="66.42578125" style="1" customWidth="1"/>
    <col min="7688" max="7688" width="13.140625" style="1" customWidth="1"/>
    <col min="7689" max="7689" width="15.42578125" style="1" customWidth="1"/>
    <col min="7690" max="7690" width="39" style="1" customWidth="1"/>
    <col min="7691" max="7937" width="8.85546875" style="1"/>
    <col min="7938" max="7938" width="16.7109375" style="1" customWidth="1"/>
    <col min="7939" max="7939" width="8.85546875" style="1"/>
    <col min="7940" max="7940" width="13.5703125" style="1" customWidth="1"/>
    <col min="7941" max="7941" width="14.7109375" style="1" customWidth="1"/>
    <col min="7942" max="7942" width="16.28515625" style="1" customWidth="1"/>
    <col min="7943" max="7943" width="66.42578125" style="1" customWidth="1"/>
    <col min="7944" max="7944" width="13.140625" style="1" customWidth="1"/>
    <col min="7945" max="7945" width="15.42578125" style="1" customWidth="1"/>
    <col min="7946" max="7946" width="39" style="1" customWidth="1"/>
    <col min="7947" max="8193" width="8.85546875" style="1"/>
    <col min="8194" max="8194" width="16.7109375" style="1" customWidth="1"/>
    <col min="8195" max="8195" width="8.85546875" style="1"/>
    <col min="8196" max="8196" width="13.5703125" style="1" customWidth="1"/>
    <col min="8197" max="8197" width="14.7109375" style="1" customWidth="1"/>
    <col min="8198" max="8198" width="16.28515625" style="1" customWidth="1"/>
    <col min="8199" max="8199" width="66.42578125" style="1" customWidth="1"/>
    <col min="8200" max="8200" width="13.140625" style="1" customWidth="1"/>
    <col min="8201" max="8201" width="15.42578125" style="1" customWidth="1"/>
    <col min="8202" max="8202" width="39" style="1" customWidth="1"/>
    <col min="8203" max="8449" width="8.85546875" style="1"/>
    <col min="8450" max="8450" width="16.7109375" style="1" customWidth="1"/>
    <col min="8451" max="8451" width="8.85546875" style="1"/>
    <col min="8452" max="8452" width="13.5703125" style="1" customWidth="1"/>
    <col min="8453" max="8453" width="14.7109375" style="1" customWidth="1"/>
    <col min="8454" max="8454" width="16.28515625" style="1" customWidth="1"/>
    <col min="8455" max="8455" width="66.42578125" style="1" customWidth="1"/>
    <col min="8456" max="8456" width="13.140625" style="1" customWidth="1"/>
    <col min="8457" max="8457" width="15.42578125" style="1" customWidth="1"/>
    <col min="8458" max="8458" width="39" style="1" customWidth="1"/>
    <col min="8459" max="8705" width="8.85546875" style="1"/>
    <col min="8706" max="8706" width="16.7109375" style="1" customWidth="1"/>
    <col min="8707" max="8707" width="8.85546875" style="1"/>
    <col min="8708" max="8708" width="13.5703125" style="1" customWidth="1"/>
    <col min="8709" max="8709" width="14.7109375" style="1" customWidth="1"/>
    <col min="8710" max="8710" width="16.28515625" style="1" customWidth="1"/>
    <col min="8711" max="8711" width="66.42578125" style="1" customWidth="1"/>
    <col min="8712" max="8712" width="13.140625" style="1" customWidth="1"/>
    <col min="8713" max="8713" width="15.42578125" style="1" customWidth="1"/>
    <col min="8714" max="8714" width="39" style="1" customWidth="1"/>
    <col min="8715" max="8961" width="8.85546875" style="1"/>
    <col min="8962" max="8962" width="16.7109375" style="1" customWidth="1"/>
    <col min="8963" max="8963" width="8.85546875" style="1"/>
    <col min="8964" max="8964" width="13.5703125" style="1" customWidth="1"/>
    <col min="8965" max="8965" width="14.7109375" style="1" customWidth="1"/>
    <col min="8966" max="8966" width="16.28515625" style="1" customWidth="1"/>
    <col min="8967" max="8967" width="66.42578125" style="1" customWidth="1"/>
    <col min="8968" max="8968" width="13.140625" style="1" customWidth="1"/>
    <col min="8969" max="8969" width="15.42578125" style="1" customWidth="1"/>
    <col min="8970" max="8970" width="39" style="1" customWidth="1"/>
    <col min="8971" max="9217" width="8.85546875" style="1"/>
    <col min="9218" max="9218" width="16.7109375" style="1" customWidth="1"/>
    <col min="9219" max="9219" width="8.85546875" style="1"/>
    <col min="9220" max="9220" width="13.5703125" style="1" customWidth="1"/>
    <col min="9221" max="9221" width="14.7109375" style="1" customWidth="1"/>
    <col min="9222" max="9222" width="16.28515625" style="1" customWidth="1"/>
    <col min="9223" max="9223" width="66.42578125" style="1" customWidth="1"/>
    <col min="9224" max="9224" width="13.140625" style="1" customWidth="1"/>
    <col min="9225" max="9225" width="15.42578125" style="1" customWidth="1"/>
    <col min="9226" max="9226" width="39" style="1" customWidth="1"/>
    <col min="9227" max="9473" width="8.85546875" style="1"/>
    <col min="9474" max="9474" width="16.7109375" style="1" customWidth="1"/>
    <col min="9475" max="9475" width="8.85546875" style="1"/>
    <col min="9476" max="9476" width="13.5703125" style="1" customWidth="1"/>
    <col min="9477" max="9477" width="14.7109375" style="1" customWidth="1"/>
    <col min="9478" max="9478" width="16.28515625" style="1" customWidth="1"/>
    <col min="9479" max="9479" width="66.42578125" style="1" customWidth="1"/>
    <col min="9480" max="9480" width="13.140625" style="1" customWidth="1"/>
    <col min="9481" max="9481" width="15.42578125" style="1" customWidth="1"/>
    <col min="9482" max="9482" width="39" style="1" customWidth="1"/>
    <col min="9483" max="9729" width="8.85546875" style="1"/>
    <col min="9730" max="9730" width="16.7109375" style="1" customWidth="1"/>
    <col min="9731" max="9731" width="8.85546875" style="1"/>
    <col min="9732" max="9732" width="13.5703125" style="1" customWidth="1"/>
    <col min="9733" max="9733" width="14.7109375" style="1" customWidth="1"/>
    <col min="9734" max="9734" width="16.28515625" style="1" customWidth="1"/>
    <col min="9735" max="9735" width="66.42578125" style="1" customWidth="1"/>
    <col min="9736" max="9736" width="13.140625" style="1" customWidth="1"/>
    <col min="9737" max="9737" width="15.42578125" style="1" customWidth="1"/>
    <col min="9738" max="9738" width="39" style="1" customWidth="1"/>
    <col min="9739" max="9985" width="8.85546875" style="1"/>
    <col min="9986" max="9986" width="16.7109375" style="1" customWidth="1"/>
    <col min="9987" max="9987" width="8.85546875" style="1"/>
    <col min="9988" max="9988" width="13.5703125" style="1" customWidth="1"/>
    <col min="9989" max="9989" width="14.7109375" style="1" customWidth="1"/>
    <col min="9990" max="9990" width="16.28515625" style="1" customWidth="1"/>
    <col min="9991" max="9991" width="66.42578125" style="1" customWidth="1"/>
    <col min="9992" max="9992" width="13.140625" style="1" customWidth="1"/>
    <col min="9993" max="9993" width="15.42578125" style="1" customWidth="1"/>
    <col min="9994" max="9994" width="39" style="1" customWidth="1"/>
    <col min="9995" max="10241" width="8.85546875" style="1"/>
    <col min="10242" max="10242" width="16.7109375" style="1" customWidth="1"/>
    <col min="10243" max="10243" width="8.85546875" style="1"/>
    <col min="10244" max="10244" width="13.5703125" style="1" customWidth="1"/>
    <col min="10245" max="10245" width="14.7109375" style="1" customWidth="1"/>
    <col min="10246" max="10246" width="16.28515625" style="1" customWidth="1"/>
    <col min="10247" max="10247" width="66.42578125" style="1" customWidth="1"/>
    <col min="10248" max="10248" width="13.140625" style="1" customWidth="1"/>
    <col min="10249" max="10249" width="15.42578125" style="1" customWidth="1"/>
    <col min="10250" max="10250" width="39" style="1" customWidth="1"/>
    <col min="10251" max="10497" width="8.85546875" style="1"/>
    <col min="10498" max="10498" width="16.7109375" style="1" customWidth="1"/>
    <col min="10499" max="10499" width="8.85546875" style="1"/>
    <col min="10500" max="10500" width="13.5703125" style="1" customWidth="1"/>
    <col min="10501" max="10501" width="14.7109375" style="1" customWidth="1"/>
    <col min="10502" max="10502" width="16.28515625" style="1" customWidth="1"/>
    <col min="10503" max="10503" width="66.42578125" style="1" customWidth="1"/>
    <col min="10504" max="10504" width="13.140625" style="1" customWidth="1"/>
    <col min="10505" max="10505" width="15.42578125" style="1" customWidth="1"/>
    <col min="10506" max="10506" width="39" style="1" customWidth="1"/>
    <col min="10507" max="10753" width="8.85546875" style="1"/>
    <col min="10754" max="10754" width="16.7109375" style="1" customWidth="1"/>
    <col min="10755" max="10755" width="8.85546875" style="1"/>
    <col min="10756" max="10756" width="13.5703125" style="1" customWidth="1"/>
    <col min="10757" max="10757" width="14.7109375" style="1" customWidth="1"/>
    <col min="10758" max="10758" width="16.28515625" style="1" customWidth="1"/>
    <col min="10759" max="10759" width="66.42578125" style="1" customWidth="1"/>
    <col min="10760" max="10760" width="13.140625" style="1" customWidth="1"/>
    <col min="10761" max="10761" width="15.42578125" style="1" customWidth="1"/>
    <col min="10762" max="10762" width="39" style="1" customWidth="1"/>
    <col min="10763" max="11009" width="8.85546875" style="1"/>
    <col min="11010" max="11010" width="16.7109375" style="1" customWidth="1"/>
    <col min="11011" max="11011" width="8.85546875" style="1"/>
    <col min="11012" max="11012" width="13.5703125" style="1" customWidth="1"/>
    <col min="11013" max="11013" width="14.7109375" style="1" customWidth="1"/>
    <col min="11014" max="11014" width="16.28515625" style="1" customWidth="1"/>
    <col min="11015" max="11015" width="66.42578125" style="1" customWidth="1"/>
    <col min="11016" max="11016" width="13.140625" style="1" customWidth="1"/>
    <col min="11017" max="11017" width="15.42578125" style="1" customWidth="1"/>
    <col min="11018" max="11018" width="39" style="1" customWidth="1"/>
    <col min="11019" max="11265" width="8.85546875" style="1"/>
    <col min="11266" max="11266" width="16.7109375" style="1" customWidth="1"/>
    <col min="11267" max="11267" width="8.85546875" style="1"/>
    <col min="11268" max="11268" width="13.5703125" style="1" customWidth="1"/>
    <col min="11269" max="11269" width="14.7109375" style="1" customWidth="1"/>
    <col min="11270" max="11270" width="16.28515625" style="1" customWidth="1"/>
    <col min="11271" max="11271" width="66.42578125" style="1" customWidth="1"/>
    <col min="11272" max="11272" width="13.140625" style="1" customWidth="1"/>
    <col min="11273" max="11273" width="15.42578125" style="1" customWidth="1"/>
    <col min="11274" max="11274" width="39" style="1" customWidth="1"/>
    <col min="11275" max="11521" width="8.85546875" style="1"/>
    <col min="11522" max="11522" width="16.7109375" style="1" customWidth="1"/>
    <col min="11523" max="11523" width="8.85546875" style="1"/>
    <col min="11524" max="11524" width="13.5703125" style="1" customWidth="1"/>
    <col min="11525" max="11525" width="14.7109375" style="1" customWidth="1"/>
    <col min="11526" max="11526" width="16.28515625" style="1" customWidth="1"/>
    <col min="11527" max="11527" width="66.42578125" style="1" customWidth="1"/>
    <col min="11528" max="11528" width="13.140625" style="1" customWidth="1"/>
    <col min="11529" max="11529" width="15.42578125" style="1" customWidth="1"/>
    <col min="11530" max="11530" width="39" style="1" customWidth="1"/>
    <col min="11531" max="11777" width="8.85546875" style="1"/>
    <col min="11778" max="11778" width="16.7109375" style="1" customWidth="1"/>
    <col min="11779" max="11779" width="8.85546875" style="1"/>
    <col min="11780" max="11780" width="13.5703125" style="1" customWidth="1"/>
    <col min="11781" max="11781" width="14.7109375" style="1" customWidth="1"/>
    <col min="11782" max="11782" width="16.28515625" style="1" customWidth="1"/>
    <col min="11783" max="11783" width="66.42578125" style="1" customWidth="1"/>
    <col min="11784" max="11784" width="13.140625" style="1" customWidth="1"/>
    <col min="11785" max="11785" width="15.42578125" style="1" customWidth="1"/>
    <col min="11786" max="11786" width="39" style="1" customWidth="1"/>
    <col min="11787" max="12033" width="8.85546875" style="1"/>
    <col min="12034" max="12034" width="16.7109375" style="1" customWidth="1"/>
    <col min="12035" max="12035" width="8.85546875" style="1"/>
    <col min="12036" max="12036" width="13.5703125" style="1" customWidth="1"/>
    <col min="12037" max="12037" width="14.7109375" style="1" customWidth="1"/>
    <col min="12038" max="12038" width="16.28515625" style="1" customWidth="1"/>
    <col min="12039" max="12039" width="66.42578125" style="1" customWidth="1"/>
    <col min="12040" max="12040" width="13.140625" style="1" customWidth="1"/>
    <col min="12041" max="12041" width="15.42578125" style="1" customWidth="1"/>
    <col min="12042" max="12042" width="39" style="1" customWidth="1"/>
    <col min="12043" max="12289" width="8.85546875" style="1"/>
    <col min="12290" max="12290" width="16.7109375" style="1" customWidth="1"/>
    <col min="12291" max="12291" width="8.85546875" style="1"/>
    <col min="12292" max="12292" width="13.5703125" style="1" customWidth="1"/>
    <col min="12293" max="12293" width="14.7109375" style="1" customWidth="1"/>
    <col min="12294" max="12294" width="16.28515625" style="1" customWidth="1"/>
    <col min="12295" max="12295" width="66.42578125" style="1" customWidth="1"/>
    <col min="12296" max="12296" width="13.140625" style="1" customWidth="1"/>
    <col min="12297" max="12297" width="15.42578125" style="1" customWidth="1"/>
    <col min="12298" max="12298" width="39" style="1" customWidth="1"/>
    <col min="12299" max="12545" width="8.85546875" style="1"/>
    <col min="12546" max="12546" width="16.7109375" style="1" customWidth="1"/>
    <col min="12547" max="12547" width="8.85546875" style="1"/>
    <col min="12548" max="12548" width="13.5703125" style="1" customWidth="1"/>
    <col min="12549" max="12549" width="14.7109375" style="1" customWidth="1"/>
    <col min="12550" max="12550" width="16.28515625" style="1" customWidth="1"/>
    <col min="12551" max="12551" width="66.42578125" style="1" customWidth="1"/>
    <col min="12552" max="12552" width="13.140625" style="1" customWidth="1"/>
    <col min="12553" max="12553" width="15.42578125" style="1" customWidth="1"/>
    <col min="12554" max="12554" width="39" style="1" customWidth="1"/>
    <col min="12555" max="12801" width="8.85546875" style="1"/>
    <col min="12802" max="12802" width="16.7109375" style="1" customWidth="1"/>
    <col min="12803" max="12803" width="8.85546875" style="1"/>
    <col min="12804" max="12804" width="13.5703125" style="1" customWidth="1"/>
    <col min="12805" max="12805" width="14.7109375" style="1" customWidth="1"/>
    <col min="12806" max="12806" width="16.28515625" style="1" customWidth="1"/>
    <col min="12807" max="12807" width="66.42578125" style="1" customWidth="1"/>
    <col min="12808" max="12808" width="13.140625" style="1" customWidth="1"/>
    <col min="12809" max="12809" width="15.42578125" style="1" customWidth="1"/>
    <col min="12810" max="12810" width="39" style="1" customWidth="1"/>
    <col min="12811" max="13057" width="8.85546875" style="1"/>
    <col min="13058" max="13058" width="16.7109375" style="1" customWidth="1"/>
    <col min="13059" max="13059" width="8.85546875" style="1"/>
    <col min="13060" max="13060" width="13.5703125" style="1" customWidth="1"/>
    <col min="13061" max="13061" width="14.7109375" style="1" customWidth="1"/>
    <col min="13062" max="13062" width="16.28515625" style="1" customWidth="1"/>
    <col min="13063" max="13063" width="66.42578125" style="1" customWidth="1"/>
    <col min="13064" max="13064" width="13.140625" style="1" customWidth="1"/>
    <col min="13065" max="13065" width="15.42578125" style="1" customWidth="1"/>
    <col min="13066" max="13066" width="39" style="1" customWidth="1"/>
    <col min="13067" max="13313" width="8.85546875" style="1"/>
    <col min="13314" max="13314" width="16.7109375" style="1" customWidth="1"/>
    <col min="13315" max="13315" width="8.85546875" style="1"/>
    <col min="13316" max="13316" width="13.5703125" style="1" customWidth="1"/>
    <col min="13317" max="13317" width="14.7109375" style="1" customWidth="1"/>
    <col min="13318" max="13318" width="16.28515625" style="1" customWidth="1"/>
    <col min="13319" max="13319" width="66.42578125" style="1" customWidth="1"/>
    <col min="13320" max="13320" width="13.140625" style="1" customWidth="1"/>
    <col min="13321" max="13321" width="15.42578125" style="1" customWidth="1"/>
    <col min="13322" max="13322" width="39" style="1" customWidth="1"/>
    <col min="13323" max="13569" width="8.85546875" style="1"/>
    <col min="13570" max="13570" width="16.7109375" style="1" customWidth="1"/>
    <col min="13571" max="13571" width="8.85546875" style="1"/>
    <col min="13572" max="13572" width="13.5703125" style="1" customWidth="1"/>
    <col min="13573" max="13573" width="14.7109375" style="1" customWidth="1"/>
    <col min="13574" max="13574" width="16.28515625" style="1" customWidth="1"/>
    <col min="13575" max="13575" width="66.42578125" style="1" customWidth="1"/>
    <col min="13576" max="13576" width="13.140625" style="1" customWidth="1"/>
    <col min="13577" max="13577" width="15.42578125" style="1" customWidth="1"/>
    <col min="13578" max="13578" width="39" style="1" customWidth="1"/>
    <col min="13579" max="13825" width="8.85546875" style="1"/>
    <col min="13826" max="13826" width="16.7109375" style="1" customWidth="1"/>
    <col min="13827" max="13827" width="8.85546875" style="1"/>
    <col min="13828" max="13828" width="13.5703125" style="1" customWidth="1"/>
    <col min="13829" max="13829" width="14.7109375" style="1" customWidth="1"/>
    <col min="13830" max="13830" width="16.28515625" style="1" customWidth="1"/>
    <col min="13831" max="13831" width="66.42578125" style="1" customWidth="1"/>
    <col min="13832" max="13832" width="13.140625" style="1" customWidth="1"/>
    <col min="13833" max="13833" width="15.42578125" style="1" customWidth="1"/>
    <col min="13834" max="13834" width="39" style="1" customWidth="1"/>
    <col min="13835" max="14081" width="8.85546875" style="1"/>
    <col min="14082" max="14082" width="16.7109375" style="1" customWidth="1"/>
    <col min="14083" max="14083" width="8.85546875" style="1"/>
    <col min="14084" max="14084" width="13.5703125" style="1" customWidth="1"/>
    <col min="14085" max="14085" width="14.7109375" style="1" customWidth="1"/>
    <col min="14086" max="14086" width="16.28515625" style="1" customWidth="1"/>
    <col min="14087" max="14087" width="66.42578125" style="1" customWidth="1"/>
    <col min="14088" max="14088" width="13.140625" style="1" customWidth="1"/>
    <col min="14089" max="14089" width="15.42578125" style="1" customWidth="1"/>
    <col min="14090" max="14090" width="39" style="1" customWidth="1"/>
    <col min="14091" max="14337" width="8.85546875" style="1"/>
    <col min="14338" max="14338" width="16.7109375" style="1" customWidth="1"/>
    <col min="14339" max="14339" width="8.85546875" style="1"/>
    <col min="14340" max="14340" width="13.5703125" style="1" customWidth="1"/>
    <col min="14341" max="14341" width="14.7109375" style="1" customWidth="1"/>
    <col min="14342" max="14342" width="16.28515625" style="1" customWidth="1"/>
    <col min="14343" max="14343" width="66.42578125" style="1" customWidth="1"/>
    <col min="14344" max="14344" width="13.140625" style="1" customWidth="1"/>
    <col min="14345" max="14345" width="15.42578125" style="1" customWidth="1"/>
    <col min="14346" max="14346" width="39" style="1" customWidth="1"/>
    <col min="14347" max="14593" width="8.85546875" style="1"/>
    <col min="14594" max="14594" width="16.7109375" style="1" customWidth="1"/>
    <col min="14595" max="14595" width="8.85546875" style="1"/>
    <col min="14596" max="14596" width="13.5703125" style="1" customWidth="1"/>
    <col min="14597" max="14597" width="14.7109375" style="1" customWidth="1"/>
    <col min="14598" max="14598" width="16.28515625" style="1" customWidth="1"/>
    <col min="14599" max="14599" width="66.42578125" style="1" customWidth="1"/>
    <col min="14600" max="14600" width="13.140625" style="1" customWidth="1"/>
    <col min="14601" max="14601" width="15.42578125" style="1" customWidth="1"/>
    <col min="14602" max="14602" width="39" style="1" customWidth="1"/>
    <col min="14603" max="14849" width="8.85546875" style="1"/>
    <col min="14850" max="14850" width="16.7109375" style="1" customWidth="1"/>
    <col min="14851" max="14851" width="8.85546875" style="1"/>
    <col min="14852" max="14852" width="13.5703125" style="1" customWidth="1"/>
    <col min="14853" max="14853" width="14.7109375" style="1" customWidth="1"/>
    <col min="14854" max="14854" width="16.28515625" style="1" customWidth="1"/>
    <col min="14855" max="14855" width="66.42578125" style="1" customWidth="1"/>
    <col min="14856" max="14856" width="13.140625" style="1" customWidth="1"/>
    <col min="14857" max="14857" width="15.42578125" style="1" customWidth="1"/>
    <col min="14858" max="14858" width="39" style="1" customWidth="1"/>
    <col min="14859" max="15105" width="8.85546875" style="1"/>
    <col min="15106" max="15106" width="16.7109375" style="1" customWidth="1"/>
    <col min="15107" max="15107" width="8.85546875" style="1"/>
    <col min="15108" max="15108" width="13.5703125" style="1" customWidth="1"/>
    <col min="15109" max="15109" width="14.7109375" style="1" customWidth="1"/>
    <col min="15110" max="15110" width="16.28515625" style="1" customWidth="1"/>
    <col min="15111" max="15111" width="66.42578125" style="1" customWidth="1"/>
    <col min="15112" max="15112" width="13.140625" style="1" customWidth="1"/>
    <col min="15113" max="15113" width="15.42578125" style="1" customWidth="1"/>
    <col min="15114" max="15114" width="39" style="1" customWidth="1"/>
    <col min="15115" max="15361" width="8.85546875" style="1"/>
    <col min="15362" max="15362" width="16.7109375" style="1" customWidth="1"/>
    <col min="15363" max="15363" width="8.85546875" style="1"/>
    <col min="15364" max="15364" width="13.5703125" style="1" customWidth="1"/>
    <col min="15365" max="15365" width="14.7109375" style="1" customWidth="1"/>
    <col min="15366" max="15366" width="16.28515625" style="1" customWidth="1"/>
    <col min="15367" max="15367" width="66.42578125" style="1" customWidth="1"/>
    <col min="15368" max="15368" width="13.140625" style="1" customWidth="1"/>
    <col min="15369" max="15369" width="15.42578125" style="1" customWidth="1"/>
    <col min="15370" max="15370" width="39" style="1" customWidth="1"/>
    <col min="15371" max="15617" width="8.85546875" style="1"/>
    <col min="15618" max="15618" width="16.7109375" style="1" customWidth="1"/>
    <col min="15619" max="15619" width="8.85546875" style="1"/>
    <col min="15620" max="15620" width="13.5703125" style="1" customWidth="1"/>
    <col min="15621" max="15621" width="14.7109375" style="1" customWidth="1"/>
    <col min="15622" max="15622" width="16.28515625" style="1" customWidth="1"/>
    <col min="15623" max="15623" width="66.42578125" style="1" customWidth="1"/>
    <col min="15624" max="15624" width="13.140625" style="1" customWidth="1"/>
    <col min="15625" max="15625" width="15.42578125" style="1" customWidth="1"/>
    <col min="15626" max="15626" width="39" style="1" customWidth="1"/>
    <col min="15627" max="15873" width="8.85546875" style="1"/>
    <col min="15874" max="15874" width="16.7109375" style="1" customWidth="1"/>
    <col min="15875" max="15875" width="8.85546875" style="1"/>
    <col min="15876" max="15876" width="13.5703125" style="1" customWidth="1"/>
    <col min="15877" max="15877" width="14.7109375" style="1" customWidth="1"/>
    <col min="15878" max="15878" width="16.28515625" style="1" customWidth="1"/>
    <col min="15879" max="15879" width="66.42578125" style="1" customWidth="1"/>
    <col min="15880" max="15880" width="13.140625" style="1" customWidth="1"/>
    <col min="15881" max="15881" width="15.42578125" style="1" customWidth="1"/>
    <col min="15882" max="15882" width="39" style="1" customWidth="1"/>
    <col min="15883" max="16129" width="8.85546875" style="1"/>
    <col min="16130" max="16130" width="16.7109375" style="1" customWidth="1"/>
    <col min="16131" max="16131" width="8.85546875" style="1"/>
    <col min="16132" max="16132" width="13.5703125" style="1" customWidth="1"/>
    <col min="16133" max="16133" width="14.7109375" style="1" customWidth="1"/>
    <col min="16134" max="16134" width="16.28515625" style="1" customWidth="1"/>
    <col min="16135" max="16135" width="66.42578125" style="1" customWidth="1"/>
    <col min="16136" max="16136" width="13.140625" style="1" customWidth="1"/>
    <col min="16137" max="16137" width="15.42578125" style="1" customWidth="1"/>
    <col min="16138" max="16138" width="39" style="1" customWidth="1"/>
    <col min="16139" max="16384" width="8.85546875" style="1"/>
  </cols>
  <sheetData>
    <row r="1" spans="1:23" ht="16.5" thickBot="1" x14ac:dyDescent="0.25">
      <c r="A1" s="38" t="s">
        <v>306</v>
      </c>
      <c r="B1" s="40"/>
      <c r="C1" s="50"/>
      <c r="D1" s="50"/>
      <c r="E1" s="50"/>
      <c r="F1" s="50"/>
      <c r="G1" s="50"/>
      <c r="H1" s="50"/>
      <c r="I1" s="50"/>
      <c r="J1" s="50"/>
      <c r="K1" s="50"/>
    </row>
    <row r="2" spans="1:23" s="39" customFormat="1" ht="15.75" x14ac:dyDescent="0.25">
      <c r="A2" s="89"/>
      <c r="B2" s="89"/>
      <c r="C2" s="89"/>
      <c r="D2" s="89"/>
      <c r="E2" s="89"/>
      <c r="F2" s="89"/>
      <c r="G2" s="89"/>
      <c r="H2" s="89"/>
      <c r="I2" s="89"/>
      <c r="J2" s="89"/>
      <c r="K2" s="89"/>
      <c r="L2" s="89"/>
      <c r="M2" s="89"/>
      <c r="N2" s="89"/>
      <c r="O2" s="89"/>
      <c r="P2" s="89"/>
      <c r="Q2" s="89"/>
      <c r="R2" s="89"/>
      <c r="S2" s="89"/>
      <c r="T2" s="89"/>
      <c r="U2" s="89"/>
      <c r="V2" s="93" t="s">
        <v>56</v>
      </c>
      <c r="W2" s="418" t="s">
        <v>50</v>
      </c>
    </row>
    <row r="3" spans="1:23" ht="16.5" thickBot="1" x14ac:dyDescent="0.3">
      <c r="A3" s="90"/>
      <c r="B3" s="90"/>
      <c r="C3" s="90"/>
      <c r="D3" s="90"/>
      <c r="E3" s="90"/>
      <c r="F3" s="90"/>
      <c r="G3" s="90"/>
      <c r="H3" s="90"/>
      <c r="I3" s="90"/>
      <c r="J3" s="90"/>
      <c r="K3" s="90"/>
      <c r="L3" s="90"/>
      <c r="M3" s="90"/>
      <c r="N3" s="90"/>
      <c r="O3" s="90"/>
      <c r="P3" s="90"/>
      <c r="Q3" s="90"/>
      <c r="R3" s="90"/>
      <c r="S3" s="90"/>
      <c r="T3" s="90"/>
      <c r="U3" s="90"/>
      <c r="V3" s="423" t="s">
        <v>55</v>
      </c>
      <c r="W3" s="424">
        <v>2018</v>
      </c>
    </row>
    <row r="4" spans="1:23" ht="16.5" thickBot="1" x14ac:dyDescent="0.3">
      <c r="A4" s="90"/>
      <c r="B4" s="90"/>
      <c r="C4" s="90"/>
      <c r="D4" s="90"/>
      <c r="E4" s="90"/>
      <c r="F4" s="90"/>
      <c r="G4" s="90"/>
      <c r="H4" s="90"/>
      <c r="I4" s="90"/>
      <c r="J4" s="90"/>
      <c r="K4" s="90"/>
      <c r="L4" s="90"/>
      <c r="M4" s="90"/>
      <c r="N4" s="144"/>
      <c r="O4" s="90"/>
      <c r="P4" s="699" t="s">
        <v>318</v>
      </c>
      <c r="Q4" s="700"/>
      <c r="R4" s="700"/>
      <c r="S4" s="700"/>
      <c r="T4" s="701"/>
      <c r="U4" s="425"/>
      <c r="V4" s="425"/>
      <c r="W4" s="424" t="s">
        <v>455</v>
      </c>
    </row>
    <row r="5" spans="1:23" ht="51.75" customHeight="1" thickBot="1" x14ac:dyDescent="0.25">
      <c r="A5" s="702" t="s">
        <v>0</v>
      </c>
      <c r="B5" s="704" t="s">
        <v>215</v>
      </c>
      <c r="C5" s="703" t="s">
        <v>1</v>
      </c>
      <c r="D5" s="703" t="s">
        <v>5</v>
      </c>
      <c r="E5" s="708" t="s">
        <v>216</v>
      </c>
      <c r="F5" s="710" t="s">
        <v>217</v>
      </c>
      <c r="G5" s="712" t="s">
        <v>218</v>
      </c>
      <c r="H5" s="710" t="s">
        <v>219</v>
      </c>
      <c r="I5" s="710" t="s">
        <v>220</v>
      </c>
      <c r="J5" s="710" t="s">
        <v>4</v>
      </c>
      <c r="K5" s="713" t="s">
        <v>333</v>
      </c>
      <c r="L5" s="713" t="s">
        <v>334</v>
      </c>
      <c r="M5" s="713" t="s">
        <v>319</v>
      </c>
      <c r="N5" s="713" t="s">
        <v>320</v>
      </c>
      <c r="O5" s="695" t="s">
        <v>335</v>
      </c>
      <c r="P5" s="695" t="s">
        <v>321</v>
      </c>
      <c r="Q5" s="695" t="s">
        <v>322</v>
      </c>
      <c r="R5" s="695" t="s">
        <v>323</v>
      </c>
      <c r="S5" s="695" t="s">
        <v>324</v>
      </c>
      <c r="T5" s="695" t="s">
        <v>325</v>
      </c>
      <c r="U5" s="697" t="s">
        <v>222</v>
      </c>
      <c r="V5" s="697" t="s">
        <v>223</v>
      </c>
      <c r="W5" s="697" t="s">
        <v>201</v>
      </c>
    </row>
    <row r="6" spans="1:23" ht="51.95" customHeight="1" thickBot="1" x14ac:dyDescent="0.25">
      <c r="A6" s="703"/>
      <c r="B6" s="705"/>
      <c r="C6" s="706"/>
      <c r="D6" s="707"/>
      <c r="E6" s="709"/>
      <c r="F6" s="711"/>
      <c r="G6" s="704"/>
      <c r="H6" s="711"/>
      <c r="I6" s="711"/>
      <c r="J6" s="711"/>
      <c r="K6" s="714"/>
      <c r="L6" s="714"/>
      <c r="M6" s="714"/>
      <c r="N6" s="714"/>
      <c r="O6" s="696"/>
      <c r="P6" s="696"/>
      <c r="Q6" s="696"/>
      <c r="R6" s="696"/>
      <c r="S6" s="696"/>
      <c r="T6" s="696"/>
      <c r="U6" s="698"/>
      <c r="V6" s="698"/>
      <c r="W6" s="698"/>
    </row>
    <row r="7" spans="1:23" customFormat="1" ht="89.25" x14ac:dyDescent="0.2">
      <c r="A7" s="426" t="s">
        <v>428</v>
      </c>
      <c r="B7" s="426" t="s">
        <v>50</v>
      </c>
      <c r="C7" s="426" t="s">
        <v>429</v>
      </c>
      <c r="D7" s="426" t="s">
        <v>76</v>
      </c>
      <c r="E7" s="426" t="s">
        <v>430</v>
      </c>
      <c r="F7" s="426" t="s">
        <v>431</v>
      </c>
      <c r="G7" s="427" t="s">
        <v>432</v>
      </c>
      <c r="H7" s="426" t="s">
        <v>433</v>
      </c>
      <c r="I7" s="426" t="s">
        <v>434</v>
      </c>
      <c r="J7" s="427" t="s">
        <v>435</v>
      </c>
      <c r="K7" s="428">
        <v>18011</v>
      </c>
      <c r="L7" s="428">
        <v>141</v>
      </c>
      <c r="M7" s="428">
        <v>141</v>
      </c>
      <c r="N7" s="429" t="s">
        <v>6</v>
      </c>
      <c r="O7" s="429" t="s">
        <v>79</v>
      </c>
      <c r="P7" s="429" t="s">
        <v>6</v>
      </c>
      <c r="Q7" s="429" t="s">
        <v>79</v>
      </c>
      <c r="R7" s="429" t="s">
        <v>79</v>
      </c>
      <c r="S7" s="429" t="s">
        <v>79</v>
      </c>
      <c r="T7" s="429" t="s">
        <v>79</v>
      </c>
      <c r="U7" s="429" t="s">
        <v>6</v>
      </c>
      <c r="V7" s="429" t="s">
        <v>6</v>
      </c>
      <c r="W7" s="429" t="s">
        <v>1599</v>
      </c>
    </row>
    <row r="8" spans="1:23" customFormat="1" ht="89.25" x14ac:dyDescent="0.2">
      <c r="A8" s="426" t="s">
        <v>428</v>
      </c>
      <c r="B8" s="426" t="s">
        <v>50</v>
      </c>
      <c r="C8" s="426" t="s">
        <v>429</v>
      </c>
      <c r="D8" s="426" t="s">
        <v>76</v>
      </c>
      <c r="E8" s="426" t="s">
        <v>430</v>
      </c>
      <c r="F8" s="426" t="s">
        <v>436</v>
      </c>
      <c r="G8" s="427" t="s">
        <v>432</v>
      </c>
      <c r="H8" s="426" t="s">
        <v>437</v>
      </c>
      <c r="I8" s="426" t="s">
        <v>434</v>
      </c>
      <c r="J8" s="427" t="s">
        <v>435</v>
      </c>
      <c r="K8" s="428">
        <v>18011</v>
      </c>
      <c r="L8" s="428">
        <v>141</v>
      </c>
      <c r="M8" s="428">
        <v>141</v>
      </c>
      <c r="N8" s="429" t="s">
        <v>6</v>
      </c>
      <c r="O8" s="429" t="s">
        <v>79</v>
      </c>
      <c r="P8" s="429" t="s">
        <v>6</v>
      </c>
      <c r="Q8" s="429" t="s">
        <v>79</v>
      </c>
      <c r="R8" s="429" t="s">
        <v>79</v>
      </c>
      <c r="S8" s="429" t="s">
        <v>79</v>
      </c>
      <c r="T8" s="429" t="s">
        <v>79</v>
      </c>
      <c r="U8" s="429" t="s">
        <v>6</v>
      </c>
      <c r="V8" s="429" t="s">
        <v>6</v>
      </c>
      <c r="W8" s="429" t="s">
        <v>1599</v>
      </c>
    </row>
    <row r="9" spans="1:23" customFormat="1" ht="89.25" x14ac:dyDescent="0.2">
      <c r="A9" s="426" t="s">
        <v>428</v>
      </c>
      <c r="B9" s="426" t="s">
        <v>50</v>
      </c>
      <c r="C9" s="426" t="s">
        <v>429</v>
      </c>
      <c r="D9" s="426" t="s">
        <v>76</v>
      </c>
      <c r="E9" s="426" t="s">
        <v>430</v>
      </c>
      <c r="F9" s="426" t="s">
        <v>436</v>
      </c>
      <c r="G9" s="427" t="s">
        <v>432</v>
      </c>
      <c r="H9" s="426" t="s">
        <v>438</v>
      </c>
      <c r="I9" s="426" t="s">
        <v>434</v>
      </c>
      <c r="J9" s="427" t="s">
        <v>435</v>
      </c>
      <c r="K9" s="428">
        <v>18011</v>
      </c>
      <c r="L9" s="428">
        <v>141</v>
      </c>
      <c r="M9" s="428">
        <v>141</v>
      </c>
      <c r="N9" s="429" t="s">
        <v>6</v>
      </c>
      <c r="O9" s="429" t="s">
        <v>79</v>
      </c>
      <c r="P9" s="429" t="s">
        <v>79</v>
      </c>
      <c r="Q9" s="429" t="s">
        <v>6</v>
      </c>
      <c r="R9" s="429" t="s">
        <v>6</v>
      </c>
      <c r="S9" s="429" t="s">
        <v>79</v>
      </c>
      <c r="T9" s="429" t="s">
        <v>79</v>
      </c>
      <c r="U9" s="429" t="s">
        <v>6</v>
      </c>
      <c r="V9" s="429" t="s">
        <v>6</v>
      </c>
      <c r="W9" s="429" t="s">
        <v>1599</v>
      </c>
    </row>
    <row r="10" spans="1:23" customFormat="1" ht="89.25" x14ac:dyDescent="0.2">
      <c r="A10" s="426" t="s">
        <v>428</v>
      </c>
      <c r="B10" s="426" t="s">
        <v>50</v>
      </c>
      <c r="C10" s="426" t="s">
        <v>429</v>
      </c>
      <c r="D10" s="426" t="s">
        <v>76</v>
      </c>
      <c r="E10" s="426" t="s">
        <v>430</v>
      </c>
      <c r="F10" s="426" t="s">
        <v>436</v>
      </c>
      <c r="G10" s="427" t="s">
        <v>432</v>
      </c>
      <c r="H10" s="426" t="s">
        <v>439</v>
      </c>
      <c r="I10" s="426" t="s">
        <v>434</v>
      </c>
      <c r="J10" s="427" t="s">
        <v>435</v>
      </c>
      <c r="K10" s="428">
        <v>18011</v>
      </c>
      <c r="L10" s="428">
        <v>141</v>
      </c>
      <c r="M10" s="428">
        <v>141</v>
      </c>
      <c r="N10" s="429" t="s">
        <v>6</v>
      </c>
      <c r="O10" s="429" t="s">
        <v>79</v>
      </c>
      <c r="P10" s="429" t="s">
        <v>79</v>
      </c>
      <c r="Q10" s="429" t="s">
        <v>6</v>
      </c>
      <c r="R10" s="429" t="s">
        <v>6</v>
      </c>
      <c r="S10" s="429" t="s">
        <v>79</v>
      </c>
      <c r="T10" s="429" t="s">
        <v>79</v>
      </c>
      <c r="U10" s="429" t="s">
        <v>6</v>
      </c>
      <c r="V10" s="429" t="s">
        <v>6</v>
      </c>
      <c r="W10" s="429" t="s">
        <v>1599</v>
      </c>
    </row>
    <row r="11" spans="1:23" customFormat="1" ht="89.25" x14ac:dyDescent="0.2">
      <c r="A11" s="426" t="s">
        <v>428</v>
      </c>
      <c r="B11" s="426" t="s">
        <v>50</v>
      </c>
      <c r="C11" s="426" t="s">
        <v>429</v>
      </c>
      <c r="D11" s="426" t="s">
        <v>76</v>
      </c>
      <c r="E11" s="426" t="s">
        <v>430</v>
      </c>
      <c r="F11" s="426" t="s">
        <v>436</v>
      </c>
      <c r="G11" s="427" t="s">
        <v>440</v>
      </c>
      <c r="H11" s="426" t="s">
        <v>441</v>
      </c>
      <c r="I11" s="426" t="s">
        <v>434</v>
      </c>
      <c r="J11" s="427" t="s">
        <v>435</v>
      </c>
      <c r="K11" s="428">
        <v>17603</v>
      </c>
      <c r="L11" s="428">
        <v>137</v>
      </c>
      <c r="M11" s="428">
        <v>137</v>
      </c>
      <c r="N11" s="429" t="s">
        <v>6</v>
      </c>
      <c r="O11" s="429" t="s">
        <v>79</v>
      </c>
      <c r="P11" s="429" t="s">
        <v>79</v>
      </c>
      <c r="Q11" s="429" t="s">
        <v>79</v>
      </c>
      <c r="R11" s="429" t="s">
        <v>79</v>
      </c>
      <c r="S11" s="429" t="s">
        <v>79</v>
      </c>
      <c r="T11" s="429" t="s">
        <v>79</v>
      </c>
      <c r="U11" s="429" t="s">
        <v>6</v>
      </c>
      <c r="V11" s="429" t="s">
        <v>6</v>
      </c>
      <c r="W11" s="429" t="s">
        <v>1598</v>
      </c>
    </row>
    <row r="12" spans="1:23" customFormat="1" ht="89.25" x14ac:dyDescent="0.2">
      <c r="A12" s="426" t="s">
        <v>428</v>
      </c>
      <c r="B12" s="426" t="s">
        <v>50</v>
      </c>
      <c r="C12" s="426" t="s">
        <v>429</v>
      </c>
      <c r="D12" s="426" t="s">
        <v>76</v>
      </c>
      <c r="E12" s="426" t="s">
        <v>430</v>
      </c>
      <c r="F12" s="426" t="s">
        <v>436</v>
      </c>
      <c r="G12" s="427" t="s">
        <v>432</v>
      </c>
      <c r="H12" s="426" t="s">
        <v>442</v>
      </c>
      <c r="I12" s="426" t="s">
        <v>434</v>
      </c>
      <c r="J12" s="427" t="s">
        <v>435</v>
      </c>
      <c r="K12" s="428">
        <v>18011</v>
      </c>
      <c r="L12" s="428">
        <v>141</v>
      </c>
      <c r="M12" s="428">
        <v>141</v>
      </c>
      <c r="N12" s="429" t="s">
        <v>6</v>
      </c>
      <c r="O12" s="429" t="s">
        <v>79</v>
      </c>
      <c r="P12" s="429" t="s">
        <v>79</v>
      </c>
      <c r="Q12" s="429" t="s">
        <v>79</v>
      </c>
      <c r="R12" s="429" t="s">
        <v>79</v>
      </c>
      <c r="S12" s="429" t="s">
        <v>79</v>
      </c>
      <c r="T12" s="429" t="s">
        <v>79</v>
      </c>
      <c r="U12" s="429" t="s">
        <v>6</v>
      </c>
      <c r="V12" s="429" t="s">
        <v>6</v>
      </c>
      <c r="W12" s="429" t="s">
        <v>1598</v>
      </c>
    </row>
    <row r="13" spans="1:23" customFormat="1" ht="63.75" x14ac:dyDescent="0.2">
      <c r="A13" s="426" t="s">
        <v>428</v>
      </c>
      <c r="B13" s="426" t="s">
        <v>50</v>
      </c>
      <c r="C13" s="426" t="s">
        <v>429</v>
      </c>
      <c r="D13" s="426" t="s">
        <v>76</v>
      </c>
      <c r="E13" s="426" t="s">
        <v>430</v>
      </c>
      <c r="F13" s="426" t="s">
        <v>443</v>
      </c>
      <c r="G13" s="426" t="s">
        <v>444</v>
      </c>
      <c r="H13" s="426" t="s">
        <v>445</v>
      </c>
      <c r="I13" s="426" t="s">
        <v>446</v>
      </c>
      <c r="J13" s="426" t="s">
        <v>447</v>
      </c>
      <c r="K13" s="428">
        <v>1170</v>
      </c>
      <c r="L13" s="428">
        <v>20</v>
      </c>
      <c r="M13" s="428">
        <v>20</v>
      </c>
      <c r="N13" s="429" t="s">
        <v>6</v>
      </c>
      <c r="O13" s="429" t="s">
        <v>79</v>
      </c>
      <c r="P13" s="429" t="s">
        <v>79</v>
      </c>
      <c r="Q13" s="429" t="s">
        <v>6</v>
      </c>
      <c r="R13" s="429" t="s">
        <v>79</v>
      </c>
      <c r="S13" s="429" t="s">
        <v>79</v>
      </c>
      <c r="T13" s="429" t="s">
        <v>79</v>
      </c>
      <c r="U13" s="429" t="s">
        <v>6</v>
      </c>
      <c r="V13" s="429" t="s">
        <v>6</v>
      </c>
      <c r="W13" s="429" t="s">
        <v>1599</v>
      </c>
    </row>
    <row r="14" spans="1:23" customFormat="1" ht="63.75" x14ac:dyDescent="0.2">
      <c r="A14" s="426" t="s">
        <v>428</v>
      </c>
      <c r="B14" s="426" t="s">
        <v>50</v>
      </c>
      <c r="C14" s="426" t="s">
        <v>429</v>
      </c>
      <c r="D14" s="426" t="s">
        <v>76</v>
      </c>
      <c r="E14" s="426" t="s">
        <v>430</v>
      </c>
      <c r="F14" s="426" t="s">
        <v>443</v>
      </c>
      <c r="G14" s="426" t="s">
        <v>448</v>
      </c>
      <c r="H14" s="426" t="s">
        <v>438</v>
      </c>
      <c r="I14" s="426" t="s">
        <v>434</v>
      </c>
      <c r="J14" s="426" t="s">
        <v>449</v>
      </c>
      <c r="K14" s="428">
        <v>832</v>
      </c>
      <c r="L14" s="428">
        <v>2</v>
      </c>
      <c r="M14" s="428">
        <v>2</v>
      </c>
      <c r="N14" s="429" t="s">
        <v>6</v>
      </c>
      <c r="O14" s="429" t="s">
        <v>79</v>
      </c>
      <c r="P14" s="429" t="s">
        <v>79</v>
      </c>
      <c r="Q14" s="429" t="s">
        <v>6</v>
      </c>
      <c r="R14" s="429" t="s">
        <v>79</v>
      </c>
      <c r="S14" s="429" t="s">
        <v>79</v>
      </c>
      <c r="T14" s="429" t="s">
        <v>79</v>
      </c>
      <c r="U14" s="429" t="s">
        <v>6</v>
      </c>
      <c r="V14" s="429" t="s">
        <v>6</v>
      </c>
      <c r="W14" s="429" t="s">
        <v>1599</v>
      </c>
    </row>
    <row r="15" spans="1:23" customFormat="1" ht="63.75" x14ac:dyDescent="0.2">
      <c r="A15" s="426" t="s">
        <v>428</v>
      </c>
      <c r="B15" s="426" t="s">
        <v>50</v>
      </c>
      <c r="C15" s="426" t="s">
        <v>429</v>
      </c>
      <c r="D15" s="426" t="s">
        <v>76</v>
      </c>
      <c r="E15" s="426" t="s">
        <v>430</v>
      </c>
      <c r="F15" s="426" t="s">
        <v>443</v>
      </c>
      <c r="G15" s="426" t="s">
        <v>448</v>
      </c>
      <c r="H15" s="426" t="s">
        <v>450</v>
      </c>
      <c r="I15" s="426" t="s">
        <v>434</v>
      </c>
      <c r="J15" s="426" t="s">
        <v>449</v>
      </c>
      <c r="K15" s="428">
        <v>832</v>
      </c>
      <c r="L15" s="428">
        <v>2</v>
      </c>
      <c r="M15" s="428">
        <v>2</v>
      </c>
      <c r="N15" s="429" t="s">
        <v>6</v>
      </c>
      <c r="O15" s="429" t="s">
        <v>79</v>
      </c>
      <c r="P15" s="429" t="s">
        <v>79</v>
      </c>
      <c r="Q15" s="429" t="s">
        <v>79</v>
      </c>
      <c r="R15" s="429" t="s">
        <v>6</v>
      </c>
      <c r="S15" s="429" t="s">
        <v>79</v>
      </c>
      <c r="T15" s="429" t="s">
        <v>79</v>
      </c>
      <c r="U15" s="429" t="s">
        <v>6</v>
      </c>
      <c r="V15" s="429" t="s">
        <v>6</v>
      </c>
      <c r="W15" s="429" t="s">
        <v>1599</v>
      </c>
    </row>
    <row r="16" spans="1:23" customFormat="1" ht="89.25" x14ac:dyDescent="0.2">
      <c r="A16" s="426" t="s">
        <v>428</v>
      </c>
      <c r="B16" s="426" t="s">
        <v>50</v>
      </c>
      <c r="C16" s="426" t="s">
        <v>451</v>
      </c>
      <c r="D16" s="426" t="s">
        <v>76</v>
      </c>
      <c r="E16" s="426" t="s">
        <v>430</v>
      </c>
      <c r="F16" s="426" t="s">
        <v>452</v>
      </c>
      <c r="G16" s="426" t="s">
        <v>453</v>
      </c>
      <c r="H16" s="426" t="s">
        <v>433</v>
      </c>
      <c r="I16" s="426" t="s">
        <v>434</v>
      </c>
      <c r="J16" s="427" t="s">
        <v>435</v>
      </c>
      <c r="K16" s="428">
        <v>38</v>
      </c>
      <c r="L16" s="428">
        <v>2</v>
      </c>
      <c r="M16" s="428">
        <v>2</v>
      </c>
      <c r="N16" s="429" t="s">
        <v>6</v>
      </c>
      <c r="O16" s="429" t="s">
        <v>79</v>
      </c>
      <c r="P16" s="429" t="s">
        <v>79</v>
      </c>
      <c r="Q16" s="429" t="s">
        <v>79</v>
      </c>
      <c r="R16" s="429" t="s">
        <v>6</v>
      </c>
      <c r="S16" s="429" t="s">
        <v>79</v>
      </c>
      <c r="T16" s="429" t="s">
        <v>79</v>
      </c>
      <c r="U16" s="429" t="s">
        <v>6</v>
      </c>
      <c r="V16" s="429" t="s">
        <v>6</v>
      </c>
      <c r="W16" s="429" t="s">
        <v>1599</v>
      </c>
    </row>
    <row r="17" spans="1:23" customFormat="1" ht="89.25" x14ac:dyDescent="0.2">
      <c r="A17" s="426" t="s">
        <v>428</v>
      </c>
      <c r="B17" s="426" t="s">
        <v>50</v>
      </c>
      <c r="C17" s="426" t="s">
        <v>451</v>
      </c>
      <c r="D17" s="426" t="s">
        <v>76</v>
      </c>
      <c r="E17" s="426" t="s">
        <v>430</v>
      </c>
      <c r="F17" s="426" t="s">
        <v>452</v>
      </c>
      <c r="G17" s="426" t="s">
        <v>453</v>
      </c>
      <c r="H17" s="426" t="s">
        <v>437</v>
      </c>
      <c r="I17" s="426" t="s">
        <v>434</v>
      </c>
      <c r="J17" s="427" t="s">
        <v>435</v>
      </c>
      <c r="K17" s="428">
        <v>38</v>
      </c>
      <c r="L17" s="428">
        <v>2</v>
      </c>
      <c r="M17" s="428">
        <v>2</v>
      </c>
      <c r="N17" s="429" t="s">
        <v>6</v>
      </c>
      <c r="O17" s="429" t="s">
        <v>79</v>
      </c>
      <c r="P17" s="429" t="s">
        <v>79</v>
      </c>
      <c r="Q17" s="429" t="s">
        <v>79</v>
      </c>
      <c r="R17" s="429" t="s">
        <v>79</v>
      </c>
      <c r="S17" s="429" t="s">
        <v>79</v>
      </c>
      <c r="T17" s="429" t="s">
        <v>79</v>
      </c>
      <c r="U17" s="429" t="s">
        <v>6</v>
      </c>
      <c r="V17" s="429" t="s">
        <v>6</v>
      </c>
      <c r="W17" s="429" t="s">
        <v>1599</v>
      </c>
    </row>
    <row r="18" spans="1:23" customFormat="1" ht="89.25" x14ac:dyDescent="0.2">
      <c r="A18" s="426" t="s">
        <v>428</v>
      </c>
      <c r="B18" s="426" t="s">
        <v>50</v>
      </c>
      <c r="C18" s="426" t="s">
        <v>451</v>
      </c>
      <c r="D18" s="426" t="s">
        <v>76</v>
      </c>
      <c r="E18" s="426" t="s">
        <v>430</v>
      </c>
      <c r="F18" s="426" t="s">
        <v>452</v>
      </c>
      <c r="G18" s="426" t="s">
        <v>453</v>
      </c>
      <c r="H18" s="426" t="s">
        <v>438</v>
      </c>
      <c r="I18" s="426" t="s">
        <v>434</v>
      </c>
      <c r="J18" s="427" t="s">
        <v>454</v>
      </c>
      <c r="K18" s="428">
        <v>38</v>
      </c>
      <c r="L18" s="428">
        <v>2</v>
      </c>
      <c r="M18" s="428">
        <v>2</v>
      </c>
      <c r="N18" s="429" t="s">
        <v>6</v>
      </c>
      <c r="O18" s="429" t="s">
        <v>79</v>
      </c>
      <c r="P18" s="429" t="s">
        <v>79</v>
      </c>
      <c r="Q18" s="429" t="s">
        <v>79</v>
      </c>
      <c r="R18" s="429" t="s">
        <v>79</v>
      </c>
      <c r="S18" s="429" t="s">
        <v>79</v>
      </c>
      <c r="T18" s="429" t="s">
        <v>79</v>
      </c>
      <c r="U18" s="429" t="s">
        <v>6</v>
      </c>
      <c r="V18" s="429" t="s">
        <v>6</v>
      </c>
      <c r="W18" s="429" t="s">
        <v>1599</v>
      </c>
    </row>
    <row r="19" spans="1:23" customFormat="1" ht="89.25" x14ac:dyDescent="0.2">
      <c r="A19" s="426" t="s">
        <v>428</v>
      </c>
      <c r="B19" s="426" t="s">
        <v>50</v>
      </c>
      <c r="C19" s="426" t="s">
        <v>451</v>
      </c>
      <c r="D19" s="426" t="s">
        <v>76</v>
      </c>
      <c r="E19" s="426" t="s">
        <v>430</v>
      </c>
      <c r="F19" s="426" t="s">
        <v>452</v>
      </c>
      <c r="G19" s="426" t="s">
        <v>453</v>
      </c>
      <c r="H19" s="426" t="s">
        <v>439</v>
      </c>
      <c r="I19" s="426" t="s">
        <v>434</v>
      </c>
      <c r="J19" s="427" t="s">
        <v>435</v>
      </c>
      <c r="K19" s="428">
        <v>38</v>
      </c>
      <c r="L19" s="428">
        <v>2</v>
      </c>
      <c r="M19" s="428">
        <v>2</v>
      </c>
      <c r="N19" s="429" t="s">
        <v>6</v>
      </c>
      <c r="O19" s="429" t="s">
        <v>79</v>
      </c>
      <c r="P19" s="429" t="s">
        <v>79</v>
      </c>
      <c r="Q19" s="429" t="s">
        <v>79</v>
      </c>
      <c r="R19" s="429" t="s">
        <v>79</v>
      </c>
      <c r="S19" s="429" t="s">
        <v>79</v>
      </c>
      <c r="T19" s="429" t="s">
        <v>79</v>
      </c>
      <c r="U19" s="429" t="s">
        <v>6</v>
      </c>
      <c r="V19" s="429" t="s">
        <v>6</v>
      </c>
      <c r="W19" s="429" t="s">
        <v>1599</v>
      </c>
    </row>
    <row r="20" spans="1:23" customFormat="1" ht="89.25" x14ac:dyDescent="0.2">
      <c r="A20" s="426" t="s">
        <v>428</v>
      </c>
      <c r="B20" s="426" t="s">
        <v>50</v>
      </c>
      <c r="C20" s="426" t="s">
        <v>451</v>
      </c>
      <c r="D20" s="426" t="s">
        <v>76</v>
      </c>
      <c r="E20" s="426" t="s">
        <v>430</v>
      </c>
      <c r="F20" s="426" t="s">
        <v>452</v>
      </c>
      <c r="G20" s="426" t="s">
        <v>453</v>
      </c>
      <c r="H20" s="426" t="s">
        <v>441</v>
      </c>
      <c r="I20" s="426" t="s">
        <v>434</v>
      </c>
      <c r="J20" s="427" t="s">
        <v>435</v>
      </c>
      <c r="K20" s="428">
        <v>38</v>
      </c>
      <c r="L20" s="428">
        <v>2</v>
      </c>
      <c r="M20" s="428">
        <v>2</v>
      </c>
      <c r="N20" s="429" t="s">
        <v>6</v>
      </c>
      <c r="O20" s="429" t="s">
        <v>79</v>
      </c>
      <c r="P20" s="429" t="s">
        <v>79</v>
      </c>
      <c r="Q20" s="429" t="s">
        <v>79</v>
      </c>
      <c r="R20" s="429" t="s">
        <v>79</v>
      </c>
      <c r="S20" s="429" t="s">
        <v>79</v>
      </c>
      <c r="T20" s="429" t="s">
        <v>79</v>
      </c>
      <c r="U20" s="429" t="s">
        <v>6</v>
      </c>
      <c r="V20" s="429" t="s">
        <v>6</v>
      </c>
      <c r="W20" s="429" t="s">
        <v>1599</v>
      </c>
    </row>
  </sheetData>
  <mergeCells count="24">
    <mergeCell ref="P4:T4"/>
    <mergeCell ref="A5:A6"/>
    <mergeCell ref="B5:B6"/>
    <mergeCell ref="C5:C6"/>
    <mergeCell ref="D5:D6"/>
    <mergeCell ref="E5:E6"/>
    <mergeCell ref="F5:F6"/>
    <mergeCell ref="G5:G6"/>
    <mergeCell ref="H5:H6"/>
    <mergeCell ref="I5:I6"/>
    <mergeCell ref="J5:J6"/>
    <mergeCell ref="K5:K6"/>
    <mergeCell ref="L5:L6"/>
    <mergeCell ref="M5:M6"/>
    <mergeCell ref="N5:N6"/>
    <mergeCell ref="O5:O6"/>
    <mergeCell ref="P5:P6"/>
    <mergeCell ref="Q5:Q6"/>
    <mergeCell ref="W5:W6"/>
    <mergeCell ref="R5:R6"/>
    <mergeCell ref="S5:S6"/>
    <mergeCell ref="T5:T6"/>
    <mergeCell ref="U5:U6"/>
    <mergeCell ref="V5:V6"/>
  </mergeCells>
  <pageMargins left="0.11811023622047245" right="0.11811023622047245" top="0.35433070866141736" bottom="0.55118110236220474" header="0.31496062992125984" footer="0.31496062992125984"/>
  <pageSetup paperSize="9" scale="35" fitToHeight="0" orientation="landscape" r:id="rId1"/>
  <headerFooter alignWithMargins="0">
    <oddFooter>&amp;R&amp;P</odd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pageSetUpPr fitToPage="1"/>
  </sheetPr>
  <dimension ref="A1:AN35"/>
  <sheetViews>
    <sheetView zoomScale="55" zoomScaleNormal="55" workbookViewId="0"/>
  </sheetViews>
  <sheetFormatPr defaultColWidth="8.85546875" defaultRowHeight="12.75" x14ac:dyDescent="0.2"/>
  <cols>
    <col min="1" max="1" width="5.5703125" style="1" customWidth="1"/>
    <col min="2" max="2" width="16.28515625" style="1" customWidth="1"/>
    <col min="3" max="3" width="9.5703125" style="1" customWidth="1"/>
    <col min="4" max="5" width="16.85546875" style="5" customWidth="1"/>
    <col min="6" max="6" width="13" style="1" customWidth="1"/>
    <col min="7" max="7" width="9.42578125" style="1" customWidth="1"/>
    <col min="8" max="8" width="15.7109375" style="1" customWidth="1"/>
    <col min="9" max="9" width="9.7109375" style="1" customWidth="1"/>
    <col min="10" max="10" width="11.28515625" style="1" customWidth="1"/>
    <col min="11" max="11" width="11.85546875" style="1" customWidth="1"/>
    <col min="12" max="12" width="8.85546875" style="1"/>
    <col min="13" max="13" width="11.140625" style="1" customWidth="1"/>
    <col min="14" max="14" width="10.42578125" style="1" customWidth="1"/>
    <col min="15" max="15" width="6.28515625" style="1" customWidth="1"/>
    <col min="16" max="16" width="13.85546875" style="1" customWidth="1"/>
    <col min="17" max="17" width="12.42578125" style="1" customWidth="1"/>
    <col min="18" max="18" width="27.85546875" style="1" customWidth="1"/>
    <col min="19" max="20" width="14.5703125" style="1" customWidth="1"/>
    <col min="21" max="22" width="10" style="1" customWidth="1"/>
    <col min="23" max="23" width="10.28515625" style="1" customWidth="1"/>
    <col min="24" max="24" width="14.5703125" style="1" customWidth="1"/>
    <col min="25" max="25" width="15" style="1" customWidth="1"/>
    <col min="26" max="26" width="15.28515625" style="1" customWidth="1"/>
    <col min="27" max="27" width="16.85546875" style="1" customWidth="1"/>
    <col min="28" max="28" width="45.5703125" style="1" customWidth="1"/>
    <col min="29" max="29" width="8.85546875" style="1"/>
    <col min="30" max="30" width="13" style="1" customWidth="1"/>
    <col min="31" max="16384" width="8.85546875" style="1"/>
  </cols>
  <sheetData>
    <row r="1" spans="1:40" ht="13.5" thickBot="1" x14ac:dyDescent="0.25">
      <c r="A1" s="8" t="s">
        <v>224</v>
      </c>
      <c r="B1" s="2"/>
      <c r="C1" s="2"/>
      <c r="F1" s="2"/>
      <c r="G1" s="2"/>
      <c r="H1" s="2"/>
      <c r="I1" s="2"/>
      <c r="J1" s="2"/>
      <c r="AD1" s="2"/>
      <c r="AE1" s="10"/>
      <c r="AF1" s="10"/>
      <c r="AG1" s="11"/>
      <c r="AH1" s="10"/>
      <c r="AI1" s="10"/>
      <c r="AJ1" s="10"/>
      <c r="AK1" s="2"/>
      <c r="AL1" s="2"/>
      <c r="AM1" s="28"/>
      <c r="AN1" s="28"/>
    </row>
    <row r="2" spans="1:40" x14ac:dyDescent="0.2">
      <c r="A2" s="46"/>
      <c r="B2" s="84"/>
      <c r="C2" s="84"/>
      <c r="D2" s="480"/>
      <c r="E2" s="302"/>
      <c r="F2" s="84"/>
      <c r="G2" s="84"/>
      <c r="H2" s="84"/>
      <c r="I2" s="743"/>
      <c r="J2" s="743"/>
      <c r="K2" s="743"/>
      <c r="L2" s="743"/>
      <c r="M2" s="743"/>
      <c r="N2" s="743"/>
      <c r="O2" s="743"/>
      <c r="P2" s="743"/>
      <c r="Q2" s="743"/>
      <c r="R2" s="743"/>
      <c r="S2" s="743"/>
      <c r="T2" s="743"/>
      <c r="U2" s="743"/>
      <c r="V2" s="743"/>
      <c r="W2" s="743"/>
      <c r="X2" s="743"/>
      <c r="Y2" s="145"/>
      <c r="Z2" s="145"/>
      <c r="AA2" s="163" t="s">
        <v>56</v>
      </c>
      <c r="AB2" s="338" t="s">
        <v>50</v>
      </c>
      <c r="AE2" s="10"/>
      <c r="AF2" s="10"/>
      <c r="AG2" s="11"/>
      <c r="AH2" s="10"/>
      <c r="AI2" s="10"/>
      <c r="AJ2" s="10"/>
      <c r="AK2" s="3"/>
      <c r="AL2" s="2"/>
      <c r="AM2" s="28"/>
      <c r="AN2" s="8"/>
    </row>
    <row r="3" spans="1:40" ht="13.5" thickBot="1" x14ac:dyDescent="0.25">
      <c r="A3" s="87"/>
      <c r="B3" s="88"/>
      <c r="C3" s="88"/>
      <c r="D3" s="481"/>
      <c r="E3" s="481"/>
      <c r="F3" s="88"/>
      <c r="G3" s="88"/>
      <c r="H3" s="88"/>
      <c r="I3" s="88"/>
      <c r="J3" s="88"/>
      <c r="K3" s="88"/>
      <c r="L3" s="88"/>
      <c r="M3" s="88"/>
      <c r="N3" s="88"/>
      <c r="O3" s="88"/>
      <c r="P3" s="88"/>
      <c r="Q3" s="88"/>
      <c r="R3" s="88"/>
      <c r="S3" s="744"/>
      <c r="T3" s="744"/>
      <c r="U3" s="744"/>
      <c r="V3" s="145"/>
      <c r="W3" s="84"/>
      <c r="X3" s="84"/>
      <c r="Y3" s="84"/>
      <c r="Z3" s="84"/>
      <c r="AA3" s="164" t="s">
        <v>55</v>
      </c>
      <c r="AB3" s="339">
        <v>2018</v>
      </c>
      <c r="AE3" s="128"/>
      <c r="AF3" s="128"/>
      <c r="AG3" s="128"/>
      <c r="AH3" s="128"/>
      <c r="AI3" s="128"/>
      <c r="AJ3" s="128"/>
      <c r="AK3" s="128"/>
      <c r="AL3" s="128"/>
      <c r="AM3" s="128"/>
      <c r="AN3" s="128"/>
    </row>
    <row r="4" spans="1:40" ht="121.5" customHeight="1" thickBot="1" x14ac:dyDescent="0.25">
      <c r="A4" s="129" t="s">
        <v>0</v>
      </c>
      <c r="B4" s="130" t="s">
        <v>225</v>
      </c>
      <c r="C4" s="130" t="s">
        <v>226</v>
      </c>
      <c r="D4" s="130" t="s">
        <v>226</v>
      </c>
      <c r="E4" s="130" t="s">
        <v>227</v>
      </c>
      <c r="F4" s="130" t="s">
        <v>67</v>
      </c>
      <c r="G4" s="131" t="s">
        <v>228</v>
      </c>
      <c r="H4" s="102" t="s">
        <v>307</v>
      </c>
      <c r="I4" s="132" t="s">
        <v>313</v>
      </c>
      <c r="J4" s="130" t="s">
        <v>308</v>
      </c>
      <c r="K4" s="133" t="s">
        <v>9</v>
      </c>
      <c r="L4" s="134" t="s">
        <v>229</v>
      </c>
      <c r="M4" s="130" t="s">
        <v>314</v>
      </c>
      <c r="N4" s="130" t="s">
        <v>230</v>
      </c>
      <c r="O4" s="130" t="s">
        <v>231</v>
      </c>
      <c r="P4" s="130" t="s">
        <v>232</v>
      </c>
      <c r="Q4" s="130" t="s">
        <v>315</v>
      </c>
      <c r="R4" s="135" t="s">
        <v>4</v>
      </c>
      <c r="S4" s="153" t="s">
        <v>233</v>
      </c>
      <c r="T4" s="153" t="s">
        <v>336</v>
      </c>
      <c r="U4" s="153" t="s">
        <v>234</v>
      </c>
      <c r="V4" s="154" t="s">
        <v>235</v>
      </c>
      <c r="W4" s="153" t="s">
        <v>337</v>
      </c>
      <c r="X4" s="153" t="s">
        <v>338</v>
      </c>
      <c r="Y4" s="155" t="s">
        <v>339</v>
      </c>
      <c r="Z4" s="153" t="s">
        <v>316</v>
      </c>
      <c r="AA4" s="153" t="s">
        <v>317</v>
      </c>
      <c r="AB4" s="157" t="s">
        <v>201</v>
      </c>
      <c r="AC4" s="136"/>
      <c r="AD4" s="137"/>
      <c r="AE4" s="138"/>
      <c r="AF4" s="138"/>
      <c r="AG4" s="136"/>
      <c r="AH4" s="136"/>
      <c r="AI4" s="136"/>
      <c r="AJ4" s="136"/>
      <c r="AK4" s="136"/>
      <c r="AL4" s="136"/>
    </row>
    <row r="5" spans="1:40" ht="63.75" x14ac:dyDescent="0.2">
      <c r="A5" s="271" t="s">
        <v>490</v>
      </c>
      <c r="B5" s="322" t="s">
        <v>1353</v>
      </c>
      <c r="C5" s="322" t="s">
        <v>1354</v>
      </c>
      <c r="D5" s="482" t="s">
        <v>1354</v>
      </c>
      <c r="E5" s="482" t="s">
        <v>6</v>
      </c>
      <c r="F5" s="322" t="s">
        <v>6</v>
      </c>
      <c r="G5" s="322" t="s">
        <v>6</v>
      </c>
      <c r="H5" s="322" t="s">
        <v>242</v>
      </c>
      <c r="I5" s="322" t="s">
        <v>1355</v>
      </c>
      <c r="J5" s="271" t="s">
        <v>1356</v>
      </c>
      <c r="K5" s="271" t="s">
        <v>913</v>
      </c>
      <c r="L5" s="271"/>
      <c r="M5" s="271" t="s">
        <v>1357</v>
      </c>
      <c r="N5" s="247"/>
      <c r="O5" s="247"/>
      <c r="P5" s="247"/>
      <c r="Q5" s="247"/>
      <c r="R5" s="315" t="s">
        <v>1358</v>
      </c>
      <c r="S5" s="156" t="s">
        <v>1429</v>
      </c>
      <c r="T5" s="156" t="s">
        <v>6</v>
      </c>
      <c r="U5" s="156" t="s">
        <v>7</v>
      </c>
      <c r="V5" s="156" t="s">
        <v>7</v>
      </c>
      <c r="W5" s="156" t="s">
        <v>7</v>
      </c>
      <c r="X5" s="156" t="s">
        <v>7</v>
      </c>
      <c r="Y5" s="156" t="s">
        <v>7</v>
      </c>
      <c r="Z5" s="321" t="s">
        <v>7</v>
      </c>
      <c r="AA5" s="321" t="s">
        <v>7</v>
      </c>
      <c r="AB5" s="316" t="s">
        <v>1430</v>
      </c>
    </row>
    <row r="6" spans="1:40" ht="38.25" x14ac:dyDescent="0.2">
      <c r="A6" s="323" t="s">
        <v>351</v>
      </c>
      <c r="B6" s="322" t="s">
        <v>1359</v>
      </c>
      <c r="C6" s="238" t="s">
        <v>1360</v>
      </c>
      <c r="D6" s="482" t="s">
        <v>1360</v>
      </c>
      <c r="E6" s="482" t="s">
        <v>6</v>
      </c>
      <c r="F6" s="238" t="s">
        <v>6</v>
      </c>
      <c r="G6" s="238" t="s">
        <v>6</v>
      </c>
      <c r="H6" s="318" t="s">
        <v>242</v>
      </c>
      <c r="I6" s="318" t="s">
        <v>1361</v>
      </c>
      <c r="J6" s="318" t="s">
        <v>1362</v>
      </c>
      <c r="K6" s="318" t="s">
        <v>913</v>
      </c>
      <c r="L6" s="730">
        <v>47</v>
      </c>
      <c r="M6" s="318" t="s">
        <v>1363</v>
      </c>
      <c r="N6" s="318">
        <v>170</v>
      </c>
      <c r="O6" s="730" t="s">
        <v>1364</v>
      </c>
      <c r="P6" s="730" t="s">
        <v>1365</v>
      </c>
      <c r="Q6" s="730" t="s">
        <v>1366</v>
      </c>
      <c r="R6" s="740"/>
      <c r="S6" s="156" t="s">
        <v>1443</v>
      </c>
      <c r="T6" s="320" t="s">
        <v>7</v>
      </c>
      <c r="U6" s="715">
        <v>46</v>
      </c>
      <c r="V6" s="715">
        <v>162</v>
      </c>
      <c r="W6" s="332" t="s">
        <v>6</v>
      </c>
      <c r="X6" s="332" t="s">
        <v>6</v>
      </c>
      <c r="Y6" s="332" t="s">
        <v>6</v>
      </c>
      <c r="Z6" s="349" t="s">
        <v>79</v>
      </c>
      <c r="AA6" s="349" t="s">
        <v>79</v>
      </c>
      <c r="AB6" s="337" t="s">
        <v>7</v>
      </c>
    </row>
    <row r="7" spans="1:40" ht="38.25" x14ac:dyDescent="0.2">
      <c r="A7" s="323" t="s">
        <v>351</v>
      </c>
      <c r="B7" s="322" t="s">
        <v>1359</v>
      </c>
      <c r="C7" s="238" t="s">
        <v>1360</v>
      </c>
      <c r="D7" s="482" t="s">
        <v>1360</v>
      </c>
      <c r="E7" s="482" t="s">
        <v>6</v>
      </c>
      <c r="F7" s="238" t="s">
        <v>6</v>
      </c>
      <c r="G7" s="238" t="s">
        <v>6</v>
      </c>
      <c r="H7" s="318" t="s">
        <v>242</v>
      </c>
      <c r="I7" s="318" t="s">
        <v>1361</v>
      </c>
      <c r="J7" s="318" t="s">
        <v>1362</v>
      </c>
      <c r="K7" s="318" t="s">
        <v>913</v>
      </c>
      <c r="L7" s="731"/>
      <c r="M7" s="318" t="s">
        <v>1367</v>
      </c>
      <c r="N7" s="318">
        <v>170</v>
      </c>
      <c r="O7" s="731"/>
      <c r="P7" s="731"/>
      <c r="Q7" s="731"/>
      <c r="R7" s="741"/>
      <c r="S7" s="156" t="s">
        <v>1443</v>
      </c>
      <c r="T7" s="320" t="s">
        <v>7</v>
      </c>
      <c r="U7" s="716"/>
      <c r="V7" s="716"/>
      <c r="W7" s="332" t="s">
        <v>6</v>
      </c>
      <c r="X7" s="332" t="s">
        <v>6</v>
      </c>
      <c r="Y7" s="332" t="s">
        <v>6</v>
      </c>
      <c r="Z7" s="349" t="s">
        <v>79</v>
      </c>
      <c r="AA7" s="349" t="s">
        <v>79</v>
      </c>
      <c r="AB7" s="337" t="s">
        <v>7</v>
      </c>
    </row>
    <row r="8" spans="1:40" ht="38.25" x14ac:dyDescent="0.2">
      <c r="A8" s="323" t="s">
        <v>351</v>
      </c>
      <c r="B8" s="322" t="s">
        <v>1359</v>
      </c>
      <c r="C8" s="238" t="s">
        <v>1360</v>
      </c>
      <c r="D8" s="482" t="s">
        <v>1360</v>
      </c>
      <c r="E8" s="482" t="s">
        <v>6</v>
      </c>
      <c r="F8" s="238" t="s">
        <v>6</v>
      </c>
      <c r="G8" s="238" t="s">
        <v>6</v>
      </c>
      <c r="H8" s="318" t="s">
        <v>242</v>
      </c>
      <c r="I8" s="318" t="s">
        <v>1361</v>
      </c>
      <c r="J8" s="318" t="s">
        <v>1362</v>
      </c>
      <c r="K8" s="318" t="s">
        <v>913</v>
      </c>
      <c r="L8" s="731"/>
      <c r="M8" s="318" t="s">
        <v>1368</v>
      </c>
      <c r="N8" s="318">
        <v>170</v>
      </c>
      <c r="O8" s="732"/>
      <c r="P8" s="732"/>
      <c r="Q8" s="732"/>
      <c r="R8" s="742"/>
      <c r="S8" s="156" t="s">
        <v>1443</v>
      </c>
      <c r="T8" s="320" t="s">
        <v>7</v>
      </c>
      <c r="U8" s="717"/>
      <c r="V8" s="717"/>
      <c r="W8" s="332" t="s">
        <v>6</v>
      </c>
      <c r="X8" s="332" t="s">
        <v>6</v>
      </c>
      <c r="Y8" s="332" t="s">
        <v>6</v>
      </c>
      <c r="Z8" s="349" t="s">
        <v>79</v>
      </c>
      <c r="AA8" s="349" t="s">
        <v>79</v>
      </c>
      <c r="AB8" s="337" t="s">
        <v>7</v>
      </c>
    </row>
    <row r="9" spans="1:40" ht="25.35" customHeight="1" x14ac:dyDescent="0.2">
      <c r="A9" s="323" t="s">
        <v>351</v>
      </c>
      <c r="B9" s="322" t="s">
        <v>1369</v>
      </c>
      <c r="C9" s="318"/>
      <c r="D9" s="482"/>
      <c r="E9" s="482" t="s">
        <v>6</v>
      </c>
      <c r="F9" s="238" t="s">
        <v>6</v>
      </c>
      <c r="G9" s="238" t="s">
        <v>6</v>
      </c>
      <c r="H9" s="259" t="s">
        <v>242</v>
      </c>
      <c r="I9" s="318" t="s">
        <v>1370</v>
      </c>
      <c r="J9" s="318" t="s">
        <v>1371</v>
      </c>
      <c r="K9" s="318" t="s">
        <v>913</v>
      </c>
      <c r="L9" s="730">
        <v>20</v>
      </c>
      <c r="M9" s="318" t="s">
        <v>1372</v>
      </c>
      <c r="N9" s="318">
        <v>2000</v>
      </c>
      <c r="O9" s="730" t="s">
        <v>1373</v>
      </c>
      <c r="P9" s="318" t="s">
        <v>789</v>
      </c>
      <c r="Q9" s="318" t="s">
        <v>1374</v>
      </c>
      <c r="R9" s="730" t="s">
        <v>1375</v>
      </c>
      <c r="S9" s="156" t="s">
        <v>1443</v>
      </c>
      <c r="T9" s="156" t="s">
        <v>7</v>
      </c>
      <c r="U9" s="715">
        <v>19</v>
      </c>
      <c r="V9" s="321" t="s">
        <v>1439</v>
      </c>
      <c r="W9" s="156" t="s">
        <v>6</v>
      </c>
      <c r="X9" s="156" t="s">
        <v>6</v>
      </c>
      <c r="Y9" s="156" t="s">
        <v>6</v>
      </c>
      <c r="Z9" s="321" t="s">
        <v>1441</v>
      </c>
      <c r="AA9" s="321" t="s">
        <v>1441</v>
      </c>
      <c r="AB9" s="337" t="s">
        <v>7</v>
      </c>
    </row>
    <row r="10" spans="1:40" ht="25.5" x14ac:dyDescent="0.2">
      <c r="A10" s="323" t="s">
        <v>351</v>
      </c>
      <c r="B10" s="322" t="s">
        <v>1369</v>
      </c>
      <c r="C10" s="318"/>
      <c r="D10" s="482"/>
      <c r="E10" s="482" t="s">
        <v>6</v>
      </c>
      <c r="F10" s="238" t="s">
        <v>6</v>
      </c>
      <c r="G10" s="238" t="s">
        <v>6</v>
      </c>
      <c r="H10" s="259" t="s">
        <v>242</v>
      </c>
      <c r="I10" s="318" t="s">
        <v>1370</v>
      </c>
      <c r="J10" s="318" t="s">
        <v>1371</v>
      </c>
      <c r="K10" s="318" t="s">
        <v>913</v>
      </c>
      <c r="L10" s="731"/>
      <c r="M10" s="318" t="s">
        <v>1363</v>
      </c>
      <c r="N10" s="318">
        <v>12</v>
      </c>
      <c r="O10" s="731"/>
      <c r="P10" s="318"/>
      <c r="Q10" s="318"/>
      <c r="R10" s="731"/>
      <c r="S10" s="156" t="s">
        <v>1443</v>
      </c>
      <c r="T10" s="156" t="s">
        <v>7</v>
      </c>
      <c r="U10" s="716"/>
      <c r="V10" s="156" t="s">
        <v>1438</v>
      </c>
      <c r="W10" s="156" t="s">
        <v>6</v>
      </c>
      <c r="X10" s="156" t="s">
        <v>6</v>
      </c>
      <c r="Y10" s="156" t="s">
        <v>6</v>
      </c>
      <c r="Z10" s="321" t="s">
        <v>1441</v>
      </c>
      <c r="AA10" s="321" t="s">
        <v>1441</v>
      </c>
      <c r="AB10" s="337" t="s">
        <v>7</v>
      </c>
    </row>
    <row r="11" spans="1:40" ht="25.5" x14ac:dyDescent="0.2">
      <c r="A11" s="323" t="s">
        <v>351</v>
      </c>
      <c r="B11" s="322" t="s">
        <v>1369</v>
      </c>
      <c r="C11" s="318"/>
      <c r="D11" s="482"/>
      <c r="E11" s="482" t="s">
        <v>6</v>
      </c>
      <c r="F11" s="238" t="s">
        <v>6</v>
      </c>
      <c r="G11" s="238" t="s">
        <v>6</v>
      </c>
      <c r="H11" s="259" t="s">
        <v>242</v>
      </c>
      <c r="I11" s="318" t="s">
        <v>1370</v>
      </c>
      <c r="J11" s="318" t="s">
        <v>1371</v>
      </c>
      <c r="K11" s="318" t="s">
        <v>913</v>
      </c>
      <c r="L11" s="732"/>
      <c r="M11" s="318" t="s">
        <v>1367</v>
      </c>
      <c r="N11" s="318">
        <v>25</v>
      </c>
      <c r="O11" s="732"/>
      <c r="P11" s="318"/>
      <c r="Q11" s="318"/>
      <c r="R11" s="732"/>
      <c r="S11" s="156" t="s">
        <v>1443</v>
      </c>
      <c r="T11" s="156" t="s">
        <v>7</v>
      </c>
      <c r="U11" s="717"/>
      <c r="V11" s="321" t="s">
        <v>1440</v>
      </c>
      <c r="W11" s="156" t="s">
        <v>6</v>
      </c>
      <c r="X11" s="156" t="s">
        <v>6</v>
      </c>
      <c r="Y11" s="156" t="s">
        <v>6</v>
      </c>
      <c r="Z11" s="321" t="s">
        <v>1441</v>
      </c>
      <c r="AA11" s="321" t="s">
        <v>1441</v>
      </c>
      <c r="AB11" s="337" t="s">
        <v>7</v>
      </c>
    </row>
    <row r="12" spans="1:40" ht="51" x14ac:dyDescent="0.2">
      <c r="A12" s="323" t="s">
        <v>351</v>
      </c>
      <c r="B12" s="322" t="s">
        <v>1376</v>
      </c>
      <c r="C12" s="238"/>
      <c r="D12" s="482"/>
      <c r="E12" s="482" t="s">
        <v>6</v>
      </c>
      <c r="F12" s="238" t="s">
        <v>6</v>
      </c>
      <c r="G12" s="318" t="s">
        <v>6</v>
      </c>
      <c r="H12" s="318" t="s">
        <v>242</v>
      </c>
      <c r="I12" s="318" t="s">
        <v>1377</v>
      </c>
      <c r="J12" s="259" t="s">
        <v>1378</v>
      </c>
      <c r="K12" s="259" t="s">
        <v>913</v>
      </c>
      <c r="L12" s="730">
        <v>40</v>
      </c>
      <c r="M12" s="259" t="s">
        <v>1372</v>
      </c>
      <c r="N12" s="259">
        <v>5000</v>
      </c>
      <c r="O12" s="730" t="s">
        <v>1379</v>
      </c>
      <c r="P12" s="318" t="s">
        <v>789</v>
      </c>
      <c r="Q12" s="318" t="s">
        <v>1380</v>
      </c>
      <c r="R12" s="730" t="s">
        <v>1381</v>
      </c>
      <c r="S12" s="156" t="s">
        <v>1443</v>
      </c>
      <c r="T12" s="320" t="s">
        <v>7</v>
      </c>
      <c r="U12" s="715">
        <v>40</v>
      </c>
      <c r="V12" s="320">
        <v>5096</v>
      </c>
      <c r="W12" s="320" t="s">
        <v>6</v>
      </c>
      <c r="X12" s="320" t="s">
        <v>6</v>
      </c>
      <c r="Y12" s="320" t="s">
        <v>6</v>
      </c>
      <c r="Z12" s="321" t="s">
        <v>1441</v>
      </c>
      <c r="AA12" s="321" t="s">
        <v>1441</v>
      </c>
      <c r="AB12" s="337" t="s">
        <v>7</v>
      </c>
    </row>
    <row r="13" spans="1:40" ht="51" x14ac:dyDescent="0.2">
      <c r="A13" s="323"/>
      <c r="B13" s="322" t="s">
        <v>1376</v>
      </c>
      <c r="C13" s="238"/>
      <c r="D13" s="482"/>
      <c r="E13" s="482" t="s">
        <v>6</v>
      </c>
      <c r="F13" s="238" t="s">
        <v>6</v>
      </c>
      <c r="G13" s="318" t="s">
        <v>6</v>
      </c>
      <c r="H13" s="318" t="s">
        <v>242</v>
      </c>
      <c r="I13" s="318" t="s">
        <v>1377</v>
      </c>
      <c r="J13" s="259" t="s">
        <v>1378</v>
      </c>
      <c r="K13" s="259" t="s">
        <v>913</v>
      </c>
      <c r="L13" s="731"/>
      <c r="M13" s="259" t="s">
        <v>1363</v>
      </c>
      <c r="N13" s="259">
        <v>30</v>
      </c>
      <c r="O13" s="731"/>
      <c r="P13" s="318"/>
      <c r="Q13" s="318"/>
      <c r="R13" s="731"/>
      <c r="S13" s="156" t="s">
        <v>1443</v>
      </c>
      <c r="T13" s="320" t="s">
        <v>7</v>
      </c>
      <c r="U13" s="716"/>
      <c r="V13" s="320">
        <v>42</v>
      </c>
      <c r="W13" s="320" t="s">
        <v>6</v>
      </c>
      <c r="X13" s="320" t="s">
        <v>6</v>
      </c>
      <c r="Y13" s="320" t="s">
        <v>6</v>
      </c>
      <c r="Z13" s="321" t="s">
        <v>1441</v>
      </c>
      <c r="AA13" s="321" t="s">
        <v>1441</v>
      </c>
      <c r="AB13" s="337" t="s">
        <v>7</v>
      </c>
    </row>
    <row r="14" spans="1:40" ht="51" x14ac:dyDescent="0.2">
      <c r="A14" s="323"/>
      <c r="B14" s="322" t="s">
        <v>1376</v>
      </c>
      <c r="C14" s="238"/>
      <c r="D14" s="482"/>
      <c r="E14" s="482" t="s">
        <v>6</v>
      </c>
      <c r="F14" s="238" t="s">
        <v>6</v>
      </c>
      <c r="G14" s="318" t="s">
        <v>6</v>
      </c>
      <c r="H14" s="318" t="s">
        <v>242</v>
      </c>
      <c r="I14" s="318" t="s">
        <v>1377</v>
      </c>
      <c r="J14" s="259" t="s">
        <v>1378</v>
      </c>
      <c r="K14" s="259" t="s">
        <v>913</v>
      </c>
      <c r="L14" s="732"/>
      <c r="M14" s="259" t="s">
        <v>1367</v>
      </c>
      <c r="N14" s="259">
        <v>60</v>
      </c>
      <c r="O14" s="732"/>
      <c r="P14" s="318"/>
      <c r="Q14" s="318"/>
      <c r="R14" s="732"/>
      <c r="S14" s="156" t="s">
        <v>1443</v>
      </c>
      <c r="T14" s="320" t="s">
        <v>7</v>
      </c>
      <c r="U14" s="717"/>
      <c r="V14" s="320">
        <v>86</v>
      </c>
      <c r="W14" s="320" t="s">
        <v>6</v>
      </c>
      <c r="X14" s="320" t="s">
        <v>6</v>
      </c>
      <c r="Y14" s="320" t="s">
        <v>6</v>
      </c>
      <c r="Z14" s="321" t="s">
        <v>1441</v>
      </c>
      <c r="AA14" s="321" t="s">
        <v>1441</v>
      </c>
      <c r="AB14" s="337" t="s">
        <v>7</v>
      </c>
    </row>
    <row r="15" spans="1:40" ht="51" x14ac:dyDescent="0.2">
      <c r="A15" s="323" t="s">
        <v>351</v>
      </c>
      <c r="B15" s="322" t="s">
        <v>1376</v>
      </c>
      <c r="C15" s="238"/>
      <c r="D15" s="482"/>
      <c r="E15" s="482" t="s">
        <v>6</v>
      </c>
      <c r="F15" s="238" t="s">
        <v>6</v>
      </c>
      <c r="G15" s="318" t="s">
        <v>6</v>
      </c>
      <c r="H15" s="318" t="s">
        <v>242</v>
      </c>
      <c r="I15" s="318" t="s">
        <v>1377</v>
      </c>
      <c r="J15" s="259" t="s">
        <v>1382</v>
      </c>
      <c r="K15" s="259" t="s">
        <v>913</v>
      </c>
      <c r="L15" s="730">
        <v>20</v>
      </c>
      <c r="M15" s="259" t="s">
        <v>1372</v>
      </c>
      <c r="N15" s="259">
        <v>2500</v>
      </c>
      <c r="O15" s="730" t="s">
        <v>1383</v>
      </c>
      <c r="P15" s="318" t="s">
        <v>789</v>
      </c>
      <c r="Q15" s="318" t="s">
        <v>1380</v>
      </c>
      <c r="R15" s="730" t="s">
        <v>1384</v>
      </c>
      <c r="S15" s="320" t="s">
        <v>1443</v>
      </c>
      <c r="T15" s="320" t="s">
        <v>7</v>
      </c>
      <c r="U15" s="715">
        <v>19</v>
      </c>
      <c r="V15" s="321" t="s">
        <v>1445</v>
      </c>
      <c r="W15" s="320" t="s">
        <v>6</v>
      </c>
      <c r="X15" s="320" t="s">
        <v>6</v>
      </c>
      <c r="Y15" s="320" t="s">
        <v>6</v>
      </c>
      <c r="Z15" s="321" t="s">
        <v>1441</v>
      </c>
      <c r="AA15" s="321" t="s">
        <v>1441</v>
      </c>
      <c r="AB15" s="337" t="s">
        <v>7</v>
      </c>
    </row>
    <row r="16" spans="1:40" ht="48.4" customHeight="1" x14ac:dyDescent="0.2">
      <c r="A16" s="323" t="s">
        <v>351</v>
      </c>
      <c r="B16" s="322" t="s">
        <v>1376</v>
      </c>
      <c r="C16" s="238"/>
      <c r="D16" s="482"/>
      <c r="E16" s="482" t="s">
        <v>6</v>
      </c>
      <c r="F16" s="238" t="s">
        <v>6</v>
      </c>
      <c r="G16" s="318" t="s">
        <v>6</v>
      </c>
      <c r="H16" s="318" t="s">
        <v>242</v>
      </c>
      <c r="I16" s="318" t="s">
        <v>1377</v>
      </c>
      <c r="J16" s="259" t="s">
        <v>1382</v>
      </c>
      <c r="K16" s="259" t="s">
        <v>913</v>
      </c>
      <c r="L16" s="731"/>
      <c r="M16" s="259" t="s">
        <v>1363</v>
      </c>
      <c r="N16" s="259">
        <v>20</v>
      </c>
      <c r="O16" s="731"/>
      <c r="P16" s="318"/>
      <c r="Q16" s="318"/>
      <c r="R16" s="731"/>
      <c r="S16" s="320" t="s">
        <v>1443</v>
      </c>
      <c r="T16" s="320" t="s">
        <v>7</v>
      </c>
      <c r="U16" s="716"/>
      <c r="V16" s="320">
        <v>15</v>
      </c>
      <c r="W16" s="320" t="s">
        <v>6</v>
      </c>
      <c r="X16" s="320" t="s">
        <v>6</v>
      </c>
      <c r="Y16" s="320" t="s">
        <v>6</v>
      </c>
      <c r="Z16" s="321" t="s">
        <v>1441</v>
      </c>
      <c r="AA16" s="321" t="s">
        <v>1441</v>
      </c>
      <c r="AB16" s="337" t="s">
        <v>7</v>
      </c>
    </row>
    <row r="17" spans="1:28" ht="79.5" customHeight="1" x14ac:dyDescent="0.2">
      <c r="A17" s="323" t="s">
        <v>351</v>
      </c>
      <c r="B17" s="322" t="s">
        <v>1376</v>
      </c>
      <c r="C17" s="238"/>
      <c r="D17" s="482"/>
      <c r="E17" s="482" t="s">
        <v>6</v>
      </c>
      <c r="F17" s="238" t="s">
        <v>6</v>
      </c>
      <c r="G17" s="318" t="s">
        <v>6</v>
      </c>
      <c r="H17" s="318" t="s">
        <v>242</v>
      </c>
      <c r="I17" s="318" t="s">
        <v>1377</v>
      </c>
      <c r="J17" s="259" t="s">
        <v>1382</v>
      </c>
      <c r="K17" s="259" t="s">
        <v>913</v>
      </c>
      <c r="L17" s="732"/>
      <c r="M17" s="259" t="s">
        <v>1367</v>
      </c>
      <c r="N17" s="259">
        <v>25</v>
      </c>
      <c r="O17" s="732"/>
      <c r="P17" s="318"/>
      <c r="Q17" s="318"/>
      <c r="R17" s="732"/>
      <c r="S17" s="320" t="s">
        <v>1443</v>
      </c>
      <c r="T17" s="320" t="s">
        <v>7</v>
      </c>
      <c r="U17" s="716"/>
      <c r="V17" s="478">
        <v>40</v>
      </c>
      <c r="W17" s="320" t="s">
        <v>6</v>
      </c>
      <c r="X17" s="320" t="s">
        <v>6</v>
      </c>
      <c r="Y17" s="320" t="s">
        <v>6</v>
      </c>
      <c r="Z17" s="321" t="s">
        <v>6</v>
      </c>
      <c r="AA17" s="321" t="s">
        <v>1441</v>
      </c>
      <c r="AB17" s="337" t="s">
        <v>1754</v>
      </c>
    </row>
    <row r="18" spans="1:28" ht="25.5" x14ac:dyDescent="0.2">
      <c r="A18" s="323" t="s">
        <v>351</v>
      </c>
      <c r="B18" s="318" t="s">
        <v>1385</v>
      </c>
      <c r="C18" s="322" t="s">
        <v>1386</v>
      </c>
      <c r="D18" s="482" t="s">
        <v>1386</v>
      </c>
      <c r="E18" s="482" t="s">
        <v>6</v>
      </c>
      <c r="F18" s="318" t="s">
        <v>6</v>
      </c>
      <c r="G18" s="318" t="s">
        <v>6</v>
      </c>
      <c r="H18" s="318" t="s">
        <v>1387</v>
      </c>
      <c r="I18" s="318" t="s">
        <v>367</v>
      </c>
      <c r="J18" s="730" t="s">
        <v>1388</v>
      </c>
      <c r="K18" s="736" t="s">
        <v>913</v>
      </c>
      <c r="L18" s="739">
        <v>33</v>
      </c>
      <c r="M18" s="721" t="s">
        <v>1389</v>
      </c>
      <c r="N18" s="721">
        <v>280</v>
      </c>
      <c r="O18" s="730" t="s">
        <v>1390</v>
      </c>
      <c r="P18" s="730" t="s">
        <v>1391</v>
      </c>
      <c r="Q18" s="730" t="s">
        <v>1392</v>
      </c>
      <c r="R18" s="733" t="s">
        <v>1393</v>
      </c>
      <c r="S18" s="331" t="s">
        <v>1443</v>
      </c>
      <c r="T18" s="333" t="s">
        <v>7</v>
      </c>
      <c r="U18" s="719">
        <v>33</v>
      </c>
      <c r="V18" s="719">
        <v>294</v>
      </c>
      <c r="W18" s="720" t="s">
        <v>6</v>
      </c>
      <c r="X18" s="332" t="s">
        <v>6</v>
      </c>
      <c r="Y18" s="332" t="s">
        <v>6</v>
      </c>
      <c r="Z18" s="349" t="s">
        <v>79</v>
      </c>
      <c r="AA18" s="349" t="s">
        <v>79</v>
      </c>
      <c r="AB18" s="336" t="s">
        <v>7</v>
      </c>
    </row>
    <row r="19" spans="1:28" ht="38.25" x14ac:dyDescent="0.2">
      <c r="A19" s="323" t="s">
        <v>351</v>
      </c>
      <c r="B19" s="318" t="s">
        <v>1394</v>
      </c>
      <c r="C19" s="322" t="s">
        <v>1395</v>
      </c>
      <c r="D19" s="482" t="s">
        <v>1395</v>
      </c>
      <c r="E19" s="482" t="s">
        <v>6</v>
      </c>
      <c r="F19" s="318" t="s">
        <v>6</v>
      </c>
      <c r="G19" s="318" t="s">
        <v>6</v>
      </c>
      <c r="H19" s="318" t="s">
        <v>242</v>
      </c>
      <c r="I19" s="318" t="s">
        <v>1396</v>
      </c>
      <c r="J19" s="731"/>
      <c r="K19" s="737"/>
      <c r="L19" s="737"/>
      <c r="M19" s="722"/>
      <c r="N19" s="722"/>
      <c r="O19" s="731"/>
      <c r="P19" s="731"/>
      <c r="Q19" s="731"/>
      <c r="R19" s="734"/>
      <c r="S19" s="331" t="s">
        <v>1443</v>
      </c>
      <c r="T19" s="333" t="s">
        <v>7</v>
      </c>
      <c r="U19" s="719"/>
      <c r="V19" s="719"/>
      <c r="W19" s="720"/>
      <c r="X19" s="332" t="s">
        <v>6</v>
      </c>
      <c r="Y19" s="332" t="s">
        <v>6</v>
      </c>
      <c r="Z19" s="349" t="s">
        <v>79</v>
      </c>
      <c r="AA19" s="349" t="s">
        <v>79</v>
      </c>
      <c r="AB19" s="336" t="s">
        <v>7</v>
      </c>
    </row>
    <row r="20" spans="1:28" ht="63.95" customHeight="1" x14ac:dyDescent="0.2">
      <c r="A20" s="323" t="s">
        <v>351</v>
      </c>
      <c r="B20" s="318" t="s">
        <v>1397</v>
      </c>
      <c r="C20" s="322" t="s">
        <v>1398</v>
      </c>
      <c r="D20" s="482" t="s">
        <v>1398</v>
      </c>
      <c r="E20" s="482" t="s">
        <v>6</v>
      </c>
      <c r="F20" s="318" t="s">
        <v>6</v>
      </c>
      <c r="G20" s="318" t="s">
        <v>6</v>
      </c>
      <c r="H20" s="318" t="s">
        <v>242</v>
      </c>
      <c r="I20" s="318" t="s">
        <v>1399</v>
      </c>
      <c r="J20" s="732"/>
      <c r="K20" s="738"/>
      <c r="L20" s="737"/>
      <c r="M20" s="723"/>
      <c r="N20" s="722"/>
      <c r="O20" s="732"/>
      <c r="P20" s="732"/>
      <c r="Q20" s="732"/>
      <c r="R20" s="735"/>
      <c r="S20" s="331" t="s">
        <v>1443</v>
      </c>
      <c r="T20" s="333" t="s">
        <v>7</v>
      </c>
      <c r="U20" s="719"/>
      <c r="V20" s="719"/>
      <c r="W20" s="720"/>
      <c r="X20" s="332" t="s">
        <v>6</v>
      </c>
      <c r="Y20" s="332" t="s">
        <v>6</v>
      </c>
      <c r="Z20" s="349" t="s">
        <v>79</v>
      </c>
      <c r="AA20" s="349" t="s">
        <v>79</v>
      </c>
      <c r="AB20" s="336" t="s">
        <v>7</v>
      </c>
    </row>
    <row r="21" spans="1:28" ht="38.25" customHeight="1" x14ac:dyDescent="0.2">
      <c r="A21" s="323" t="s">
        <v>351</v>
      </c>
      <c r="B21" s="318" t="s">
        <v>1397</v>
      </c>
      <c r="C21" s="322" t="s">
        <v>1398</v>
      </c>
      <c r="D21" s="482" t="s">
        <v>1398</v>
      </c>
      <c r="E21" s="482" t="s">
        <v>6</v>
      </c>
      <c r="F21" s="318" t="s">
        <v>6</v>
      </c>
      <c r="G21" s="318" t="s">
        <v>6</v>
      </c>
      <c r="H21" s="318" t="s">
        <v>242</v>
      </c>
      <c r="I21" s="318" t="s">
        <v>1399</v>
      </c>
      <c r="J21" s="324" t="s">
        <v>1388</v>
      </c>
      <c r="K21" s="325" t="s">
        <v>913</v>
      </c>
      <c r="L21" s="737"/>
      <c r="M21" s="326" t="s">
        <v>1400</v>
      </c>
      <c r="N21" s="722"/>
      <c r="O21" s="730"/>
      <c r="P21" s="324" t="s">
        <v>1391</v>
      </c>
      <c r="Q21" s="324" t="s">
        <v>1392</v>
      </c>
      <c r="R21" s="327"/>
      <c r="S21" s="331" t="s">
        <v>1443</v>
      </c>
      <c r="T21" s="333" t="s">
        <v>7</v>
      </c>
      <c r="U21" s="719"/>
      <c r="V21" s="719"/>
      <c r="W21" s="720"/>
      <c r="X21" s="332" t="s">
        <v>6</v>
      </c>
      <c r="Y21" s="332" t="s">
        <v>6</v>
      </c>
      <c r="Z21" s="349" t="s">
        <v>79</v>
      </c>
      <c r="AA21" s="349" t="s">
        <v>79</v>
      </c>
      <c r="AB21" s="336" t="s">
        <v>7</v>
      </c>
    </row>
    <row r="22" spans="1:28" ht="39" thickBot="1" x14ac:dyDescent="0.25">
      <c r="A22" s="323" t="s">
        <v>351</v>
      </c>
      <c r="B22" s="318" t="s">
        <v>1397</v>
      </c>
      <c r="C22" s="322" t="s">
        <v>1398</v>
      </c>
      <c r="D22" s="482" t="s">
        <v>1398</v>
      </c>
      <c r="E22" s="482" t="s">
        <v>6</v>
      </c>
      <c r="F22" s="318" t="s">
        <v>6</v>
      </c>
      <c r="G22" s="318" t="s">
        <v>6</v>
      </c>
      <c r="H22" s="318" t="s">
        <v>242</v>
      </c>
      <c r="I22" s="318" t="s">
        <v>1399</v>
      </c>
      <c r="J22" s="324" t="s">
        <v>1388</v>
      </c>
      <c r="K22" s="325" t="s">
        <v>913</v>
      </c>
      <c r="L22" s="738"/>
      <c r="M22" s="326" t="s">
        <v>1401</v>
      </c>
      <c r="N22" s="723"/>
      <c r="O22" s="731"/>
      <c r="P22" s="324" t="s">
        <v>1391</v>
      </c>
      <c r="Q22" s="324" t="s">
        <v>1392</v>
      </c>
      <c r="R22" s="327"/>
      <c r="S22" s="331" t="s">
        <v>1443</v>
      </c>
      <c r="T22" s="333" t="s">
        <v>7</v>
      </c>
      <c r="U22" s="719"/>
      <c r="V22" s="719"/>
      <c r="W22" s="720"/>
      <c r="X22" s="332" t="s">
        <v>6</v>
      </c>
      <c r="Y22" s="332" t="s">
        <v>6</v>
      </c>
      <c r="Z22" s="349" t="s">
        <v>79</v>
      </c>
      <c r="AA22" s="349" t="s">
        <v>79</v>
      </c>
      <c r="AB22" s="336" t="s">
        <v>7</v>
      </c>
    </row>
    <row r="23" spans="1:28" ht="38.25" customHeight="1" x14ac:dyDescent="0.2">
      <c r="A23" s="271" t="s">
        <v>351</v>
      </c>
      <c r="B23" s="322" t="s">
        <v>1402</v>
      </c>
      <c r="C23" s="328" t="s">
        <v>1403</v>
      </c>
      <c r="D23" s="483" t="s">
        <v>1403</v>
      </c>
      <c r="E23" s="483" t="s">
        <v>79</v>
      </c>
      <c r="F23" s="318" t="s">
        <v>6</v>
      </c>
      <c r="G23" s="328" t="s">
        <v>79</v>
      </c>
      <c r="H23" s="328" t="s">
        <v>242</v>
      </c>
      <c r="I23" s="318" t="s">
        <v>1404</v>
      </c>
      <c r="J23" s="328" t="s">
        <v>1405</v>
      </c>
      <c r="K23" s="328" t="s">
        <v>913</v>
      </c>
      <c r="L23" s="721">
        <v>40</v>
      </c>
      <c r="M23" s="328" t="s">
        <v>1406</v>
      </c>
      <c r="N23" s="328">
        <v>110</v>
      </c>
      <c r="O23" s="721" t="s">
        <v>1407</v>
      </c>
      <c r="P23" s="318" t="s">
        <v>1408</v>
      </c>
      <c r="Q23" s="727" t="s">
        <v>1366</v>
      </c>
      <c r="R23" s="724" t="s">
        <v>1442</v>
      </c>
      <c r="S23" s="330" t="s">
        <v>1443</v>
      </c>
      <c r="T23" s="334" t="s">
        <v>7</v>
      </c>
      <c r="U23" s="719">
        <v>37</v>
      </c>
      <c r="V23" s="718" t="s">
        <v>1444</v>
      </c>
      <c r="W23" s="335" t="s">
        <v>6</v>
      </c>
      <c r="X23" s="320" t="s">
        <v>6</v>
      </c>
      <c r="Y23" s="320" t="s">
        <v>6</v>
      </c>
      <c r="Z23" s="321" t="s">
        <v>79</v>
      </c>
      <c r="AA23" s="321" t="s">
        <v>79</v>
      </c>
      <c r="AB23" s="337" t="s">
        <v>7</v>
      </c>
    </row>
    <row r="24" spans="1:28" ht="38.25" x14ac:dyDescent="0.2">
      <c r="A24" s="271" t="s">
        <v>351</v>
      </c>
      <c r="B24" s="322" t="s">
        <v>1402</v>
      </c>
      <c r="C24" s="328" t="s">
        <v>1403</v>
      </c>
      <c r="D24" s="483" t="s">
        <v>1403</v>
      </c>
      <c r="E24" s="483" t="s">
        <v>79</v>
      </c>
      <c r="F24" s="318" t="s">
        <v>6</v>
      </c>
      <c r="G24" s="328" t="s">
        <v>79</v>
      </c>
      <c r="H24" s="328" t="s">
        <v>242</v>
      </c>
      <c r="I24" s="318" t="s">
        <v>1404</v>
      </c>
      <c r="J24" s="328" t="s">
        <v>1405</v>
      </c>
      <c r="K24" s="328" t="s">
        <v>913</v>
      </c>
      <c r="L24" s="722"/>
      <c r="M24" s="328" t="s">
        <v>1367</v>
      </c>
      <c r="N24" s="328">
        <v>75</v>
      </c>
      <c r="O24" s="722"/>
      <c r="P24" s="318" t="s">
        <v>1408</v>
      </c>
      <c r="Q24" s="728"/>
      <c r="R24" s="725"/>
      <c r="S24" s="330" t="s">
        <v>1443</v>
      </c>
      <c r="T24" s="334" t="s">
        <v>7</v>
      </c>
      <c r="U24" s="719"/>
      <c r="V24" s="718"/>
      <c r="W24" s="335" t="s">
        <v>6</v>
      </c>
      <c r="X24" s="320" t="s">
        <v>6</v>
      </c>
      <c r="Y24" s="320" t="s">
        <v>6</v>
      </c>
      <c r="Z24" s="321" t="s">
        <v>79</v>
      </c>
      <c r="AA24" s="321" t="s">
        <v>79</v>
      </c>
      <c r="AB24" s="337" t="s">
        <v>7</v>
      </c>
    </row>
    <row r="25" spans="1:28" ht="38.25" x14ac:dyDescent="0.2">
      <c r="A25" s="271" t="s">
        <v>351</v>
      </c>
      <c r="B25" s="322" t="s">
        <v>1402</v>
      </c>
      <c r="C25" s="328" t="s">
        <v>1403</v>
      </c>
      <c r="D25" s="483" t="s">
        <v>1403</v>
      </c>
      <c r="E25" s="483" t="s">
        <v>79</v>
      </c>
      <c r="F25" s="318" t="s">
        <v>6</v>
      </c>
      <c r="G25" s="328" t="s">
        <v>79</v>
      </c>
      <c r="H25" s="328" t="s">
        <v>242</v>
      </c>
      <c r="I25" s="318" t="s">
        <v>1404</v>
      </c>
      <c r="J25" s="328" t="s">
        <v>1405</v>
      </c>
      <c r="K25" s="328" t="s">
        <v>913</v>
      </c>
      <c r="L25" s="723"/>
      <c r="M25" s="328" t="s">
        <v>1409</v>
      </c>
      <c r="N25" s="328">
        <v>110</v>
      </c>
      <c r="O25" s="723"/>
      <c r="P25" s="318" t="s">
        <v>1408</v>
      </c>
      <c r="Q25" s="729"/>
      <c r="R25" s="726"/>
      <c r="S25" s="330" t="s">
        <v>1443</v>
      </c>
      <c r="T25" s="334" t="s">
        <v>7</v>
      </c>
      <c r="U25" s="719"/>
      <c r="V25" s="718"/>
      <c r="W25" s="335" t="s">
        <v>6</v>
      </c>
      <c r="X25" s="320" t="s">
        <v>6</v>
      </c>
      <c r="Y25" s="320" t="s">
        <v>6</v>
      </c>
      <c r="Z25" s="321" t="s">
        <v>79</v>
      </c>
      <c r="AA25" s="321" t="s">
        <v>79</v>
      </c>
      <c r="AB25" s="337" t="s">
        <v>7</v>
      </c>
    </row>
    <row r="26" spans="1:28" ht="63.75" x14ac:dyDescent="0.2">
      <c r="A26" s="317" t="s">
        <v>351</v>
      </c>
      <c r="B26" s="317" t="s">
        <v>1410</v>
      </c>
      <c r="C26" s="317" t="s">
        <v>1411</v>
      </c>
      <c r="D26" s="484" t="s">
        <v>1411</v>
      </c>
      <c r="E26" s="484" t="s">
        <v>79</v>
      </c>
      <c r="F26" s="318" t="s">
        <v>6</v>
      </c>
      <c r="G26" s="317" t="s">
        <v>79</v>
      </c>
      <c r="H26" s="317" t="s">
        <v>79</v>
      </c>
      <c r="I26" s="318" t="s">
        <v>367</v>
      </c>
      <c r="J26" s="317" t="s">
        <v>1412</v>
      </c>
      <c r="K26" s="317" t="s">
        <v>913</v>
      </c>
      <c r="L26" s="317">
        <v>10</v>
      </c>
      <c r="M26" s="317" t="s">
        <v>1413</v>
      </c>
      <c r="N26" s="317">
        <v>200</v>
      </c>
      <c r="O26" s="317" t="s">
        <v>1414</v>
      </c>
      <c r="P26" s="318" t="s">
        <v>1083</v>
      </c>
      <c r="Q26" s="318" t="s">
        <v>1083</v>
      </c>
      <c r="R26" s="318" t="s">
        <v>1415</v>
      </c>
      <c r="S26" s="320" t="s">
        <v>1443</v>
      </c>
      <c r="T26" s="320" t="s">
        <v>7</v>
      </c>
      <c r="U26" s="321">
        <v>23</v>
      </c>
      <c r="V26" s="321">
        <v>825</v>
      </c>
      <c r="W26" s="321" t="s">
        <v>6</v>
      </c>
      <c r="X26" s="320" t="s">
        <v>79</v>
      </c>
      <c r="Y26" s="320" t="s">
        <v>6</v>
      </c>
      <c r="Z26" s="321" t="s">
        <v>6</v>
      </c>
      <c r="AA26" s="321" t="s">
        <v>6</v>
      </c>
      <c r="AB26" s="316" t="s">
        <v>1446</v>
      </c>
    </row>
    <row r="27" spans="1:28" s="319" customFormat="1" ht="109.15" customHeight="1" x14ac:dyDescent="0.2">
      <c r="A27" s="317" t="s">
        <v>351</v>
      </c>
      <c r="B27" s="329" t="s">
        <v>1416</v>
      </c>
      <c r="C27" s="317" t="s">
        <v>1417</v>
      </c>
      <c r="D27" s="484" t="s">
        <v>1417</v>
      </c>
      <c r="E27" s="484" t="s">
        <v>79</v>
      </c>
      <c r="F27" s="318" t="s">
        <v>6</v>
      </c>
      <c r="G27" s="317" t="s">
        <v>79</v>
      </c>
      <c r="H27" s="317" t="s">
        <v>79</v>
      </c>
      <c r="I27" s="318" t="s">
        <v>368</v>
      </c>
      <c r="J27" s="317" t="s">
        <v>1418</v>
      </c>
      <c r="K27" s="317" t="s">
        <v>913</v>
      </c>
      <c r="L27" s="317">
        <v>10</v>
      </c>
      <c r="M27" s="317" t="s">
        <v>1413</v>
      </c>
      <c r="N27" s="317">
        <v>200</v>
      </c>
      <c r="O27" s="318" t="s">
        <v>1419</v>
      </c>
      <c r="P27" s="318" t="s">
        <v>1083</v>
      </c>
      <c r="Q27" s="318" t="s">
        <v>1083</v>
      </c>
      <c r="R27" s="318" t="s">
        <v>1415</v>
      </c>
      <c r="S27" s="320" t="s">
        <v>1443</v>
      </c>
      <c r="T27" s="320" t="s">
        <v>7</v>
      </c>
      <c r="U27" s="321">
        <v>5</v>
      </c>
      <c r="V27" s="321">
        <v>83</v>
      </c>
      <c r="W27" s="320" t="s">
        <v>6</v>
      </c>
      <c r="X27" s="321" t="s">
        <v>6</v>
      </c>
      <c r="Y27" s="320" t="s">
        <v>6</v>
      </c>
      <c r="Z27" s="321" t="s">
        <v>6</v>
      </c>
      <c r="AA27" s="321" t="s">
        <v>6</v>
      </c>
      <c r="AB27" s="316" t="s">
        <v>1447</v>
      </c>
    </row>
    <row r="28" spans="1:28" ht="38.25" x14ac:dyDescent="0.2">
      <c r="A28" s="317" t="s">
        <v>351</v>
      </c>
      <c r="B28" s="317" t="s">
        <v>1420</v>
      </c>
      <c r="C28" s="317" t="s">
        <v>1421</v>
      </c>
      <c r="D28" s="484" t="s">
        <v>1421</v>
      </c>
      <c r="E28" s="484" t="s">
        <v>79</v>
      </c>
      <c r="F28" s="318" t="s">
        <v>6</v>
      </c>
      <c r="G28" s="317" t="s">
        <v>79</v>
      </c>
      <c r="H28" s="317" t="s">
        <v>79</v>
      </c>
      <c r="I28" s="318" t="s">
        <v>1396</v>
      </c>
      <c r="J28" s="317" t="s">
        <v>1356</v>
      </c>
      <c r="K28" s="317" t="s">
        <v>913</v>
      </c>
      <c r="L28" s="317">
        <v>6</v>
      </c>
      <c r="M28" s="317" t="s">
        <v>1413</v>
      </c>
      <c r="N28" s="317">
        <v>90</v>
      </c>
      <c r="O28" s="318" t="s">
        <v>1419</v>
      </c>
      <c r="P28" s="318" t="s">
        <v>1422</v>
      </c>
      <c r="Q28" s="318" t="s">
        <v>1083</v>
      </c>
      <c r="R28" s="318" t="s">
        <v>1423</v>
      </c>
      <c r="S28" s="320" t="s">
        <v>1443</v>
      </c>
      <c r="T28" s="320" t="s">
        <v>7</v>
      </c>
      <c r="U28" s="321">
        <v>4</v>
      </c>
      <c r="V28" s="321">
        <v>76</v>
      </c>
      <c r="W28" s="320" t="s">
        <v>79</v>
      </c>
      <c r="X28" s="321" t="s">
        <v>6</v>
      </c>
      <c r="Y28" s="320" t="s">
        <v>6</v>
      </c>
      <c r="Z28" s="321" t="s">
        <v>6</v>
      </c>
      <c r="AA28" s="321" t="s">
        <v>6</v>
      </c>
      <c r="AB28" s="316" t="s">
        <v>1448</v>
      </c>
    </row>
    <row r="29" spans="1:28" ht="141.4" customHeight="1" x14ac:dyDescent="0.2">
      <c r="A29" s="317" t="s">
        <v>351</v>
      </c>
      <c r="B29" s="317" t="s">
        <v>1431</v>
      </c>
      <c r="C29" s="317" t="s">
        <v>1432</v>
      </c>
      <c r="D29" s="484" t="s">
        <v>1432</v>
      </c>
      <c r="E29" s="484" t="s">
        <v>79</v>
      </c>
      <c r="F29" s="318" t="s">
        <v>6</v>
      </c>
      <c r="G29" s="317" t="s">
        <v>79</v>
      </c>
      <c r="H29" s="317" t="s">
        <v>79</v>
      </c>
      <c r="I29" s="318" t="s">
        <v>367</v>
      </c>
      <c r="J29" s="317" t="s">
        <v>1433</v>
      </c>
      <c r="K29" s="317" t="s">
        <v>1434</v>
      </c>
      <c r="L29" s="317">
        <v>6</v>
      </c>
      <c r="M29" s="317" t="s">
        <v>1435</v>
      </c>
      <c r="N29" s="317">
        <v>400</v>
      </c>
      <c r="O29" s="317" t="s">
        <v>1436</v>
      </c>
      <c r="P29" s="318" t="s">
        <v>1083</v>
      </c>
      <c r="Q29" s="318" t="s">
        <v>1083</v>
      </c>
      <c r="R29" s="318" t="s">
        <v>1437</v>
      </c>
      <c r="S29" s="320" t="s">
        <v>1443</v>
      </c>
      <c r="T29" s="320" t="s">
        <v>7</v>
      </c>
      <c r="U29" s="321">
        <v>4</v>
      </c>
      <c r="V29" s="321">
        <v>390</v>
      </c>
      <c r="W29" s="320" t="s">
        <v>6</v>
      </c>
      <c r="X29" s="321" t="s">
        <v>79</v>
      </c>
      <c r="Y29" s="320" t="s">
        <v>79</v>
      </c>
      <c r="Z29" s="321" t="s">
        <v>6</v>
      </c>
      <c r="AA29" s="321" t="s">
        <v>79</v>
      </c>
      <c r="AB29" s="316" t="s">
        <v>1449</v>
      </c>
    </row>
    <row r="30" spans="1:28" ht="126.2" customHeight="1" x14ac:dyDescent="0.2">
      <c r="A30" s="317" t="s">
        <v>351</v>
      </c>
      <c r="B30" s="317" t="s">
        <v>1424</v>
      </c>
      <c r="C30" s="329" t="s">
        <v>1425</v>
      </c>
      <c r="D30" s="485" t="s">
        <v>1425</v>
      </c>
      <c r="E30" s="484" t="s">
        <v>79</v>
      </c>
      <c r="F30" s="318" t="s">
        <v>6</v>
      </c>
      <c r="G30" s="317" t="s">
        <v>79</v>
      </c>
      <c r="H30" s="317" t="s">
        <v>79</v>
      </c>
      <c r="I30" s="318" t="s">
        <v>1426</v>
      </c>
      <c r="J30" s="317" t="s">
        <v>1427</v>
      </c>
      <c r="K30" s="317" t="s">
        <v>913</v>
      </c>
      <c r="L30" s="317">
        <v>6</v>
      </c>
      <c r="M30" s="317" t="s">
        <v>1413</v>
      </c>
      <c r="N30" s="317">
        <v>120</v>
      </c>
      <c r="O30" s="318" t="s">
        <v>1419</v>
      </c>
      <c r="P30" s="318" t="s">
        <v>1083</v>
      </c>
      <c r="Q30" s="318" t="s">
        <v>1083</v>
      </c>
      <c r="R30" s="318" t="s">
        <v>1428</v>
      </c>
      <c r="S30" s="320" t="s">
        <v>1443</v>
      </c>
      <c r="T30" s="320" t="s">
        <v>7</v>
      </c>
      <c r="U30" s="321">
        <v>9</v>
      </c>
      <c r="V30" s="321">
        <v>444</v>
      </c>
      <c r="W30" s="320" t="s">
        <v>79</v>
      </c>
      <c r="X30" s="321" t="s">
        <v>6</v>
      </c>
      <c r="Y30" s="320" t="s">
        <v>79</v>
      </c>
      <c r="Z30" s="321" t="s">
        <v>6</v>
      </c>
      <c r="AA30" s="321" t="s">
        <v>6</v>
      </c>
      <c r="AB30" s="316" t="s">
        <v>1671</v>
      </c>
    </row>
    <row r="33" spans="4:5" x14ac:dyDescent="0.2">
      <c r="D33" s="319"/>
      <c r="E33" s="319"/>
    </row>
    <row r="34" spans="4:5" x14ac:dyDescent="0.2">
      <c r="D34" s="319"/>
      <c r="E34" s="319"/>
    </row>
    <row r="35" spans="4:5" x14ac:dyDescent="0.2">
      <c r="D35" s="319"/>
      <c r="E35" s="319"/>
    </row>
  </sheetData>
  <mergeCells count="46">
    <mergeCell ref="S2:U2"/>
    <mergeCell ref="V2:X2"/>
    <mergeCell ref="S3:U3"/>
    <mergeCell ref="I2:J2"/>
    <mergeCell ref="K2:L2"/>
    <mergeCell ref="M2:N2"/>
    <mergeCell ref="O2:P2"/>
    <mergeCell ref="Q2:R2"/>
    <mergeCell ref="L6:L8"/>
    <mergeCell ref="O6:O8"/>
    <mergeCell ref="P6:P8"/>
    <mergeCell ref="Q6:Q8"/>
    <mergeCell ref="R6:R8"/>
    <mergeCell ref="L15:L17"/>
    <mergeCell ref="O15:O17"/>
    <mergeCell ref="R15:R17"/>
    <mergeCell ref="O9:O11"/>
    <mergeCell ref="R9:R11"/>
    <mergeCell ref="L9:L11"/>
    <mergeCell ref="J18:J20"/>
    <mergeCell ref="K18:K20"/>
    <mergeCell ref="L18:L22"/>
    <mergeCell ref="M18:M20"/>
    <mergeCell ref="N18:N22"/>
    <mergeCell ref="W18:W22"/>
    <mergeCell ref="U12:U14"/>
    <mergeCell ref="U15:U17"/>
    <mergeCell ref="L23:L25"/>
    <mergeCell ref="O23:O25"/>
    <mergeCell ref="R23:R25"/>
    <mergeCell ref="Q23:Q25"/>
    <mergeCell ref="U23:U25"/>
    <mergeCell ref="O18:O20"/>
    <mergeCell ref="P18:P20"/>
    <mergeCell ref="Q18:Q20"/>
    <mergeCell ref="R18:R20"/>
    <mergeCell ref="O21:O22"/>
    <mergeCell ref="L12:L14"/>
    <mergeCell ref="O12:O14"/>
    <mergeCell ref="R12:R14"/>
    <mergeCell ref="U6:U8"/>
    <mergeCell ref="V6:V8"/>
    <mergeCell ref="V23:V25"/>
    <mergeCell ref="U18:U22"/>
    <mergeCell ref="V18:V22"/>
    <mergeCell ref="U9:U11"/>
  </mergeCells>
  <dataValidations count="2">
    <dataValidation type="textLength" showInputMessage="1" showErrorMessage="1" sqref="AH4">
      <formula1>0</formula1>
      <formula2>150</formula2>
    </dataValidation>
    <dataValidation type="list" allowBlank="1" showInputMessage="1" showErrorMessage="1" sqref="AD4:AF4 W27:W30 X26:Y30">
      <formula1>#REF!</formula1>
    </dataValidation>
  </dataValidations>
  <pageMargins left="0.70866141732283472" right="0.70866141732283472" top="0.74803149606299213" bottom="0.74803149606299213" header="0.31496062992125984" footer="0.31496062992125984"/>
  <pageSetup paperSize="8" scale="54" orientation="landscape" r:id="rId1"/>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pageSetUpPr fitToPage="1"/>
  </sheetPr>
  <dimension ref="A1:P54"/>
  <sheetViews>
    <sheetView zoomScale="80" zoomScaleNormal="80" workbookViewId="0">
      <selection activeCell="H4" sqref="H4"/>
    </sheetView>
  </sheetViews>
  <sheetFormatPr defaultColWidth="8.85546875" defaultRowHeight="12.75" x14ac:dyDescent="0.2"/>
  <cols>
    <col min="2" max="2" width="18.140625" customWidth="1"/>
    <col min="3" max="3" width="9.7109375" customWidth="1"/>
    <col min="4" max="4" width="25.85546875" customWidth="1"/>
    <col min="5" max="5" width="10.85546875" customWidth="1"/>
    <col min="6" max="6" width="7.85546875" customWidth="1"/>
    <col min="7" max="7" width="11.140625" customWidth="1"/>
    <col min="8" max="8" width="10.5703125" customWidth="1"/>
    <col min="9" max="9" width="17.140625" customWidth="1"/>
    <col min="10" max="10" width="12.7109375" customWidth="1"/>
    <col min="11" max="11" width="13.7109375" customWidth="1"/>
    <col min="12" max="12" width="16" customWidth="1"/>
    <col min="13" max="13" width="36.140625" customWidth="1"/>
    <col min="14" max="14" width="12.85546875" customWidth="1"/>
    <col min="15" max="15" width="17.5703125" customWidth="1"/>
    <col min="16" max="16" width="13.42578125" customWidth="1"/>
  </cols>
  <sheetData>
    <row r="1" spans="1:16" ht="13.5" thickBot="1" x14ac:dyDescent="0.25">
      <c r="A1" s="8" t="s">
        <v>236</v>
      </c>
      <c r="B1" s="139"/>
      <c r="C1" s="139"/>
      <c r="D1" s="140"/>
      <c r="E1" s="41"/>
      <c r="F1" s="41"/>
      <c r="G1" s="42"/>
      <c r="H1" s="41"/>
      <c r="I1" s="41"/>
      <c r="J1" s="41"/>
      <c r="K1" s="42"/>
      <c r="L1" s="42"/>
      <c r="M1" s="42"/>
      <c r="N1" s="42"/>
      <c r="O1" s="42"/>
      <c r="P1" s="43"/>
    </row>
    <row r="2" spans="1:16" x14ac:dyDescent="0.2">
      <c r="J2" s="20"/>
      <c r="K2" s="20"/>
      <c r="L2" s="165" t="s">
        <v>56</v>
      </c>
      <c r="M2" s="338" t="s">
        <v>50</v>
      </c>
    </row>
    <row r="3" spans="1:16" x14ac:dyDescent="0.2">
      <c r="J3" s="145"/>
      <c r="K3" s="145"/>
      <c r="L3" s="166" t="s">
        <v>55</v>
      </c>
      <c r="M3" s="419">
        <v>2018</v>
      </c>
    </row>
    <row r="4" spans="1:16" ht="85.15" customHeight="1" x14ac:dyDescent="0.2">
      <c r="A4" s="141" t="s">
        <v>0</v>
      </c>
      <c r="B4" s="142" t="s">
        <v>225</v>
      </c>
      <c r="C4" s="142" t="s">
        <v>226</v>
      </c>
      <c r="D4" s="142" t="s">
        <v>237</v>
      </c>
      <c r="E4" s="142" t="s">
        <v>238</v>
      </c>
      <c r="F4" s="142" t="s">
        <v>239</v>
      </c>
      <c r="G4" s="142" t="s">
        <v>4</v>
      </c>
      <c r="H4" s="158" t="s">
        <v>350</v>
      </c>
      <c r="I4" s="159" t="s">
        <v>240</v>
      </c>
      <c r="J4" s="159" t="s">
        <v>340</v>
      </c>
      <c r="K4" s="159" t="s">
        <v>341</v>
      </c>
      <c r="L4" s="782" t="s">
        <v>241</v>
      </c>
      <c r="M4" s="158" t="s">
        <v>97</v>
      </c>
    </row>
    <row r="5" spans="1:16" ht="136.5" customHeight="1" x14ac:dyDescent="0.2">
      <c r="A5" s="273" t="s">
        <v>351</v>
      </c>
      <c r="B5" s="273" t="s">
        <v>1359</v>
      </c>
      <c r="C5" s="273" t="s">
        <v>1450</v>
      </c>
      <c r="D5" s="342" t="s">
        <v>1451</v>
      </c>
      <c r="E5" s="273" t="s">
        <v>242</v>
      </c>
      <c r="F5" s="273" t="s">
        <v>6</v>
      </c>
      <c r="G5" s="273"/>
      <c r="H5" s="340" t="s">
        <v>6</v>
      </c>
      <c r="I5" s="340" t="s">
        <v>1366</v>
      </c>
      <c r="J5" s="161" t="s">
        <v>6</v>
      </c>
      <c r="K5" s="161" t="s">
        <v>79</v>
      </c>
      <c r="L5" s="346"/>
      <c r="M5" s="343"/>
    </row>
    <row r="6" spans="1:16" ht="212.1" customHeight="1" x14ac:dyDescent="0.2">
      <c r="A6" s="273" t="s">
        <v>351</v>
      </c>
      <c r="B6" s="273" t="s">
        <v>1359</v>
      </c>
      <c r="C6" s="273" t="s">
        <v>1450</v>
      </c>
      <c r="D6" s="342" t="s">
        <v>1452</v>
      </c>
      <c r="E6" s="273" t="s">
        <v>242</v>
      </c>
      <c r="F6" s="273" t="s">
        <v>6</v>
      </c>
      <c r="G6" s="273"/>
      <c r="H6" s="340" t="s">
        <v>6</v>
      </c>
      <c r="I6" s="340" t="s">
        <v>1366</v>
      </c>
      <c r="J6" s="161" t="s">
        <v>6</v>
      </c>
      <c r="K6" s="161" t="s">
        <v>79</v>
      </c>
      <c r="L6" s="346"/>
      <c r="M6" s="343"/>
    </row>
    <row r="7" spans="1:16" ht="310.5" customHeight="1" x14ac:dyDescent="0.2">
      <c r="A7" s="273" t="s">
        <v>351</v>
      </c>
      <c r="B7" s="273" t="s">
        <v>1359</v>
      </c>
      <c r="C7" s="273" t="s">
        <v>1450</v>
      </c>
      <c r="D7" s="342" t="s">
        <v>1453</v>
      </c>
      <c r="E7" s="273" t="s">
        <v>242</v>
      </c>
      <c r="F7" s="273" t="s">
        <v>6</v>
      </c>
      <c r="G7" s="273"/>
      <c r="H7" s="340" t="s">
        <v>6</v>
      </c>
      <c r="I7" s="340" t="s">
        <v>1366</v>
      </c>
      <c r="J7" s="161" t="s">
        <v>6</v>
      </c>
      <c r="K7" s="161" t="s">
        <v>79</v>
      </c>
      <c r="L7" s="346"/>
      <c r="M7" s="343"/>
    </row>
    <row r="8" spans="1:16" ht="200.25" customHeight="1" x14ac:dyDescent="0.2">
      <c r="A8" s="273" t="s">
        <v>351</v>
      </c>
      <c r="B8" s="273" t="s">
        <v>1359</v>
      </c>
      <c r="C8" s="273" t="s">
        <v>1450</v>
      </c>
      <c r="D8" s="342" t="s">
        <v>1454</v>
      </c>
      <c r="E8" s="273" t="s">
        <v>242</v>
      </c>
      <c r="F8" s="273" t="s">
        <v>6</v>
      </c>
      <c r="G8" s="273"/>
      <c r="H8" s="340" t="s">
        <v>6</v>
      </c>
      <c r="I8" s="340" t="s">
        <v>1366</v>
      </c>
      <c r="J8" s="161" t="s">
        <v>6</v>
      </c>
      <c r="K8" s="161" t="s">
        <v>79</v>
      </c>
      <c r="L8" s="346"/>
      <c r="M8" s="343"/>
    </row>
    <row r="9" spans="1:16" ht="409.5" x14ac:dyDescent="0.2">
      <c r="A9" s="273" t="s">
        <v>351</v>
      </c>
      <c r="B9" s="273" t="s">
        <v>1359</v>
      </c>
      <c r="C9" s="273" t="s">
        <v>1450</v>
      </c>
      <c r="D9" s="342" t="s">
        <v>1455</v>
      </c>
      <c r="E9" s="273" t="s">
        <v>242</v>
      </c>
      <c r="F9" s="273" t="s">
        <v>6</v>
      </c>
      <c r="G9" s="273"/>
      <c r="H9" s="340" t="s">
        <v>6</v>
      </c>
      <c r="I9" s="340" t="s">
        <v>1366</v>
      </c>
      <c r="J9" s="161" t="s">
        <v>6</v>
      </c>
      <c r="K9" s="161" t="s">
        <v>79</v>
      </c>
      <c r="L9" s="346"/>
      <c r="M9" s="343"/>
    </row>
    <row r="10" spans="1:16" ht="38.25" x14ac:dyDescent="0.2">
      <c r="A10" s="273" t="s">
        <v>351</v>
      </c>
      <c r="B10" s="273" t="s">
        <v>1359</v>
      </c>
      <c r="C10" s="273" t="s">
        <v>1450</v>
      </c>
      <c r="D10" s="342" t="s">
        <v>1456</v>
      </c>
      <c r="E10" s="273" t="s">
        <v>242</v>
      </c>
      <c r="F10" s="273" t="s">
        <v>6</v>
      </c>
      <c r="G10" s="273"/>
      <c r="H10" s="340" t="s">
        <v>6</v>
      </c>
      <c r="I10" s="340" t="s">
        <v>1501</v>
      </c>
      <c r="J10" s="161" t="s">
        <v>79</v>
      </c>
      <c r="K10" s="161" t="s">
        <v>79</v>
      </c>
      <c r="L10" s="346"/>
      <c r="M10" s="343"/>
    </row>
    <row r="11" spans="1:16" ht="51" x14ac:dyDescent="0.2">
      <c r="A11" s="273" t="s">
        <v>351</v>
      </c>
      <c r="B11" s="273" t="s">
        <v>1359</v>
      </c>
      <c r="C11" s="273" t="s">
        <v>1450</v>
      </c>
      <c r="D11" s="342" t="s">
        <v>1457</v>
      </c>
      <c r="E11" s="273" t="s">
        <v>243</v>
      </c>
      <c r="F11" s="273" t="s">
        <v>79</v>
      </c>
      <c r="G11" s="273" t="s">
        <v>1458</v>
      </c>
      <c r="H11" s="340" t="s">
        <v>6</v>
      </c>
      <c r="I11" s="340" t="s">
        <v>1502</v>
      </c>
      <c r="J11" s="161" t="s">
        <v>6</v>
      </c>
      <c r="K11" s="161" t="s">
        <v>79</v>
      </c>
      <c r="L11" s="346"/>
      <c r="M11" s="343"/>
    </row>
    <row r="12" spans="1:16" ht="38.25" x14ac:dyDescent="0.2">
      <c r="A12" s="273" t="s">
        <v>351</v>
      </c>
      <c r="B12" s="273" t="s">
        <v>1359</v>
      </c>
      <c r="C12" s="273" t="s">
        <v>1450</v>
      </c>
      <c r="D12" s="342" t="s">
        <v>1459</v>
      </c>
      <c r="E12" s="273" t="s">
        <v>243</v>
      </c>
      <c r="F12" s="273" t="s">
        <v>79</v>
      </c>
      <c r="G12" s="273"/>
      <c r="H12" s="340" t="s">
        <v>6</v>
      </c>
      <c r="I12" s="340" t="s">
        <v>1366</v>
      </c>
      <c r="J12" s="161" t="s">
        <v>6</v>
      </c>
      <c r="K12" s="161" t="s">
        <v>79</v>
      </c>
      <c r="L12" s="346"/>
      <c r="M12" s="343"/>
    </row>
    <row r="13" spans="1:16" ht="38.25" x14ac:dyDescent="0.2">
      <c r="A13" s="273" t="s">
        <v>351</v>
      </c>
      <c r="B13" s="273" t="s">
        <v>1359</v>
      </c>
      <c r="C13" s="273" t="s">
        <v>1450</v>
      </c>
      <c r="D13" s="342" t="s">
        <v>1460</v>
      </c>
      <c r="E13" s="273" t="s">
        <v>243</v>
      </c>
      <c r="F13" s="273" t="s">
        <v>79</v>
      </c>
      <c r="G13" s="273"/>
      <c r="H13" s="340" t="s">
        <v>6</v>
      </c>
      <c r="I13" s="340" t="s">
        <v>1501</v>
      </c>
      <c r="J13" s="161" t="s">
        <v>79</v>
      </c>
      <c r="K13" s="161" t="s">
        <v>79</v>
      </c>
      <c r="L13" s="346"/>
      <c r="M13" s="343"/>
    </row>
    <row r="14" spans="1:16" ht="149.25" customHeight="1" x14ac:dyDescent="0.2">
      <c r="A14" s="273" t="s">
        <v>351</v>
      </c>
      <c r="B14" s="273" t="s">
        <v>1359</v>
      </c>
      <c r="C14" s="273" t="s">
        <v>1450</v>
      </c>
      <c r="D14" s="342" t="s">
        <v>1461</v>
      </c>
      <c r="E14" s="273" t="s">
        <v>243</v>
      </c>
      <c r="F14" s="273" t="s">
        <v>79</v>
      </c>
      <c r="G14" s="273"/>
      <c r="H14" s="341" t="s">
        <v>6</v>
      </c>
      <c r="I14" s="341" t="s">
        <v>1503</v>
      </c>
      <c r="J14" s="347" t="s">
        <v>6</v>
      </c>
      <c r="K14" s="347" t="s">
        <v>79</v>
      </c>
      <c r="L14" s="783"/>
      <c r="M14" s="343"/>
    </row>
    <row r="15" spans="1:16" ht="51" x14ac:dyDescent="0.2">
      <c r="A15" s="273" t="s">
        <v>351</v>
      </c>
      <c r="B15" s="273" t="s">
        <v>1397</v>
      </c>
      <c r="C15" s="273" t="s">
        <v>1462</v>
      </c>
      <c r="D15" s="342" t="s">
        <v>1463</v>
      </c>
      <c r="E15" s="273" t="s">
        <v>242</v>
      </c>
      <c r="F15" s="273" t="s">
        <v>6</v>
      </c>
      <c r="G15" s="745" t="s">
        <v>1464</v>
      </c>
      <c r="H15" s="346" t="s">
        <v>6</v>
      </c>
      <c r="I15" s="748" t="s">
        <v>1504</v>
      </c>
      <c r="J15" s="348" t="s">
        <v>79</v>
      </c>
      <c r="K15" s="349" t="s">
        <v>79</v>
      </c>
      <c r="L15" s="783"/>
      <c r="M15" s="162"/>
    </row>
    <row r="16" spans="1:16" ht="51" x14ac:dyDescent="0.2">
      <c r="A16" s="273" t="s">
        <v>351</v>
      </c>
      <c r="B16" s="273" t="s">
        <v>1397</v>
      </c>
      <c r="C16" s="273" t="s">
        <v>1462</v>
      </c>
      <c r="D16" s="342" t="s">
        <v>1465</v>
      </c>
      <c r="E16" s="273" t="s">
        <v>243</v>
      </c>
      <c r="F16" s="273" t="s">
        <v>79</v>
      </c>
      <c r="G16" s="746"/>
      <c r="H16" s="346" t="s">
        <v>6</v>
      </c>
      <c r="I16" s="748"/>
      <c r="J16" s="348" t="s">
        <v>79</v>
      </c>
      <c r="K16" s="349" t="s">
        <v>79</v>
      </c>
      <c r="L16" s="783"/>
      <c r="M16" s="162"/>
    </row>
    <row r="17" spans="1:14" ht="51" x14ac:dyDescent="0.2">
      <c r="A17" s="273" t="s">
        <v>351</v>
      </c>
      <c r="B17" s="273" t="s">
        <v>1397</v>
      </c>
      <c r="C17" s="273" t="s">
        <v>1462</v>
      </c>
      <c r="D17" s="342" t="s">
        <v>1466</v>
      </c>
      <c r="E17" s="273" t="s">
        <v>243</v>
      </c>
      <c r="F17" s="273" t="s">
        <v>79</v>
      </c>
      <c r="G17" s="746"/>
      <c r="H17" s="346" t="s">
        <v>6</v>
      </c>
      <c r="I17" s="748"/>
      <c r="J17" s="348" t="s">
        <v>79</v>
      </c>
      <c r="K17" s="349" t="s">
        <v>79</v>
      </c>
      <c r="L17" s="783"/>
      <c r="M17" s="162"/>
    </row>
    <row r="18" spans="1:14" ht="51" x14ac:dyDescent="0.2">
      <c r="A18" s="273" t="s">
        <v>351</v>
      </c>
      <c r="B18" s="273" t="s">
        <v>1397</v>
      </c>
      <c r="C18" s="273" t="s">
        <v>1462</v>
      </c>
      <c r="D18" s="342" t="s">
        <v>1467</v>
      </c>
      <c r="E18" s="273" t="s">
        <v>243</v>
      </c>
      <c r="F18" s="273" t="s">
        <v>79</v>
      </c>
      <c r="G18" s="746"/>
      <c r="H18" s="346" t="s">
        <v>6</v>
      </c>
      <c r="I18" s="748"/>
      <c r="J18" s="348" t="s">
        <v>79</v>
      </c>
      <c r="K18" s="349" t="s">
        <v>79</v>
      </c>
      <c r="L18" s="783"/>
      <c r="M18" s="162"/>
    </row>
    <row r="19" spans="1:14" ht="49.15" customHeight="1" x14ac:dyDescent="0.2">
      <c r="A19" s="273" t="s">
        <v>351</v>
      </c>
      <c r="B19" s="273" t="s">
        <v>1397</v>
      </c>
      <c r="C19" s="273" t="s">
        <v>1468</v>
      </c>
      <c r="D19" s="342" t="s">
        <v>1469</v>
      </c>
      <c r="E19" s="273" t="s">
        <v>243</v>
      </c>
      <c r="F19" s="273" t="s">
        <v>79</v>
      </c>
      <c r="G19" s="747"/>
      <c r="H19" s="346" t="s">
        <v>6</v>
      </c>
      <c r="I19" s="748"/>
      <c r="J19" s="348" t="s">
        <v>79</v>
      </c>
      <c r="K19" s="349" t="s">
        <v>79</v>
      </c>
      <c r="L19" s="783"/>
      <c r="M19" s="162"/>
    </row>
    <row r="20" spans="1:14" ht="25.5" x14ac:dyDescent="0.2">
      <c r="A20" s="273" t="s">
        <v>351</v>
      </c>
      <c r="B20" s="322" t="s">
        <v>1369</v>
      </c>
      <c r="C20" s="273"/>
      <c r="D20" s="342" t="s">
        <v>1031</v>
      </c>
      <c r="E20" s="273" t="s">
        <v>242</v>
      </c>
      <c r="F20" s="273" t="s">
        <v>6</v>
      </c>
      <c r="G20" s="273"/>
      <c r="H20" s="344" t="s">
        <v>1508</v>
      </c>
      <c r="I20" s="345" t="s">
        <v>1509</v>
      </c>
      <c r="J20" s="345" t="s">
        <v>1510</v>
      </c>
      <c r="K20" s="344" t="s">
        <v>1511</v>
      </c>
      <c r="L20" s="783"/>
      <c r="M20" s="162"/>
      <c r="N20" s="477"/>
    </row>
    <row r="21" spans="1:14" ht="25.5" x14ac:dyDescent="0.2">
      <c r="A21" s="273" t="s">
        <v>351</v>
      </c>
      <c r="B21" s="322" t="s">
        <v>1369</v>
      </c>
      <c r="C21" s="273"/>
      <c r="D21" s="342" t="s">
        <v>1470</v>
      </c>
      <c r="E21" s="273" t="s">
        <v>242</v>
      </c>
      <c r="F21" s="273" t="s">
        <v>6</v>
      </c>
      <c r="G21" s="273"/>
      <c r="H21" s="344" t="s">
        <v>1508</v>
      </c>
      <c r="I21" s="345" t="s">
        <v>1509</v>
      </c>
      <c r="J21" s="345" t="s">
        <v>1510</v>
      </c>
      <c r="K21" s="344" t="s">
        <v>1511</v>
      </c>
      <c r="L21" s="783"/>
      <c r="M21" s="162"/>
      <c r="N21" s="477"/>
    </row>
    <row r="22" spans="1:14" ht="25.5" x14ac:dyDescent="0.2">
      <c r="A22" s="273" t="s">
        <v>351</v>
      </c>
      <c r="B22" s="322" t="s">
        <v>1369</v>
      </c>
      <c r="C22" s="273"/>
      <c r="D22" s="342" t="s">
        <v>1471</v>
      </c>
      <c r="E22" s="273" t="s">
        <v>242</v>
      </c>
      <c r="F22" s="273" t="s">
        <v>79</v>
      </c>
      <c r="G22" s="273"/>
      <c r="H22" s="344" t="s">
        <v>1508</v>
      </c>
      <c r="I22" s="345" t="s">
        <v>1509</v>
      </c>
      <c r="J22" s="345" t="s">
        <v>1510</v>
      </c>
      <c r="K22" s="344" t="s">
        <v>1511</v>
      </c>
      <c r="L22" s="783"/>
      <c r="M22" s="162"/>
      <c r="N22" s="477"/>
    </row>
    <row r="23" spans="1:14" ht="31.7" customHeight="1" x14ac:dyDescent="0.2">
      <c r="A23" s="273" t="s">
        <v>351</v>
      </c>
      <c r="B23" s="322" t="s">
        <v>1369</v>
      </c>
      <c r="C23" s="273"/>
      <c r="D23" s="342" t="s">
        <v>1472</v>
      </c>
      <c r="E23" s="273" t="s">
        <v>243</v>
      </c>
      <c r="F23" s="273" t="s">
        <v>79</v>
      </c>
      <c r="G23" s="273"/>
      <c r="H23" s="344" t="s">
        <v>1512</v>
      </c>
      <c r="I23" s="345" t="s">
        <v>1513</v>
      </c>
      <c r="J23" s="345" t="s">
        <v>1511</v>
      </c>
      <c r="K23" s="344" t="s">
        <v>1508</v>
      </c>
      <c r="L23" s="783"/>
      <c r="M23" s="162"/>
      <c r="N23" s="477"/>
    </row>
    <row r="24" spans="1:14" ht="31.7" customHeight="1" x14ac:dyDescent="0.2">
      <c r="A24" s="273" t="s">
        <v>351</v>
      </c>
      <c r="B24" s="322" t="s">
        <v>1369</v>
      </c>
      <c r="C24" s="273"/>
      <c r="D24" s="342" t="s">
        <v>1473</v>
      </c>
      <c r="E24" s="273" t="s">
        <v>243</v>
      </c>
      <c r="F24" s="273" t="s">
        <v>79</v>
      </c>
      <c r="G24" s="273"/>
      <c r="H24" s="344" t="s">
        <v>1512</v>
      </c>
      <c r="I24" s="345" t="s">
        <v>1513</v>
      </c>
      <c r="J24" s="345" t="s">
        <v>1511</v>
      </c>
      <c r="K24" s="344" t="s">
        <v>1508</v>
      </c>
      <c r="L24" s="783"/>
      <c r="M24" s="162"/>
    </row>
    <row r="25" spans="1:14" ht="63.75" x14ac:dyDescent="0.2">
      <c r="A25" s="273" t="s">
        <v>351</v>
      </c>
      <c r="B25" s="273" t="s">
        <v>1376</v>
      </c>
      <c r="C25" s="273"/>
      <c r="D25" s="342" t="s">
        <v>1031</v>
      </c>
      <c r="E25" s="273" t="s">
        <v>242</v>
      </c>
      <c r="F25" s="273" t="s">
        <v>6</v>
      </c>
      <c r="G25" s="273" t="s">
        <v>1474</v>
      </c>
      <c r="H25" s="344" t="s">
        <v>1510</v>
      </c>
      <c r="I25" s="345" t="s">
        <v>1514</v>
      </c>
      <c r="J25" s="345" t="s">
        <v>1510</v>
      </c>
      <c r="K25" s="344" t="s">
        <v>1511</v>
      </c>
      <c r="L25" s="783"/>
      <c r="M25" s="162"/>
    </row>
    <row r="26" spans="1:14" ht="63.75" x14ac:dyDescent="0.2">
      <c r="A26" s="273" t="s">
        <v>351</v>
      </c>
      <c r="B26" s="273" t="s">
        <v>1376</v>
      </c>
      <c r="C26" s="273"/>
      <c r="D26" s="342" t="s">
        <v>1475</v>
      </c>
      <c r="E26" s="273" t="s">
        <v>242</v>
      </c>
      <c r="F26" s="273" t="s">
        <v>6</v>
      </c>
      <c r="G26" s="273" t="s">
        <v>1474</v>
      </c>
      <c r="H26" s="344" t="s">
        <v>1510</v>
      </c>
      <c r="I26" s="345" t="s">
        <v>1514</v>
      </c>
      <c r="J26" s="345" t="s">
        <v>1510</v>
      </c>
      <c r="K26" s="344" t="s">
        <v>1511</v>
      </c>
      <c r="L26" s="783"/>
      <c r="M26" s="162"/>
    </row>
    <row r="27" spans="1:14" ht="63.75" x14ac:dyDescent="0.2">
      <c r="A27" s="273" t="s">
        <v>351</v>
      </c>
      <c r="B27" s="273" t="s">
        <v>1376</v>
      </c>
      <c r="C27" s="273"/>
      <c r="D27" s="342" t="s">
        <v>1476</v>
      </c>
      <c r="E27" s="273" t="s">
        <v>242</v>
      </c>
      <c r="F27" s="273" t="s">
        <v>6</v>
      </c>
      <c r="G27" s="273" t="s">
        <v>1474</v>
      </c>
      <c r="H27" s="344" t="s">
        <v>1510</v>
      </c>
      <c r="I27" s="345" t="s">
        <v>1514</v>
      </c>
      <c r="J27" s="345" t="s">
        <v>1510</v>
      </c>
      <c r="K27" s="344" t="s">
        <v>1511</v>
      </c>
      <c r="L27" s="783"/>
      <c r="M27" s="162"/>
    </row>
    <row r="28" spans="1:14" ht="63.75" x14ac:dyDescent="0.2">
      <c r="A28" s="273" t="s">
        <v>351</v>
      </c>
      <c r="B28" s="273" t="s">
        <v>1376</v>
      </c>
      <c r="C28" s="273"/>
      <c r="D28" s="342" t="s">
        <v>1477</v>
      </c>
      <c r="E28" s="273" t="s">
        <v>243</v>
      </c>
      <c r="F28" s="273" t="s">
        <v>79</v>
      </c>
      <c r="G28" s="273" t="s">
        <v>1474</v>
      </c>
      <c r="H28" s="344" t="s">
        <v>1510</v>
      </c>
      <c r="I28" s="345" t="s">
        <v>1514</v>
      </c>
      <c r="J28" s="345" t="s">
        <v>1510</v>
      </c>
      <c r="K28" s="344" t="s">
        <v>1511</v>
      </c>
      <c r="L28" s="783"/>
      <c r="M28" s="162"/>
    </row>
    <row r="29" spans="1:14" ht="63.75" x14ac:dyDescent="0.2">
      <c r="A29" s="273" t="s">
        <v>351</v>
      </c>
      <c r="B29" s="273" t="s">
        <v>1376</v>
      </c>
      <c r="C29" s="273"/>
      <c r="D29" s="342" t="s">
        <v>1471</v>
      </c>
      <c r="E29" s="273" t="s">
        <v>242</v>
      </c>
      <c r="F29" s="273" t="s">
        <v>79</v>
      </c>
      <c r="G29" s="273" t="s">
        <v>1474</v>
      </c>
      <c r="H29" s="344" t="s">
        <v>1510</v>
      </c>
      <c r="I29" s="345" t="s">
        <v>1515</v>
      </c>
      <c r="J29" s="345" t="s">
        <v>1510</v>
      </c>
      <c r="K29" s="344" t="s">
        <v>1511</v>
      </c>
      <c r="L29" s="783"/>
      <c r="M29" s="162"/>
    </row>
    <row r="30" spans="1:14" ht="63.75" x14ac:dyDescent="0.2">
      <c r="A30" s="273" t="s">
        <v>351</v>
      </c>
      <c r="B30" s="273" t="s">
        <v>1376</v>
      </c>
      <c r="C30" s="273"/>
      <c r="D30" s="342" t="s">
        <v>1472</v>
      </c>
      <c r="E30" s="273" t="s">
        <v>243</v>
      </c>
      <c r="F30" s="273" t="s">
        <v>79</v>
      </c>
      <c r="G30" s="273" t="s">
        <v>1474</v>
      </c>
      <c r="H30" s="344" t="s">
        <v>1512</v>
      </c>
      <c r="I30" s="345" t="s">
        <v>1513</v>
      </c>
      <c r="J30" s="345" t="s">
        <v>1511</v>
      </c>
      <c r="K30" s="344" t="s">
        <v>1508</v>
      </c>
      <c r="L30" s="783"/>
      <c r="M30" s="162"/>
    </row>
    <row r="31" spans="1:14" ht="63.75" x14ac:dyDescent="0.2">
      <c r="A31" s="273" t="s">
        <v>351</v>
      </c>
      <c r="B31" s="273" t="s">
        <v>1376</v>
      </c>
      <c r="C31" s="273"/>
      <c r="D31" s="342" t="s">
        <v>1473</v>
      </c>
      <c r="E31" s="273" t="s">
        <v>243</v>
      </c>
      <c r="F31" s="273" t="s">
        <v>79</v>
      </c>
      <c r="G31" s="273" t="s">
        <v>1474</v>
      </c>
      <c r="H31" s="344" t="s">
        <v>1512</v>
      </c>
      <c r="I31" s="345" t="s">
        <v>1513</v>
      </c>
      <c r="J31" s="345" t="s">
        <v>1511</v>
      </c>
      <c r="K31" s="344" t="s">
        <v>1508</v>
      </c>
      <c r="L31" s="783"/>
      <c r="M31" s="162"/>
    </row>
    <row r="32" spans="1:14" ht="63.75" x14ac:dyDescent="0.2">
      <c r="A32" s="273" t="s">
        <v>351</v>
      </c>
      <c r="B32" s="273" t="s">
        <v>1376</v>
      </c>
      <c r="C32" s="273"/>
      <c r="D32" s="342" t="s">
        <v>1478</v>
      </c>
      <c r="E32" s="273" t="s">
        <v>243</v>
      </c>
      <c r="F32" s="273" t="s">
        <v>79</v>
      </c>
      <c r="G32" s="273" t="s">
        <v>1474</v>
      </c>
      <c r="H32" s="344" t="s">
        <v>1512</v>
      </c>
      <c r="I32" s="345" t="s">
        <v>1513</v>
      </c>
      <c r="J32" s="345" t="s">
        <v>1511</v>
      </c>
      <c r="K32" s="344" t="s">
        <v>1508</v>
      </c>
      <c r="L32" s="783"/>
      <c r="M32" s="162"/>
    </row>
    <row r="33" spans="1:13" ht="63.75" x14ac:dyDescent="0.2">
      <c r="A33" s="273" t="s">
        <v>351</v>
      </c>
      <c r="B33" s="273" t="s">
        <v>1376</v>
      </c>
      <c r="C33" s="273"/>
      <c r="D33" s="342" t="s">
        <v>1031</v>
      </c>
      <c r="E33" s="273" t="s">
        <v>242</v>
      </c>
      <c r="F33" s="273" t="s">
        <v>6</v>
      </c>
      <c r="G33" s="273" t="s">
        <v>1479</v>
      </c>
      <c r="H33" s="344" t="s">
        <v>1510</v>
      </c>
      <c r="I33" s="345" t="s">
        <v>1514</v>
      </c>
      <c r="J33" s="345" t="s">
        <v>1510</v>
      </c>
      <c r="K33" s="344" t="s">
        <v>1511</v>
      </c>
      <c r="L33" s="783"/>
      <c r="M33" s="162"/>
    </row>
    <row r="34" spans="1:13" ht="63.75" x14ac:dyDescent="0.2">
      <c r="A34" s="273" t="s">
        <v>351</v>
      </c>
      <c r="B34" s="273" t="s">
        <v>1376</v>
      </c>
      <c r="C34" s="273"/>
      <c r="D34" s="342" t="s">
        <v>1480</v>
      </c>
      <c r="E34" s="273" t="s">
        <v>242</v>
      </c>
      <c r="F34" s="273" t="s">
        <v>6</v>
      </c>
      <c r="G34" s="273" t="s">
        <v>1479</v>
      </c>
      <c r="H34" s="344" t="s">
        <v>1510</v>
      </c>
      <c r="I34" s="345" t="s">
        <v>1514</v>
      </c>
      <c r="J34" s="345" t="s">
        <v>1510</v>
      </c>
      <c r="K34" s="344" t="s">
        <v>1511</v>
      </c>
      <c r="L34" s="783"/>
      <c r="M34" s="162"/>
    </row>
    <row r="35" spans="1:13" ht="63.75" x14ac:dyDescent="0.2">
      <c r="A35" s="273" t="s">
        <v>351</v>
      </c>
      <c r="B35" s="273" t="s">
        <v>1376</v>
      </c>
      <c r="C35" s="273"/>
      <c r="D35" s="342" t="s">
        <v>1481</v>
      </c>
      <c r="E35" s="273" t="s">
        <v>242</v>
      </c>
      <c r="F35" s="273" t="s">
        <v>79</v>
      </c>
      <c r="G35" s="273" t="s">
        <v>1479</v>
      </c>
      <c r="H35" s="344" t="s">
        <v>1510</v>
      </c>
      <c r="I35" s="345" t="s">
        <v>1514</v>
      </c>
      <c r="J35" s="345" t="s">
        <v>1510</v>
      </c>
      <c r="K35" s="344" t="s">
        <v>1511</v>
      </c>
      <c r="L35" s="783"/>
      <c r="M35" s="162"/>
    </row>
    <row r="36" spans="1:13" ht="63.75" x14ac:dyDescent="0.2">
      <c r="A36" s="273" t="s">
        <v>351</v>
      </c>
      <c r="B36" s="273" t="s">
        <v>1376</v>
      </c>
      <c r="C36" s="273"/>
      <c r="D36" s="342" t="s">
        <v>1471</v>
      </c>
      <c r="E36" s="273" t="s">
        <v>242</v>
      </c>
      <c r="F36" s="273" t="s">
        <v>79</v>
      </c>
      <c r="G36" s="273" t="s">
        <v>1479</v>
      </c>
      <c r="H36" s="344" t="s">
        <v>1510</v>
      </c>
      <c r="I36" s="345" t="s">
        <v>1515</v>
      </c>
      <c r="J36" s="345" t="s">
        <v>1510</v>
      </c>
      <c r="K36" s="344" t="s">
        <v>1511</v>
      </c>
      <c r="L36" s="783"/>
      <c r="M36" s="162"/>
    </row>
    <row r="37" spans="1:13" ht="63.75" x14ac:dyDescent="0.2">
      <c r="A37" s="273" t="s">
        <v>351</v>
      </c>
      <c r="B37" s="273" t="s">
        <v>1376</v>
      </c>
      <c r="C37" s="273"/>
      <c r="D37" s="342" t="s">
        <v>1472</v>
      </c>
      <c r="E37" s="273" t="s">
        <v>243</v>
      </c>
      <c r="F37" s="273" t="s">
        <v>79</v>
      </c>
      <c r="G37" s="273" t="s">
        <v>1479</v>
      </c>
      <c r="H37" s="344" t="s">
        <v>1512</v>
      </c>
      <c r="I37" s="345" t="s">
        <v>1513</v>
      </c>
      <c r="J37" s="345" t="s">
        <v>1511</v>
      </c>
      <c r="K37" s="344" t="s">
        <v>1508</v>
      </c>
      <c r="L37" s="783"/>
      <c r="M37" s="162"/>
    </row>
    <row r="38" spans="1:13" ht="63.75" x14ac:dyDescent="0.2">
      <c r="A38" s="273" t="s">
        <v>351</v>
      </c>
      <c r="B38" s="273" t="s">
        <v>1376</v>
      </c>
      <c r="C38" s="273"/>
      <c r="D38" s="342" t="s">
        <v>1473</v>
      </c>
      <c r="E38" s="273" t="s">
        <v>243</v>
      </c>
      <c r="F38" s="273" t="s">
        <v>79</v>
      </c>
      <c r="G38" s="273" t="s">
        <v>1479</v>
      </c>
      <c r="H38" s="344" t="s">
        <v>1512</v>
      </c>
      <c r="I38" s="345" t="s">
        <v>1513</v>
      </c>
      <c r="J38" s="345" t="s">
        <v>1511</v>
      </c>
      <c r="K38" s="344" t="s">
        <v>1508</v>
      </c>
      <c r="L38" s="783"/>
      <c r="M38" s="162"/>
    </row>
    <row r="39" spans="1:13" ht="178.5" x14ac:dyDescent="0.2">
      <c r="A39" s="273" t="s">
        <v>351</v>
      </c>
      <c r="B39" s="273" t="s">
        <v>1402</v>
      </c>
      <c r="C39" s="273" t="s">
        <v>1403</v>
      </c>
      <c r="D39" s="342" t="s">
        <v>1482</v>
      </c>
      <c r="E39" s="273" t="s">
        <v>242</v>
      </c>
      <c r="F39" s="273" t="s">
        <v>6</v>
      </c>
      <c r="G39" s="273" t="s">
        <v>1483</v>
      </c>
      <c r="H39" s="341" t="s">
        <v>6</v>
      </c>
      <c r="I39" s="341" t="s">
        <v>1366</v>
      </c>
      <c r="J39" s="347" t="s">
        <v>6</v>
      </c>
      <c r="K39" s="347" t="s">
        <v>6</v>
      </c>
      <c r="L39" s="783" t="str">
        <f>IF(OR(H39="Y",H39=""),"","x")</f>
        <v/>
      </c>
      <c r="M39" s="162"/>
    </row>
    <row r="40" spans="1:13" ht="38.25" x14ac:dyDescent="0.2">
      <c r="A40" s="273" t="s">
        <v>351</v>
      </c>
      <c r="B40" s="273" t="s">
        <v>1402</v>
      </c>
      <c r="C40" s="273" t="s">
        <v>1403</v>
      </c>
      <c r="D40" s="342" t="s">
        <v>1484</v>
      </c>
      <c r="E40" s="273" t="s">
        <v>242</v>
      </c>
      <c r="F40" s="273" t="s">
        <v>6</v>
      </c>
      <c r="G40" s="273" t="s">
        <v>1485</v>
      </c>
      <c r="H40" s="340" t="s">
        <v>6</v>
      </c>
      <c r="I40" s="340" t="s">
        <v>1366</v>
      </c>
      <c r="J40" s="161" t="s">
        <v>6</v>
      </c>
      <c r="K40" s="161" t="s">
        <v>6</v>
      </c>
      <c r="L40" s="346" t="str">
        <f>IF(OR(H40="Y",H40=""),"","x")</f>
        <v/>
      </c>
      <c r="M40" s="162"/>
    </row>
    <row r="41" spans="1:13" ht="38.25" x14ac:dyDescent="0.2">
      <c r="A41" s="273" t="s">
        <v>351</v>
      </c>
      <c r="B41" s="273" t="s">
        <v>1402</v>
      </c>
      <c r="C41" s="273" t="s">
        <v>1403</v>
      </c>
      <c r="D41" s="342" t="s">
        <v>1457</v>
      </c>
      <c r="E41" s="273" t="s">
        <v>243</v>
      </c>
      <c r="F41" s="273" t="s">
        <v>79</v>
      </c>
      <c r="G41" s="273" t="s">
        <v>1486</v>
      </c>
      <c r="H41" s="161" t="s">
        <v>6</v>
      </c>
      <c r="I41" s="340" t="s">
        <v>1501</v>
      </c>
      <c r="J41" s="161" t="s">
        <v>79</v>
      </c>
      <c r="K41" s="161" t="s">
        <v>79</v>
      </c>
      <c r="L41" s="346" t="str">
        <f>IF(OR(H41="Y",H41=""),"","x")</f>
        <v/>
      </c>
      <c r="M41" s="162"/>
    </row>
    <row r="42" spans="1:13" ht="38.25" x14ac:dyDescent="0.2">
      <c r="A42" s="273" t="s">
        <v>351</v>
      </c>
      <c r="B42" s="273" t="s">
        <v>1402</v>
      </c>
      <c r="C42" s="273" t="s">
        <v>1403</v>
      </c>
      <c r="D42" s="342" t="s">
        <v>1459</v>
      </c>
      <c r="E42" s="273" t="s">
        <v>243</v>
      </c>
      <c r="F42" s="273" t="s">
        <v>79</v>
      </c>
      <c r="G42" s="273" t="s">
        <v>1486</v>
      </c>
      <c r="H42" s="340" t="s">
        <v>6</v>
      </c>
      <c r="I42" s="161" t="s">
        <v>1502</v>
      </c>
      <c r="J42" s="161" t="s">
        <v>79</v>
      </c>
      <c r="K42" s="161" t="s">
        <v>79</v>
      </c>
      <c r="L42" s="346" t="str">
        <f>IF(OR(H42="Y",H42=""),"","x")</f>
        <v/>
      </c>
      <c r="M42" s="162"/>
    </row>
    <row r="43" spans="1:13" ht="89.25" x14ac:dyDescent="0.2">
      <c r="A43" s="273" t="s">
        <v>351</v>
      </c>
      <c r="B43" s="273" t="s">
        <v>1402</v>
      </c>
      <c r="C43" s="273" t="s">
        <v>1403</v>
      </c>
      <c r="D43" s="342" t="s">
        <v>1460</v>
      </c>
      <c r="E43" s="273" t="s">
        <v>243</v>
      </c>
      <c r="F43" s="273" t="s">
        <v>79</v>
      </c>
      <c r="G43" s="273" t="s">
        <v>1487</v>
      </c>
      <c r="H43" s="340" t="s">
        <v>6</v>
      </c>
      <c r="I43" s="161" t="s">
        <v>1366</v>
      </c>
      <c r="J43" s="161" t="s">
        <v>6</v>
      </c>
      <c r="K43" s="161" t="s">
        <v>79</v>
      </c>
      <c r="L43" s="346" t="str">
        <f>IF(OR(H43="Y",H43=""),"","x")</f>
        <v/>
      </c>
      <c r="M43" s="162"/>
    </row>
    <row r="44" spans="1:13" ht="38.25" x14ac:dyDescent="0.2">
      <c r="A44" s="273" t="s">
        <v>351</v>
      </c>
      <c r="B44" s="273" t="s">
        <v>1488</v>
      </c>
      <c r="C44" s="273" t="s">
        <v>1411</v>
      </c>
      <c r="D44" s="342" t="s">
        <v>1489</v>
      </c>
      <c r="E44" s="273" t="s">
        <v>242</v>
      </c>
      <c r="F44" s="273" t="s">
        <v>6</v>
      </c>
      <c r="G44" s="273"/>
      <c r="H44" s="340" t="s">
        <v>6</v>
      </c>
      <c r="I44" s="340" t="s">
        <v>1501</v>
      </c>
      <c r="J44" s="161" t="s">
        <v>6</v>
      </c>
      <c r="K44" s="161" t="s">
        <v>6</v>
      </c>
      <c r="L44" s="346"/>
      <c r="M44" s="313" t="s">
        <v>1505</v>
      </c>
    </row>
    <row r="45" spans="1:13" ht="38.25" x14ac:dyDescent="0.2">
      <c r="A45" s="273" t="s">
        <v>351</v>
      </c>
      <c r="B45" s="273" t="s">
        <v>1488</v>
      </c>
      <c r="C45" s="273" t="s">
        <v>1411</v>
      </c>
      <c r="D45" s="342" t="s">
        <v>1490</v>
      </c>
      <c r="E45" s="273" t="s">
        <v>243</v>
      </c>
      <c r="F45" s="273" t="s">
        <v>6</v>
      </c>
      <c r="G45" s="273"/>
      <c r="H45" s="340" t="s">
        <v>6</v>
      </c>
      <c r="I45" s="340" t="s">
        <v>1501</v>
      </c>
      <c r="J45" s="161" t="s">
        <v>6</v>
      </c>
      <c r="K45" s="161" t="s">
        <v>6</v>
      </c>
      <c r="L45" s="346"/>
      <c r="M45" s="313" t="s">
        <v>1505</v>
      </c>
    </row>
    <row r="46" spans="1:13" ht="38.25" x14ac:dyDescent="0.2">
      <c r="A46" s="273" t="s">
        <v>351</v>
      </c>
      <c r="B46" s="273" t="s">
        <v>1491</v>
      </c>
      <c r="C46" s="273" t="s">
        <v>1492</v>
      </c>
      <c r="D46" s="342" t="s">
        <v>1493</v>
      </c>
      <c r="E46" s="273" t="s">
        <v>242</v>
      </c>
      <c r="F46" s="273" t="s">
        <v>6</v>
      </c>
      <c r="G46" s="273"/>
      <c r="H46" s="340" t="s">
        <v>6</v>
      </c>
      <c r="I46" s="340" t="s">
        <v>1501</v>
      </c>
      <c r="J46" s="161" t="s">
        <v>6</v>
      </c>
      <c r="K46" s="161" t="s">
        <v>6</v>
      </c>
      <c r="L46" s="346"/>
      <c r="M46" s="313" t="s">
        <v>1505</v>
      </c>
    </row>
    <row r="47" spans="1:13" ht="38.25" x14ac:dyDescent="0.2">
      <c r="A47" s="273" t="s">
        <v>351</v>
      </c>
      <c r="B47" s="273" t="s">
        <v>1491</v>
      </c>
      <c r="C47" s="273" t="s">
        <v>1492</v>
      </c>
      <c r="D47" s="342" t="s">
        <v>1490</v>
      </c>
      <c r="E47" s="273" t="s">
        <v>243</v>
      </c>
      <c r="F47" s="273" t="s">
        <v>6</v>
      </c>
      <c r="G47" s="273"/>
      <c r="H47" s="340" t="s">
        <v>6</v>
      </c>
      <c r="I47" s="340" t="s">
        <v>1501</v>
      </c>
      <c r="J47" s="161" t="s">
        <v>6</v>
      </c>
      <c r="K47" s="161" t="s">
        <v>79</v>
      </c>
      <c r="L47" s="346"/>
      <c r="M47" s="313" t="s">
        <v>1505</v>
      </c>
    </row>
    <row r="48" spans="1:13" ht="38.25" x14ac:dyDescent="0.2">
      <c r="A48" s="273" t="s">
        <v>351</v>
      </c>
      <c r="B48" s="273" t="s">
        <v>1494</v>
      </c>
      <c r="C48" s="273" t="s">
        <v>1495</v>
      </c>
      <c r="D48" s="342" t="s">
        <v>1496</v>
      </c>
      <c r="E48" s="273" t="s">
        <v>242</v>
      </c>
      <c r="F48" s="273" t="s">
        <v>6</v>
      </c>
      <c r="G48" s="273"/>
      <c r="H48" s="340" t="s">
        <v>6</v>
      </c>
      <c r="I48" s="340" t="s">
        <v>1501</v>
      </c>
      <c r="J48" s="161" t="s">
        <v>6</v>
      </c>
      <c r="K48" s="161" t="s">
        <v>79</v>
      </c>
      <c r="L48" s="346"/>
      <c r="M48" s="313" t="s">
        <v>1505</v>
      </c>
    </row>
    <row r="49" spans="1:13" ht="38.25" x14ac:dyDescent="0.2">
      <c r="A49" s="273" t="s">
        <v>351</v>
      </c>
      <c r="B49" s="273" t="s">
        <v>1494</v>
      </c>
      <c r="C49" s="273" t="s">
        <v>1495</v>
      </c>
      <c r="D49" s="342" t="s">
        <v>1490</v>
      </c>
      <c r="E49" s="273" t="s">
        <v>243</v>
      </c>
      <c r="F49" s="273" t="s">
        <v>79</v>
      </c>
      <c r="G49" s="273"/>
      <c r="H49" s="340" t="s">
        <v>79</v>
      </c>
      <c r="I49" s="340" t="s">
        <v>1501</v>
      </c>
      <c r="J49" s="161" t="s">
        <v>7</v>
      </c>
      <c r="K49" s="161" t="s">
        <v>79</v>
      </c>
      <c r="L49" s="346" t="s">
        <v>6</v>
      </c>
      <c r="M49" s="313" t="s">
        <v>1506</v>
      </c>
    </row>
    <row r="50" spans="1:13" ht="38.25" x14ac:dyDescent="0.2">
      <c r="A50" s="273" t="s">
        <v>351</v>
      </c>
      <c r="B50" s="273" t="s">
        <v>1431</v>
      </c>
      <c r="C50" s="273" t="s">
        <v>1497</v>
      </c>
      <c r="D50" s="342" t="s">
        <v>1498</v>
      </c>
      <c r="E50" s="273" t="s">
        <v>242</v>
      </c>
      <c r="F50" s="273" t="s">
        <v>6</v>
      </c>
      <c r="G50" s="273"/>
      <c r="H50" s="340" t="s">
        <v>6</v>
      </c>
      <c r="I50" s="340" t="s">
        <v>1501</v>
      </c>
      <c r="J50" s="161" t="s">
        <v>6</v>
      </c>
      <c r="K50" s="161" t="s">
        <v>79</v>
      </c>
      <c r="L50" s="346"/>
      <c r="M50" s="313" t="s">
        <v>1505</v>
      </c>
    </row>
    <row r="51" spans="1:13" ht="38.25" x14ac:dyDescent="0.2">
      <c r="A51" s="273" t="s">
        <v>351</v>
      </c>
      <c r="B51" s="273" t="s">
        <v>1431</v>
      </c>
      <c r="C51" s="273" t="s">
        <v>1497</v>
      </c>
      <c r="D51" s="342" t="s">
        <v>1490</v>
      </c>
      <c r="E51" s="273" t="s">
        <v>242</v>
      </c>
      <c r="F51" s="273" t="s">
        <v>6</v>
      </c>
      <c r="G51" s="273"/>
      <c r="H51" s="340" t="s">
        <v>6</v>
      </c>
      <c r="I51" s="340" t="s">
        <v>1501</v>
      </c>
      <c r="J51" s="161" t="s">
        <v>6</v>
      </c>
      <c r="K51" s="161" t="s">
        <v>79</v>
      </c>
      <c r="L51" s="346"/>
      <c r="M51" s="313" t="s">
        <v>1505</v>
      </c>
    </row>
    <row r="52" spans="1:13" ht="51" x14ac:dyDescent="0.2">
      <c r="A52" s="273" t="s">
        <v>351</v>
      </c>
      <c r="B52" s="273" t="s">
        <v>1431</v>
      </c>
      <c r="C52" s="273" t="s">
        <v>1497</v>
      </c>
      <c r="D52" s="342" t="s">
        <v>1499</v>
      </c>
      <c r="E52" s="273" t="s">
        <v>242</v>
      </c>
      <c r="F52" s="273" t="s">
        <v>6</v>
      </c>
      <c r="G52" s="273"/>
      <c r="H52" s="340" t="s">
        <v>79</v>
      </c>
      <c r="I52" s="340" t="s">
        <v>1501</v>
      </c>
      <c r="J52" s="161" t="s">
        <v>7</v>
      </c>
      <c r="K52" s="161" t="s">
        <v>79</v>
      </c>
      <c r="L52" s="346" t="s">
        <v>6</v>
      </c>
      <c r="M52" s="313" t="s">
        <v>1507</v>
      </c>
    </row>
    <row r="53" spans="1:13" ht="38.25" x14ac:dyDescent="0.2">
      <c r="A53" s="273" t="s">
        <v>351</v>
      </c>
      <c r="B53" s="273" t="s">
        <v>1420</v>
      </c>
      <c r="C53" s="273" t="s">
        <v>1421</v>
      </c>
      <c r="D53" s="342" t="s">
        <v>1500</v>
      </c>
      <c r="E53" s="273" t="s">
        <v>242</v>
      </c>
      <c r="F53" s="273" t="s">
        <v>6</v>
      </c>
      <c r="G53" s="273"/>
      <c r="H53" s="340" t="s">
        <v>6</v>
      </c>
      <c r="I53" s="340" t="s">
        <v>1501</v>
      </c>
      <c r="J53" s="161" t="s">
        <v>6</v>
      </c>
      <c r="K53" s="161" t="s">
        <v>79</v>
      </c>
      <c r="L53" s="346"/>
      <c r="M53" s="343" t="s">
        <v>1505</v>
      </c>
    </row>
    <row r="54" spans="1:13" ht="38.25" x14ac:dyDescent="0.2">
      <c r="A54" s="273" t="s">
        <v>351</v>
      </c>
      <c r="B54" s="273" t="s">
        <v>1420</v>
      </c>
      <c r="C54" s="273" t="s">
        <v>1421</v>
      </c>
      <c r="D54" s="342" t="s">
        <v>1490</v>
      </c>
      <c r="E54" s="273" t="s">
        <v>243</v>
      </c>
      <c r="F54" s="273" t="s">
        <v>79</v>
      </c>
      <c r="G54" s="273"/>
      <c r="H54" s="340" t="s">
        <v>6</v>
      </c>
      <c r="I54" s="340" t="s">
        <v>1501</v>
      </c>
      <c r="J54" s="161" t="s">
        <v>6</v>
      </c>
      <c r="K54" s="161" t="s">
        <v>79</v>
      </c>
      <c r="L54" s="346"/>
      <c r="M54" s="343" t="s">
        <v>1505</v>
      </c>
    </row>
  </sheetData>
  <dataConsolidate/>
  <mergeCells count="2">
    <mergeCell ref="G15:G19"/>
    <mergeCell ref="I15:I19"/>
  </mergeCells>
  <dataValidations count="2">
    <dataValidation type="list" allowBlank="1" showInputMessage="1" showErrorMessage="1" sqref="J1:N1">
      <formula1>$BB$3:$BB$3</formula1>
    </dataValidation>
    <dataValidation type="list" allowBlank="1" showInputMessage="1" showErrorMessage="1" sqref="B1:E1">
      <formula1>$BN$1:$BN$4</formula1>
    </dataValidation>
  </dataValidations>
  <pageMargins left="0.70866141732283472" right="0.70866141732283472" top="0.74803149606299213" bottom="0.74803149606299213" header="0.31496062992125984" footer="0.31496062992125984"/>
  <pageSetup paperSize="9" scale="89" orientation="landscape" r:id="rId1"/>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pageSetUpPr fitToPage="1"/>
  </sheetPr>
  <dimension ref="A1:T108"/>
  <sheetViews>
    <sheetView zoomScale="55" zoomScaleNormal="55" workbookViewId="0">
      <pane ySplit="4" topLeftCell="A44" activePane="bottomLeft" state="frozen"/>
      <selection pane="bottomLeft" activeCell="A5" sqref="A5:XFD5"/>
    </sheetView>
  </sheetViews>
  <sheetFormatPr defaultColWidth="8.85546875" defaultRowHeight="12.75" x14ac:dyDescent="0.2"/>
  <cols>
    <col min="1" max="1" width="5.7109375" style="24" customWidth="1"/>
    <col min="2" max="2" width="22" style="24" customWidth="1"/>
    <col min="3" max="3" width="27.42578125" style="24" customWidth="1"/>
    <col min="4" max="4" width="18.140625" style="24" bestFit="1" customWidth="1"/>
    <col min="5" max="5" width="14" style="24" customWidth="1"/>
    <col min="6" max="6" width="19.28515625" style="24" customWidth="1"/>
    <col min="7" max="7" width="13.140625" style="24" customWidth="1"/>
    <col min="8" max="8" width="18.7109375" style="24" customWidth="1"/>
    <col min="9" max="9" width="17" style="24" bestFit="1" customWidth="1"/>
    <col min="10" max="10" width="31.140625" style="24" customWidth="1"/>
    <col min="11" max="11" width="30.140625" style="24" bestFit="1" customWidth="1"/>
    <col min="12" max="12" width="19" style="24" customWidth="1"/>
    <col min="13" max="13" width="26.7109375" style="24" customWidth="1"/>
    <col min="14" max="14" width="15.140625" style="24" bestFit="1" customWidth="1"/>
    <col min="15" max="15" width="13.85546875" style="24" customWidth="1"/>
    <col min="16" max="16" width="21.140625" style="24" customWidth="1"/>
    <col min="17" max="17" width="21.85546875" style="24" customWidth="1"/>
    <col min="18" max="19" width="21.140625" style="24" customWidth="1"/>
    <col min="20" max="20" width="11.5703125" style="24" customWidth="1"/>
    <col min="21" max="16384" width="8.85546875" style="24"/>
  </cols>
  <sheetData>
    <row r="1" spans="1:20" ht="13.5" thickBot="1" x14ac:dyDescent="0.25">
      <c r="A1" s="26" t="s">
        <v>82</v>
      </c>
    </row>
    <row r="2" spans="1:20" x14ac:dyDescent="0.2">
      <c r="S2" s="100" t="s">
        <v>56</v>
      </c>
      <c r="T2" s="212" t="s">
        <v>50</v>
      </c>
    </row>
    <row r="3" spans="1:20" ht="13.5" thickBot="1" x14ac:dyDescent="0.25">
      <c r="A3" s="49"/>
      <c r="B3" s="49"/>
      <c r="C3" s="49"/>
      <c r="D3" s="49"/>
      <c r="E3" s="49"/>
      <c r="F3" s="49"/>
      <c r="G3" s="49"/>
      <c r="H3" s="49"/>
      <c r="I3" s="49"/>
      <c r="J3" s="49"/>
      <c r="S3" s="487" t="s">
        <v>55</v>
      </c>
      <c r="T3" s="488">
        <v>2018</v>
      </c>
    </row>
    <row r="4" spans="1:20" ht="102.75" thickBot="1" x14ac:dyDescent="0.25">
      <c r="A4" s="105" t="s">
        <v>0</v>
      </c>
      <c r="B4" s="105" t="s">
        <v>83</v>
      </c>
      <c r="C4" s="103" t="s">
        <v>1</v>
      </c>
      <c r="D4" s="168" t="s">
        <v>84</v>
      </c>
      <c r="E4" s="168" t="s">
        <v>85</v>
      </c>
      <c r="F4" s="457" t="s">
        <v>86</v>
      </c>
      <c r="G4" s="458" t="s">
        <v>87</v>
      </c>
      <c r="H4" s="105" t="s">
        <v>88</v>
      </c>
      <c r="I4" s="105" t="s">
        <v>89</v>
      </c>
      <c r="J4" s="105" t="s">
        <v>90</v>
      </c>
      <c r="K4" s="105" t="s">
        <v>92</v>
      </c>
      <c r="L4" s="105" t="s">
        <v>93</v>
      </c>
      <c r="M4" s="105" t="s">
        <v>94</v>
      </c>
      <c r="N4" s="105" t="s">
        <v>95</v>
      </c>
      <c r="O4" s="105" t="s">
        <v>4</v>
      </c>
      <c r="P4" s="459" t="s">
        <v>326</v>
      </c>
      <c r="Q4" s="459" t="s">
        <v>91</v>
      </c>
      <c r="R4" s="459" t="s">
        <v>96</v>
      </c>
      <c r="S4" s="459" t="s">
        <v>342</v>
      </c>
      <c r="T4" s="459" t="s">
        <v>97</v>
      </c>
    </row>
    <row r="5" spans="1:20" ht="51" x14ac:dyDescent="0.2">
      <c r="A5" s="517" t="s">
        <v>351</v>
      </c>
      <c r="B5" s="518" t="s">
        <v>907</v>
      </c>
      <c r="C5" s="518" t="s">
        <v>908</v>
      </c>
      <c r="D5" s="519" t="s">
        <v>102</v>
      </c>
      <c r="E5" s="263" t="s">
        <v>1061</v>
      </c>
      <c r="F5" s="520" t="s">
        <v>99</v>
      </c>
      <c r="G5" s="521" t="s">
        <v>866</v>
      </c>
      <c r="H5" s="522" t="s">
        <v>867</v>
      </c>
      <c r="I5" s="523" t="s">
        <v>6</v>
      </c>
      <c r="J5" s="523" t="s">
        <v>868</v>
      </c>
      <c r="K5" s="524">
        <v>1</v>
      </c>
      <c r="L5" s="525" t="s">
        <v>79</v>
      </c>
      <c r="M5" s="525" t="s">
        <v>7</v>
      </c>
      <c r="N5" s="525" t="s">
        <v>7</v>
      </c>
      <c r="O5" s="526"/>
      <c r="P5" s="264" t="s">
        <v>6</v>
      </c>
      <c r="Q5" s="265" t="s">
        <v>7</v>
      </c>
      <c r="R5" s="527">
        <v>1</v>
      </c>
      <c r="S5" s="266" t="s">
        <v>7</v>
      </c>
      <c r="T5" s="267"/>
    </row>
    <row r="6" spans="1:20" ht="51" x14ac:dyDescent="0.2">
      <c r="A6" s="517" t="s">
        <v>351</v>
      </c>
      <c r="B6" s="518" t="s">
        <v>907</v>
      </c>
      <c r="C6" s="518" t="s">
        <v>908</v>
      </c>
      <c r="D6" s="519" t="s">
        <v>102</v>
      </c>
      <c r="E6" s="263" t="s">
        <v>1061</v>
      </c>
      <c r="F6" s="520" t="s">
        <v>99</v>
      </c>
      <c r="G6" s="521" t="s">
        <v>869</v>
      </c>
      <c r="H6" s="522" t="s">
        <v>867</v>
      </c>
      <c r="I6" s="523" t="s">
        <v>6</v>
      </c>
      <c r="J6" s="523" t="s">
        <v>868</v>
      </c>
      <c r="K6" s="524">
        <v>1</v>
      </c>
      <c r="L6" s="525" t="s">
        <v>79</v>
      </c>
      <c r="M6" s="525" t="s">
        <v>7</v>
      </c>
      <c r="N6" s="525" t="s">
        <v>7</v>
      </c>
      <c r="O6" s="528"/>
      <c r="P6" s="264" t="s">
        <v>6</v>
      </c>
      <c r="Q6" s="265" t="s">
        <v>7</v>
      </c>
      <c r="R6" s="527">
        <v>1</v>
      </c>
      <c r="S6" s="266" t="s">
        <v>7</v>
      </c>
      <c r="T6" s="529"/>
    </row>
    <row r="7" spans="1:20" ht="76.5" x14ac:dyDescent="0.2">
      <c r="A7" s="517" t="s">
        <v>351</v>
      </c>
      <c r="B7" s="518" t="s">
        <v>907</v>
      </c>
      <c r="C7" s="518" t="s">
        <v>908</v>
      </c>
      <c r="D7" s="519" t="s">
        <v>102</v>
      </c>
      <c r="E7" s="263" t="s">
        <v>1061</v>
      </c>
      <c r="F7" s="530" t="s">
        <v>870</v>
      </c>
      <c r="G7" s="521" t="s">
        <v>871</v>
      </c>
      <c r="H7" s="522" t="s">
        <v>872</v>
      </c>
      <c r="I7" s="523" t="s">
        <v>6</v>
      </c>
      <c r="J7" s="523" t="s">
        <v>868</v>
      </c>
      <c r="K7" s="524">
        <v>1</v>
      </c>
      <c r="L7" s="525" t="s">
        <v>79</v>
      </c>
      <c r="M7" s="525" t="s">
        <v>7</v>
      </c>
      <c r="N7" s="525" t="s">
        <v>7</v>
      </c>
      <c r="O7" s="526"/>
      <c r="P7" s="264" t="s">
        <v>6</v>
      </c>
      <c r="Q7" s="265" t="s">
        <v>7</v>
      </c>
      <c r="R7" s="527">
        <v>1</v>
      </c>
      <c r="S7" s="266" t="s">
        <v>7</v>
      </c>
      <c r="T7" s="529"/>
    </row>
    <row r="8" spans="1:20" ht="102" x14ac:dyDescent="0.2">
      <c r="A8" s="517" t="s">
        <v>351</v>
      </c>
      <c r="B8" s="518" t="s">
        <v>907</v>
      </c>
      <c r="C8" s="518" t="s">
        <v>908</v>
      </c>
      <c r="D8" s="519" t="s">
        <v>102</v>
      </c>
      <c r="E8" s="263" t="s">
        <v>1061</v>
      </c>
      <c r="F8" s="530" t="s">
        <v>870</v>
      </c>
      <c r="G8" s="521" t="s">
        <v>873</v>
      </c>
      <c r="H8" s="522" t="s">
        <v>874</v>
      </c>
      <c r="I8" s="523" t="s">
        <v>6</v>
      </c>
      <c r="J8" s="523" t="s">
        <v>868</v>
      </c>
      <c r="K8" s="524">
        <v>1</v>
      </c>
      <c r="L8" s="525" t="s">
        <v>79</v>
      </c>
      <c r="M8" s="525" t="s">
        <v>7</v>
      </c>
      <c r="N8" s="525" t="s">
        <v>7</v>
      </c>
      <c r="O8" s="528"/>
      <c r="P8" s="264" t="s">
        <v>6</v>
      </c>
      <c r="Q8" s="265" t="s">
        <v>7</v>
      </c>
      <c r="R8" s="527">
        <v>1</v>
      </c>
      <c r="S8" s="266" t="s">
        <v>7</v>
      </c>
      <c r="T8" s="529"/>
    </row>
    <row r="9" spans="1:20" ht="153" x14ac:dyDescent="0.2">
      <c r="A9" s="517" t="s">
        <v>351</v>
      </c>
      <c r="B9" s="518" t="s">
        <v>907</v>
      </c>
      <c r="C9" s="518" t="s">
        <v>908</v>
      </c>
      <c r="D9" s="519" t="s">
        <v>102</v>
      </c>
      <c r="E9" s="263" t="s">
        <v>1061</v>
      </c>
      <c r="F9" s="530" t="s">
        <v>870</v>
      </c>
      <c r="G9" s="521" t="s">
        <v>875</v>
      </c>
      <c r="H9" s="522" t="s">
        <v>876</v>
      </c>
      <c r="I9" s="523" t="s">
        <v>6</v>
      </c>
      <c r="J9" s="523" t="s">
        <v>868</v>
      </c>
      <c r="K9" s="524">
        <v>1</v>
      </c>
      <c r="L9" s="525" t="s">
        <v>79</v>
      </c>
      <c r="M9" s="525" t="s">
        <v>7</v>
      </c>
      <c r="N9" s="525" t="s">
        <v>7</v>
      </c>
      <c r="O9" s="528"/>
      <c r="P9" s="264" t="s">
        <v>6</v>
      </c>
      <c r="Q9" s="265" t="s">
        <v>7</v>
      </c>
      <c r="R9" s="527">
        <v>1</v>
      </c>
      <c r="S9" s="266" t="s">
        <v>7</v>
      </c>
      <c r="T9" s="529"/>
    </row>
    <row r="10" spans="1:20" ht="140.25" x14ac:dyDescent="0.2">
      <c r="A10" s="517" t="s">
        <v>351</v>
      </c>
      <c r="B10" s="518" t="s">
        <v>907</v>
      </c>
      <c r="C10" s="518" t="s">
        <v>908</v>
      </c>
      <c r="D10" s="519" t="s">
        <v>102</v>
      </c>
      <c r="E10" s="263" t="s">
        <v>1061</v>
      </c>
      <c r="F10" s="530" t="s">
        <v>870</v>
      </c>
      <c r="G10" s="521" t="s">
        <v>877</v>
      </c>
      <c r="H10" s="522" t="s">
        <v>878</v>
      </c>
      <c r="I10" s="523" t="s">
        <v>6</v>
      </c>
      <c r="J10" s="523" t="s">
        <v>868</v>
      </c>
      <c r="K10" s="524">
        <v>1</v>
      </c>
      <c r="L10" s="525" t="s">
        <v>79</v>
      </c>
      <c r="M10" s="525" t="s">
        <v>7</v>
      </c>
      <c r="N10" s="525" t="s">
        <v>7</v>
      </c>
      <c r="O10" s="528"/>
      <c r="P10" s="264" t="s">
        <v>6</v>
      </c>
      <c r="Q10" s="265" t="s">
        <v>7</v>
      </c>
      <c r="R10" s="527">
        <v>1</v>
      </c>
      <c r="S10" s="266" t="s">
        <v>7</v>
      </c>
      <c r="T10" s="531"/>
    </row>
    <row r="11" spans="1:20" ht="102" x14ac:dyDescent="0.2">
      <c r="A11" s="532" t="s">
        <v>351</v>
      </c>
      <c r="B11" s="518" t="s">
        <v>907</v>
      </c>
      <c r="C11" s="518" t="s">
        <v>908</v>
      </c>
      <c r="D11" s="519" t="s">
        <v>102</v>
      </c>
      <c r="E11" s="263" t="s">
        <v>1061</v>
      </c>
      <c r="F11" s="530" t="s">
        <v>870</v>
      </c>
      <c r="G11" s="521" t="s">
        <v>879</v>
      </c>
      <c r="H11" s="522" t="s">
        <v>880</v>
      </c>
      <c r="I11" s="523" t="s">
        <v>6</v>
      </c>
      <c r="J11" s="523" t="s">
        <v>868</v>
      </c>
      <c r="K11" s="524">
        <v>1</v>
      </c>
      <c r="L11" s="525" t="s">
        <v>79</v>
      </c>
      <c r="M11" s="525" t="s">
        <v>7</v>
      </c>
      <c r="N11" s="525" t="s">
        <v>7</v>
      </c>
      <c r="O11" s="528"/>
      <c r="P11" s="264" t="s">
        <v>6</v>
      </c>
      <c r="Q11" s="265" t="s">
        <v>7</v>
      </c>
      <c r="R11" s="527">
        <v>1</v>
      </c>
      <c r="S11" s="266" t="s">
        <v>7</v>
      </c>
      <c r="T11" s="531"/>
    </row>
    <row r="12" spans="1:20" ht="38.25" x14ac:dyDescent="0.2">
      <c r="A12" s="517" t="s">
        <v>351</v>
      </c>
      <c r="B12" s="518" t="s">
        <v>907</v>
      </c>
      <c r="C12" s="518" t="s">
        <v>908</v>
      </c>
      <c r="D12" s="519" t="s">
        <v>102</v>
      </c>
      <c r="E12" s="263" t="s">
        <v>1061</v>
      </c>
      <c r="F12" s="530" t="s">
        <v>738</v>
      </c>
      <c r="G12" s="533" t="s">
        <v>889</v>
      </c>
      <c r="H12" s="534" t="s">
        <v>893</v>
      </c>
      <c r="I12" s="523" t="s">
        <v>6</v>
      </c>
      <c r="J12" s="523" t="s">
        <v>868</v>
      </c>
      <c r="K12" s="524">
        <v>1</v>
      </c>
      <c r="L12" s="525" t="s">
        <v>79</v>
      </c>
      <c r="M12" s="525" t="s">
        <v>7</v>
      </c>
      <c r="N12" s="525" t="s">
        <v>7</v>
      </c>
      <c r="O12" s="528"/>
      <c r="P12" s="264" t="s">
        <v>6</v>
      </c>
      <c r="Q12" s="265" t="s">
        <v>7</v>
      </c>
      <c r="R12" s="527">
        <v>1</v>
      </c>
      <c r="S12" s="266" t="s">
        <v>7</v>
      </c>
      <c r="T12" s="531"/>
    </row>
    <row r="13" spans="1:20" ht="38.25" x14ac:dyDescent="0.2">
      <c r="A13" s="517" t="s">
        <v>351</v>
      </c>
      <c r="B13" s="518" t="s">
        <v>907</v>
      </c>
      <c r="C13" s="518" t="s">
        <v>908</v>
      </c>
      <c r="D13" s="519" t="s">
        <v>102</v>
      </c>
      <c r="E13" s="263" t="s">
        <v>1061</v>
      </c>
      <c r="F13" s="530" t="s">
        <v>738</v>
      </c>
      <c r="G13" s="533" t="s">
        <v>881</v>
      </c>
      <c r="H13" s="534" t="s">
        <v>893</v>
      </c>
      <c r="I13" s="523" t="s">
        <v>6</v>
      </c>
      <c r="J13" s="523" t="s">
        <v>868</v>
      </c>
      <c r="K13" s="524">
        <v>1</v>
      </c>
      <c r="L13" s="525" t="s">
        <v>79</v>
      </c>
      <c r="M13" s="525" t="s">
        <v>7</v>
      </c>
      <c r="N13" s="525" t="s">
        <v>7</v>
      </c>
      <c r="O13" s="528"/>
      <c r="P13" s="264" t="s">
        <v>6</v>
      </c>
      <c r="Q13" s="265" t="s">
        <v>7</v>
      </c>
      <c r="R13" s="527">
        <v>1</v>
      </c>
      <c r="S13" s="266" t="s">
        <v>7</v>
      </c>
      <c r="T13" s="531"/>
    </row>
    <row r="14" spans="1:20" ht="38.25" x14ac:dyDescent="0.2">
      <c r="A14" s="517" t="s">
        <v>351</v>
      </c>
      <c r="B14" s="518" t="s">
        <v>907</v>
      </c>
      <c r="C14" s="518" t="s">
        <v>908</v>
      </c>
      <c r="D14" s="519" t="s">
        <v>102</v>
      </c>
      <c r="E14" s="263" t="s">
        <v>1061</v>
      </c>
      <c r="F14" s="530" t="s">
        <v>738</v>
      </c>
      <c r="G14" s="533" t="s">
        <v>883</v>
      </c>
      <c r="H14" s="534" t="s">
        <v>893</v>
      </c>
      <c r="I14" s="523" t="s">
        <v>6</v>
      </c>
      <c r="J14" s="523" t="s">
        <v>868</v>
      </c>
      <c r="K14" s="524">
        <v>1</v>
      </c>
      <c r="L14" s="525" t="s">
        <v>79</v>
      </c>
      <c r="M14" s="525" t="s">
        <v>7</v>
      </c>
      <c r="N14" s="525" t="s">
        <v>7</v>
      </c>
      <c r="O14" s="528"/>
      <c r="P14" s="264" t="s">
        <v>6</v>
      </c>
      <c r="Q14" s="265" t="s">
        <v>7</v>
      </c>
      <c r="R14" s="527">
        <v>1</v>
      </c>
      <c r="S14" s="266" t="s">
        <v>7</v>
      </c>
      <c r="T14" s="531"/>
    </row>
    <row r="15" spans="1:20" ht="38.25" x14ac:dyDescent="0.2">
      <c r="A15" s="517" t="s">
        <v>351</v>
      </c>
      <c r="B15" s="518" t="s">
        <v>907</v>
      </c>
      <c r="C15" s="518" t="s">
        <v>908</v>
      </c>
      <c r="D15" s="519" t="s">
        <v>102</v>
      </c>
      <c r="E15" s="263" t="s">
        <v>1061</v>
      </c>
      <c r="F15" s="530" t="s">
        <v>738</v>
      </c>
      <c r="G15" s="533" t="s">
        <v>866</v>
      </c>
      <c r="H15" s="534" t="s">
        <v>893</v>
      </c>
      <c r="I15" s="523" t="s">
        <v>6</v>
      </c>
      <c r="J15" s="523" t="s">
        <v>868</v>
      </c>
      <c r="K15" s="524">
        <v>1</v>
      </c>
      <c r="L15" s="525" t="s">
        <v>79</v>
      </c>
      <c r="M15" s="525" t="s">
        <v>7</v>
      </c>
      <c r="N15" s="525" t="s">
        <v>7</v>
      </c>
      <c r="O15" s="528"/>
      <c r="P15" s="264" t="s">
        <v>6</v>
      </c>
      <c r="Q15" s="265" t="s">
        <v>7</v>
      </c>
      <c r="R15" s="527">
        <v>1</v>
      </c>
      <c r="S15" s="266" t="s">
        <v>7</v>
      </c>
      <c r="T15" s="531"/>
    </row>
    <row r="16" spans="1:20" ht="38.25" x14ac:dyDescent="0.2">
      <c r="A16" s="517" t="s">
        <v>351</v>
      </c>
      <c r="B16" s="518" t="s">
        <v>907</v>
      </c>
      <c r="C16" s="518" t="s">
        <v>908</v>
      </c>
      <c r="D16" s="519" t="s">
        <v>102</v>
      </c>
      <c r="E16" s="263" t="s">
        <v>1061</v>
      </c>
      <c r="F16" s="530" t="s">
        <v>738</v>
      </c>
      <c r="G16" s="533" t="s">
        <v>869</v>
      </c>
      <c r="H16" s="534" t="s">
        <v>893</v>
      </c>
      <c r="I16" s="523" t="s">
        <v>6</v>
      </c>
      <c r="J16" s="523" t="s">
        <v>868</v>
      </c>
      <c r="K16" s="524">
        <v>1</v>
      </c>
      <c r="L16" s="525" t="s">
        <v>79</v>
      </c>
      <c r="M16" s="525" t="s">
        <v>7</v>
      </c>
      <c r="N16" s="525" t="s">
        <v>7</v>
      </c>
      <c r="O16" s="528"/>
      <c r="P16" s="264" t="s">
        <v>6</v>
      </c>
      <c r="Q16" s="265" t="s">
        <v>7</v>
      </c>
      <c r="R16" s="527">
        <v>1</v>
      </c>
      <c r="S16" s="266" t="s">
        <v>7</v>
      </c>
      <c r="T16" s="531"/>
    </row>
    <row r="17" spans="1:20" ht="51" x14ac:dyDescent="0.2">
      <c r="A17" s="517" t="s">
        <v>351</v>
      </c>
      <c r="B17" s="518" t="s">
        <v>907</v>
      </c>
      <c r="C17" s="518" t="s">
        <v>908</v>
      </c>
      <c r="D17" s="519" t="s">
        <v>102</v>
      </c>
      <c r="E17" s="263" t="s">
        <v>1061</v>
      </c>
      <c r="F17" s="530" t="s">
        <v>885</v>
      </c>
      <c r="G17" s="535" t="s">
        <v>889</v>
      </c>
      <c r="H17" s="522" t="s">
        <v>882</v>
      </c>
      <c r="I17" s="523" t="s">
        <v>6</v>
      </c>
      <c r="J17" s="523" t="s">
        <v>868</v>
      </c>
      <c r="K17" s="524">
        <v>1</v>
      </c>
      <c r="L17" s="525" t="s">
        <v>79</v>
      </c>
      <c r="M17" s="525" t="s">
        <v>7</v>
      </c>
      <c r="N17" s="525" t="s">
        <v>7</v>
      </c>
      <c r="O17" s="528"/>
      <c r="P17" s="264" t="s">
        <v>6</v>
      </c>
      <c r="Q17" s="265" t="s">
        <v>7</v>
      </c>
      <c r="R17" s="527">
        <v>1</v>
      </c>
      <c r="S17" s="266" t="s">
        <v>7</v>
      </c>
      <c r="T17" s="531"/>
    </row>
    <row r="18" spans="1:20" ht="51" x14ac:dyDescent="0.2">
      <c r="A18" s="517" t="s">
        <v>351</v>
      </c>
      <c r="B18" s="518" t="s">
        <v>907</v>
      </c>
      <c r="C18" s="518" t="s">
        <v>908</v>
      </c>
      <c r="D18" s="519" t="s">
        <v>102</v>
      </c>
      <c r="E18" s="263" t="s">
        <v>1061</v>
      </c>
      <c r="F18" s="530" t="s">
        <v>885</v>
      </c>
      <c r="G18" s="535" t="s">
        <v>881</v>
      </c>
      <c r="H18" s="522" t="s">
        <v>882</v>
      </c>
      <c r="I18" s="523" t="s">
        <v>6</v>
      </c>
      <c r="J18" s="523" t="s">
        <v>868</v>
      </c>
      <c r="K18" s="524">
        <v>1</v>
      </c>
      <c r="L18" s="525" t="s">
        <v>79</v>
      </c>
      <c r="M18" s="525" t="s">
        <v>7</v>
      </c>
      <c r="N18" s="525" t="s">
        <v>7</v>
      </c>
      <c r="O18" s="528"/>
      <c r="P18" s="264" t="s">
        <v>6</v>
      </c>
      <c r="Q18" s="265" t="s">
        <v>7</v>
      </c>
      <c r="R18" s="527">
        <v>1</v>
      </c>
      <c r="S18" s="266" t="s">
        <v>7</v>
      </c>
      <c r="T18" s="531"/>
    </row>
    <row r="19" spans="1:20" ht="51" x14ac:dyDescent="0.2">
      <c r="A19" s="517" t="s">
        <v>351</v>
      </c>
      <c r="B19" s="518" t="s">
        <v>907</v>
      </c>
      <c r="C19" s="518" t="s">
        <v>908</v>
      </c>
      <c r="D19" s="519" t="s">
        <v>102</v>
      </c>
      <c r="E19" s="263" t="s">
        <v>1061</v>
      </c>
      <c r="F19" s="530" t="s">
        <v>885</v>
      </c>
      <c r="G19" s="535" t="s">
        <v>883</v>
      </c>
      <c r="H19" s="522" t="s">
        <v>882</v>
      </c>
      <c r="I19" s="523" t="s">
        <v>6</v>
      </c>
      <c r="J19" s="523" t="s">
        <v>868</v>
      </c>
      <c r="K19" s="524">
        <v>1</v>
      </c>
      <c r="L19" s="525" t="s">
        <v>79</v>
      </c>
      <c r="M19" s="525" t="s">
        <v>7</v>
      </c>
      <c r="N19" s="525" t="s">
        <v>7</v>
      </c>
      <c r="O19" s="528"/>
      <c r="P19" s="264" t="s">
        <v>6</v>
      </c>
      <c r="Q19" s="265" t="s">
        <v>7</v>
      </c>
      <c r="R19" s="527">
        <v>1</v>
      </c>
      <c r="S19" s="266" t="s">
        <v>7</v>
      </c>
      <c r="T19" s="531"/>
    </row>
    <row r="20" spans="1:20" ht="51" x14ac:dyDescent="0.2">
      <c r="A20" s="517" t="s">
        <v>351</v>
      </c>
      <c r="B20" s="518" t="s">
        <v>907</v>
      </c>
      <c r="C20" s="518" t="s">
        <v>908</v>
      </c>
      <c r="D20" s="519" t="s">
        <v>102</v>
      </c>
      <c r="E20" s="263" t="s">
        <v>1061</v>
      </c>
      <c r="F20" s="530" t="s">
        <v>885</v>
      </c>
      <c r="G20" s="535" t="s">
        <v>866</v>
      </c>
      <c r="H20" s="522" t="s">
        <v>884</v>
      </c>
      <c r="I20" s="523" t="s">
        <v>6</v>
      </c>
      <c r="J20" s="523" t="s">
        <v>868</v>
      </c>
      <c r="K20" s="524">
        <v>1</v>
      </c>
      <c r="L20" s="525" t="s">
        <v>79</v>
      </c>
      <c r="M20" s="525" t="s">
        <v>7</v>
      </c>
      <c r="N20" s="525" t="s">
        <v>7</v>
      </c>
      <c r="O20" s="528"/>
      <c r="P20" s="264" t="s">
        <v>6</v>
      </c>
      <c r="Q20" s="265" t="s">
        <v>7</v>
      </c>
      <c r="R20" s="527">
        <v>1</v>
      </c>
      <c r="S20" s="266" t="s">
        <v>7</v>
      </c>
      <c r="T20" s="531"/>
    </row>
    <row r="21" spans="1:20" ht="76.5" x14ac:dyDescent="0.2">
      <c r="A21" s="517" t="s">
        <v>351</v>
      </c>
      <c r="B21" s="518" t="s">
        <v>907</v>
      </c>
      <c r="C21" s="518" t="s">
        <v>908</v>
      </c>
      <c r="D21" s="519" t="s">
        <v>102</v>
      </c>
      <c r="E21" s="263" t="s">
        <v>1061</v>
      </c>
      <c r="F21" s="530" t="s">
        <v>885</v>
      </c>
      <c r="G21" s="535" t="s">
        <v>869</v>
      </c>
      <c r="H21" s="522" t="s">
        <v>886</v>
      </c>
      <c r="I21" s="523" t="s">
        <v>6</v>
      </c>
      <c r="J21" s="523" t="s">
        <v>868</v>
      </c>
      <c r="K21" s="524">
        <v>1</v>
      </c>
      <c r="L21" s="525" t="s">
        <v>79</v>
      </c>
      <c r="M21" s="525" t="s">
        <v>7</v>
      </c>
      <c r="N21" s="525" t="s">
        <v>7</v>
      </c>
      <c r="O21" s="528"/>
      <c r="P21" s="264" t="s">
        <v>6</v>
      </c>
      <c r="Q21" s="265" t="s">
        <v>7</v>
      </c>
      <c r="R21" s="527">
        <v>1</v>
      </c>
      <c r="S21" s="266" t="s">
        <v>7</v>
      </c>
      <c r="T21" s="531"/>
    </row>
    <row r="22" spans="1:20" ht="76.5" x14ac:dyDescent="0.2">
      <c r="A22" s="517" t="s">
        <v>351</v>
      </c>
      <c r="B22" s="518" t="s">
        <v>907</v>
      </c>
      <c r="C22" s="518" t="s">
        <v>908</v>
      </c>
      <c r="D22" s="519" t="s">
        <v>102</v>
      </c>
      <c r="E22" s="263" t="s">
        <v>1061</v>
      </c>
      <c r="F22" s="536" t="s">
        <v>885</v>
      </c>
      <c r="G22" s="537" t="s">
        <v>887</v>
      </c>
      <c r="H22" s="522" t="s">
        <v>888</v>
      </c>
      <c r="I22" s="523" t="s">
        <v>6</v>
      </c>
      <c r="J22" s="523" t="s">
        <v>868</v>
      </c>
      <c r="K22" s="524">
        <v>1</v>
      </c>
      <c r="L22" s="525" t="s">
        <v>79</v>
      </c>
      <c r="M22" s="525" t="s">
        <v>7</v>
      </c>
      <c r="N22" s="525" t="s">
        <v>7</v>
      </c>
      <c r="O22" s="528"/>
      <c r="P22" s="264" t="s">
        <v>6</v>
      </c>
      <c r="Q22" s="265" t="s">
        <v>7</v>
      </c>
      <c r="R22" s="527">
        <v>1</v>
      </c>
      <c r="S22" s="266" t="s">
        <v>7</v>
      </c>
      <c r="T22" s="531"/>
    </row>
    <row r="23" spans="1:20" ht="51" x14ac:dyDescent="0.2">
      <c r="A23" s="517" t="s">
        <v>351</v>
      </c>
      <c r="B23" s="518" t="s">
        <v>907</v>
      </c>
      <c r="C23" s="518" t="s">
        <v>908</v>
      </c>
      <c r="D23" s="519" t="s">
        <v>102</v>
      </c>
      <c r="E23" s="263" t="s">
        <v>1061</v>
      </c>
      <c r="F23" s="234" t="s">
        <v>101</v>
      </c>
      <c r="G23" s="235" t="s">
        <v>889</v>
      </c>
      <c r="H23" s="522" t="s">
        <v>890</v>
      </c>
      <c r="I23" s="523" t="s">
        <v>6</v>
      </c>
      <c r="J23" s="523" t="s">
        <v>868</v>
      </c>
      <c r="K23" s="524">
        <v>1</v>
      </c>
      <c r="L23" s="525" t="s">
        <v>79</v>
      </c>
      <c r="M23" s="525" t="s">
        <v>7</v>
      </c>
      <c r="N23" s="525" t="s">
        <v>7</v>
      </c>
      <c r="O23" s="528"/>
      <c r="P23" s="264" t="s">
        <v>6</v>
      </c>
      <c r="Q23" s="265" t="s">
        <v>7</v>
      </c>
      <c r="R23" s="527">
        <v>1</v>
      </c>
      <c r="S23" s="266" t="s">
        <v>7</v>
      </c>
      <c r="T23" s="531"/>
    </row>
    <row r="24" spans="1:20" ht="114.75" x14ac:dyDescent="0.2">
      <c r="A24" s="517" t="s">
        <v>351</v>
      </c>
      <c r="B24" s="518" t="s">
        <v>907</v>
      </c>
      <c r="C24" s="518" t="s">
        <v>908</v>
      </c>
      <c r="D24" s="519" t="s">
        <v>102</v>
      </c>
      <c r="E24" s="263" t="s">
        <v>1061</v>
      </c>
      <c r="F24" s="530" t="s">
        <v>101</v>
      </c>
      <c r="G24" s="535" t="s">
        <v>881</v>
      </c>
      <c r="H24" s="522" t="s">
        <v>891</v>
      </c>
      <c r="I24" s="523" t="s">
        <v>6</v>
      </c>
      <c r="J24" s="523" t="s">
        <v>868</v>
      </c>
      <c r="K24" s="524">
        <v>1</v>
      </c>
      <c r="L24" s="525" t="s">
        <v>79</v>
      </c>
      <c r="M24" s="525" t="s">
        <v>7</v>
      </c>
      <c r="N24" s="525" t="s">
        <v>7</v>
      </c>
      <c r="O24" s="528"/>
      <c r="P24" s="264" t="s">
        <v>6</v>
      </c>
      <c r="Q24" s="265" t="s">
        <v>7</v>
      </c>
      <c r="R24" s="527">
        <v>1</v>
      </c>
      <c r="S24" s="266" t="s">
        <v>7</v>
      </c>
      <c r="T24" s="531"/>
    </row>
    <row r="25" spans="1:20" ht="165.75" x14ac:dyDescent="0.2">
      <c r="A25" s="517" t="s">
        <v>351</v>
      </c>
      <c r="B25" s="518" t="s">
        <v>907</v>
      </c>
      <c r="C25" s="518" t="s">
        <v>908</v>
      </c>
      <c r="D25" s="519" t="s">
        <v>102</v>
      </c>
      <c r="E25" s="263" t="s">
        <v>1061</v>
      </c>
      <c r="F25" s="530" t="s">
        <v>101</v>
      </c>
      <c r="G25" s="535" t="s">
        <v>883</v>
      </c>
      <c r="H25" s="522" t="s">
        <v>892</v>
      </c>
      <c r="I25" s="523" t="s">
        <v>6</v>
      </c>
      <c r="J25" s="523" t="s">
        <v>868</v>
      </c>
      <c r="K25" s="524">
        <v>1</v>
      </c>
      <c r="L25" s="525" t="s">
        <v>79</v>
      </c>
      <c r="M25" s="525" t="s">
        <v>7</v>
      </c>
      <c r="N25" s="525" t="s">
        <v>7</v>
      </c>
      <c r="O25" s="528"/>
      <c r="P25" s="264" t="s">
        <v>6</v>
      </c>
      <c r="Q25" s="265" t="s">
        <v>7</v>
      </c>
      <c r="R25" s="527">
        <v>1</v>
      </c>
      <c r="S25" s="266" t="s">
        <v>7</v>
      </c>
      <c r="T25" s="531"/>
    </row>
    <row r="26" spans="1:20" ht="51" x14ac:dyDescent="0.2">
      <c r="A26" s="517" t="s">
        <v>351</v>
      </c>
      <c r="B26" s="518" t="s">
        <v>907</v>
      </c>
      <c r="C26" s="518" t="s">
        <v>908</v>
      </c>
      <c r="D26" s="519" t="s">
        <v>102</v>
      </c>
      <c r="E26" s="263" t="s">
        <v>1061</v>
      </c>
      <c r="F26" s="530" t="s">
        <v>101</v>
      </c>
      <c r="G26" s="535" t="s">
        <v>866</v>
      </c>
      <c r="H26" s="522" t="s">
        <v>890</v>
      </c>
      <c r="I26" s="523" t="s">
        <v>6</v>
      </c>
      <c r="J26" s="523" t="s">
        <v>868</v>
      </c>
      <c r="K26" s="524">
        <v>1</v>
      </c>
      <c r="L26" s="525" t="s">
        <v>79</v>
      </c>
      <c r="M26" s="525" t="s">
        <v>7</v>
      </c>
      <c r="N26" s="525" t="s">
        <v>7</v>
      </c>
      <c r="O26" s="528"/>
      <c r="P26" s="264" t="s">
        <v>6</v>
      </c>
      <c r="Q26" s="265" t="s">
        <v>7</v>
      </c>
      <c r="R26" s="527">
        <v>1</v>
      </c>
      <c r="S26" s="266" t="s">
        <v>7</v>
      </c>
      <c r="T26" s="531"/>
    </row>
    <row r="27" spans="1:20" ht="51" x14ac:dyDescent="0.2">
      <c r="A27" s="517" t="s">
        <v>351</v>
      </c>
      <c r="B27" s="518" t="s">
        <v>907</v>
      </c>
      <c r="C27" s="518" t="s">
        <v>908</v>
      </c>
      <c r="D27" s="519" t="s">
        <v>102</v>
      </c>
      <c r="E27" s="263" t="s">
        <v>1061</v>
      </c>
      <c r="F27" s="530" t="s">
        <v>101</v>
      </c>
      <c r="G27" s="535" t="s">
        <v>869</v>
      </c>
      <c r="H27" s="522" t="s">
        <v>890</v>
      </c>
      <c r="I27" s="523" t="s">
        <v>6</v>
      </c>
      <c r="J27" s="523" t="s">
        <v>868</v>
      </c>
      <c r="K27" s="524">
        <v>1</v>
      </c>
      <c r="L27" s="525" t="s">
        <v>79</v>
      </c>
      <c r="M27" s="525" t="s">
        <v>7</v>
      </c>
      <c r="N27" s="525" t="s">
        <v>7</v>
      </c>
      <c r="O27" s="528"/>
      <c r="P27" s="264" t="s">
        <v>6</v>
      </c>
      <c r="Q27" s="265" t="s">
        <v>7</v>
      </c>
      <c r="R27" s="527">
        <v>1</v>
      </c>
      <c r="S27" s="266" t="s">
        <v>7</v>
      </c>
      <c r="T27" s="531"/>
    </row>
    <row r="28" spans="1:20" ht="38.25" x14ac:dyDescent="0.2">
      <c r="A28" s="517" t="s">
        <v>351</v>
      </c>
      <c r="B28" s="518" t="s">
        <v>907</v>
      </c>
      <c r="C28" s="518" t="s">
        <v>908</v>
      </c>
      <c r="D28" s="519" t="s">
        <v>102</v>
      </c>
      <c r="E28" s="263" t="s">
        <v>1061</v>
      </c>
      <c r="F28" s="530" t="s">
        <v>894</v>
      </c>
      <c r="G28" s="535" t="s">
        <v>889</v>
      </c>
      <c r="H28" s="534" t="s">
        <v>895</v>
      </c>
      <c r="I28" s="523" t="s">
        <v>6</v>
      </c>
      <c r="J28" s="523" t="s">
        <v>868</v>
      </c>
      <c r="K28" s="524">
        <v>1</v>
      </c>
      <c r="L28" s="525" t="s">
        <v>79</v>
      </c>
      <c r="M28" s="525" t="s">
        <v>7</v>
      </c>
      <c r="N28" s="525" t="s">
        <v>7</v>
      </c>
      <c r="O28" s="528"/>
      <c r="P28" s="264" t="s">
        <v>6</v>
      </c>
      <c r="Q28" s="265" t="s">
        <v>7</v>
      </c>
      <c r="R28" s="527">
        <v>1</v>
      </c>
      <c r="S28" s="266" t="s">
        <v>7</v>
      </c>
      <c r="T28" s="531"/>
    </row>
    <row r="29" spans="1:20" ht="38.25" x14ac:dyDescent="0.2">
      <c r="A29" s="517" t="s">
        <v>351</v>
      </c>
      <c r="B29" s="518" t="s">
        <v>907</v>
      </c>
      <c r="C29" s="518" t="s">
        <v>908</v>
      </c>
      <c r="D29" s="519" t="s">
        <v>102</v>
      </c>
      <c r="E29" s="263" t="s">
        <v>1061</v>
      </c>
      <c r="F29" s="530" t="s">
        <v>894</v>
      </c>
      <c r="G29" s="535" t="s">
        <v>881</v>
      </c>
      <c r="H29" s="522" t="s">
        <v>896</v>
      </c>
      <c r="I29" s="523" t="s">
        <v>6</v>
      </c>
      <c r="J29" s="523" t="s">
        <v>868</v>
      </c>
      <c r="K29" s="524">
        <v>1</v>
      </c>
      <c r="L29" s="525" t="s">
        <v>79</v>
      </c>
      <c r="M29" s="525" t="s">
        <v>7</v>
      </c>
      <c r="N29" s="525" t="s">
        <v>7</v>
      </c>
      <c r="O29" s="528"/>
      <c r="P29" s="264" t="s">
        <v>6</v>
      </c>
      <c r="Q29" s="265" t="s">
        <v>7</v>
      </c>
      <c r="R29" s="527">
        <v>1</v>
      </c>
      <c r="S29" s="266" t="s">
        <v>7</v>
      </c>
      <c r="T29" s="531"/>
    </row>
    <row r="30" spans="1:20" ht="38.25" x14ac:dyDescent="0.2">
      <c r="A30" s="517" t="s">
        <v>351</v>
      </c>
      <c r="B30" s="518" t="s">
        <v>907</v>
      </c>
      <c r="C30" s="518" t="s">
        <v>908</v>
      </c>
      <c r="D30" s="519" t="s">
        <v>102</v>
      </c>
      <c r="E30" s="263" t="s">
        <v>1061</v>
      </c>
      <c r="F30" s="530" t="s">
        <v>894</v>
      </c>
      <c r="G30" s="535" t="s">
        <v>883</v>
      </c>
      <c r="H30" s="522" t="s">
        <v>896</v>
      </c>
      <c r="I30" s="523" t="s">
        <v>6</v>
      </c>
      <c r="J30" s="523" t="s">
        <v>868</v>
      </c>
      <c r="K30" s="524">
        <v>1</v>
      </c>
      <c r="L30" s="525" t="s">
        <v>79</v>
      </c>
      <c r="M30" s="525" t="s">
        <v>7</v>
      </c>
      <c r="N30" s="525" t="s">
        <v>7</v>
      </c>
      <c r="O30" s="528"/>
      <c r="P30" s="264" t="s">
        <v>6</v>
      </c>
      <c r="Q30" s="265" t="s">
        <v>7</v>
      </c>
      <c r="R30" s="527">
        <v>1</v>
      </c>
      <c r="S30" s="266" t="s">
        <v>7</v>
      </c>
      <c r="T30" s="531"/>
    </row>
    <row r="31" spans="1:20" ht="38.25" x14ac:dyDescent="0.2">
      <c r="A31" s="517" t="s">
        <v>351</v>
      </c>
      <c r="B31" s="518" t="s">
        <v>907</v>
      </c>
      <c r="C31" s="518" t="s">
        <v>908</v>
      </c>
      <c r="D31" s="519" t="s">
        <v>102</v>
      </c>
      <c r="E31" s="263" t="s">
        <v>1061</v>
      </c>
      <c r="F31" s="530" t="s">
        <v>894</v>
      </c>
      <c r="G31" s="535" t="s">
        <v>866</v>
      </c>
      <c r="H31" s="534" t="s">
        <v>895</v>
      </c>
      <c r="I31" s="523" t="s">
        <v>6</v>
      </c>
      <c r="J31" s="523" t="s">
        <v>868</v>
      </c>
      <c r="K31" s="524">
        <v>1</v>
      </c>
      <c r="L31" s="525" t="s">
        <v>79</v>
      </c>
      <c r="M31" s="525" t="s">
        <v>7</v>
      </c>
      <c r="N31" s="525" t="s">
        <v>7</v>
      </c>
      <c r="O31" s="528"/>
      <c r="P31" s="264" t="s">
        <v>6</v>
      </c>
      <c r="Q31" s="265" t="s">
        <v>7</v>
      </c>
      <c r="R31" s="527">
        <v>1</v>
      </c>
      <c r="S31" s="266" t="s">
        <v>7</v>
      </c>
      <c r="T31" s="531"/>
    </row>
    <row r="32" spans="1:20" ht="38.25" x14ac:dyDescent="0.2">
      <c r="A32" s="517" t="s">
        <v>351</v>
      </c>
      <c r="B32" s="518" t="s">
        <v>907</v>
      </c>
      <c r="C32" s="518" t="s">
        <v>908</v>
      </c>
      <c r="D32" s="519" t="s">
        <v>102</v>
      </c>
      <c r="E32" s="263" t="s">
        <v>1061</v>
      </c>
      <c r="F32" s="530" t="s">
        <v>740</v>
      </c>
      <c r="G32" s="535" t="s">
        <v>889</v>
      </c>
      <c r="H32" s="522" t="s">
        <v>897</v>
      </c>
      <c r="I32" s="523" t="s">
        <v>6</v>
      </c>
      <c r="J32" s="523" t="s">
        <v>868</v>
      </c>
      <c r="K32" s="524">
        <v>1</v>
      </c>
      <c r="L32" s="525" t="s">
        <v>79</v>
      </c>
      <c r="M32" s="525" t="s">
        <v>7</v>
      </c>
      <c r="N32" s="525" t="s">
        <v>7</v>
      </c>
      <c r="O32" s="528"/>
      <c r="P32" s="264" t="s">
        <v>6</v>
      </c>
      <c r="Q32" s="265" t="s">
        <v>7</v>
      </c>
      <c r="R32" s="527">
        <v>1</v>
      </c>
      <c r="S32" s="266" t="s">
        <v>7</v>
      </c>
      <c r="T32" s="531"/>
    </row>
    <row r="33" spans="1:20" ht="38.25" x14ac:dyDescent="0.2">
      <c r="A33" s="517" t="s">
        <v>351</v>
      </c>
      <c r="B33" s="518" t="s">
        <v>907</v>
      </c>
      <c r="C33" s="518" t="s">
        <v>908</v>
      </c>
      <c r="D33" s="519" t="s">
        <v>102</v>
      </c>
      <c r="E33" s="263" t="s">
        <v>1061</v>
      </c>
      <c r="F33" s="530" t="s">
        <v>740</v>
      </c>
      <c r="G33" s="535" t="s">
        <v>881</v>
      </c>
      <c r="H33" s="522" t="s">
        <v>897</v>
      </c>
      <c r="I33" s="523" t="s">
        <v>6</v>
      </c>
      <c r="J33" s="523" t="s">
        <v>868</v>
      </c>
      <c r="K33" s="524">
        <v>1</v>
      </c>
      <c r="L33" s="525" t="s">
        <v>79</v>
      </c>
      <c r="M33" s="525" t="s">
        <v>7</v>
      </c>
      <c r="N33" s="525" t="s">
        <v>7</v>
      </c>
      <c r="O33" s="528"/>
      <c r="P33" s="264" t="s">
        <v>6</v>
      </c>
      <c r="Q33" s="265" t="s">
        <v>7</v>
      </c>
      <c r="R33" s="527">
        <v>1</v>
      </c>
      <c r="S33" s="266" t="s">
        <v>7</v>
      </c>
      <c r="T33" s="531"/>
    </row>
    <row r="34" spans="1:20" ht="38.25" x14ac:dyDescent="0.2">
      <c r="A34" s="517" t="s">
        <v>351</v>
      </c>
      <c r="B34" s="518" t="s">
        <v>907</v>
      </c>
      <c r="C34" s="518" t="s">
        <v>908</v>
      </c>
      <c r="D34" s="519" t="s">
        <v>102</v>
      </c>
      <c r="E34" s="263" t="s">
        <v>1061</v>
      </c>
      <c r="F34" s="530" t="s">
        <v>740</v>
      </c>
      <c r="G34" s="535" t="s">
        <v>883</v>
      </c>
      <c r="H34" s="522" t="s">
        <v>897</v>
      </c>
      <c r="I34" s="523" t="s">
        <v>6</v>
      </c>
      <c r="J34" s="523" t="s">
        <v>868</v>
      </c>
      <c r="K34" s="524">
        <v>1</v>
      </c>
      <c r="L34" s="525" t="s">
        <v>79</v>
      </c>
      <c r="M34" s="525" t="s">
        <v>7</v>
      </c>
      <c r="N34" s="525" t="s">
        <v>7</v>
      </c>
      <c r="O34" s="528"/>
      <c r="P34" s="264" t="s">
        <v>6</v>
      </c>
      <c r="Q34" s="265" t="s">
        <v>7</v>
      </c>
      <c r="R34" s="527">
        <v>1</v>
      </c>
      <c r="S34" s="266" t="s">
        <v>7</v>
      </c>
      <c r="T34" s="531"/>
    </row>
    <row r="35" spans="1:20" ht="38.25" x14ac:dyDescent="0.2">
      <c r="A35" s="517" t="s">
        <v>351</v>
      </c>
      <c r="B35" s="518" t="s">
        <v>907</v>
      </c>
      <c r="C35" s="518" t="s">
        <v>908</v>
      </c>
      <c r="D35" s="519" t="s">
        <v>102</v>
      </c>
      <c r="E35" s="263" t="s">
        <v>1061</v>
      </c>
      <c r="F35" s="538" t="s">
        <v>898</v>
      </c>
      <c r="G35" s="535" t="s">
        <v>889</v>
      </c>
      <c r="H35" s="534"/>
      <c r="I35" s="523" t="s">
        <v>6</v>
      </c>
      <c r="J35" s="523" t="s">
        <v>868</v>
      </c>
      <c r="K35" s="524">
        <v>1</v>
      </c>
      <c r="L35" s="525" t="s">
        <v>79</v>
      </c>
      <c r="M35" s="525" t="s">
        <v>7</v>
      </c>
      <c r="N35" s="525" t="s">
        <v>7</v>
      </c>
      <c r="O35" s="528"/>
      <c r="P35" s="264" t="s">
        <v>6</v>
      </c>
      <c r="Q35" s="265" t="s">
        <v>7</v>
      </c>
      <c r="R35" s="527">
        <v>1</v>
      </c>
      <c r="S35" s="266" t="s">
        <v>7</v>
      </c>
      <c r="T35" s="531"/>
    </row>
    <row r="36" spans="1:20" ht="38.25" x14ac:dyDescent="0.2">
      <c r="A36" s="517" t="s">
        <v>351</v>
      </c>
      <c r="B36" s="518" t="s">
        <v>907</v>
      </c>
      <c r="C36" s="518" t="s">
        <v>908</v>
      </c>
      <c r="D36" s="519" t="s">
        <v>102</v>
      </c>
      <c r="E36" s="263" t="s">
        <v>1061</v>
      </c>
      <c r="F36" s="538" t="s">
        <v>898</v>
      </c>
      <c r="G36" s="535" t="s">
        <v>881</v>
      </c>
      <c r="H36" s="534"/>
      <c r="I36" s="523" t="s">
        <v>6</v>
      </c>
      <c r="J36" s="523" t="s">
        <v>868</v>
      </c>
      <c r="K36" s="524">
        <v>1</v>
      </c>
      <c r="L36" s="525" t="s">
        <v>79</v>
      </c>
      <c r="M36" s="525" t="s">
        <v>7</v>
      </c>
      <c r="N36" s="525" t="s">
        <v>7</v>
      </c>
      <c r="O36" s="528"/>
      <c r="P36" s="264" t="s">
        <v>6</v>
      </c>
      <c r="Q36" s="265" t="s">
        <v>7</v>
      </c>
      <c r="R36" s="527">
        <v>1</v>
      </c>
      <c r="S36" s="266" t="s">
        <v>7</v>
      </c>
      <c r="T36" s="531"/>
    </row>
    <row r="37" spans="1:20" ht="38.25" x14ac:dyDescent="0.2">
      <c r="A37" s="517" t="s">
        <v>351</v>
      </c>
      <c r="B37" s="518" t="s">
        <v>907</v>
      </c>
      <c r="C37" s="518" t="s">
        <v>908</v>
      </c>
      <c r="D37" s="519" t="s">
        <v>102</v>
      </c>
      <c r="E37" s="263" t="s">
        <v>1061</v>
      </c>
      <c r="F37" s="538" t="s">
        <v>898</v>
      </c>
      <c r="G37" s="535" t="s">
        <v>883</v>
      </c>
      <c r="H37" s="534"/>
      <c r="I37" s="523" t="s">
        <v>6</v>
      </c>
      <c r="J37" s="523" t="s">
        <v>868</v>
      </c>
      <c r="K37" s="524">
        <v>1</v>
      </c>
      <c r="L37" s="525" t="s">
        <v>79</v>
      </c>
      <c r="M37" s="525" t="s">
        <v>7</v>
      </c>
      <c r="N37" s="525" t="s">
        <v>7</v>
      </c>
      <c r="O37" s="528"/>
      <c r="P37" s="264" t="s">
        <v>6</v>
      </c>
      <c r="Q37" s="265" t="s">
        <v>7</v>
      </c>
      <c r="R37" s="527">
        <v>1</v>
      </c>
      <c r="S37" s="266" t="s">
        <v>7</v>
      </c>
      <c r="T37" s="531"/>
    </row>
    <row r="38" spans="1:20" ht="38.25" x14ac:dyDescent="0.2">
      <c r="A38" s="517" t="s">
        <v>351</v>
      </c>
      <c r="B38" s="518" t="s">
        <v>907</v>
      </c>
      <c r="C38" s="518" t="s">
        <v>908</v>
      </c>
      <c r="D38" s="519" t="s">
        <v>102</v>
      </c>
      <c r="E38" s="263" t="s">
        <v>1061</v>
      </c>
      <c r="F38" s="538" t="s">
        <v>898</v>
      </c>
      <c r="G38" s="535" t="s">
        <v>866</v>
      </c>
      <c r="H38" s="534"/>
      <c r="I38" s="523" t="s">
        <v>6</v>
      </c>
      <c r="J38" s="523" t="s">
        <v>868</v>
      </c>
      <c r="K38" s="524">
        <v>1</v>
      </c>
      <c r="L38" s="525" t="s">
        <v>79</v>
      </c>
      <c r="M38" s="525" t="s">
        <v>7</v>
      </c>
      <c r="N38" s="525" t="s">
        <v>7</v>
      </c>
      <c r="O38" s="528"/>
      <c r="P38" s="264" t="s">
        <v>6</v>
      </c>
      <c r="Q38" s="265" t="s">
        <v>7</v>
      </c>
      <c r="R38" s="527">
        <v>1</v>
      </c>
      <c r="S38" s="266" t="s">
        <v>7</v>
      </c>
      <c r="T38" s="531"/>
    </row>
    <row r="39" spans="1:20" ht="38.25" x14ac:dyDescent="0.2">
      <c r="A39" s="517" t="s">
        <v>351</v>
      </c>
      <c r="B39" s="518" t="s">
        <v>907</v>
      </c>
      <c r="C39" s="518" t="s">
        <v>908</v>
      </c>
      <c r="D39" s="519" t="s">
        <v>102</v>
      </c>
      <c r="E39" s="263" t="s">
        <v>1061</v>
      </c>
      <c r="F39" s="538" t="s">
        <v>898</v>
      </c>
      <c r="G39" s="535" t="s">
        <v>869</v>
      </c>
      <c r="H39" s="534"/>
      <c r="I39" s="523" t="s">
        <v>6</v>
      </c>
      <c r="J39" s="523" t="s">
        <v>868</v>
      </c>
      <c r="K39" s="524">
        <v>1</v>
      </c>
      <c r="L39" s="525" t="s">
        <v>79</v>
      </c>
      <c r="M39" s="525" t="s">
        <v>7</v>
      </c>
      <c r="N39" s="525" t="s">
        <v>7</v>
      </c>
      <c r="O39" s="528"/>
      <c r="P39" s="264" t="s">
        <v>6</v>
      </c>
      <c r="Q39" s="265" t="s">
        <v>7</v>
      </c>
      <c r="R39" s="527">
        <v>1</v>
      </c>
      <c r="S39" s="266" t="s">
        <v>7</v>
      </c>
      <c r="T39" s="531"/>
    </row>
    <row r="40" spans="1:20" ht="38.25" x14ac:dyDescent="0.2">
      <c r="A40" s="517" t="s">
        <v>351</v>
      </c>
      <c r="B40" s="518" t="s">
        <v>907</v>
      </c>
      <c r="C40" s="518" t="s">
        <v>908</v>
      </c>
      <c r="D40" s="519" t="s">
        <v>102</v>
      </c>
      <c r="E40" s="263" t="s">
        <v>1061</v>
      </c>
      <c r="F40" s="538" t="s">
        <v>899</v>
      </c>
      <c r="G40" s="535" t="s">
        <v>881</v>
      </c>
      <c r="H40" s="534" t="s">
        <v>900</v>
      </c>
      <c r="I40" s="523" t="s">
        <v>6</v>
      </c>
      <c r="J40" s="523" t="s">
        <v>868</v>
      </c>
      <c r="K40" s="524">
        <v>1</v>
      </c>
      <c r="L40" s="525" t="s">
        <v>79</v>
      </c>
      <c r="M40" s="525" t="s">
        <v>7</v>
      </c>
      <c r="N40" s="525" t="s">
        <v>7</v>
      </c>
      <c r="O40" s="528"/>
      <c r="P40" s="264" t="s">
        <v>6</v>
      </c>
      <c r="Q40" s="265" t="s">
        <v>7</v>
      </c>
      <c r="R40" s="527">
        <v>1</v>
      </c>
      <c r="S40" s="266" t="s">
        <v>7</v>
      </c>
      <c r="T40" s="531"/>
    </row>
    <row r="41" spans="1:20" ht="38.25" x14ac:dyDescent="0.2">
      <c r="A41" s="517" t="s">
        <v>351</v>
      </c>
      <c r="B41" s="518" t="s">
        <v>907</v>
      </c>
      <c r="C41" s="518" t="s">
        <v>908</v>
      </c>
      <c r="D41" s="519" t="s">
        <v>102</v>
      </c>
      <c r="E41" s="263" t="s">
        <v>1061</v>
      </c>
      <c r="F41" s="538" t="s">
        <v>899</v>
      </c>
      <c r="G41" s="535" t="s">
        <v>883</v>
      </c>
      <c r="H41" s="534" t="s">
        <v>900</v>
      </c>
      <c r="I41" s="523" t="s">
        <v>6</v>
      </c>
      <c r="J41" s="523" t="s">
        <v>868</v>
      </c>
      <c r="K41" s="524">
        <v>1</v>
      </c>
      <c r="L41" s="525" t="s">
        <v>79</v>
      </c>
      <c r="M41" s="525" t="s">
        <v>7</v>
      </c>
      <c r="N41" s="525" t="s">
        <v>7</v>
      </c>
      <c r="O41" s="528"/>
      <c r="P41" s="264" t="s">
        <v>6</v>
      </c>
      <c r="Q41" s="265" t="s">
        <v>7</v>
      </c>
      <c r="R41" s="527">
        <v>1</v>
      </c>
      <c r="S41" s="266" t="s">
        <v>7</v>
      </c>
      <c r="T41" s="531"/>
    </row>
    <row r="42" spans="1:20" ht="127.5" x14ac:dyDescent="0.2">
      <c r="A42" s="517" t="s">
        <v>351</v>
      </c>
      <c r="B42" s="518" t="s">
        <v>907</v>
      </c>
      <c r="C42" s="518" t="s">
        <v>908</v>
      </c>
      <c r="D42" s="519" t="s">
        <v>98</v>
      </c>
      <c r="E42" s="263" t="s">
        <v>1062</v>
      </c>
      <c r="F42" s="539" t="s">
        <v>99</v>
      </c>
      <c r="G42" s="540" t="s">
        <v>866</v>
      </c>
      <c r="H42" s="522" t="s">
        <v>867</v>
      </c>
      <c r="I42" s="523" t="s">
        <v>6</v>
      </c>
      <c r="J42" s="525" t="s">
        <v>901</v>
      </c>
      <c r="K42" s="524">
        <v>1</v>
      </c>
      <c r="L42" s="525" t="s">
        <v>79</v>
      </c>
      <c r="M42" s="525" t="s">
        <v>7</v>
      </c>
      <c r="N42" s="525" t="s">
        <v>7</v>
      </c>
      <c r="O42" s="528"/>
      <c r="P42" s="264" t="s">
        <v>6</v>
      </c>
      <c r="Q42" s="265" t="s">
        <v>7</v>
      </c>
      <c r="R42" s="527">
        <v>1</v>
      </c>
      <c r="S42" s="266" t="s">
        <v>7</v>
      </c>
      <c r="T42" s="531"/>
    </row>
    <row r="43" spans="1:20" ht="127.5" x14ac:dyDescent="0.2">
      <c r="A43" s="517" t="s">
        <v>351</v>
      </c>
      <c r="B43" s="518" t="s">
        <v>907</v>
      </c>
      <c r="C43" s="518" t="s">
        <v>908</v>
      </c>
      <c r="D43" s="519" t="s">
        <v>98</v>
      </c>
      <c r="E43" s="263" t="s">
        <v>1062</v>
      </c>
      <c r="F43" s="539" t="s">
        <v>99</v>
      </c>
      <c r="G43" s="539" t="s">
        <v>869</v>
      </c>
      <c r="H43" s="522" t="s">
        <v>867</v>
      </c>
      <c r="I43" s="523" t="s">
        <v>6</v>
      </c>
      <c r="J43" s="525" t="s">
        <v>901</v>
      </c>
      <c r="K43" s="524">
        <v>1</v>
      </c>
      <c r="L43" s="525" t="s">
        <v>79</v>
      </c>
      <c r="M43" s="525" t="s">
        <v>7</v>
      </c>
      <c r="N43" s="525" t="s">
        <v>7</v>
      </c>
      <c r="O43" s="528"/>
      <c r="P43" s="264" t="s">
        <v>6</v>
      </c>
      <c r="Q43" s="265" t="s">
        <v>7</v>
      </c>
      <c r="R43" s="527">
        <v>1</v>
      </c>
      <c r="S43" s="266" t="s">
        <v>7</v>
      </c>
      <c r="T43" s="531"/>
    </row>
    <row r="44" spans="1:20" ht="127.5" x14ac:dyDescent="0.2">
      <c r="A44" s="517" t="s">
        <v>351</v>
      </c>
      <c r="B44" s="518" t="s">
        <v>907</v>
      </c>
      <c r="C44" s="518" t="s">
        <v>908</v>
      </c>
      <c r="D44" s="519" t="s">
        <v>98</v>
      </c>
      <c r="E44" s="263" t="s">
        <v>1062</v>
      </c>
      <c r="F44" s="530" t="s">
        <v>870</v>
      </c>
      <c r="G44" s="533" t="s">
        <v>889</v>
      </c>
      <c r="H44" s="522" t="s">
        <v>872</v>
      </c>
      <c r="I44" s="523" t="s">
        <v>6</v>
      </c>
      <c r="J44" s="525" t="s">
        <v>902</v>
      </c>
      <c r="K44" s="524">
        <v>1</v>
      </c>
      <c r="L44" s="236" t="s">
        <v>6</v>
      </c>
      <c r="M44" s="525" t="s">
        <v>903</v>
      </c>
      <c r="N44" s="541">
        <v>0.08</v>
      </c>
      <c r="O44" s="528"/>
      <c r="P44" s="264" t="s">
        <v>6</v>
      </c>
      <c r="Q44" s="266" t="s">
        <v>902</v>
      </c>
      <c r="R44" s="542">
        <v>0.08</v>
      </c>
      <c r="S44" s="542">
        <v>1</v>
      </c>
      <c r="T44" s="531"/>
    </row>
    <row r="45" spans="1:20" ht="127.5" x14ac:dyDescent="0.2">
      <c r="A45" s="517" t="s">
        <v>351</v>
      </c>
      <c r="B45" s="518" t="s">
        <v>907</v>
      </c>
      <c r="C45" s="518" t="s">
        <v>908</v>
      </c>
      <c r="D45" s="519" t="s">
        <v>98</v>
      </c>
      <c r="E45" s="263" t="s">
        <v>1062</v>
      </c>
      <c r="F45" s="530" t="s">
        <v>870</v>
      </c>
      <c r="G45" s="533" t="s">
        <v>881</v>
      </c>
      <c r="H45" s="522" t="s">
        <v>874</v>
      </c>
      <c r="I45" s="523" t="s">
        <v>6</v>
      </c>
      <c r="J45" s="525" t="s">
        <v>902</v>
      </c>
      <c r="K45" s="524">
        <v>1</v>
      </c>
      <c r="L45" s="525" t="s">
        <v>6</v>
      </c>
      <c r="M45" s="525" t="s">
        <v>903</v>
      </c>
      <c r="N45" s="543">
        <v>0.08</v>
      </c>
      <c r="O45" s="528"/>
      <c r="P45" s="264" t="s">
        <v>6</v>
      </c>
      <c r="Q45" s="266" t="s">
        <v>902</v>
      </c>
      <c r="R45" s="542">
        <v>0.08</v>
      </c>
      <c r="S45" s="542">
        <v>1</v>
      </c>
      <c r="T45" s="531"/>
    </row>
    <row r="46" spans="1:20" ht="153" x14ac:dyDescent="0.2">
      <c r="A46" s="517" t="s">
        <v>351</v>
      </c>
      <c r="B46" s="518" t="s">
        <v>907</v>
      </c>
      <c r="C46" s="518" t="s">
        <v>908</v>
      </c>
      <c r="D46" s="519" t="s">
        <v>98</v>
      </c>
      <c r="E46" s="263" t="s">
        <v>1062</v>
      </c>
      <c r="F46" s="530" t="s">
        <v>870</v>
      </c>
      <c r="G46" s="533" t="s">
        <v>883</v>
      </c>
      <c r="H46" s="522" t="s">
        <v>876</v>
      </c>
      <c r="I46" s="523" t="s">
        <v>6</v>
      </c>
      <c r="J46" s="525" t="s">
        <v>901</v>
      </c>
      <c r="K46" s="524">
        <v>1</v>
      </c>
      <c r="L46" s="525" t="s">
        <v>79</v>
      </c>
      <c r="M46" s="525" t="s">
        <v>7</v>
      </c>
      <c r="N46" s="525" t="s">
        <v>7</v>
      </c>
      <c r="O46" s="528"/>
      <c r="P46" s="264" t="s">
        <v>6</v>
      </c>
      <c r="Q46" s="265" t="s">
        <v>7</v>
      </c>
      <c r="R46" s="542">
        <v>1</v>
      </c>
      <c r="S46" s="542" t="s">
        <v>7</v>
      </c>
      <c r="T46" s="531"/>
    </row>
    <row r="47" spans="1:20" ht="140.25" x14ac:dyDescent="0.2">
      <c r="A47" s="517" t="s">
        <v>351</v>
      </c>
      <c r="B47" s="518" t="s">
        <v>907</v>
      </c>
      <c r="C47" s="518" t="s">
        <v>908</v>
      </c>
      <c r="D47" s="519" t="s">
        <v>98</v>
      </c>
      <c r="E47" s="263" t="s">
        <v>1062</v>
      </c>
      <c r="F47" s="530" t="s">
        <v>870</v>
      </c>
      <c r="G47" s="533" t="s">
        <v>866</v>
      </c>
      <c r="H47" s="522" t="s">
        <v>878</v>
      </c>
      <c r="I47" s="523" t="s">
        <v>6</v>
      </c>
      <c r="J47" s="525" t="s">
        <v>901</v>
      </c>
      <c r="K47" s="524">
        <v>1</v>
      </c>
      <c r="L47" s="525" t="s">
        <v>79</v>
      </c>
      <c r="M47" s="525" t="s">
        <v>7</v>
      </c>
      <c r="N47" s="525" t="s">
        <v>7</v>
      </c>
      <c r="O47" s="528"/>
      <c r="P47" s="264" t="s">
        <v>6</v>
      </c>
      <c r="Q47" s="265" t="s">
        <v>7</v>
      </c>
      <c r="R47" s="542">
        <v>1</v>
      </c>
      <c r="S47" s="542" t="s">
        <v>7</v>
      </c>
      <c r="T47" s="531"/>
    </row>
    <row r="48" spans="1:20" ht="127.5" x14ac:dyDescent="0.2">
      <c r="A48" s="517" t="s">
        <v>351</v>
      </c>
      <c r="B48" s="518" t="s">
        <v>907</v>
      </c>
      <c r="C48" s="518" t="s">
        <v>908</v>
      </c>
      <c r="D48" s="519" t="s">
        <v>98</v>
      </c>
      <c r="E48" s="263" t="s">
        <v>1062</v>
      </c>
      <c r="F48" s="530" t="s">
        <v>870</v>
      </c>
      <c r="G48" s="533" t="s">
        <v>869</v>
      </c>
      <c r="H48" s="522" t="s">
        <v>880</v>
      </c>
      <c r="I48" s="523" t="s">
        <v>6</v>
      </c>
      <c r="J48" s="525" t="s">
        <v>901</v>
      </c>
      <c r="K48" s="524">
        <v>1</v>
      </c>
      <c r="L48" s="525" t="s">
        <v>79</v>
      </c>
      <c r="M48" s="525" t="s">
        <v>7</v>
      </c>
      <c r="N48" s="525" t="s">
        <v>7</v>
      </c>
      <c r="O48" s="528"/>
      <c r="P48" s="264" t="s">
        <v>6</v>
      </c>
      <c r="Q48" s="265" t="s">
        <v>7</v>
      </c>
      <c r="R48" s="542">
        <v>1</v>
      </c>
      <c r="S48" s="542" t="s">
        <v>7</v>
      </c>
      <c r="T48" s="531"/>
    </row>
    <row r="49" spans="1:20" ht="127.5" x14ac:dyDescent="0.2">
      <c r="A49" s="517" t="s">
        <v>351</v>
      </c>
      <c r="B49" s="518" t="s">
        <v>907</v>
      </c>
      <c r="C49" s="518" t="s">
        <v>908</v>
      </c>
      <c r="D49" s="519" t="s">
        <v>98</v>
      </c>
      <c r="E49" s="263" t="s">
        <v>1062</v>
      </c>
      <c r="F49" s="530" t="s">
        <v>738</v>
      </c>
      <c r="G49" s="533" t="s">
        <v>889</v>
      </c>
      <c r="H49" s="534" t="s">
        <v>893</v>
      </c>
      <c r="I49" s="523" t="s">
        <v>6</v>
      </c>
      <c r="J49" s="525" t="s">
        <v>902</v>
      </c>
      <c r="K49" s="524">
        <v>1</v>
      </c>
      <c r="L49" s="525" t="s">
        <v>6</v>
      </c>
      <c r="M49" s="525" t="s">
        <v>903</v>
      </c>
      <c r="N49" s="543">
        <v>0.08</v>
      </c>
      <c r="O49" s="528"/>
      <c r="P49" s="264" t="s">
        <v>6</v>
      </c>
      <c r="Q49" s="266" t="s">
        <v>902</v>
      </c>
      <c r="R49" s="542">
        <v>0.08</v>
      </c>
      <c r="S49" s="542">
        <v>1</v>
      </c>
      <c r="T49" s="531"/>
    </row>
    <row r="50" spans="1:20" ht="127.5" x14ac:dyDescent="0.2">
      <c r="A50" s="517" t="s">
        <v>351</v>
      </c>
      <c r="B50" s="518" t="s">
        <v>907</v>
      </c>
      <c r="C50" s="518" t="s">
        <v>908</v>
      </c>
      <c r="D50" s="519" t="s">
        <v>98</v>
      </c>
      <c r="E50" s="263" t="s">
        <v>1062</v>
      </c>
      <c r="F50" s="530" t="s">
        <v>738</v>
      </c>
      <c r="G50" s="533" t="s">
        <v>881</v>
      </c>
      <c r="H50" s="534" t="s">
        <v>893</v>
      </c>
      <c r="I50" s="523" t="s">
        <v>6</v>
      </c>
      <c r="J50" s="525" t="s">
        <v>902</v>
      </c>
      <c r="K50" s="524">
        <v>1</v>
      </c>
      <c r="L50" s="525" t="s">
        <v>6</v>
      </c>
      <c r="M50" s="525" t="s">
        <v>903</v>
      </c>
      <c r="N50" s="543">
        <v>0.08</v>
      </c>
      <c r="O50" s="528"/>
      <c r="P50" s="264" t="s">
        <v>6</v>
      </c>
      <c r="Q50" s="266" t="s">
        <v>902</v>
      </c>
      <c r="R50" s="542">
        <v>0.08</v>
      </c>
      <c r="S50" s="542">
        <v>1</v>
      </c>
      <c r="T50" s="531"/>
    </row>
    <row r="51" spans="1:20" ht="127.5" x14ac:dyDescent="0.2">
      <c r="A51" s="517" t="s">
        <v>351</v>
      </c>
      <c r="B51" s="518" t="s">
        <v>907</v>
      </c>
      <c r="C51" s="518" t="s">
        <v>908</v>
      </c>
      <c r="D51" s="519" t="s">
        <v>98</v>
      </c>
      <c r="E51" s="263" t="s">
        <v>1062</v>
      </c>
      <c r="F51" s="530" t="s">
        <v>738</v>
      </c>
      <c r="G51" s="533" t="s">
        <v>883</v>
      </c>
      <c r="H51" s="534" t="s">
        <v>893</v>
      </c>
      <c r="I51" s="523" t="s">
        <v>6</v>
      </c>
      <c r="J51" s="525" t="s">
        <v>902</v>
      </c>
      <c r="K51" s="524">
        <v>1</v>
      </c>
      <c r="L51" s="525" t="s">
        <v>6</v>
      </c>
      <c r="M51" s="525" t="s">
        <v>903</v>
      </c>
      <c r="N51" s="543">
        <v>0.08</v>
      </c>
      <c r="O51" s="528"/>
      <c r="P51" s="264" t="s">
        <v>6</v>
      </c>
      <c r="Q51" s="266" t="s">
        <v>902</v>
      </c>
      <c r="R51" s="542">
        <v>0.08</v>
      </c>
      <c r="S51" s="542">
        <v>1</v>
      </c>
      <c r="T51" s="531"/>
    </row>
    <row r="52" spans="1:20" ht="127.5" x14ac:dyDescent="0.2">
      <c r="A52" s="517" t="s">
        <v>351</v>
      </c>
      <c r="B52" s="518" t="s">
        <v>907</v>
      </c>
      <c r="C52" s="518" t="s">
        <v>908</v>
      </c>
      <c r="D52" s="519" t="s">
        <v>98</v>
      </c>
      <c r="E52" s="263" t="s">
        <v>1062</v>
      </c>
      <c r="F52" s="530" t="s">
        <v>738</v>
      </c>
      <c r="G52" s="533" t="s">
        <v>866</v>
      </c>
      <c r="H52" s="534" t="s">
        <v>893</v>
      </c>
      <c r="I52" s="523" t="s">
        <v>6</v>
      </c>
      <c r="J52" s="525" t="s">
        <v>902</v>
      </c>
      <c r="K52" s="524">
        <v>1</v>
      </c>
      <c r="L52" s="525" t="s">
        <v>6</v>
      </c>
      <c r="M52" s="525" t="s">
        <v>903</v>
      </c>
      <c r="N52" s="543">
        <v>0.08</v>
      </c>
      <c r="O52" s="528"/>
      <c r="P52" s="264" t="s">
        <v>6</v>
      </c>
      <c r="Q52" s="266" t="s">
        <v>902</v>
      </c>
      <c r="R52" s="542">
        <v>0.08</v>
      </c>
      <c r="S52" s="542">
        <v>1</v>
      </c>
      <c r="T52" s="531"/>
    </row>
    <row r="53" spans="1:20" ht="127.5" x14ac:dyDescent="0.2">
      <c r="A53" s="517" t="s">
        <v>351</v>
      </c>
      <c r="B53" s="518" t="s">
        <v>907</v>
      </c>
      <c r="C53" s="518" t="s">
        <v>908</v>
      </c>
      <c r="D53" s="519" t="s">
        <v>98</v>
      </c>
      <c r="E53" s="263" t="s">
        <v>1062</v>
      </c>
      <c r="F53" s="530" t="s">
        <v>738</v>
      </c>
      <c r="G53" s="533" t="s">
        <v>869</v>
      </c>
      <c r="H53" s="534" t="s">
        <v>893</v>
      </c>
      <c r="I53" s="523" t="s">
        <v>6</v>
      </c>
      <c r="J53" s="525" t="s">
        <v>901</v>
      </c>
      <c r="K53" s="524">
        <v>1</v>
      </c>
      <c r="L53" s="525" t="s">
        <v>79</v>
      </c>
      <c r="M53" s="525" t="s">
        <v>7</v>
      </c>
      <c r="N53" s="525" t="s">
        <v>7</v>
      </c>
      <c r="O53" s="528"/>
      <c r="P53" s="264" t="s">
        <v>6</v>
      </c>
      <c r="Q53" s="265" t="s">
        <v>7</v>
      </c>
      <c r="R53" s="542">
        <v>1</v>
      </c>
      <c r="S53" s="542" t="s">
        <v>7</v>
      </c>
      <c r="T53" s="531"/>
    </row>
    <row r="54" spans="1:20" ht="127.5" x14ac:dyDescent="0.2">
      <c r="A54" s="517" t="s">
        <v>351</v>
      </c>
      <c r="B54" s="518" t="s">
        <v>907</v>
      </c>
      <c r="C54" s="518" t="s">
        <v>908</v>
      </c>
      <c r="D54" s="519" t="s">
        <v>98</v>
      </c>
      <c r="E54" s="263" t="s">
        <v>1062</v>
      </c>
      <c r="F54" s="530" t="s">
        <v>101</v>
      </c>
      <c r="G54" s="533" t="s">
        <v>889</v>
      </c>
      <c r="H54" s="522" t="s">
        <v>890</v>
      </c>
      <c r="I54" s="523" t="s">
        <v>6</v>
      </c>
      <c r="J54" s="525" t="s">
        <v>902</v>
      </c>
      <c r="K54" s="524">
        <v>1</v>
      </c>
      <c r="L54" s="236" t="s">
        <v>6</v>
      </c>
      <c r="M54" s="525" t="s">
        <v>903</v>
      </c>
      <c r="N54" s="237">
        <v>0.08</v>
      </c>
      <c r="O54" s="528"/>
      <c r="P54" s="264" t="s">
        <v>6</v>
      </c>
      <c r="Q54" s="266" t="s">
        <v>902</v>
      </c>
      <c r="R54" s="542">
        <v>0.08</v>
      </c>
      <c r="S54" s="542">
        <v>1</v>
      </c>
      <c r="T54" s="531"/>
    </row>
    <row r="55" spans="1:20" ht="127.5" x14ac:dyDescent="0.2">
      <c r="A55" s="517" t="s">
        <v>351</v>
      </c>
      <c r="B55" s="518" t="s">
        <v>907</v>
      </c>
      <c r="C55" s="518" t="s">
        <v>908</v>
      </c>
      <c r="D55" s="519" t="s">
        <v>98</v>
      </c>
      <c r="E55" s="263" t="s">
        <v>1062</v>
      </c>
      <c r="F55" s="530" t="s">
        <v>101</v>
      </c>
      <c r="G55" s="533" t="s">
        <v>881</v>
      </c>
      <c r="H55" s="522" t="s">
        <v>891</v>
      </c>
      <c r="I55" s="523" t="s">
        <v>6</v>
      </c>
      <c r="J55" s="525" t="s">
        <v>902</v>
      </c>
      <c r="K55" s="524">
        <v>1</v>
      </c>
      <c r="L55" s="525" t="s">
        <v>79</v>
      </c>
      <c r="M55" s="525" t="s">
        <v>7</v>
      </c>
      <c r="N55" s="525" t="s">
        <v>7</v>
      </c>
      <c r="O55" s="528"/>
      <c r="P55" s="264" t="s">
        <v>6</v>
      </c>
      <c r="Q55" s="266" t="s">
        <v>902</v>
      </c>
      <c r="R55" s="542">
        <v>0.08</v>
      </c>
      <c r="S55" s="542">
        <v>1</v>
      </c>
      <c r="T55" s="531"/>
    </row>
    <row r="56" spans="1:20" ht="127.5" x14ac:dyDescent="0.2">
      <c r="A56" s="517" t="s">
        <v>351</v>
      </c>
      <c r="B56" s="518" t="s">
        <v>907</v>
      </c>
      <c r="C56" s="518" t="s">
        <v>908</v>
      </c>
      <c r="D56" s="519" t="s">
        <v>98</v>
      </c>
      <c r="E56" s="263" t="s">
        <v>1062</v>
      </c>
      <c r="F56" s="530" t="s">
        <v>101</v>
      </c>
      <c r="G56" s="533" t="s">
        <v>883</v>
      </c>
      <c r="H56" s="522" t="s">
        <v>891</v>
      </c>
      <c r="I56" s="523" t="s">
        <v>6</v>
      </c>
      <c r="J56" s="525" t="s">
        <v>902</v>
      </c>
      <c r="K56" s="524">
        <v>1</v>
      </c>
      <c r="L56" s="525" t="s">
        <v>79</v>
      </c>
      <c r="M56" s="525" t="s">
        <v>7</v>
      </c>
      <c r="N56" s="525" t="s">
        <v>7</v>
      </c>
      <c r="O56" s="528"/>
      <c r="P56" s="264" t="s">
        <v>6</v>
      </c>
      <c r="Q56" s="266" t="s">
        <v>902</v>
      </c>
      <c r="R56" s="542">
        <v>0.08</v>
      </c>
      <c r="S56" s="542">
        <v>1</v>
      </c>
      <c r="T56" s="531"/>
    </row>
    <row r="57" spans="1:20" ht="127.5" x14ac:dyDescent="0.2">
      <c r="A57" s="517" t="s">
        <v>351</v>
      </c>
      <c r="B57" s="518" t="s">
        <v>907</v>
      </c>
      <c r="C57" s="518" t="s">
        <v>908</v>
      </c>
      <c r="D57" s="519" t="s">
        <v>98</v>
      </c>
      <c r="E57" s="263" t="s">
        <v>1062</v>
      </c>
      <c r="F57" s="530" t="s">
        <v>101</v>
      </c>
      <c r="G57" s="533" t="s">
        <v>866</v>
      </c>
      <c r="H57" s="522" t="s">
        <v>890</v>
      </c>
      <c r="I57" s="523" t="s">
        <v>6</v>
      </c>
      <c r="J57" s="525" t="s">
        <v>901</v>
      </c>
      <c r="K57" s="524">
        <v>1</v>
      </c>
      <c r="L57" s="525" t="s">
        <v>79</v>
      </c>
      <c r="M57" s="525" t="s">
        <v>7</v>
      </c>
      <c r="N57" s="525" t="s">
        <v>7</v>
      </c>
      <c r="O57" s="528"/>
      <c r="P57" s="264" t="s">
        <v>6</v>
      </c>
      <c r="Q57" s="265" t="s">
        <v>7</v>
      </c>
      <c r="R57" s="542">
        <v>1</v>
      </c>
      <c r="S57" s="542" t="s">
        <v>7</v>
      </c>
      <c r="T57" s="531"/>
    </row>
    <row r="58" spans="1:20" ht="127.5" x14ac:dyDescent="0.2">
      <c r="A58" s="517" t="s">
        <v>351</v>
      </c>
      <c r="B58" s="518" t="s">
        <v>907</v>
      </c>
      <c r="C58" s="518" t="s">
        <v>908</v>
      </c>
      <c r="D58" s="519" t="s">
        <v>98</v>
      </c>
      <c r="E58" s="263" t="s">
        <v>1062</v>
      </c>
      <c r="F58" s="530" t="s">
        <v>101</v>
      </c>
      <c r="G58" s="535" t="s">
        <v>869</v>
      </c>
      <c r="H58" s="522" t="s">
        <v>890</v>
      </c>
      <c r="I58" s="523" t="s">
        <v>6</v>
      </c>
      <c r="J58" s="525" t="s">
        <v>901</v>
      </c>
      <c r="K58" s="524">
        <v>1</v>
      </c>
      <c r="L58" s="525" t="s">
        <v>79</v>
      </c>
      <c r="M58" s="525" t="s">
        <v>7</v>
      </c>
      <c r="N58" s="525" t="s">
        <v>7</v>
      </c>
      <c r="O58" s="500"/>
      <c r="P58" s="264" t="s">
        <v>6</v>
      </c>
      <c r="Q58" s="265" t="s">
        <v>7</v>
      </c>
      <c r="R58" s="542">
        <v>1</v>
      </c>
      <c r="S58" s="542" t="s">
        <v>7</v>
      </c>
      <c r="T58" s="531"/>
    </row>
    <row r="59" spans="1:20" ht="127.5" x14ac:dyDescent="0.2">
      <c r="A59" s="517" t="s">
        <v>351</v>
      </c>
      <c r="B59" s="518" t="s">
        <v>907</v>
      </c>
      <c r="C59" s="518" t="s">
        <v>908</v>
      </c>
      <c r="D59" s="519" t="s">
        <v>98</v>
      </c>
      <c r="E59" s="263" t="s">
        <v>1062</v>
      </c>
      <c r="F59" s="530" t="s">
        <v>885</v>
      </c>
      <c r="G59" s="533" t="s">
        <v>889</v>
      </c>
      <c r="H59" s="522" t="s">
        <v>882</v>
      </c>
      <c r="I59" s="523" t="s">
        <v>6</v>
      </c>
      <c r="J59" s="525" t="s">
        <v>902</v>
      </c>
      <c r="K59" s="524">
        <v>1</v>
      </c>
      <c r="L59" s="525" t="s">
        <v>6</v>
      </c>
      <c r="M59" s="525" t="s">
        <v>903</v>
      </c>
      <c r="N59" s="543">
        <v>0.08</v>
      </c>
      <c r="O59" s="528"/>
      <c r="P59" s="264" t="s">
        <v>6</v>
      </c>
      <c r="Q59" s="266" t="s">
        <v>902</v>
      </c>
      <c r="R59" s="542">
        <v>0.08</v>
      </c>
      <c r="S59" s="542">
        <v>1</v>
      </c>
      <c r="T59" s="531"/>
    </row>
    <row r="60" spans="1:20" ht="127.5" x14ac:dyDescent="0.2">
      <c r="A60" s="517" t="s">
        <v>351</v>
      </c>
      <c r="B60" s="518" t="s">
        <v>907</v>
      </c>
      <c r="C60" s="518" t="s">
        <v>908</v>
      </c>
      <c r="D60" s="519" t="s">
        <v>98</v>
      </c>
      <c r="E60" s="263" t="s">
        <v>1062</v>
      </c>
      <c r="F60" s="530" t="s">
        <v>885</v>
      </c>
      <c r="G60" s="535" t="s">
        <v>881</v>
      </c>
      <c r="H60" s="522" t="s">
        <v>882</v>
      </c>
      <c r="I60" s="523" t="s">
        <v>6</v>
      </c>
      <c r="J60" s="525" t="s">
        <v>902</v>
      </c>
      <c r="K60" s="524">
        <v>1</v>
      </c>
      <c r="L60" s="525" t="s">
        <v>6</v>
      </c>
      <c r="M60" s="525" t="s">
        <v>903</v>
      </c>
      <c r="N60" s="543">
        <v>0.08</v>
      </c>
      <c r="O60" s="528"/>
      <c r="P60" s="264" t="s">
        <v>6</v>
      </c>
      <c r="Q60" s="266" t="s">
        <v>902</v>
      </c>
      <c r="R60" s="542">
        <v>0.08</v>
      </c>
      <c r="S60" s="542">
        <v>1</v>
      </c>
      <c r="T60" s="531"/>
    </row>
    <row r="61" spans="1:20" ht="127.5" x14ac:dyDescent="0.2">
      <c r="A61" s="517" t="s">
        <v>351</v>
      </c>
      <c r="B61" s="518" t="s">
        <v>907</v>
      </c>
      <c r="C61" s="518" t="s">
        <v>908</v>
      </c>
      <c r="D61" s="519" t="s">
        <v>98</v>
      </c>
      <c r="E61" s="263" t="s">
        <v>1062</v>
      </c>
      <c r="F61" s="530" t="s">
        <v>885</v>
      </c>
      <c r="G61" s="533" t="s">
        <v>883</v>
      </c>
      <c r="H61" s="522" t="s">
        <v>884</v>
      </c>
      <c r="I61" s="523" t="s">
        <v>6</v>
      </c>
      <c r="J61" s="525" t="s">
        <v>901</v>
      </c>
      <c r="K61" s="524">
        <v>1</v>
      </c>
      <c r="L61" s="525" t="s">
        <v>79</v>
      </c>
      <c r="M61" s="525" t="s">
        <v>7</v>
      </c>
      <c r="N61" s="525" t="s">
        <v>7</v>
      </c>
      <c r="O61" s="528"/>
      <c r="P61" s="264" t="s">
        <v>6</v>
      </c>
      <c r="Q61" s="265" t="s">
        <v>7</v>
      </c>
      <c r="R61" s="542">
        <v>1</v>
      </c>
      <c r="S61" s="542" t="s">
        <v>7</v>
      </c>
      <c r="T61" s="531"/>
    </row>
    <row r="62" spans="1:20" ht="127.5" x14ac:dyDescent="0.2">
      <c r="A62" s="517" t="s">
        <v>351</v>
      </c>
      <c r="B62" s="518" t="s">
        <v>907</v>
      </c>
      <c r="C62" s="518" t="s">
        <v>908</v>
      </c>
      <c r="D62" s="519" t="s">
        <v>98</v>
      </c>
      <c r="E62" s="263" t="s">
        <v>1062</v>
      </c>
      <c r="F62" s="530" t="s">
        <v>885</v>
      </c>
      <c r="G62" s="533" t="s">
        <v>866</v>
      </c>
      <c r="H62" s="522" t="s">
        <v>884</v>
      </c>
      <c r="I62" s="523" t="s">
        <v>6</v>
      </c>
      <c r="J62" s="525" t="s">
        <v>901</v>
      </c>
      <c r="K62" s="524">
        <v>1</v>
      </c>
      <c r="L62" s="525" t="s">
        <v>79</v>
      </c>
      <c r="M62" s="525" t="s">
        <v>7</v>
      </c>
      <c r="N62" s="525" t="s">
        <v>7</v>
      </c>
      <c r="O62" s="528"/>
      <c r="P62" s="264" t="s">
        <v>6</v>
      </c>
      <c r="Q62" s="265" t="s">
        <v>7</v>
      </c>
      <c r="R62" s="542">
        <v>1</v>
      </c>
      <c r="S62" s="542" t="s">
        <v>7</v>
      </c>
      <c r="T62" s="531"/>
    </row>
    <row r="63" spans="1:20" ht="127.5" x14ac:dyDescent="0.2">
      <c r="A63" s="517" t="s">
        <v>351</v>
      </c>
      <c r="B63" s="518" t="s">
        <v>907</v>
      </c>
      <c r="C63" s="518" t="s">
        <v>908</v>
      </c>
      <c r="D63" s="519" t="s">
        <v>98</v>
      </c>
      <c r="E63" s="263" t="s">
        <v>1062</v>
      </c>
      <c r="F63" s="530" t="s">
        <v>885</v>
      </c>
      <c r="G63" s="533" t="s">
        <v>869</v>
      </c>
      <c r="H63" s="522" t="s">
        <v>886</v>
      </c>
      <c r="I63" s="523" t="s">
        <v>6</v>
      </c>
      <c r="J63" s="525" t="s">
        <v>901</v>
      </c>
      <c r="K63" s="524">
        <v>1</v>
      </c>
      <c r="L63" s="525" t="s">
        <v>79</v>
      </c>
      <c r="M63" s="525" t="s">
        <v>7</v>
      </c>
      <c r="N63" s="525" t="s">
        <v>7</v>
      </c>
      <c r="O63" s="528"/>
      <c r="P63" s="264" t="s">
        <v>6</v>
      </c>
      <c r="Q63" s="265" t="s">
        <v>7</v>
      </c>
      <c r="R63" s="542">
        <v>1</v>
      </c>
      <c r="S63" s="542" t="s">
        <v>7</v>
      </c>
      <c r="T63" s="531"/>
    </row>
    <row r="64" spans="1:20" ht="127.5" x14ac:dyDescent="0.2">
      <c r="A64" s="517" t="s">
        <v>351</v>
      </c>
      <c r="B64" s="518" t="s">
        <v>907</v>
      </c>
      <c r="C64" s="518" t="s">
        <v>908</v>
      </c>
      <c r="D64" s="519" t="s">
        <v>98</v>
      </c>
      <c r="E64" s="263" t="s">
        <v>1062</v>
      </c>
      <c r="F64" s="530" t="s">
        <v>885</v>
      </c>
      <c r="G64" s="533" t="s">
        <v>887</v>
      </c>
      <c r="H64" s="522" t="s">
        <v>888</v>
      </c>
      <c r="I64" s="523" t="s">
        <v>6</v>
      </c>
      <c r="J64" s="525" t="s">
        <v>901</v>
      </c>
      <c r="K64" s="524">
        <v>1</v>
      </c>
      <c r="L64" s="525" t="s">
        <v>79</v>
      </c>
      <c r="M64" s="525" t="s">
        <v>7</v>
      </c>
      <c r="N64" s="525" t="s">
        <v>7</v>
      </c>
      <c r="O64" s="528"/>
      <c r="P64" s="264" t="s">
        <v>6</v>
      </c>
      <c r="Q64" s="265" t="s">
        <v>7</v>
      </c>
      <c r="R64" s="542">
        <v>1</v>
      </c>
      <c r="S64" s="542" t="s">
        <v>7</v>
      </c>
      <c r="T64" s="531"/>
    </row>
    <row r="65" spans="1:20" ht="178.5" x14ac:dyDescent="0.2">
      <c r="A65" s="517" t="s">
        <v>351</v>
      </c>
      <c r="B65" s="518" t="s">
        <v>907</v>
      </c>
      <c r="C65" s="518" t="s">
        <v>908</v>
      </c>
      <c r="D65" s="519" t="s">
        <v>98</v>
      </c>
      <c r="E65" s="263" t="s">
        <v>1063</v>
      </c>
      <c r="F65" s="538" t="s">
        <v>904</v>
      </c>
      <c r="G65" s="533" t="s">
        <v>883</v>
      </c>
      <c r="H65" s="534" t="s">
        <v>900</v>
      </c>
      <c r="I65" s="523" t="s">
        <v>6</v>
      </c>
      <c r="J65" s="525" t="s">
        <v>901</v>
      </c>
      <c r="K65" s="524">
        <v>1</v>
      </c>
      <c r="L65" s="525" t="s">
        <v>79</v>
      </c>
      <c r="M65" s="525" t="s">
        <v>7</v>
      </c>
      <c r="N65" s="525" t="s">
        <v>7</v>
      </c>
      <c r="O65" s="528"/>
      <c r="P65" s="264" t="s">
        <v>6</v>
      </c>
      <c r="Q65" s="265" t="s">
        <v>7</v>
      </c>
      <c r="R65" s="542">
        <v>1</v>
      </c>
      <c r="S65" s="542" t="s">
        <v>7</v>
      </c>
      <c r="T65" s="531"/>
    </row>
    <row r="66" spans="1:20" ht="127.5" x14ac:dyDescent="0.2">
      <c r="A66" s="517" t="s">
        <v>351</v>
      </c>
      <c r="B66" s="518" t="s">
        <v>907</v>
      </c>
      <c r="C66" s="518" t="s">
        <v>908</v>
      </c>
      <c r="D66" s="519" t="s">
        <v>98</v>
      </c>
      <c r="E66" s="263" t="s">
        <v>1064</v>
      </c>
      <c r="F66" s="530" t="s">
        <v>740</v>
      </c>
      <c r="G66" s="533" t="s">
        <v>889</v>
      </c>
      <c r="H66" s="522" t="s">
        <v>897</v>
      </c>
      <c r="I66" s="523" t="s">
        <v>6</v>
      </c>
      <c r="J66" s="525" t="s">
        <v>902</v>
      </c>
      <c r="K66" s="524">
        <v>1</v>
      </c>
      <c r="L66" s="236" t="s">
        <v>6</v>
      </c>
      <c r="M66" s="525" t="s">
        <v>903</v>
      </c>
      <c r="N66" s="237">
        <v>0.08</v>
      </c>
      <c r="O66" s="528"/>
      <c r="P66" s="264" t="s">
        <v>6</v>
      </c>
      <c r="Q66" s="266" t="s">
        <v>902</v>
      </c>
      <c r="R66" s="542">
        <v>0.08</v>
      </c>
      <c r="S66" s="542">
        <v>1</v>
      </c>
      <c r="T66" s="531"/>
    </row>
    <row r="67" spans="1:20" ht="127.5" x14ac:dyDescent="0.2">
      <c r="A67" s="517" t="s">
        <v>351</v>
      </c>
      <c r="B67" s="518" t="s">
        <v>907</v>
      </c>
      <c r="C67" s="518" t="s">
        <v>908</v>
      </c>
      <c r="D67" s="519" t="s">
        <v>98</v>
      </c>
      <c r="E67" s="263" t="s">
        <v>1064</v>
      </c>
      <c r="F67" s="530" t="s">
        <v>740</v>
      </c>
      <c r="G67" s="533" t="s">
        <v>881</v>
      </c>
      <c r="H67" s="522" t="s">
        <v>897</v>
      </c>
      <c r="I67" s="523" t="s">
        <v>6</v>
      </c>
      <c r="J67" s="525" t="s">
        <v>902</v>
      </c>
      <c r="K67" s="524">
        <v>1</v>
      </c>
      <c r="L67" s="525" t="s">
        <v>6</v>
      </c>
      <c r="M67" s="525" t="s">
        <v>903</v>
      </c>
      <c r="N67" s="543">
        <v>0.08</v>
      </c>
      <c r="O67" s="528"/>
      <c r="P67" s="264" t="s">
        <v>6</v>
      </c>
      <c r="Q67" s="266" t="s">
        <v>902</v>
      </c>
      <c r="R67" s="542">
        <v>0.08</v>
      </c>
      <c r="S67" s="542">
        <v>1</v>
      </c>
      <c r="T67" s="531"/>
    </row>
    <row r="68" spans="1:20" ht="127.5" x14ac:dyDescent="0.2">
      <c r="A68" s="517" t="s">
        <v>351</v>
      </c>
      <c r="B68" s="518" t="s">
        <v>907</v>
      </c>
      <c r="C68" s="518" t="s">
        <v>908</v>
      </c>
      <c r="D68" s="519" t="s">
        <v>98</v>
      </c>
      <c r="E68" s="263" t="s">
        <v>1064</v>
      </c>
      <c r="F68" s="530" t="s">
        <v>740</v>
      </c>
      <c r="G68" s="535" t="s">
        <v>883</v>
      </c>
      <c r="H68" s="522" t="s">
        <v>897</v>
      </c>
      <c r="I68" s="523" t="s">
        <v>6</v>
      </c>
      <c r="J68" s="525" t="s">
        <v>901</v>
      </c>
      <c r="K68" s="524">
        <v>1</v>
      </c>
      <c r="L68" s="525" t="s">
        <v>6</v>
      </c>
      <c r="M68" s="525" t="s">
        <v>7</v>
      </c>
      <c r="N68" s="525"/>
      <c r="O68" s="500"/>
      <c r="P68" s="264" t="s">
        <v>6</v>
      </c>
      <c r="Q68" s="265" t="s">
        <v>7</v>
      </c>
      <c r="R68" s="542">
        <v>1</v>
      </c>
      <c r="S68" s="542" t="s">
        <v>7</v>
      </c>
      <c r="T68" s="531"/>
    </row>
    <row r="69" spans="1:20" ht="127.5" x14ac:dyDescent="0.2">
      <c r="A69" s="517" t="s">
        <v>351</v>
      </c>
      <c r="B69" s="518" t="s">
        <v>907</v>
      </c>
      <c r="C69" s="518" t="s">
        <v>908</v>
      </c>
      <c r="D69" s="519" t="s">
        <v>98</v>
      </c>
      <c r="E69" s="263" t="s">
        <v>1065</v>
      </c>
      <c r="F69" s="530" t="s">
        <v>894</v>
      </c>
      <c r="G69" s="533" t="s">
        <v>889</v>
      </c>
      <c r="H69" s="534" t="s">
        <v>895</v>
      </c>
      <c r="I69" s="523" t="s">
        <v>6</v>
      </c>
      <c r="J69" s="525" t="s">
        <v>902</v>
      </c>
      <c r="K69" s="524">
        <v>1</v>
      </c>
      <c r="L69" s="525" t="s">
        <v>6</v>
      </c>
      <c r="M69" s="525" t="s">
        <v>903</v>
      </c>
      <c r="N69" s="543">
        <v>0.08</v>
      </c>
      <c r="O69" s="528"/>
      <c r="P69" s="264" t="s">
        <v>6</v>
      </c>
      <c r="Q69" s="266" t="s">
        <v>902</v>
      </c>
      <c r="R69" s="542">
        <v>0.08</v>
      </c>
      <c r="S69" s="542">
        <v>1</v>
      </c>
      <c r="T69" s="531"/>
    </row>
    <row r="70" spans="1:20" ht="127.5" x14ac:dyDescent="0.2">
      <c r="A70" s="517" t="s">
        <v>351</v>
      </c>
      <c r="B70" s="518" t="s">
        <v>907</v>
      </c>
      <c r="C70" s="518" t="s">
        <v>908</v>
      </c>
      <c r="D70" s="519" t="s">
        <v>98</v>
      </c>
      <c r="E70" s="263" t="s">
        <v>1065</v>
      </c>
      <c r="F70" s="530" t="s">
        <v>894</v>
      </c>
      <c r="G70" s="533" t="s">
        <v>881</v>
      </c>
      <c r="H70" s="522" t="s">
        <v>896</v>
      </c>
      <c r="I70" s="523" t="s">
        <v>6</v>
      </c>
      <c r="J70" s="525" t="s">
        <v>902</v>
      </c>
      <c r="K70" s="524">
        <v>1</v>
      </c>
      <c r="L70" s="525" t="s">
        <v>6</v>
      </c>
      <c r="M70" s="525" t="s">
        <v>903</v>
      </c>
      <c r="N70" s="543">
        <v>0.08</v>
      </c>
      <c r="O70" s="528"/>
      <c r="P70" s="264" t="s">
        <v>6</v>
      </c>
      <c r="Q70" s="266" t="s">
        <v>902</v>
      </c>
      <c r="R70" s="542">
        <v>0.08</v>
      </c>
      <c r="S70" s="542">
        <v>1</v>
      </c>
      <c r="T70" s="531"/>
    </row>
    <row r="71" spans="1:20" ht="127.5" x14ac:dyDescent="0.2">
      <c r="A71" s="517" t="s">
        <v>351</v>
      </c>
      <c r="B71" s="518" t="s">
        <v>907</v>
      </c>
      <c r="C71" s="518" t="s">
        <v>908</v>
      </c>
      <c r="D71" s="519" t="s">
        <v>98</v>
      </c>
      <c r="E71" s="263" t="s">
        <v>1065</v>
      </c>
      <c r="F71" s="530" t="s">
        <v>894</v>
      </c>
      <c r="G71" s="533" t="s">
        <v>883</v>
      </c>
      <c r="H71" s="522" t="s">
        <v>896</v>
      </c>
      <c r="I71" s="523" t="s">
        <v>6</v>
      </c>
      <c r="J71" s="525" t="s">
        <v>901</v>
      </c>
      <c r="K71" s="524">
        <v>1</v>
      </c>
      <c r="L71" s="525" t="s">
        <v>6</v>
      </c>
      <c r="M71" s="525" t="s">
        <v>7</v>
      </c>
      <c r="N71" s="525" t="s">
        <v>7</v>
      </c>
      <c r="O71" s="528"/>
      <c r="P71" s="264" t="s">
        <v>6</v>
      </c>
      <c r="Q71" s="265" t="s">
        <v>7</v>
      </c>
      <c r="R71" s="542">
        <v>1</v>
      </c>
      <c r="S71" s="542" t="s">
        <v>7</v>
      </c>
      <c r="T71" s="531"/>
    </row>
    <row r="72" spans="1:20" ht="127.5" x14ac:dyDescent="0.2">
      <c r="A72" s="517" t="s">
        <v>351</v>
      </c>
      <c r="B72" s="518" t="s">
        <v>907</v>
      </c>
      <c r="C72" s="518" t="s">
        <v>908</v>
      </c>
      <c r="D72" s="519" t="s">
        <v>98</v>
      </c>
      <c r="E72" s="263" t="s">
        <v>1065</v>
      </c>
      <c r="F72" s="530" t="s">
        <v>894</v>
      </c>
      <c r="G72" s="535" t="s">
        <v>866</v>
      </c>
      <c r="H72" s="534" t="s">
        <v>895</v>
      </c>
      <c r="I72" s="523" t="s">
        <v>6</v>
      </c>
      <c r="J72" s="525" t="s">
        <v>901</v>
      </c>
      <c r="K72" s="524">
        <v>1</v>
      </c>
      <c r="L72" s="525" t="s">
        <v>6</v>
      </c>
      <c r="M72" s="525" t="s">
        <v>7</v>
      </c>
      <c r="N72" s="525" t="s">
        <v>7</v>
      </c>
      <c r="O72" s="500"/>
      <c r="P72" s="264" t="s">
        <v>6</v>
      </c>
      <c r="Q72" s="265" t="s">
        <v>7</v>
      </c>
      <c r="R72" s="542">
        <v>1</v>
      </c>
      <c r="S72" s="542" t="s">
        <v>7</v>
      </c>
      <c r="T72" s="531"/>
    </row>
    <row r="73" spans="1:20" ht="140.25" x14ac:dyDescent="0.2">
      <c r="A73" s="517" t="s">
        <v>351</v>
      </c>
      <c r="B73" s="518" t="s">
        <v>907</v>
      </c>
      <c r="C73" s="518" t="s">
        <v>908</v>
      </c>
      <c r="D73" s="519" t="s">
        <v>100</v>
      </c>
      <c r="E73" s="263" t="s">
        <v>1066</v>
      </c>
      <c r="F73" s="539" t="s">
        <v>99</v>
      </c>
      <c r="G73" s="521" t="s">
        <v>866</v>
      </c>
      <c r="H73" s="522" t="s">
        <v>867</v>
      </c>
      <c r="I73" s="523" t="s">
        <v>6</v>
      </c>
      <c r="J73" s="525" t="s">
        <v>901</v>
      </c>
      <c r="K73" s="524">
        <v>1</v>
      </c>
      <c r="L73" s="525" t="s">
        <v>79</v>
      </c>
      <c r="M73" s="525" t="s">
        <v>7</v>
      </c>
      <c r="N73" s="525" t="s">
        <v>7</v>
      </c>
      <c r="O73" s="528"/>
      <c r="P73" s="264" t="s">
        <v>6</v>
      </c>
      <c r="Q73" s="265" t="s">
        <v>7</v>
      </c>
      <c r="R73" s="542">
        <v>1</v>
      </c>
      <c r="S73" s="542" t="s">
        <v>7</v>
      </c>
      <c r="T73" s="531"/>
    </row>
    <row r="74" spans="1:20" ht="140.25" x14ac:dyDescent="0.2">
      <c r="A74" s="517" t="s">
        <v>351</v>
      </c>
      <c r="B74" s="518" t="s">
        <v>907</v>
      </c>
      <c r="C74" s="518" t="s">
        <v>908</v>
      </c>
      <c r="D74" s="519" t="s">
        <v>100</v>
      </c>
      <c r="E74" s="263" t="s">
        <v>1066</v>
      </c>
      <c r="F74" s="539" t="s">
        <v>99</v>
      </c>
      <c r="G74" s="521" t="s">
        <v>869</v>
      </c>
      <c r="H74" s="522" t="s">
        <v>867</v>
      </c>
      <c r="I74" s="523" t="s">
        <v>6</v>
      </c>
      <c r="J74" s="525" t="s">
        <v>901</v>
      </c>
      <c r="K74" s="524">
        <v>1</v>
      </c>
      <c r="L74" s="525" t="s">
        <v>79</v>
      </c>
      <c r="M74" s="525" t="s">
        <v>7</v>
      </c>
      <c r="N74" s="525" t="s">
        <v>7</v>
      </c>
      <c r="O74" s="528"/>
      <c r="P74" s="264" t="s">
        <v>6</v>
      </c>
      <c r="Q74" s="265" t="s">
        <v>7</v>
      </c>
      <c r="R74" s="542">
        <v>1</v>
      </c>
      <c r="S74" s="542" t="s">
        <v>7</v>
      </c>
      <c r="T74" s="531"/>
    </row>
    <row r="75" spans="1:20" ht="140.25" x14ac:dyDescent="0.2">
      <c r="A75" s="517" t="s">
        <v>351</v>
      </c>
      <c r="B75" s="518" t="s">
        <v>907</v>
      </c>
      <c r="C75" s="518" t="s">
        <v>908</v>
      </c>
      <c r="D75" s="519" t="s">
        <v>100</v>
      </c>
      <c r="E75" s="263" t="s">
        <v>1066</v>
      </c>
      <c r="F75" s="530" t="s">
        <v>870</v>
      </c>
      <c r="G75" s="530" t="s">
        <v>889</v>
      </c>
      <c r="H75" s="522" t="s">
        <v>872</v>
      </c>
      <c r="I75" s="523" t="s">
        <v>6</v>
      </c>
      <c r="J75" s="525" t="s">
        <v>902</v>
      </c>
      <c r="K75" s="524">
        <v>1</v>
      </c>
      <c r="L75" s="236" t="s">
        <v>6</v>
      </c>
      <c r="M75" s="525" t="s">
        <v>903</v>
      </c>
      <c r="N75" s="541">
        <v>0.08</v>
      </c>
      <c r="O75" s="528"/>
      <c r="P75" s="264" t="s">
        <v>6</v>
      </c>
      <c r="Q75" s="266" t="s">
        <v>902</v>
      </c>
      <c r="R75" s="542">
        <v>0.08</v>
      </c>
      <c r="S75" s="542">
        <v>1</v>
      </c>
      <c r="T75" s="531"/>
    </row>
    <row r="76" spans="1:20" ht="140.25" x14ac:dyDescent="0.2">
      <c r="A76" s="517" t="s">
        <v>351</v>
      </c>
      <c r="B76" s="518" t="s">
        <v>907</v>
      </c>
      <c r="C76" s="518" t="s">
        <v>908</v>
      </c>
      <c r="D76" s="519" t="s">
        <v>100</v>
      </c>
      <c r="E76" s="263" t="s">
        <v>1066</v>
      </c>
      <c r="F76" s="530" t="s">
        <v>870</v>
      </c>
      <c r="G76" s="533" t="s">
        <v>881</v>
      </c>
      <c r="H76" s="522" t="s">
        <v>874</v>
      </c>
      <c r="I76" s="523" t="s">
        <v>6</v>
      </c>
      <c r="J76" s="525" t="s">
        <v>902</v>
      </c>
      <c r="K76" s="524">
        <v>1</v>
      </c>
      <c r="L76" s="525" t="s">
        <v>6</v>
      </c>
      <c r="M76" s="525" t="s">
        <v>903</v>
      </c>
      <c r="N76" s="543">
        <v>0.08</v>
      </c>
      <c r="O76" s="528"/>
      <c r="P76" s="264" t="s">
        <v>6</v>
      </c>
      <c r="Q76" s="266" t="s">
        <v>902</v>
      </c>
      <c r="R76" s="542">
        <v>0.08</v>
      </c>
      <c r="S76" s="542">
        <v>1</v>
      </c>
      <c r="T76" s="531"/>
    </row>
    <row r="77" spans="1:20" ht="153" x14ac:dyDescent="0.2">
      <c r="A77" s="517" t="s">
        <v>351</v>
      </c>
      <c r="B77" s="518" t="s">
        <v>907</v>
      </c>
      <c r="C77" s="518" t="s">
        <v>908</v>
      </c>
      <c r="D77" s="519" t="s">
        <v>100</v>
      </c>
      <c r="E77" s="263" t="s">
        <v>1066</v>
      </c>
      <c r="F77" s="530" t="s">
        <v>870</v>
      </c>
      <c r="G77" s="533" t="s">
        <v>883</v>
      </c>
      <c r="H77" s="522" t="s">
        <v>876</v>
      </c>
      <c r="I77" s="523" t="s">
        <v>6</v>
      </c>
      <c r="J77" s="525" t="s">
        <v>901</v>
      </c>
      <c r="K77" s="524">
        <v>1</v>
      </c>
      <c r="L77" s="525" t="s">
        <v>79</v>
      </c>
      <c r="M77" s="525" t="s">
        <v>7</v>
      </c>
      <c r="N77" s="525" t="s">
        <v>7</v>
      </c>
      <c r="O77" s="528"/>
      <c r="P77" s="264" t="s">
        <v>6</v>
      </c>
      <c r="Q77" s="265" t="s">
        <v>7</v>
      </c>
      <c r="R77" s="542">
        <v>1</v>
      </c>
      <c r="S77" s="542" t="s">
        <v>7</v>
      </c>
      <c r="T77" s="531"/>
    </row>
    <row r="78" spans="1:20" ht="140.25" x14ac:dyDescent="0.2">
      <c r="A78" s="517" t="s">
        <v>351</v>
      </c>
      <c r="B78" s="518" t="s">
        <v>907</v>
      </c>
      <c r="C78" s="518" t="s">
        <v>908</v>
      </c>
      <c r="D78" s="519" t="s">
        <v>100</v>
      </c>
      <c r="E78" s="263" t="s">
        <v>1066</v>
      </c>
      <c r="F78" s="530" t="s">
        <v>870</v>
      </c>
      <c r="G78" s="533" t="s">
        <v>866</v>
      </c>
      <c r="H78" s="522" t="s">
        <v>878</v>
      </c>
      <c r="I78" s="523" t="s">
        <v>6</v>
      </c>
      <c r="J78" s="525" t="s">
        <v>901</v>
      </c>
      <c r="K78" s="524">
        <v>1</v>
      </c>
      <c r="L78" s="525" t="s">
        <v>79</v>
      </c>
      <c r="M78" s="525" t="s">
        <v>7</v>
      </c>
      <c r="N78" s="525" t="s">
        <v>7</v>
      </c>
      <c r="O78" s="528"/>
      <c r="P78" s="264" t="s">
        <v>6</v>
      </c>
      <c r="Q78" s="265" t="s">
        <v>7</v>
      </c>
      <c r="R78" s="542">
        <v>1</v>
      </c>
      <c r="S78" s="542" t="s">
        <v>7</v>
      </c>
      <c r="T78" s="531"/>
    </row>
    <row r="79" spans="1:20" ht="140.25" x14ac:dyDescent="0.2">
      <c r="A79" s="517" t="s">
        <v>351</v>
      </c>
      <c r="B79" s="518" t="s">
        <v>907</v>
      </c>
      <c r="C79" s="518" t="s">
        <v>908</v>
      </c>
      <c r="D79" s="519" t="s">
        <v>100</v>
      </c>
      <c r="E79" s="263" t="s">
        <v>1066</v>
      </c>
      <c r="F79" s="530" t="s">
        <v>870</v>
      </c>
      <c r="G79" s="533" t="s">
        <v>869</v>
      </c>
      <c r="H79" s="522" t="s">
        <v>880</v>
      </c>
      <c r="I79" s="523" t="s">
        <v>6</v>
      </c>
      <c r="J79" s="525" t="s">
        <v>901</v>
      </c>
      <c r="K79" s="524">
        <v>1</v>
      </c>
      <c r="L79" s="525" t="s">
        <v>79</v>
      </c>
      <c r="M79" s="525" t="s">
        <v>7</v>
      </c>
      <c r="N79" s="525" t="s">
        <v>7</v>
      </c>
      <c r="O79" s="528"/>
      <c r="P79" s="264" t="s">
        <v>6</v>
      </c>
      <c r="Q79" s="265" t="s">
        <v>7</v>
      </c>
      <c r="R79" s="542">
        <v>1</v>
      </c>
      <c r="S79" s="542" t="s">
        <v>7</v>
      </c>
      <c r="T79" s="531"/>
    </row>
    <row r="80" spans="1:20" ht="140.25" x14ac:dyDescent="0.2">
      <c r="A80" s="517" t="s">
        <v>351</v>
      </c>
      <c r="B80" s="518" t="s">
        <v>907</v>
      </c>
      <c r="C80" s="518" t="s">
        <v>908</v>
      </c>
      <c r="D80" s="519" t="s">
        <v>100</v>
      </c>
      <c r="E80" s="263" t="s">
        <v>1066</v>
      </c>
      <c r="F80" s="530" t="s">
        <v>738</v>
      </c>
      <c r="G80" s="533" t="s">
        <v>889</v>
      </c>
      <c r="H80" s="534" t="s">
        <v>893</v>
      </c>
      <c r="I80" s="523" t="s">
        <v>6</v>
      </c>
      <c r="J80" s="525" t="s">
        <v>902</v>
      </c>
      <c r="K80" s="524">
        <v>1</v>
      </c>
      <c r="L80" s="525" t="s">
        <v>6</v>
      </c>
      <c r="M80" s="525" t="s">
        <v>903</v>
      </c>
      <c r="N80" s="543">
        <v>0.08</v>
      </c>
      <c r="O80" s="528"/>
      <c r="P80" s="264" t="s">
        <v>6</v>
      </c>
      <c r="Q80" s="266" t="s">
        <v>902</v>
      </c>
      <c r="R80" s="542">
        <v>0.08</v>
      </c>
      <c r="S80" s="542">
        <v>1</v>
      </c>
      <c r="T80" s="531"/>
    </row>
    <row r="81" spans="1:20" ht="140.25" x14ac:dyDescent="0.2">
      <c r="A81" s="517" t="s">
        <v>351</v>
      </c>
      <c r="B81" s="518" t="s">
        <v>907</v>
      </c>
      <c r="C81" s="518" t="s">
        <v>908</v>
      </c>
      <c r="D81" s="519" t="s">
        <v>100</v>
      </c>
      <c r="E81" s="263" t="s">
        <v>1066</v>
      </c>
      <c r="F81" s="530" t="s">
        <v>738</v>
      </c>
      <c r="G81" s="533" t="s">
        <v>881</v>
      </c>
      <c r="H81" s="534" t="s">
        <v>893</v>
      </c>
      <c r="I81" s="523" t="s">
        <v>6</v>
      </c>
      <c r="J81" s="525" t="s">
        <v>902</v>
      </c>
      <c r="K81" s="524">
        <v>1</v>
      </c>
      <c r="L81" s="525" t="s">
        <v>6</v>
      </c>
      <c r="M81" s="525" t="s">
        <v>903</v>
      </c>
      <c r="N81" s="543">
        <v>0.08</v>
      </c>
      <c r="O81" s="528"/>
      <c r="P81" s="264" t="s">
        <v>6</v>
      </c>
      <c r="Q81" s="266" t="s">
        <v>902</v>
      </c>
      <c r="R81" s="542">
        <v>0.08</v>
      </c>
      <c r="S81" s="542">
        <v>1</v>
      </c>
      <c r="T81" s="531"/>
    </row>
    <row r="82" spans="1:20" ht="140.25" x14ac:dyDescent="0.2">
      <c r="A82" s="517" t="s">
        <v>351</v>
      </c>
      <c r="B82" s="518" t="s">
        <v>907</v>
      </c>
      <c r="C82" s="518" t="s">
        <v>908</v>
      </c>
      <c r="D82" s="519" t="s">
        <v>100</v>
      </c>
      <c r="E82" s="263" t="s">
        <v>1066</v>
      </c>
      <c r="F82" s="530" t="s">
        <v>738</v>
      </c>
      <c r="G82" s="533" t="s">
        <v>883</v>
      </c>
      <c r="H82" s="534" t="s">
        <v>893</v>
      </c>
      <c r="I82" s="523" t="s">
        <v>6</v>
      </c>
      <c r="J82" s="525" t="s">
        <v>902</v>
      </c>
      <c r="K82" s="524">
        <v>1</v>
      </c>
      <c r="L82" s="525" t="s">
        <v>6</v>
      </c>
      <c r="M82" s="525" t="s">
        <v>903</v>
      </c>
      <c r="N82" s="543">
        <v>0.08</v>
      </c>
      <c r="O82" s="528"/>
      <c r="P82" s="264" t="s">
        <v>6</v>
      </c>
      <c r="Q82" s="266" t="s">
        <v>902</v>
      </c>
      <c r="R82" s="542">
        <v>0.08</v>
      </c>
      <c r="S82" s="542">
        <v>1</v>
      </c>
      <c r="T82" s="531"/>
    </row>
    <row r="83" spans="1:20" ht="140.25" x14ac:dyDescent="0.2">
      <c r="A83" s="517" t="s">
        <v>351</v>
      </c>
      <c r="B83" s="518" t="s">
        <v>907</v>
      </c>
      <c r="C83" s="518" t="s">
        <v>908</v>
      </c>
      <c r="D83" s="519" t="s">
        <v>100</v>
      </c>
      <c r="E83" s="263" t="s">
        <v>1066</v>
      </c>
      <c r="F83" s="530" t="s">
        <v>738</v>
      </c>
      <c r="G83" s="533" t="s">
        <v>866</v>
      </c>
      <c r="H83" s="534" t="s">
        <v>893</v>
      </c>
      <c r="I83" s="523" t="s">
        <v>6</v>
      </c>
      <c r="J83" s="525" t="s">
        <v>902</v>
      </c>
      <c r="K83" s="524">
        <v>1</v>
      </c>
      <c r="L83" s="525" t="s">
        <v>6</v>
      </c>
      <c r="M83" s="525" t="s">
        <v>903</v>
      </c>
      <c r="N83" s="543">
        <v>0.08</v>
      </c>
      <c r="O83" s="528"/>
      <c r="P83" s="264" t="s">
        <v>6</v>
      </c>
      <c r="Q83" s="266" t="s">
        <v>902</v>
      </c>
      <c r="R83" s="542">
        <v>0.08</v>
      </c>
      <c r="S83" s="542">
        <v>1</v>
      </c>
      <c r="T83" s="531"/>
    </row>
    <row r="84" spans="1:20" ht="140.25" x14ac:dyDescent="0.2">
      <c r="A84" s="517" t="s">
        <v>351</v>
      </c>
      <c r="B84" s="518" t="s">
        <v>907</v>
      </c>
      <c r="C84" s="518" t="s">
        <v>908</v>
      </c>
      <c r="D84" s="519" t="s">
        <v>100</v>
      </c>
      <c r="E84" s="263" t="s">
        <v>1066</v>
      </c>
      <c r="F84" s="530" t="s">
        <v>738</v>
      </c>
      <c r="G84" s="533" t="s">
        <v>869</v>
      </c>
      <c r="H84" s="534" t="s">
        <v>893</v>
      </c>
      <c r="I84" s="523" t="s">
        <v>6</v>
      </c>
      <c r="J84" s="525" t="s">
        <v>901</v>
      </c>
      <c r="K84" s="524">
        <v>1</v>
      </c>
      <c r="L84" s="525" t="s">
        <v>79</v>
      </c>
      <c r="M84" s="525" t="s">
        <v>7</v>
      </c>
      <c r="N84" s="525" t="s">
        <v>7</v>
      </c>
      <c r="O84" s="528"/>
      <c r="P84" s="264" t="s">
        <v>6</v>
      </c>
      <c r="Q84" s="265" t="s">
        <v>7</v>
      </c>
      <c r="R84" s="542">
        <v>1</v>
      </c>
      <c r="S84" s="542" t="s">
        <v>7</v>
      </c>
      <c r="T84" s="531"/>
    </row>
    <row r="85" spans="1:20" ht="140.25" x14ac:dyDescent="0.2">
      <c r="A85" s="517" t="s">
        <v>351</v>
      </c>
      <c r="B85" s="518" t="s">
        <v>907</v>
      </c>
      <c r="C85" s="518" t="s">
        <v>908</v>
      </c>
      <c r="D85" s="519" t="s">
        <v>100</v>
      </c>
      <c r="E85" s="263" t="s">
        <v>1066</v>
      </c>
      <c r="F85" s="530" t="s">
        <v>101</v>
      </c>
      <c r="G85" s="530" t="s">
        <v>889</v>
      </c>
      <c r="H85" s="522" t="s">
        <v>890</v>
      </c>
      <c r="I85" s="523" t="s">
        <v>6</v>
      </c>
      <c r="J85" s="525" t="s">
        <v>902</v>
      </c>
      <c r="K85" s="524">
        <v>1</v>
      </c>
      <c r="L85" s="236" t="s">
        <v>6</v>
      </c>
      <c r="M85" s="525" t="s">
        <v>903</v>
      </c>
      <c r="N85" s="237">
        <v>0.08</v>
      </c>
      <c r="O85" s="528"/>
      <c r="P85" s="264" t="s">
        <v>6</v>
      </c>
      <c r="Q85" s="266" t="s">
        <v>902</v>
      </c>
      <c r="R85" s="542">
        <v>0.08</v>
      </c>
      <c r="S85" s="542">
        <v>1</v>
      </c>
      <c r="T85" s="531"/>
    </row>
    <row r="86" spans="1:20" ht="140.25" x14ac:dyDescent="0.2">
      <c r="A86" s="517" t="s">
        <v>351</v>
      </c>
      <c r="B86" s="518" t="s">
        <v>907</v>
      </c>
      <c r="C86" s="518" t="s">
        <v>908</v>
      </c>
      <c r="D86" s="519" t="s">
        <v>100</v>
      </c>
      <c r="E86" s="263" t="s">
        <v>1066</v>
      </c>
      <c r="F86" s="530" t="s">
        <v>101</v>
      </c>
      <c r="G86" s="530" t="s">
        <v>881</v>
      </c>
      <c r="H86" s="522" t="s">
        <v>891</v>
      </c>
      <c r="I86" s="523" t="s">
        <v>6</v>
      </c>
      <c r="J86" s="525" t="s">
        <v>902</v>
      </c>
      <c r="K86" s="524">
        <v>1</v>
      </c>
      <c r="L86" s="525" t="s">
        <v>79</v>
      </c>
      <c r="M86" s="525" t="s">
        <v>7</v>
      </c>
      <c r="N86" s="525" t="s">
        <v>7</v>
      </c>
      <c r="O86" s="528"/>
      <c r="P86" s="264" t="s">
        <v>6</v>
      </c>
      <c r="Q86" s="266" t="s">
        <v>902</v>
      </c>
      <c r="R86" s="542">
        <v>0.08</v>
      </c>
      <c r="S86" s="542">
        <v>1</v>
      </c>
      <c r="T86" s="531"/>
    </row>
    <row r="87" spans="1:20" ht="140.25" x14ac:dyDescent="0.2">
      <c r="A87" s="517" t="s">
        <v>351</v>
      </c>
      <c r="B87" s="518" t="s">
        <v>907</v>
      </c>
      <c r="C87" s="518" t="s">
        <v>908</v>
      </c>
      <c r="D87" s="519" t="s">
        <v>100</v>
      </c>
      <c r="E87" s="263" t="s">
        <v>1066</v>
      </c>
      <c r="F87" s="530" t="s">
        <v>101</v>
      </c>
      <c r="G87" s="533" t="s">
        <v>883</v>
      </c>
      <c r="H87" s="522" t="s">
        <v>891</v>
      </c>
      <c r="I87" s="523" t="s">
        <v>6</v>
      </c>
      <c r="J87" s="525" t="s">
        <v>902</v>
      </c>
      <c r="K87" s="524">
        <v>1</v>
      </c>
      <c r="L87" s="525" t="s">
        <v>79</v>
      </c>
      <c r="M87" s="525" t="s">
        <v>7</v>
      </c>
      <c r="N87" s="525" t="s">
        <v>7</v>
      </c>
      <c r="O87" s="528"/>
      <c r="P87" s="264" t="s">
        <v>6</v>
      </c>
      <c r="Q87" s="266" t="s">
        <v>902</v>
      </c>
      <c r="R87" s="542">
        <v>0.08</v>
      </c>
      <c r="S87" s="542">
        <v>1</v>
      </c>
      <c r="T87" s="531"/>
    </row>
    <row r="88" spans="1:20" ht="140.25" x14ac:dyDescent="0.2">
      <c r="A88" s="517" t="s">
        <v>351</v>
      </c>
      <c r="B88" s="518" t="s">
        <v>907</v>
      </c>
      <c r="C88" s="518" t="s">
        <v>908</v>
      </c>
      <c r="D88" s="519" t="s">
        <v>100</v>
      </c>
      <c r="E88" s="263" t="s">
        <v>1066</v>
      </c>
      <c r="F88" s="530" t="s">
        <v>101</v>
      </c>
      <c r="G88" s="533" t="s">
        <v>866</v>
      </c>
      <c r="H88" s="522" t="s">
        <v>890</v>
      </c>
      <c r="I88" s="523" t="s">
        <v>6</v>
      </c>
      <c r="J88" s="525" t="s">
        <v>901</v>
      </c>
      <c r="K88" s="524">
        <v>1</v>
      </c>
      <c r="L88" s="525" t="s">
        <v>79</v>
      </c>
      <c r="M88" s="525" t="s">
        <v>7</v>
      </c>
      <c r="N88" s="525" t="s">
        <v>7</v>
      </c>
      <c r="O88" s="528"/>
      <c r="P88" s="264" t="s">
        <v>6</v>
      </c>
      <c r="Q88" s="265" t="s">
        <v>7</v>
      </c>
      <c r="R88" s="542">
        <v>1</v>
      </c>
      <c r="S88" s="542" t="s">
        <v>7</v>
      </c>
      <c r="T88" s="531"/>
    </row>
    <row r="89" spans="1:20" ht="140.25" x14ac:dyDescent="0.2">
      <c r="A89" s="517" t="s">
        <v>351</v>
      </c>
      <c r="B89" s="518" t="s">
        <v>907</v>
      </c>
      <c r="C89" s="518" t="s">
        <v>908</v>
      </c>
      <c r="D89" s="519" t="s">
        <v>100</v>
      </c>
      <c r="E89" s="263" t="s">
        <v>1066</v>
      </c>
      <c r="F89" s="530" t="s">
        <v>101</v>
      </c>
      <c r="G89" s="533" t="s">
        <v>869</v>
      </c>
      <c r="H89" s="522" t="s">
        <v>890</v>
      </c>
      <c r="I89" s="523" t="s">
        <v>6</v>
      </c>
      <c r="J89" s="525" t="s">
        <v>901</v>
      </c>
      <c r="K89" s="524">
        <v>1</v>
      </c>
      <c r="L89" s="525" t="s">
        <v>79</v>
      </c>
      <c r="M89" s="525" t="s">
        <v>7</v>
      </c>
      <c r="N89" s="525" t="s">
        <v>7</v>
      </c>
      <c r="O89" s="528"/>
      <c r="P89" s="264" t="s">
        <v>6</v>
      </c>
      <c r="Q89" s="265" t="s">
        <v>7</v>
      </c>
      <c r="R89" s="542">
        <v>1</v>
      </c>
      <c r="S89" s="542" t="s">
        <v>7</v>
      </c>
      <c r="T89" s="531"/>
    </row>
    <row r="90" spans="1:20" ht="140.25" x14ac:dyDescent="0.2">
      <c r="A90" s="517" t="s">
        <v>351</v>
      </c>
      <c r="B90" s="518" t="s">
        <v>907</v>
      </c>
      <c r="C90" s="518" t="s">
        <v>908</v>
      </c>
      <c r="D90" s="519" t="s">
        <v>100</v>
      </c>
      <c r="E90" s="263" t="s">
        <v>1066</v>
      </c>
      <c r="F90" s="530" t="s">
        <v>885</v>
      </c>
      <c r="G90" s="533" t="s">
        <v>889</v>
      </c>
      <c r="H90" s="522" t="s">
        <v>882</v>
      </c>
      <c r="I90" s="523" t="s">
        <v>6</v>
      </c>
      <c r="J90" s="525" t="s">
        <v>902</v>
      </c>
      <c r="K90" s="524">
        <v>1</v>
      </c>
      <c r="L90" s="525" t="s">
        <v>6</v>
      </c>
      <c r="M90" s="525" t="s">
        <v>903</v>
      </c>
      <c r="N90" s="543">
        <v>0.08</v>
      </c>
      <c r="O90" s="528"/>
      <c r="P90" s="264" t="s">
        <v>6</v>
      </c>
      <c r="Q90" s="266" t="s">
        <v>902</v>
      </c>
      <c r="R90" s="542">
        <v>0.08</v>
      </c>
      <c r="S90" s="542">
        <v>1</v>
      </c>
      <c r="T90" s="531"/>
    </row>
    <row r="91" spans="1:20" ht="140.25" x14ac:dyDescent="0.2">
      <c r="A91" s="517" t="s">
        <v>351</v>
      </c>
      <c r="B91" s="518" t="s">
        <v>907</v>
      </c>
      <c r="C91" s="518" t="s">
        <v>908</v>
      </c>
      <c r="D91" s="519" t="s">
        <v>100</v>
      </c>
      <c r="E91" s="263" t="s">
        <v>1066</v>
      </c>
      <c r="F91" s="530" t="s">
        <v>885</v>
      </c>
      <c r="G91" s="535" t="s">
        <v>881</v>
      </c>
      <c r="H91" s="522" t="s">
        <v>882</v>
      </c>
      <c r="I91" s="523" t="s">
        <v>6</v>
      </c>
      <c r="J91" s="525" t="s">
        <v>902</v>
      </c>
      <c r="K91" s="524">
        <v>1</v>
      </c>
      <c r="L91" s="525" t="s">
        <v>6</v>
      </c>
      <c r="M91" s="525" t="s">
        <v>903</v>
      </c>
      <c r="N91" s="543">
        <v>0.08</v>
      </c>
      <c r="O91" s="528"/>
      <c r="P91" s="264" t="s">
        <v>6</v>
      </c>
      <c r="Q91" s="266" t="s">
        <v>902</v>
      </c>
      <c r="R91" s="542">
        <v>0.08</v>
      </c>
      <c r="S91" s="542">
        <v>1</v>
      </c>
      <c r="T91" s="531"/>
    </row>
    <row r="92" spans="1:20" ht="140.25" x14ac:dyDescent="0.2">
      <c r="A92" s="517" t="s">
        <v>351</v>
      </c>
      <c r="B92" s="518" t="s">
        <v>907</v>
      </c>
      <c r="C92" s="518" t="s">
        <v>908</v>
      </c>
      <c r="D92" s="519" t="s">
        <v>100</v>
      </c>
      <c r="E92" s="263" t="s">
        <v>1066</v>
      </c>
      <c r="F92" s="530" t="s">
        <v>885</v>
      </c>
      <c r="G92" s="533" t="s">
        <v>883</v>
      </c>
      <c r="H92" s="522" t="s">
        <v>884</v>
      </c>
      <c r="I92" s="523" t="s">
        <v>6</v>
      </c>
      <c r="J92" s="525" t="s">
        <v>901</v>
      </c>
      <c r="K92" s="524">
        <v>1</v>
      </c>
      <c r="L92" s="525" t="s">
        <v>79</v>
      </c>
      <c r="M92" s="525" t="s">
        <v>7</v>
      </c>
      <c r="N92" s="525" t="s">
        <v>7</v>
      </c>
      <c r="O92" s="528"/>
      <c r="P92" s="264" t="s">
        <v>6</v>
      </c>
      <c r="Q92" s="265" t="s">
        <v>7</v>
      </c>
      <c r="R92" s="542">
        <v>1</v>
      </c>
      <c r="S92" s="542" t="s">
        <v>7</v>
      </c>
      <c r="T92" s="531"/>
    </row>
    <row r="93" spans="1:20" ht="140.25" x14ac:dyDescent="0.2">
      <c r="A93" s="517" t="s">
        <v>351</v>
      </c>
      <c r="B93" s="518" t="s">
        <v>907</v>
      </c>
      <c r="C93" s="518" t="s">
        <v>908</v>
      </c>
      <c r="D93" s="519" t="s">
        <v>100</v>
      </c>
      <c r="E93" s="263" t="s">
        <v>1066</v>
      </c>
      <c r="F93" s="530" t="s">
        <v>885</v>
      </c>
      <c r="G93" s="533" t="s">
        <v>866</v>
      </c>
      <c r="H93" s="522" t="s">
        <v>882</v>
      </c>
      <c r="I93" s="523" t="s">
        <v>6</v>
      </c>
      <c r="J93" s="525" t="s">
        <v>901</v>
      </c>
      <c r="K93" s="524">
        <v>1</v>
      </c>
      <c r="L93" s="525" t="s">
        <v>79</v>
      </c>
      <c r="M93" s="525" t="s">
        <v>7</v>
      </c>
      <c r="N93" s="525" t="s">
        <v>7</v>
      </c>
      <c r="O93" s="528"/>
      <c r="P93" s="264" t="s">
        <v>6</v>
      </c>
      <c r="Q93" s="265" t="s">
        <v>7</v>
      </c>
      <c r="R93" s="542">
        <v>1</v>
      </c>
      <c r="S93" s="542" t="s">
        <v>7</v>
      </c>
      <c r="T93" s="531"/>
    </row>
    <row r="94" spans="1:20" ht="140.25" x14ac:dyDescent="0.2">
      <c r="A94" s="517" t="s">
        <v>351</v>
      </c>
      <c r="B94" s="518" t="s">
        <v>907</v>
      </c>
      <c r="C94" s="518" t="s">
        <v>908</v>
      </c>
      <c r="D94" s="519" t="s">
        <v>100</v>
      </c>
      <c r="E94" s="263" t="s">
        <v>1066</v>
      </c>
      <c r="F94" s="530" t="s">
        <v>885</v>
      </c>
      <c r="G94" s="533" t="s">
        <v>869</v>
      </c>
      <c r="H94" s="522" t="s">
        <v>886</v>
      </c>
      <c r="I94" s="523" t="s">
        <v>6</v>
      </c>
      <c r="J94" s="525" t="s">
        <v>901</v>
      </c>
      <c r="K94" s="524">
        <v>1</v>
      </c>
      <c r="L94" s="525" t="s">
        <v>79</v>
      </c>
      <c r="M94" s="525" t="s">
        <v>7</v>
      </c>
      <c r="N94" s="525" t="s">
        <v>7</v>
      </c>
      <c r="O94" s="528"/>
      <c r="P94" s="264" t="s">
        <v>6</v>
      </c>
      <c r="Q94" s="265" t="s">
        <v>7</v>
      </c>
      <c r="R94" s="542">
        <v>1</v>
      </c>
      <c r="S94" s="542" t="s">
        <v>7</v>
      </c>
      <c r="T94" s="531"/>
    </row>
    <row r="95" spans="1:20" ht="140.25" x14ac:dyDescent="0.2">
      <c r="A95" s="517" t="s">
        <v>351</v>
      </c>
      <c r="B95" s="518" t="s">
        <v>907</v>
      </c>
      <c r="C95" s="518" t="s">
        <v>908</v>
      </c>
      <c r="D95" s="519" t="s">
        <v>100</v>
      </c>
      <c r="E95" s="263" t="s">
        <v>1066</v>
      </c>
      <c r="F95" s="530" t="s">
        <v>885</v>
      </c>
      <c r="G95" s="533" t="s">
        <v>887</v>
      </c>
      <c r="H95" s="522" t="s">
        <v>888</v>
      </c>
      <c r="I95" s="523" t="s">
        <v>6</v>
      </c>
      <c r="J95" s="525" t="s">
        <v>901</v>
      </c>
      <c r="K95" s="524">
        <v>1</v>
      </c>
      <c r="L95" s="525" t="s">
        <v>79</v>
      </c>
      <c r="M95" s="525" t="s">
        <v>7</v>
      </c>
      <c r="N95" s="525" t="s">
        <v>7</v>
      </c>
      <c r="O95" s="528"/>
      <c r="P95" s="264" t="s">
        <v>6</v>
      </c>
      <c r="Q95" s="265" t="s">
        <v>7</v>
      </c>
      <c r="R95" s="542">
        <v>1</v>
      </c>
      <c r="S95" s="542" t="s">
        <v>7</v>
      </c>
      <c r="T95" s="531"/>
    </row>
    <row r="96" spans="1:20" ht="140.25" x14ac:dyDescent="0.2">
      <c r="A96" s="517" t="s">
        <v>351</v>
      </c>
      <c r="B96" s="518" t="s">
        <v>907</v>
      </c>
      <c r="C96" s="518" t="s">
        <v>908</v>
      </c>
      <c r="D96" s="519" t="s">
        <v>100</v>
      </c>
      <c r="E96" s="263" t="s">
        <v>1066</v>
      </c>
      <c r="F96" s="538" t="s">
        <v>904</v>
      </c>
      <c r="G96" s="533" t="s">
        <v>883</v>
      </c>
      <c r="H96" s="534" t="s">
        <v>900</v>
      </c>
      <c r="I96" s="523" t="s">
        <v>6</v>
      </c>
      <c r="J96" s="525" t="s">
        <v>901</v>
      </c>
      <c r="K96" s="524">
        <v>1</v>
      </c>
      <c r="L96" s="525" t="s">
        <v>79</v>
      </c>
      <c r="M96" s="525" t="s">
        <v>7</v>
      </c>
      <c r="N96" s="525" t="s">
        <v>7</v>
      </c>
      <c r="O96" s="528"/>
      <c r="P96" s="264" t="s">
        <v>6</v>
      </c>
      <c r="Q96" s="265" t="s">
        <v>7</v>
      </c>
      <c r="R96" s="542">
        <v>1</v>
      </c>
      <c r="S96" s="542" t="s">
        <v>7</v>
      </c>
      <c r="T96" s="531"/>
    </row>
    <row r="97" spans="1:20" ht="140.25" x14ac:dyDescent="0.2">
      <c r="A97" s="517" t="s">
        <v>351</v>
      </c>
      <c r="B97" s="518" t="s">
        <v>907</v>
      </c>
      <c r="C97" s="518" t="s">
        <v>908</v>
      </c>
      <c r="D97" s="519" t="s">
        <v>100</v>
      </c>
      <c r="E97" s="263" t="s">
        <v>1066</v>
      </c>
      <c r="F97" s="530" t="s">
        <v>740</v>
      </c>
      <c r="G97" s="533" t="s">
        <v>889</v>
      </c>
      <c r="H97" s="522" t="s">
        <v>897</v>
      </c>
      <c r="I97" s="523" t="s">
        <v>6</v>
      </c>
      <c r="J97" s="525" t="s">
        <v>902</v>
      </c>
      <c r="K97" s="524">
        <v>1</v>
      </c>
      <c r="L97" s="525" t="s">
        <v>6</v>
      </c>
      <c r="M97" s="525" t="s">
        <v>903</v>
      </c>
      <c r="N97" s="543">
        <v>0.08</v>
      </c>
      <c r="O97" s="528"/>
      <c r="P97" s="264" t="s">
        <v>6</v>
      </c>
      <c r="Q97" s="266" t="s">
        <v>902</v>
      </c>
      <c r="R97" s="542">
        <v>0.08</v>
      </c>
      <c r="S97" s="542">
        <v>1</v>
      </c>
      <c r="T97" s="531"/>
    </row>
    <row r="98" spans="1:20" ht="140.25" x14ac:dyDescent="0.2">
      <c r="A98" s="517" t="s">
        <v>351</v>
      </c>
      <c r="B98" s="518" t="s">
        <v>907</v>
      </c>
      <c r="C98" s="518" t="s">
        <v>908</v>
      </c>
      <c r="D98" s="519" t="s">
        <v>100</v>
      </c>
      <c r="E98" s="263" t="s">
        <v>1066</v>
      </c>
      <c r="F98" s="530" t="s">
        <v>740</v>
      </c>
      <c r="G98" s="533" t="s">
        <v>881</v>
      </c>
      <c r="H98" s="522" t="s">
        <v>896</v>
      </c>
      <c r="I98" s="523" t="s">
        <v>6</v>
      </c>
      <c r="J98" s="525" t="s">
        <v>901</v>
      </c>
      <c r="K98" s="524">
        <v>1</v>
      </c>
      <c r="L98" s="525" t="s">
        <v>6</v>
      </c>
      <c r="M98" s="525" t="s">
        <v>7</v>
      </c>
      <c r="N98" s="525"/>
      <c r="O98" s="528"/>
      <c r="P98" s="264" t="s">
        <v>6</v>
      </c>
      <c r="Q98" s="265" t="s">
        <v>7</v>
      </c>
      <c r="R98" s="542">
        <v>1</v>
      </c>
      <c r="S98" s="542" t="s">
        <v>7</v>
      </c>
      <c r="T98" s="531"/>
    </row>
    <row r="99" spans="1:20" ht="140.25" x14ac:dyDescent="0.2">
      <c r="A99" s="517" t="s">
        <v>351</v>
      </c>
      <c r="B99" s="518" t="s">
        <v>907</v>
      </c>
      <c r="C99" s="518" t="s">
        <v>908</v>
      </c>
      <c r="D99" s="519" t="s">
        <v>100</v>
      </c>
      <c r="E99" s="263" t="s">
        <v>1066</v>
      </c>
      <c r="F99" s="530" t="s">
        <v>740</v>
      </c>
      <c r="G99" s="535" t="s">
        <v>883</v>
      </c>
      <c r="H99" s="522" t="s">
        <v>897</v>
      </c>
      <c r="I99" s="523" t="s">
        <v>6</v>
      </c>
      <c r="J99" s="525" t="s">
        <v>901</v>
      </c>
      <c r="K99" s="524">
        <v>1</v>
      </c>
      <c r="L99" s="525" t="s">
        <v>6</v>
      </c>
      <c r="M99" s="525" t="s">
        <v>7</v>
      </c>
      <c r="N99" s="525"/>
      <c r="O99" s="500"/>
      <c r="P99" s="264" t="s">
        <v>6</v>
      </c>
      <c r="Q99" s="265" t="s">
        <v>7</v>
      </c>
      <c r="R99" s="542">
        <v>1</v>
      </c>
      <c r="S99" s="542" t="s">
        <v>7</v>
      </c>
      <c r="T99" s="531"/>
    </row>
    <row r="100" spans="1:20" ht="140.25" x14ac:dyDescent="0.2">
      <c r="A100" s="517" t="s">
        <v>351</v>
      </c>
      <c r="B100" s="518" t="s">
        <v>907</v>
      </c>
      <c r="C100" s="518" t="s">
        <v>908</v>
      </c>
      <c r="D100" s="519" t="s">
        <v>100</v>
      </c>
      <c r="E100" s="263" t="s">
        <v>1066</v>
      </c>
      <c r="F100" s="530" t="s">
        <v>894</v>
      </c>
      <c r="G100" s="533" t="s">
        <v>889</v>
      </c>
      <c r="H100" s="522" t="s">
        <v>896</v>
      </c>
      <c r="I100" s="523" t="s">
        <v>6</v>
      </c>
      <c r="J100" s="525" t="s">
        <v>902</v>
      </c>
      <c r="K100" s="524">
        <v>1</v>
      </c>
      <c r="L100" s="525" t="s">
        <v>6</v>
      </c>
      <c r="M100" s="525" t="s">
        <v>903</v>
      </c>
      <c r="N100" s="543">
        <v>0.08</v>
      </c>
      <c r="O100" s="528"/>
      <c r="P100" s="264" t="s">
        <v>6</v>
      </c>
      <c r="Q100" s="266" t="s">
        <v>902</v>
      </c>
      <c r="R100" s="542">
        <v>0.08</v>
      </c>
      <c r="S100" s="542">
        <v>1</v>
      </c>
      <c r="T100" s="531"/>
    </row>
    <row r="101" spans="1:20" ht="140.25" x14ac:dyDescent="0.2">
      <c r="A101" s="517" t="s">
        <v>351</v>
      </c>
      <c r="B101" s="518" t="s">
        <v>907</v>
      </c>
      <c r="C101" s="518" t="s">
        <v>908</v>
      </c>
      <c r="D101" s="519" t="s">
        <v>100</v>
      </c>
      <c r="E101" s="263" t="s">
        <v>1066</v>
      </c>
      <c r="F101" s="530" t="s">
        <v>894</v>
      </c>
      <c r="G101" s="533" t="s">
        <v>881</v>
      </c>
      <c r="H101" s="522" t="s">
        <v>896</v>
      </c>
      <c r="I101" s="523" t="s">
        <v>6</v>
      </c>
      <c r="J101" s="525" t="s">
        <v>901</v>
      </c>
      <c r="K101" s="524">
        <v>1</v>
      </c>
      <c r="L101" s="525" t="s">
        <v>6</v>
      </c>
      <c r="M101" s="525" t="s">
        <v>7</v>
      </c>
      <c r="N101" s="525"/>
      <c r="O101" s="528"/>
      <c r="P101" s="264" t="s">
        <v>6</v>
      </c>
      <c r="Q101" s="265" t="s">
        <v>7</v>
      </c>
      <c r="R101" s="542">
        <v>1</v>
      </c>
      <c r="S101" s="542" t="s">
        <v>7</v>
      </c>
      <c r="T101" s="531"/>
    </row>
    <row r="102" spans="1:20" ht="140.25" x14ac:dyDescent="0.2">
      <c r="A102" s="517" t="s">
        <v>351</v>
      </c>
      <c r="B102" s="518" t="s">
        <v>907</v>
      </c>
      <c r="C102" s="518" t="s">
        <v>908</v>
      </c>
      <c r="D102" s="519" t="s">
        <v>100</v>
      </c>
      <c r="E102" s="263" t="s">
        <v>1066</v>
      </c>
      <c r="F102" s="544" t="s">
        <v>894</v>
      </c>
      <c r="G102" s="545" t="s">
        <v>883</v>
      </c>
      <c r="H102" s="504" t="s">
        <v>905</v>
      </c>
      <c r="I102" s="523" t="s">
        <v>6</v>
      </c>
      <c r="J102" s="523" t="s">
        <v>868</v>
      </c>
      <c r="K102" s="524">
        <v>1</v>
      </c>
      <c r="L102" s="525" t="s">
        <v>79</v>
      </c>
      <c r="M102" s="525" t="s">
        <v>7</v>
      </c>
      <c r="N102" s="525" t="s">
        <v>7</v>
      </c>
      <c r="O102" s="504"/>
      <c r="P102" s="264" t="s">
        <v>6</v>
      </c>
      <c r="Q102" s="265" t="s">
        <v>7</v>
      </c>
      <c r="R102" s="542">
        <v>1</v>
      </c>
      <c r="S102" s="542" t="s">
        <v>7</v>
      </c>
      <c r="T102" s="531"/>
    </row>
    <row r="103" spans="1:20" ht="140.25" x14ac:dyDescent="0.2">
      <c r="A103" s="517" t="s">
        <v>351</v>
      </c>
      <c r="B103" s="518" t="s">
        <v>907</v>
      </c>
      <c r="C103" s="518" t="s">
        <v>908</v>
      </c>
      <c r="D103" s="519" t="s">
        <v>100</v>
      </c>
      <c r="E103" s="263" t="s">
        <v>1066</v>
      </c>
      <c r="F103" s="546" t="s">
        <v>894</v>
      </c>
      <c r="G103" s="546" t="s">
        <v>866</v>
      </c>
      <c r="H103" s="547" t="s">
        <v>905</v>
      </c>
      <c r="I103" s="523" t="s">
        <v>6</v>
      </c>
      <c r="J103" s="523" t="s">
        <v>868</v>
      </c>
      <c r="K103" s="524">
        <v>1</v>
      </c>
      <c r="L103" s="525" t="s">
        <v>79</v>
      </c>
      <c r="M103" s="525" t="s">
        <v>7</v>
      </c>
      <c r="N103" s="525" t="s">
        <v>7</v>
      </c>
      <c r="O103" s="547"/>
      <c r="P103" s="264" t="s">
        <v>6</v>
      </c>
      <c r="Q103" s="265" t="s">
        <v>7</v>
      </c>
      <c r="R103" s="542">
        <v>1</v>
      </c>
      <c r="S103" s="542" t="s">
        <v>7</v>
      </c>
      <c r="T103" s="531"/>
    </row>
    <row r="104" spans="1:20" ht="140.25" x14ac:dyDescent="0.2">
      <c r="A104" s="517" t="s">
        <v>351</v>
      </c>
      <c r="B104" s="518" t="s">
        <v>907</v>
      </c>
      <c r="C104" s="518" t="s">
        <v>908</v>
      </c>
      <c r="D104" s="519" t="s">
        <v>100</v>
      </c>
      <c r="E104" s="263" t="s">
        <v>1066</v>
      </c>
      <c r="F104" s="544" t="s">
        <v>101</v>
      </c>
      <c r="G104" s="548" t="s">
        <v>869</v>
      </c>
      <c r="H104" s="522" t="s">
        <v>896</v>
      </c>
      <c r="I104" s="523" t="s">
        <v>6</v>
      </c>
      <c r="J104" s="525" t="s">
        <v>901</v>
      </c>
      <c r="K104" s="524">
        <v>1</v>
      </c>
      <c r="L104" s="525" t="s">
        <v>6</v>
      </c>
      <c r="M104" s="525" t="s">
        <v>7</v>
      </c>
      <c r="N104" s="525"/>
      <c r="O104" s="528"/>
      <c r="P104" s="264" t="s">
        <v>6</v>
      </c>
      <c r="Q104" s="265" t="s">
        <v>7</v>
      </c>
      <c r="R104" s="542">
        <v>1</v>
      </c>
      <c r="S104" s="542" t="s">
        <v>7</v>
      </c>
      <c r="T104" s="531"/>
    </row>
    <row r="105" spans="1:20" ht="140.25" x14ac:dyDescent="0.2">
      <c r="A105" s="517" t="s">
        <v>351</v>
      </c>
      <c r="B105" s="518" t="s">
        <v>907</v>
      </c>
      <c r="C105" s="518" t="s">
        <v>908</v>
      </c>
      <c r="D105" s="519" t="s">
        <v>100</v>
      </c>
      <c r="E105" s="263" t="s">
        <v>1066</v>
      </c>
      <c r="F105" s="530" t="s">
        <v>740</v>
      </c>
      <c r="G105" s="535" t="s">
        <v>881</v>
      </c>
      <c r="H105" s="522" t="s">
        <v>897</v>
      </c>
      <c r="I105" s="523" t="s">
        <v>6</v>
      </c>
      <c r="J105" s="525" t="s">
        <v>902</v>
      </c>
      <c r="K105" s="524">
        <v>1</v>
      </c>
      <c r="L105" s="525" t="s">
        <v>6</v>
      </c>
      <c r="M105" s="525" t="s">
        <v>903</v>
      </c>
      <c r="N105" s="543">
        <v>0.08</v>
      </c>
      <c r="O105" s="528"/>
      <c r="P105" s="264" t="s">
        <v>6</v>
      </c>
      <c r="Q105" s="266" t="s">
        <v>902</v>
      </c>
      <c r="R105" s="542">
        <v>0.08</v>
      </c>
      <c r="S105" s="542">
        <v>1</v>
      </c>
      <c r="T105" s="531"/>
    </row>
    <row r="106" spans="1:20" ht="38.25" x14ac:dyDescent="0.2">
      <c r="A106" s="517" t="s">
        <v>351</v>
      </c>
      <c r="B106" s="518" t="s">
        <v>909</v>
      </c>
      <c r="C106" s="518" t="s">
        <v>910</v>
      </c>
      <c r="D106" s="519" t="s">
        <v>102</v>
      </c>
      <c r="E106" s="263" t="s">
        <v>1061</v>
      </c>
      <c r="F106" s="530" t="s">
        <v>885</v>
      </c>
      <c r="G106" s="530" t="s">
        <v>887</v>
      </c>
      <c r="H106" s="547" t="s">
        <v>905</v>
      </c>
      <c r="I106" s="523" t="s">
        <v>6</v>
      </c>
      <c r="J106" s="525" t="s">
        <v>901</v>
      </c>
      <c r="K106" s="524">
        <v>1</v>
      </c>
      <c r="L106" s="525" t="s">
        <v>79</v>
      </c>
      <c r="M106" s="525" t="s">
        <v>7</v>
      </c>
      <c r="N106" s="525" t="s">
        <v>7</v>
      </c>
      <c r="O106" s="547"/>
      <c r="P106" s="264" t="s">
        <v>6</v>
      </c>
      <c r="Q106" s="265" t="s">
        <v>7</v>
      </c>
      <c r="R106" s="527">
        <v>1</v>
      </c>
      <c r="S106" s="266" t="s">
        <v>7</v>
      </c>
      <c r="T106" s="531"/>
    </row>
    <row r="107" spans="1:20" ht="127.5" x14ac:dyDescent="0.2">
      <c r="A107" s="517" t="s">
        <v>351</v>
      </c>
      <c r="B107" s="518" t="s">
        <v>909</v>
      </c>
      <c r="C107" s="518" t="s">
        <v>910</v>
      </c>
      <c r="D107" s="519" t="s">
        <v>98</v>
      </c>
      <c r="E107" s="263" t="s">
        <v>1062</v>
      </c>
      <c r="F107" s="530" t="s">
        <v>885</v>
      </c>
      <c r="G107" s="530" t="s">
        <v>887</v>
      </c>
      <c r="H107" s="547" t="s">
        <v>905</v>
      </c>
      <c r="I107" s="523" t="s">
        <v>6</v>
      </c>
      <c r="J107" s="525" t="s">
        <v>906</v>
      </c>
      <c r="K107" s="524">
        <v>1</v>
      </c>
      <c r="L107" s="525" t="s">
        <v>79</v>
      </c>
      <c r="M107" s="525" t="s">
        <v>7</v>
      </c>
      <c r="N107" s="525" t="s">
        <v>7</v>
      </c>
      <c r="O107" s="547"/>
      <c r="P107" s="264" t="s">
        <v>6</v>
      </c>
      <c r="Q107" s="265" t="s">
        <v>7</v>
      </c>
      <c r="R107" s="549">
        <v>1</v>
      </c>
      <c r="S107" s="266" t="s">
        <v>7</v>
      </c>
      <c r="T107" s="550"/>
    </row>
    <row r="108" spans="1:20" ht="140.25" x14ac:dyDescent="0.2">
      <c r="A108" s="551" t="s">
        <v>351</v>
      </c>
      <c r="B108" s="552" t="s">
        <v>909</v>
      </c>
      <c r="C108" s="552" t="s">
        <v>910</v>
      </c>
      <c r="D108" s="553" t="s">
        <v>100</v>
      </c>
      <c r="E108" s="263" t="s">
        <v>1066</v>
      </c>
      <c r="F108" s="530" t="s">
        <v>885</v>
      </c>
      <c r="G108" s="530" t="s">
        <v>887</v>
      </c>
      <c r="H108" s="522" t="s">
        <v>890</v>
      </c>
      <c r="I108" s="523" t="s">
        <v>6</v>
      </c>
      <c r="J108" s="525" t="s">
        <v>901</v>
      </c>
      <c r="K108" s="524">
        <v>1</v>
      </c>
      <c r="L108" s="525" t="s">
        <v>79</v>
      </c>
      <c r="M108" s="525" t="s">
        <v>7</v>
      </c>
      <c r="N108" s="525" t="s">
        <v>7</v>
      </c>
      <c r="O108" s="500"/>
      <c r="P108" s="264" t="s">
        <v>6</v>
      </c>
      <c r="Q108" s="265" t="s">
        <v>7</v>
      </c>
      <c r="R108" s="527">
        <v>1</v>
      </c>
      <c r="S108" s="266" t="s">
        <v>7</v>
      </c>
      <c r="T108" s="531"/>
    </row>
  </sheetData>
  <dataValidations count="4">
    <dataValidation type="list" allowBlank="1" showInputMessage="1" showErrorMessage="1" sqref="G23:G40 G58 G68 G72 G99 G103:G105">
      <formula1>$BD$2:$BD$4</formula1>
    </dataValidation>
    <dataValidation type="list" allowBlank="1" showInputMessage="1" showErrorMessage="1" sqref="F42:F67 F69:F108">
      <formula1>$P$4:$P$4</formula1>
    </dataValidation>
    <dataValidation type="list" allowBlank="1" showInputMessage="1" showErrorMessage="1" sqref="G12:G16 G59 G69:G71 G61:G67 G92:G98 G43:G57 G74:G90 G106:G108 G100:G102">
      <formula1>$R$4:$R$4</formula1>
    </dataValidation>
    <dataValidation type="list" allowBlank="1" showInputMessage="1" showErrorMessage="1" sqref="D42:D72">
      <formula1>#REF!</formula1>
    </dataValidation>
  </dataValidations>
  <pageMargins left="0.25" right="0.25" top="0.75" bottom="0.75" header="0.3" footer="0.3"/>
  <pageSetup paperSize="9" scale="31" fitToHeight="0" orientation="landscape"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pageSetUpPr fitToPage="1"/>
  </sheetPr>
  <dimension ref="A1:S1201"/>
  <sheetViews>
    <sheetView zoomScale="70" zoomScaleNormal="70" zoomScaleSheetLayoutView="100" workbookViewId="0">
      <selection activeCell="K46" sqref="K46"/>
    </sheetView>
  </sheetViews>
  <sheetFormatPr defaultColWidth="11.42578125" defaultRowHeight="12.75" x14ac:dyDescent="0.2"/>
  <cols>
    <col min="1" max="1" width="9.7109375" style="24" customWidth="1"/>
    <col min="2" max="2" width="53.28515625" style="24" customWidth="1"/>
    <col min="3" max="3" width="40" style="24" customWidth="1"/>
    <col min="4" max="4" width="13.140625" style="24" bestFit="1" customWidth="1"/>
    <col min="5" max="5" width="44.42578125" style="24" bestFit="1" customWidth="1"/>
    <col min="6" max="6" width="11.42578125" style="24"/>
    <col min="7" max="7" width="45.5703125" style="24" bestFit="1" customWidth="1"/>
    <col min="8" max="8" width="14.85546875" style="24" customWidth="1"/>
    <col min="9" max="9" width="18.28515625" style="24" customWidth="1"/>
    <col min="10" max="17" width="11.42578125" style="24"/>
    <col min="18" max="18" width="38.85546875" style="24" bestFit="1" customWidth="1"/>
    <col min="19" max="19" width="15.85546875" style="32" customWidth="1"/>
    <col min="20" max="16384" width="11.42578125" style="24"/>
  </cols>
  <sheetData>
    <row r="1" spans="1:19" ht="15.75" thickBot="1" x14ac:dyDescent="0.3">
      <c r="A1" s="451" t="s">
        <v>103</v>
      </c>
      <c r="B1" s="450"/>
      <c r="C1" s="450"/>
      <c r="D1" s="450"/>
      <c r="E1" s="450"/>
      <c r="F1" s="451"/>
      <c r="G1" s="450"/>
      <c r="H1" s="450"/>
      <c r="I1" s="450"/>
      <c r="J1" s="450"/>
      <c r="K1" s="450"/>
      <c r="L1" s="450"/>
      <c r="M1" s="450"/>
      <c r="N1" s="450"/>
      <c r="O1" s="450"/>
      <c r="P1" s="450"/>
      <c r="Q1" s="450"/>
      <c r="R1" s="450"/>
      <c r="S1" s="615"/>
    </row>
    <row r="2" spans="1:19" ht="15" x14ac:dyDescent="0.25">
      <c r="A2" s="452"/>
      <c r="B2" s="453"/>
      <c r="C2" s="453"/>
      <c r="D2" s="453"/>
      <c r="E2" s="475"/>
      <c r="G2" s="450"/>
      <c r="H2" s="450"/>
      <c r="I2" s="453"/>
      <c r="J2" s="453"/>
      <c r="K2" s="453"/>
      <c r="L2" s="453"/>
      <c r="M2" s="453"/>
      <c r="N2" s="453"/>
      <c r="O2" s="453"/>
      <c r="P2" s="450"/>
      <c r="Q2" s="454" t="s">
        <v>56</v>
      </c>
      <c r="R2" s="616" t="s">
        <v>50</v>
      </c>
      <c r="S2" s="617"/>
    </row>
    <row r="3" spans="1:19" ht="15.75" thickBot="1" x14ac:dyDescent="0.3">
      <c r="A3" s="452"/>
      <c r="B3" s="453"/>
      <c r="C3" s="453"/>
      <c r="D3" s="453"/>
      <c r="E3" s="475"/>
      <c r="F3" s="453"/>
      <c r="G3" s="453"/>
      <c r="H3" s="453"/>
      <c r="I3" s="453"/>
      <c r="J3" s="453"/>
      <c r="K3" s="453"/>
      <c r="L3" s="453"/>
      <c r="M3" s="453"/>
      <c r="N3" s="453"/>
      <c r="O3" s="453"/>
      <c r="P3" s="450"/>
      <c r="Q3" s="618" t="s">
        <v>55</v>
      </c>
      <c r="R3" s="619">
        <v>2018</v>
      </c>
      <c r="S3" s="617"/>
    </row>
    <row r="4" spans="1:19" ht="51.75" thickBot="1" x14ac:dyDescent="0.25">
      <c r="A4" s="455" t="s">
        <v>0</v>
      </c>
      <c r="B4" s="456" t="s">
        <v>83</v>
      </c>
      <c r="C4" s="457" t="s">
        <v>86</v>
      </c>
      <c r="D4" s="458" t="s">
        <v>87</v>
      </c>
      <c r="E4" s="476" t="s">
        <v>104</v>
      </c>
      <c r="F4" s="460" t="s">
        <v>105</v>
      </c>
      <c r="G4" s="461" t="s">
        <v>85</v>
      </c>
      <c r="H4" s="462" t="s">
        <v>106</v>
      </c>
      <c r="I4" s="463" t="s">
        <v>107</v>
      </c>
      <c r="J4" s="463" t="s">
        <v>9</v>
      </c>
      <c r="K4" s="464" t="s">
        <v>108</v>
      </c>
      <c r="L4" s="456" t="s">
        <v>4</v>
      </c>
      <c r="M4" s="465" t="s">
        <v>309</v>
      </c>
      <c r="N4" s="465" t="s">
        <v>310</v>
      </c>
      <c r="O4" s="459" t="s">
        <v>109</v>
      </c>
      <c r="P4" s="459" t="s">
        <v>311</v>
      </c>
      <c r="Q4" s="459" t="s">
        <v>312</v>
      </c>
      <c r="R4" s="459" t="s">
        <v>201</v>
      </c>
      <c r="S4" s="620"/>
    </row>
    <row r="5" spans="1:19" ht="30" x14ac:dyDescent="0.25">
      <c r="A5" s="621" t="s">
        <v>351</v>
      </c>
      <c r="B5" s="466" t="s">
        <v>111</v>
      </c>
      <c r="C5" s="466" t="s">
        <v>99</v>
      </c>
      <c r="D5" s="467" t="s">
        <v>866</v>
      </c>
      <c r="E5" s="474"/>
      <c r="F5" s="469" t="s">
        <v>112</v>
      </c>
      <c r="G5" s="470" t="s">
        <v>113</v>
      </c>
      <c r="H5" s="622" t="s">
        <v>912</v>
      </c>
      <c r="I5" s="471" t="s">
        <v>114</v>
      </c>
      <c r="J5" s="471" t="s">
        <v>913</v>
      </c>
      <c r="K5" s="469">
        <v>100</v>
      </c>
      <c r="L5" s="473"/>
      <c r="M5" s="623">
        <v>0</v>
      </c>
      <c r="N5" s="623">
        <v>0</v>
      </c>
      <c r="O5" s="624">
        <v>0</v>
      </c>
      <c r="P5" s="624">
        <v>0</v>
      </c>
      <c r="Q5" s="785" t="e">
        <f>N5/(M5*K5/100)</f>
        <v>#DIV/0!</v>
      </c>
      <c r="R5" s="625" t="s">
        <v>1719</v>
      </c>
      <c r="S5" s="626"/>
    </row>
    <row r="6" spans="1:19" ht="15" x14ac:dyDescent="0.25">
      <c r="A6" s="621" t="s">
        <v>351</v>
      </c>
      <c r="B6" s="466" t="s">
        <v>111</v>
      </c>
      <c r="C6" s="627" t="s">
        <v>99</v>
      </c>
      <c r="D6" s="628" t="s">
        <v>869</v>
      </c>
      <c r="E6" s="474"/>
      <c r="F6" s="469" t="s">
        <v>112</v>
      </c>
      <c r="G6" s="470" t="s">
        <v>113</v>
      </c>
      <c r="H6" s="622" t="s">
        <v>912</v>
      </c>
      <c r="I6" s="471" t="s">
        <v>114</v>
      </c>
      <c r="J6" s="471" t="s">
        <v>913</v>
      </c>
      <c r="K6" s="469">
        <v>100</v>
      </c>
      <c r="L6" s="473"/>
      <c r="M6" s="623">
        <v>14</v>
      </c>
      <c r="N6" s="623">
        <v>14</v>
      </c>
      <c r="O6" s="624">
        <v>1</v>
      </c>
      <c r="P6" s="624">
        <v>1</v>
      </c>
      <c r="Q6" s="785">
        <f t="shared" ref="Q6:Q69" si="0">N6/(M6*K6/100)</f>
        <v>1</v>
      </c>
      <c r="R6" s="468" t="s">
        <v>1718</v>
      </c>
      <c r="S6" s="629"/>
    </row>
    <row r="7" spans="1:19" ht="15" x14ac:dyDescent="0.25">
      <c r="A7" s="621" t="s">
        <v>351</v>
      </c>
      <c r="B7" s="466" t="s">
        <v>111</v>
      </c>
      <c r="C7" s="630" t="s">
        <v>870</v>
      </c>
      <c r="D7" s="628" t="s">
        <v>889</v>
      </c>
      <c r="E7" s="474"/>
      <c r="F7" s="469" t="s">
        <v>112</v>
      </c>
      <c r="G7" s="470" t="s">
        <v>113</v>
      </c>
      <c r="H7" s="622" t="s">
        <v>914</v>
      </c>
      <c r="I7" s="471" t="s">
        <v>114</v>
      </c>
      <c r="J7" s="471" t="s">
        <v>913</v>
      </c>
      <c r="K7" s="469">
        <v>100</v>
      </c>
      <c r="L7" s="473"/>
      <c r="M7" s="623">
        <v>50</v>
      </c>
      <c r="N7" s="623">
        <v>50</v>
      </c>
      <c r="O7" s="624">
        <v>1</v>
      </c>
      <c r="P7" s="624">
        <v>1</v>
      </c>
      <c r="Q7" s="785">
        <f t="shared" si="0"/>
        <v>1</v>
      </c>
      <c r="R7" s="468" t="s">
        <v>1718</v>
      </c>
      <c r="S7" s="629"/>
    </row>
    <row r="8" spans="1:19" ht="15" x14ac:dyDescent="0.25">
      <c r="A8" s="621" t="s">
        <v>351</v>
      </c>
      <c r="B8" s="466" t="s">
        <v>111</v>
      </c>
      <c r="C8" s="631" t="s">
        <v>870</v>
      </c>
      <c r="D8" s="628" t="s">
        <v>881</v>
      </c>
      <c r="E8" s="474"/>
      <c r="F8" s="469" t="s">
        <v>112</v>
      </c>
      <c r="G8" s="470" t="s">
        <v>113</v>
      </c>
      <c r="H8" s="622" t="s">
        <v>912</v>
      </c>
      <c r="I8" s="471" t="s">
        <v>114</v>
      </c>
      <c r="J8" s="471" t="s">
        <v>913</v>
      </c>
      <c r="K8" s="469">
        <v>100</v>
      </c>
      <c r="L8" s="473"/>
      <c r="M8" s="623">
        <v>19</v>
      </c>
      <c r="N8" s="623">
        <v>19</v>
      </c>
      <c r="O8" s="624">
        <v>1</v>
      </c>
      <c r="P8" s="624">
        <v>1</v>
      </c>
      <c r="Q8" s="785">
        <f t="shared" si="0"/>
        <v>1</v>
      </c>
      <c r="R8" s="468" t="s">
        <v>1718</v>
      </c>
      <c r="S8" s="629"/>
    </row>
    <row r="9" spans="1:19" ht="15" x14ac:dyDescent="0.25">
      <c r="A9" s="621" t="s">
        <v>351</v>
      </c>
      <c r="B9" s="466" t="s">
        <v>111</v>
      </c>
      <c r="C9" s="631" t="s">
        <v>870</v>
      </c>
      <c r="D9" s="628" t="s">
        <v>883</v>
      </c>
      <c r="E9" s="474"/>
      <c r="F9" s="469" t="s">
        <v>112</v>
      </c>
      <c r="G9" s="470" t="s">
        <v>113</v>
      </c>
      <c r="H9" s="622" t="s">
        <v>912</v>
      </c>
      <c r="I9" s="471" t="s">
        <v>114</v>
      </c>
      <c r="J9" s="471" t="s">
        <v>913</v>
      </c>
      <c r="K9" s="469">
        <v>100</v>
      </c>
      <c r="L9" s="473"/>
      <c r="M9" s="623">
        <v>39</v>
      </c>
      <c r="N9" s="623">
        <v>39</v>
      </c>
      <c r="O9" s="624">
        <v>1</v>
      </c>
      <c r="P9" s="624">
        <v>1</v>
      </c>
      <c r="Q9" s="785">
        <f t="shared" si="0"/>
        <v>1</v>
      </c>
      <c r="R9" s="468" t="s">
        <v>1718</v>
      </c>
      <c r="S9" s="629"/>
    </row>
    <row r="10" spans="1:19" ht="15" x14ac:dyDescent="0.25">
      <c r="A10" s="621" t="s">
        <v>351</v>
      </c>
      <c r="B10" s="466" t="s">
        <v>111</v>
      </c>
      <c r="C10" s="631" t="s">
        <v>870</v>
      </c>
      <c r="D10" s="632" t="s">
        <v>866</v>
      </c>
      <c r="E10" s="474"/>
      <c r="F10" s="469" t="s">
        <v>112</v>
      </c>
      <c r="G10" s="470" t="s">
        <v>113</v>
      </c>
      <c r="H10" s="622" t="s">
        <v>912</v>
      </c>
      <c r="I10" s="471" t="s">
        <v>114</v>
      </c>
      <c r="J10" s="471" t="s">
        <v>913</v>
      </c>
      <c r="K10" s="469">
        <v>100</v>
      </c>
      <c r="L10" s="473"/>
      <c r="M10" s="623">
        <v>67</v>
      </c>
      <c r="N10" s="623">
        <v>67</v>
      </c>
      <c r="O10" s="624">
        <v>1</v>
      </c>
      <c r="P10" s="624">
        <v>1</v>
      </c>
      <c r="Q10" s="785">
        <f t="shared" si="0"/>
        <v>1</v>
      </c>
      <c r="R10" s="468" t="s">
        <v>1718</v>
      </c>
      <c r="S10" s="629"/>
    </row>
    <row r="11" spans="1:19" ht="15" x14ac:dyDescent="0.25">
      <c r="A11" s="621" t="s">
        <v>351</v>
      </c>
      <c r="B11" s="466" t="s">
        <v>111</v>
      </c>
      <c r="C11" s="631" t="s">
        <v>870</v>
      </c>
      <c r="D11" s="632" t="s">
        <v>869</v>
      </c>
      <c r="E11" s="474"/>
      <c r="F11" s="469" t="s">
        <v>112</v>
      </c>
      <c r="G11" s="470" t="s">
        <v>113</v>
      </c>
      <c r="H11" s="622" t="s">
        <v>912</v>
      </c>
      <c r="I11" s="471" t="s">
        <v>114</v>
      </c>
      <c r="J11" s="471" t="s">
        <v>913</v>
      </c>
      <c r="K11" s="469">
        <v>100</v>
      </c>
      <c r="L11" s="473"/>
      <c r="M11" s="623">
        <v>46</v>
      </c>
      <c r="N11" s="623">
        <v>46</v>
      </c>
      <c r="O11" s="624">
        <v>1</v>
      </c>
      <c r="P11" s="624">
        <v>1</v>
      </c>
      <c r="Q11" s="785">
        <f t="shared" si="0"/>
        <v>1</v>
      </c>
      <c r="R11" s="468" t="s">
        <v>1718</v>
      </c>
      <c r="S11" s="629"/>
    </row>
    <row r="12" spans="1:19" ht="15" x14ac:dyDescent="0.25">
      <c r="A12" s="621" t="s">
        <v>351</v>
      </c>
      <c r="B12" s="466" t="s">
        <v>111</v>
      </c>
      <c r="C12" s="631" t="s">
        <v>738</v>
      </c>
      <c r="D12" s="632" t="s">
        <v>889</v>
      </c>
      <c r="E12" s="474"/>
      <c r="F12" s="469" t="s">
        <v>112</v>
      </c>
      <c r="G12" s="470" t="s">
        <v>113</v>
      </c>
      <c r="H12" s="622" t="s">
        <v>914</v>
      </c>
      <c r="I12" s="471" t="s">
        <v>114</v>
      </c>
      <c r="J12" s="471" t="s">
        <v>913</v>
      </c>
      <c r="K12" s="469">
        <v>100</v>
      </c>
      <c r="L12" s="473"/>
      <c r="M12" s="623">
        <v>156</v>
      </c>
      <c r="N12" s="623">
        <v>156</v>
      </c>
      <c r="O12" s="624">
        <v>1</v>
      </c>
      <c r="P12" s="624">
        <v>1</v>
      </c>
      <c r="Q12" s="785">
        <f t="shared" si="0"/>
        <v>1</v>
      </c>
      <c r="R12" s="468" t="s">
        <v>1718</v>
      </c>
      <c r="S12" s="629"/>
    </row>
    <row r="13" spans="1:19" ht="15" x14ac:dyDescent="0.25">
      <c r="A13" s="621" t="s">
        <v>351</v>
      </c>
      <c r="B13" s="466" t="s">
        <v>111</v>
      </c>
      <c r="C13" s="631" t="s">
        <v>738</v>
      </c>
      <c r="D13" s="632" t="s">
        <v>881</v>
      </c>
      <c r="E13" s="474"/>
      <c r="F13" s="469" t="s">
        <v>112</v>
      </c>
      <c r="G13" s="470" t="s">
        <v>113</v>
      </c>
      <c r="H13" s="622" t="s">
        <v>912</v>
      </c>
      <c r="I13" s="471" t="s">
        <v>114</v>
      </c>
      <c r="J13" s="471" t="s">
        <v>913</v>
      </c>
      <c r="K13" s="469">
        <v>100</v>
      </c>
      <c r="L13" s="473"/>
      <c r="M13" s="623">
        <v>54</v>
      </c>
      <c r="N13" s="623">
        <v>54</v>
      </c>
      <c r="O13" s="624">
        <v>1</v>
      </c>
      <c r="P13" s="624">
        <v>1</v>
      </c>
      <c r="Q13" s="785">
        <f t="shared" si="0"/>
        <v>1</v>
      </c>
      <c r="R13" s="468" t="s">
        <v>1718</v>
      </c>
      <c r="S13" s="629"/>
    </row>
    <row r="14" spans="1:19" ht="15" x14ac:dyDescent="0.25">
      <c r="A14" s="621" t="s">
        <v>351</v>
      </c>
      <c r="B14" s="466" t="s">
        <v>111</v>
      </c>
      <c r="C14" s="631" t="s">
        <v>738</v>
      </c>
      <c r="D14" s="632" t="s">
        <v>883</v>
      </c>
      <c r="E14" s="474"/>
      <c r="F14" s="469" t="s">
        <v>112</v>
      </c>
      <c r="G14" s="470" t="s">
        <v>113</v>
      </c>
      <c r="H14" s="622" t="s">
        <v>912</v>
      </c>
      <c r="I14" s="471" t="s">
        <v>114</v>
      </c>
      <c r="J14" s="471" t="s">
        <v>913</v>
      </c>
      <c r="K14" s="469">
        <v>100</v>
      </c>
      <c r="L14" s="473"/>
      <c r="M14" s="623">
        <v>0</v>
      </c>
      <c r="N14" s="623">
        <v>0</v>
      </c>
      <c r="O14" s="624">
        <v>0</v>
      </c>
      <c r="P14" s="624">
        <v>0</v>
      </c>
      <c r="Q14" s="785" t="e">
        <f t="shared" si="0"/>
        <v>#DIV/0!</v>
      </c>
      <c r="R14" s="468" t="s">
        <v>1719</v>
      </c>
      <c r="S14" s="629"/>
    </row>
    <row r="15" spans="1:19" ht="15" x14ac:dyDescent="0.25">
      <c r="A15" s="621" t="s">
        <v>351</v>
      </c>
      <c r="B15" s="466" t="s">
        <v>111</v>
      </c>
      <c r="C15" s="631" t="s">
        <v>738</v>
      </c>
      <c r="D15" s="632" t="s">
        <v>866</v>
      </c>
      <c r="E15" s="474"/>
      <c r="F15" s="469" t="s">
        <v>112</v>
      </c>
      <c r="G15" s="470" t="s">
        <v>113</v>
      </c>
      <c r="H15" s="622" t="s">
        <v>912</v>
      </c>
      <c r="I15" s="471" t="s">
        <v>114</v>
      </c>
      <c r="J15" s="471" t="s">
        <v>913</v>
      </c>
      <c r="K15" s="469">
        <v>100</v>
      </c>
      <c r="L15" s="473"/>
      <c r="M15" s="623">
        <v>0</v>
      </c>
      <c r="N15" s="623">
        <v>0</v>
      </c>
      <c r="O15" s="624">
        <v>0</v>
      </c>
      <c r="P15" s="624">
        <v>0</v>
      </c>
      <c r="Q15" s="785" t="e">
        <f t="shared" si="0"/>
        <v>#DIV/0!</v>
      </c>
      <c r="R15" s="468" t="s">
        <v>1719</v>
      </c>
      <c r="S15" s="629"/>
    </row>
    <row r="16" spans="1:19" ht="15" x14ac:dyDescent="0.25">
      <c r="A16" s="621" t="s">
        <v>351</v>
      </c>
      <c r="B16" s="466" t="s">
        <v>111</v>
      </c>
      <c r="C16" s="631" t="s">
        <v>738</v>
      </c>
      <c r="D16" s="632" t="s">
        <v>869</v>
      </c>
      <c r="E16" s="474"/>
      <c r="F16" s="469" t="s">
        <v>112</v>
      </c>
      <c r="G16" s="470" t="s">
        <v>113</v>
      </c>
      <c r="H16" s="622" t="s">
        <v>912</v>
      </c>
      <c r="I16" s="471" t="s">
        <v>114</v>
      </c>
      <c r="J16" s="471" t="s">
        <v>913</v>
      </c>
      <c r="K16" s="469">
        <v>100</v>
      </c>
      <c r="L16" s="473"/>
      <c r="M16" s="623">
        <v>7</v>
      </c>
      <c r="N16" s="623">
        <v>7</v>
      </c>
      <c r="O16" s="624">
        <v>1</v>
      </c>
      <c r="P16" s="624">
        <v>1</v>
      </c>
      <c r="Q16" s="785">
        <f t="shared" si="0"/>
        <v>1</v>
      </c>
      <c r="R16" s="468" t="s">
        <v>1718</v>
      </c>
      <c r="S16" s="629"/>
    </row>
    <row r="17" spans="1:19" ht="15" x14ac:dyDescent="0.25">
      <c r="A17" s="621" t="s">
        <v>351</v>
      </c>
      <c r="B17" s="466" t="s">
        <v>111</v>
      </c>
      <c r="C17" s="631" t="s">
        <v>101</v>
      </c>
      <c r="D17" s="632" t="s">
        <v>889</v>
      </c>
      <c r="E17" s="474"/>
      <c r="F17" s="469" t="s">
        <v>112</v>
      </c>
      <c r="G17" s="470" t="s">
        <v>113</v>
      </c>
      <c r="H17" s="622" t="s">
        <v>914</v>
      </c>
      <c r="I17" s="471" t="s">
        <v>114</v>
      </c>
      <c r="J17" s="471" t="s">
        <v>913</v>
      </c>
      <c r="K17" s="469">
        <v>100</v>
      </c>
      <c r="L17" s="473"/>
      <c r="M17" s="623">
        <v>112</v>
      </c>
      <c r="N17" s="623">
        <v>112</v>
      </c>
      <c r="O17" s="624">
        <v>1</v>
      </c>
      <c r="P17" s="624">
        <v>1</v>
      </c>
      <c r="Q17" s="785">
        <f t="shared" si="0"/>
        <v>1</v>
      </c>
      <c r="R17" s="468" t="s">
        <v>1718</v>
      </c>
      <c r="S17" s="629"/>
    </row>
    <row r="18" spans="1:19" ht="15" x14ac:dyDescent="0.25">
      <c r="A18" s="621" t="s">
        <v>351</v>
      </c>
      <c r="B18" s="466" t="s">
        <v>111</v>
      </c>
      <c r="C18" s="631" t="s">
        <v>101</v>
      </c>
      <c r="D18" s="632" t="s">
        <v>881</v>
      </c>
      <c r="E18" s="474"/>
      <c r="F18" s="469" t="s">
        <v>112</v>
      </c>
      <c r="G18" s="470" t="s">
        <v>113</v>
      </c>
      <c r="H18" s="622" t="s">
        <v>912</v>
      </c>
      <c r="I18" s="471" t="s">
        <v>114</v>
      </c>
      <c r="J18" s="471" t="s">
        <v>913</v>
      </c>
      <c r="K18" s="469">
        <v>100</v>
      </c>
      <c r="L18" s="473"/>
      <c r="M18" s="623">
        <v>9</v>
      </c>
      <c r="N18" s="623">
        <v>9</v>
      </c>
      <c r="O18" s="624">
        <v>1</v>
      </c>
      <c r="P18" s="624">
        <v>1</v>
      </c>
      <c r="Q18" s="785">
        <f t="shared" si="0"/>
        <v>1</v>
      </c>
      <c r="R18" s="468" t="s">
        <v>1718</v>
      </c>
      <c r="S18" s="629"/>
    </row>
    <row r="19" spans="1:19" ht="15" x14ac:dyDescent="0.25">
      <c r="A19" s="621" t="s">
        <v>351</v>
      </c>
      <c r="B19" s="466" t="s">
        <v>111</v>
      </c>
      <c r="C19" s="631" t="s">
        <v>101</v>
      </c>
      <c r="D19" s="632" t="s">
        <v>883</v>
      </c>
      <c r="E19" s="474"/>
      <c r="F19" s="469" t="s">
        <v>112</v>
      </c>
      <c r="G19" s="470" t="s">
        <v>113</v>
      </c>
      <c r="H19" s="622" t="s">
        <v>912</v>
      </c>
      <c r="I19" s="471" t="s">
        <v>114</v>
      </c>
      <c r="J19" s="471" t="s">
        <v>913</v>
      </c>
      <c r="K19" s="469">
        <v>100</v>
      </c>
      <c r="L19" s="473"/>
      <c r="M19" s="623">
        <v>0</v>
      </c>
      <c r="N19" s="623">
        <v>0</v>
      </c>
      <c r="O19" s="624">
        <v>0</v>
      </c>
      <c r="P19" s="624">
        <v>0</v>
      </c>
      <c r="Q19" s="785" t="e">
        <f t="shared" si="0"/>
        <v>#DIV/0!</v>
      </c>
      <c r="R19" s="468" t="s">
        <v>1719</v>
      </c>
      <c r="S19" s="629"/>
    </row>
    <row r="20" spans="1:19" ht="15" x14ac:dyDescent="0.25">
      <c r="A20" s="621" t="s">
        <v>351</v>
      </c>
      <c r="B20" s="466" t="s">
        <v>111</v>
      </c>
      <c r="C20" s="631" t="s">
        <v>101</v>
      </c>
      <c r="D20" s="632" t="s">
        <v>866</v>
      </c>
      <c r="E20" s="474"/>
      <c r="F20" s="469" t="s">
        <v>112</v>
      </c>
      <c r="G20" s="470" t="s">
        <v>113</v>
      </c>
      <c r="H20" s="622" t="s">
        <v>912</v>
      </c>
      <c r="I20" s="471" t="s">
        <v>114</v>
      </c>
      <c r="J20" s="471" t="s">
        <v>913</v>
      </c>
      <c r="K20" s="469">
        <v>100</v>
      </c>
      <c r="L20" s="473"/>
      <c r="M20" s="623">
        <v>13</v>
      </c>
      <c r="N20" s="623">
        <v>13</v>
      </c>
      <c r="O20" s="624">
        <v>1</v>
      </c>
      <c r="P20" s="624">
        <v>1</v>
      </c>
      <c r="Q20" s="785">
        <f t="shared" si="0"/>
        <v>1</v>
      </c>
      <c r="R20" s="468" t="s">
        <v>1718</v>
      </c>
      <c r="S20" s="629"/>
    </row>
    <row r="21" spans="1:19" ht="15" x14ac:dyDescent="0.25">
      <c r="A21" s="621" t="s">
        <v>351</v>
      </c>
      <c r="B21" s="466" t="s">
        <v>111</v>
      </c>
      <c r="C21" s="631" t="s">
        <v>101</v>
      </c>
      <c r="D21" s="632" t="s">
        <v>869</v>
      </c>
      <c r="E21" s="474"/>
      <c r="F21" s="469" t="s">
        <v>112</v>
      </c>
      <c r="G21" s="470" t="s">
        <v>113</v>
      </c>
      <c r="H21" s="622" t="s">
        <v>912</v>
      </c>
      <c r="I21" s="471" t="s">
        <v>114</v>
      </c>
      <c r="J21" s="471" t="s">
        <v>913</v>
      </c>
      <c r="K21" s="469">
        <v>100</v>
      </c>
      <c r="L21" s="473"/>
      <c r="M21" s="623">
        <v>0</v>
      </c>
      <c r="N21" s="623">
        <v>0</v>
      </c>
      <c r="O21" s="624">
        <v>0</v>
      </c>
      <c r="P21" s="624">
        <v>0</v>
      </c>
      <c r="Q21" s="785" t="e">
        <f t="shared" si="0"/>
        <v>#DIV/0!</v>
      </c>
      <c r="R21" s="468" t="s">
        <v>1719</v>
      </c>
      <c r="S21" s="629"/>
    </row>
    <row r="22" spans="1:19" ht="15" x14ac:dyDescent="0.25">
      <c r="A22" s="621" t="s">
        <v>351</v>
      </c>
      <c r="B22" s="466" t="s">
        <v>111</v>
      </c>
      <c r="C22" s="631" t="s">
        <v>885</v>
      </c>
      <c r="D22" s="632" t="s">
        <v>889</v>
      </c>
      <c r="E22" s="474"/>
      <c r="F22" s="469" t="s">
        <v>112</v>
      </c>
      <c r="G22" s="470" t="s">
        <v>113</v>
      </c>
      <c r="H22" s="622" t="s">
        <v>914</v>
      </c>
      <c r="I22" s="471" t="s">
        <v>114</v>
      </c>
      <c r="J22" s="471" t="s">
        <v>913</v>
      </c>
      <c r="K22" s="469">
        <v>100</v>
      </c>
      <c r="L22" s="473"/>
      <c r="M22" s="623">
        <v>0</v>
      </c>
      <c r="N22" s="623">
        <v>0</v>
      </c>
      <c r="O22" s="624">
        <v>0</v>
      </c>
      <c r="P22" s="624">
        <v>0</v>
      </c>
      <c r="Q22" s="785" t="e">
        <f t="shared" si="0"/>
        <v>#DIV/0!</v>
      </c>
      <c r="R22" s="468" t="s">
        <v>1719</v>
      </c>
      <c r="S22" s="629"/>
    </row>
    <row r="23" spans="1:19" ht="15" x14ac:dyDescent="0.25">
      <c r="A23" s="621" t="s">
        <v>351</v>
      </c>
      <c r="B23" s="466" t="s">
        <v>111</v>
      </c>
      <c r="C23" s="631" t="s">
        <v>885</v>
      </c>
      <c r="D23" s="632" t="s">
        <v>881</v>
      </c>
      <c r="E23" s="474"/>
      <c r="F23" s="469" t="s">
        <v>112</v>
      </c>
      <c r="G23" s="470" t="s">
        <v>113</v>
      </c>
      <c r="H23" s="622" t="s">
        <v>912</v>
      </c>
      <c r="I23" s="471" t="s">
        <v>114</v>
      </c>
      <c r="J23" s="471" t="s">
        <v>913</v>
      </c>
      <c r="K23" s="469">
        <v>100</v>
      </c>
      <c r="L23" s="473"/>
      <c r="M23" s="623">
        <v>5</v>
      </c>
      <c r="N23" s="623">
        <v>5</v>
      </c>
      <c r="O23" s="624">
        <v>1</v>
      </c>
      <c r="P23" s="624">
        <v>1</v>
      </c>
      <c r="Q23" s="785">
        <f t="shared" si="0"/>
        <v>1</v>
      </c>
      <c r="R23" s="468" t="s">
        <v>1718</v>
      </c>
      <c r="S23" s="629"/>
    </row>
    <row r="24" spans="1:19" ht="15" x14ac:dyDescent="0.25">
      <c r="A24" s="621" t="s">
        <v>351</v>
      </c>
      <c r="B24" s="466" t="s">
        <v>111</v>
      </c>
      <c r="C24" s="631" t="s">
        <v>885</v>
      </c>
      <c r="D24" s="632" t="s">
        <v>883</v>
      </c>
      <c r="E24" s="474"/>
      <c r="F24" s="469" t="s">
        <v>112</v>
      </c>
      <c r="G24" s="470" t="s">
        <v>113</v>
      </c>
      <c r="H24" s="622" t="s">
        <v>912</v>
      </c>
      <c r="I24" s="471" t="s">
        <v>114</v>
      </c>
      <c r="J24" s="471" t="s">
        <v>913</v>
      </c>
      <c r="K24" s="469">
        <v>100</v>
      </c>
      <c r="L24" s="473"/>
      <c r="M24" s="623">
        <v>5</v>
      </c>
      <c r="N24" s="623">
        <v>5</v>
      </c>
      <c r="O24" s="624">
        <v>1</v>
      </c>
      <c r="P24" s="624">
        <v>1</v>
      </c>
      <c r="Q24" s="785">
        <f t="shared" si="0"/>
        <v>1</v>
      </c>
      <c r="R24" s="468" t="s">
        <v>1718</v>
      </c>
      <c r="S24" s="629"/>
    </row>
    <row r="25" spans="1:19" ht="15" x14ac:dyDescent="0.25">
      <c r="A25" s="621" t="s">
        <v>351</v>
      </c>
      <c r="B25" s="466" t="s">
        <v>111</v>
      </c>
      <c r="C25" s="631" t="s">
        <v>885</v>
      </c>
      <c r="D25" s="632" t="s">
        <v>866</v>
      </c>
      <c r="E25" s="474"/>
      <c r="F25" s="469" t="s">
        <v>112</v>
      </c>
      <c r="G25" s="470" t="s">
        <v>113</v>
      </c>
      <c r="H25" s="622" t="s">
        <v>912</v>
      </c>
      <c r="I25" s="471" t="s">
        <v>114</v>
      </c>
      <c r="J25" s="471" t="s">
        <v>913</v>
      </c>
      <c r="K25" s="469">
        <v>100</v>
      </c>
      <c r="L25" s="473"/>
      <c r="M25" s="623">
        <v>0</v>
      </c>
      <c r="N25" s="623">
        <v>0</v>
      </c>
      <c r="O25" s="624">
        <v>0</v>
      </c>
      <c r="P25" s="624">
        <v>0</v>
      </c>
      <c r="Q25" s="785" t="e">
        <f t="shared" si="0"/>
        <v>#DIV/0!</v>
      </c>
      <c r="R25" s="468" t="s">
        <v>1719</v>
      </c>
      <c r="S25" s="629"/>
    </row>
    <row r="26" spans="1:19" ht="15" x14ac:dyDescent="0.25">
      <c r="A26" s="621" t="s">
        <v>351</v>
      </c>
      <c r="B26" s="466" t="s">
        <v>111</v>
      </c>
      <c r="C26" s="631" t="s">
        <v>885</v>
      </c>
      <c r="D26" s="632" t="s">
        <v>869</v>
      </c>
      <c r="E26" s="474"/>
      <c r="F26" s="469" t="s">
        <v>112</v>
      </c>
      <c r="G26" s="470" t="s">
        <v>113</v>
      </c>
      <c r="H26" s="622" t="s">
        <v>912</v>
      </c>
      <c r="I26" s="471" t="s">
        <v>114</v>
      </c>
      <c r="J26" s="471" t="s">
        <v>913</v>
      </c>
      <c r="K26" s="469">
        <v>100</v>
      </c>
      <c r="L26" s="473"/>
      <c r="M26" s="623">
        <v>12</v>
      </c>
      <c r="N26" s="623">
        <v>12</v>
      </c>
      <c r="O26" s="624">
        <v>1</v>
      </c>
      <c r="P26" s="624">
        <v>1</v>
      </c>
      <c r="Q26" s="785">
        <f t="shared" si="0"/>
        <v>1</v>
      </c>
      <c r="R26" s="468" t="s">
        <v>1718</v>
      </c>
      <c r="S26" s="629"/>
    </row>
    <row r="27" spans="1:19" ht="15" x14ac:dyDescent="0.25">
      <c r="A27" s="621" t="s">
        <v>351</v>
      </c>
      <c r="B27" s="466" t="s">
        <v>111</v>
      </c>
      <c r="C27" s="631" t="s">
        <v>885</v>
      </c>
      <c r="D27" s="632" t="s">
        <v>887</v>
      </c>
      <c r="E27" s="474"/>
      <c r="F27" s="469" t="s">
        <v>112</v>
      </c>
      <c r="G27" s="470" t="s">
        <v>113</v>
      </c>
      <c r="H27" s="622" t="s">
        <v>912</v>
      </c>
      <c r="I27" s="471" t="s">
        <v>114</v>
      </c>
      <c r="J27" s="471" t="s">
        <v>913</v>
      </c>
      <c r="K27" s="469">
        <v>100</v>
      </c>
      <c r="L27" s="473"/>
      <c r="M27" s="623">
        <v>20</v>
      </c>
      <c r="N27" s="623">
        <v>20</v>
      </c>
      <c r="O27" s="624">
        <v>1</v>
      </c>
      <c r="P27" s="624">
        <v>1</v>
      </c>
      <c r="Q27" s="785">
        <f t="shared" si="0"/>
        <v>1</v>
      </c>
      <c r="R27" s="468" t="s">
        <v>1718</v>
      </c>
      <c r="S27" s="629"/>
    </row>
    <row r="28" spans="1:19" ht="15" x14ac:dyDescent="0.25">
      <c r="A28" s="621" t="s">
        <v>351</v>
      </c>
      <c r="B28" s="466" t="s">
        <v>111</v>
      </c>
      <c r="C28" s="631" t="s">
        <v>904</v>
      </c>
      <c r="D28" s="632" t="s">
        <v>881</v>
      </c>
      <c r="E28" s="474"/>
      <c r="F28" s="469" t="s">
        <v>112</v>
      </c>
      <c r="G28" s="470" t="s">
        <v>113</v>
      </c>
      <c r="H28" s="622" t="s">
        <v>912</v>
      </c>
      <c r="I28" s="471" t="s">
        <v>114</v>
      </c>
      <c r="J28" s="471" t="s">
        <v>913</v>
      </c>
      <c r="K28" s="469">
        <v>100</v>
      </c>
      <c r="L28" s="473"/>
      <c r="M28" s="623">
        <v>0</v>
      </c>
      <c r="N28" s="623">
        <v>0</v>
      </c>
      <c r="O28" s="624">
        <v>0</v>
      </c>
      <c r="P28" s="624">
        <v>0</v>
      </c>
      <c r="Q28" s="785" t="e">
        <f t="shared" si="0"/>
        <v>#DIV/0!</v>
      </c>
      <c r="R28" s="468" t="s">
        <v>1719</v>
      </c>
      <c r="S28" s="629"/>
    </row>
    <row r="29" spans="1:19" ht="15" x14ac:dyDescent="0.25">
      <c r="A29" s="621" t="s">
        <v>351</v>
      </c>
      <c r="B29" s="466" t="s">
        <v>111</v>
      </c>
      <c r="C29" s="631" t="s">
        <v>904</v>
      </c>
      <c r="D29" s="632" t="s">
        <v>883</v>
      </c>
      <c r="E29" s="474"/>
      <c r="F29" s="469" t="s">
        <v>112</v>
      </c>
      <c r="G29" s="470" t="s">
        <v>113</v>
      </c>
      <c r="H29" s="622" t="s">
        <v>912</v>
      </c>
      <c r="I29" s="471" t="s">
        <v>114</v>
      </c>
      <c r="J29" s="471" t="s">
        <v>913</v>
      </c>
      <c r="K29" s="469">
        <v>100</v>
      </c>
      <c r="L29" s="473"/>
      <c r="M29" s="623">
        <v>1</v>
      </c>
      <c r="N29" s="623">
        <v>1</v>
      </c>
      <c r="O29" s="624">
        <v>1</v>
      </c>
      <c r="P29" s="624">
        <v>1</v>
      </c>
      <c r="Q29" s="785">
        <f t="shared" si="0"/>
        <v>1</v>
      </c>
      <c r="R29" s="468" t="s">
        <v>1718</v>
      </c>
      <c r="S29" s="629"/>
    </row>
    <row r="30" spans="1:19" ht="15" x14ac:dyDescent="0.25">
      <c r="A30" s="621" t="s">
        <v>351</v>
      </c>
      <c r="B30" s="466" t="s">
        <v>111</v>
      </c>
      <c r="C30" s="631" t="s">
        <v>740</v>
      </c>
      <c r="D30" s="632" t="s">
        <v>889</v>
      </c>
      <c r="E30" s="474"/>
      <c r="F30" s="469" t="s">
        <v>112</v>
      </c>
      <c r="G30" s="470" t="s">
        <v>113</v>
      </c>
      <c r="H30" s="622" t="s">
        <v>914</v>
      </c>
      <c r="I30" s="471" t="s">
        <v>114</v>
      </c>
      <c r="J30" s="471" t="s">
        <v>913</v>
      </c>
      <c r="K30" s="469">
        <v>100</v>
      </c>
      <c r="L30" s="473"/>
      <c r="M30" s="623">
        <v>37</v>
      </c>
      <c r="N30" s="623">
        <v>37</v>
      </c>
      <c r="O30" s="624">
        <v>1</v>
      </c>
      <c r="P30" s="624">
        <v>1</v>
      </c>
      <c r="Q30" s="785">
        <f t="shared" si="0"/>
        <v>1</v>
      </c>
      <c r="R30" s="468" t="s">
        <v>1718</v>
      </c>
      <c r="S30" s="629"/>
    </row>
    <row r="31" spans="1:19" ht="15" x14ac:dyDescent="0.25">
      <c r="A31" s="621" t="s">
        <v>351</v>
      </c>
      <c r="B31" s="466" t="s">
        <v>111</v>
      </c>
      <c r="C31" s="631" t="s">
        <v>740</v>
      </c>
      <c r="D31" s="632" t="s">
        <v>881</v>
      </c>
      <c r="E31" s="474"/>
      <c r="F31" s="469" t="s">
        <v>112</v>
      </c>
      <c r="G31" s="470" t="s">
        <v>113</v>
      </c>
      <c r="H31" s="622" t="s">
        <v>912</v>
      </c>
      <c r="I31" s="471" t="s">
        <v>114</v>
      </c>
      <c r="J31" s="471" t="s">
        <v>913</v>
      </c>
      <c r="K31" s="469">
        <v>100</v>
      </c>
      <c r="L31" s="473"/>
      <c r="M31" s="623">
        <v>4</v>
      </c>
      <c r="N31" s="623">
        <v>4</v>
      </c>
      <c r="O31" s="624">
        <v>1</v>
      </c>
      <c r="P31" s="624">
        <v>1</v>
      </c>
      <c r="Q31" s="785">
        <f t="shared" si="0"/>
        <v>1</v>
      </c>
      <c r="R31" s="468" t="s">
        <v>1718</v>
      </c>
      <c r="S31" s="629"/>
    </row>
    <row r="32" spans="1:19" ht="15" x14ac:dyDescent="0.25">
      <c r="A32" s="621" t="s">
        <v>351</v>
      </c>
      <c r="B32" s="466" t="s">
        <v>111</v>
      </c>
      <c r="C32" s="631" t="s">
        <v>740</v>
      </c>
      <c r="D32" s="632" t="s">
        <v>883</v>
      </c>
      <c r="E32" s="474"/>
      <c r="F32" s="469" t="s">
        <v>112</v>
      </c>
      <c r="G32" s="470" t="s">
        <v>113</v>
      </c>
      <c r="H32" s="622" t="s">
        <v>912</v>
      </c>
      <c r="I32" s="471" t="s">
        <v>114</v>
      </c>
      <c r="J32" s="471" t="s">
        <v>913</v>
      </c>
      <c r="K32" s="469">
        <v>100</v>
      </c>
      <c r="L32" s="473"/>
      <c r="M32" s="623">
        <v>0</v>
      </c>
      <c r="N32" s="623">
        <v>0</v>
      </c>
      <c r="O32" s="624">
        <v>0</v>
      </c>
      <c r="P32" s="624">
        <v>0</v>
      </c>
      <c r="Q32" s="785" t="e">
        <f t="shared" si="0"/>
        <v>#DIV/0!</v>
      </c>
      <c r="R32" s="468" t="s">
        <v>1719</v>
      </c>
      <c r="S32" s="629"/>
    </row>
    <row r="33" spans="1:19" ht="15" x14ac:dyDescent="0.25">
      <c r="A33" s="621" t="s">
        <v>351</v>
      </c>
      <c r="B33" s="466" t="s">
        <v>111</v>
      </c>
      <c r="C33" s="631" t="s">
        <v>894</v>
      </c>
      <c r="D33" s="632" t="s">
        <v>889</v>
      </c>
      <c r="E33" s="474"/>
      <c r="F33" s="469" t="s">
        <v>112</v>
      </c>
      <c r="G33" s="470" t="s">
        <v>113</v>
      </c>
      <c r="H33" s="622" t="s">
        <v>914</v>
      </c>
      <c r="I33" s="471" t="s">
        <v>114</v>
      </c>
      <c r="J33" s="471" t="s">
        <v>913</v>
      </c>
      <c r="K33" s="469">
        <v>100</v>
      </c>
      <c r="L33" s="473"/>
      <c r="M33" s="623">
        <v>543</v>
      </c>
      <c r="N33" s="623">
        <v>543</v>
      </c>
      <c r="O33" s="624">
        <v>1</v>
      </c>
      <c r="P33" s="624">
        <v>1</v>
      </c>
      <c r="Q33" s="785">
        <f t="shared" si="0"/>
        <v>1</v>
      </c>
      <c r="R33" s="468" t="s">
        <v>1718</v>
      </c>
      <c r="S33" s="629"/>
    </row>
    <row r="34" spans="1:19" ht="15" x14ac:dyDescent="0.25">
      <c r="A34" s="621" t="s">
        <v>351</v>
      </c>
      <c r="B34" s="466" t="s">
        <v>111</v>
      </c>
      <c r="C34" s="631" t="s">
        <v>894</v>
      </c>
      <c r="D34" s="632" t="s">
        <v>881</v>
      </c>
      <c r="E34" s="474"/>
      <c r="F34" s="469" t="s">
        <v>112</v>
      </c>
      <c r="G34" s="470" t="s">
        <v>113</v>
      </c>
      <c r="H34" s="622" t="s">
        <v>912</v>
      </c>
      <c r="I34" s="471" t="s">
        <v>114</v>
      </c>
      <c r="J34" s="471" t="s">
        <v>913</v>
      </c>
      <c r="K34" s="469">
        <v>100</v>
      </c>
      <c r="L34" s="473"/>
      <c r="M34" s="623">
        <v>78</v>
      </c>
      <c r="N34" s="623">
        <v>78</v>
      </c>
      <c r="O34" s="624">
        <v>1</v>
      </c>
      <c r="P34" s="624">
        <v>1</v>
      </c>
      <c r="Q34" s="785">
        <f t="shared" si="0"/>
        <v>1</v>
      </c>
      <c r="R34" s="468" t="s">
        <v>1718</v>
      </c>
      <c r="S34" s="629"/>
    </row>
    <row r="35" spans="1:19" ht="15" x14ac:dyDescent="0.25">
      <c r="A35" s="621" t="s">
        <v>351</v>
      </c>
      <c r="B35" s="466" t="s">
        <v>111</v>
      </c>
      <c r="C35" s="631" t="s">
        <v>894</v>
      </c>
      <c r="D35" s="632" t="s">
        <v>883</v>
      </c>
      <c r="E35" s="474"/>
      <c r="F35" s="469" t="s">
        <v>112</v>
      </c>
      <c r="G35" s="470" t="s">
        <v>113</v>
      </c>
      <c r="H35" s="622" t="s">
        <v>912</v>
      </c>
      <c r="I35" s="471" t="s">
        <v>114</v>
      </c>
      <c r="J35" s="471" t="s">
        <v>913</v>
      </c>
      <c r="K35" s="469">
        <v>100</v>
      </c>
      <c r="L35" s="473"/>
      <c r="M35" s="623">
        <v>25</v>
      </c>
      <c r="N35" s="623">
        <v>25</v>
      </c>
      <c r="O35" s="624">
        <v>1</v>
      </c>
      <c r="P35" s="624">
        <v>1</v>
      </c>
      <c r="Q35" s="785">
        <f t="shared" si="0"/>
        <v>1</v>
      </c>
      <c r="R35" s="468" t="s">
        <v>1718</v>
      </c>
      <c r="S35" s="629"/>
    </row>
    <row r="36" spans="1:19" ht="15" x14ac:dyDescent="0.25">
      <c r="A36" s="621" t="s">
        <v>351</v>
      </c>
      <c r="B36" s="466" t="s">
        <v>111</v>
      </c>
      <c r="C36" s="631" t="s">
        <v>894</v>
      </c>
      <c r="D36" s="632" t="s">
        <v>869</v>
      </c>
      <c r="E36" s="474"/>
      <c r="F36" s="469" t="s">
        <v>112</v>
      </c>
      <c r="G36" s="470" t="s">
        <v>113</v>
      </c>
      <c r="H36" s="622" t="s">
        <v>912</v>
      </c>
      <c r="I36" s="471" t="s">
        <v>114</v>
      </c>
      <c r="J36" s="471" t="s">
        <v>913</v>
      </c>
      <c r="K36" s="469">
        <v>100</v>
      </c>
      <c r="L36" s="473"/>
      <c r="M36" s="623">
        <v>0</v>
      </c>
      <c r="N36" s="623">
        <v>0</v>
      </c>
      <c r="O36" s="624">
        <v>0</v>
      </c>
      <c r="P36" s="624">
        <v>0</v>
      </c>
      <c r="Q36" s="785" t="e">
        <f t="shared" si="0"/>
        <v>#DIV/0!</v>
      </c>
      <c r="R36" s="468" t="s">
        <v>1719</v>
      </c>
      <c r="S36" s="629"/>
    </row>
    <row r="37" spans="1:19" ht="15" x14ac:dyDescent="0.25">
      <c r="A37" s="621" t="s">
        <v>351</v>
      </c>
      <c r="B37" s="466" t="s">
        <v>111</v>
      </c>
      <c r="C37" s="466" t="s">
        <v>911</v>
      </c>
      <c r="D37" s="467" t="s">
        <v>911</v>
      </c>
      <c r="E37" s="474" t="s">
        <v>1718</v>
      </c>
      <c r="F37" s="469" t="s">
        <v>112</v>
      </c>
      <c r="G37" s="470" t="s">
        <v>1789</v>
      </c>
      <c r="H37" s="472" t="s">
        <v>7</v>
      </c>
      <c r="I37" s="472" t="s">
        <v>7</v>
      </c>
      <c r="J37" s="472" t="s">
        <v>7</v>
      </c>
      <c r="K37" s="639" t="s">
        <v>7</v>
      </c>
      <c r="L37" s="473"/>
      <c r="M37" s="623">
        <v>0</v>
      </c>
      <c r="N37" s="623">
        <v>0</v>
      </c>
      <c r="O37" s="624">
        <v>0</v>
      </c>
      <c r="P37" s="624">
        <v>0</v>
      </c>
      <c r="Q37" s="785" t="e">
        <f t="shared" si="0"/>
        <v>#VALUE!</v>
      </c>
      <c r="R37" s="468" t="s">
        <v>1719</v>
      </c>
      <c r="S37" s="629"/>
    </row>
    <row r="38" spans="1:19" ht="15" x14ac:dyDescent="0.25">
      <c r="A38" s="621" t="s">
        <v>351</v>
      </c>
      <c r="B38" s="466" t="s">
        <v>111</v>
      </c>
      <c r="C38" s="631" t="s">
        <v>99</v>
      </c>
      <c r="D38" s="467" t="s">
        <v>866</v>
      </c>
      <c r="E38" s="474" t="s">
        <v>1720</v>
      </c>
      <c r="F38" s="469" t="s">
        <v>112</v>
      </c>
      <c r="G38" s="470" t="s">
        <v>915</v>
      </c>
      <c r="H38" s="622" t="s">
        <v>916</v>
      </c>
      <c r="I38" s="633" t="s">
        <v>116</v>
      </c>
      <c r="J38" s="471" t="s">
        <v>913</v>
      </c>
      <c r="K38" s="469">
        <v>33</v>
      </c>
      <c r="L38" s="473"/>
      <c r="M38" s="623">
        <v>0</v>
      </c>
      <c r="N38" s="623">
        <v>0</v>
      </c>
      <c r="O38" s="624">
        <v>0</v>
      </c>
      <c r="P38" s="624">
        <v>0</v>
      </c>
      <c r="Q38" s="785" t="e">
        <f t="shared" si="0"/>
        <v>#DIV/0!</v>
      </c>
      <c r="R38" s="468" t="s">
        <v>1719</v>
      </c>
      <c r="S38" s="629"/>
    </row>
    <row r="39" spans="1:19" ht="15" x14ac:dyDescent="0.25">
      <c r="A39" s="621" t="s">
        <v>351</v>
      </c>
      <c r="B39" s="466" t="s">
        <v>111</v>
      </c>
      <c r="C39" s="631" t="s">
        <v>99</v>
      </c>
      <c r="D39" s="467" t="s">
        <v>869</v>
      </c>
      <c r="E39" s="474" t="s">
        <v>1720</v>
      </c>
      <c r="F39" s="469" t="s">
        <v>112</v>
      </c>
      <c r="G39" s="470" t="s">
        <v>915</v>
      </c>
      <c r="H39" s="622" t="s">
        <v>916</v>
      </c>
      <c r="I39" s="633" t="s">
        <v>116</v>
      </c>
      <c r="J39" s="471" t="s">
        <v>913</v>
      </c>
      <c r="K39" s="469">
        <v>33</v>
      </c>
      <c r="L39" s="473"/>
      <c r="M39" s="623">
        <v>14</v>
      </c>
      <c r="N39" s="623">
        <v>2</v>
      </c>
      <c r="O39" s="624">
        <v>0.14285714285714285</v>
      </c>
      <c r="P39" s="624">
        <v>0.14285714285714285</v>
      </c>
      <c r="Q39" s="785">
        <f t="shared" si="0"/>
        <v>0.4329004329004329</v>
      </c>
      <c r="R39" s="468" t="s">
        <v>1718</v>
      </c>
      <c r="S39" s="629"/>
    </row>
    <row r="40" spans="1:19" ht="15" x14ac:dyDescent="0.25">
      <c r="A40" s="621" t="s">
        <v>351</v>
      </c>
      <c r="B40" s="466" t="s">
        <v>111</v>
      </c>
      <c r="C40" s="631" t="s">
        <v>870</v>
      </c>
      <c r="D40" s="467" t="s">
        <v>889</v>
      </c>
      <c r="E40" s="474"/>
      <c r="F40" s="469" t="s">
        <v>112</v>
      </c>
      <c r="G40" s="470" t="s">
        <v>915</v>
      </c>
      <c r="H40" s="622" t="s">
        <v>917</v>
      </c>
      <c r="I40" s="633" t="s">
        <v>116</v>
      </c>
      <c r="J40" s="471" t="s">
        <v>913</v>
      </c>
      <c r="K40" s="469">
        <v>16</v>
      </c>
      <c r="L40" s="473"/>
      <c r="M40" s="623">
        <v>50</v>
      </c>
      <c r="N40" s="623">
        <v>4</v>
      </c>
      <c r="O40" s="624">
        <v>0.08</v>
      </c>
      <c r="P40" s="624">
        <v>0.08</v>
      </c>
      <c r="Q40" s="785">
        <f t="shared" si="0"/>
        <v>0.5</v>
      </c>
      <c r="R40" s="468" t="s">
        <v>1718</v>
      </c>
      <c r="S40" s="629"/>
    </row>
    <row r="41" spans="1:19" ht="15" x14ac:dyDescent="0.25">
      <c r="A41" s="621" t="s">
        <v>351</v>
      </c>
      <c r="B41" s="466" t="s">
        <v>111</v>
      </c>
      <c r="C41" s="631" t="s">
        <v>870</v>
      </c>
      <c r="D41" s="467" t="s">
        <v>881</v>
      </c>
      <c r="E41" s="474"/>
      <c r="F41" s="469" t="s">
        <v>112</v>
      </c>
      <c r="G41" s="470" t="s">
        <v>915</v>
      </c>
      <c r="H41" s="622" t="s">
        <v>916</v>
      </c>
      <c r="I41" s="633" t="s">
        <v>116</v>
      </c>
      <c r="J41" s="471" t="s">
        <v>913</v>
      </c>
      <c r="K41" s="469">
        <v>16</v>
      </c>
      <c r="L41" s="473"/>
      <c r="M41" s="623">
        <v>19</v>
      </c>
      <c r="N41" s="623">
        <v>3</v>
      </c>
      <c r="O41" s="624">
        <v>0.15789473684210525</v>
      </c>
      <c r="P41" s="624">
        <v>0.15789473684210525</v>
      </c>
      <c r="Q41" s="785">
        <f t="shared" si="0"/>
        <v>0.98684210526315785</v>
      </c>
      <c r="R41" s="468" t="s">
        <v>1718</v>
      </c>
      <c r="S41" s="629"/>
    </row>
    <row r="42" spans="1:19" ht="15" x14ac:dyDescent="0.25">
      <c r="A42" s="621" t="s">
        <v>351</v>
      </c>
      <c r="B42" s="466" t="s">
        <v>111</v>
      </c>
      <c r="C42" s="631" t="s">
        <v>870</v>
      </c>
      <c r="D42" s="467" t="s">
        <v>883</v>
      </c>
      <c r="E42" s="474"/>
      <c r="F42" s="469" t="s">
        <v>112</v>
      </c>
      <c r="G42" s="470" t="s">
        <v>915</v>
      </c>
      <c r="H42" s="622" t="s">
        <v>916</v>
      </c>
      <c r="I42" s="633" t="s">
        <v>116</v>
      </c>
      <c r="J42" s="471" t="s">
        <v>913</v>
      </c>
      <c r="K42" s="469">
        <v>6</v>
      </c>
      <c r="L42" s="473"/>
      <c r="M42" s="623">
        <v>39</v>
      </c>
      <c r="N42" s="623">
        <v>9</v>
      </c>
      <c r="O42" s="624">
        <v>0.23076923076923078</v>
      </c>
      <c r="P42" s="624">
        <v>0.23076923076923078</v>
      </c>
      <c r="Q42" s="785">
        <f t="shared" si="0"/>
        <v>3.8461538461538463</v>
      </c>
      <c r="R42" s="468" t="s">
        <v>1718</v>
      </c>
      <c r="S42" s="629"/>
    </row>
    <row r="43" spans="1:19" ht="15" x14ac:dyDescent="0.25">
      <c r="A43" s="621" t="s">
        <v>351</v>
      </c>
      <c r="B43" s="466" t="s">
        <v>111</v>
      </c>
      <c r="C43" s="631" t="s">
        <v>870</v>
      </c>
      <c r="D43" s="467" t="s">
        <v>866</v>
      </c>
      <c r="E43" s="474"/>
      <c r="F43" s="469" t="s">
        <v>112</v>
      </c>
      <c r="G43" s="470" t="s">
        <v>915</v>
      </c>
      <c r="H43" s="622" t="s">
        <v>916</v>
      </c>
      <c r="I43" s="633" t="s">
        <v>116</v>
      </c>
      <c r="J43" s="471" t="s">
        <v>913</v>
      </c>
      <c r="K43" s="469">
        <v>8</v>
      </c>
      <c r="L43" s="473"/>
      <c r="M43" s="623">
        <v>67</v>
      </c>
      <c r="N43" s="623">
        <v>17</v>
      </c>
      <c r="O43" s="624">
        <v>0.2537313432835821</v>
      </c>
      <c r="P43" s="624">
        <v>0.2537313432835821</v>
      </c>
      <c r="Q43" s="785">
        <f t="shared" si="0"/>
        <v>3.1716417910447761</v>
      </c>
      <c r="R43" s="468" t="s">
        <v>1718</v>
      </c>
      <c r="S43" s="629"/>
    </row>
    <row r="44" spans="1:19" ht="15" x14ac:dyDescent="0.25">
      <c r="A44" s="621" t="s">
        <v>351</v>
      </c>
      <c r="B44" s="466" t="s">
        <v>111</v>
      </c>
      <c r="C44" s="631" t="s">
        <v>870</v>
      </c>
      <c r="D44" s="467" t="s">
        <v>869</v>
      </c>
      <c r="E44" s="474"/>
      <c r="F44" s="469" t="s">
        <v>112</v>
      </c>
      <c r="G44" s="470" t="s">
        <v>915</v>
      </c>
      <c r="H44" s="622" t="s">
        <v>916</v>
      </c>
      <c r="I44" s="633" t="s">
        <v>116</v>
      </c>
      <c r="J44" s="471" t="s">
        <v>913</v>
      </c>
      <c r="K44" s="469">
        <v>5</v>
      </c>
      <c r="L44" s="473"/>
      <c r="M44" s="623">
        <v>46</v>
      </c>
      <c r="N44" s="623">
        <v>18</v>
      </c>
      <c r="O44" s="624">
        <v>0.39130434782608697</v>
      </c>
      <c r="P44" s="624">
        <v>0.39130434782608697</v>
      </c>
      <c r="Q44" s="785">
        <f t="shared" si="0"/>
        <v>7.8260869565217401</v>
      </c>
      <c r="R44" s="468" t="s">
        <v>1718</v>
      </c>
      <c r="S44" s="629"/>
    </row>
    <row r="45" spans="1:19" ht="15" x14ac:dyDescent="0.25">
      <c r="A45" s="621" t="s">
        <v>351</v>
      </c>
      <c r="B45" s="466" t="s">
        <v>111</v>
      </c>
      <c r="C45" s="631" t="s">
        <v>738</v>
      </c>
      <c r="D45" s="467" t="s">
        <v>889</v>
      </c>
      <c r="E45" s="474"/>
      <c r="F45" s="469" t="s">
        <v>112</v>
      </c>
      <c r="G45" s="470" t="s">
        <v>915</v>
      </c>
      <c r="H45" s="622" t="s">
        <v>917</v>
      </c>
      <c r="I45" s="633" t="s">
        <v>116</v>
      </c>
      <c r="J45" s="471" t="s">
        <v>913</v>
      </c>
      <c r="K45" s="469">
        <v>29</v>
      </c>
      <c r="L45" s="473"/>
      <c r="M45" s="623">
        <v>156</v>
      </c>
      <c r="N45" s="623">
        <v>7</v>
      </c>
      <c r="O45" s="624">
        <v>4.4871794871794872E-2</v>
      </c>
      <c r="P45" s="624">
        <v>4.4871794871794872E-2</v>
      </c>
      <c r="Q45" s="785">
        <f t="shared" si="0"/>
        <v>0.15473032714412024</v>
      </c>
      <c r="R45" s="468" t="s">
        <v>1718</v>
      </c>
      <c r="S45" s="629"/>
    </row>
    <row r="46" spans="1:19" ht="15" x14ac:dyDescent="0.25">
      <c r="A46" s="621" t="s">
        <v>351</v>
      </c>
      <c r="B46" s="466" t="s">
        <v>111</v>
      </c>
      <c r="C46" s="631" t="s">
        <v>738</v>
      </c>
      <c r="D46" s="467" t="s">
        <v>881</v>
      </c>
      <c r="E46" s="474" t="s">
        <v>1721</v>
      </c>
      <c r="F46" s="469" t="s">
        <v>112</v>
      </c>
      <c r="G46" s="470" t="s">
        <v>915</v>
      </c>
      <c r="H46" s="622" t="s">
        <v>916</v>
      </c>
      <c r="I46" s="633" t="s">
        <v>116</v>
      </c>
      <c r="J46" s="471" t="s">
        <v>913</v>
      </c>
      <c r="K46" s="469">
        <v>8</v>
      </c>
      <c r="L46" s="473"/>
      <c r="M46" s="623">
        <v>54</v>
      </c>
      <c r="N46" s="623">
        <v>6</v>
      </c>
      <c r="O46" s="624">
        <v>0.1111111111111111</v>
      </c>
      <c r="P46" s="624">
        <v>0.1111111111111111</v>
      </c>
      <c r="Q46" s="785">
        <f t="shared" si="0"/>
        <v>1.3888888888888888</v>
      </c>
      <c r="R46" s="468" t="s">
        <v>1718</v>
      </c>
      <c r="S46" s="629"/>
    </row>
    <row r="47" spans="1:19" ht="15" x14ac:dyDescent="0.25">
      <c r="A47" s="621" t="s">
        <v>351</v>
      </c>
      <c r="B47" s="466" t="s">
        <v>111</v>
      </c>
      <c r="C47" s="631" t="s">
        <v>738</v>
      </c>
      <c r="D47" s="467" t="s">
        <v>883</v>
      </c>
      <c r="E47" s="474" t="s">
        <v>1721</v>
      </c>
      <c r="F47" s="469" t="s">
        <v>112</v>
      </c>
      <c r="G47" s="470" t="s">
        <v>915</v>
      </c>
      <c r="H47" s="622" t="s">
        <v>916</v>
      </c>
      <c r="I47" s="633" t="s">
        <v>116</v>
      </c>
      <c r="J47" s="471" t="s">
        <v>913</v>
      </c>
      <c r="K47" s="469">
        <v>8</v>
      </c>
      <c r="L47" s="473"/>
      <c r="M47" s="623">
        <v>0</v>
      </c>
      <c r="N47" s="623">
        <v>0</v>
      </c>
      <c r="O47" s="624">
        <v>0</v>
      </c>
      <c r="P47" s="624">
        <v>0</v>
      </c>
      <c r="Q47" s="785" t="e">
        <f t="shared" si="0"/>
        <v>#DIV/0!</v>
      </c>
      <c r="R47" s="468" t="s">
        <v>1719</v>
      </c>
      <c r="S47" s="629"/>
    </row>
    <row r="48" spans="1:19" ht="15" x14ac:dyDescent="0.25">
      <c r="A48" s="621" t="s">
        <v>351</v>
      </c>
      <c r="B48" s="466" t="s">
        <v>111</v>
      </c>
      <c r="C48" s="631" t="s">
        <v>738</v>
      </c>
      <c r="D48" s="467" t="s">
        <v>866</v>
      </c>
      <c r="E48" s="474" t="s">
        <v>1722</v>
      </c>
      <c r="F48" s="469" t="s">
        <v>112</v>
      </c>
      <c r="G48" s="470" t="s">
        <v>915</v>
      </c>
      <c r="H48" s="622" t="s">
        <v>916</v>
      </c>
      <c r="I48" s="633" t="s">
        <v>116</v>
      </c>
      <c r="J48" s="471" t="s">
        <v>913</v>
      </c>
      <c r="K48" s="469">
        <v>8</v>
      </c>
      <c r="L48" s="473"/>
      <c r="M48" s="623">
        <v>0</v>
      </c>
      <c r="N48" s="623">
        <v>1</v>
      </c>
      <c r="O48" s="624">
        <v>0</v>
      </c>
      <c r="P48" s="624">
        <v>0</v>
      </c>
      <c r="Q48" s="785" t="e">
        <f t="shared" si="0"/>
        <v>#DIV/0!</v>
      </c>
      <c r="R48" s="468" t="s">
        <v>1719</v>
      </c>
      <c r="S48" s="629"/>
    </row>
    <row r="49" spans="1:19" ht="15" x14ac:dyDescent="0.25">
      <c r="A49" s="621" t="s">
        <v>351</v>
      </c>
      <c r="B49" s="466" t="s">
        <v>111</v>
      </c>
      <c r="C49" s="631" t="s">
        <v>738</v>
      </c>
      <c r="D49" s="467" t="s">
        <v>869</v>
      </c>
      <c r="E49" s="474" t="s">
        <v>1722</v>
      </c>
      <c r="F49" s="469" t="s">
        <v>112</v>
      </c>
      <c r="G49" s="470" t="s">
        <v>915</v>
      </c>
      <c r="H49" s="622" t="s">
        <v>916</v>
      </c>
      <c r="I49" s="633" t="s">
        <v>116</v>
      </c>
      <c r="J49" s="471" t="s">
        <v>913</v>
      </c>
      <c r="K49" s="469">
        <v>8</v>
      </c>
      <c r="L49" s="473"/>
      <c r="M49" s="623">
        <v>7</v>
      </c>
      <c r="N49" s="623">
        <v>2</v>
      </c>
      <c r="O49" s="624">
        <v>0.2857142857142857</v>
      </c>
      <c r="P49" s="624">
        <v>0.2857142857142857</v>
      </c>
      <c r="Q49" s="785">
        <f t="shared" si="0"/>
        <v>3.5714285714285712</v>
      </c>
      <c r="R49" s="468" t="s">
        <v>1718</v>
      </c>
      <c r="S49" s="629"/>
    </row>
    <row r="50" spans="1:19" ht="15" x14ac:dyDescent="0.25">
      <c r="A50" s="621" t="s">
        <v>351</v>
      </c>
      <c r="B50" s="466" t="s">
        <v>111</v>
      </c>
      <c r="C50" s="631" t="s">
        <v>101</v>
      </c>
      <c r="D50" s="467" t="s">
        <v>889</v>
      </c>
      <c r="E50" s="474"/>
      <c r="F50" s="469" t="s">
        <v>112</v>
      </c>
      <c r="G50" s="470" t="s">
        <v>915</v>
      </c>
      <c r="H50" s="622" t="s">
        <v>917</v>
      </c>
      <c r="I50" s="633" t="s">
        <v>116</v>
      </c>
      <c r="J50" s="471" t="s">
        <v>913</v>
      </c>
      <c r="K50" s="469">
        <v>17</v>
      </c>
      <c r="L50" s="473"/>
      <c r="M50" s="623">
        <v>112</v>
      </c>
      <c r="N50" s="623">
        <v>19</v>
      </c>
      <c r="O50" s="624">
        <v>0.16964285714285715</v>
      </c>
      <c r="P50" s="624">
        <v>0.16964285714285715</v>
      </c>
      <c r="Q50" s="785">
        <f t="shared" si="0"/>
        <v>0.99789915966386555</v>
      </c>
      <c r="R50" s="468" t="s">
        <v>1718</v>
      </c>
      <c r="S50" s="629"/>
    </row>
    <row r="51" spans="1:19" ht="15" x14ac:dyDescent="0.25">
      <c r="A51" s="621" t="s">
        <v>351</v>
      </c>
      <c r="B51" s="466" t="s">
        <v>111</v>
      </c>
      <c r="C51" s="631" t="s">
        <v>101</v>
      </c>
      <c r="D51" s="467" t="s">
        <v>881</v>
      </c>
      <c r="E51" s="474"/>
      <c r="F51" s="469" t="s">
        <v>112</v>
      </c>
      <c r="G51" s="470" t="s">
        <v>915</v>
      </c>
      <c r="H51" s="622" t="s">
        <v>916</v>
      </c>
      <c r="I51" s="633" t="s">
        <v>116</v>
      </c>
      <c r="J51" s="471" t="s">
        <v>913</v>
      </c>
      <c r="K51" s="469">
        <v>36</v>
      </c>
      <c r="L51" s="473"/>
      <c r="M51" s="623">
        <v>9</v>
      </c>
      <c r="N51" s="623">
        <v>2</v>
      </c>
      <c r="O51" s="624">
        <v>0.22222222222222221</v>
      </c>
      <c r="P51" s="624">
        <v>0.22222222222222221</v>
      </c>
      <c r="Q51" s="785">
        <f t="shared" si="0"/>
        <v>0.61728395061728392</v>
      </c>
      <c r="R51" s="468" t="s">
        <v>1718</v>
      </c>
      <c r="S51" s="629"/>
    </row>
    <row r="52" spans="1:19" ht="15" x14ac:dyDescent="0.25">
      <c r="A52" s="621" t="s">
        <v>351</v>
      </c>
      <c r="B52" s="466" t="s">
        <v>111</v>
      </c>
      <c r="C52" s="631" t="s">
        <v>101</v>
      </c>
      <c r="D52" s="467" t="s">
        <v>883</v>
      </c>
      <c r="E52" s="474" t="s">
        <v>1723</v>
      </c>
      <c r="F52" s="469" t="s">
        <v>112</v>
      </c>
      <c r="G52" s="470" t="s">
        <v>915</v>
      </c>
      <c r="H52" s="622" t="s">
        <v>916</v>
      </c>
      <c r="I52" s="633" t="s">
        <v>116</v>
      </c>
      <c r="J52" s="471" t="s">
        <v>913</v>
      </c>
      <c r="K52" s="469">
        <v>80</v>
      </c>
      <c r="L52" s="473"/>
      <c r="M52" s="623">
        <v>0</v>
      </c>
      <c r="N52" s="623">
        <v>0</v>
      </c>
      <c r="O52" s="624">
        <v>0</v>
      </c>
      <c r="P52" s="624">
        <v>0</v>
      </c>
      <c r="Q52" s="785" t="e">
        <f t="shared" si="0"/>
        <v>#DIV/0!</v>
      </c>
      <c r="R52" s="468" t="s">
        <v>1719</v>
      </c>
      <c r="S52" s="629"/>
    </row>
    <row r="53" spans="1:19" ht="15" x14ac:dyDescent="0.25">
      <c r="A53" s="621" t="s">
        <v>351</v>
      </c>
      <c r="B53" s="466" t="s">
        <v>111</v>
      </c>
      <c r="C53" s="631" t="s">
        <v>101</v>
      </c>
      <c r="D53" s="467" t="s">
        <v>866</v>
      </c>
      <c r="E53" s="474" t="s">
        <v>1723</v>
      </c>
      <c r="F53" s="469" t="s">
        <v>112</v>
      </c>
      <c r="G53" s="470" t="s">
        <v>915</v>
      </c>
      <c r="H53" s="622" t="s">
        <v>916</v>
      </c>
      <c r="I53" s="633" t="s">
        <v>116</v>
      </c>
      <c r="J53" s="471" t="s">
        <v>913</v>
      </c>
      <c r="K53" s="469" t="s">
        <v>79</v>
      </c>
      <c r="L53" s="473"/>
      <c r="M53" s="623">
        <v>13</v>
      </c>
      <c r="N53" s="623">
        <v>2</v>
      </c>
      <c r="O53" s="624">
        <v>0.15384615384615385</v>
      </c>
      <c r="P53" s="624">
        <v>0.15384615384615385</v>
      </c>
      <c r="Q53" s="785" t="e">
        <f t="shared" si="0"/>
        <v>#VALUE!</v>
      </c>
      <c r="R53" s="468" t="s">
        <v>1718</v>
      </c>
      <c r="S53" s="629"/>
    </row>
    <row r="54" spans="1:19" ht="15" x14ac:dyDescent="0.25">
      <c r="A54" s="621" t="s">
        <v>351</v>
      </c>
      <c r="B54" s="466" t="s">
        <v>111</v>
      </c>
      <c r="C54" s="631" t="s">
        <v>101</v>
      </c>
      <c r="D54" s="467" t="s">
        <v>869</v>
      </c>
      <c r="E54" s="474" t="s">
        <v>1723</v>
      </c>
      <c r="F54" s="469" t="s">
        <v>112</v>
      </c>
      <c r="G54" s="470" t="s">
        <v>915</v>
      </c>
      <c r="H54" s="622" t="s">
        <v>916</v>
      </c>
      <c r="I54" s="633" t="s">
        <v>116</v>
      </c>
      <c r="J54" s="471" t="s">
        <v>913</v>
      </c>
      <c r="K54" s="469" t="s">
        <v>79</v>
      </c>
      <c r="L54" s="473"/>
      <c r="M54" s="623">
        <v>0</v>
      </c>
      <c r="N54" s="623">
        <v>0</v>
      </c>
      <c r="O54" s="624">
        <v>0</v>
      </c>
      <c r="P54" s="624">
        <v>0</v>
      </c>
      <c r="Q54" s="785" t="e">
        <f t="shared" si="0"/>
        <v>#VALUE!</v>
      </c>
      <c r="R54" s="468" t="s">
        <v>1719</v>
      </c>
      <c r="S54" s="629"/>
    </row>
    <row r="55" spans="1:19" ht="15" x14ac:dyDescent="0.25">
      <c r="A55" s="621" t="s">
        <v>351</v>
      </c>
      <c r="B55" s="466" t="s">
        <v>111</v>
      </c>
      <c r="C55" s="631" t="s">
        <v>885</v>
      </c>
      <c r="D55" s="467" t="s">
        <v>889</v>
      </c>
      <c r="E55" s="474"/>
      <c r="F55" s="469" t="s">
        <v>112</v>
      </c>
      <c r="G55" s="470" t="s">
        <v>915</v>
      </c>
      <c r="H55" s="622" t="s">
        <v>917</v>
      </c>
      <c r="I55" s="633" t="s">
        <v>116</v>
      </c>
      <c r="J55" s="471" t="s">
        <v>913</v>
      </c>
      <c r="K55" s="469">
        <v>13</v>
      </c>
      <c r="L55" s="473"/>
      <c r="M55" s="623">
        <v>0</v>
      </c>
      <c r="N55" s="623">
        <v>0</v>
      </c>
      <c r="O55" s="624">
        <v>0</v>
      </c>
      <c r="P55" s="624">
        <v>0</v>
      </c>
      <c r="Q55" s="785" t="e">
        <f t="shared" si="0"/>
        <v>#DIV/0!</v>
      </c>
      <c r="R55" s="468" t="s">
        <v>1719</v>
      </c>
      <c r="S55" s="629"/>
    </row>
    <row r="56" spans="1:19" ht="15" x14ac:dyDescent="0.25">
      <c r="A56" s="621" t="s">
        <v>351</v>
      </c>
      <c r="B56" s="466" t="s">
        <v>111</v>
      </c>
      <c r="C56" s="631" t="s">
        <v>885</v>
      </c>
      <c r="D56" s="467" t="s">
        <v>881</v>
      </c>
      <c r="E56" s="474"/>
      <c r="F56" s="469" t="s">
        <v>112</v>
      </c>
      <c r="G56" s="470" t="s">
        <v>915</v>
      </c>
      <c r="H56" s="622" t="s">
        <v>916</v>
      </c>
      <c r="I56" s="633" t="s">
        <v>116</v>
      </c>
      <c r="J56" s="471" t="s">
        <v>913</v>
      </c>
      <c r="K56" s="469">
        <v>13</v>
      </c>
      <c r="L56" s="473"/>
      <c r="M56" s="623">
        <v>5</v>
      </c>
      <c r="N56" s="623">
        <v>0</v>
      </c>
      <c r="O56" s="624">
        <v>0</v>
      </c>
      <c r="P56" s="624">
        <v>0</v>
      </c>
      <c r="Q56" s="785">
        <f t="shared" si="0"/>
        <v>0</v>
      </c>
      <c r="R56" s="468" t="s">
        <v>1719</v>
      </c>
      <c r="S56" s="629"/>
    </row>
    <row r="57" spans="1:19" ht="15" x14ac:dyDescent="0.25">
      <c r="A57" s="621" t="s">
        <v>351</v>
      </c>
      <c r="B57" s="466" t="s">
        <v>111</v>
      </c>
      <c r="C57" s="631" t="s">
        <v>885</v>
      </c>
      <c r="D57" s="467" t="s">
        <v>883</v>
      </c>
      <c r="E57" s="474" t="s">
        <v>1724</v>
      </c>
      <c r="F57" s="469" t="s">
        <v>112</v>
      </c>
      <c r="G57" s="470" t="s">
        <v>915</v>
      </c>
      <c r="H57" s="622" t="s">
        <v>916</v>
      </c>
      <c r="I57" s="633" t="s">
        <v>116</v>
      </c>
      <c r="J57" s="471" t="s">
        <v>913</v>
      </c>
      <c r="K57" s="469" t="s">
        <v>79</v>
      </c>
      <c r="L57" s="473"/>
      <c r="M57" s="623">
        <v>5</v>
      </c>
      <c r="N57" s="623">
        <v>0</v>
      </c>
      <c r="O57" s="624">
        <v>0</v>
      </c>
      <c r="P57" s="624">
        <v>0</v>
      </c>
      <c r="Q57" s="785" t="e">
        <f t="shared" si="0"/>
        <v>#VALUE!</v>
      </c>
      <c r="R57" s="468" t="s">
        <v>1719</v>
      </c>
      <c r="S57" s="629"/>
    </row>
    <row r="58" spans="1:19" ht="15" x14ac:dyDescent="0.25">
      <c r="A58" s="621" t="s">
        <v>351</v>
      </c>
      <c r="B58" s="466" t="s">
        <v>111</v>
      </c>
      <c r="C58" s="631" t="s">
        <v>885</v>
      </c>
      <c r="D58" s="467" t="s">
        <v>866</v>
      </c>
      <c r="E58" s="474" t="s">
        <v>1724</v>
      </c>
      <c r="F58" s="469" t="s">
        <v>112</v>
      </c>
      <c r="G58" s="470" t="s">
        <v>915</v>
      </c>
      <c r="H58" s="622" t="s">
        <v>916</v>
      </c>
      <c r="I58" s="633" t="s">
        <v>116</v>
      </c>
      <c r="J58" s="471" t="s">
        <v>913</v>
      </c>
      <c r="K58" s="469" t="s">
        <v>79</v>
      </c>
      <c r="L58" s="473"/>
      <c r="M58" s="623">
        <v>0</v>
      </c>
      <c r="N58" s="623">
        <v>0</v>
      </c>
      <c r="O58" s="624">
        <v>0</v>
      </c>
      <c r="P58" s="624">
        <v>0</v>
      </c>
      <c r="Q58" s="785" t="e">
        <f t="shared" si="0"/>
        <v>#VALUE!</v>
      </c>
      <c r="R58" s="468" t="s">
        <v>1719</v>
      </c>
      <c r="S58" s="629"/>
    </row>
    <row r="59" spans="1:19" ht="15" x14ac:dyDescent="0.25">
      <c r="A59" s="621" t="s">
        <v>351</v>
      </c>
      <c r="B59" s="466" t="s">
        <v>111</v>
      </c>
      <c r="C59" s="631" t="s">
        <v>885</v>
      </c>
      <c r="D59" s="467" t="s">
        <v>869</v>
      </c>
      <c r="E59" s="474"/>
      <c r="F59" s="469" t="s">
        <v>112</v>
      </c>
      <c r="G59" s="470" t="s">
        <v>915</v>
      </c>
      <c r="H59" s="622" t="s">
        <v>916</v>
      </c>
      <c r="I59" s="633" t="s">
        <v>116</v>
      </c>
      <c r="J59" s="471" t="s">
        <v>913</v>
      </c>
      <c r="K59" s="469">
        <v>25</v>
      </c>
      <c r="L59" s="473"/>
      <c r="M59" s="623">
        <v>12</v>
      </c>
      <c r="N59" s="623">
        <v>5</v>
      </c>
      <c r="O59" s="624">
        <v>0.41666666666666669</v>
      </c>
      <c r="P59" s="624">
        <v>0.41666666666666669</v>
      </c>
      <c r="Q59" s="785">
        <f t="shared" si="0"/>
        <v>1.6666666666666667</v>
      </c>
      <c r="R59" s="468" t="s">
        <v>1718</v>
      </c>
      <c r="S59" s="629"/>
    </row>
    <row r="60" spans="1:19" ht="15" x14ac:dyDescent="0.25">
      <c r="A60" s="621" t="s">
        <v>351</v>
      </c>
      <c r="B60" s="466" t="s">
        <v>111</v>
      </c>
      <c r="C60" s="631" t="s">
        <v>885</v>
      </c>
      <c r="D60" s="467" t="s">
        <v>887</v>
      </c>
      <c r="E60" s="474"/>
      <c r="F60" s="469" t="s">
        <v>112</v>
      </c>
      <c r="G60" s="470" t="s">
        <v>915</v>
      </c>
      <c r="H60" s="622" t="s">
        <v>916</v>
      </c>
      <c r="I60" s="633" t="s">
        <v>116</v>
      </c>
      <c r="J60" s="471" t="s">
        <v>913</v>
      </c>
      <c r="K60" s="469">
        <v>10</v>
      </c>
      <c r="L60" s="473"/>
      <c r="M60" s="623">
        <v>20</v>
      </c>
      <c r="N60" s="623">
        <v>8</v>
      </c>
      <c r="O60" s="624">
        <v>0.4</v>
      </c>
      <c r="P60" s="624">
        <v>0.4</v>
      </c>
      <c r="Q60" s="785">
        <f t="shared" si="0"/>
        <v>4</v>
      </c>
      <c r="R60" s="468" t="s">
        <v>1718</v>
      </c>
      <c r="S60" s="629"/>
    </row>
    <row r="61" spans="1:19" ht="15" x14ac:dyDescent="0.25">
      <c r="A61" s="621" t="s">
        <v>351</v>
      </c>
      <c r="B61" s="466" t="s">
        <v>111</v>
      </c>
      <c r="C61" s="631" t="s">
        <v>904</v>
      </c>
      <c r="D61" s="467" t="s">
        <v>881</v>
      </c>
      <c r="E61" s="474" t="s">
        <v>1718</v>
      </c>
      <c r="F61" s="469" t="s">
        <v>112</v>
      </c>
      <c r="G61" s="470" t="s">
        <v>915</v>
      </c>
      <c r="H61" s="622" t="s">
        <v>916</v>
      </c>
      <c r="I61" s="633" t="s">
        <v>116</v>
      </c>
      <c r="J61" s="471" t="s">
        <v>913</v>
      </c>
      <c r="K61" s="469" t="s">
        <v>79</v>
      </c>
      <c r="L61" s="473"/>
      <c r="M61" s="623">
        <v>0</v>
      </c>
      <c r="N61" s="623">
        <v>0</v>
      </c>
      <c r="O61" s="624">
        <v>0</v>
      </c>
      <c r="P61" s="624">
        <v>0</v>
      </c>
      <c r="Q61" s="785" t="e">
        <f t="shared" si="0"/>
        <v>#VALUE!</v>
      </c>
      <c r="R61" s="468" t="s">
        <v>1719</v>
      </c>
      <c r="S61" s="629"/>
    </row>
    <row r="62" spans="1:19" ht="15" x14ac:dyDescent="0.25">
      <c r="A62" s="621" t="s">
        <v>351</v>
      </c>
      <c r="B62" s="466" t="s">
        <v>111</v>
      </c>
      <c r="C62" s="631" t="s">
        <v>904</v>
      </c>
      <c r="D62" s="467" t="s">
        <v>883</v>
      </c>
      <c r="E62" s="474" t="s">
        <v>1725</v>
      </c>
      <c r="F62" s="469" t="s">
        <v>112</v>
      </c>
      <c r="G62" s="470" t="s">
        <v>915</v>
      </c>
      <c r="H62" s="622" t="s">
        <v>916</v>
      </c>
      <c r="I62" s="633" t="s">
        <v>116</v>
      </c>
      <c r="J62" s="471" t="s">
        <v>913</v>
      </c>
      <c r="K62" s="469" t="s">
        <v>79</v>
      </c>
      <c r="L62" s="473"/>
      <c r="M62" s="623">
        <v>1</v>
      </c>
      <c r="N62" s="623">
        <v>1</v>
      </c>
      <c r="O62" s="624">
        <v>1</v>
      </c>
      <c r="P62" s="624">
        <v>1</v>
      </c>
      <c r="Q62" s="785" t="e">
        <f t="shared" si="0"/>
        <v>#VALUE!</v>
      </c>
      <c r="R62" s="468" t="s">
        <v>1718</v>
      </c>
      <c r="S62" s="629"/>
    </row>
    <row r="63" spans="1:19" ht="15" x14ac:dyDescent="0.25">
      <c r="A63" s="621" t="s">
        <v>351</v>
      </c>
      <c r="B63" s="466" t="s">
        <v>111</v>
      </c>
      <c r="C63" s="631" t="s">
        <v>740</v>
      </c>
      <c r="D63" s="467" t="s">
        <v>889</v>
      </c>
      <c r="E63" s="474"/>
      <c r="F63" s="469" t="s">
        <v>112</v>
      </c>
      <c r="G63" s="470" t="s">
        <v>915</v>
      </c>
      <c r="H63" s="622" t="s">
        <v>917</v>
      </c>
      <c r="I63" s="633" t="s">
        <v>116</v>
      </c>
      <c r="J63" s="471" t="s">
        <v>913</v>
      </c>
      <c r="K63" s="469">
        <v>38</v>
      </c>
      <c r="L63" s="473"/>
      <c r="M63" s="623">
        <v>37</v>
      </c>
      <c r="N63" s="623">
        <v>3</v>
      </c>
      <c r="O63" s="624">
        <v>8.1081081081081086E-2</v>
      </c>
      <c r="P63" s="624">
        <v>8.1081081081081086E-2</v>
      </c>
      <c r="Q63" s="785">
        <f t="shared" si="0"/>
        <v>0.21337126600284495</v>
      </c>
      <c r="R63" s="468" t="s">
        <v>1718</v>
      </c>
      <c r="S63" s="629"/>
    </row>
    <row r="64" spans="1:19" ht="15" x14ac:dyDescent="0.25">
      <c r="A64" s="621" t="s">
        <v>351</v>
      </c>
      <c r="B64" s="466" t="s">
        <v>111</v>
      </c>
      <c r="C64" s="631" t="s">
        <v>740</v>
      </c>
      <c r="D64" s="467" t="s">
        <v>881</v>
      </c>
      <c r="E64" s="474" t="s">
        <v>1726</v>
      </c>
      <c r="F64" s="469" t="s">
        <v>112</v>
      </c>
      <c r="G64" s="470" t="s">
        <v>915</v>
      </c>
      <c r="H64" s="622" t="s">
        <v>916</v>
      </c>
      <c r="I64" s="633" t="s">
        <v>116</v>
      </c>
      <c r="J64" s="471" t="s">
        <v>913</v>
      </c>
      <c r="K64" s="469" t="s">
        <v>79</v>
      </c>
      <c r="L64" s="473"/>
      <c r="M64" s="623">
        <v>4</v>
      </c>
      <c r="N64" s="623">
        <v>0</v>
      </c>
      <c r="O64" s="624">
        <v>0</v>
      </c>
      <c r="P64" s="624">
        <v>0</v>
      </c>
      <c r="Q64" s="785" t="e">
        <f t="shared" si="0"/>
        <v>#VALUE!</v>
      </c>
      <c r="R64" s="468" t="s">
        <v>1719</v>
      </c>
      <c r="S64" s="629"/>
    </row>
    <row r="65" spans="1:19" ht="15" x14ac:dyDescent="0.25">
      <c r="A65" s="621" t="s">
        <v>351</v>
      </c>
      <c r="B65" s="466" t="s">
        <v>111</v>
      </c>
      <c r="C65" s="631" t="s">
        <v>740</v>
      </c>
      <c r="D65" s="467" t="s">
        <v>883</v>
      </c>
      <c r="E65" s="474" t="s">
        <v>1726</v>
      </c>
      <c r="F65" s="469" t="s">
        <v>112</v>
      </c>
      <c r="G65" s="470" t="s">
        <v>915</v>
      </c>
      <c r="H65" s="622" t="s">
        <v>916</v>
      </c>
      <c r="I65" s="633" t="s">
        <v>116</v>
      </c>
      <c r="J65" s="471" t="s">
        <v>913</v>
      </c>
      <c r="K65" s="469" t="s">
        <v>79</v>
      </c>
      <c r="L65" s="473"/>
      <c r="M65" s="623">
        <v>0</v>
      </c>
      <c r="N65" s="623">
        <v>0</v>
      </c>
      <c r="O65" s="624">
        <v>0</v>
      </c>
      <c r="P65" s="624">
        <v>0</v>
      </c>
      <c r="Q65" s="785" t="e">
        <f t="shared" si="0"/>
        <v>#VALUE!</v>
      </c>
      <c r="R65" s="468" t="s">
        <v>1719</v>
      </c>
      <c r="S65" s="629"/>
    </row>
    <row r="66" spans="1:19" ht="15" x14ac:dyDescent="0.25">
      <c r="A66" s="621" t="s">
        <v>351</v>
      </c>
      <c r="B66" s="466" t="s">
        <v>111</v>
      </c>
      <c r="C66" s="631" t="s">
        <v>894</v>
      </c>
      <c r="D66" s="467" t="s">
        <v>889</v>
      </c>
      <c r="E66" s="474"/>
      <c r="F66" s="469" t="s">
        <v>112</v>
      </c>
      <c r="G66" s="470" t="s">
        <v>915</v>
      </c>
      <c r="H66" s="622" t="s">
        <v>917</v>
      </c>
      <c r="I66" s="633" t="s">
        <v>116</v>
      </c>
      <c r="J66" s="471" t="s">
        <v>913</v>
      </c>
      <c r="K66" s="469">
        <v>5</v>
      </c>
      <c r="L66" s="473"/>
      <c r="M66" s="623">
        <v>543</v>
      </c>
      <c r="N66" s="623">
        <v>32</v>
      </c>
      <c r="O66" s="624">
        <v>5.8931860036832415E-2</v>
      </c>
      <c r="P66" s="624">
        <v>5.8931860036832415E-2</v>
      </c>
      <c r="Q66" s="785">
        <f t="shared" si="0"/>
        <v>1.1786372007366483</v>
      </c>
      <c r="R66" s="468" t="s">
        <v>1718</v>
      </c>
      <c r="S66" s="629"/>
    </row>
    <row r="67" spans="1:19" ht="15" x14ac:dyDescent="0.25">
      <c r="A67" s="621" t="s">
        <v>351</v>
      </c>
      <c r="B67" s="466" t="s">
        <v>111</v>
      </c>
      <c r="C67" s="631" t="s">
        <v>894</v>
      </c>
      <c r="D67" s="467" t="s">
        <v>881</v>
      </c>
      <c r="E67" s="474"/>
      <c r="F67" s="469" t="s">
        <v>112</v>
      </c>
      <c r="G67" s="470" t="s">
        <v>915</v>
      </c>
      <c r="H67" s="622" t="s">
        <v>916</v>
      </c>
      <c r="I67" s="633" t="s">
        <v>116</v>
      </c>
      <c r="J67" s="471" t="s">
        <v>913</v>
      </c>
      <c r="K67" s="469">
        <v>32</v>
      </c>
      <c r="L67" s="473"/>
      <c r="M67" s="623">
        <v>78</v>
      </c>
      <c r="N67" s="623">
        <v>28</v>
      </c>
      <c r="O67" s="624">
        <v>0.35897435897435898</v>
      </c>
      <c r="P67" s="624">
        <v>0.35897435897435898</v>
      </c>
      <c r="Q67" s="785">
        <f t="shared" si="0"/>
        <v>1.1217948717948718</v>
      </c>
      <c r="R67" s="468" t="s">
        <v>1718</v>
      </c>
      <c r="S67" s="629"/>
    </row>
    <row r="68" spans="1:19" ht="15" x14ac:dyDescent="0.25">
      <c r="A68" s="621" t="s">
        <v>351</v>
      </c>
      <c r="B68" s="466" t="s">
        <v>111</v>
      </c>
      <c r="C68" s="631" t="s">
        <v>894</v>
      </c>
      <c r="D68" s="467" t="s">
        <v>883</v>
      </c>
      <c r="E68" s="474" t="s">
        <v>1727</v>
      </c>
      <c r="F68" s="469" t="s">
        <v>112</v>
      </c>
      <c r="G68" s="470" t="s">
        <v>915</v>
      </c>
      <c r="H68" s="622" t="s">
        <v>916</v>
      </c>
      <c r="I68" s="633" t="s">
        <v>116</v>
      </c>
      <c r="J68" s="471" t="s">
        <v>913</v>
      </c>
      <c r="K68" s="469">
        <v>33</v>
      </c>
      <c r="L68" s="473"/>
      <c r="M68" s="623">
        <v>25</v>
      </c>
      <c r="N68" s="623">
        <v>9</v>
      </c>
      <c r="O68" s="624">
        <v>0.36</v>
      </c>
      <c r="P68" s="624">
        <v>0.36</v>
      </c>
      <c r="Q68" s="785">
        <f t="shared" si="0"/>
        <v>1.0909090909090908</v>
      </c>
      <c r="R68" s="468" t="s">
        <v>1718</v>
      </c>
      <c r="S68" s="629"/>
    </row>
    <row r="69" spans="1:19" ht="15" x14ac:dyDescent="0.25">
      <c r="A69" s="621" t="s">
        <v>351</v>
      </c>
      <c r="B69" s="466" t="s">
        <v>111</v>
      </c>
      <c r="C69" s="631" t="s">
        <v>894</v>
      </c>
      <c r="D69" s="467" t="s">
        <v>869</v>
      </c>
      <c r="E69" s="474" t="s">
        <v>1727</v>
      </c>
      <c r="F69" s="469" t="s">
        <v>112</v>
      </c>
      <c r="G69" s="470" t="s">
        <v>915</v>
      </c>
      <c r="H69" s="622" t="s">
        <v>916</v>
      </c>
      <c r="I69" s="633" t="s">
        <v>116</v>
      </c>
      <c r="J69" s="471" t="s">
        <v>913</v>
      </c>
      <c r="K69" s="469" t="s">
        <v>79</v>
      </c>
      <c r="L69" s="473"/>
      <c r="M69" s="623">
        <v>0</v>
      </c>
      <c r="N69" s="623">
        <v>0</v>
      </c>
      <c r="O69" s="624">
        <v>0</v>
      </c>
      <c r="P69" s="624">
        <v>0</v>
      </c>
      <c r="Q69" s="785" t="e">
        <f t="shared" si="0"/>
        <v>#VALUE!</v>
      </c>
      <c r="R69" s="468" t="s">
        <v>1719</v>
      </c>
      <c r="S69" s="629"/>
    </row>
    <row r="70" spans="1:19" ht="15" x14ac:dyDescent="0.25">
      <c r="A70" s="621" t="s">
        <v>351</v>
      </c>
      <c r="B70" s="466" t="s">
        <v>111</v>
      </c>
      <c r="C70" s="631" t="s">
        <v>99</v>
      </c>
      <c r="D70" s="467" t="s">
        <v>866</v>
      </c>
      <c r="E70" s="474" t="s">
        <v>1720</v>
      </c>
      <c r="F70" s="469" t="s">
        <v>112</v>
      </c>
      <c r="G70" s="470" t="s">
        <v>918</v>
      </c>
      <c r="H70" s="622" t="s">
        <v>916</v>
      </c>
      <c r="I70" s="633" t="s">
        <v>116</v>
      </c>
      <c r="J70" s="471" t="s">
        <v>913</v>
      </c>
      <c r="K70" s="469">
        <v>33</v>
      </c>
      <c r="L70" s="473"/>
      <c r="M70" s="623">
        <v>0</v>
      </c>
      <c r="N70" s="623">
        <v>0</v>
      </c>
      <c r="O70" s="624">
        <v>0</v>
      </c>
      <c r="P70" s="624">
        <v>0</v>
      </c>
      <c r="Q70" s="785" t="e">
        <f t="shared" ref="Q70:Q133" si="1">N70/(M70*K70/100)</f>
        <v>#DIV/0!</v>
      </c>
      <c r="R70" s="468" t="s">
        <v>1719</v>
      </c>
      <c r="S70" s="629"/>
    </row>
    <row r="71" spans="1:19" ht="15" x14ac:dyDescent="0.25">
      <c r="A71" s="621" t="s">
        <v>351</v>
      </c>
      <c r="B71" s="466" t="s">
        <v>111</v>
      </c>
      <c r="C71" s="631" t="s">
        <v>99</v>
      </c>
      <c r="D71" s="467" t="s">
        <v>869</v>
      </c>
      <c r="E71" s="474" t="s">
        <v>1720</v>
      </c>
      <c r="F71" s="469" t="s">
        <v>112</v>
      </c>
      <c r="G71" s="470" t="s">
        <v>918</v>
      </c>
      <c r="H71" s="622" t="s">
        <v>916</v>
      </c>
      <c r="I71" s="633" t="s">
        <v>116</v>
      </c>
      <c r="J71" s="471" t="s">
        <v>913</v>
      </c>
      <c r="K71" s="469">
        <v>33</v>
      </c>
      <c r="L71" s="473"/>
      <c r="M71" s="623">
        <v>14</v>
      </c>
      <c r="N71" s="623">
        <v>2</v>
      </c>
      <c r="O71" s="624">
        <v>0.14285714285714285</v>
      </c>
      <c r="P71" s="624">
        <v>0.14285714285714285</v>
      </c>
      <c r="Q71" s="785">
        <f t="shared" si="1"/>
        <v>0.4329004329004329</v>
      </c>
      <c r="R71" s="468" t="s">
        <v>1718</v>
      </c>
      <c r="S71" s="629"/>
    </row>
    <row r="72" spans="1:19" ht="15" x14ac:dyDescent="0.25">
      <c r="A72" s="621" t="s">
        <v>351</v>
      </c>
      <c r="B72" s="466" t="s">
        <v>111</v>
      </c>
      <c r="C72" s="631" t="s">
        <v>870</v>
      </c>
      <c r="D72" s="467" t="s">
        <v>889</v>
      </c>
      <c r="E72" s="474"/>
      <c r="F72" s="469" t="s">
        <v>112</v>
      </c>
      <c r="G72" s="470" t="s">
        <v>918</v>
      </c>
      <c r="H72" s="622" t="s">
        <v>917</v>
      </c>
      <c r="I72" s="633" t="s">
        <v>116</v>
      </c>
      <c r="J72" s="471" t="s">
        <v>913</v>
      </c>
      <c r="K72" s="469">
        <v>16</v>
      </c>
      <c r="L72" s="473"/>
      <c r="M72" s="623">
        <v>50</v>
      </c>
      <c r="N72" s="623">
        <v>4</v>
      </c>
      <c r="O72" s="624">
        <v>0.08</v>
      </c>
      <c r="P72" s="624">
        <v>0.08</v>
      </c>
      <c r="Q72" s="785">
        <f t="shared" si="1"/>
        <v>0.5</v>
      </c>
      <c r="R72" s="468" t="s">
        <v>1718</v>
      </c>
      <c r="S72" s="629"/>
    </row>
    <row r="73" spans="1:19" ht="15" x14ac:dyDescent="0.25">
      <c r="A73" s="621" t="s">
        <v>351</v>
      </c>
      <c r="B73" s="466" t="s">
        <v>111</v>
      </c>
      <c r="C73" s="631" t="s">
        <v>870</v>
      </c>
      <c r="D73" s="467" t="s">
        <v>881</v>
      </c>
      <c r="E73" s="474"/>
      <c r="F73" s="469" t="s">
        <v>112</v>
      </c>
      <c r="G73" s="470" t="s">
        <v>918</v>
      </c>
      <c r="H73" s="622" t="s">
        <v>916</v>
      </c>
      <c r="I73" s="633" t="s">
        <v>116</v>
      </c>
      <c r="J73" s="471" t="s">
        <v>913</v>
      </c>
      <c r="K73" s="469">
        <v>16</v>
      </c>
      <c r="L73" s="473"/>
      <c r="M73" s="623">
        <v>19</v>
      </c>
      <c r="N73" s="623">
        <v>3</v>
      </c>
      <c r="O73" s="624">
        <v>0.15789473684210525</v>
      </c>
      <c r="P73" s="624">
        <v>0.15789473684210525</v>
      </c>
      <c r="Q73" s="785">
        <f t="shared" si="1"/>
        <v>0.98684210526315785</v>
      </c>
      <c r="R73" s="468" t="s">
        <v>1718</v>
      </c>
      <c r="S73" s="629"/>
    </row>
    <row r="74" spans="1:19" ht="15" x14ac:dyDescent="0.25">
      <c r="A74" s="621" t="s">
        <v>351</v>
      </c>
      <c r="B74" s="466" t="s">
        <v>111</v>
      </c>
      <c r="C74" s="631" t="s">
        <v>870</v>
      </c>
      <c r="D74" s="467" t="s">
        <v>883</v>
      </c>
      <c r="E74" s="474"/>
      <c r="F74" s="469" t="s">
        <v>112</v>
      </c>
      <c r="G74" s="470" t="s">
        <v>918</v>
      </c>
      <c r="H74" s="622" t="s">
        <v>916</v>
      </c>
      <c r="I74" s="633" t="s">
        <v>116</v>
      </c>
      <c r="J74" s="471" t="s">
        <v>913</v>
      </c>
      <c r="K74" s="469">
        <v>6</v>
      </c>
      <c r="L74" s="473"/>
      <c r="M74" s="623">
        <v>39</v>
      </c>
      <c r="N74" s="623">
        <v>9</v>
      </c>
      <c r="O74" s="624">
        <v>0.23076923076923078</v>
      </c>
      <c r="P74" s="624">
        <v>0.23076923076923078</v>
      </c>
      <c r="Q74" s="785">
        <f t="shared" si="1"/>
        <v>3.8461538461538463</v>
      </c>
      <c r="R74" s="468" t="s">
        <v>1718</v>
      </c>
      <c r="S74" s="629"/>
    </row>
    <row r="75" spans="1:19" ht="15" x14ac:dyDescent="0.25">
      <c r="A75" s="621" t="s">
        <v>351</v>
      </c>
      <c r="B75" s="466" t="s">
        <v>111</v>
      </c>
      <c r="C75" s="631" t="s">
        <v>870</v>
      </c>
      <c r="D75" s="467" t="s">
        <v>866</v>
      </c>
      <c r="E75" s="474"/>
      <c r="F75" s="469" t="s">
        <v>112</v>
      </c>
      <c r="G75" s="470" t="s">
        <v>918</v>
      </c>
      <c r="H75" s="622" t="s">
        <v>916</v>
      </c>
      <c r="I75" s="633" t="s">
        <v>116</v>
      </c>
      <c r="J75" s="471" t="s">
        <v>913</v>
      </c>
      <c r="K75" s="469">
        <v>8</v>
      </c>
      <c r="L75" s="473"/>
      <c r="M75" s="623">
        <v>67</v>
      </c>
      <c r="N75" s="623">
        <v>17</v>
      </c>
      <c r="O75" s="624">
        <v>0.2537313432835821</v>
      </c>
      <c r="P75" s="624">
        <v>0.2537313432835821</v>
      </c>
      <c r="Q75" s="785">
        <f t="shared" si="1"/>
        <v>3.1716417910447761</v>
      </c>
      <c r="R75" s="468" t="s">
        <v>1718</v>
      </c>
      <c r="S75" s="629"/>
    </row>
    <row r="76" spans="1:19" ht="15" x14ac:dyDescent="0.25">
      <c r="A76" s="621" t="s">
        <v>351</v>
      </c>
      <c r="B76" s="466" t="s">
        <v>111</v>
      </c>
      <c r="C76" s="631" t="s">
        <v>870</v>
      </c>
      <c r="D76" s="467" t="s">
        <v>869</v>
      </c>
      <c r="E76" s="474"/>
      <c r="F76" s="469" t="s">
        <v>112</v>
      </c>
      <c r="G76" s="470" t="s">
        <v>918</v>
      </c>
      <c r="H76" s="622" t="s">
        <v>916</v>
      </c>
      <c r="I76" s="633" t="s">
        <v>116</v>
      </c>
      <c r="J76" s="471" t="s">
        <v>913</v>
      </c>
      <c r="K76" s="469">
        <v>5</v>
      </c>
      <c r="L76" s="473"/>
      <c r="M76" s="623">
        <v>46</v>
      </c>
      <c r="N76" s="623">
        <v>18</v>
      </c>
      <c r="O76" s="624">
        <v>0.39130434782608697</v>
      </c>
      <c r="P76" s="624">
        <v>0.39130434782608697</v>
      </c>
      <c r="Q76" s="785">
        <f t="shared" si="1"/>
        <v>7.8260869565217401</v>
      </c>
      <c r="R76" s="468" t="s">
        <v>1718</v>
      </c>
      <c r="S76" s="629"/>
    </row>
    <row r="77" spans="1:19" ht="15" x14ac:dyDescent="0.25">
      <c r="A77" s="621" t="s">
        <v>351</v>
      </c>
      <c r="B77" s="466" t="s">
        <v>111</v>
      </c>
      <c r="C77" s="631" t="s">
        <v>738</v>
      </c>
      <c r="D77" s="467" t="s">
        <v>889</v>
      </c>
      <c r="E77" s="474"/>
      <c r="F77" s="469" t="s">
        <v>112</v>
      </c>
      <c r="G77" s="470" t="s">
        <v>918</v>
      </c>
      <c r="H77" s="622" t="s">
        <v>917</v>
      </c>
      <c r="I77" s="633" t="s">
        <v>116</v>
      </c>
      <c r="J77" s="471" t="s">
        <v>913</v>
      </c>
      <c r="K77" s="469">
        <v>29</v>
      </c>
      <c r="L77" s="473"/>
      <c r="M77" s="623">
        <v>156</v>
      </c>
      <c r="N77" s="623">
        <v>7</v>
      </c>
      <c r="O77" s="624">
        <v>4.4871794871794872E-2</v>
      </c>
      <c r="P77" s="624">
        <v>4.4871794871794872E-2</v>
      </c>
      <c r="Q77" s="785">
        <f t="shared" si="1"/>
        <v>0.15473032714412024</v>
      </c>
      <c r="R77" s="468" t="s">
        <v>1718</v>
      </c>
      <c r="S77" s="629"/>
    </row>
    <row r="78" spans="1:19" ht="15" x14ac:dyDescent="0.25">
      <c r="A78" s="621" t="s">
        <v>351</v>
      </c>
      <c r="B78" s="466" t="s">
        <v>111</v>
      </c>
      <c r="C78" s="631" t="s">
        <v>738</v>
      </c>
      <c r="D78" s="467" t="s">
        <v>881</v>
      </c>
      <c r="E78" s="474" t="s">
        <v>1721</v>
      </c>
      <c r="F78" s="469" t="s">
        <v>112</v>
      </c>
      <c r="G78" s="470" t="s">
        <v>918</v>
      </c>
      <c r="H78" s="622" t="s">
        <v>916</v>
      </c>
      <c r="I78" s="633" t="s">
        <v>116</v>
      </c>
      <c r="J78" s="471" t="s">
        <v>913</v>
      </c>
      <c r="K78" s="469">
        <v>8</v>
      </c>
      <c r="L78" s="473"/>
      <c r="M78" s="623">
        <v>54</v>
      </c>
      <c r="N78" s="623">
        <v>6</v>
      </c>
      <c r="O78" s="624">
        <v>0.1111111111111111</v>
      </c>
      <c r="P78" s="624">
        <v>0.1111111111111111</v>
      </c>
      <c r="Q78" s="785">
        <f t="shared" si="1"/>
        <v>1.3888888888888888</v>
      </c>
      <c r="R78" s="468" t="s">
        <v>1718</v>
      </c>
      <c r="S78" s="629"/>
    </row>
    <row r="79" spans="1:19" ht="15" x14ac:dyDescent="0.25">
      <c r="A79" s="621" t="s">
        <v>351</v>
      </c>
      <c r="B79" s="466" t="s">
        <v>111</v>
      </c>
      <c r="C79" s="631" t="s">
        <v>738</v>
      </c>
      <c r="D79" s="467" t="s">
        <v>883</v>
      </c>
      <c r="E79" s="474" t="s">
        <v>1721</v>
      </c>
      <c r="F79" s="469" t="s">
        <v>112</v>
      </c>
      <c r="G79" s="470" t="s">
        <v>918</v>
      </c>
      <c r="H79" s="622" t="s">
        <v>916</v>
      </c>
      <c r="I79" s="633" t="s">
        <v>116</v>
      </c>
      <c r="J79" s="471" t="s">
        <v>913</v>
      </c>
      <c r="K79" s="469">
        <v>8</v>
      </c>
      <c r="L79" s="473"/>
      <c r="M79" s="623">
        <v>0</v>
      </c>
      <c r="N79" s="623">
        <v>0</v>
      </c>
      <c r="O79" s="624">
        <v>0</v>
      </c>
      <c r="P79" s="624">
        <v>0</v>
      </c>
      <c r="Q79" s="785" t="e">
        <f t="shared" si="1"/>
        <v>#DIV/0!</v>
      </c>
      <c r="R79" s="468" t="s">
        <v>1719</v>
      </c>
      <c r="S79" s="629"/>
    </row>
    <row r="80" spans="1:19" ht="15" x14ac:dyDescent="0.25">
      <c r="A80" s="621" t="s">
        <v>351</v>
      </c>
      <c r="B80" s="466" t="s">
        <v>111</v>
      </c>
      <c r="C80" s="631" t="s">
        <v>738</v>
      </c>
      <c r="D80" s="467" t="s">
        <v>866</v>
      </c>
      <c r="E80" s="474" t="s">
        <v>1722</v>
      </c>
      <c r="F80" s="469" t="s">
        <v>112</v>
      </c>
      <c r="G80" s="470" t="s">
        <v>918</v>
      </c>
      <c r="H80" s="622" t="s">
        <v>916</v>
      </c>
      <c r="I80" s="633" t="s">
        <v>116</v>
      </c>
      <c r="J80" s="471" t="s">
        <v>913</v>
      </c>
      <c r="K80" s="469">
        <v>8</v>
      </c>
      <c r="L80" s="473"/>
      <c r="M80" s="623">
        <v>0</v>
      </c>
      <c r="N80" s="623">
        <v>1</v>
      </c>
      <c r="O80" s="624">
        <v>0</v>
      </c>
      <c r="P80" s="624">
        <v>0</v>
      </c>
      <c r="Q80" s="785" t="e">
        <f t="shared" si="1"/>
        <v>#DIV/0!</v>
      </c>
      <c r="R80" s="468" t="s">
        <v>1719</v>
      </c>
      <c r="S80" s="629"/>
    </row>
    <row r="81" spans="1:19" ht="15" x14ac:dyDescent="0.25">
      <c r="A81" s="621" t="s">
        <v>351</v>
      </c>
      <c r="B81" s="466" t="s">
        <v>111</v>
      </c>
      <c r="C81" s="631" t="s">
        <v>738</v>
      </c>
      <c r="D81" s="467" t="s">
        <v>869</v>
      </c>
      <c r="E81" s="474" t="s">
        <v>1722</v>
      </c>
      <c r="F81" s="469" t="s">
        <v>112</v>
      </c>
      <c r="G81" s="470" t="s">
        <v>918</v>
      </c>
      <c r="H81" s="622" t="s">
        <v>916</v>
      </c>
      <c r="I81" s="633" t="s">
        <v>116</v>
      </c>
      <c r="J81" s="471" t="s">
        <v>913</v>
      </c>
      <c r="K81" s="469">
        <v>8</v>
      </c>
      <c r="L81" s="473"/>
      <c r="M81" s="623">
        <v>7</v>
      </c>
      <c r="N81" s="623">
        <v>2</v>
      </c>
      <c r="O81" s="624">
        <v>0.2857142857142857</v>
      </c>
      <c r="P81" s="624">
        <v>0.2857142857142857</v>
      </c>
      <c r="Q81" s="785">
        <f t="shared" si="1"/>
        <v>3.5714285714285712</v>
      </c>
      <c r="R81" s="468" t="s">
        <v>1718</v>
      </c>
      <c r="S81" s="629"/>
    </row>
    <row r="82" spans="1:19" ht="15" x14ac:dyDescent="0.25">
      <c r="A82" s="621" t="s">
        <v>351</v>
      </c>
      <c r="B82" s="466" t="s">
        <v>111</v>
      </c>
      <c r="C82" s="631" t="s">
        <v>101</v>
      </c>
      <c r="D82" s="467" t="s">
        <v>889</v>
      </c>
      <c r="E82" s="474"/>
      <c r="F82" s="469" t="s">
        <v>112</v>
      </c>
      <c r="G82" s="470" t="s">
        <v>918</v>
      </c>
      <c r="H82" s="622" t="s">
        <v>917</v>
      </c>
      <c r="I82" s="633" t="s">
        <v>116</v>
      </c>
      <c r="J82" s="471" t="s">
        <v>913</v>
      </c>
      <c r="K82" s="469">
        <v>17</v>
      </c>
      <c r="L82" s="473"/>
      <c r="M82" s="623">
        <v>112</v>
      </c>
      <c r="N82" s="623">
        <v>19</v>
      </c>
      <c r="O82" s="624">
        <v>0.16964285714285715</v>
      </c>
      <c r="P82" s="624">
        <v>0.16964285714285715</v>
      </c>
      <c r="Q82" s="785">
        <f t="shared" si="1"/>
        <v>0.99789915966386555</v>
      </c>
      <c r="R82" s="468" t="s">
        <v>1718</v>
      </c>
      <c r="S82" s="629"/>
    </row>
    <row r="83" spans="1:19" ht="15" x14ac:dyDescent="0.25">
      <c r="A83" s="621" t="s">
        <v>351</v>
      </c>
      <c r="B83" s="466" t="s">
        <v>111</v>
      </c>
      <c r="C83" s="631" t="s">
        <v>101</v>
      </c>
      <c r="D83" s="467" t="s">
        <v>881</v>
      </c>
      <c r="E83" s="474"/>
      <c r="F83" s="469" t="s">
        <v>112</v>
      </c>
      <c r="G83" s="470" t="s">
        <v>918</v>
      </c>
      <c r="H83" s="622" t="s">
        <v>916</v>
      </c>
      <c r="I83" s="633" t="s">
        <v>116</v>
      </c>
      <c r="J83" s="471" t="s">
        <v>913</v>
      </c>
      <c r="K83" s="469">
        <v>36</v>
      </c>
      <c r="L83" s="473"/>
      <c r="M83" s="623">
        <v>9</v>
      </c>
      <c r="N83" s="623">
        <v>2</v>
      </c>
      <c r="O83" s="624">
        <v>0.22222222222222221</v>
      </c>
      <c r="P83" s="624">
        <v>0.22222222222222221</v>
      </c>
      <c r="Q83" s="785">
        <f t="shared" si="1"/>
        <v>0.61728395061728392</v>
      </c>
      <c r="R83" s="468" t="s">
        <v>1718</v>
      </c>
      <c r="S83" s="629"/>
    </row>
    <row r="84" spans="1:19" ht="15" x14ac:dyDescent="0.25">
      <c r="A84" s="621" t="s">
        <v>351</v>
      </c>
      <c r="B84" s="466" t="s">
        <v>111</v>
      </c>
      <c r="C84" s="631" t="s">
        <v>101</v>
      </c>
      <c r="D84" s="467" t="s">
        <v>883</v>
      </c>
      <c r="E84" s="474" t="s">
        <v>1723</v>
      </c>
      <c r="F84" s="469" t="s">
        <v>112</v>
      </c>
      <c r="G84" s="470" t="s">
        <v>918</v>
      </c>
      <c r="H84" s="622" t="s">
        <v>916</v>
      </c>
      <c r="I84" s="633" t="s">
        <v>116</v>
      </c>
      <c r="J84" s="471" t="s">
        <v>913</v>
      </c>
      <c r="K84" s="469">
        <v>80</v>
      </c>
      <c r="L84" s="473"/>
      <c r="M84" s="623">
        <v>0</v>
      </c>
      <c r="N84" s="623">
        <v>0</v>
      </c>
      <c r="O84" s="624">
        <v>0</v>
      </c>
      <c r="P84" s="624">
        <v>0</v>
      </c>
      <c r="Q84" s="785" t="e">
        <f t="shared" si="1"/>
        <v>#DIV/0!</v>
      </c>
      <c r="R84" s="468" t="s">
        <v>1719</v>
      </c>
      <c r="S84" s="629"/>
    </row>
    <row r="85" spans="1:19" ht="15" x14ac:dyDescent="0.25">
      <c r="A85" s="621" t="s">
        <v>351</v>
      </c>
      <c r="B85" s="466" t="s">
        <v>111</v>
      </c>
      <c r="C85" s="631" t="s">
        <v>101</v>
      </c>
      <c r="D85" s="467" t="s">
        <v>866</v>
      </c>
      <c r="E85" s="474" t="s">
        <v>1723</v>
      </c>
      <c r="F85" s="469" t="s">
        <v>112</v>
      </c>
      <c r="G85" s="470" t="s">
        <v>918</v>
      </c>
      <c r="H85" s="622" t="s">
        <v>916</v>
      </c>
      <c r="I85" s="633" t="s">
        <v>116</v>
      </c>
      <c r="J85" s="471" t="s">
        <v>913</v>
      </c>
      <c r="K85" s="469" t="s">
        <v>79</v>
      </c>
      <c r="L85" s="473"/>
      <c r="M85" s="623">
        <v>13</v>
      </c>
      <c r="N85" s="623">
        <v>2</v>
      </c>
      <c r="O85" s="624">
        <v>0.15384615384615385</v>
      </c>
      <c r="P85" s="624">
        <v>0.15384615384615385</v>
      </c>
      <c r="Q85" s="785" t="e">
        <f t="shared" si="1"/>
        <v>#VALUE!</v>
      </c>
      <c r="R85" s="468" t="s">
        <v>1718</v>
      </c>
      <c r="S85" s="629"/>
    </row>
    <row r="86" spans="1:19" ht="15" x14ac:dyDescent="0.25">
      <c r="A86" s="621" t="s">
        <v>351</v>
      </c>
      <c r="B86" s="466" t="s">
        <v>111</v>
      </c>
      <c r="C86" s="631" t="s">
        <v>101</v>
      </c>
      <c r="D86" s="467" t="s">
        <v>869</v>
      </c>
      <c r="E86" s="474" t="s">
        <v>1723</v>
      </c>
      <c r="F86" s="469" t="s">
        <v>112</v>
      </c>
      <c r="G86" s="470" t="s">
        <v>918</v>
      </c>
      <c r="H86" s="622" t="s">
        <v>916</v>
      </c>
      <c r="I86" s="633" t="s">
        <v>116</v>
      </c>
      <c r="J86" s="471" t="s">
        <v>913</v>
      </c>
      <c r="K86" s="469" t="s">
        <v>79</v>
      </c>
      <c r="L86" s="473"/>
      <c r="M86" s="623">
        <v>0</v>
      </c>
      <c r="N86" s="623">
        <v>0</v>
      </c>
      <c r="O86" s="624">
        <v>0</v>
      </c>
      <c r="P86" s="624">
        <v>0</v>
      </c>
      <c r="Q86" s="785" t="e">
        <f t="shared" si="1"/>
        <v>#VALUE!</v>
      </c>
      <c r="R86" s="468" t="s">
        <v>1719</v>
      </c>
      <c r="S86" s="629"/>
    </row>
    <row r="87" spans="1:19" ht="15" x14ac:dyDescent="0.25">
      <c r="A87" s="621" t="s">
        <v>351</v>
      </c>
      <c r="B87" s="466" t="s">
        <v>111</v>
      </c>
      <c r="C87" s="631" t="s">
        <v>885</v>
      </c>
      <c r="D87" s="467" t="s">
        <v>889</v>
      </c>
      <c r="E87" s="474"/>
      <c r="F87" s="469" t="s">
        <v>112</v>
      </c>
      <c r="G87" s="470" t="s">
        <v>918</v>
      </c>
      <c r="H87" s="622" t="s">
        <v>917</v>
      </c>
      <c r="I87" s="633" t="s">
        <v>116</v>
      </c>
      <c r="J87" s="471" t="s">
        <v>913</v>
      </c>
      <c r="K87" s="469">
        <v>13</v>
      </c>
      <c r="L87" s="473"/>
      <c r="M87" s="623">
        <v>0</v>
      </c>
      <c r="N87" s="623">
        <v>0</v>
      </c>
      <c r="O87" s="624">
        <v>0</v>
      </c>
      <c r="P87" s="624">
        <v>0</v>
      </c>
      <c r="Q87" s="785" t="e">
        <f t="shared" si="1"/>
        <v>#DIV/0!</v>
      </c>
      <c r="R87" s="468" t="s">
        <v>1719</v>
      </c>
      <c r="S87" s="629"/>
    </row>
    <row r="88" spans="1:19" ht="15" x14ac:dyDescent="0.25">
      <c r="A88" s="621" t="s">
        <v>351</v>
      </c>
      <c r="B88" s="466" t="s">
        <v>111</v>
      </c>
      <c r="C88" s="631" t="s">
        <v>885</v>
      </c>
      <c r="D88" s="467" t="s">
        <v>881</v>
      </c>
      <c r="E88" s="474"/>
      <c r="F88" s="469" t="s">
        <v>112</v>
      </c>
      <c r="G88" s="470" t="s">
        <v>918</v>
      </c>
      <c r="H88" s="622" t="s">
        <v>916</v>
      </c>
      <c r="I88" s="633" t="s">
        <v>116</v>
      </c>
      <c r="J88" s="471" t="s">
        <v>913</v>
      </c>
      <c r="K88" s="469">
        <v>13</v>
      </c>
      <c r="L88" s="473"/>
      <c r="M88" s="623">
        <v>5</v>
      </c>
      <c r="N88" s="623">
        <v>0</v>
      </c>
      <c r="O88" s="624">
        <v>0</v>
      </c>
      <c r="P88" s="624">
        <v>0</v>
      </c>
      <c r="Q88" s="785">
        <f t="shared" si="1"/>
        <v>0</v>
      </c>
      <c r="R88" s="468" t="s">
        <v>1719</v>
      </c>
      <c r="S88" s="629"/>
    </row>
    <row r="89" spans="1:19" ht="15" x14ac:dyDescent="0.25">
      <c r="A89" s="621" t="s">
        <v>351</v>
      </c>
      <c r="B89" s="466" t="s">
        <v>111</v>
      </c>
      <c r="C89" s="631" t="s">
        <v>885</v>
      </c>
      <c r="D89" s="467" t="s">
        <v>883</v>
      </c>
      <c r="E89" s="474" t="s">
        <v>1724</v>
      </c>
      <c r="F89" s="469" t="s">
        <v>112</v>
      </c>
      <c r="G89" s="470" t="s">
        <v>918</v>
      </c>
      <c r="H89" s="622" t="s">
        <v>916</v>
      </c>
      <c r="I89" s="633" t="s">
        <v>116</v>
      </c>
      <c r="J89" s="471" t="s">
        <v>913</v>
      </c>
      <c r="K89" s="469" t="s">
        <v>79</v>
      </c>
      <c r="L89" s="473"/>
      <c r="M89" s="623">
        <v>5</v>
      </c>
      <c r="N89" s="623">
        <v>0</v>
      </c>
      <c r="O89" s="624">
        <v>0</v>
      </c>
      <c r="P89" s="624">
        <v>0</v>
      </c>
      <c r="Q89" s="785" t="e">
        <f>N89/(M89*K89/100)</f>
        <v>#VALUE!</v>
      </c>
      <c r="R89" s="468" t="s">
        <v>1719</v>
      </c>
      <c r="S89" s="629"/>
    </row>
    <row r="90" spans="1:19" ht="15" x14ac:dyDescent="0.25">
      <c r="A90" s="621" t="s">
        <v>351</v>
      </c>
      <c r="B90" s="466" t="s">
        <v>111</v>
      </c>
      <c r="C90" s="631" t="s">
        <v>885</v>
      </c>
      <c r="D90" s="467" t="s">
        <v>866</v>
      </c>
      <c r="E90" s="474" t="s">
        <v>1724</v>
      </c>
      <c r="F90" s="469" t="s">
        <v>112</v>
      </c>
      <c r="G90" s="470" t="s">
        <v>918</v>
      </c>
      <c r="H90" s="622" t="s">
        <v>916</v>
      </c>
      <c r="I90" s="633" t="s">
        <v>116</v>
      </c>
      <c r="J90" s="471" t="s">
        <v>913</v>
      </c>
      <c r="K90" s="469" t="s">
        <v>79</v>
      </c>
      <c r="L90" s="473"/>
      <c r="M90" s="623">
        <v>0</v>
      </c>
      <c r="N90" s="623">
        <v>0</v>
      </c>
      <c r="O90" s="624">
        <v>0</v>
      </c>
      <c r="P90" s="624">
        <v>0</v>
      </c>
      <c r="Q90" s="785" t="e">
        <f t="shared" si="1"/>
        <v>#VALUE!</v>
      </c>
      <c r="R90" s="468" t="s">
        <v>1719</v>
      </c>
      <c r="S90" s="629"/>
    </row>
    <row r="91" spans="1:19" ht="15" x14ac:dyDescent="0.25">
      <c r="A91" s="621" t="s">
        <v>351</v>
      </c>
      <c r="B91" s="466" t="s">
        <v>111</v>
      </c>
      <c r="C91" s="631" t="s">
        <v>885</v>
      </c>
      <c r="D91" s="467" t="s">
        <v>869</v>
      </c>
      <c r="E91" s="474"/>
      <c r="F91" s="469" t="s">
        <v>112</v>
      </c>
      <c r="G91" s="470" t="s">
        <v>918</v>
      </c>
      <c r="H91" s="622" t="s">
        <v>916</v>
      </c>
      <c r="I91" s="633" t="s">
        <v>116</v>
      </c>
      <c r="J91" s="471" t="s">
        <v>913</v>
      </c>
      <c r="K91" s="469">
        <v>25</v>
      </c>
      <c r="L91" s="473"/>
      <c r="M91" s="623">
        <v>12</v>
      </c>
      <c r="N91" s="623">
        <v>5</v>
      </c>
      <c r="O91" s="624">
        <v>0.41666666666666669</v>
      </c>
      <c r="P91" s="624">
        <v>0.41666666666666669</v>
      </c>
      <c r="Q91" s="785">
        <f t="shared" si="1"/>
        <v>1.6666666666666667</v>
      </c>
      <c r="R91" s="468" t="s">
        <v>1718</v>
      </c>
      <c r="S91" s="629"/>
    </row>
    <row r="92" spans="1:19" ht="15" x14ac:dyDescent="0.25">
      <c r="A92" s="621" t="s">
        <v>351</v>
      </c>
      <c r="B92" s="466" t="s">
        <v>111</v>
      </c>
      <c r="C92" s="631" t="s">
        <v>885</v>
      </c>
      <c r="D92" s="467" t="s">
        <v>887</v>
      </c>
      <c r="E92" s="474"/>
      <c r="F92" s="469" t="s">
        <v>112</v>
      </c>
      <c r="G92" s="470" t="s">
        <v>918</v>
      </c>
      <c r="H92" s="622" t="s">
        <v>916</v>
      </c>
      <c r="I92" s="633" t="s">
        <v>116</v>
      </c>
      <c r="J92" s="471" t="s">
        <v>913</v>
      </c>
      <c r="K92" s="469">
        <v>10</v>
      </c>
      <c r="L92" s="473"/>
      <c r="M92" s="623">
        <v>20</v>
      </c>
      <c r="N92" s="623">
        <v>8</v>
      </c>
      <c r="O92" s="624">
        <v>0.4</v>
      </c>
      <c r="P92" s="624">
        <v>0.4</v>
      </c>
      <c r="Q92" s="785">
        <f t="shared" si="1"/>
        <v>4</v>
      </c>
      <c r="R92" s="468" t="s">
        <v>1718</v>
      </c>
      <c r="S92" s="629"/>
    </row>
    <row r="93" spans="1:19" ht="15" x14ac:dyDescent="0.25">
      <c r="A93" s="621" t="s">
        <v>351</v>
      </c>
      <c r="B93" s="466" t="s">
        <v>111</v>
      </c>
      <c r="C93" s="631" t="s">
        <v>904</v>
      </c>
      <c r="D93" s="467" t="s">
        <v>881</v>
      </c>
      <c r="E93" s="474" t="s">
        <v>1718</v>
      </c>
      <c r="F93" s="469" t="s">
        <v>112</v>
      </c>
      <c r="G93" s="470" t="s">
        <v>918</v>
      </c>
      <c r="H93" s="622" t="s">
        <v>916</v>
      </c>
      <c r="I93" s="633" t="s">
        <v>116</v>
      </c>
      <c r="J93" s="471" t="s">
        <v>913</v>
      </c>
      <c r="K93" s="469" t="s">
        <v>79</v>
      </c>
      <c r="L93" s="473"/>
      <c r="M93" s="623">
        <v>0</v>
      </c>
      <c r="N93" s="623">
        <v>0</v>
      </c>
      <c r="O93" s="624">
        <v>0</v>
      </c>
      <c r="P93" s="624">
        <v>0</v>
      </c>
      <c r="Q93" s="785" t="e">
        <f t="shared" si="1"/>
        <v>#VALUE!</v>
      </c>
      <c r="R93" s="468" t="s">
        <v>1719</v>
      </c>
      <c r="S93" s="629"/>
    </row>
    <row r="94" spans="1:19" ht="15" x14ac:dyDescent="0.25">
      <c r="A94" s="621" t="s">
        <v>351</v>
      </c>
      <c r="B94" s="466" t="s">
        <v>111</v>
      </c>
      <c r="C94" s="631" t="s">
        <v>904</v>
      </c>
      <c r="D94" s="467" t="s">
        <v>883</v>
      </c>
      <c r="E94" s="474" t="s">
        <v>1725</v>
      </c>
      <c r="F94" s="469" t="s">
        <v>112</v>
      </c>
      <c r="G94" s="470" t="s">
        <v>918</v>
      </c>
      <c r="H94" s="622" t="s">
        <v>916</v>
      </c>
      <c r="I94" s="633" t="s">
        <v>116</v>
      </c>
      <c r="J94" s="471" t="s">
        <v>913</v>
      </c>
      <c r="K94" s="469" t="s">
        <v>79</v>
      </c>
      <c r="L94" s="473"/>
      <c r="M94" s="623">
        <v>1</v>
      </c>
      <c r="N94" s="623">
        <v>1</v>
      </c>
      <c r="O94" s="624">
        <v>1</v>
      </c>
      <c r="P94" s="624">
        <v>1</v>
      </c>
      <c r="Q94" s="785" t="e">
        <f t="shared" si="1"/>
        <v>#VALUE!</v>
      </c>
      <c r="R94" s="468" t="s">
        <v>1718</v>
      </c>
      <c r="S94" s="629"/>
    </row>
    <row r="95" spans="1:19" ht="15" x14ac:dyDescent="0.25">
      <c r="A95" s="621" t="s">
        <v>351</v>
      </c>
      <c r="B95" s="466" t="s">
        <v>111</v>
      </c>
      <c r="C95" s="631" t="s">
        <v>740</v>
      </c>
      <c r="D95" s="467" t="s">
        <v>889</v>
      </c>
      <c r="E95" s="474"/>
      <c r="F95" s="469" t="s">
        <v>112</v>
      </c>
      <c r="G95" s="470" t="s">
        <v>918</v>
      </c>
      <c r="H95" s="622" t="s">
        <v>917</v>
      </c>
      <c r="I95" s="633" t="s">
        <v>116</v>
      </c>
      <c r="J95" s="471" t="s">
        <v>913</v>
      </c>
      <c r="K95" s="469">
        <v>38</v>
      </c>
      <c r="L95" s="473"/>
      <c r="M95" s="623">
        <v>37</v>
      </c>
      <c r="N95" s="623">
        <v>3</v>
      </c>
      <c r="O95" s="624">
        <v>8.1081081081081086E-2</v>
      </c>
      <c r="P95" s="624">
        <v>8.1081081081081086E-2</v>
      </c>
      <c r="Q95" s="785">
        <f t="shared" si="1"/>
        <v>0.21337126600284495</v>
      </c>
      <c r="R95" s="468" t="s">
        <v>1718</v>
      </c>
      <c r="S95" s="629"/>
    </row>
    <row r="96" spans="1:19" ht="15" x14ac:dyDescent="0.25">
      <c r="A96" s="621" t="s">
        <v>351</v>
      </c>
      <c r="B96" s="466" t="s">
        <v>111</v>
      </c>
      <c r="C96" s="631" t="s">
        <v>740</v>
      </c>
      <c r="D96" s="467" t="s">
        <v>881</v>
      </c>
      <c r="E96" s="474" t="s">
        <v>1726</v>
      </c>
      <c r="F96" s="469" t="s">
        <v>112</v>
      </c>
      <c r="G96" s="470" t="s">
        <v>918</v>
      </c>
      <c r="H96" s="622" t="s">
        <v>916</v>
      </c>
      <c r="I96" s="633" t="s">
        <v>116</v>
      </c>
      <c r="J96" s="471" t="s">
        <v>913</v>
      </c>
      <c r="K96" s="469" t="s">
        <v>79</v>
      </c>
      <c r="L96" s="473"/>
      <c r="M96" s="623">
        <v>4</v>
      </c>
      <c r="N96" s="623">
        <v>0</v>
      </c>
      <c r="O96" s="624">
        <v>0</v>
      </c>
      <c r="P96" s="624">
        <v>0</v>
      </c>
      <c r="Q96" s="785" t="e">
        <f t="shared" si="1"/>
        <v>#VALUE!</v>
      </c>
      <c r="R96" s="468" t="s">
        <v>1719</v>
      </c>
      <c r="S96" s="629"/>
    </row>
    <row r="97" spans="1:19" ht="15" x14ac:dyDescent="0.25">
      <c r="A97" s="621" t="s">
        <v>351</v>
      </c>
      <c r="B97" s="466" t="s">
        <v>111</v>
      </c>
      <c r="C97" s="631" t="s">
        <v>740</v>
      </c>
      <c r="D97" s="467" t="s">
        <v>883</v>
      </c>
      <c r="E97" s="474" t="s">
        <v>1726</v>
      </c>
      <c r="F97" s="469" t="s">
        <v>112</v>
      </c>
      <c r="G97" s="470" t="s">
        <v>918</v>
      </c>
      <c r="H97" s="622" t="s">
        <v>916</v>
      </c>
      <c r="I97" s="633" t="s">
        <v>116</v>
      </c>
      <c r="J97" s="471" t="s">
        <v>913</v>
      </c>
      <c r="K97" s="469" t="s">
        <v>79</v>
      </c>
      <c r="L97" s="473"/>
      <c r="M97" s="623">
        <v>0</v>
      </c>
      <c r="N97" s="623">
        <v>0</v>
      </c>
      <c r="O97" s="624">
        <v>0</v>
      </c>
      <c r="P97" s="624">
        <v>0</v>
      </c>
      <c r="Q97" s="785" t="e">
        <f t="shared" si="1"/>
        <v>#VALUE!</v>
      </c>
      <c r="R97" s="468" t="s">
        <v>1719</v>
      </c>
      <c r="S97" s="629"/>
    </row>
    <row r="98" spans="1:19" ht="15" x14ac:dyDescent="0.25">
      <c r="A98" s="621" t="s">
        <v>351</v>
      </c>
      <c r="B98" s="466" t="s">
        <v>111</v>
      </c>
      <c r="C98" s="631" t="s">
        <v>894</v>
      </c>
      <c r="D98" s="467" t="s">
        <v>889</v>
      </c>
      <c r="E98" s="474"/>
      <c r="F98" s="469" t="s">
        <v>112</v>
      </c>
      <c r="G98" s="470" t="s">
        <v>918</v>
      </c>
      <c r="H98" s="622" t="s">
        <v>917</v>
      </c>
      <c r="I98" s="633" t="s">
        <v>116</v>
      </c>
      <c r="J98" s="471" t="s">
        <v>913</v>
      </c>
      <c r="K98" s="469">
        <v>5</v>
      </c>
      <c r="L98" s="473"/>
      <c r="M98" s="623">
        <v>543</v>
      </c>
      <c r="N98" s="623">
        <v>32</v>
      </c>
      <c r="O98" s="624">
        <v>5.8931860036832415E-2</v>
      </c>
      <c r="P98" s="624">
        <v>5.8931860036832415E-2</v>
      </c>
      <c r="Q98" s="785">
        <f t="shared" si="1"/>
        <v>1.1786372007366483</v>
      </c>
      <c r="R98" s="468" t="s">
        <v>1718</v>
      </c>
      <c r="S98" s="629"/>
    </row>
    <row r="99" spans="1:19" ht="15" x14ac:dyDescent="0.25">
      <c r="A99" s="621" t="s">
        <v>351</v>
      </c>
      <c r="B99" s="466" t="s">
        <v>111</v>
      </c>
      <c r="C99" s="631" t="s">
        <v>894</v>
      </c>
      <c r="D99" s="467" t="s">
        <v>881</v>
      </c>
      <c r="E99" s="474"/>
      <c r="F99" s="469" t="s">
        <v>112</v>
      </c>
      <c r="G99" s="470" t="s">
        <v>918</v>
      </c>
      <c r="H99" s="622" t="s">
        <v>916</v>
      </c>
      <c r="I99" s="633" t="s">
        <v>116</v>
      </c>
      <c r="J99" s="471" t="s">
        <v>913</v>
      </c>
      <c r="K99" s="469">
        <v>32</v>
      </c>
      <c r="L99" s="473"/>
      <c r="M99" s="623">
        <v>78</v>
      </c>
      <c r="N99" s="623">
        <v>28</v>
      </c>
      <c r="O99" s="624">
        <v>0.35897435897435898</v>
      </c>
      <c r="P99" s="624">
        <v>0.35897435897435898</v>
      </c>
      <c r="Q99" s="785">
        <f t="shared" si="1"/>
        <v>1.1217948717948718</v>
      </c>
      <c r="R99" s="468" t="s">
        <v>1718</v>
      </c>
      <c r="S99" s="629"/>
    </row>
    <row r="100" spans="1:19" ht="15" x14ac:dyDescent="0.25">
      <c r="A100" s="621" t="s">
        <v>351</v>
      </c>
      <c r="B100" s="466" t="s">
        <v>111</v>
      </c>
      <c r="C100" s="631" t="s">
        <v>894</v>
      </c>
      <c r="D100" s="467" t="s">
        <v>883</v>
      </c>
      <c r="E100" s="474" t="s">
        <v>1727</v>
      </c>
      <c r="F100" s="469" t="s">
        <v>112</v>
      </c>
      <c r="G100" s="470" t="s">
        <v>918</v>
      </c>
      <c r="H100" s="622" t="s">
        <v>916</v>
      </c>
      <c r="I100" s="633" t="s">
        <v>116</v>
      </c>
      <c r="J100" s="471" t="s">
        <v>913</v>
      </c>
      <c r="K100" s="469">
        <v>33</v>
      </c>
      <c r="L100" s="473"/>
      <c r="M100" s="623">
        <v>25</v>
      </c>
      <c r="N100" s="623">
        <v>9</v>
      </c>
      <c r="O100" s="624">
        <v>0.36</v>
      </c>
      <c r="P100" s="624">
        <v>0.36</v>
      </c>
      <c r="Q100" s="785">
        <f t="shared" si="1"/>
        <v>1.0909090909090908</v>
      </c>
      <c r="R100" s="468" t="s">
        <v>1718</v>
      </c>
      <c r="S100" s="629"/>
    </row>
    <row r="101" spans="1:19" ht="15" x14ac:dyDescent="0.25">
      <c r="A101" s="621" t="s">
        <v>351</v>
      </c>
      <c r="B101" s="466" t="s">
        <v>111</v>
      </c>
      <c r="C101" s="631" t="s">
        <v>894</v>
      </c>
      <c r="D101" s="467" t="s">
        <v>869</v>
      </c>
      <c r="E101" s="474" t="s">
        <v>1727</v>
      </c>
      <c r="F101" s="469" t="s">
        <v>112</v>
      </c>
      <c r="G101" s="470" t="s">
        <v>918</v>
      </c>
      <c r="H101" s="622" t="s">
        <v>916</v>
      </c>
      <c r="I101" s="633" t="s">
        <v>116</v>
      </c>
      <c r="J101" s="471" t="s">
        <v>913</v>
      </c>
      <c r="K101" s="469" t="s">
        <v>79</v>
      </c>
      <c r="L101" s="473"/>
      <c r="M101" s="623">
        <v>0</v>
      </c>
      <c r="N101" s="623">
        <v>0</v>
      </c>
      <c r="O101" s="624">
        <v>0</v>
      </c>
      <c r="P101" s="624">
        <v>0</v>
      </c>
      <c r="Q101" s="785" t="e">
        <f t="shared" si="1"/>
        <v>#VALUE!</v>
      </c>
      <c r="R101" s="468" t="s">
        <v>1719</v>
      </c>
      <c r="S101" s="629"/>
    </row>
    <row r="102" spans="1:19" ht="15" x14ac:dyDescent="0.25">
      <c r="A102" s="621" t="s">
        <v>351</v>
      </c>
      <c r="B102" s="466" t="s">
        <v>111</v>
      </c>
      <c r="C102" s="631" t="s">
        <v>99</v>
      </c>
      <c r="D102" s="467" t="s">
        <v>866</v>
      </c>
      <c r="E102" s="474" t="s">
        <v>1720</v>
      </c>
      <c r="F102" s="469" t="s">
        <v>112</v>
      </c>
      <c r="G102" s="470" t="s">
        <v>919</v>
      </c>
      <c r="H102" s="622" t="s">
        <v>916</v>
      </c>
      <c r="I102" s="633" t="s">
        <v>116</v>
      </c>
      <c r="J102" s="471" t="s">
        <v>913</v>
      </c>
      <c r="K102" s="469">
        <v>33</v>
      </c>
      <c r="L102" s="473"/>
      <c r="M102" s="623">
        <v>0</v>
      </c>
      <c r="N102" s="623">
        <v>0</v>
      </c>
      <c r="O102" s="624">
        <v>0</v>
      </c>
      <c r="P102" s="624">
        <v>0</v>
      </c>
      <c r="Q102" s="785" t="e">
        <f t="shared" si="1"/>
        <v>#DIV/0!</v>
      </c>
      <c r="R102" s="468" t="s">
        <v>1719</v>
      </c>
      <c r="S102" s="629"/>
    </row>
    <row r="103" spans="1:19" ht="15" x14ac:dyDescent="0.25">
      <c r="A103" s="621" t="s">
        <v>351</v>
      </c>
      <c r="B103" s="466" t="s">
        <v>111</v>
      </c>
      <c r="C103" s="631" t="s">
        <v>99</v>
      </c>
      <c r="D103" s="467" t="s">
        <v>869</v>
      </c>
      <c r="E103" s="474" t="s">
        <v>1720</v>
      </c>
      <c r="F103" s="469" t="s">
        <v>112</v>
      </c>
      <c r="G103" s="470" t="s">
        <v>919</v>
      </c>
      <c r="H103" s="622" t="s">
        <v>916</v>
      </c>
      <c r="I103" s="633" t="s">
        <v>116</v>
      </c>
      <c r="J103" s="471" t="s">
        <v>913</v>
      </c>
      <c r="K103" s="469">
        <v>33</v>
      </c>
      <c r="L103" s="473"/>
      <c r="M103" s="623">
        <v>14</v>
      </c>
      <c r="N103" s="623">
        <v>2</v>
      </c>
      <c r="O103" s="624">
        <v>0.14285714285714285</v>
      </c>
      <c r="P103" s="624">
        <v>0.14285714285714285</v>
      </c>
      <c r="Q103" s="785">
        <f t="shared" si="1"/>
        <v>0.4329004329004329</v>
      </c>
      <c r="R103" s="468" t="s">
        <v>1718</v>
      </c>
      <c r="S103" s="629"/>
    </row>
    <row r="104" spans="1:19" ht="15" x14ac:dyDescent="0.25">
      <c r="A104" s="621" t="s">
        <v>351</v>
      </c>
      <c r="B104" s="466" t="s">
        <v>111</v>
      </c>
      <c r="C104" s="631" t="s">
        <v>870</v>
      </c>
      <c r="D104" s="467" t="s">
        <v>889</v>
      </c>
      <c r="E104" s="474"/>
      <c r="F104" s="469" t="s">
        <v>112</v>
      </c>
      <c r="G104" s="470" t="s">
        <v>919</v>
      </c>
      <c r="H104" s="622" t="s">
        <v>917</v>
      </c>
      <c r="I104" s="633" t="s">
        <v>116</v>
      </c>
      <c r="J104" s="471" t="s">
        <v>913</v>
      </c>
      <c r="K104" s="469">
        <v>16</v>
      </c>
      <c r="L104" s="473"/>
      <c r="M104" s="623">
        <v>50</v>
      </c>
      <c r="N104" s="623">
        <v>4</v>
      </c>
      <c r="O104" s="624">
        <v>0.08</v>
      </c>
      <c r="P104" s="624">
        <v>0.08</v>
      </c>
      <c r="Q104" s="785">
        <f t="shared" si="1"/>
        <v>0.5</v>
      </c>
      <c r="R104" s="468" t="s">
        <v>1718</v>
      </c>
      <c r="S104" s="629"/>
    </row>
    <row r="105" spans="1:19" ht="15" x14ac:dyDescent="0.25">
      <c r="A105" s="621" t="s">
        <v>351</v>
      </c>
      <c r="B105" s="466" t="s">
        <v>111</v>
      </c>
      <c r="C105" s="631" t="s">
        <v>870</v>
      </c>
      <c r="D105" s="467" t="s">
        <v>881</v>
      </c>
      <c r="E105" s="474"/>
      <c r="F105" s="469" t="s">
        <v>112</v>
      </c>
      <c r="G105" s="470" t="s">
        <v>919</v>
      </c>
      <c r="H105" s="622" t="s">
        <v>916</v>
      </c>
      <c r="I105" s="633" t="s">
        <v>116</v>
      </c>
      <c r="J105" s="471" t="s">
        <v>913</v>
      </c>
      <c r="K105" s="469">
        <v>16</v>
      </c>
      <c r="L105" s="473"/>
      <c r="M105" s="623">
        <v>19</v>
      </c>
      <c r="N105" s="623">
        <v>3</v>
      </c>
      <c r="O105" s="624">
        <v>0.15789473684210525</v>
      </c>
      <c r="P105" s="624">
        <v>0.15789473684210525</v>
      </c>
      <c r="Q105" s="785">
        <f t="shared" si="1"/>
        <v>0.98684210526315785</v>
      </c>
      <c r="R105" s="468" t="s">
        <v>1718</v>
      </c>
      <c r="S105" s="629"/>
    </row>
    <row r="106" spans="1:19" ht="15" x14ac:dyDescent="0.25">
      <c r="A106" s="621" t="s">
        <v>351</v>
      </c>
      <c r="B106" s="466" t="s">
        <v>111</v>
      </c>
      <c r="C106" s="631" t="s">
        <v>870</v>
      </c>
      <c r="D106" s="467" t="s">
        <v>883</v>
      </c>
      <c r="E106" s="474"/>
      <c r="F106" s="469" t="s">
        <v>112</v>
      </c>
      <c r="G106" s="470" t="s">
        <v>919</v>
      </c>
      <c r="H106" s="622" t="s">
        <v>916</v>
      </c>
      <c r="I106" s="633" t="s">
        <v>116</v>
      </c>
      <c r="J106" s="471" t="s">
        <v>913</v>
      </c>
      <c r="K106" s="469">
        <v>6</v>
      </c>
      <c r="L106" s="473"/>
      <c r="M106" s="623">
        <v>39</v>
      </c>
      <c r="N106" s="623">
        <v>9</v>
      </c>
      <c r="O106" s="624">
        <v>0.23076923076923078</v>
      </c>
      <c r="P106" s="624">
        <v>0.23076923076923078</v>
      </c>
      <c r="Q106" s="785">
        <f t="shared" si="1"/>
        <v>3.8461538461538463</v>
      </c>
      <c r="R106" s="468" t="s">
        <v>1718</v>
      </c>
      <c r="S106" s="629"/>
    </row>
    <row r="107" spans="1:19" ht="15" x14ac:dyDescent="0.25">
      <c r="A107" s="621" t="s">
        <v>351</v>
      </c>
      <c r="B107" s="466" t="s">
        <v>111</v>
      </c>
      <c r="C107" s="631" t="s">
        <v>870</v>
      </c>
      <c r="D107" s="467" t="s">
        <v>866</v>
      </c>
      <c r="E107" s="474"/>
      <c r="F107" s="469" t="s">
        <v>112</v>
      </c>
      <c r="G107" s="470" t="s">
        <v>919</v>
      </c>
      <c r="H107" s="622" t="s">
        <v>916</v>
      </c>
      <c r="I107" s="633" t="s">
        <v>116</v>
      </c>
      <c r="J107" s="471" t="s">
        <v>913</v>
      </c>
      <c r="K107" s="469">
        <v>8</v>
      </c>
      <c r="L107" s="473"/>
      <c r="M107" s="623">
        <v>67</v>
      </c>
      <c r="N107" s="623">
        <v>17</v>
      </c>
      <c r="O107" s="624">
        <v>0.2537313432835821</v>
      </c>
      <c r="P107" s="624">
        <v>0.2537313432835821</v>
      </c>
      <c r="Q107" s="785">
        <f t="shared" si="1"/>
        <v>3.1716417910447761</v>
      </c>
      <c r="R107" s="468" t="s">
        <v>1718</v>
      </c>
      <c r="S107" s="629"/>
    </row>
    <row r="108" spans="1:19" ht="15" x14ac:dyDescent="0.25">
      <c r="A108" s="621" t="s">
        <v>351</v>
      </c>
      <c r="B108" s="466" t="s">
        <v>111</v>
      </c>
      <c r="C108" s="631" t="s">
        <v>870</v>
      </c>
      <c r="D108" s="467" t="s">
        <v>869</v>
      </c>
      <c r="E108" s="474"/>
      <c r="F108" s="469" t="s">
        <v>112</v>
      </c>
      <c r="G108" s="470" t="s">
        <v>919</v>
      </c>
      <c r="H108" s="622" t="s">
        <v>916</v>
      </c>
      <c r="I108" s="633" t="s">
        <v>116</v>
      </c>
      <c r="J108" s="471" t="s">
        <v>913</v>
      </c>
      <c r="K108" s="469">
        <v>5</v>
      </c>
      <c r="L108" s="473"/>
      <c r="M108" s="623">
        <v>46</v>
      </c>
      <c r="N108" s="623">
        <v>18</v>
      </c>
      <c r="O108" s="624">
        <v>0.39130434782608697</v>
      </c>
      <c r="P108" s="624">
        <v>0.39130434782608697</v>
      </c>
      <c r="Q108" s="785">
        <f t="shared" si="1"/>
        <v>7.8260869565217401</v>
      </c>
      <c r="R108" s="468" t="s">
        <v>1718</v>
      </c>
      <c r="S108" s="629"/>
    </row>
    <row r="109" spans="1:19" ht="15" x14ac:dyDescent="0.25">
      <c r="A109" s="621" t="s">
        <v>351</v>
      </c>
      <c r="B109" s="466" t="s">
        <v>111</v>
      </c>
      <c r="C109" s="631" t="s">
        <v>738</v>
      </c>
      <c r="D109" s="467" t="s">
        <v>889</v>
      </c>
      <c r="E109" s="474"/>
      <c r="F109" s="469" t="s">
        <v>112</v>
      </c>
      <c r="G109" s="470" t="s">
        <v>919</v>
      </c>
      <c r="H109" s="622" t="s">
        <v>917</v>
      </c>
      <c r="I109" s="633" t="s">
        <v>116</v>
      </c>
      <c r="J109" s="471" t="s">
        <v>913</v>
      </c>
      <c r="K109" s="469">
        <v>29</v>
      </c>
      <c r="L109" s="473"/>
      <c r="M109" s="623">
        <v>156</v>
      </c>
      <c r="N109" s="623">
        <v>7</v>
      </c>
      <c r="O109" s="624">
        <v>4.4871794871794872E-2</v>
      </c>
      <c r="P109" s="624">
        <v>4.4871794871794872E-2</v>
      </c>
      <c r="Q109" s="785">
        <f t="shared" si="1"/>
        <v>0.15473032714412024</v>
      </c>
      <c r="R109" s="468" t="s">
        <v>1718</v>
      </c>
      <c r="S109" s="629"/>
    </row>
    <row r="110" spans="1:19" ht="15" x14ac:dyDescent="0.25">
      <c r="A110" s="621" t="s">
        <v>351</v>
      </c>
      <c r="B110" s="466" t="s">
        <v>111</v>
      </c>
      <c r="C110" s="631" t="s">
        <v>738</v>
      </c>
      <c r="D110" s="467" t="s">
        <v>881</v>
      </c>
      <c r="E110" s="474" t="s">
        <v>1721</v>
      </c>
      <c r="F110" s="469" t="s">
        <v>112</v>
      </c>
      <c r="G110" s="470" t="s">
        <v>919</v>
      </c>
      <c r="H110" s="622" t="s">
        <v>916</v>
      </c>
      <c r="I110" s="633" t="s">
        <v>116</v>
      </c>
      <c r="J110" s="471" t="s">
        <v>913</v>
      </c>
      <c r="K110" s="469">
        <v>8</v>
      </c>
      <c r="L110" s="473"/>
      <c r="M110" s="623">
        <v>54</v>
      </c>
      <c r="N110" s="623">
        <v>6</v>
      </c>
      <c r="O110" s="624">
        <v>0.1111111111111111</v>
      </c>
      <c r="P110" s="624">
        <v>0.1111111111111111</v>
      </c>
      <c r="Q110" s="785">
        <f t="shared" si="1"/>
        <v>1.3888888888888888</v>
      </c>
      <c r="R110" s="468" t="s">
        <v>1718</v>
      </c>
      <c r="S110" s="629"/>
    </row>
    <row r="111" spans="1:19" ht="15" x14ac:dyDescent="0.25">
      <c r="A111" s="621" t="s">
        <v>351</v>
      </c>
      <c r="B111" s="466" t="s">
        <v>111</v>
      </c>
      <c r="C111" s="631" t="s">
        <v>738</v>
      </c>
      <c r="D111" s="467" t="s">
        <v>883</v>
      </c>
      <c r="E111" s="474" t="s">
        <v>1721</v>
      </c>
      <c r="F111" s="469" t="s">
        <v>112</v>
      </c>
      <c r="G111" s="470" t="s">
        <v>919</v>
      </c>
      <c r="H111" s="622" t="s">
        <v>916</v>
      </c>
      <c r="I111" s="633" t="s">
        <v>116</v>
      </c>
      <c r="J111" s="471" t="s">
        <v>913</v>
      </c>
      <c r="K111" s="469">
        <v>8</v>
      </c>
      <c r="L111" s="473"/>
      <c r="M111" s="623">
        <v>0</v>
      </c>
      <c r="N111" s="623">
        <v>0</v>
      </c>
      <c r="O111" s="624">
        <v>0</v>
      </c>
      <c r="P111" s="624">
        <v>0</v>
      </c>
      <c r="Q111" s="785" t="e">
        <f t="shared" si="1"/>
        <v>#DIV/0!</v>
      </c>
      <c r="R111" s="468" t="s">
        <v>1719</v>
      </c>
      <c r="S111" s="629"/>
    </row>
    <row r="112" spans="1:19" ht="15" x14ac:dyDescent="0.25">
      <c r="A112" s="621" t="s">
        <v>351</v>
      </c>
      <c r="B112" s="466" t="s">
        <v>111</v>
      </c>
      <c r="C112" s="631" t="s">
        <v>738</v>
      </c>
      <c r="D112" s="467" t="s">
        <v>866</v>
      </c>
      <c r="E112" s="474" t="s">
        <v>1722</v>
      </c>
      <c r="F112" s="469" t="s">
        <v>112</v>
      </c>
      <c r="G112" s="470" t="s">
        <v>919</v>
      </c>
      <c r="H112" s="622" t="s">
        <v>916</v>
      </c>
      <c r="I112" s="633" t="s">
        <v>116</v>
      </c>
      <c r="J112" s="471" t="s">
        <v>913</v>
      </c>
      <c r="K112" s="469">
        <v>8</v>
      </c>
      <c r="L112" s="473"/>
      <c r="M112" s="623">
        <v>0</v>
      </c>
      <c r="N112" s="623">
        <v>1</v>
      </c>
      <c r="O112" s="624">
        <v>0</v>
      </c>
      <c r="P112" s="624">
        <v>0</v>
      </c>
      <c r="Q112" s="785" t="e">
        <f t="shared" si="1"/>
        <v>#DIV/0!</v>
      </c>
      <c r="R112" s="468" t="s">
        <v>1719</v>
      </c>
      <c r="S112" s="629"/>
    </row>
    <row r="113" spans="1:19" ht="15" x14ac:dyDescent="0.25">
      <c r="A113" s="621" t="s">
        <v>351</v>
      </c>
      <c r="B113" s="466" t="s">
        <v>111</v>
      </c>
      <c r="C113" s="631" t="s">
        <v>738</v>
      </c>
      <c r="D113" s="467" t="s">
        <v>869</v>
      </c>
      <c r="E113" s="474" t="s">
        <v>1722</v>
      </c>
      <c r="F113" s="469" t="s">
        <v>112</v>
      </c>
      <c r="G113" s="470" t="s">
        <v>919</v>
      </c>
      <c r="H113" s="622" t="s">
        <v>916</v>
      </c>
      <c r="I113" s="633" t="s">
        <v>116</v>
      </c>
      <c r="J113" s="471" t="s">
        <v>913</v>
      </c>
      <c r="K113" s="469">
        <v>8</v>
      </c>
      <c r="L113" s="473"/>
      <c r="M113" s="623">
        <v>7</v>
      </c>
      <c r="N113" s="623">
        <v>2</v>
      </c>
      <c r="O113" s="624">
        <v>0.2857142857142857</v>
      </c>
      <c r="P113" s="624">
        <v>0.2857142857142857</v>
      </c>
      <c r="Q113" s="785">
        <f t="shared" si="1"/>
        <v>3.5714285714285712</v>
      </c>
      <c r="R113" s="468" t="s">
        <v>1718</v>
      </c>
      <c r="S113" s="629"/>
    </row>
    <row r="114" spans="1:19" ht="15" x14ac:dyDescent="0.25">
      <c r="A114" s="621" t="s">
        <v>351</v>
      </c>
      <c r="B114" s="466" t="s">
        <v>111</v>
      </c>
      <c r="C114" s="631" t="s">
        <v>101</v>
      </c>
      <c r="D114" s="467" t="s">
        <v>889</v>
      </c>
      <c r="E114" s="474"/>
      <c r="F114" s="469" t="s">
        <v>112</v>
      </c>
      <c r="G114" s="470" t="s">
        <v>919</v>
      </c>
      <c r="H114" s="622" t="s">
        <v>917</v>
      </c>
      <c r="I114" s="633" t="s">
        <v>116</v>
      </c>
      <c r="J114" s="471" t="s">
        <v>913</v>
      </c>
      <c r="K114" s="469">
        <v>17</v>
      </c>
      <c r="L114" s="473"/>
      <c r="M114" s="623">
        <v>112</v>
      </c>
      <c r="N114" s="623">
        <v>19</v>
      </c>
      <c r="O114" s="624">
        <v>0.16964285714285715</v>
      </c>
      <c r="P114" s="624">
        <v>0.16964285714285715</v>
      </c>
      <c r="Q114" s="785">
        <f t="shared" si="1"/>
        <v>0.99789915966386555</v>
      </c>
      <c r="R114" s="468" t="s">
        <v>1718</v>
      </c>
      <c r="S114" s="629"/>
    </row>
    <row r="115" spans="1:19" ht="15" x14ac:dyDescent="0.25">
      <c r="A115" s="621" t="s">
        <v>351</v>
      </c>
      <c r="B115" s="466" t="s">
        <v>111</v>
      </c>
      <c r="C115" s="631" t="s">
        <v>101</v>
      </c>
      <c r="D115" s="467" t="s">
        <v>881</v>
      </c>
      <c r="E115" s="474"/>
      <c r="F115" s="469" t="s">
        <v>112</v>
      </c>
      <c r="G115" s="470" t="s">
        <v>919</v>
      </c>
      <c r="H115" s="622" t="s">
        <v>916</v>
      </c>
      <c r="I115" s="633" t="s">
        <v>116</v>
      </c>
      <c r="J115" s="471" t="s">
        <v>913</v>
      </c>
      <c r="K115" s="469">
        <v>36</v>
      </c>
      <c r="L115" s="473"/>
      <c r="M115" s="623">
        <v>9</v>
      </c>
      <c r="N115" s="623">
        <v>2</v>
      </c>
      <c r="O115" s="624">
        <v>0.22222222222222221</v>
      </c>
      <c r="P115" s="624">
        <v>0.22222222222222221</v>
      </c>
      <c r="Q115" s="785">
        <f t="shared" si="1"/>
        <v>0.61728395061728392</v>
      </c>
      <c r="R115" s="468" t="s">
        <v>1718</v>
      </c>
      <c r="S115" s="629"/>
    </row>
    <row r="116" spans="1:19" ht="15" x14ac:dyDescent="0.25">
      <c r="A116" s="621" t="s">
        <v>351</v>
      </c>
      <c r="B116" s="466" t="s">
        <v>111</v>
      </c>
      <c r="C116" s="631" t="s">
        <v>101</v>
      </c>
      <c r="D116" s="467" t="s">
        <v>883</v>
      </c>
      <c r="E116" s="474" t="s">
        <v>1723</v>
      </c>
      <c r="F116" s="469" t="s">
        <v>112</v>
      </c>
      <c r="G116" s="470" t="s">
        <v>919</v>
      </c>
      <c r="H116" s="622" t="s">
        <v>916</v>
      </c>
      <c r="I116" s="633" t="s">
        <v>116</v>
      </c>
      <c r="J116" s="471" t="s">
        <v>913</v>
      </c>
      <c r="K116" s="469">
        <v>80</v>
      </c>
      <c r="L116" s="473"/>
      <c r="M116" s="623">
        <v>0</v>
      </c>
      <c r="N116" s="623">
        <v>0</v>
      </c>
      <c r="O116" s="624">
        <v>0</v>
      </c>
      <c r="P116" s="624">
        <v>0</v>
      </c>
      <c r="Q116" s="785" t="e">
        <f t="shared" si="1"/>
        <v>#DIV/0!</v>
      </c>
      <c r="R116" s="468" t="s">
        <v>1719</v>
      </c>
      <c r="S116" s="629"/>
    </row>
    <row r="117" spans="1:19" ht="15" x14ac:dyDescent="0.25">
      <c r="A117" s="621" t="s">
        <v>351</v>
      </c>
      <c r="B117" s="466" t="s">
        <v>111</v>
      </c>
      <c r="C117" s="631" t="s">
        <v>101</v>
      </c>
      <c r="D117" s="467" t="s">
        <v>866</v>
      </c>
      <c r="E117" s="474" t="s">
        <v>1723</v>
      </c>
      <c r="F117" s="469" t="s">
        <v>112</v>
      </c>
      <c r="G117" s="470" t="s">
        <v>919</v>
      </c>
      <c r="H117" s="622" t="s">
        <v>916</v>
      </c>
      <c r="I117" s="633" t="s">
        <v>116</v>
      </c>
      <c r="J117" s="471" t="s">
        <v>913</v>
      </c>
      <c r="K117" s="469" t="s">
        <v>79</v>
      </c>
      <c r="L117" s="473"/>
      <c r="M117" s="623">
        <v>13</v>
      </c>
      <c r="N117" s="623">
        <v>2</v>
      </c>
      <c r="O117" s="624">
        <v>0.15384615384615385</v>
      </c>
      <c r="P117" s="624">
        <v>0.15384615384615385</v>
      </c>
      <c r="Q117" s="785" t="e">
        <f t="shared" si="1"/>
        <v>#VALUE!</v>
      </c>
      <c r="R117" s="468" t="s">
        <v>1718</v>
      </c>
      <c r="S117" s="629"/>
    </row>
    <row r="118" spans="1:19" ht="15" x14ac:dyDescent="0.25">
      <c r="A118" s="621" t="s">
        <v>351</v>
      </c>
      <c r="B118" s="466" t="s">
        <v>111</v>
      </c>
      <c r="C118" s="631" t="s">
        <v>101</v>
      </c>
      <c r="D118" s="467" t="s">
        <v>869</v>
      </c>
      <c r="E118" s="474" t="s">
        <v>1723</v>
      </c>
      <c r="F118" s="469" t="s">
        <v>112</v>
      </c>
      <c r="G118" s="470" t="s">
        <v>919</v>
      </c>
      <c r="H118" s="622" t="s">
        <v>916</v>
      </c>
      <c r="I118" s="633" t="s">
        <v>116</v>
      </c>
      <c r="J118" s="471" t="s">
        <v>913</v>
      </c>
      <c r="K118" s="469" t="s">
        <v>79</v>
      </c>
      <c r="L118" s="473"/>
      <c r="M118" s="623">
        <v>0</v>
      </c>
      <c r="N118" s="623">
        <v>0</v>
      </c>
      <c r="O118" s="624">
        <v>0</v>
      </c>
      <c r="P118" s="624">
        <v>0</v>
      </c>
      <c r="Q118" s="785" t="e">
        <f t="shared" si="1"/>
        <v>#VALUE!</v>
      </c>
      <c r="R118" s="468" t="s">
        <v>1719</v>
      </c>
      <c r="S118" s="629"/>
    </row>
    <row r="119" spans="1:19" ht="15" x14ac:dyDescent="0.25">
      <c r="A119" s="621" t="s">
        <v>351</v>
      </c>
      <c r="B119" s="466" t="s">
        <v>111</v>
      </c>
      <c r="C119" s="631" t="s">
        <v>885</v>
      </c>
      <c r="D119" s="467" t="s">
        <v>889</v>
      </c>
      <c r="E119" s="474"/>
      <c r="F119" s="469" t="s">
        <v>112</v>
      </c>
      <c r="G119" s="470" t="s">
        <v>919</v>
      </c>
      <c r="H119" s="622" t="s">
        <v>917</v>
      </c>
      <c r="I119" s="633" t="s">
        <v>116</v>
      </c>
      <c r="J119" s="471" t="s">
        <v>913</v>
      </c>
      <c r="K119" s="469">
        <v>13</v>
      </c>
      <c r="L119" s="473"/>
      <c r="M119" s="623">
        <v>0</v>
      </c>
      <c r="N119" s="623">
        <v>0</v>
      </c>
      <c r="O119" s="624">
        <v>0</v>
      </c>
      <c r="P119" s="624">
        <v>0</v>
      </c>
      <c r="Q119" s="785" t="e">
        <f t="shared" si="1"/>
        <v>#DIV/0!</v>
      </c>
      <c r="R119" s="468" t="s">
        <v>1719</v>
      </c>
      <c r="S119" s="629"/>
    </row>
    <row r="120" spans="1:19" ht="15" x14ac:dyDescent="0.25">
      <c r="A120" s="621" t="s">
        <v>351</v>
      </c>
      <c r="B120" s="466" t="s">
        <v>111</v>
      </c>
      <c r="C120" s="631" t="s">
        <v>885</v>
      </c>
      <c r="D120" s="467" t="s">
        <v>881</v>
      </c>
      <c r="E120" s="474"/>
      <c r="F120" s="469" t="s">
        <v>112</v>
      </c>
      <c r="G120" s="470" t="s">
        <v>919</v>
      </c>
      <c r="H120" s="622" t="s">
        <v>916</v>
      </c>
      <c r="I120" s="633" t="s">
        <v>116</v>
      </c>
      <c r="J120" s="471" t="s">
        <v>913</v>
      </c>
      <c r="K120" s="469">
        <v>13</v>
      </c>
      <c r="L120" s="473"/>
      <c r="M120" s="623">
        <v>5</v>
      </c>
      <c r="N120" s="623">
        <v>0</v>
      </c>
      <c r="O120" s="624">
        <v>0</v>
      </c>
      <c r="P120" s="624">
        <v>0</v>
      </c>
      <c r="Q120" s="785">
        <f t="shared" si="1"/>
        <v>0</v>
      </c>
      <c r="R120" s="468" t="s">
        <v>1719</v>
      </c>
      <c r="S120" s="629"/>
    </row>
    <row r="121" spans="1:19" ht="15" x14ac:dyDescent="0.25">
      <c r="A121" s="621" t="s">
        <v>351</v>
      </c>
      <c r="B121" s="466" t="s">
        <v>111</v>
      </c>
      <c r="C121" s="631" t="s">
        <v>885</v>
      </c>
      <c r="D121" s="467" t="s">
        <v>883</v>
      </c>
      <c r="E121" s="474" t="s">
        <v>1724</v>
      </c>
      <c r="F121" s="469" t="s">
        <v>112</v>
      </c>
      <c r="G121" s="470" t="s">
        <v>919</v>
      </c>
      <c r="H121" s="622" t="s">
        <v>916</v>
      </c>
      <c r="I121" s="633" t="s">
        <v>116</v>
      </c>
      <c r="J121" s="471" t="s">
        <v>913</v>
      </c>
      <c r="K121" s="469" t="s">
        <v>79</v>
      </c>
      <c r="L121" s="473"/>
      <c r="M121" s="623">
        <v>5</v>
      </c>
      <c r="N121" s="623">
        <v>0</v>
      </c>
      <c r="O121" s="624">
        <v>0</v>
      </c>
      <c r="P121" s="624">
        <v>0</v>
      </c>
      <c r="Q121" s="785" t="e">
        <f t="shared" si="1"/>
        <v>#VALUE!</v>
      </c>
      <c r="R121" s="468" t="s">
        <v>1719</v>
      </c>
      <c r="S121" s="629"/>
    </row>
    <row r="122" spans="1:19" ht="15" x14ac:dyDescent="0.25">
      <c r="A122" s="621" t="s">
        <v>351</v>
      </c>
      <c r="B122" s="466" t="s">
        <v>111</v>
      </c>
      <c r="C122" s="631" t="s">
        <v>885</v>
      </c>
      <c r="D122" s="467" t="s">
        <v>866</v>
      </c>
      <c r="E122" s="474" t="s">
        <v>1724</v>
      </c>
      <c r="F122" s="469" t="s">
        <v>112</v>
      </c>
      <c r="G122" s="470" t="s">
        <v>919</v>
      </c>
      <c r="H122" s="622" t="s">
        <v>916</v>
      </c>
      <c r="I122" s="633" t="s">
        <v>116</v>
      </c>
      <c r="J122" s="471" t="s">
        <v>913</v>
      </c>
      <c r="K122" s="469" t="s">
        <v>79</v>
      </c>
      <c r="L122" s="473"/>
      <c r="M122" s="623">
        <v>0</v>
      </c>
      <c r="N122" s="623">
        <v>0</v>
      </c>
      <c r="O122" s="624">
        <v>0</v>
      </c>
      <c r="P122" s="624">
        <v>0</v>
      </c>
      <c r="Q122" s="785" t="e">
        <f t="shared" si="1"/>
        <v>#VALUE!</v>
      </c>
      <c r="R122" s="468" t="s">
        <v>1719</v>
      </c>
      <c r="S122" s="629"/>
    </row>
    <row r="123" spans="1:19" ht="15" x14ac:dyDescent="0.25">
      <c r="A123" s="621" t="s">
        <v>351</v>
      </c>
      <c r="B123" s="466" t="s">
        <v>111</v>
      </c>
      <c r="C123" s="631" t="s">
        <v>885</v>
      </c>
      <c r="D123" s="467" t="s">
        <v>869</v>
      </c>
      <c r="E123" s="474"/>
      <c r="F123" s="469" t="s">
        <v>112</v>
      </c>
      <c r="G123" s="470" t="s">
        <v>919</v>
      </c>
      <c r="H123" s="622" t="s">
        <v>916</v>
      </c>
      <c r="I123" s="633" t="s">
        <v>116</v>
      </c>
      <c r="J123" s="471" t="s">
        <v>913</v>
      </c>
      <c r="K123" s="469">
        <v>25</v>
      </c>
      <c r="L123" s="473"/>
      <c r="M123" s="623">
        <v>12</v>
      </c>
      <c r="N123" s="623">
        <v>5</v>
      </c>
      <c r="O123" s="624">
        <v>0.41666666666666669</v>
      </c>
      <c r="P123" s="624">
        <v>0.41666666666666669</v>
      </c>
      <c r="Q123" s="785">
        <f t="shared" si="1"/>
        <v>1.6666666666666667</v>
      </c>
      <c r="R123" s="468" t="s">
        <v>1718</v>
      </c>
      <c r="S123" s="629"/>
    </row>
    <row r="124" spans="1:19" ht="15" x14ac:dyDescent="0.25">
      <c r="A124" s="621" t="s">
        <v>351</v>
      </c>
      <c r="B124" s="466" t="s">
        <v>111</v>
      </c>
      <c r="C124" s="631" t="s">
        <v>885</v>
      </c>
      <c r="D124" s="467" t="s">
        <v>887</v>
      </c>
      <c r="E124" s="474"/>
      <c r="F124" s="469" t="s">
        <v>112</v>
      </c>
      <c r="G124" s="470" t="s">
        <v>919</v>
      </c>
      <c r="H124" s="622" t="s">
        <v>916</v>
      </c>
      <c r="I124" s="633" t="s">
        <v>116</v>
      </c>
      <c r="J124" s="471" t="s">
        <v>913</v>
      </c>
      <c r="K124" s="469">
        <v>10</v>
      </c>
      <c r="L124" s="473"/>
      <c r="M124" s="623">
        <v>20</v>
      </c>
      <c r="N124" s="623">
        <v>8</v>
      </c>
      <c r="O124" s="624">
        <v>0.4</v>
      </c>
      <c r="P124" s="624">
        <v>0.4</v>
      </c>
      <c r="Q124" s="785">
        <f t="shared" si="1"/>
        <v>4</v>
      </c>
      <c r="R124" s="468" t="s">
        <v>1718</v>
      </c>
      <c r="S124" s="629"/>
    </row>
    <row r="125" spans="1:19" ht="15" x14ac:dyDescent="0.25">
      <c r="A125" s="621" t="s">
        <v>351</v>
      </c>
      <c r="B125" s="466" t="s">
        <v>111</v>
      </c>
      <c r="C125" s="631" t="s">
        <v>904</v>
      </c>
      <c r="D125" s="467" t="s">
        <v>881</v>
      </c>
      <c r="E125" s="474" t="s">
        <v>1718</v>
      </c>
      <c r="F125" s="469" t="s">
        <v>112</v>
      </c>
      <c r="G125" s="470" t="s">
        <v>919</v>
      </c>
      <c r="H125" s="622" t="s">
        <v>916</v>
      </c>
      <c r="I125" s="633" t="s">
        <v>116</v>
      </c>
      <c r="J125" s="471" t="s">
        <v>913</v>
      </c>
      <c r="K125" s="469" t="s">
        <v>79</v>
      </c>
      <c r="L125" s="473"/>
      <c r="M125" s="623">
        <v>0</v>
      </c>
      <c r="N125" s="623">
        <v>0</v>
      </c>
      <c r="O125" s="624">
        <v>0</v>
      </c>
      <c r="P125" s="624">
        <v>0</v>
      </c>
      <c r="Q125" s="785" t="e">
        <f t="shared" si="1"/>
        <v>#VALUE!</v>
      </c>
      <c r="R125" s="468" t="s">
        <v>1719</v>
      </c>
      <c r="S125" s="629"/>
    </row>
    <row r="126" spans="1:19" ht="15" x14ac:dyDescent="0.25">
      <c r="A126" s="621" t="s">
        <v>351</v>
      </c>
      <c r="B126" s="466" t="s">
        <v>111</v>
      </c>
      <c r="C126" s="631" t="s">
        <v>904</v>
      </c>
      <c r="D126" s="467" t="s">
        <v>883</v>
      </c>
      <c r="E126" s="474" t="s">
        <v>1725</v>
      </c>
      <c r="F126" s="469" t="s">
        <v>112</v>
      </c>
      <c r="G126" s="470" t="s">
        <v>919</v>
      </c>
      <c r="H126" s="622" t="s">
        <v>916</v>
      </c>
      <c r="I126" s="633" t="s">
        <v>116</v>
      </c>
      <c r="J126" s="471" t="s">
        <v>913</v>
      </c>
      <c r="K126" s="469" t="s">
        <v>79</v>
      </c>
      <c r="L126" s="473"/>
      <c r="M126" s="623">
        <v>1</v>
      </c>
      <c r="N126" s="623">
        <v>1</v>
      </c>
      <c r="O126" s="624">
        <v>1</v>
      </c>
      <c r="P126" s="624">
        <v>1</v>
      </c>
      <c r="Q126" s="785" t="e">
        <f t="shared" si="1"/>
        <v>#VALUE!</v>
      </c>
      <c r="R126" s="468" t="s">
        <v>1718</v>
      </c>
      <c r="S126" s="629"/>
    </row>
    <row r="127" spans="1:19" ht="15" x14ac:dyDescent="0.25">
      <c r="A127" s="621" t="s">
        <v>351</v>
      </c>
      <c r="B127" s="466" t="s">
        <v>111</v>
      </c>
      <c r="C127" s="631" t="s">
        <v>740</v>
      </c>
      <c r="D127" s="467" t="s">
        <v>889</v>
      </c>
      <c r="E127" s="474"/>
      <c r="F127" s="469" t="s">
        <v>112</v>
      </c>
      <c r="G127" s="470" t="s">
        <v>919</v>
      </c>
      <c r="H127" s="622" t="s">
        <v>917</v>
      </c>
      <c r="I127" s="633" t="s">
        <v>116</v>
      </c>
      <c r="J127" s="471" t="s">
        <v>913</v>
      </c>
      <c r="K127" s="469">
        <v>38</v>
      </c>
      <c r="L127" s="473"/>
      <c r="M127" s="623">
        <v>37</v>
      </c>
      <c r="N127" s="623">
        <v>3</v>
      </c>
      <c r="O127" s="624">
        <v>8.1081081081081086E-2</v>
      </c>
      <c r="P127" s="624">
        <v>8.1081081081081086E-2</v>
      </c>
      <c r="Q127" s="785">
        <f t="shared" si="1"/>
        <v>0.21337126600284495</v>
      </c>
      <c r="R127" s="468" t="s">
        <v>1718</v>
      </c>
      <c r="S127" s="629"/>
    </row>
    <row r="128" spans="1:19" ht="15" x14ac:dyDescent="0.25">
      <c r="A128" s="621" t="s">
        <v>351</v>
      </c>
      <c r="B128" s="466" t="s">
        <v>111</v>
      </c>
      <c r="C128" s="631" t="s">
        <v>740</v>
      </c>
      <c r="D128" s="467" t="s">
        <v>881</v>
      </c>
      <c r="E128" s="474" t="s">
        <v>1726</v>
      </c>
      <c r="F128" s="469" t="s">
        <v>112</v>
      </c>
      <c r="G128" s="470" t="s">
        <v>919</v>
      </c>
      <c r="H128" s="622" t="s">
        <v>916</v>
      </c>
      <c r="I128" s="633" t="s">
        <v>116</v>
      </c>
      <c r="J128" s="471" t="s">
        <v>913</v>
      </c>
      <c r="K128" s="469" t="s">
        <v>79</v>
      </c>
      <c r="L128" s="473"/>
      <c r="M128" s="623">
        <v>4</v>
      </c>
      <c r="N128" s="623">
        <v>0</v>
      </c>
      <c r="O128" s="624">
        <v>0</v>
      </c>
      <c r="P128" s="624">
        <v>0</v>
      </c>
      <c r="Q128" s="785" t="e">
        <f t="shared" si="1"/>
        <v>#VALUE!</v>
      </c>
      <c r="R128" s="468" t="s">
        <v>1719</v>
      </c>
      <c r="S128" s="629"/>
    </row>
    <row r="129" spans="1:19" ht="15" x14ac:dyDescent="0.25">
      <c r="A129" s="621" t="s">
        <v>351</v>
      </c>
      <c r="B129" s="466" t="s">
        <v>111</v>
      </c>
      <c r="C129" s="631" t="s">
        <v>740</v>
      </c>
      <c r="D129" s="467" t="s">
        <v>883</v>
      </c>
      <c r="E129" s="474" t="s">
        <v>1726</v>
      </c>
      <c r="F129" s="469" t="s">
        <v>112</v>
      </c>
      <c r="G129" s="470" t="s">
        <v>919</v>
      </c>
      <c r="H129" s="622" t="s">
        <v>916</v>
      </c>
      <c r="I129" s="633" t="s">
        <v>116</v>
      </c>
      <c r="J129" s="471" t="s">
        <v>913</v>
      </c>
      <c r="K129" s="469" t="s">
        <v>79</v>
      </c>
      <c r="L129" s="473"/>
      <c r="M129" s="623">
        <v>0</v>
      </c>
      <c r="N129" s="623">
        <v>0</v>
      </c>
      <c r="O129" s="624">
        <v>0</v>
      </c>
      <c r="P129" s="624">
        <v>0</v>
      </c>
      <c r="Q129" s="785" t="e">
        <f t="shared" si="1"/>
        <v>#VALUE!</v>
      </c>
      <c r="R129" s="468" t="s">
        <v>1719</v>
      </c>
      <c r="S129" s="629"/>
    </row>
    <row r="130" spans="1:19" ht="15" x14ac:dyDescent="0.25">
      <c r="A130" s="621" t="s">
        <v>351</v>
      </c>
      <c r="B130" s="466" t="s">
        <v>111</v>
      </c>
      <c r="C130" s="631" t="s">
        <v>894</v>
      </c>
      <c r="D130" s="467" t="s">
        <v>889</v>
      </c>
      <c r="E130" s="474"/>
      <c r="F130" s="469" t="s">
        <v>112</v>
      </c>
      <c r="G130" s="470" t="s">
        <v>919</v>
      </c>
      <c r="H130" s="622" t="s">
        <v>917</v>
      </c>
      <c r="I130" s="633" t="s">
        <v>116</v>
      </c>
      <c r="J130" s="471" t="s">
        <v>913</v>
      </c>
      <c r="K130" s="469">
        <v>5</v>
      </c>
      <c r="L130" s="473"/>
      <c r="M130" s="623">
        <v>543</v>
      </c>
      <c r="N130" s="623">
        <v>32</v>
      </c>
      <c r="O130" s="624">
        <v>5.8931860036832415E-2</v>
      </c>
      <c r="P130" s="624">
        <v>5.8931860036832415E-2</v>
      </c>
      <c r="Q130" s="785">
        <f t="shared" si="1"/>
        <v>1.1786372007366483</v>
      </c>
      <c r="R130" s="468" t="s">
        <v>1718</v>
      </c>
      <c r="S130" s="629"/>
    </row>
    <row r="131" spans="1:19" ht="15" x14ac:dyDescent="0.25">
      <c r="A131" s="621" t="s">
        <v>351</v>
      </c>
      <c r="B131" s="466" t="s">
        <v>111</v>
      </c>
      <c r="C131" s="631" t="s">
        <v>894</v>
      </c>
      <c r="D131" s="467" t="s">
        <v>881</v>
      </c>
      <c r="E131" s="474"/>
      <c r="F131" s="469" t="s">
        <v>112</v>
      </c>
      <c r="G131" s="470" t="s">
        <v>919</v>
      </c>
      <c r="H131" s="622" t="s">
        <v>916</v>
      </c>
      <c r="I131" s="633" t="s">
        <v>116</v>
      </c>
      <c r="J131" s="471" t="s">
        <v>913</v>
      </c>
      <c r="K131" s="469">
        <v>32</v>
      </c>
      <c r="L131" s="473"/>
      <c r="M131" s="623">
        <v>78</v>
      </c>
      <c r="N131" s="623">
        <v>28</v>
      </c>
      <c r="O131" s="624">
        <v>0.35897435897435898</v>
      </c>
      <c r="P131" s="624">
        <v>0.35897435897435898</v>
      </c>
      <c r="Q131" s="785">
        <f t="shared" si="1"/>
        <v>1.1217948717948718</v>
      </c>
      <c r="R131" s="468" t="s">
        <v>1718</v>
      </c>
      <c r="S131" s="629"/>
    </row>
    <row r="132" spans="1:19" ht="15" x14ac:dyDescent="0.25">
      <c r="A132" s="621" t="s">
        <v>351</v>
      </c>
      <c r="B132" s="466" t="s">
        <v>111</v>
      </c>
      <c r="C132" s="631" t="s">
        <v>894</v>
      </c>
      <c r="D132" s="467" t="s">
        <v>883</v>
      </c>
      <c r="E132" s="474" t="s">
        <v>1727</v>
      </c>
      <c r="F132" s="469" t="s">
        <v>112</v>
      </c>
      <c r="G132" s="470" t="s">
        <v>919</v>
      </c>
      <c r="H132" s="622" t="s">
        <v>916</v>
      </c>
      <c r="I132" s="633" t="s">
        <v>116</v>
      </c>
      <c r="J132" s="471" t="s">
        <v>913</v>
      </c>
      <c r="K132" s="469">
        <v>33</v>
      </c>
      <c r="L132" s="473"/>
      <c r="M132" s="623">
        <v>25</v>
      </c>
      <c r="N132" s="623">
        <v>9</v>
      </c>
      <c r="O132" s="624">
        <v>0.36</v>
      </c>
      <c r="P132" s="624">
        <v>0.36</v>
      </c>
      <c r="Q132" s="785">
        <f t="shared" si="1"/>
        <v>1.0909090909090908</v>
      </c>
      <c r="R132" s="468" t="s">
        <v>1718</v>
      </c>
      <c r="S132" s="629"/>
    </row>
    <row r="133" spans="1:19" ht="15" x14ac:dyDescent="0.25">
      <c r="A133" s="621" t="s">
        <v>351</v>
      </c>
      <c r="B133" s="466" t="s">
        <v>111</v>
      </c>
      <c r="C133" s="631" t="s">
        <v>894</v>
      </c>
      <c r="D133" s="467" t="s">
        <v>869</v>
      </c>
      <c r="E133" s="474" t="s">
        <v>1727</v>
      </c>
      <c r="F133" s="469" t="s">
        <v>112</v>
      </c>
      <c r="G133" s="470" t="s">
        <v>919</v>
      </c>
      <c r="H133" s="622" t="s">
        <v>916</v>
      </c>
      <c r="I133" s="633" t="s">
        <v>116</v>
      </c>
      <c r="J133" s="471" t="s">
        <v>913</v>
      </c>
      <c r="K133" s="469" t="s">
        <v>79</v>
      </c>
      <c r="L133" s="473"/>
      <c r="M133" s="623">
        <v>0</v>
      </c>
      <c r="N133" s="623">
        <v>0</v>
      </c>
      <c r="O133" s="624">
        <v>0</v>
      </c>
      <c r="P133" s="624">
        <v>0</v>
      </c>
      <c r="Q133" s="785" t="e">
        <f t="shared" si="1"/>
        <v>#VALUE!</v>
      </c>
      <c r="R133" s="468" t="s">
        <v>1719</v>
      </c>
      <c r="S133" s="629"/>
    </row>
    <row r="134" spans="1:19" ht="15" x14ac:dyDescent="0.25">
      <c r="A134" s="621" t="s">
        <v>351</v>
      </c>
      <c r="B134" s="466" t="s">
        <v>111</v>
      </c>
      <c r="C134" s="631" t="s">
        <v>99</v>
      </c>
      <c r="D134" s="467" t="s">
        <v>866</v>
      </c>
      <c r="E134" s="474" t="s">
        <v>1720</v>
      </c>
      <c r="F134" s="469" t="s">
        <v>112</v>
      </c>
      <c r="G134" s="470" t="s">
        <v>920</v>
      </c>
      <c r="H134" s="622" t="s">
        <v>916</v>
      </c>
      <c r="I134" s="633" t="s">
        <v>116</v>
      </c>
      <c r="J134" s="471" t="s">
        <v>913</v>
      </c>
      <c r="K134" s="469">
        <v>33</v>
      </c>
      <c r="L134" s="473"/>
      <c r="M134" s="623">
        <v>0</v>
      </c>
      <c r="N134" s="623">
        <v>0</v>
      </c>
      <c r="O134" s="624">
        <v>0</v>
      </c>
      <c r="P134" s="624">
        <v>0</v>
      </c>
      <c r="Q134" s="785" t="e">
        <f t="shared" ref="Q134:Q197" si="2">N134/(M134*K134/100)</f>
        <v>#DIV/0!</v>
      </c>
      <c r="R134" s="468" t="s">
        <v>1719</v>
      </c>
      <c r="S134" s="629"/>
    </row>
    <row r="135" spans="1:19" ht="15" x14ac:dyDescent="0.25">
      <c r="A135" s="621" t="s">
        <v>351</v>
      </c>
      <c r="B135" s="466" t="s">
        <v>111</v>
      </c>
      <c r="C135" s="631" t="s">
        <v>99</v>
      </c>
      <c r="D135" s="467" t="s">
        <v>869</v>
      </c>
      <c r="E135" s="474" t="s">
        <v>1720</v>
      </c>
      <c r="F135" s="469" t="s">
        <v>112</v>
      </c>
      <c r="G135" s="470" t="s">
        <v>920</v>
      </c>
      <c r="H135" s="622" t="s">
        <v>916</v>
      </c>
      <c r="I135" s="633" t="s">
        <v>116</v>
      </c>
      <c r="J135" s="471" t="s">
        <v>913</v>
      </c>
      <c r="K135" s="469">
        <v>33</v>
      </c>
      <c r="L135" s="473"/>
      <c r="M135" s="623">
        <v>14</v>
      </c>
      <c r="N135" s="623">
        <v>2</v>
      </c>
      <c r="O135" s="624">
        <v>0.14285714285714285</v>
      </c>
      <c r="P135" s="624">
        <v>0.14285714285714285</v>
      </c>
      <c r="Q135" s="785">
        <f t="shared" si="2"/>
        <v>0.4329004329004329</v>
      </c>
      <c r="R135" s="468" t="s">
        <v>1718</v>
      </c>
      <c r="S135" s="629"/>
    </row>
    <row r="136" spans="1:19" ht="15" x14ac:dyDescent="0.25">
      <c r="A136" s="621" t="s">
        <v>351</v>
      </c>
      <c r="B136" s="466" t="s">
        <v>111</v>
      </c>
      <c r="C136" s="631" t="s">
        <v>870</v>
      </c>
      <c r="D136" s="467" t="s">
        <v>889</v>
      </c>
      <c r="E136" s="474"/>
      <c r="F136" s="469" t="s">
        <v>112</v>
      </c>
      <c r="G136" s="470" t="s">
        <v>920</v>
      </c>
      <c r="H136" s="622" t="s">
        <v>917</v>
      </c>
      <c r="I136" s="633" t="s">
        <v>116</v>
      </c>
      <c r="J136" s="471" t="s">
        <v>913</v>
      </c>
      <c r="K136" s="469">
        <v>16</v>
      </c>
      <c r="L136" s="473"/>
      <c r="M136" s="623">
        <v>50</v>
      </c>
      <c r="N136" s="623">
        <v>4</v>
      </c>
      <c r="O136" s="624">
        <v>0.08</v>
      </c>
      <c r="P136" s="624">
        <v>0.08</v>
      </c>
      <c r="Q136" s="785">
        <f t="shared" si="2"/>
        <v>0.5</v>
      </c>
      <c r="R136" s="468" t="s">
        <v>1718</v>
      </c>
      <c r="S136" s="629"/>
    </row>
    <row r="137" spans="1:19" ht="15" x14ac:dyDescent="0.25">
      <c r="A137" s="621" t="s">
        <v>351</v>
      </c>
      <c r="B137" s="466" t="s">
        <v>111</v>
      </c>
      <c r="C137" s="631" t="s">
        <v>870</v>
      </c>
      <c r="D137" s="467" t="s">
        <v>881</v>
      </c>
      <c r="E137" s="474"/>
      <c r="F137" s="469" t="s">
        <v>112</v>
      </c>
      <c r="G137" s="470" t="s">
        <v>920</v>
      </c>
      <c r="H137" s="622" t="s">
        <v>916</v>
      </c>
      <c r="I137" s="633" t="s">
        <v>116</v>
      </c>
      <c r="J137" s="471" t="s">
        <v>913</v>
      </c>
      <c r="K137" s="469">
        <v>16</v>
      </c>
      <c r="L137" s="473"/>
      <c r="M137" s="623">
        <v>19</v>
      </c>
      <c r="N137" s="623">
        <v>3</v>
      </c>
      <c r="O137" s="624">
        <v>0.15789473684210525</v>
      </c>
      <c r="P137" s="624">
        <v>0.15789473684210525</v>
      </c>
      <c r="Q137" s="785">
        <f t="shared" si="2"/>
        <v>0.98684210526315785</v>
      </c>
      <c r="R137" s="468" t="s">
        <v>1718</v>
      </c>
      <c r="S137" s="629"/>
    </row>
    <row r="138" spans="1:19" ht="15" x14ac:dyDescent="0.25">
      <c r="A138" s="621" t="s">
        <v>351</v>
      </c>
      <c r="B138" s="466" t="s">
        <v>111</v>
      </c>
      <c r="C138" s="631" t="s">
        <v>870</v>
      </c>
      <c r="D138" s="467" t="s">
        <v>883</v>
      </c>
      <c r="E138" s="474"/>
      <c r="F138" s="469" t="s">
        <v>112</v>
      </c>
      <c r="G138" s="470" t="s">
        <v>920</v>
      </c>
      <c r="H138" s="622" t="s">
        <v>916</v>
      </c>
      <c r="I138" s="633" t="s">
        <v>116</v>
      </c>
      <c r="J138" s="471" t="s">
        <v>913</v>
      </c>
      <c r="K138" s="469">
        <v>6</v>
      </c>
      <c r="L138" s="473"/>
      <c r="M138" s="623">
        <v>39</v>
      </c>
      <c r="N138" s="623">
        <v>9</v>
      </c>
      <c r="O138" s="624">
        <v>0.23076923076923078</v>
      </c>
      <c r="P138" s="624">
        <v>0.23076923076923078</v>
      </c>
      <c r="Q138" s="785">
        <f t="shared" si="2"/>
        <v>3.8461538461538463</v>
      </c>
      <c r="R138" s="468" t="s">
        <v>1718</v>
      </c>
      <c r="S138" s="629"/>
    </row>
    <row r="139" spans="1:19" ht="15" x14ac:dyDescent="0.25">
      <c r="A139" s="621" t="s">
        <v>351</v>
      </c>
      <c r="B139" s="466" t="s">
        <v>111</v>
      </c>
      <c r="C139" s="631" t="s">
        <v>870</v>
      </c>
      <c r="D139" s="467" t="s">
        <v>866</v>
      </c>
      <c r="E139" s="474"/>
      <c r="F139" s="469" t="s">
        <v>112</v>
      </c>
      <c r="G139" s="470" t="s">
        <v>920</v>
      </c>
      <c r="H139" s="622" t="s">
        <v>916</v>
      </c>
      <c r="I139" s="633" t="s">
        <v>116</v>
      </c>
      <c r="J139" s="471" t="s">
        <v>913</v>
      </c>
      <c r="K139" s="469">
        <v>8</v>
      </c>
      <c r="L139" s="473"/>
      <c r="M139" s="623">
        <v>67</v>
      </c>
      <c r="N139" s="623">
        <v>17</v>
      </c>
      <c r="O139" s="624">
        <v>0.2537313432835821</v>
      </c>
      <c r="P139" s="624">
        <v>0.2537313432835821</v>
      </c>
      <c r="Q139" s="785">
        <f t="shared" si="2"/>
        <v>3.1716417910447761</v>
      </c>
      <c r="R139" s="468" t="s">
        <v>1718</v>
      </c>
      <c r="S139" s="629"/>
    </row>
    <row r="140" spans="1:19" ht="15" x14ac:dyDescent="0.25">
      <c r="A140" s="621" t="s">
        <v>351</v>
      </c>
      <c r="B140" s="466" t="s">
        <v>111</v>
      </c>
      <c r="C140" s="631" t="s">
        <v>870</v>
      </c>
      <c r="D140" s="467" t="s">
        <v>869</v>
      </c>
      <c r="E140" s="474"/>
      <c r="F140" s="469" t="s">
        <v>112</v>
      </c>
      <c r="G140" s="470" t="s">
        <v>920</v>
      </c>
      <c r="H140" s="622" t="s">
        <v>916</v>
      </c>
      <c r="I140" s="633" t="s">
        <v>116</v>
      </c>
      <c r="J140" s="471" t="s">
        <v>913</v>
      </c>
      <c r="K140" s="469">
        <v>5</v>
      </c>
      <c r="L140" s="473"/>
      <c r="M140" s="623">
        <v>46</v>
      </c>
      <c r="N140" s="623">
        <v>18</v>
      </c>
      <c r="O140" s="624">
        <v>0.39130434782608697</v>
      </c>
      <c r="P140" s="624">
        <v>0.39130434782608697</v>
      </c>
      <c r="Q140" s="785">
        <f t="shared" si="2"/>
        <v>7.8260869565217401</v>
      </c>
      <c r="R140" s="468" t="s">
        <v>1718</v>
      </c>
      <c r="S140" s="629"/>
    </row>
    <row r="141" spans="1:19" ht="15" x14ac:dyDescent="0.25">
      <c r="A141" s="621" t="s">
        <v>351</v>
      </c>
      <c r="B141" s="466" t="s">
        <v>111</v>
      </c>
      <c r="C141" s="631" t="s">
        <v>738</v>
      </c>
      <c r="D141" s="467" t="s">
        <v>889</v>
      </c>
      <c r="E141" s="474"/>
      <c r="F141" s="469" t="s">
        <v>112</v>
      </c>
      <c r="G141" s="470" t="s">
        <v>920</v>
      </c>
      <c r="H141" s="622" t="s">
        <v>917</v>
      </c>
      <c r="I141" s="633" t="s">
        <v>116</v>
      </c>
      <c r="J141" s="471" t="s">
        <v>913</v>
      </c>
      <c r="K141" s="469">
        <v>29</v>
      </c>
      <c r="L141" s="473"/>
      <c r="M141" s="623">
        <v>156</v>
      </c>
      <c r="N141" s="623">
        <v>7</v>
      </c>
      <c r="O141" s="624">
        <v>4.4871794871794872E-2</v>
      </c>
      <c r="P141" s="624">
        <v>4.4871794871794872E-2</v>
      </c>
      <c r="Q141" s="785">
        <f t="shared" si="2"/>
        <v>0.15473032714412024</v>
      </c>
      <c r="R141" s="468" t="s">
        <v>1718</v>
      </c>
      <c r="S141" s="629"/>
    </row>
    <row r="142" spans="1:19" ht="15" x14ac:dyDescent="0.25">
      <c r="A142" s="621" t="s">
        <v>351</v>
      </c>
      <c r="B142" s="466" t="s">
        <v>111</v>
      </c>
      <c r="C142" s="631" t="s">
        <v>738</v>
      </c>
      <c r="D142" s="467" t="s">
        <v>881</v>
      </c>
      <c r="E142" s="474" t="s">
        <v>1721</v>
      </c>
      <c r="F142" s="469" t="s">
        <v>112</v>
      </c>
      <c r="G142" s="470" t="s">
        <v>920</v>
      </c>
      <c r="H142" s="622" t="s">
        <v>916</v>
      </c>
      <c r="I142" s="633" t="s">
        <v>116</v>
      </c>
      <c r="J142" s="471" t="s">
        <v>913</v>
      </c>
      <c r="K142" s="469">
        <v>8</v>
      </c>
      <c r="L142" s="473"/>
      <c r="M142" s="623">
        <v>54</v>
      </c>
      <c r="N142" s="623">
        <v>6</v>
      </c>
      <c r="O142" s="624">
        <v>0.1111111111111111</v>
      </c>
      <c r="P142" s="624">
        <v>0.1111111111111111</v>
      </c>
      <c r="Q142" s="785">
        <f t="shared" si="2"/>
        <v>1.3888888888888888</v>
      </c>
      <c r="R142" s="468" t="s">
        <v>1718</v>
      </c>
      <c r="S142" s="629"/>
    </row>
    <row r="143" spans="1:19" ht="15" x14ac:dyDescent="0.25">
      <c r="A143" s="621" t="s">
        <v>351</v>
      </c>
      <c r="B143" s="466" t="s">
        <v>111</v>
      </c>
      <c r="C143" s="631" t="s">
        <v>738</v>
      </c>
      <c r="D143" s="467" t="s">
        <v>883</v>
      </c>
      <c r="E143" s="474" t="s">
        <v>1721</v>
      </c>
      <c r="F143" s="469" t="s">
        <v>112</v>
      </c>
      <c r="G143" s="470" t="s">
        <v>920</v>
      </c>
      <c r="H143" s="622" t="s">
        <v>916</v>
      </c>
      <c r="I143" s="633" t="s">
        <v>116</v>
      </c>
      <c r="J143" s="471" t="s">
        <v>913</v>
      </c>
      <c r="K143" s="469">
        <v>8</v>
      </c>
      <c r="L143" s="473"/>
      <c r="M143" s="623">
        <v>0</v>
      </c>
      <c r="N143" s="623">
        <v>0</v>
      </c>
      <c r="O143" s="624">
        <v>0</v>
      </c>
      <c r="P143" s="624">
        <v>0</v>
      </c>
      <c r="Q143" s="785" t="e">
        <f t="shared" si="2"/>
        <v>#DIV/0!</v>
      </c>
      <c r="R143" s="468" t="s">
        <v>1719</v>
      </c>
      <c r="S143" s="629"/>
    </row>
    <row r="144" spans="1:19" ht="15" x14ac:dyDescent="0.25">
      <c r="A144" s="621" t="s">
        <v>351</v>
      </c>
      <c r="B144" s="466" t="s">
        <v>111</v>
      </c>
      <c r="C144" s="631" t="s">
        <v>738</v>
      </c>
      <c r="D144" s="467" t="s">
        <v>866</v>
      </c>
      <c r="E144" s="474" t="s">
        <v>1722</v>
      </c>
      <c r="F144" s="469" t="s">
        <v>112</v>
      </c>
      <c r="G144" s="470" t="s">
        <v>920</v>
      </c>
      <c r="H144" s="622" t="s">
        <v>916</v>
      </c>
      <c r="I144" s="633" t="s">
        <v>116</v>
      </c>
      <c r="J144" s="471" t="s">
        <v>913</v>
      </c>
      <c r="K144" s="469">
        <v>8</v>
      </c>
      <c r="L144" s="473"/>
      <c r="M144" s="623">
        <v>0</v>
      </c>
      <c r="N144" s="623">
        <v>1</v>
      </c>
      <c r="O144" s="624">
        <v>0</v>
      </c>
      <c r="P144" s="624">
        <v>0</v>
      </c>
      <c r="Q144" s="785" t="e">
        <f t="shared" si="2"/>
        <v>#DIV/0!</v>
      </c>
      <c r="R144" s="468" t="s">
        <v>1719</v>
      </c>
      <c r="S144" s="629"/>
    </row>
    <row r="145" spans="1:19" ht="15" x14ac:dyDescent="0.25">
      <c r="A145" s="621" t="s">
        <v>351</v>
      </c>
      <c r="B145" s="466" t="s">
        <v>111</v>
      </c>
      <c r="C145" s="631" t="s">
        <v>738</v>
      </c>
      <c r="D145" s="467" t="s">
        <v>869</v>
      </c>
      <c r="E145" s="474" t="s">
        <v>1722</v>
      </c>
      <c r="F145" s="469" t="s">
        <v>112</v>
      </c>
      <c r="G145" s="470" t="s">
        <v>920</v>
      </c>
      <c r="H145" s="622" t="s">
        <v>916</v>
      </c>
      <c r="I145" s="633" t="s">
        <v>116</v>
      </c>
      <c r="J145" s="471" t="s">
        <v>913</v>
      </c>
      <c r="K145" s="469">
        <v>8</v>
      </c>
      <c r="L145" s="473"/>
      <c r="M145" s="623">
        <v>7</v>
      </c>
      <c r="N145" s="623">
        <v>2</v>
      </c>
      <c r="O145" s="624">
        <v>0.2857142857142857</v>
      </c>
      <c r="P145" s="624">
        <v>0.2857142857142857</v>
      </c>
      <c r="Q145" s="785">
        <f t="shared" si="2"/>
        <v>3.5714285714285712</v>
      </c>
      <c r="R145" s="468" t="s">
        <v>1718</v>
      </c>
      <c r="S145" s="629"/>
    </row>
    <row r="146" spans="1:19" ht="15" x14ac:dyDescent="0.25">
      <c r="A146" s="621" t="s">
        <v>351</v>
      </c>
      <c r="B146" s="466" t="s">
        <v>111</v>
      </c>
      <c r="C146" s="631" t="s">
        <v>101</v>
      </c>
      <c r="D146" s="467" t="s">
        <v>889</v>
      </c>
      <c r="E146" s="474"/>
      <c r="F146" s="469" t="s">
        <v>112</v>
      </c>
      <c r="G146" s="470" t="s">
        <v>920</v>
      </c>
      <c r="H146" s="622" t="s">
        <v>917</v>
      </c>
      <c r="I146" s="633" t="s">
        <v>116</v>
      </c>
      <c r="J146" s="471" t="s">
        <v>913</v>
      </c>
      <c r="K146" s="469">
        <v>17</v>
      </c>
      <c r="L146" s="473"/>
      <c r="M146" s="623">
        <v>112</v>
      </c>
      <c r="N146" s="623">
        <v>19</v>
      </c>
      <c r="O146" s="624">
        <v>0.16964285714285715</v>
      </c>
      <c r="P146" s="624">
        <v>0.16964285714285715</v>
      </c>
      <c r="Q146" s="785">
        <f t="shared" si="2"/>
        <v>0.99789915966386555</v>
      </c>
      <c r="R146" s="468" t="s">
        <v>1718</v>
      </c>
      <c r="S146" s="629"/>
    </row>
    <row r="147" spans="1:19" ht="15" x14ac:dyDescent="0.25">
      <c r="A147" s="621" t="s">
        <v>351</v>
      </c>
      <c r="B147" s="466" t="s">
        <v>111</v>
      </c>
      <c r="C147" s="631" t="s">
        <v>101</v>
      </c>
      <c r="D147" s="467" t="s">
        <v>881</v>
      </c>
      <c r="E147" s="474"/>
      <c r="F147" s="469" t="s">
        <v>112</v>
      </c>
      <c r="G147" s="470" t="s">
        <v>920</v>
      </c>
      <c r="H147" s="622" t="s">
        <v>916</v>
      </c>
      <c r="I147" s="633" t="s">
        <v>116</v>
      </c>
      <c r="J147" s="471" t="s">
        <v>913</v>
      </c>
      <c r="K147" s="469">
        <v>36</v>
      </c>
      <c r="L147" s="473"/>
      <c r="M147" s="623">
        <v>9</v>
      </c>
      <c r="N147" s="623">
        <v>2</v>
      </c>
      <c r="O147" s="624">
        <v>0.22222222222222221</v>
      </c>
      <c r="P147" s="624">
        <v>0.22222222222222221</v>
      </c>
      <c r="Q147" s="785">
        <f t="shared" si="2"/>
        <v>0.61728395061728392</v>
      </c>
      <c r="R147" s="468" t="s">
        <v>1718</v>
      </c>
      <c r="S147" s="629"/>
    </row>
    <row r="148" spans="1:19" ht="15" x14ac:dyDescent="0.25">
      <c r="A148" s="621" t="s">
        <v>351</v>
      </c>
      <c r="B148" s="466" t="s">
        <v>111</v>
      </c>
      <c r="C148" s="631" t="s">
        <v>101</v>
      </c>
      <c r="D148" s="467" t="s">
        <v>883</v>
      </c>
      <c r="E148" s="474" t="s">
        <v>1723</v>
      </c>
      <c r="F148" s="469" t="s">
        <v>112</v>
      </c>
      <c r="G148" s="470" t="s">
        <v>920</v>
      </c>
      <c r="H148" s="622" t="s">
        <v>916</v>
      </c>
      <c r="I148" s="633" t="s">
        <v>116</v>
      </c>
      <c r="J148" s="471" t="s">
        <v>913</v>
      </c>
      <c r="K148" s="469">
        <v>80</v>
      </c>
      <c r="L148" s="473"/>
      <c r="M148" s="623">
        <v>0</v>
      </c>
      <c r="N148" s="623">
        <v>0</v>
      </c>
      <c r="O148" s="624">
        <v>0</v>
      </c>
      <c r="P148" s="624">
        <v>0</v>
      </c>
      <c r="Q148" s="785" t="e">
        <f t="shared" si="2"/>
        <v>#DIV/0!</v>
      </c>
      <c r="R148" s="468" t="s">
        <v>1719</v>
      </c>
      <c r="S148" s="629"/>
    </row>
    <row r="149" spans="1:19" ht="15" x14ac:dyDescent="0.25">
      <c r="A149" s="621" t="s">
        <v>351</v>
      </c>
      <c r="B149" s="466" t="s">
        <v>111</v>
      </c>
      <c r="C149" s="631" t="s">
        <v>101</v>
      </c>
      <c r="D149" s="467" t="s">
        <v>866</v>
      </c>
      <c r="E149" s="474" t="s">
        <v>1723</v>
      </c>
      <c r="F149" s="469" t="s">
        <v>112</v>
      </c>
      <c r="G149" s="470" t="s">
        <v>920</v>
      </c>
      <c r="H149" s="622" t="s">
        <v>916</v>
      </c>
      <c r="I149" s="633" t="s">
        <v>116</v>
      </c>
      <c r="J149" s="471" t="s">
        <v>913</v>
      </c>
      <c r="K149" s="469" t="s">
        <v>79</v>
      </c>
      <c r="L149" s="473"/>
      <c r="M149" s="623">
        <v>13</v>
      </c>
      <c r="N149" s="623">
        <v>2</v>
      </c>
      <c r="O149" s="624">
        <v>0.15384615384615385</v>
      </c>
      <c r="P149" s="624">
        <v>0.15384615384615385</v>
      </c>
      <c r="Q149" s="785" t="e">
        <f t="shared" si="2"/>
        <v>#VALUE!</v>
      </c>
      <c r="R149" s="468" t="s">
        <v>1718</v>
      </c>
      <c r="S149" s="629"/>
    </row>
    <row r="150" spans="1:19" ht="15" x14ac:dyDescent="0.25">
      <c r="A150" s="621" t="s">
        <v>351</v>
      </c>
      <c r="B150" s="466" t="s">
        <v>111</v>
      </c>
      <c r="C150" s="631" t="s">
        <v>101</v>
      </c>
      <c r="D150" s="467" t="s">
        <v>869</v>
      </c>
      <c r="E150" s="474" t="s">
        <v>1723</v>
      </c>
      <c r="F150" s="469" t="s">
        <v>112</v>
      </c>
      <c r="G150" s="470" t="s">
        <v>920</v>
      </c>
      <c r="H150" s="622" t="s">
        <v>916</v>
      </c>
      <c r="I150" s="633" t="s">
        <v>116</v>
      </c>
      <c r="J150" s="471" t="s">
        <v>913</v>
      </c>
      <c r="K150" s="469" t="s">
        <v>79</v>
      </c>
      <c r="L150" s="473"/>
      <c r="M150" s="623">
        <v>0</v>
      </c>
      <c r="N150" s="623">
        <v>0</v>
      </c>
      <c r="O150" s="624">
        <v>0</v>
      </c>
      <c r="P150" s="624">
        <v>0</v>
      </c>
      <c r="Q150" s="785" t="e">
        <f t="shared" si="2"/>
        <v>#VALUE!</v>
      </c>
      <c r="R150" s="468" t="s">
        <v>1719</v>
      </c>
      <c r="S150" s="629"/>
    </row>
    <row r="151" spans="1:19" ht="15" x14ac:dyDescent="0.25">
      <c r="A151" s="621" t="s">
        <v>351</v>
      </c>
      <c r="B151" s="466" t="s">
        <v>111</v>
      </c>
      <c r="C151" s="631" t="s">
        <v>885</v>
      </c>
      <c r="D151" s="467" t="s">
        <v>889</v>
      </c>
      <c r="E151" s="474"/>
      <c r="F151" s="469" t="s">
        <v>112</v>
      </c>
      <c r="G151" s="470" t="s">
        <v>920</v>
      </c>
      <c r="H151" s="622" t="s">
        <v>917</v>
      </c>
      <c r="I151" s="633" t="s">
        <v>116</v>
      </c>
      <c r="J151" s="471" t="s">
        <v>913</v>
      </c>
      <c r="K151" s="469">
        <v>13</v>
      </c>
      <c r="L151" s="473"/>
      <c r="M151" s="623">
        <v>0</v>
      </c>
      <c r="N151" s="623">
        <v>0</v>
      </c>
      <c r="O151" s="624">
        <v>0</v>
      </c>
      <c r="P151" s="624">
        <v>0</v>
      </c>
      <c r="Q151" s="785" t="e">
        <f t="shared" si="2"/>
        <v>#DIV/0!</v>
      </c>
      <c r="R151" s="468" t="s">
        <v>1719</v>
      </c>
      <c r="S151" s="629"/>
    </row>
    <row r="152" spans="1:19" ht="15" x14ac:dyDescent="0.25">
      <c r="A152" s="621" t="s">
        <v>351</v>
      </c>
      <c r="B152" s="466" t="s">
        <v>111</v>
      </c>
      <c r="C152" s="631" t="s">
        <v>885</v>
      </c>
      <c r="D152" s="467" t="s">
        <v>881</v>
      </c>
      <c r="E152" s="474"/>
      <c r="F152" s="469" t="s">
        <v>112</v>
      </c>
      <c r="G152" s="470" t="s">
        <v>920</v>
      </c>
      <c r="H152" s="622" t="s">
        <v>916</v>
      </c>
      <c r="I152" s="633" t="s">
        <v>116</v>
      </c>
      <c r="J152" s="471" t="s">
        <v>913</v>
      </c>
      <c r="K152" s="469">
        <v>13</v>
      </c>
      <c r="L152" s="473"/>
      <c r="M152" s="623">
        <v>5</v>
      </c>
      <c r="N152" s="623">
        <v>0</v>
      </c>
      <c r="O152" s="624">
        <v>0</v>
      </c>
      <c r="P152" s="624">
        <v>0</v>
      </c>
      <c r="Q152" s="785">
        <f t="shared" si="2"/>
        <v>0</v>
      </c>
      <c r="R152" s="468" t="s">
        <v>1719</v>
      </c>
      <c r="S152" s="629"/>
    </row>
    <row r="153" spans="1:19" ht="15" x14ac:dyDescent="0.25">
      <c r="A153" s="621" t="s">
        <v>351</v>
      </c>
      <c r="B153" s="466" t="s">
        <v>111</v>
      </c>
      <c r="C153" s="631" t="s">
        <v>885</v>
      </c>
      <c r="D153" s="467" t="s">
        <v>883</v>
      </c>
      <c r="E153" s="474" t="s">
        <v>1724</v>
      </c>
      <c r="F153" s="469" t="s">
        <v>112</v>
      </c>
      <c r="G153" s="470" t="s">
        <v>920</v>
      </c>
      <c r="H153" s="622" t="s">
        <v>916</v>
      </c>
      <c r="I153" s="633" t="s">
        <v>116</v>
      </c>
      <c r="J153" s="471" t="s">
        <v>913</v>
      </c>
      <c r="K153" s="469" t="s">
        <v>79</v>
      </c>
      <c r="L153" s="473"/>
      <c r="M153" s="623">
        <v>5</v>
      </c>
      <c r="N153" s="623">
        <v>0</v>
      </c>
      <c r="O153" s="624">
        <v>0</v>
      </c>
      <c r="P153" s="624">
        <v>0</v>
      </c>
      <c r="Q153" s="785" t="e">
        <f t="shared" si="2"/>
        <v>#VALUE!</v>
      </c>
      <c r="R153" s="468" t="s">
        <v>1719</v>
      </c>
      <c r="S153" s="629"/>
    </row>
    <row r="154" spans="1:19" ht="15" x14ac:dyDescent="0.25">
      <c r="A154" s="621" t="s">
        <v>351</v>
      </c>
      <c r="B154" s="466" t="s">
        <v>111</v>
      </c>
      <c r="C154" s="631" t="s">
        <v>885</v>
      </c>
      <c r="D154" s="467" t="s">
        <v>866</v>
      </c>
      <c r="E154" s="474" t="s">
        <v>1724</v>
      </c>
      <c r="F154" s="469" t="s">
        <v>112</v>
      </c>
      <c r="G154" s="470" t="s">
        <v>920</v>
      </c>
      <c r="H154" s="622" t="s">
        <v>916</v>
      </c>
      <c r="I154" s="633" t="s">
        <v>116</v>
      </c>
      <c r="J154" s="471" t="s">
        <v>913</v>
      </c>
      <c r="K154" s="469" t="s">
        <v>79</v>
      </c>
      <c r="L154" s="473"/>
      <c r="M154" s="623">
        <v>0</v>
      </c>
      <c r="N154" s="623">
        <v>0</v>
      </c>
      <c r="O154" s="624">
        <v>0</v>
      </c>
      <c r="P154" s="624">
        <v>0</v>
      </c>
      <c r="Q154" s="785" t="e">
        <f t="shared" si="2"/>
        <v>#VALUE!</v>
      </c>
      <c r="R154" s="468" t="s">
        <v>1719</v>
      </c>
      <c r="S154" s="629"/>
    </row>
    <row r="155" spans="1:19" ht="15" x14ac:dyDescent="0.25">
      <c r="A155" s="621" t="s">
        <v>351</v>
      </c>
      <c r="B155" s="466" t="s">
        <v>111</v>
      </c>
      <c r="C155" s="631" t="s">
        <v>885</v>
      </c>
      <c r="D155" s="467" t="s">
        <v>869</v>
      </c>
      <c r="E155" s="474"/>
      <c r="F155" s="469" t="s">
        <v>112</v>
      </c>
      <c r="G155" s="470" t="s">
        <v>920</v>
      </c>
      <c r="H155" s="622" t="s">
        <v>916</v>
      </c>
      <c r="I155" s="633" t="s">
        <v>116</v>
      </c>
      <c r="J155" s="471" t="s">
        <v>913</v>
      </c>
      <c r="K155" s="469">
        <v>25</v>
      </c>
      <c r="L155" s="473"/>
      <c r="M155" s="623">
        <v>12</v>
      </c>
      <c r="N155" s="623">
        <v>5</v>
      </c>
      <c r="O155" s="624">
        <v>0.41666666666666669</v>
      </c>
      <c r="P155" s="624">
        <v>0.41666666666666669</v>
      </c>
      <c r="Q155" s="785">
        <f t="shared" si="2"/>
        <v>1.6666666666666667</v>
      </c>
      <c r="R155" s="468" t="s">
        <v>1718</v>
      </c>
      <c r="S155" s="629"/>
    </row>
    <row r="156" spans="1:19" ht="15" x14ac:dyDescent="0.25">
      <c r="A156" s="621" t="s">
        <v>351</v>
      </c>
      <c r="B156" s="466" t="s">
        <v>111</v>
      </c>
      <c r="C156" s="631" t="s">
        <v>885</v>
      </c>
      <c r="D156" s="467" t="s">
        <v>887</v>
      </c>
      <c r="E156" s="474"/>
      <c r="F156" s="469" t="s">
        <v>112</v>
      </c>
      <c r="G156" s="470" t="s">
        <v>920</v>
      </c>
      <c r="H156" s="622" t="s">
        <v>916</v>
      </c>
      <c r="I156" s="633" t="s">
        <v>116</v>
      </c>
      <c r="J156" s="471" t="s">
        <v>913</v>
      </c>
      <c r="K156" s="469">
        <v>10</v>
      </c>
      <c r="L156" s="473"/>
      <c r="M156" s="623">
        <v>20</v>
      </c>
      <c r="N156" s="623">
        <v>8</v>
      </c>
      <c r="O156" s="624">
        <v>0.4</v>
      </c>
      <c r="P156" s="624">
        <v>0.4</v>
      </c>
      <c r="Q156" s="785">
        <f t="shared" si="2"/>
        <v>4</v>
      </c>
      <c r="R156" s="468" t="s">
        <v>1718</v>
      </c>
      <c r="S156" s="629"/>
    </row>
    <row r="157" spans="1:19" ht="15" x14ac:dyDescent="0.25">
      <c r="A157" s="621" t="s">
        <v>351</v>
      </c>
      <c r="B157" s="466" t="s">
        <v>111</v>
      </c>
      <c r="C157" s="631" t="s">
        <v>904</v>
      </c>
      <c r="D157" s="467" t="s">
        <v>881</v>
      </c>
      <c r="E157" s="474" t="s">
        <v>1718</v>
      </c>
      <c r="F157" s="469" t="s">
        <v>112</v>
      </c>
      <c r="G157" s="470" t="s">
        <v>920</v>
      </c>
      <c r="H157" s="622" t="s">
        <v>916</v>
      </c>
      <c r="I157" s="633" t="s">
        <v>116</v>
      </c>
      <c r="J157" s="471" t="s">
        <v>913</v>
      </c>
      <c r="K157" s="469" t="s">
        <v>79</v>
      </c>
      <c r="L157" s="473"/>
      <c r="M157" s="623">
        <v>0</v>
      </c>
      <c r="N157" s="623">
        <v>0</v>
      </c>
      <c r="O157" s="624">
        <v>0</v>
      </c>
      <c r="P157" s="624">
        <v>0</v>
      </c>
      <c r="Q157" s="785" t="e">
        <f t="shared" si="2"/>
        <v>#VALUE!</v>
      </c>
      <c r="R157" s="468" t="s">
        <v>1719</v>
      </c>
      <c r="S157" s="629"/>
    </row>
    <row r="158" spans="1:19" ht="15" x14ac:dyDescent="0.25">
      <c r="A158" s="621" t="s">
        <v>351</v>
      </c>
      <c r="B158" s="466" t="s">
        <v>111</v>
      </c>
      <c r="C158" s="631" t="s">
        <v>904</v>
      </c>
      <c r="D158" s="467" t="s">
        <v>883</v>
      </c>
      <c r="E158" s="474" t="s">
        <v>1725</v>
      </c>
      <c r="F158" s="469" t="s">
        <v>112</v>
      </c>
      <c r="G158" s="470" t="s">
        <v>920</v>
      </c>
      <c r="H158" s="622" t="s">
        <v>916</v>
      </c>
      <c r="I158" s="633" t="s">
        <v>116</v>
      </c>
      <c r="J158" s="471" t="s">
        <v>913</v>
      </c>
      <c r="K158" s="469" t="s">
        <v>79</v>
      </c>
      <c r="L158" s="473"/>
      <c r="M158" s="623">
        <v>1</v>
      </c>
      <c r="N158" s="623">
        <v>1</v>
      </c>
      <c r="O158" s="624">
        <v>1</v>
      </c>
      <c r="P158" s="624">
        <v>1</v>
      </c>
      <c r="Q158" s="785" t="e">
        <f t="shared" si="2"/>
        <v>#VALUE!</v>
      </c>
      <c r="R158" s="468" t="s">
        <v>1718</v>
      </c>
      <c r="S158" s="629"/>
    </row>
    <row r="159" spans="1:19" ht="15" x14ac:dyDescent="0.25">
      <c r="A159" s="621" t="s">
        <v>351</v>
      </c>
      <c r="B159" s="466" t="s">
        <v>111</v>
      </c>
      <c r="C159" s="631" t="s">
        <v>740</v>
      </c>
      <c r="D159" s="467" t="s">
        <v>889</v>
      </c>
      <c r="E159" s="474"/>
      <c r="F159" s="469" t="s">
        <v>112</v>
      </c>
      <c r="G159" s="470" t="s">
        <v>920</v>
      </c>
      <c r="H159" s="622" t="s">
        <v>917</v>
      </c>
      <c r="I159" s="633" t="s">
        <v>116</v>
      </c>
      <c r="J159" s="471" t="s">
        <v>913</v>
      </c>
      <c r="K159" s="469">
        <v>38</v>
      </c>
      <c r="L159" s="473"/>
      <c r="M159" s="623">
        <v>37</v>
      </c>
      <c r="N159" s="623">
        <v>3</v>
      </c>
      <c r="O159" s="624">
        <v>8.1081081081081086E-2</v>
      </c>
      <c r="P159" s="624">
        <v>8.1081081081081086E-2</v>
      </c>
      <c r="Q159" s="785">
        <f t="shared" si="2"/>
        <v>0.21337126600284495</v>
      </c>
      <c r="R159" s="468" t="s">
        <v>1718</v>
      </c>
      <c r="S159" s="629"/>
    </row>
    <row r="160" spans="1:19" ht="15" x14ac:dyDescent="0.25">
      <c r="A160" s="621" t="s">
        <v>351</v>
      </c>
      <c r="B160" s="466" t="s">
        <v>111</v>
      </c>
      <c r="C160" s="631" t="s">
        <v>740</v>
      </c>
      <c r="D160" s="467" t="s">
        <v>881</v>
      </c>
      <c r="E160" s="474" t="s">
        <v>1726</v>
      </c>
      <c r="F160" s="469" t="s">
        <v>112</v>
      </c>
      <c r="G160" s="470" t="s">
        <v>920</v>
      </c>
      <c r="H160" s="622" t="s">
        <v>916</v>
      </c>
      <c r="I160" s="633" t="s">
        <v>116</v>
      </c>
      <c r="J160" s="471" t="s">
        <v>913</v>
      </c>
      <c r="K160" s="469" t="s">
        <v>79</v>
      </c>
      <c r="L160" s="473"/>
      <c r="M160" s="623">
        <v>4</v>
      </c>
      <c r="N160" s="623">
        <v>0</v>
      </c>
      <c r="O160" s="624">
        <v>0</v>
      </c>
      <c r="P160" s="624">
        <v>0</v>
      </c>
      <c r="Q160" s="785" t="e">
        <f t="shared" si="2"/>
        <v>#VALUE!</v>
      </c>
      <c r="R160" s="468" t="s">
        <v>1719</v>
      </c>
      <c r="S160" s="629"/>
    </row>
    <row r="161" spans="1:19" ht="15" x14ac:dyDescent="0.25">
      <c r="A161" s="621" t="s">
        <v>351</v>
      </c>
      <c r="B161" s="466" t="s">
        <v>111</v>
      </c>
      <c r="C161" s="631" t="s">
        <v>740</v>
      </c>
      <c r="D161" s="467" t="s">
        <v>883</v>
      </c>
      <c r="E161" s="474" t="s">
        <v>1726</v>
      </c>
      <c r="F161" s="469" t="s">
        <v>112</v>
      </c>
      <c r="G161" s="470" t="s">
        <v>920</v>
      </c>
      <c r="H161" s="622" t="s">
        <v>916</v>
      </c>
      <c r="I161" s="633" t="s">
        <v>116</v>
      </c>
      <c r="J161" s="471" t="s">
        <v>913</v>
      </c>
      <c r="K161" s="469" t="s">
        <v>79</v>
      </c>
      <c r="L161" s="473"/>
      <c r="M161" s="623">
        <v>0</v>
      </c>
      <c r="N161" s="623">
        <v>0</v>
      </c>
      <c r="O161" s="624">
        <v>0</v>
      </c>
      <c r="P161" s="624">
        <v>0</v>
      </c>
      <c r="Q161" s="785" t="e">
        <f t="shared" si="2"/>
        <v>#VALUE!</v>
      </c>
      <c r="R161" s="468" t="s">
        <v>1719</v>
      </c>
      <c r="S161" s="629"/>
    </row>
    <row r="162" spans="1:19" ht="15" x14ac:dyDescent="0.25">
      <c r="A162" s="621" t="s">
        <v>351</v>
      </c>
      <c r="B162" s="466" t="s">
        <v>111</v>
      </c>
      <c r="C162" s="631" t="s">
        <v>894</v>
      </c>
      <c r="D162" s="467" t="s">
        <v>889</v>
      </c>
      <c r="E162" s="474"/>
      <c r="F162" s="469" t="s">
        <v>112</v>
      </c>
      <c r="G162" s="470" t="s">
        <v>920</v>
      </c>
      <c r="H162" s="622" t="s">
        <v>917</v>
      </c>
      <c r="I162" s="633" t="s">
        <v>116</v>
      </c>
      <c r="J162" s="471" t="s">
        <v>913</v>
      </c>
      <c r="K162" s="469">
        <v>5</v>
      </c>
      <c r="L162" s="473"/>
      <c r="M162" s="623">
        <v>543</v>
      </c>
      <c r="N162" s="623">
        <v>32</v>
      </c>
      <c r="O162" s="624">
        <v>5.8931860036832415E-2</v>
      </c>
      <c r="P162" s="624">
        <v>5.8931860036832415E-2</v>
      </c>
      <c r="Q162" s="785">
        <f t="shared" si="2"/>
        <v>1.1786372007366483</v>
      </c>
      <c r="R162" s="468" t="s">
        <v>1718</v>
      </c>
      <c r="S162" s="629"/>
    </row>
    <row r="163" spans="1:19" ht="15" x14ac:dyDescent="0.25">
      <c r="A163" s="621" t="s">
        <v>351</v>
      </c>
      <c r="B163" s="466" t="s">
        <v>111</v>
      </c>
      <c r="C163" s="631" t="s">
        <v>894</v>
      </c>
      <c r="D163" s="467" t="s">
        <v>881</v>
      </c>
      <c r="E163" s="474"/>
      <c r="F163" s="469" t="s">
        <v>112</v>
      </c>
      <c r="G163" s="470" t="s">
        <v>920</v>
      </c>
      <c r="H163" s="622" t="s">
        <v>916</v>
      </c>
      <c r="I163" s="633" t="s">
        <v>116</v>
      </c>
      <c r="J163" s="471" t="s">
        <v>913</v>
      </c>
      <c r="K163" s="469">
        <v>32</v>
      </c>
      <c r="L163" s="473"/>
      <c r="M163" s="623">
        <v>78</v>
      </c>
      <c r="N163" s="623">
        <v>28</v>
      </c>
      <c r="O163" s="624">
        <v>0.35897435897435898</v>
      </c>
      <c r="P163" s="624">
        <v>0.35897435897435898</v>
      </c>
      <c r="Q163" s="785">
        <f t="shared" si="2"/>
        <v>1.1217948717948718</v>
      </c>
      <c r="R163" s="468" t="s">
        <v>1718</v>
      </c>
      <c r="S163" s="629"/>
    </row>
    <row r="164" spans="1:19" ht="15" x14ac:dyDescent="0.25">
      <c r="A164" s="621" t="s">
        <v>351</v>
      </c>
      <c r="B164" s="466" t="s">
        <v>111</v>
      </c>
      <c r="C164" s="631" t="s">
        <v>894</v>
      </c>
      <c r="D164" s="467" t="s">
        <v>883</v>
      </c>
      <c r="E164" s="474" t="s">
        <v>1727</v>
      </c>
      <c r="F164" s="469" t="s">
        <v>112</v>
      </c>
      <c r="G164" s="470" t="s">
        <v>920</v>
      </c>
      <c r="H164" s="622" t="s">
        <v>916</v>
      </c>
      <c r="I164" s="633" t="s">
        <v>116</v>
      </c>
      <c r="J164" s="471" t="s">
        <v>913</v>
      </c>
      <c r="K164" s="469">
        <v>33</v>
      </c>
      <c r="L164" s="473"/>
      <c r="M164" s="623">
        <v>25</v>
      </c>
      <c r="N164" s="623">
        <v>9</v>
      </c>
      <c r="O164" s="624">
        <v>0.36</v>
      </c>
      <c r="P164" s="624">
        <v>0.36</v>
      </c>
      <c r="Q164" s="785">
        <f t="shared" si="2"/>
        <v>1.0909090909090908</v>
      </c>
      <c r="R164" s="468" t="s">
        <v>1718</v>
      </c>
      <c r="S164" s="629"/>
    </row>
    <row r="165" spans="1:19" ht="15" x14ac:dyDescent="0.25">
      <c r="A165" s="621" t="s">
        <v>351</v>
      </c>
      <c r="B165" s="466" t="s">
        <v>111</v>
      </c>
      <c r="C165" s="631" t="s">
        <v>894</v>
      </c>
      <c r="D165" s="467" t="s">
        <v>869</v>
      </c>
      <c r="E165" s="474" t="s">
        <v>1727</v>
      </c>
      <c r="F165" s="469" t="s">
        <v>112</v>
      </c>
      <c r="G165" s="470" t="s">
        <v>920</v>
      </c>
      <c r="H165" s="622" t="s">
        <v>916</v>
      </c>
      <c r="I165" s="633" t="s">
        <v>116</v>
      </c>
      <c r="J165" s="471" t="s">
        <v>913</v>
      </c>
      <c r="K165" s="469" t="s">
        <v>79</v>
      </c>
      <c r="L165" s="473"/>
      <c r="M165" s="623">
        <v>0</v>
      </c>
      <c r="N165" s="623">
        <v>0</v>
      </c>
      <c r="O165" s="624">
        <v>0</v>
      </c>
      <c r="P165" s="624">
        <v>0</v>
      </c>
      <c r="Q165" s="785" t="e">
        <f t="shared" si="2"/>
        <v>#VALUE!</v>
      </c>
      <c r="R165" s="468" t="s">
        <v>1719</v>
      </c>
      <c r="S165" s="629"/>
    </row>
    <row r="166" spans="1:19" ht="15" x14ac:dyDescent="0.25">
      <c r="A166" s="621" t="s">
        <v>351</v>
      </c>
      <c r="B166" s="466" t="s">
        <v>111</v>
      </c>
      <c r="C166" s="631" t="s">
        <v>99</v>
      </c>
      <c r="D166" s="467" t="s">
        <v>866</v>
      </c>
      <c r="E166" s="474" t="s">
        <v>1720</v>
      </c>
      <c r="F166" s="469" t="s">
        <v>112</v>
      </c>
      <c r="G166" s="470" t="s">
        <v>1790</v>
      </c>
      <c r="H166" s="622" t="s">
        <v>916</v>
      </c>
      <c r="I166" s="633" t="s">
        <v>116</v>
      </c>
      <c r="J166" s="471" t="s">
        <v>913</v>
      </c>
      <c r="K166" s="469">
        <v>33</v>
      </c>
      <c r="L166" s="473"/>
      <c r="M166" s="623">
        <v>0</v>
      </c>
      <c r="N166" s="623">
        <v>0</v>
      </c>
      <c r="O166" s="624">
        <v>0</v>
      </c>
      <c r="P166" s="624">
        <v>0</v>
      </c>
      <c r="Q166" s="785" t="e">
        <f t="shared" si="2"/>
        <v>#DIV/0!</v>
      </c>
      <c r="R166" s="468" t="s">
        <v>1719</v>
      </c>
      <c r="S166" s="629"/>
    </row>
    <row r="167" spans="1:19" ht="15" x14ac:dyDescent="0.25">
      <c r="A167" s="621" t="s">
        <v>351</v>
      </c>
      <c r="B167" s="466" t="s">
        <v>111</v>
      </c>
      <c r="C167" s="631" t="s">
        <v>99</v>
      </c>
      <c r="D167" s="467" t="s">
        <v>869</v>
      </c>
      <c r="E167" s="474" t="s">
        <v>1720</v>
      </c>
      <c r="F167" s="469" t="s">
        <v>112</v>
      </c>
      <c r="G167" s="470" t="s">
        <v>1790</v>
      </c>
      <c r="H167" s="622" t="s">
        <v>916</v>
      </c>
      <c r="I167" s="633" t="s">
        <v>116</v>
      </c>
      <c r="J167" s="471" t="s">
        <v>913</v>
      </c>
      <c r="K167" s="469">
        <v>33</v>
      </c>
      <c r="L167" s="473"/>
      <c r="M167" s="623">
        <v>14</v>
      </c>
      <c r="N167" s="623">
        <v>2</v>
      </c>
      <c r="O167" s="624">
        <v>0.14285714285714285</v>
      </c>
      <c r="P167" s="624">
        <v>0.14285714285714285</v>
      </c>
      <c r="Q167" s="785">
        <f t="shared" si="2"/>
        <v>0.4329004329004329</v>
      </c>
      <c r="R167" s="468" t="s">
        <v>1718</v>
      </c>
      <c r="S167" s="629"/>
    </row>
    <row r="168" spans="1:19" ht="15" x14ac:dyDescent="0.25">
      <c r="A168" s="621" t="s">
        <v>351</v>
      </c>
      <c r="B168" s="466" t="s">
        <v>111</v>
      </c>
      <c r="C168" s="631" t="s">
        <v>870</v>
      </c>
      <c r="D168" s="467" t="s">
        <v>889</v>
      </c>
      <c r="E168" s="474"/>
      <c r="F168" s="469" t="s">
        <v>112</v>
      </c>
      <c r="G168" s="470" t="s">
        <v>1790</v>
      </c>
      <c r="H168" s="622" t="s">
        <v>917</v>
      </c>
      <c r="I168" s="633" t="s">
        <v>116</v>
      </c>
      <c r="J168" s="471" t="s">
        <v>913</v>
      </c>
      <c r="K168" s="469">
        <v>16</v>
      </c>
      <c r="L168" s="473"/>
      <c r="M168" s="623">
        <v>50</v>
      </c>
      <c r="N168" s="623">
        <v>4</v>
      </c>
      <c r="O168" s="624">
        <v>0.08</v>
      </c>
      <c r="P168" s="624">
        <v>0.08</v>
      </c>
      <c r="Q168" s="785">
        <f t="shared" si="2"/>
        <v>0.5</v>
      </c>
      <c r="R168" s="468" t="s">
        <v>1718</v>
      </c>
      <c r="S168" s="629"/>
    </row>
    <row r="169" spans="1:19" ht="15" x14ac:dyDescent="0.25">
      <c r="A169" s="621" t="s">
        <v>351</v>
      </c>
      <c r="B169" s="466" t="s">
        <v>111</v>
      </c>
      <c r="C169" s="631" t="s">
        <v>870</v>
      </c>
      <c r="D169" s="467" t="s">
        <v>881</v>
      </c>
      <c r="E169" s="474"/>
      <c r="F169" s="469" t="s">
        <v>112</v>
      </c>
      <c r="G169" s="470" t="s">
        <v>1790</v>
      </c>
      <c r="H169" s="622" t="s">
        <v>916</v>
      </c>
      <c r="I169" s="633" t="s">
        <v>116</v>
      </c>
      <c r="J169" s="471" t="s">
        <v>913</v>
      </c>
      <c r="K169" s="469">
        <v>16</v>
      </c>
      <c r="L169" s="473"/>
      <c r="M169" s="623">
        <v>19</v>
      </c>
      <c r="N169" s="623">
        <v>3</v>
      </c>
      <c r="O169" s="624">
        <v>0.15789473684210525</v>
      </c>
      <c r="P169" s="624">
        <v>0.15789473684210525</v>
      </c>
      <c r="Q169" s="785">
        <f t="shared" si="2"/>
        <v>0.98684210526315785</v>
      </c>
      <c r="R169" s="468" t="s">
        <v>1718</v>
      </c>
      <c r="S169" s="629"/>
    </row>
    <row r="170" spans="1:19" ht="15" x14ac:dyDescent="0.25">
      <c r="A170" s="621" t="s">
        <v>351</v>
      </c>
      <c r="B170" s="466" t="s">
        <v>111</v>
      </c>
      <c r="C170" s="631" t="s">
        <v>870</v>
      </c>
      <c r="D170" s="467" t="s">
        <v>883</v>
      </c>
      <c r="E170" s="474"/>
      <c r="F170" s="469" t="s">
        <v>112</v>
      </c>
      <c r="G170" s="470" t="s">
        <v>1790</v>
      </c>
      <c r="H170" s="622" t="s">
        <v>916</v>
      </c>
      <c r="I170" s="633" t="s">
        <v>116</v>
      </c>
      <c r="J170" s="471" t="s">
        <v>913</v>
      </c>
      <c r="K170" s="469">
        <v>6</v>
      </c>
      <c r="L170" s="473"/>
      <c r="M170" s="623">
        <v>39</v>
      </c>
      <c r="N170" s="623">
        <v>9</v>
      </c>
      <c r="O170" s="624">
        <v>0.23076923076923078</v>
      </c>
      <c r="P170" s="624">
        <v>0.23076923076923078</v>
      </c>
      <c r="Q170" s="785">
        <f t="shared" si="2"/>
        <v>3.8461538461538463</v>
      </c>
      <c r="R170" s="468" t="s">
        <v>1718</v>
      </c>
      <c r="S170" s="629"/>
    </row>
    <row r="171" spans="1:19" ht="15" x14ac:dyDescent="0.25">
      <c r="A171" s="621" t="s">
        <v>351</v>
      </c>
      <c r="B171" s="466" t="s">
        <v>111</v>
      </c>
      <c r="C171" s="631" t="s">
        <v>870</v>
      </c>
      <c r="D171" s="467" t="s">
        <v>866</v>
      </c>
      <c r="E171" s="474"/>
      <c r="F171" s="469" t="s">
        <v>112</v>
      </c>
      <c r="G171" s="470" t="s">
        <v>1790</v>
      </c>
      <c r="H171" s="622" t="s">
        <v>916</v>
      </c>
      <c r="I171" s="633" t="s">
        <v>116</v>
      </c>
      <c r="J171" s="471" t="s">
        <v>913</v>
      </c>
      <c r="K171" s="469">
        <v>8</v>
      </c>
      <c r="L171" s="473"/>
      <c r="M171" s="623">
        <v>67</v>
      </c>
      <c r="N171" s="623">
        <v>17</v>
      </c>
      <c r="O171" s="624">
        <v>0.2537313432835821</v>
      </c>
      <c r="P171" s="624">
        <v>0.2537313432835821</v>
      </c>
      <c r="Q171" s="785">
        <f t="shared" si="2"/>
        <v>3.1716417910447761</v>
      </c>
      <c r="R171" s="468" t="s">
        <v>1718</v>
      </c>
      <c r="S171" s="629"/>
    </row>
    <row r="172" spans="1:19" ht="15" x14ac:dyDescent="0.25">
      <c r="A172" s="621" t="s">
        <v>351</v>
      </c>
      <c r="B172" s="466" t="s">
        <v>111</v>
      </c>
      <c r="C172" s="631" t="s">
        <v>870</v>
      </c>
      <c r="D172" s="467" t="s">
        <v>869</v>
      </c>
      <c r="E172" s="474"/>
      <c r="F172" s="469" t="s">
        <v>112</v>
      </c>
      <c r="G172" s="470" t="s">
        <v>1790</v>
      </c>
      <c r="H172" s="622" t="s">
        <v>916</v>
      </c>
      <c r="I172" s="633" t="s">
        <v>116</v>
      </c>
      <c r="J172" s="471" t="s">
        <v>913</v>
      </c>
      <c r="K172" s="469">
        <v>5</v>
      </c>
      <c r="L172" s="473"/>
      <c r="M172" s="623">
        <v>46</v>
      </c>
      <c r="N172" s="623">
        <v>18</v>
      </c>
      <c r="O172" s="624">
        <v>0.39130434782608697</v>
      </c>
      <c r="P172" s="624">
        <v>0.39130434782608697</v>
      </c>
      <c r="Q172" s="785">
        <f t="shared" si="2"/>
        <v>7.8260869565217401</v>
      </c>
      <c r="R172" s="468" t="s">
        <v>1718</v>
      </c>
      <c r="S172" s="629"/>
    </row>
    <row r="173" spans="1:19" ht="15" x14ac:dyDescent="0.25">
      <c r="A173" s="621" t="s">
        <v>351</v>
      </c>
      <c r="B173" s="466" t="s">
        <v>111</v>
      </c>
      <c r="C173" s="631" t="s">
        <v>738</v>
      </c>
      <c r="D173" s="467" t="s">
        <v>889</v>
      </c>
      <c r="E173" s="474"/>
      <c r="F173" s="469" t="s">
        <v>112</v>
      </c>
      <c r="G173" s="470" t="s">
        <v>1790</v>
      </c>
      <c r="H173" s="622" t="s">
        <v>917</v>
      </c>
      <c r="I173" s="633" t="s">
        <v>116</v>
      </c>
      <c r="J173" s="471" t="s">
        <v>913</v>
      </c>
      <c r="K173" s="469">
        <v>29</v>
      </c>
      <c r="L173" s="473"/>
      <c r="M173" s="623">
        <v>156</v>
      </c>
      <c r="N173" s="623">
        <v>7</v>
      </c>
      <c r="O173" s="624">
        <v>4.4871794871794872E-2</v>
      </c>
      <c r="P173" s="624">
        <v>4.4871794871794872E-2</v>
      </c>
      <c r="Q173" s="785">
        <f t="shared" si="2"/>
        <v>0.15473032714412024</v>
      </c>
      <c r="R173" s="468" t="s">
        <v>1718</v>
      </c>
      <c r="S173" s="629"/>
    </row>
    <row r="174" spans="1:19" ht="15" x14ac:dyDescent="0.25">
      <c r="A174" s="621" t="s">
        <v>351</v>
      </c>
      <c r="B174" s="466" t="s">
        <v>111</v>
      </c>
      <c r="C174" s="631" t="s">
        <v>738</v>
      </c>
      <c r="D174" s="467" t="s">
        <v>881</v>
      </c>
      <c r="E174" s="474" t="s">
        <v>1721</v>
      </c>
      <c r="F174" s="469" t="s">
        <v>112</v>
      </c>
      <c r="G174" s="470" t="s">
        <v>1790</v>
      </c>
      <c r="H174" s="622" t="s">
        <v>916</v>
      </c>
      <c r="I174" s="633" t="s">
        <v>116</v>
      </c>
      <c r="J174" s="471" t="s">
        <v>913</v>
      </c>
      <c r="K174" s="469">
        <v>8</v>
      </c>
      <c r="L174" s="473"/>
      <c r="M174" s="623">
        <v>54</v>
      </c>
      <c r="N174" s="623">
        <v>6</v>
      </c>
      <c r="O174" s="624">
        <v>0.1111111111111111</v>
      </c>
      <c r="P174" s="624">
        <v>0.1111111111111111</v>
      </c>
      <c r="Q174" s="785">
        <f t="shared" si="2"/>
        <v>1.3888888888888888</v>
      </c>
      <c r="R174" s="468" t="s">
        <v>1718</v>
      </c>
      <c r="S174" s="629"/>
    </row>
    <row r="175" spans="1:19" ht="15" x14ac:dyDescent="0.25">
      <c r="A175" s="621" t="s">
        <v>351</v>
      </c>
      <c r="B175" s="466" t="s">
        <v>111</v>
      </c>
      <c r="C175" s="631" t="s">
        <v>738</v>
      </c>
      <c r="D175" s="467" t="s">
        <v>883</v>
      </c>
      <c r="E175" s="474" t="s">
        <v>1721</v>
      </c>
      <c r="F175" s="469" t="s">
        <v>112</v>
      </c>
      <c r="G175" s="470" t="s">
        <v>1790</v>
      </c>
      <c r="H175" s="622" t="s">
        <v>916</v>
      </c>
      <c r="I175" s="633" t="s">
        <v>116</v>
      </c>
      <c r="J175" s="471" t="s">
        <v>913</v>
      </c>
      <c r="K175" s="469">
        <v>8</v>
      </c>
      <c r="L175" s="473"/>
      <c r="M175" s="623">
        <v>0</v>
      </c>
      <c r="N175" s="623">
        <v>0</v>
      </c>
      <c r="O175" s="624">
        <v>0</v>
      </c>
      <c r="P175" s="624">
        <v>0</v>
      </c>
      <c r="Q175" s="785" t="e">
        <f t="shared" si="2"/>
        <v>#DIV/0!</v>
      </c>
      <c r="R175" s="468" t="s">
        <v>1719</v>
      </c>
      <c r="S175" s="629"/>
    </row>
    <row r="176" spans="1:19" ht="15" x14ac:dyDescent="0.25">
      <c r="A176" s="621" t="s">
        <v>351</v>
      </c>
      <c r="B176" s="466" t="s">
        <v>111</v>
      </c>
      <c r="C176" s="631" t="s">
        <v>738</v>
      </c>
      <c r="D176" s="467" t="s">
        <v>866</v>
      </c>
      <c r="E176" s="474" t="s">
        <v>1722</v>
      </c>
      <c r="F176" s="469" t="s">
        <v>112</v>
      </c>
      <c r="G176" s="470" t="s">
        <v>1790</v>
      </c>
      <c r="H176" s="622" t="s">
        <v>916</v>
      </c>
      <c r="I176" s="633" t="s">
        <v>116</v>
      </c>
      <c r="J176" s="471" t="s">
        <v>913</v>
      </c>
      <c r="K176" s="469">
        <v>8</v>
      </c>
      <c r="L176" s="473"/>
      <c r="M176" s="623">
        <v>0</v>
      </c>
      <c r="N176" s="623">
        <v>1</v>
      </c>
      <c r="O176" s="624">
        <v>0</v>
      </c>
      <c r="P176" s="624">
        <v>0</v>
      </c>
      <c r="Q176" s="785" t="e">
        <f t="shared" si="2"/>
        <v>#DIV/0!</v>
      </c>
      <c r="R176" s="468" t="s">
        <v>1719</v>
      </c>
      <c r="S176" s="629"/>
    </row>
    <row r="177" spans="1:19" ht="15" x14ac:dyDescent="0.25">
      <c r="A177" s="621" t="s">
        <v>351</v>
      </c>
      <c r="B177" s="466" t="s">
        <v>111</v>
      </c>
      <c r="C177" s="631" t="s">
        <v>738</v>
      </c>
      <c r="D177" s="467" t="s">
        <v>869</v>
      </c>
      <c r="E177" s="474" t="s">
        <v>1722</v>
      </c>
      <c r="F177" s="469" t="s">
        <v>112</v>
      </c>
      <c r="G177" s="470" t="s">
        <v>1790</v>
      </c>
      <c r="H177" s="622" t="s">
        <v>916</v>
      </c>
      <c r="I177" s="633" t="s">
        <v>116</v>
      </c>
      <c r="J177" s="471" t="s">
        <v>913</v>
      </c>
      <c r="K177" s="469">
        <v>8</v>
      </c>
      <c r="L177" s="473"/>
      <c r="M177" s="623">
        <v>7</v>
      </c>
      <c r="N177" s="623">
        <v>2</v>
      </c>
      <c r="O177" s="624">
        <v>0.2857142857142857</v>
      </c>
      <c r="P177" s="624">
        <v>0.2857142857142857</v>
      </c>
      <c r="Q177" s="785">
        <f t="shared" si="2"/>
        <v>3.5714285714285712</v>
      </c>
      <c r="R177" s="468" t="s">
        <v>1718</v>
      </c>
      <c r="S177" s="629"/>
    </row>
    <row r="178" spans="1:19" ht="15" x14ac:dyDescent="0.25">
      <c r="A178" s="621" t="s">
        <v>351</v>
      </c>
      <c r="B178" s="466" t="s">
        <v>111</v>
      </c>
      <c r="C178" s="631" t="s">
        <v>101</v>
      </c>
      <c r="D178" s="467" t="s">
        <v>889</v>
      </c>
      <c r="E178" s="474"/>
      <c r="F178" s="469" t="s">
        <v>112</v>
      </c>
      <c r="G178" s="470" t="s">
        <v>1790</v>
      </c>
      <c r="H178" s="622" t="s">
        <v>917</v>
      </c>
      <c r="I178" s="633" t="s">
        <v>116</v>
      </c>
      <c r="J178" s="471" t="s">
        <v>913</v>
      </c>
      <c r="K178" s="469">
        <v>17</v>
      </c>
      <c r="L178" s="473"/>
      <c r="M178" s="623">
        <v>112</v>
      </c>
      <c r="N178" s="623">
        <v>19</v>
      </c>
      <c r="O178" s="624">
        <v>0.16964285714285715</v>
      </c>
      <c r="P178" s="624">
        <v>0.16964285714285715</v>
      </c>
      <c r="Q178" s="785">
        <f t="shared" si="2"/>
        <v>0.99789915966386555</v>
      </c>
      <c r="R178" s="468" t="s">
        <v>1718</v>
      </c>
      <c r="S178" s="629"/>
    </row>
    <row r="179" spans="1:19" ht="15" x14ac:dyDescent="0.25">
      <c r="A179" s="621" t="s">
        <v>351</v>
      </c>
      <c r="B179" s="466" t="s">
        <v>111</v>
      </c>
      <c r="C179" s="631" t="s">
        <v>101</v>
      </c>
      <c r="D179" s="467" t="s">
        <v>881</v>
      </c>
      <c r="E179" s="474"/>
      <c r="F179" s="469" t="s">
        <v>112</v>
      </c>
      <c r="G179" s="470" t="s">
        <v>1790</v>
      </c>
      <c r="H179" s="622" t="s">
        <v>916</v>
      </c>
      <c r="I179" s="633" t="s">
        <v>116</v>
      </c>
      <c r="J179" s="471" t="s">
        <v>913</v>
      </c>
      <c r="K179" s="469">
        <v>36</v>
      </c>
      <c r="L179" s="473"/>
      <c r="M179" s="623">
        <v>9</v>
      </c>
      <c r="N179" s="623">
        <v>2</v>
      </c>
      <c r="O179" s="624">
        <v>0.22222222222222221</v>
      </c>
      <c r="P179" s="624">
        <v>0.22222222222222221</v>
      </c>
      <c r="Q179" s="785">
        <f t="shared" si="2"/>
        <v>0.61728395061728392</v>
      </c>
      <c r="R179" s="468" t="s">
        <v>1718</v>
      </c>
      <c r="S179" s="629"/>
    </row>
    <row r="180" spans="1:19" ht="15" x14ac:dyDescent="0.25">
      <c r="A180" s="621" t="s">
        <v>351</v>
      </c>
      <c r="B180" s="466" t="s">
        <v>111</v>
      </c>
      <c r="C180" s="631" t="s">
        <v>101</v>
      </c>
      <c r="D180" s="467" t="s">
        <v>883</v>
      </c>
      <c r="E180" s="474" t="s">
        <v>1723</v>
      </c>
      <c r="F180" s="469" t="s">
        <v>112</v>
      </c>
      <c r="G180" s="470" t="s">
        <v>1790</v>
      </c>
      <c r="H180" s="622" t="s">
        <v>916</v>
      </c>
      <c r="I180" s="633" t="s">
        <v>116</v>
      </c>
      <c r="J180" s="471" t="s">
        <v>913</v>
      </c>
      <c r="K180" s="469">
        <v>80</v>
      </c>
      <c r="L180" s="473"/>
      <c r="M180" s="623">
        <v>0</v>
      </c>
      <c r="N180" s="623">
        <v>0</v>
      </c>
      <c r="O180" s="624">
        <v>0</v>
      </c>
      <c r="P180" s="624">
        <v>0</v>
      </c>
      <c r="Q180" s="785" t="e">
        <f t="shared" si="2"/>
        <v>#DIV/0!</v>
      </c>
      <c r="R180" s="468" t="s">
        <v>1719</v>
      </c>
      <c r="S180" s="629"/>
    </row>
    <row r="181" spans="1:19" ht="15" x14ac:dyDescent="0.25">
      <c r="A181" s="621" t="s">
        <v>351</v>
      </c>
      <c r="B181" s="466" t="s">
        <v>111</v>
      </c>
      <c r="C181" s="631" t="s">
        <v>101</v>
      </c>
      <c r="D181" s="467" t="s">
        <v>866</v>
      </c>
      <c r="E181" s="474" t="s">
        <v>1723</v>
      </c>
      <c r="F181" s="469" t="s">
        <v>112</v>
      </c>
      <c r="G181" s="470" t="s">
        <v>1790</v>
      </c>
      <c r="H181" s="622" t="s">
        <v>916</v>
      </c>
      <c r="I181" s="633" t="s">
        <v>116</v>
      </c>
      <c r="J181" s="471" t="s">
        <v>913</v>
      </c>
      <c r="K181" s="469" t="s">
        <v>79</v>
      </c>
      <c r="L181" s="473"/>
      <c r="M181" s="623">
        <v>13</v>
      </c>
      <c r="N181" s="623">
        <v>2</v>
      </c>
      <c r="O181" s="624">
        <v>0.15384615384615385</v>
      </c>
      <c r="P181" s="624">
        <v>0.15384615384615385</v>
      </c>
      <c r="Q181" s="785" t="e">
        <f t="shared" si="2"/>
        <v>#VALUE!</v>
      </c>
      <c r="R181" s="468" t="s">
        <v>1718</v>
      </c>
      <c r="S181" s="629"/>
    </row>
    <row r="182" spans="1:19" ht="15" x14ac:dyDescent="0.25">
      <c r="A182" s="621" t="s">
        <v>351</v>
      </c>
      <c r="B182" s="466" t="s">
        <v>111</v>
      </c>
      <c r="C182" s="631" t="s">
        <v>101</v>
      </c>
      <c r="D182" s="467" t="s">
        <v>869</v>
      </c>
      <c r="E182" s="474" t="s">
        <v>1723</v>
      </c>
      <c r="F182" s="469" t="s">
        <v>112</v>
      </c>
      <c r="G182" s="470" t="s">
        <v>1790</v>
      </c>
      <c r="H182" s="622" t="s">
        <v>916</v>
      </c>
      <c r="I182" s="633" t="s">
        <v>116</v>
      </c>
      <c r="J182" s="471" t="s">
        <v>913</v>
      </c>
      <c r="K182" s="469" t="s">
        <v>79</v>
      </c>
      <c r="L182" s="473"/>
      <c r="M182" s="623">
        <v>0</v>
      </c>
      <c r="N182" s="623">
        <v>0</v>
      </c>
      <c r="O182" s="624">
        <v>0</v>
      </c>
      <c r="P182" s="624">
        <v>0</v>
      </c>
      <c r="Q182" s="785" t="e">
        <f t="shared" si="2"/>
        <v>#VALUE!</v>
      </c>
      <c r="R182" s="468" t="s">
        <v>1719</v>
      </c>
      <c r="S182" s="629"/>
    </row>
    <row r="183" spans="1:19" ht="15" x14ac:dyDescent="0.25">
      <c r="A183" s="621" t="s">
        <v>351</v>
      </c>
      <c r="B183" s="466" t="s">
        <v>111</v>
      </c>
      <c r="C183" s="631" t="s">
        <v>885</v>
      </c>
      <c r="D183" s="467" t="s">
        <v>889</v>
      </c>
      <c r="E183" s="474"/>
      <c r="F183" s="469" t="s">
        <v>112</v>
      </c>
      <c r="G183" s="470" t="s">
        <v>1790</v>
      </c>
      <c r="H183" s="622" t="s">
        <v>917</v>
      </c>
      <c r="I183" s="633" t="s">
        <v>116</v>
      </c>
      <c r="J183" s="471" t="s">
        <v>913</v>
      </c>
      <c r="K183" s="469">
        <v>13</v>
      </c>
      <c r="L183" s="473"/>
      <c r="M183" s="623">
        <v>0</v>
      </c>
      <c r="N183" s="623">
        <v>0</v>
      </c>
      <c r="O183" s="624">
        <v>0</v>
      </c>
      <c r="P183" s="624">
        <v>0</v>
      </c>
      <c r="Q183" s="785" t="e">
        <f t="shared" si="2"/>
        <v>#DIV/0!</v>
      </c>
      <c r="R183" s="468" t="s">
        <v>1719</v>
      </c>
      <c r="S183" s="629"/>
    </row>
    <row r="184" spans="1:19" ht="15" x14ac:dyDescent="0.25">
      <c r="A184" s="621" t="s">
        <v>351</v>
      </c>
      <c r="B184" s="466" t="s">
        <v>111</v>
      </c>
      <c r="C184" s="631" t="s">
        <v>885</v>
      </c>
      <c r="D184" s="467" t="s">
        <v>881</v>
      </c>
      <c r="E184" s="474"/>
      <c r="F184" s="469" t="s">
        <v>112</v>
      </c>
      <c r="G184" s="470" t="s">
        <v>1790</v>
      </c>
      <c r="H184" s="622" t="s">
        <v>916</v>
      </c>
      <c r="I184" s="633" t="s">
        <v>116</v>
      </c>
      <c r="J184" s="471" t="s">
        <v>913</v>
      </c>
      <c r="K184" s="469">
        <v>13</v>
      </c>
      <c r="L184" s="473"/>
      <c r="M184" s="623">
        <v>5</v>
      </c>
      <c r="N184" s="623">
        <v>0</v>
      </c>
      <c r="O184" s="624">
        <v>0</v>
      </c>
      <c r="P184" s="624">
        <v>0</v>
      </c>
      <c r="Q184" s="785">
        <f t="shared" si="2"/>
        <v>0</v>
      </c>
      <c r="R184" s="468" t="s">
        <v>1719</v>
      </c>
      <c r="S184" s="629"/>
    </row>
    <row r="185" spans="1:19" ht="15" x14ac:dyDescent="0.25">
      <c r="A185" s="621" t="s">
        <v>351</v>
      </c>
      <c r="B185" s="466" t="s">
        <v>111</v>
      </c>
      <c r="C185" s="631" t="s">
        <v>885</v>
      </c>
      <c r="D185" s="467" t="s">
        <v>883</v>
      </c>
      <c r="E185" s="474" t="s">
        <v>1724</v>
      </c>
      <c r="F185" s="469" t="s">
        <v>112</v>
      </c>
      <c r="G185" s="470" t="s">
        <v>1790</v>
      </c>
      <c r="H185" s="622" t="s">
        <v>916</v>
      </c>
      <c r="I185" s="633" t="s">
        <v>116</v>
      </c>
      <c r="J185" s="471" t="s">
        <v>913</v>
      </c>
      <c r="K185" s="469" t="s">
        <v>79</v>
      </c>
      <c r="L185" s="473"/>
      <c r="M185" s="623">
        <v>5</v>
      </c>
      <c r="N185" s="623">
        <v>0</v>
      </c>
      <c r="O185" s="624">
        <v>0</v>
      </c>
      <c r="P185" s="624">
        <v>0</v>
      </c>
      <c r="Q185" s="785" t="e">
        <f t="shared" si="2"/>
        <v>#VALUE!</v>
      </c>
      <c r="R185" s="468" t="s">
        <v>1719</v>
      </c>
      <c r="S185" s="629"/>
    </row>
    <row r="186" spans="1:19" ht="15" x14ac:dyDescent="0.25">
      <c r="A186" s="621" t="s">
        <v>351</v>
      </c>
      <c r="B186" s="466" t="s">
        <v>111</v>
      </c>
      <c r="C186" s="631" t="s">
        <v>885</v>
      </c>
      <c r="D186" s="467" t="s">
        <v>866</v>
      </c>
      <c r="E186" s="474" t="s">
        <v>1724</v>
      </c>
      <c r="F186" s="469" t="s">
        <v>112</v>
      </c>
      <c r="G186" s="470" t="s">
        <v>1790</v>
      </c>
      <c r="H186" s="622" t="s">
        <v>916</v>
      </c>
      <c r="I186" s="633" t="s">
        <v>116</v>
      </c>
      <c r="J186" s="471" t="s">
        <v>913</v>
      </c>
      <c r="K186" s="469" t="s">
        <v>79</v>
      </c>
      <c r="L186" s="473"/>
      <c r="M186" s="623">
        <v>0</v>
      </c>
      <c r="N186" s="623">
        <v>0</v>
      </c>
      <c r="O186" s="624">
        <v>0</v>
      </c>
      <c r="P186" s="624">
        <v>0</v>
      </c>
      <c r="Q186" s="785" t="e">
        <f t="shared" si="2"/>
        <v>#VALUE!</v>
      </c>
      <c r="R186" s="468" t="s">
        <v>1719</v>
      </c>
      <c r="S186" s="629"/>
    </row>
    <row r="187" spans="1:19" ht="15" x14ac:dyDescent="0.25">
      <c r="A187" s="621" t="s">
        <v>351</v>
      </c>
      <c r="B187" s="466" t="s">
        <v>111</v>
      </c>
      <c r="C187" s="631" t="s">
        <v>885</v>
      </c>
      <c r="D187" s="467" t="s">
        <v>869</v>
      </c>
      <c r="E187" s="474"/>
      <c r="F187" s="469" t="s">
        <v>112</v>
      </c>
      <c r="G187" s="470" t="s">
        <v>1790</v>
      </c>
      <c r="H187" s="622" t="s">
        <v>916</v>
      </c>
      <c r="I187" s="633" t="s">
        <v>116</v>
      </c>
      <c r="J187" s="471" t="s">
        <v>913</v>
      </c>
      <c r="K187" s="469">
        <v>25</v>
      </c>
      <c r="L187" s="473"/>
      <c r="M187" s="623">
        <v>12</v>
      </c>
      <c r="N187" s="623">
        <v>5</v>
      </c>
      <c r="O187" s="624">
        <v>0.41666666666666669</v>
      </c>
      <c r="P187" s="624">
        <v>0.41666666666666669</v>
      </c>
      <c r="Q187" s="785">
        <f t="shared" si="2"/>
        <v>1.6666666666666667</v>
      </c>
      <c r="R187" s="468" t="s">
        <v>1718</v>
      </c>
      <c r="S187" s="629"/>
    </row>
    <row r="188" spans="1:19" ht="15" x14ac:dyDescent="0.25">
      <c r="A188" s="621" t="s">
        <v>351</v>
      </c>
      <c r="B188" s="466" t="s">
        <v>111</v>
      </c>
      <c r="C188" s="631" t="s">
        <v>885</v>
      </c>
      <c r="D188" s="467" t="s">
        <v>887</v>
      </c>
      <c r="E188" s="474"/>
      <c r="F188" s="469" t="s">
        <v>112</v>
      </c>
      <c r="G188" s="470" t="s">
        <v>1790</v>
      </c>
      <c r="H188" s="622" t="s">
        <v>916</v>
      </c>
      <c r="I188" s="633" t="s">
        <v>116</v>
      </c>
      <c r="J188" s="471" t="s">
        <v>913</v>
      </c>
      <c r="K188" s="469">
        <v>10</v>
      </c>
      <c r="L188" s="473"/>
      <c r="M188" s="623">
        <v>20</v>
      </c>
      <c r="N188" s="623">
        <v>8</v>
      </c>
      <c r="O188" s="624">
        <v>0.4</v>
      </c>
      <c r="P188" s="624">
        <v>0.4</v>
      </c>
      <c r="Q188" s="785">
        <f t="shared" si="2"/>
        <v>4</v>
      </c>
      <c r="R188" s="468" t="s">
        <v>1718</v>
      </c>
      <c r="S188" s="629"/>
    </row>
    <row r="189" spans="1:19" ht="15" x14ac:dyDescent="0.25">
      <c r="A189" s="621" t="s">
        <v>351</v>
      </c>
      <c r="B189" s="466" t="s">
        <v>111</v>
      </c>
      <c r="C189" s="631" t="s">
        <v>904</v>
      </c>
      <c r="D189" s="467" t="s">
        <v>881</v>
      </c>
      <c r="E189" s="474" t="s">
        <v>1718</v>
      </c>
      <c r="F189" s="469" t="s">
        <v>112</v>
      </c>
      <c r="G189" s="470" t="s">
        <v>1790</v>
      </c>
      <c r="H189" s="622" t="s">
        <v>916</v>
      </c>
      <c r="I189" s="633" t="s">
        <v>116</v>
      </c>
      <c r="J189" s="471" t="s">
        <v>913</v>
      </c>
      <c r="K189" s="469" t="s">
        <v>79</v>
      </c>
      <c r="L189" s="473"/>
      <c r="M189" s="623">
        <v>0</v>
      </c>
      <c r="N189" s="623">
        <v>0</v>
      </c>
      <c r="O189" s="624">
        <v>0</v>
      </c>
      <c r="P189" s="624">
        <v>0</v>
      </c>
      <c r="Q189" s="785" t="e">
        <f t="shared" si="2"/>
        <v>#VALUE!</v>
      </c>
      <c r="R189" s="468" t="s">
        <v>1719</v>
      </c>
      <c r="S189" s="629"/>
    </row>
    <row r="190" spans="1:19" ht="15" x14ac:dyDescent="0.25">
      <c r="A190" s="621" t="s">
        <v>351</v>
      </c>
      <c r="B190" s="466" t="s">
        <v>111</v>
      </c>
      <c r="C190" s="631" t="s">
        <v>904</v>
      </c>
      <c r="D190" s="467" t="s">
        <v>883</v>
      </c>
      <c r="E190" s="474" t="s">
        <v>1725</v>
      </c>
      <c r="F190" s="469" t="s">
        <v>112</v>
      </c>
      <c r="G190" s="470" t="s">
        <v>1790</v>
      </c>
      <c r="H190" s="622" t="s">
        <v>916</v>
      </c>
      <c r="I190" s="633" t="s">
        <v>116</v>
      </c>
      <c r="J190" s="471" t="s">
        <v>913</v>
      </c>
      <c r="K190" s="469" t="s">
        <v>79</v>
      </c>
      <c r="L190" s="473"/>
      <c r="M190" s="623">
        <v>1</v>
      </c>
      <c r="N190" s="623">
        <v>1</v>
      </c>
      <c r="O190" s="624">
        <v>1</v>
      </c>
      <c r="P190" s="624">
        <v>1</v>
      </c>
      <c r="Q190" s="785" t="e">
        <f t="shared" si="2"/>
        <v>#VALUE!</v>
      </c>
      <c r="R190" s="468" t="s">
        <v>1718</v>
      </c>
      <c r="S190" s="629"/>
    </row>
    <row r="191" spans="1:19" ht="15" x14ac:dyDescent="0.25">
      <c r="A191" s="621" t="s">
        <v>351</v>
      </c>
      <c r="B191" s="466" t="s">
        <v>111</v>
      </c>
      <c r="C191" s="631" t="s">
        <v>740</v>
      </c>
      <c r="D191" s="467" t="s">
        <v>889</v>
      </c>
      <c r="E191" s="474"/>
      <c r="F191" s="469" t="s">
        <v>112</v>
      </c>
      <c r="G191" s="470" t="s">
        <v>1790</v>
      </c>
      <c r="H191" s="622" t="s">
        <v>917</v>
      </c>
      <c r="I191" s="633" t="s">
        <v>116</v>
      </c>
      <c r="J191" s="471" t="s">
        <v>913</v>
      </c>
      <c r="K191" s="469">
        <v>38</v>
      </c>
      <c r="L191" s="473"/>
      <c r="M191" s="623">
        <v>37</v>
      </c>
      <c r="N191" s="623">
        <v>3</v>
      </c>
      <c r="O191" s="624">
        <v>8.1081081081081086E-2</v>
      </c>
      <c r="P191" s="624">
        <v>8.1081081081081086E-2</v>
      </c>
      <c r="Q191" s="785">
        <f t="shared" si="2"/>
        <v>0.21337126600284495</v>
      </c>
      <c r="R191" s="468" t="s">
        <v>1718</v>
      </c>
      <c r="S191" s="629"/>
    </row>
    <row r="192" spans="1:19" ht="15" x14ac:dyDescent="0.25">
      <c r="A192" s="621" t="s">
        <v>351</v>
      </c>
      <c r="B192" s="466" t="s">
        <v>111</v>
      </c>
      <c r="C192" s="631" t="s">
        <v>740</v>
      </c>
      <c r="D192" s="467" t="s">
        <v>881</v>
      </c>
      <c r="E192" s="474" t="s">
        <v>1726</v>
      </c>
      <c r="F192" s="469" t="s">
        <v>112</v>
      </c>
      <c r="G192" s="470" t="s">
        <v>1790</v>
      </c>
      <c r="H192" s="622" t="s">
        <v>916</v>
      </c>
      <c r="I192" s="633" t="s">
        <v>116</v>
      </c>
      <c r="J192" s="471" t="s">
        <v>913</v>
      </c>
      <c r="K192" s="469" t="s">
        <v>79</v>
      </c>
      <c r="L192" s="473"/>
      <c r="M192" s="623">
        <v>4</v>
      </c>
      <c r="N192" s="623">
        <v>0</v>
      </c>
      <c r="O192" s="624">
        <v>0</v>
      </c>
      <c r="P192" s="624">
        <v>0</v>
      </c>
      <c r="Q192" s="785" t="e">
        <f t="shared" si="2"/>
        <v>#VALUE!</v>
      </c>
      <c r="R192" s="468" t="s">
        <v>1719</v>
      </c>
      <c r="S192" s="629"/>
    </row>
    <row r="193" spans="1:19" ht="15" x14ac:dyDescent="0.25">
      <c r="A193" s="621" t="s">
        <v>351</v>
      </c>
      <c r="B193" s="466" t="s">
        <v>111</v>
      </c>
      <c r="C193" s="631" t="s">
        <v>740</v>
      </c>
      <c r="D193" s="467" t="s">
        <v>883</v>
      </c>
      <c r="E193" s="474" t="s">
        <v>1726</v>
      </c>
      <c r="F193" s="469" t="s">
        <v>112</v>
      </c>
      <c r="G193" s="470" t="s">
        <v>1790</v>
      </c>
      <c r="H193" s="622" t="s">
        <v>916</v>
      </c>
      <c r="I193" s="633" t="s">
        <v>116</v>
      </c>
      <c r="J193" s="471" t="s">
        <v>913</v>
      </c>
      <c r="K193" s="469" t="s">
        <v>79</v>
      </c>
      <c r="L193" s="473"/>
      <c r="M193" s="623">
        <v>0</v>
      </c>
      <c r="N193" s="623">
        <v>0</v>
      </c>
      <c r="O193" s="624">
        <v>0</v>
      </c>
      <c r="P193" s="624">
        <v>0</v>
      </c>
      <c r="Q193" s="785" t="e">
        <f t="shared" si="2"/>
        <v>#VALUE!</v>
      </c>
      <c r="R193" s="468" t="s">
        <v>1719</v>
      </c>
      <c r="S193" s="629"/>
    </row>
    <row r="194" spans="1:19" ht="15" x14ac:dyDescent="0.25">
      <c r="A194" s="621" t="s">
        <v>351</v>
      </c>
      <c r="B194" s="466" t="s">
        <v>111</v>
      </c>
      <c r="C194" s="631" t="s">
        <v>894</v>
      </c>
      <c r="D194" s="467" t="s">
        <v>889</v>
      </c>
      <c r="E194" s="474"/>
      <c r="F194" s="469" t="s">
        <v>112</v>
      </c>
      <c r="G194" s="470" t="s">
        <v>1790</v>
      </c>
      <c r="H194" s="622" t="s">
        <v>917</v>
      </c>
      <c r="I194" s="633" t="s">
        <v>116</v>
      </c>
      <c r="J194" s="471" t="s">
        <v>913</v>
      </c>
      <c r="K194" s="469">
        <v>5</v>
      </c>
      <c r="L194" s="473"/>
      <c r="M194" s="623">
        <v>543</v>
      </c>
      <c r="N194" s="623">
        <v>32</v>
      </c>
      <c r="O194" s="624">
        <v>5.8931860036832415E-2</v>
      </c>
      <c r="P194" s="624">
        <v>5.8931860036832415E-2</v>
      </c>
      <c r="Q194" s="785">
        <f t="shared" si="2"/>
        <v>1.1786372007366483</v>
      </c>
      <c r="R194" s="468" t="s">
        <v>1718</v>
      </c>
      <c r="S194" s="629"/>
    </row>
    <row r="195" spans="1:19" ht="15" x14ac:dyDescent="0.25">
      <c r="A195" s="621" t="s">
        <v>351</v>
      </c>
      <c r="B195" s="466" t="s">
        <v>111</v>
      </c>
      <c r="C195" s="631" t="s">
        <v>894</v>
      </c>
      <c r="D195" s="467" t="s">
        <v>881</v>
      </c>
      <c r="E195" s="474"/>
      <c r="F195" s="469" t="s">
        <v>112</v>
      </c>
      <c r="G195" s="470" t="s">
        <v>1790</v>
      </c>
      <c r="H195" s="622" t="s">
        <v>916</v>
      </c>
      <c r="I195" s="633" t="s">
        <v>116</v>
      </c>
      <c r="J195" s="471" t="s">
        <v>913</v>
      </c>
      <c r="K195" s="469">
        <v>32</v>
      </c>
      <c r="L195" s="473"/>
      <c r="M195" s="623">
        <v>78</v>
      </c>
      <c r="N195" s="623">
        <v>28</v>
      </c>
      <c r="O195" s="624">
        <v>0.35897435897435898</v>
      </c>
      <c r="P195" s="624">
        <v>0.35897435897435898</v>
      </c>
      <c r="Q195" s="785">
        <f t="shared" si="2"/>
        <v>1.1217948717948718</v>
      </c>
      <c r="R195" s="468" t="s">
        <v>1718</v>
      </c>
      <c r="S195" s="629"/>
    </row>
    <row r="196" spans="1:19" ht="15" x14ac:dyDescent="0.25">
      <c r="A196" s="621" t="s">
        <v>351</v>
      </c>
      <c r="B196" s="466" t="s">
        <v>111</v>
      </c>
      <c r="C196" s="631" t="s">
        <v>894</v>
      </c>
      <c r="D196" s="467" t="s">
        <v>883</v>
      </c>
      <c r="E196" s="474" t="s">
        <v>1727</v>
      </c>
      <c r="F196" s="469" t="s">
        <v>112</v>
      </c>
      <c r="G196" s="470" t="s">
        <v>1790</v>
      </c>
      <c r="H196" s="622" t="s">
        <v>916</v>
      </c>
      <c r="I196" s="633" t="s">
        <v>116</v>
      </c>
      <c r="J196" s="471" t="s">
        <v>913</v>
      </c>
      <c r="K196" s="469">
        <v>33</v>
      </c>
      <c r="L196" s="473"/>
      <c r="M196" s="623">
        <v>25</v>
      </c>
      <c r="N196" s="623">
        <v>9</v>
      </c>
      <c r="O196" s="624">
        <v>0.36</v>
      </c>
      <c r="P196" s="624">
        <v>0.36</v>
      </c>
      <c r="Q196" s="785">
        <f t="shared" si="2"/>
        <v>1.0909090909090908</v>
      </c>
      <c r="R196" s="468" t="s">
        <v>1718</v>
      </c>
      <c r="S196" s="629"/>
    </row>
    <row r="197" spans="1:19" ht="15" x14ac:dyDescent="0.25">
      <c r="A197" s="621" t="s">
        <v>351</v>
      </c>
      <c r="B197" s="466" t="s">
        <v>111</v>
      </c>
      <c r="C197" s="631" t="s">
        <v>894</v>
      </c>
      <c r="D197" s="467" t="s">
        <v>869</v>
      </c>
      <c r="E197" s="474" t="s">
        <v>1727</v>
      </c>
      <c r="F197" s="469" t="s">
        <v>112</v>
      </c>
      <c r="G197" s="470" t="s">
        <v>1790</v>
      </c>
      <c r="H197" s="622" t="s">
        <v>916</v>
      </c>
      <c r="I197" s="633" t="s">
        <v>116</v>
      </c>
      <c r="J197" s="471" t="s">
        <v>913</v>
      </c>
      <c r="K197" s="469" t="s">
        <v>79</v>
      </c>
      <c r="L197" s="473"/>
      <c r="M197" s="623">
        <v>0</v>
      </c>
      <c r="N197" s="623">
        <v>0</v>
      </c>
      <c r="O197" s="624">
        <v>0</v>
      </c>
      <c r="P197" s="624">
        <v>0</v>
      </c>
      <c r="Q197" s="785" t="e">
        <f t="shared" si="2"/>
        <v>#VALUE!</v>
      </c>
      <c r="R197" s="468" t="s">
        <v>1719</v>
      </c>
      <c r="S197" s="629"/>
    </row>
    <row r="198" spans="1:19" ht="15" x14ac:dyDescent="0.25">
      <c r="A198" s="621" t="s">
        <v>351</v>
      </c>
      <c r="B198" s="466" t="s">
        <v>111</v>
      </c>
      <c r="C198" s="631" t="s">
        <v>99</v>
      </c>
      <c r="D198" s="467" t="s">
        <v>866</v>
      </c>
      <c r="E198" s="474" t="s">
        <v>1720</v>
      </c>
      <c r="F198" s="469" t="s">
        <v>112</v>
      </c>
      <c r="G198" s="470" t="s">
        <v>921</v>
      </c>
      <c r="H198" s="622" t="s">
        <v>916</v>
      </c>
      <c r="I198" s="633" t="s">
        <v>116</v>
      </c>
      <c r="J198" s="471" t="s">
        <v>913</v>
      </c>
      <c r="K198" s="469">
        <v>33</v>
      </c>
      <c r="L198" s="473"/>
      <c r="M198" s="623">
        <v>0</v>
      </c>
      <c r="N198" s="623">
        <v>0</v>
      </c>
      <c r="O198" s="624">
        <v>0</v>
      </c>
      <c r="P198" s="624">
        <v>0</v>
      </c>
      <c r="Q198" s="785" t="e">
        <f t="shared" ref="Q198:Q261" si="3">N198/(M198*K198/100)</f>
        <v>#DIV/0!</v>
      </c>
      <c r="R198" s="468" t="s">
        <v>1719</v>
      </c>
      <c r="S198" s="629"/>
    </row>
    <row r="199" spans="1:19" ht="15" x14ac:dyDescent="0.25">
      <c r="A199" s="621" t="s">
        <v>351</v>
      </c>
      <c r="B199" s="466" t="s">
        <v>111</v>
      </c>
      <c r="C199" s="631" t="s">
        <v>99</v>
      </c>
      <c r="D199" s="467" t="s">
        <v>869</v>
      </c>
      <c r="E199" s="474" t="s">
        <v>1720</v>
      </c>
      <c r="F199" s="469" t="s">
        <v>112</v>
      </c>
      <c r="G199" s="470" t="s">
        <v>921</v>
      </c>
      <c r="H199" s="622" t="s">
        <v>916</v>
      </c>
      <c r="I199" s="633" t="s">
        <v>116</v>
      </c>
      <c r="J199" s="471" t="s">
        <v>913</v>
      </c>
      <c r="K199" s="469">
        <v>33</v>
      </c>
      <c r="L199" s="473"/>
      <c r="M199" s="623">
        <v>14</v>
      </c>
      <c r="N199" s="623">
        <v>2</v>
      </c>
      <c r="O199" s="624">
        <v>0.14285714285714285</v>
      </c>
      <c r="P199" s="624">
        <v>0.14285714285714285</v>
      </c>
      <c r="Q199" s="785">
        <f t="shared" si="3"/>
        <v>0.4329004329004329</v>
      </c>
      <c r="R199" s="468" t="s">
        <v>1718</v>
      </c>
      <c r="S199" s="629"/>
    </row>
    <row r="200" spans="1:19" ht="15" x14ac:dyDescent="0.25">
      <c r="A200" s="621" t="s">
        <v>351</v>
      </c>
      <c r="B200" s="466" t="s">
        <v>111</v>
      </c>
      <c r="C200" s="631" t="s">
        <v>870</v>
      </c>
      <c r="D200" s="467" t="s">
        <v>889</v>
      </c>
      <c r="E200" s="474"/>
      <c r="F200" s="469" t="s">
        <v>112</v>
      </c>
      <c r="G200" s="470" t="s">
        <v>921</v>
      </c>
      <c r="H200" s="622" t="s">
        <v>917</v>
      </c>
      <c r="I200" s="633" t="s">
        <v>116</v>
      </c>
      <c r="J200" s="471" t="s">
        <v>913</v>
      </c>
      <c r="K200" s="469">
        <v>16</v>
      </c>
      <c r="L200" s="473"/>
      <c r="M200" s="623">
        <v>50</v>
      </c>
      <c r="N200" s="623">
        <v>4</v>
      </c>
      <c r="O200" s="624">
        <v>0.08</v>
      </c>
      <c r="P200" s="624">
        <v>0.08</v>
      </c>
      <c r="Q200" s="785">
        <f t="shared" si="3"/>
        <v>0.5</v>
      </c>
      <c r="R200" s="468" t="s">
        <v>1718</v>
      </c>
      <c r="S200" s="629"/>
    </row>
    <row r="201" spans="1:19" ht="15" x14ac:dyDescent="0.25">
      <c r="A201" s="621" t="s">
        <v>351</v>
      </c>
      <c r="B201" s="466" t="s">
        <v>111</v>
      </c>
      <c r="C201" s="631" t="s">
        <v>870</v>
      </c>
      <c r="D201" s="467" t="s">
        <v>881</v>
      </c>
      <c r="E201" s="474"/>
      <c r="F201" s="469" t="s">
        <v>112</v>
      </c>
      <c r="G201" s="470" t="s">
        <v>921</v>
      </c>
      <c r="H201" s="622" t="s">
        <v>916</v>
      </c>
      <c r="I201" s="633" t="s">
        <v>116</v>
      </c>
      <c r="J201" s="471" t="s">
        <v>913</v>
      </c>
      <c r="K201" s="469">
        <v>16</v>
      </c>
      <c r="L201" s="473"/>
      <c r="M201" s="623">
        <v>19</v>
      </c>
      <c r="N201" s="623">
        <v>3</v>
      </c>
      <c r="O201" s="624">
        <v>0.15789473684210525</v>
      </c>
      <c r="P201" s="624">
        <v>0.15789473684210525</v>
      </c>
      <c r="Q201" s="785">
        <f t="shared" si="3"/>
        <v>0.98684210526315785</v>
      </c>
      <c r="R201" s="468" t="s">
        <v>1718</v>
      </c>
      <c r="S201" s="629"/>
    </row>
    <row r="202" spans="1:19" ht="15" x14ac:dyDescent="0.25">
      <c r="A202" s="621" t="s">
        <v>351</v>
      </c>
      <c r="B202" s="466" t="s">
        <v>111</v>
      </c>
      <c r="C202" s="631" t="s">
        <v>870</v>
      </c>
      <c r="D202" s="467" t="s">
        <v>883</v>
      </c>
      <c r="E202" s="474"/>
      <c r="F202" s="469" t="s">
        <v>112</v>
      </c>
      <c r="G202" s="470" t="s">
        <v>921</v>
      </c>
      <c r="H202" s="622" t="s">
        <v>916</v>
      </c>
      <c r="I202" s="633" t="s">
        <v>116</v>
      </c>
      <c r="J202" s="471" t="s">
        <v>913</v>
      </c>
      <c r="K202" s="469">
        <v>6</v>
      </c>
      <c r="L202" s="473"/>
      <c r="M202" s="623">
        <v>39</v>
      </c>
      <c r="N202" s="623">
        <v>9</v>
      </c>
      <c r="O202" s="624">
        <v>0.23076923076923078</v>
      </c>
      <c r="P202" s="624">
        <v>0.23076923076923078</v>
      </c>
      <c r="Q202" s="785">
        <f t="shared" si="3"/>
        <v>3.8461538461538463</v>
      </c>
      <c r="R202" s="468" t="s">
        <v>1718</v>
      </c>
      <c r="S202" s="629"/>
    </row>
    <row r="203" spans="1:19" ht="15" x14ac:dyDescent="0.25">
      <c r="A203" s="621" t="s">
        <v>351</v>
      </c>
      <c r="B203" s="466" t="s">
        <v>111</v>
      </c>
      <c r="C203" s="631" t="s">
        <v>870</v>
      </c>
      <c r="D203" s="467" t="s">
        <v>866</v>
      </c>
      <c r="E203" s="474"/>
      <c r="F203" s="469" t="s">
        <v>112</v>
      </c>
      <c r="G203" s="470" t="s">
        <v>921</v>
      </c>
      <c r="H203" s="622" t="s">
        <v>916</v>
      </c>
      <c r="I203" s="633" t="s">
        <v>116</v>
      </c>
      <c r="J203" s="471" t="s">
        <v>913</v>
      </c>
      <c r="K203" s="469">
        <v>8</v>
      </c>
      <c r="L203" s="473"/>
      <c r="M203" s="623">
        <v>67</v>
      </c>
      <c r="N203" s="623">
        <v>17</v>
      </c>
      <c r="O203" s="624">
        <v>0.2537313432835821</v>
      </c>
      <c r="P203" s="624">
        <v>0.2537313432835821</v>
      </c>
      <c r="Q203" s="785">
        <f t="shared" si="3"/>
        <v>3.1716417910447761</v>
      </c>
      <c r="R203" s="468" t="s">
        <v>1718</v>
      </c>
      <c r="S203" s="629"/>
    </row>
    <row r="204" spans="1:19" ht="15" x14ac:dyDescent="0.25">
      <c r="A204" s="621" t="s">
        <v>351</v>
      </c>
      <c r="B204" s="466" t="s">
        <v>111</v>
      </c>
      <c r="C204" s="631" t="s">
        <v>870</v>
      </c>
      <c r="D204" s="467" t="s">
        <v>869</v>
      </c>
      <c r="E204" s="474"/>
      <c r="F204" s="469" t="s">
        <v>112</v>
      </c>
      <c r="G204" s="470" t="s">
        <v>921</v>
      </c>
      <c r="H204" s="622" t="s">
        <v>916</v>
      </c>
      <c r="I204" s="633" t="s">
        <v>116</v>
      </c>
      <c r="J204" s="471" t="s">
        <v>913</v>
      </c>
      <c r="K204" s="469">
        <v>5</v>
      </c>
      <c r="L204" s="473"/>
      <c r="M204" s="623">
        <v>46</v>
      </c>
      <c r="N204" s="623">
        <v>18</v>
      </c>
      <c r="O204" s="624">
        <v>0.39130434782608697</v>
      </c>
      <c r="P204" s="624">
        <v>0.39130434782608697</v>
      </c>
      <c r="Q204" s="785">
        <f t="shared" si="3"/>
        <v>7.8260869565217401</v>
      </c>
      <c r="R204" s="468" t="s">
        <v>1718</v>
      </c>
      <c r="S204" s="629"/>
    </row>
    <row r="205" spans="1:19" ht="15" x14ac:dyDescent="0.25">
      <c r="A205" s="621" t="s">
        <v>351</v>
      </c>
      <c r="B205" s="466" t="s">
        <v>111</v>
      </c>
      <c r="C205" s="631" t="s">
        <v>738</v>
      </c>
      <c r="D205" s="467" t="s">
        <v>889</v>
      </c>
      <c r="E205" s="474"/>
      <c r="F205" s="469" t="s">
        <v>112</v>
      </c>
      <c r="G205" s="470" t="s">
        <v>921</v>
      </c>
      <c r="H205" s="622" t="s">
        <v>917</v>
      </c>
      <c r="I205" s="633" t="s">
        <v>116</v>
      </c>
      <c r="J205" s="471" t="s">
        <v>913</v>
      </c>
      <c r="K205" s="469">
        <v>29</v>
      </c>
      <c r="L205" s="473"/>
      <c r="M205" s="623">
        <v>156</v>
      </c>
      <c r="N205" s="623">
        <v>7</v>
      </c>
      <c r="O205" s="624">
        <v>4.4871794871794872E-2</v>
      </c>
      <c r="P205" s="624">
        <v>4.4871794871794872E-2</v>
      </c>
      <c r="Q205" s="785">
        <f t="shared" si="3"/>
        <v>0.15473032714412024</v>
      </c>
      <c r="R205" s="468" t="s">
        <v>1718</v>
      </c>
      <c r="S205" s="629"/>
    </row>
    <row r="206" spans="1:19" ht="15" x14ac:dyDescent="0.25">
      <c r="A206" s="621" t="s">
        <v>351</v>
      </c>
      <c r="B206" s="466" t="s">
        <v>111</v>
      </c>
      <c r="C206" s="631" t="s">
        <v>738</v>
      </c>
      <c r="D206" s="467" t="s">
        <v>881</v>
      </c>
      <c r="E206" s="474" t="s">
        <v>1721</v>
      </c>
      <c r="F206" s="469" t="s">
        <v>112</v>
      </c>
      <c r="G206" s="470" t="s">
        <v>921</v>
      </c>
      <c r="H206" s="622" t="s">
        <v>916</v>
      </c>
      <c r="I206" s="633" t="s">
        <v>116</v>
      </c>
      <c r="J206" s="471" t="s">
        <v>913</v>
      </c>
      <c r="K206" s="469">
        <v>8</v>
      </c>
      <c r="L206" s="473"/>
      <c r="M206" s="623">
        <v>54</v>
      </c>
      <c r="N206" s="623">
        <v>6</v>
      </c>
      <c r="O206" s="624">
        <v>0.1111111111111111</v>
      </c>
      <c r="P206" s="624">
        <v>0.1111111111111111</v>
      </c>
      <c r="Q206" s="785">
        <f t="shared" si="3"/>
        <v>1.3888888888888888</v>
      </c>
      <c r="R206" s="468" t="s">
        <v>1718</v>
      </c>
      <c r="S206" s="629"/>
    </row>
    <row r="207" spans="1:19" ht="15" x14ac:dyDescent="0.25">
      <c r="A207" s="621" t="s">
        <v>351</v>
      </c>
      <c r="B207" s="466" t="s">
        <v>111</v>
      </c>
      <c r="C207" s="631" t="s">
        <v>738</v>
      </c>
      <c r="D207" s="467" t="s">
        <v>883</v>
      </c>
      <c r="E207" s="474" t="s">
        <v>1721</v>
      </c>
      <c r="F207" s="469" t="s">
        <v>112</v>
      </c>
      <c r="G207" s="470" t="s">
        <v>921</v>
      </c>
      <c r="H207" s="622" t="s">
        <v>916</v>
      </c>
      <c r="I207" s="633" t="s">
        <v>116</v>
      </c>
      <c r="J207" s="471" t="s">
        <v>913</v>
      </c>
      <c r="K207" s="469">
        <v>8</v>
      </c>
      <c r="L207" s="473"/>
      <c r="M207" s="623">
        <v>0</v>
      </c>
      <c r="N207" s="623">
        <v>0</v>
      </c>
      <c r="O207" s="624">
        <v>0</v>
      </c>
      <c r="P207" s="624">
        <v>0</v>
      </c>
      <c r="Q207" s="785" t="e">
        <f t="shared" si="3"/>
        <v>#DIV/0!</v>
      </c>
      <c r="R207" s="468" t="s">
        <v>1719</v>
      </c>
      <c r="S207" s="629"/>
    </row>
    <row r="208" spans="1:19" ht="15" x14ac:dyDescent="0.25">
      <c r="A208" s="621" t="s">
        <v>351</v>
      </c>
      <c r="B208" s="466" t="s">
        <v>111</v>
      </c>
      <c r="C208" s="631" t="s">
        <v>738</v>
      </c>
      <c r="D208" s="467" t="s">
        <v>866</v>
      </c>
      <c r="E208" s="474" t="s">
        <v>1722</v>
      </c>
      <c r="F208" s="469" t="s">
        <v>112</v>
      </c>
      <c r="G208" s="470" t="s">
        <v>921</v>
      </c>
      <c r="H208" s="622" t="s">
        <v>916</v>
      </c>
      <c r="I208" s="633" t="s">
        <v>116</v>
      </c>
      <c r="J208" s="471" t="s">
        <v>913</v>
      </c>
      <c r="K208" s="469">
        <v>8</v>
      </c>
      <c r="L208" s="473"/>
      <c r="M208" s="623">
        <v>0</v>
      </c>
      <c r="N208" s="623">
        <v>1</v>
      </c>
      <c r="O208" s="624">
        <v>0</v>
      </c>
      <c r="P208" s="624">
        <v>0</v>
      </c>
      <c r="Q208" s="785" t="e">
        <f t="shared" si="3"/>
        <v>#DIV/0!</v>
      </c>
      <c r="R208" s="468" t="s">
        <v>1719</v>
      </c>
      <c r="S208" s="629"/>
    </row>
    <row r="209" spans="1:19" ht="15" x14ac:dyDescent="0.25">
      <c r="A209" s="621" t="s">
        <v>351</v>
      </c>
      <c r="B209" s="466" t="s">
        <v>111</v>
      </c>
      <c r="C209" s="631" t="s">
        <v>738</v>
      </c>
      <c r="D209" s="467" t="s">
        <v>869</v>
      </c>
      <c r="E209" s="474" t="s">
        <v>1722</v>
      </c>
      <c r="F209" s="469" t="s">
        <v>112</v>
      </c>
      <c r="G209" s="470" t="s">
        <v>921</v>
      </c>
      <c r="H209" s="622" t="s">
        <v>916</v>
      </c>
      <c r="I209" s="633" t="s">
        <v>116</v>
      </c>
      <c r="J209" s="471" t="s">
        <v>913</v>
      </c>
      <c r="K209" s="469">
        <v>8</v>
      </c>
      <c r="L209" s="473"/>
      <c r="M209" s="623">
        <v>7</v>
      </c>
      <c r="N209" s="623">
        <v>2</v>
      </c>
      <c r="O209" s="624">
        <v>0.2857142857142857</v>
      </c>
      <c r="P209" s="624">
        <v>0.2857142857142857</v>
      </c>
      <c r="Q209" s="785">
        <f t="shared" si="3"/>
        <v>3.5714285714285712</v>
      </c>
      <c r="R209" s="468" t="s">
        <v>1718</v>
      </c>
      <c r="S209" s="629"/>
    </row>
    <row r="210" spans="1:19" ht="15" x14ac:dyDescent="0.25">
      <c r="A210" s="621" t="s">
        <v>351</v>
      </c>
      <c r="B210" s="466" t="s">
        <v>111</v>
      </c>
      <c r="C210" s="631" t="s">
        <v>101</v>
      </c>
      <c r="D210" s="467" t="s">
        <v>889</v>
      </c>
      <c r="E210" s="474"/>
      <c r="F210" s="469" t="s">
        <v>112</v>
      </c>
      <c r="G210" s="470" t="s">
        <v>921</v>
      </c>
      <c r="H210" s="622" t="s">
        <v>917</v>
      </c>
      <c r="I210" s="633" t="s">
        <v>116</v>
      </c>
      <c r="J210" s="471" t="s">
        <v>913</v>
      </c>
      <c r="K210" s="469">
        <v>17</v>
      </c>
      <c r="L210" s="473"/>
      <c r="M210" s="623">
        <v>112</v>
      </c>
      <c r="N210" s="623">
        <v>19</v>
      </c>
      <c r="O210" s="624">
        <v>0.16964285714285715</v>
      </c>
      <c r="P210" s="624">
        <v>0.16964285714285715</v>
      </c>
      <c r="Q210" s="785">
        <f t="shared" si="3"/>
        <v>0.99789915966386555</v>
      </c>
      <c r="R210" s="468" t="s">
        <v>1718</v>
      </c>
      <c r="S210" s="629"/>
    </row>
    <row r="211" spans="1:19" ht="15" x14ac:dyDescent="0.25">
      <c r="A211" s="621" t="s">
        <v>351</v>
      </c>
      <c r="B211" s="466" t="s">
        <v>111</v>
      </c>
      <c r="C211" s="631" t="s">
        <v>101</v>
      </c>
      <c r="D211" s="467" t="s">
        <v>881</v>
      </c>
      <c r="E211" s="474"/>
      <c r="F211" s="469" t="s">
        <v>112</v>
      </c>
      <c r="G211" s="470" t="s">
        <v>921</v>
      </c>
      <c r="H211" s="622" t="s">
        <v>916</v>
      </c>
      <c r="I211" s="633" t="s">
        <v>116</v>
      </c>
      <c r="J211" s="471" t="s">
        <v>913</v>
      </c>
      <c r="K211" s="469">
        <v>36</v>
      </c>
      <c r="L211" s="473"/>
      <c r="M211" s="623">
        <v>9</v>
      </c>
      <c r="N211" s="623">
        <v>2</v>
      </c>
      <c r="O211" s="624">
        <v>0.22222222222222221</v>
      </c>
      <c r="P211" s="624">
        <v>0.22222222222222221</v>
      </c>
      <c r="Q211" s="785">
        <f t="shared" si="3"/>
        <v>0.61728395061728392</v>
      </c>
      <c r="R211" s="468" t="s">
        <v>1718</v>
      </c>
      <c r="S211" s="629"/>
    </row>
    <row r="212" spans="1:19" ht="15" x14ac:dyDescent="0.25">
      <c r="A212" s="621" t="s">
        <v>351</v>
      </c>
      <c r="B212" s="466" t="s">
        <v>111</v>
      </c>
      <c r="C212" s="631" t="s">
        <v>101</v>
      </c>
      <c r="D212" s="467" t="s">
        <v>883</v>
      </c>
      <c r="E212" s="474" t="s">
        <v>1723</v>
      </c>
      <c r="F212" s="469" t="s">
        <v>112</v>
      </c>
      <c r="G212" s="470" t="s">
        <v>921</v>
      </c>
      <c r="H212" s="622" t="s">
        <v>916</v>
      </c>
      <c r="I212" s="633" t="s">
        <v>116</v>
      </c>
      <c r="J212" s="471" t="s">
        <v>913</v>
      </c>
      <c r="K212" s="469">
        <v>80</v>
      </c>
      <c r="L212" s="473"/>
      <c r="M212" s="623">
        <v>0</v>
      </c>
      <c r="N212" s="623">
        <v>0</v>
      </c>
      <c r="O212" s="624">
        <v>0</v>
      </c>
      <c r="P212" s="624">
        <v>0</v>
      </c>
      <c r="Q212" s="785" t="e">
        <f t="shared" si="3"/>
        <v>#DIV/0!</v>
      </c>
      <c r="R212" s="468" t="s">
        <v>1719</v>
      </c>
      <c r="S212" s="629"/>
    </row>
    <row r="213" spans="1:19" ht="15" x14ac:dyDescent="0.25">
      <c r="A213" s="621" t="s">
        <v>351</v>
      </c>
      <c r="B213" s="466" t="s">
        <v>111</v>
      </c>
      <c r="C213" s="631" t="s">
        <v>101</v>
      </c>
      <c r="D213" s="467" t="s">
        <v>866</v>
      </c>
      <c r="E213" s="474" t="s">
        <v>1723</v>
      </c>
      <c r="F213" s="469" t="s">
        <v>112</v>
      </c>
      <c r="G213" s="470" t="s">
        <v>921</v>
      </c>
      <c r="H213" s="622" t="s">
        <v>916</v>
      </c>
      <c r="I213" s="633" t="s">
        <v>116</v>
      </c>
      <c r="J213" s="471" t="s">
        <v>913</v>
      </c>
      <c r="K213" s="469" t="s">
        <v>79</v>
      </c>
      <c r="L213" s="473"/>
      <c r="M213" s="623">
        <v>13</v>
      </c>
      <c r="N213" s="623">
        <v>2</v>
      </c>
      <c r="O213" s="624">
        <v>0.15384615384615385</v>
      </c>
      <c r="P213" s="624">
        <v>0.15384615384615385</v>
      </c>
      <c r="Q213" s="785" t="e">
        <f t="shared" si="3"/>
        <v>#VALUE!</v>
      </c>
      <c r="R213" s="468" t="s">
        <v>1718</v>
      </c>
      <c r="S213" s="629"/>
    </row>
    <row r="214" spans="1:19" ht="15" x14ac:dyDescent="0.25">
      <c r="A214" s="621" t="s">
        <v>351</v>
      </c>
      <c r="B214" s="466" t="s">
        <v>111</v>
      </c>
      <c r="C214" s="631" t="s">
        <v>101</v>
      </c>
      <c r="D214" s="467" t="s">
        <v>869</v>
      </c>
      <c r="E214" s="474" t="s">
        <v>1723</v>
      </c>
      <c r="F214" s="469" t="s">
        <v>112</v>
      </c>
      <c r="G214" s="470" t="s">
        <v>921</v>
      </c>
      <c r="H214" s="622" t="s">
        <v>916</v>
      </c>
      <c r="I214" s="633" t="s">
        <v>116</v>
      </c>
      <c r="J214" s="471" t="s">
        <v>913</v>
      </c>
      <c r="K214" s="469" t="s">
        <v>79</v>
      </c>
      <c r="L214" s="473"/>
      <c r="M214" s="623">
        <v>0</v>
      </c>
      <c r="N214" s="623">
        <v>0</v>
      </c>
      <c r="O214" s="624">
        <v>0</v>
      </c>
      <c r="P214" s="624">
        <v>0</v>
      </c>
      <c r="Q214" s="785" t="e">
        <f t="shared" si="3"/>
        <v>#VALUE!</v>
      </c>
      <c r="R214" s="468" t="s">
        <v>1719</v>
      </c>
      <c r="S214" s="629"/>
    </row>
    <row r="215" spans="1:19" ht="15" x14ac:dyDescent="0.25">
      <c r="A215" s="621" t="s">
        <v>351</v>
      </c>
      <c r="B215" s="466" t="s">
        <v>111</v>
      </c>
      <c r="C215" s="631" t="s">
        <v>885</v>
      </c>
      <c r="D215" s="467" t="s">
        <v>889</v>
      </c>
      <c r="E215" s="474"/>
      <c r="F215" s="469" t="s">
        <v>112</v>
      </c>
      <c r="G215" s="470" t="s">
        <v>921</v>
      </c>
      <c r="H215" s="622" t="s">
        <v>917</v>
      </c>
      <c r="I215" s="633" t="s">
        <v>116</v>
      </c>
      <c r="J215" s="471" t="s">
        <v>913</v>
      </c>
      <c r="K215" s="469">
        <v>13</v>
      </c>
      <c r="L215" s="473"/>
      <c r="M215" s="623">
        <v>0</v>
      </c>
      <c r="N215" s="623">
        <v>0</v>
      </c>
      <c r="O215" s="624">
        <v>0</v>
      </c>
      <c r="P215" s="624">
        <v>0</v>
      </c>
      <c r="Q215" s="785" t="e">
        <f t="shared" si="3"/>
        <v>#DIV/0!</v>
      </c>
      <c r="R215" s="468" t="s">
        <v>1719</v>
      </c>
      <c r="S215" s="629"/>
    </row>
    <row r="216" spans="1:19" ht="15" x14ac:dyDescent="0.25">
      <c r="A216" s="621" t="s">
        <v>351</v>
      </c>
      <c r="B216" s="466" t="s">
        <v>111</v>
      </c>
      <c r="C216" s="631" t="s">
        <v>885</v>
      </c>
      <c r="D216" s="467" t="s">
        <v>881</v>
      </c>
      <c r="E216" s="474"/>
      <c r="F216" s="469" t="s">
        <v>112</v>
      </c>
      <c r="G216" s="470" t="s">
        <v>921</v>
      </c>
      <c r="H216" s="622" t="s">
        <v>916</v>
      </c>
      <c r="I216" s="633" t="s">
        <v>116</v>
      </c>
      <c r="J216" s="471" t="s">
        <v>913</v>
      </c>
      <c r="K216" s="469">
        <v>13</v>
      </c>
      <c r="L216" s="473"/>
      <c r="M216" s="623">
        <v>5</v>
      </c>
      <c r="N216" s="623">
        <v>0</v>
      </c>
      <c r="O216" s="624">
        <v>0</v>
      </c>
      <c r="P216" s="624">
        <v>0</v>
      </c>
      <c r="Q216" s="785">
        <f t="shared" si="3"/>
        <v>0</v>
      </c>
      <c r="R216" s="468" t="s">
        <v>1719</v>
      </c>
      <c r="S216" s="629"/>
    </row>
    <row r="217" spans="1:19" ht="15" x14ac:dyDescent="0.25">
      <c r="A217" s="621" t="s">
        <v>351</v>
      </c>
      <c r="B217" s="466" t="s">
        <v>111</v>
      </c>
      <c r="C217" s="631" t="s">
        <v>885</v>
      </c>
      <c r="D217" s="467" t="s">
        <v>883</v>
      </c>
      <c r="E217" s="474" t="s">
        <v>1724</v>
      </c>
      <c r="F217" s="469" t="s">
        <v>112</v>
      </c>
      <c r="G217" s="470" t="s">
        <v>921</v>
      </c>
      <c r="H217" s="622" t="s">
        <v>916</v>
      </c>
      <c r="I217" s="633" t="s">
        <v>116</v>
      </c>
      <c r="J217" s="471" t="s">
        <v>913</v>
      </c>
      <c r="K217" s="469" t="s">
        <v>79</v>
      </c>
      <c r="L217" s="473"/>
      <c r="M217" s="623">
        <v>5</v>
      </c>
      <c r="N217" s="623">
        <v>0</v>
      </c>
      <c r="O217" s="624">
        <v>0</v>
      </c>
      <c r="P217" s="624">
        <v>0</v>
      </c>
      <c r="Q217" s="785" t="e">
        <f t="shared" si="3"/>
        <v>#VALUE!</v>
      </c>
      <c r="R217" s="468" t="s">
        <v>1719</v>
      </c>
      <c r="S217" s="629"/>
    </row>
    <row r="218" spans="1:19" ht="15" x14ac:dyDescent="0.25">
      <c r="A218" s="621" t="s">
        <v>351</v>
      </c>
      <c r="B218" s="466" t="s">
        <v>111</v>
      </c>
      <c r="C218" s="631" t="s">
        <v>885</v>
      </c>
      <c r="D218" s="467" t="s">
        <v>866</v>
      </c>
      <c r="E218" s="474" t="s">
        <v>1724</v>
      </c>
      <c r="F218" s="469" t="s">
        <v>112</v>
      </c>
      <c r="G218" s="470" t="s">
        <v>921</v>
      </c>
      <c r="H218" s="622" t="s">
        <v>916</v>
      </c>
      <c r="I218" s="633" t="s">
        <v>116</v>
      </c>
      <c r="J218" s="471" t="s">
        <v>913</v>
      </c>
      <c r="K218" s="469" t="s">
        <v>79</v>
      </c>
      <c r="L218" s="473"/>
      <c r="M218" s="623">
        <v>0</v>
      </c>
      <c r="N218" s="623">
        <v>0</v>
      </c>
      <c r="O218" s="624">
        <v>0</v>
      </c>
      <c r="P218" s="624">
        <v>0</v>
      </c>
      <c r="Q218" s="785" t="e">
        <f t="shared" si="3"/>
        <v>#VALUE!</v>
      </c>
      <c r="R218" s="468" t="s">
        <v>1719</v>
      </c>
      <c r="S218" s="629"/>
    </row>
    <row r="219" spans="1:19" ht="15" x14ac:dyDescent="0.25">
      <c r="A219" s="621" t="s">
        <v>351</v>
      </c>
      <c r="B219" s="466" t="s">
        <v>111</v>
      </c>
      <c r="C219" s="631" t="s">
        <v>885</v>
      </c>
      <c r="D219" s="467" t="s">
        <v>869</v>
      </c>
      <c r="E219" s="474"/>
      <c r="F219" s="469" t="s">
        <v>112</v>
      </c>
      <c r="G219" s="470" t="s">
        <v>921</v>
      </c>
      <c r="H219" s="622" t="s">
        <v>916</v>
      </c>
      <c r="I219" s="633" t="s">
        <v>116</v>
      </c>
      <c r="J219" s="471" t="s">
        <v>913</v>
      </c>
      <c r="K219" s="469">
        <v>25</v>
      </c>
      <c r="L219" s="473"/>
      <c r="M219" s="623">
        <v>12</v>
      </c>
      <c r="N219" s="623">
        <v>5</v>
      </c>
      <c r="O219" s="624">
        <v>0.41666666666666669</v>
      </c>
      <c r="P219" s="624">
        <v>0.41666666666666669</v>
      </c>
      <c r="Q219" s="785">
        <f t="shared" si="3"/>
        <v>1.6666666666666667</v>
      </c>
      <c r="R219" s="468" t="s">
        <v>1718</v>
      </c>
      <c r="S219" s="629"/>
    </row>
    <row r="220" spans="1:19" ht="15" x14ac:dyDescent="0.25">
      <c r="A220" s="621" t="s">
        <v>351</v>
      </c>
      <c r="B220" s="466" t="s">
        <v>111</v>
      </c>
      <c r="C220" s="631" t="s">
        <v>885</v>
      </c>
      <c r="D220" s="467" t="s">
        <v>887</v>
      </c>
      <c r="E220" s="474"/>
      <c r="F220" s="469" t="s">
        <v>112</v>
      </c>
      <c r="G220" s="470" t="s">
        <v>921</v>
      </c>
      <c r="H220" s="622" t="s">
        <v>916</v>
      </c>
      <c r="I220" s="633" t="s">
        <v>116</v>
      </c>
      <c r="J220" s="471" t="s">
        <v>913</v>
      </c>
      <c r="K220" s="469">
        <v>10</v>
      </c>
      <c r="L220" s="473"/>
      <c r="M220" s="623">
        <v>20</v>
      </c>
      <c r="N220" s="623">
        <v>8</v>
      </c>
      <c r="O220" s="624">
        <v>0.4</v>
      </c>
      <c r="P220" s="624">
        <v>0.4</v>
      </c>
      <c r="Q220" s="785">
        <f t="shared" si="3"/>
        <v>4</v>
      </c>
      <c r="R220" s="468" t="s">
        <v>1718</v>
      </c>
      <c r="S220" s="629"/>
    </row>
    <row r="221" spans="1:19" ht="15" x14ac:dyDescent="0.25">
      <c r="A221" s="621" t="s">
        <v>351</v>
      </c>
      <c r="B221" s="466" t="s">
        <v>111</v>
      </c>
      <c r="C221" s="631" t="s">
        <v>904</v>
      </c>
      <c r="D221" s="467" t="s">
        <v>881</v>
      </c>
      <c r="E221" s="474" t="s">
        <v>1718</v>
      </c>
      <c r="F221" s="469" t="s">
        <v>112</v>
      </c>
      <c r="G221" s="470" t="s">
        <v>921</v>
      </c>
      <c r="H221" s="622" t="s">
        <v>916</v>
      </c>
      <c r="I221" s="633" t="s">
        <v>116</v>
      </c>
      <c r="J221" s="471" t="s">
        <v>913</v>
      </c>
      <c r="K221" s="469" t="s">
        <v>79</v>
      </c>
      <c r="L221" s="473"/>
      <c r="M221" s="623">
        <v>0</v>
      </c>
      <c r="N221" s="623">
        <v>0</v>
      </c>
      <c r="O221" s="624">
        <v>0</v>
      </c>
      <c r="P221" s="624">
        <v>0</v>
      </c>
      <c r="Q221" s="785" t="e">
        <f t="shared" si="3"/>
        <v>#VALUE!</v>
      </c>
      <c r="R221" s="468" t="s">
        <v>1719</v>
      </c>
      <c r="S221" s="629"/>
    </row>
    <row r="222" spans="1:19" ht="15" x14ac:dyDescent="0.25">
      <c r="A222" s="621" t="s">
        <v>351</v>
      </c>
      <c r="B222" s="466" t="s">
        <v>111</v>
      </c>
      <c r="C222" s="631" t="s">
        <v>904</v>
      </c>
      <c r="D222" s="467" t="s">
        <v>883</v>
      </c>
      <c r="E222" s="474" t="s">
        <v>1725</v>
      </c>
      <c r="F222" s="469" t="s">
        <v>112</v>
      </c>
      <c r="G222" s="470" t="s">
        <v>921</v>
      </c>
      <c r="H222" s="622" t="s">
        <v>916</v>
      </c>
      <c r="I222" s="633" t="s">
        <v>116</v>
      </c>
      <c r="J222" s="471" t="s">
        <v>913</v>
      </c>
      <c r="K222" s="469" t="s">
        <v>79</v>
      </c>
      <c r="L222" s="473"/>
      <c r="M222" s="623">
        <v>1</v>
      </c>
      <c r="N222" s="623">
        <v>1</v>
      </c>
      <c r="O222" s="624">
        <v>1</v>
      </c>
      <c r="P222" s="624">
        <v>1</v>
      </c>
      <c r="Q222" s="785" t="e">
        <f t="shared" si="3"/>
        <v>#VALUE!</v>
      </c>
      <c r="R222" s="468" t="s">
        <v>1718</v>
      </c>
      <c r="S222" s="629"/>
    </row>
    <row r="223" spans="1:19" ht="15" x14ac:dyDescent="0.25">
      <c r="A223" s="621" t="s">
        <v>351</v>
      </c>
      <c r="B223" s="466" t="s">
        <v>111</v>
      </c>
      <c r="C223" s="631" t="s">
        <v>740</v>
      </c>
      <c r="D223" s="467" t="s">
        <v>889</v>
      </c>
      <c r="E223" s="474"/>
      <c r="F223" s="469" t="s">
        <v>112</v>
      </c>
      <c r="G223" s="470" t="s">
        <v>921</v>
      </c>
      <c r="H223" s="622" t="s">
        <v>917</v>
      </c>
      <c r="I223" s="633" t="s">
        <v>116</v>
      </c>
      <c r="J223" s="471" t="s">
        <v>913</v>
      </c>
      <c r="K223" s="469">
        <v>38</v>
      </c>
      <c r="L223" s="473"/>
      <c r="M223" s="623">
        <v>37</v>
      </c>
      <c r="N223" s="623">
        <v>3</v>
      </c>
      <c r="O223" s="624">
        <v>8.1081081081081086E-2</v>
      </c>
      <c r="P223" s="624">
        <v>8.1081081081081086E-2</v>
      </c>
      <c r="Q223" s="785">
        <f t="shared" si="3"/>
        <v>0.21337126600284495</v>
      </c>
      <c r="R223" s="468" t="s">
        <v>1718</v>
      </c>
      <c r="S223" s="629"/>
    </row>
    <row r="224" spans="1:19" ht="15" x14ac:dyDescent="0.25">
      <c r="A224" s="621" t="s">
        <v>351</v>
      </c>
      <c r="B224" s="466" t="s">
        <v>111</v>
      </c>
      <c r="C224" s="631" t="s">
        <v>740</v>
      </c>
      <c r="D224" s="467" t="s">
        <v>881</v>
      </c>
      <c r="E224" s="474" t="s">
        <v>1726</v>
      </c>
      <c r="F224" s="469" t="s">
        <v>112</v>
      </c>
      <c r="G224" s="470" t="s">
        <v>921</v>
      </c>
      <c r="H224" s="622" t="s">
        <v>916</v>
      </c>
      <c r="I224" s="633" t="s">
        <v>116</v>
      </c>
      <c r="J224" s="471" t="s">
        <v>913</v>
      </c>
      <c r="K224" s="469" t="s">
        <v>79</v>
      </c>
      <c r="L224" s="473"/>
      <c r="M224" s="623">
        <v>4</v>
      </c>
      <c r="N224" s="623">
        <v>0</v>
      </c>
      <c r="O224" s="624">
        <v>0</v>
      </c>
      <c r="P224" s="624">
        <v>0</v>
      </c>
      <c r="Q224" s="785" t="e">
        <f t="shared" si="3"/>
        <v>#VALUE!</v>
      </c>
      <c r="R224" s="468" t="s">
        <v>1719</v>
      </c>
      <c r="S224" s="629"/>
    </row>
    <row r="225" spans="1:19" ht="15" x14ac:dyDescent="0.25">
      <c r="A225" s="621" t="s">
        <v>351</v>
      </c>
      <c r="B225" s="466" t="s">
        <v>111</v>
      </c>
      <c r="C225" s="631" t="s">
        <v>740</v>
      </c>
      <c r="D225" s="467" t="s">
        <v>883</v>
      </c>
      <c r="E225" s="474" t="s">
        <v>1726</v>
      </c>
      <c r="F225" s="469" t="s">
        <v>112</v>
      </c>
      <c r="G225" s="470" t="s">
        <v>921</v>
      </c>
      <c r="H225" s="622" t="s">
        <v>916</v>
      </c>
      <c r="I225" s="633" t="s">
        <v>116</v>
      </c>
      <c r="J225" s="471" t="s">
        <v>913</v>
      </c>
      <c r="K225" s="469" t="s">
        <v>79</v>
      </c>
      <c r="L225" s="473"/>
      <c r="M225" s="623">
        <v>0</v>
      </c>
      <c r="N225" s="623">
        <v>0</v>
      </c>
      <c r="O225" s="624">
        <v>0</v>
      </c>
      <c r="P225" s="624">
        <v>0</v>
      </c>
      <c r="Q225" s="785" t="e">
        <f t="shared" si="3"/>
        <v>#VALUE!</v>
      </c>
      <c r="R225" s="468" t="s">
        <v>1719</v>
      </c>
      <c r="S225" s="629"/>
    </row>
    <row r="226" spans="1:19" ht="15" x14ac:dyDescent="0.25">
      <c r="A226" s="621" t="s">
        <v>351</v>
      </c>
      <c r="B226" s="466" t="s">
        <v>111</v>
      </c>
      <c r="C226" s="631" t="s">
        <v>894</v>
      </c>
      <c r="D226" s="467" t="s">
        <v>889</v>
      </c>
      <c r="E226" s="474"/>
      <c r="F226" s="469" t="s">
        <v>112</v>
      </c>
      <c r="G226" s="470" t="s">
        <v>921</v>
      </c>
      <c r="H226" s="622" t="s">
        <v>917</v>
      </c>
      <c r="I226" s="633" t="s">
        <v>116</v>
      </c>
      <c r="J226" s="471" t="s">
        <v>913</v>
      </c>
      <c r="K226" s="469">
        <v>5</v>
      </c>
      <c r="L226" s="473"/>
      <c r="M226" s="623">
        <v>543</v>
      </c>
      <c r="N226" s="623">
        <v>32</v>
      </c>
      <c r="O226" s="624">
        <v>5.8931860036832415E-2</v>
      </c>
      <c r="P226" s="624">
        <v>5.8931860036832415E-2</v>
      </c>
      <c r="Q226" s="785">
        <f t="shared" si="3"/>
        <v>1.1786372007366483</v>
      </c>
      <c r="R226" s="468" t="s">
        <v>1718</v>
      </c>
      <c r="S226" s="629"/>
    </row>
    <row r="227" spans="1:19" ht="15" x14ac:dyDescent="0.25">
      <c r="A227" s="621" t="s">
        <v>351</v>
      </c>
      <c r="B227" s="466" t="s">
        <v>111</v>
      </c>
      <c r="C227" s="631" t="s">
        <v>894</v>
      </c>
      <c r="D227" s="467" t="s">
        <v>881</v>
      </c>
      <c r="E227" s="474"/>
      <c r="F227" s="469" t="s">
        <v>112</v>
      </c>
      <c r="G227" s="470" t="s">
        <v>921</v>
      </c>
      <c r="H227" s="622" t="s">
        <v>916</v>
      </c>
      <c r="I227" s="633" t="s">
        <v>116</v>
      </c>
      <c r="J227" s="471" t="s">
        <v>913</v>
      </c>
      <c r="K227" s="469">
        <v>32</v>
      </c>
      <c r="L227" s="473"/>
      <c r="M227" s="623">
        <v>78</v>
      </c>
      <c r="N227" s="623">
        <v>28</v>
      </c>
      <c r="O227" s="624">
        <v>0.35897435897435898</v>
      </c>
      <c r="P227" s="624">
        <v>0.35897435897435898</v>
      </c>
      <c r="Q227" s="785">
        <f t="shared" si="3"/>
        <v>1.1217948717948718</v>
      </c>
      <c r="R227" s="468" t="s">
        <v>1718</v>
      </c>
      <c r="S227" s="629"/>
    </row>
    <row r="228" spans="1:19" ht="15" x14ac:dyDescent="0.25">
      <c r="A228" s="621" t="s">
        <v>351</v>
      </c>
      <c r="B228" s="466" t="s">
        <v>111</v>
      </c>
      <c r="C228" s="631" t="s">
        <v>894</v>
      </c>
      <c r="D228" s="467" t="s">
        <v>883</v>
      </c>
      <c r="E228" s="474" t="s">
        <v>1727</v>
      </c>
      <c r="F228" s="469" t="s">
        <v>112</v>
      </c>
      <c r="G228" s="470" t="s">
        <v>921</v>
      </c>
      <c r="H228" s="622" t="s">
        <v>916</v>
      </c>
      <c r="I228" s="633" t="s">
        <v>116</v>
      </c>
      <c r="J228" s="471" t="s">
        <v>913</v>
      </c>
      <c r="K228" s="469">
        <v>33</v>
      </c>
      <c r="L228" s="473"/>
      <c r="M228" s="623">
        <v>25</v>
      </c>
      <c r="N228" s="623">
        <v>9</v>
      </c>
      <c r="O228" s="624">
        <v>0.36</v>
      </c>
      <c r="P228" s="624">
        <v>0.36</v>
      </c>
      <c r="Q228" s="785">
        <f t="shared" si="3"/>
        <v>1.0909090909090908</v>
      </c>
      <c r="R228" s="468" t="s">
        <v>1718</v>
      </c>
      <c r="S228" s="629"/>
    </row>
    <row r="229" spans="1:19" ht="15" x14ac:dyDescent="0.25">
      <c r="A229" s="621" t="s">
        <v>351</v>
      </c>
      <c r="B229" s="466" t="s">
        <v>111</v>
      </c>
      <c r="C229" s="631" t="s">
        <v>894</v>
      </c>
      <c r="D229" s="467" t="s">
        <v>869</v>
      </c>
      <c r="E229" s="474" t="s">
        <v>1727</v>
      </c>
      <c r="F229" s="469" t="s">
        <v>112</v>
      </c>
      <c r="G229" s="470" t="s">
        <v>921</v>
      </c>
      <c r="H229" s="622" t="s">
        <v>916</v>
      </c>
      <c r="I229" s="633" t="s">
        <v>116</v>
      </c>
      <c r="J229" s="471" t="s">
        <v>913</v>
      </c>
      <c r="K229" s="469" t="s">
        <v>79</v>
      </c>
      <c r="L229" s="473"/>
      <c r="M229" s="623">
        <v>0</v>
      </c>
      <c r="N229" s="623">
        <v>0</v>
      </c>
      <c r="O229" s="624">
        <v>0</v>
      </c>
      <c r="P229" s="624">
        <v>0</v>
      </c>
      <c r="Q229" s="785" t="e">
        <f t="shared" si="3"/>
        <v>#VALUE!</v>
      </c>
      <c r="R229" s="468" t="s">
        <v>1719</v>
      </c>
      <c r="S229" s="629"/>
    </row>
    <row r="230" spans="1:19" ht="15" x14ac:dyDescent="0.25">
      <c r="A230" s="621" t="s">
        <v>351</v>
      </c>
      <c r="B230" s="466" t="s">
        <v>111</v>
      </c>
      <c r="C230" s="631" t="s">
        <v>99</v>
      </c>
      <c r="D230" s="467" t="s">
        <v>866</v>
      </c>
      <c r="E230" s="474" t="s">
        <v>1720</v>
      </c>
      <c r="F230" s="469" t="s">
        <v>112</v>
      </c>
      <c r="G230" s="470" t="s">
        <v>922</v>
      </c>
      <c r="H230" s="622" t="s">
        <v>916</v>
      </c>
      <c r="I230" s="633" t="s">
        <v>116</v>
      </c>
      <c r="J230" s="471" t="s">
        <v>913</v>
      </c>
      <c r="K230" s="469">
        <v>33</v>
      </c>
      <c r="L230" s="473"/>
      <c r="M230" s="623">
        <v>0</v>
      </c>
      <c r="N230" s="623">
        <v>0</v>
      </c>
      <c r="O230" s="624">
        <v>0</v>
      </c>
      <c r="P230" s="624">
        <v>0</v>
      </c>
      <c r="Q230" s="785" t="e">
        <f t="shared" si="3"/>
        <v>#DIV/0!</v>
      </c>
      <c r="R230" s="468" t="s">
        <v>1719</v>
      </c>
      <c r="S230" s="629"/>
    </row>
    <row r="231" spans="1:19" ht="15" x14ac:dyDescent="0.25">
      <c r="A231" s="621" t="s">
        <v>351</v>
      </c>
      <c r="B231" s="466" t="s">
        <v>111</v>
      </c>
      <c r="C231" s="631" t="s">
        <v>99</v>
      </c>
      <c r="D231" s="467" t="s">
        <v>869</v>
      </c>
      <c r="E231" s="474" t="s">
        <v>1720</v>
      </c>
      <c r="F231" s="469" t="s">
        <v>112</v>
      </c>
      <c r="G231" s="470" t="s">
        <v>922</v>
      </c>
      <c r="H231" s="622" t="s">
        <v>916</v>
      </c>
      <c r="I231" s="633" t="s">
        <v>116</v>
      </c>
      <c r="J231" s="471" t="s">
        <v>913</v>
      </c>
      <c r="K231" s="469">
        <v>33</v>
      </c>
      <c r="L231" s="473"/>
      <c r="M231" s="623">
        <v>14</v>
      </c>
      <c r="N231" s="623">
        <v>2</v>
      </c>
      <c r="O231" s="624">
        <v>0.14285714285714285</v>
      </c>
      <c r="P231" s="624">
        <v>0.14285714285714285</v>
      </c>
      <c r="Q231" s="785">
        <f t="shared" si="3"/>
        <v>0.4329004329004329</v>
      </c>
      <c r="R231" s="468" t="s">
        <v>1718</v>
      </c>
      <c r="S231" s="629"/>
    </row>
    <row r="232" spans="1:19" ht="15" x14ac:dyDescent="0.25">
      <c r="A232" s="621" t="s">
        <v>351</v>
      </c>
      <c r="B232" s="466" t="s">
        <v>111</v>
      </c>
      <c r="C232" s="631" t="s">
        <v>870</v>
      </c>
      <c r="D232" s="467" t="s">
        <v>889</v>
      </c>
      <c r="E232" s="474"/>
      <c r="F232" s="469" t="s">
        <v>112</v>
      </c>
      <c r="G232" s="470" t="s">
        <v>922</v>
      </c>
      <c r="H232" s="622" t="s">
        <v>917</v>
      </c>
      <c r="I232" s="633" t="s">
        <v>116</v>
      </c>
      <c r="J232" s="471" t="s">
        <v>913</v>
      </c>
      <c r="K232" s="469">
        <v>16</v>
      </c>
      <c r="L232" s="473"/>
      <c r="M232" s="623">
        <v>50</v>
      </c>
      <c r="N232" s="623">
        <v>4</v>
      </c>
      <c r="O232" s="624">
        <v>0.08</v>
      </c>
      <c r="P232" s="624">
        <v>0.08</v>
      </c>
      <c r="Q232" s="785">
        <f t="shared" si="3"/>
        <v>0.5</v>
      </c>
      <c r="R232" s="468" t="s">
        <v>1718</v>
      </c>
      <c r="S232" s="629"/>
    </row>
    <row r="233" spans="1:19" ht="15" x14ac:dyDescent="0.25">
      <c r="A233" s="621" t="s">
        <v>351</v>
      </c>
      <c r="B233" s="466" t="s">
        <v>111</v>
      </c>
      <c r="C233" s="631" t="s">
        <v>870</v>
      </c>
      <c r="D233" s="467" t="s">
        <v>881</v>
      </c>
      <c r="E233" s="474"/>
      <c r="F233" s="469" t="s">
        <v>112</v>
      </c>
      <c r="G233" s="470" t="s">
        <v>922</v>
      </c>
      <c r="H233" s="622" t="s">
        <v>916</v>
      </c>
      <c r="I233" s="633" t="s">
        <v>116</v>
      </c>
      <c r="J233" s="471" t="s">
        <v>913</v>
      </c>
      <c r="K233" s="469">
        <v>16</v>
      </c>
      <c r="L233" s="473"/>
      <c r="M233" s="623">
        <v>19</v>
      </c>
      <c r="N233" s="623">
        <v>3</v>
      </c>
      <c r="O233" s="624">
        <v>0.15789473684210525</v>
      </c>
      <c r="P233" s="624">
        <v>0.15789473684210525</v>
      </c>
      <c r="Q233" s="785">
        <f t="shared" si="3"/>
        <v>0.98684210526315785</v>
      </c>
      <c r="R233" s="468" t="s">
        <v>1718</v>
      </c>
      <c r="S233" s="629"/>
    </row>
    <row r="234" spans="1:19" ht="15" x14ac:dyDescent="0.25">
      <c r="A234" s="621" t="s">
        <v>351</v>
      </c>
      <c r="B234" s="466" t="s">
        <v>111</v>
      </c>
      <c r="C234" s="631" t="s">
        <v>870</v>
      </c>
      <c r="D234" s="467" t="s">
        <v>883</v>
      </c>
      <c r="E234" s="474"/>
      <c r="F234" s="469" t="s">
        <v>112</v>
      </c>
      <c r="G234" s="470" t="s">
        <v>922</v>
      </c>
      <c r="H234" s="622" t="s">
        <v>916</v>
      </c>
      <c r="I234" s="633" t="s">
        <v>116</v>
      </c>
      <c r="J234" s="471" t="s">
        <v>913</v>
      </c>
      <c r="K234" s="469">
        <v>6</v>
      </c>
      <c r="L234" s="473"/>
      <c r="M234" s="623">
        <v>39</v>
      </c>
      <c r="N234" s="623">
        <v>9</v>
      </c>
      <c r="O234" s="624">
        <v>0.23076923076923078</v>
      </c>
      <c r="P234" s="624">
        <v>0.23076923076923078</v>
      </c>
      <c r="Q234" s="785">
        <f t="shared" si="3"/>
        <v>3.8461538461538463</v>
      </c>
      <c r="R234" s="468" t="s">
        <v>1718</v>
      </c>
      <c r="S234" s="629"/>
    </row>
    <row r="235" spans="1:19" ht="15" x14ac:dyDescent="0.25">
      <c r="A235" s="621" t="s">
        <v>351</v>
      </c>
      <c r="B235" s="466" t="s">
        <v>111</v>
      </c>
      <c r="C235" s="631" t="s">
        <v>870</v>
      </c>
      <c r="D235" s="467" t="s">
        <v>866</v>
      </c>
      <c r="E235" s="474"/>
      <c r="F235" s="469" t="s">
        <v>112</v>
      </c>
      <c r="G235" s="470" t="s">
        <v>922</v>
      </c>
      <c r="H235" s="622" t="s">
        <v>916</v>
      </c>
      <c r="I235" s="633" t="s">
        <v>116</v>
      </c>
      <c r="J235" s="471" t="s">
        <v>913</v>
      </c>
      <c r="K235" s="469">
        <v>8</v>
      </c>
      <c r="L235" s="473"/>
      <c r="M235" s="623">
        <v>67</v>
      </c>
      <c r="N235" s="623">
        <v>17</v>
      </c>
      <c r="O235" s="624">
        <v>0.2537313432835821</v>
      </c>
      <c r="P235" s="624">
        <v>0.2537313432835821</v>
      </c>
      <c r="Q235" s="785">
        <f t="shared" si="3"/>
        <v>3.1716417910447761</v>
      </c>
      <c r="R235" s="468" t="s">
        <v>1718</v>
      </c>
      <c r="S235" s="629"/>
    </row>
    <row r="236" spans="1:19" ht="15" x14ac:dyDescent="0.25">
      <c r="A236" s="621" t="s">
        <v>351</v>
      </c>
      <c r="B236" s="466" t="s">
        <v>111</v>
      </c>
      <c r="C236" s="631" t="s">
        <v>870</v>
      </c>
      <c r="D236" s="467" t="s">
        <v>869</v>
      </c>
      <c r="E236" s="474"/>
      <c r="F236" s="469" t="s">
        <v>112</v>
      </c>
      <c r="G236" s="470" t="s">
        <v>922</v>
      </c>
      <c r="H236" s="622" t="s">
        <v>916</v>
      </c>
      <c r="I236" s="633" t="s">
        <v>116</v>
      </c>
      <c r="J236" s="471" t="s">
        <v>913</v>
      </c>
      <c r="K236" s="469">
        <v>5</v>
      </c>
      <c r="L236" s="473"/>
      <c r="M236" s="623">
        <v>46</v>
      </c>
      <c r="N236" s="623">
        <v>18</v>
      </c>
      <c r="O236" s="624">
        <v>0.39130434782608697</v>
      </c>
      <c r="P236" s="624">
        <v>0.39130434782608697</v>
      </c>
      <c r="Q236" s="785">
        <f t="shared" si="3"/>
        <v>7.8260869565217401</v>
      </c>
      <c r="R236" s="468" t="s">
        <v>1718</v>
      </c>
      <c r="S236" s="629"/>
    </row>
    <row r="237" spans="1:19" ht="15" x14ac:dyDescent="0.25">
      <c r="A237" s="621" t="s">
        <v>351</v>
      </c>
      <c r="B237" s="466" t="s">
        <v>111</v>
      </c>
      <c r="C237" s="631" t="s">
        <v>738</v>
      </c>
      <c r="D237" s="467" t="s">
        <v>889</v>
      </c>
      <c r="E237" s="474"/>
      <c r="F237" s="469" t="s">
        <v>112</v>
      </c>
      <c r="G237" s="470" t="s">
        <v>922</v>
      </c>
      <c r="H237" s="622" t="s">
        <v>917</v>
      </c>
      <c r="I237" s="633" t="s">
        <v>116</v>
      </c>
      <c r="J237" s="471" t="s">
        <v>913</v>
      </c>
      <c r="K237" s="469">
        <v>29</v>
      </c>
      <c r="L237" s="473"/>
      <c r="M237" s="623">
        <v>156</v>
      </c>
      <c r="N237" s="623">
        <v>7</v>
      </c>
      <c r="O237" s="624">
        <v>4.4871794871794872E-2</v>
      </c>
      <c r="P237" s="624">
        <v>4.4871794871794872E-2</v>
      </c>
      <c r="Q237" s="785">
        <f t="shared" si="3"/>
        <v>0.15473032714412024</v>
      </c>
      <c r="R237" s="468" t="s">
        <v>1718</v>
      </c>
      <c r="S237" s="629"/>
    </row>
    <row r="238" spans="1:19" ht="15" x14ac:dyDescent="0.25">
      <c r="A238" s="621" t="s">
        <v>351</v>
      </c>
      <c r="B238" s="466" t="s">
        <v>111</v>
      </c>
      <c r="C238" s="631" t="s">
        <v>738</v>
      </c>
      <c r="D238" s="467" t="s">
        <v>881</v>
      </c>
      <c r="E238" s="474" t="s">
        <v>1721</v>
      </c>
      <c r="F238" s="469" t="s">
        <v>112</v>
      </c>
      <c r="G238" s="470" t="s">
        <v>922</v>
      </c>
      <c r="H238" s="622" t="s">
        <v>916</v>
      </c>
      <c r="I238" s="633" t="s">
        <v>116</v>
      </c>
      <c r="J238" s="471" t="s">
        <v>913</v>
      </c>
      <c r="K238" s="469">
        <v>8</v>
      </c>
      <c r="L238" s="473"/>
      <c r="M238" s="623">
        <v>54</v>
      </c>
      <c r="N238" s="623">
        <v>6</v>
      </c>
      <c r="O238" s="624">
        <v>0.1111111111111111</v>
      </c>
      <c r="P238" s="624">
        <v>0.1111111111111111</v>
      </c>
      <c r="Q238" s="785">
        <f t="shared" si="3"/>
        <v>1.3888888888888888</v>
      </c>
      <c r="R238" s="468" t="s">
        <v>1718</v>
      </c>
      <c r="S238" s="629"/>
    </row>
    <row r="239" spans="1:19" ht="15" x14ac:dyDescent="0.25">
      <c r="A239" s="621" t="s">
        <v>351</v>
      </c>
      <c r="B239" s="466" t="s">
        <v>111</v>
      </c>
      <c r="C239" s="631" t="s">
        <v>738</v>
      </c>
      <c r="D239" s="467" t="s">
        <v>883</v>
      </c>
      <c r="E239" s="474" t="s">
        <v>1721</v>
      </c>
      <c r="F239" s="469" t="s">
        <v>112</v>
      </c>
      <c r="G239" s="470" t="s">
        <v>922</v>
      </c>
      <c r="H239" s="622" t="s">
        <v>916</v>
      </c>
      <c r="I239" s="633" t="s">
        <v>116</v>
      </c>
      <c r="J239" s="471" t="s">
        <v>913</v>
      </c>
      <c r="K239" s="469">
        <v>8</v>
      </c>
      <c r="L239" s="473"/>
      <c r="M239" s="623">
        <v>0</v>
      </c>
      <c r="N239" s="623">
        <v>0</v>
      </c>
      <c r="O239" s="624">
        <v>0</v>
      </c>
      <c r="P239" s="624">
        <v>0</v>
      </c>
      <c r="Q239" s="785" t="e">
        <f t="shared" si="3"/>
        <v>#DIV/0!</v>
      </c>
      <c r="R239" s="468" t="s">
        <v>1719</v>
      </c>
      <c r="S239" s="629"/>
    </row>
    <row r="240" spans="1:19" ht="15" x14ac:dyDescent="0.25">
      <c r="A240" s="621" t="s">
        <v>351</v>
      </c>
      <c r="B240" s="466" t="s">
        <v>111</v>
      </c>
      <c r="C240" s="631" t="s">
        <v>738</v>
      </c>
      <c r="D240" s="467" t="s">
        <v>866</v>
      </c>
      <c r="E240" s="474" t="s">
        <v>1722</v>
      </c>
      <c r="F240" s="469" t="s">
        <v>112</v>
      </c>
      <c r="G240" s="470" t="s">
        <v>922</v>
      </c>
      <c r="H240" s="622" t="s">
        <v>916</v>
      </c>
      <c r="I240" s="633" t="s">
        <v>116</v>
      </c>
      <c r="J240" s="471" t="s">
        <v>913</v>
      </c>
      <c r="K240" s="469">
        <v>8</v>
      </c>
      <c r="L240" s="473"/>
      <c r="M240" s="623">
        <v>0</v>
      </c>
      <c r="N240" s="623">
        <v>1</v>
      </c>
      <c r="O240" s="624">
        <v>0</v>
      </c>
      <c r="P240" s="624">
        <v>0</v>
      </c>
      <c r="Q240" s="785" t="e">
        <f t="shared" si="3"/>
        <v>#DIV/0!</v>
      </c>
      <c r="R240" s="468" t="s">
        <v>1719</v>
      </c>
      <c r="S240" s="629"/>
    </row>
    <row r="241" spans="1:19" ht="15" x14ac:dyDescent="0.25">
      <c r="A241" s="621" t="s">
        <v>351</v>
      </c>
      <c r="B241" s="466" t="s">
        <v>111</v>
      </c>
      <c r="C241" s="631" t="s">
        <v>738</v>
      </c>
      <c r="D241" s="467" t="s">
        <v>869</v>
      </c>
      <c r="E241" s="474" t="s">
        <v>1722</v>
      </c>
      <c r="F241" s="469" t="s">
        <v>112</v>
      </c>
      <c r="G241" s="470" t="s">
        <v>922</v>
      </c>
      <c r="H241" s="622" t="s">
        <v>916</v>
      </c>
      <c r="I241" s="633" t="s">
        <v>116</v>
      </c>
      <c r="J241" s="471" t="s">
        <v>913</v>
      </c>
      <c r="K241" s="469">
        <v>8</v>
      </c>
      <c r="L241" s="473"/>
      <c r="M241" s="623">
        <v>7</v>
      </c>
      <c r="N241" s="623">
        <v>2</v>
      </c>
      <c r="O241" s="624">
        <v>0.2857142857142857</v>
      </c>
      <c r="P241" s="624">
        <v>0.2857142857142857</v>
      </c>
      <c r="Q241" s="785">
        <f t="shared" si="3"/>
        <v>3.5714285714285712</v>
      </c>
      <c r="R241" s="468" t="s">
        <v>1718</v>
      </c>
      <c r="S241" s="629"/>
    </row>
    <row r="242" spans="1:19" ht="15" x14ac:dyDescent="0.25">
      <c r="A242" s="621" t="s">
        <v>351</v>
      </c>
      <c r="B242" s="466" t="s">
        <v>111</v>
      </c>
      <c r="C242" s="631" t="s">
        <v>101</v>
      </c>
      <c r="D242" s="467" t="s">
        <v>889</v>
      </c>
      <c r="E242" s="474"/>
      <c r="F242" s="469" t="s">
        <v>112</v>
      </c>
      <c r="G242" s="470" t="s">
        <v>922</v>
      </c>
      <c r="H242" s="622" t="s">
        <v>917</v>
      </c>
      <c r="I242" s="633" t="s">
        <v>116</v>
      </c>
      <c r="J242" s="471" t="s">
        <v>913</v>
      </c>
      <c r="K242" s="469">
        <v>17</v>
      </c>
      <c r="L242" s="473"/>
      <c r="M242" s="623">
        <v>112</v>
      </c>
      <c r="N242" s="623">
        <v>19</v>
      </c>
      <c r="O242" s="624">
        <v>0.16964285714285715</v>
      </c>
      <c r="P242" s="624">
        <v>0.16964285714285715</v>
      </c>
      <c r="Q242" s="785">
        <f t="shared" si="3"/>
        <v>0.99789915966386555</v>
      </c>
      <c r="R242" s="468" t="s">
        <v>1718</v>
      </c>
      <c r="S242" s="629"/>
    </row>
    <row r="243" spans="1:19" ht="15" x14ac:dyDescent="0.25">
      <c r="A243" s="621" t="s">
        <v>351</v>
      </c>
      <c r="B243" s="466" t="s">
        <v>111</v>
      </c>
      <c r="C243" s="631" t="s">
        <v>101</v>
      </c>
      <c r="D243" s="467" t="s">
        <v>881</v>
      </c>
      <c r="E243" s="474"/>
      <c r="F243" s="469" t="s">
        <v>112</v>
      </c>
      <c r="G243" s="470" t="s">
        <v>922</v>
      </c>
      <c r="H243" s="622" t="s">
        <v>916</v>
      </c>
      <c r="I243" s="633" t="s">
        <v>116</v>
      </c>
      <c r="J243" s="471" t="s">
        <v>913</v>
      </c>
      <c r="K243" s="469">
        <v>36</v>
      </c>
      <c r="L243" s="473"/>
      <c r="M243" s="623">
        <v>9</v>
      </c>
      <c r="N243" s="623">
        <v>2</v>
      </c>
      <c r="O243" s="624">
        <v>0.22222222222222221</v>
      </c>
      <c r="P243" s="624">
        <v>0.22222222222222221</v>
      </c>
      <c r="Q243" s="785">
        <f t="shared" si="3"/>
        <v>0.61728395061728392</v>
      </c>
      <c r="R243" s="468" t="s">
        <v>1718</v>
      </c>
      <c r="S243" s="629"/>
    </row>
    <row r="244" spans="1:19" ht="15" x14ac:dyDescent="0.25">
      <c r="A244" s="621" t="s">
        <v>351</v>
      </c>
      <c r="B244" s="466" t="s">
        <v>111</v>
      </c>
      <c r="C244" s="631" t="s">
        <v>101</v>
      </c>
      <c r="D244" s="467" t="s">
        <v>883</v>
      </c>
      <c r="E244" s="474" t="s">
        <v>1723</v>
      </c>
      <c r="F244" s="469" t="s">
        <v>112</v>
      </c>
      <c r="G244" s="470" t="s">
        <v>922</v>
      </c>
      <c r="H244" s="622" t="s">
        <v>916</v>
      </c>
      <c r="I244" s="633" t="s">
        <v>116</v>
      </c>
      <c r="J244" s="471" t="s">
        <v>913</v>
      </c>
      <c r="K244" s="469">
        <v>80</v>
      </c>
      <c r="L244" s="473"/>
      <c r="M244" s="623">
        <v>0</v>
      </c>
      <c r="N244" s="623">
        <v>0</v>
      </c>
      <c r="O244" s="624">
        <v>0</v>
      </c>
      <c r="P244" s="624">
        <v>0</v>
      </c>
      <c r="Q244" s="785" t="e">
        <f t="shared" si="3"/>
        <v>#DIV/0!</v>
      </c>
      <c r="R244" s="468" t="s">
        <v>1719</v>
      </c>
      <c r="S244" s="629"/>
    </row>
    <row r="245" spans="1:19" ht="15" x14ac:dyDescent="0.25">
      <c r="A245" s="621" t="s">
        <v>351</v>
      </c>
      <c r="B245" s="466" t="s">
        <v>111</v>
      </c>
      <c r="C245" s="631" t="s">
        <v>101</v>
      </c>
      <c r="D245" s="467" t="s">
        <v>866</v>
      </c>
      <c r="E245" s="474" t="s">
        <v>1723</v>
      </c>
      <c r="F245" s="469" t="s">
        <v>112</v>
      </c>
      <c r="G245" s="470" t="s">
        <v>922</v>
      </c>
      <c r="H245" s="622" t="s">
        <v>916</v>
      </c>
      <c r="I245" s="633" t="s">
        <v>116</v>
      </c>
      <c r="J245" s="471" t="s">
        <v>913</v>
      </c>
      <c r="K245" s="469" t="s">
        <v>79</v>
      </c>
      <c r="L245" s="473"/>
      <c r="M245" s="623">
        <v>13</v>
      </c>
      <c r="N245" s="623">
        <v>2</v>
      </c>
      <c r="O245" s="624">
        <v>0.15384615384615385</v>
      </c>
      <c r="P245" s="624">
        <v>0.15384615384615385</v>
      </c>
      <c r="Q245" s="785" t="e">
        <f t="shared" si="3"/>
        <v>#VALUE!</v>
      </c>
      <c r="R245" s="468" t="s">
        <v>1718</v>
      </c>
      <c r="S245" s="629"/>
    </row>
    <row r="246" spans="1:19" ht="15" x14ac:dyDescent="0.25">
      <c r="A246" s="621" t="s">
        <v>351</v>
      </c>
      <c r="B246" s="466" t="s">
        <v>111</v>
      </c>
      <c r="C246" s="631" t="s">
        <v>101</v>
      </c>
      <c r="D246" s="467" t="s">
        <v>869</v>
      </c>
      <c r="E246" s="474" t="s">
        <v>1723</v>
      </c>
      <c r="F246" s="469" t="s">
        <v>112</v>
      </c>
      <c r="G246" s="470" t="s">
        <v>922</v>
      </c>
      <c r="H246" s="622" t="s">
        <v>916</v>
      </c>
      <c r="I246" s="633" t="s">
        <v>116</v>
      </c>
      <c r="J246" s="471" t="s">
        <v>913</v>
      </c>
      <c r="K246" s="469" t="s">
        <v>79</v>
      </c>
      <c r="L246" s="473"/>
      <c r="M246" s="623">
        <v>0</v>
      </c>
      <c r="N246" s="623">
        <v>0</v>
      </c>
      <c r="O246" s="624">
        <v>0</v>
      </c>
      <c r="P246" s="624">
        <v>0</v>
      </c>
      <c r="Q246" s="785" t="e">
        <f t="shared" si="3"/>
        <v>#VALUE!</v>
      </c>
      <c r="R246" s="468" t="s">
        <v>1719</v>
      </c>
      <c r="S246" s="629"/>
    </row>
    <row r="247" spans="1:19" ht="15" x14ac:dyDescent="0.25">
      <c r="A247" s="621" t="s">
        <v>351</v>
      </c>
      <c r="B247" s="466" t="s">
        <v>111</v>
      </c>
      <c r="C247" s="631" t="s">
        <v>885</v>
      </c>
      <c r="D247" s="467" t="s">
        <v>889</v>
      </c>
      <c r="E247" s="474"/>
      <c r="F247" s="469" t="s">
        <v>112</v>
      </c>
      <c r="G247" s="470" t="s">
        <v>922</v>
      </c>
      <c r="H247" s="622" t="s">
        <v>917</v>
      </c>
      <c r="I247" s="633" t="s">
        <v>116</v>
      </c>
      <c r="J247" s="471" t="s">
        <v>913</v>
      </c>
      <c r="K247" s="469">
        <v>13</v>
      </c>
      <c r="L247" s="473"/>
      <c r="M247" s="623">
        <v>0</v>
      </c>
      <c r="N247" s="623">
        <v>0</v>
      </c>
      <c r="O247" s="624">
        <v>0</v>
      </c>
      <c r="P247" s="624">
        <v>0</v>
      </c>
      <c r="Q247" s="785" t="e">
        <f t="shared" si="3"/>
        <v>#DIV/0!</v>
      </c>
      <c r="R247" s="468" t="s">
        <v>1719</v>
      </c>
      <c r="S247" s="629"/>
    </row>
    <row r="248" spans="1:19" ht="15" x14ac:dyDescent="0.25">
      <c r="A248" s="621" t="s">
        <v>351</v>
      </c>
      <c r="B248" s="466" t="s">
        <v>111</v>
      </c>
      <c r="C248" s="631" t="s">
        <v>885</v>
      </c>
      <c r="D248" s="467" t="s">
        <v>881</v>
      </c>
      <c r="E248" s="474"/>
      <c r="F248" s="469" t="s">
        <v>112</v>
      </c>
      <c r="G248" s="470" t="s">
        <v>922</v>
      </c>
      <c r="H248" s="622" t="s">
        <v>916</v>
      </c>
      <c r="I248" s="633" t="s">
        <v>116</v>
      </c>
      <c r="J248" s="471" t="s">
        <v>913</v>
      </c>
      <c r="K248" s="469">
        <v>13</v>
      </c>
      <c r="L248" s="473"/>
      <c r="M248" s="623">
        <v>5</v>
      </c>
      <c r="N248" s="623">
        <v>0</v>
      </c>
      <c r="O248" s="624">
        <v>0</v>
      </c>
      <c r="P248" s="624">
        <v>0</v>
      </c>
      <c r="Q248" s="785">
        <f t="shared" si="3"/>
        <v>0</v>
      </c>
      <c r="R248" s="468" t="s">
        <v>1719</v>
      </c>
      <c r="S248" s="629"/>
    </row>
    <row r="249" spans="1:19" ht="15" x14ac:dyDescent="0.25">
      <c r="A249" s="621" t="s">
        <v>351</v>
      </c>
      <c r="B249" s="466" t="s">
        <v>111</v>
      </c>
      <c r="C249" s="631" t="s">
        <v>885</v>
      </c>
      <c r="D249" s="467" t="s">
        <v>883</v>
      </c>
      <c r="E249" s="474" t="s">
        <v>1724</v>
      </c>
      <c r="F249" s="469" t="s">
        <v>112</v>
      </c>
      <c r="G249" s="470" t="s">
        <v>922</v>
      </c>
      <c r="H249" s="622" t="s">
        <v>916</v>
      </c>
      <c r="I249" s="633" t="s">
        <v>116</v>
      </c>
      <c r="J249" s="471" t="s">
        <v>913</v>
      </c>
      <c r="K249" s="469" t="s">
        <v>79</v>
      </c>
      <c r="L249" s="473"/>
      <c r="M249" s="623">
        <v>5</v>
      </c>
      <c r="N249" s="623">
        <v>0</v>
      </c>
      <c r="O249" s="624">
        <v>0</v>
      </c>
      <c r="P249" s="624">
        <v>0</v>
      </c>
      <c r="Q249" s="785" t="e">
        <f t="shared" si="3"/>
        <v>#VALUE!</v>
      </c>
      <c r="R249" s="468" t="s">
        <v>1719</v>
      </c>
      <c r="S249" s="629"/>
    </row>
    <row r="250" spans="1:19" ht="15" x14ac:dyDescent="0.25">
      <c r="A250" s="621" t="s">
        <v>351</v>
      </c>
      <c r="B250" s="466" t="s">
        <v>111</v>
      </c>
      <c r="C250" s="631" t="s">
        <v>885</v>
      </c>
      <c r="D250" s="467" t="s">
        <v>866</v>
      </c>
      <c r="E250" s="474" t="s">
        <v>1724</v>
      </c>
      <c r="F250" s="469" t="s">
        <v>112</v>
      </c>
      <c r="G250" s="470" t="s">
        <v>922</v>
      </c>
      <c r="H250" s="622" t="s">
        <v>916</v>
      </c>
      <c r="I250" s="633" t="s">
        <v>116</v>
      </c>
      <c r="J250" s="471" t="s">
        <v>913</v>
      </c>
      <c r="K250" s="469" t="s">
        <v>79</v>
      </c>
      <c r="L250" s="473"/>
      <c r="M250" s="623">
        <v>0</v>
      </c>
      <c r="N250" s="623">
        <v>0</v>
      </c>
      <c r="O250" s="624">
        <v>0</v>
      </c>
      <c r="P250" s="624">
        <v>0</v>
      </c>
      <c r="Q250" s="785" t="e">
        <f t="shared" si="3"/>
        <v>#VALUE!</v>
      </c>
      <c r="R250" s="468" t="s">
        <v>1719</v>
      </c>
      <c r="S250" s="629"/>
    </row>
    <row r="251" spans="1:19" ht="15" x14ac:dyDescent="0.25">
      <c r="A251" s="621" t="s">
        <v>351</v>
      </c>
      <c r="B251" s="466" t="s">
        <v>111</v>
      </c>
      <c r="C251" s="631" t="s">
        <v>885</v>
      </c>
      <c r="D251" s="467" t="s">
        <v>869</v>
      </c>
      <c r="E251" s="474"/>
      <c r="F251" s="469" t="s">
        <v>112</v>
      </c>
      <c r="G251" s="470" t="s">
        <v>922</v>
      </c>
      <c r="H251" s="622" t="s">
        <v>916</v>
      </c>
      <c r="I251" s="633" t="s">
        <v>116</v>
      </c>
      <c r="J251" s="471" t="s">
        <v>913</v>
      </c>
      <c r="K251" s="469">
        <v>25</v>
      </c>
      <c r="L251" s="473"/>
      <c r="M251" s="623">
        <v>12</v>
      </c>
      <c r="N251" s="623">
        <v>5</v>
      </c>
      <c r="O251" s="624">
        <v>0.41666666666666669</v>
      </c>
      <c r="P251" s="624">
        <v>0.41666666666666669</v>
      </c>
      <c r="Q251" s="785">
        <f t="shared" si="3"/>
        <v>1.6666666666666667</v>
      </c>
      <c r="R251" s="468" t="s">
        <v>1718</v>
      </c>
      <c r="S251" s="629"/>
    </row>
    <row r="252" spans="1:19" ht="15" x14ac:dyDescent="0.25">
      <c r="A252" s="621" t="s">
        <v>351</v>
      </c>
      <c r="B252" s="466" t="s">
        <v>111</v>
      </c>
      <c r="C252" s="631" t="s">
        <v>885</v>
      </c>
      <c r="D252" s="467" t="s">
        <v>887</v>
      </c>
      <c r="E252" s="474"/>
      <c r="F252" s="469" t="s">
        <v>112</v>
      </c>
      <c r="G252" s="470" t="s">
        <v>922</v>
      </c>
      <c r="H252" s="622" t="s">
        <v>916</v>
      </c>
      <c r="I252" s="633" t="s">
        <v>116</v>
      </c>
      <c r="J252" s="471" t="s">
        <v>913</v>
      </c>
      <c r="K252" s="469">
        <v>10</v>
      </c>
      <c r="L252" s="473"/>
      <c r="M252" s="623">
        <v>20</v>
      </c>
      <c r="N252" s="623">
        <v>8</v>
      </c>
      <c r="O252" s="624">
        <v>0.4</v>
      </c>
      <c r="P252" s="624">
        <v>0.4</v>
      </c>
      <c r="Q252" s="785">
        <f t="shared" si="3"/>
        <v>4</v>
      </c>
      <c r="R252" s="468" t="s">
        <v>1718</v>
      </c>
      <c r="S252" s="629"/>
    </row>
    <row r="253" spans="1:19" ht="15" x14ac:dyDescent="0.25">
      <c r="A253" s="621" t="s">
        <v>351</v>
      </c>
      <c r="B253" s="466" t="s">
        <v>111</v>
      </c>
      <c r="C253" s="631" t="s">
        <v>904</v>
      </c>
      <c r="D253" s="467" t="s">
        <v>881</v>
      </c>
      <c r="E253" s="474" t="s">
        <v>1718</v>
      </c>
      <c r="F253" s="469" t="s">
        <v>112</v>
      </c>
      <c r="G253" s="470" t="s">
        <v>922</v>
      </c>
      <c r="H253" s="622" t="s">
        <v>916</v>
      </c>
      <c r="I253" s="633" t="s">
        <v>116</v>
      </c>
      <c r="J253" s="471" t="s">
        <v>913</v>
      </c>
      <c r="K253" s="469" t="s">
        <v>79</v>
      </c>
      <c r="L253" s="473"/>
      <c r="M253" s="623">
        <v>0</v>
      </c>
      <c r="N253" s="623">
        <v>0</v>
      </c>
      <c r="O253" s="624">
        <v>0</v>
      </c>
      <c r="P253" s="624">
        <v>0</v>
      </c>
      <c r="Q253" s="785" t="e">
        <f t="shared" si="3"/>
        <v>#VALUE!</v>
      </c>
      <c r="R253" s="468" t="s">
        <v>1719</v>
      </c>
      <c r="S253" s="629"/>
    </row>
    <row r="254" spans="1:19" ht="15" x14ac:dyDescent="0.25">
      <c r="A254" s="621" t="s">
        <v>351</v>
      </c>
      <c r="B254" s="466" t="s">
        <v>111</v>
      </c>
      <c r="C254" s="631" t="s">
        <v>904</v>
      </c>
      <c r="D254" s="467" t="s">
        <v>883</v>
      </c>
      <c r="E254" s="474" t="s">
        <v>1725</v>
      </c>
      <c r="F254" s="469" t="s">
        <v>112</v>
      </c>
      <c r="G254" s="470" t="s">
        <v>922</v>
      </c>
      <c r="H254" s="622" t="s">
        <v>916</v>
      </c>
      <c r="I254" s="633" t="s">
        <v>116</v>
      </c>
      <c r="J254" s="471" t="s">
        <v>913</v>
      </c>
      <c r="K254" s="469" t="s">
        <v>79</v>
      </c>
      <c r="L254" s="473"/>
      <c r="M254" s="623">
        <v>1</v>
      </c>
      <c r="N254" s="623">
        <v>1</v>
      </c>
      <c r="O254" s="624">
        <v>1</v>
      </c>
      <c r="P254" s="624">
        <v>1</v>
      </c>
      <c r="Q254" s="785" t="e">
        <f t="shared" si="3"/>
        <v>#VALUE!</v>
      </c>
      <c r="R254" s="468" t="s">
        <v>1718</v>
      </c>
      <c r="S254" s="629"/>
    </row>
    <row r="255" spans="1:19" ht="15" x14ac:dyDescent="0.25">
      <c r="A255" s="621" t="s">
        <v>351</v>
      </c>
      <c r="B255" s="466" t="s">
        <v>111</v>
      </c>
      <c r="C255" s="631" t="s">
        <v>740</v>
      </c>
      <c r="D255" s="467" t="s">
        <v>889</v>
      </c>
      <c r="E255" s="474"/>
      <c r="F255" s="469" t="s">
        <v>112</v>
      </c>
      <c r="G255" s="470" t="s">
        <v>922</v>
      </c>
      <c r="H255" s="622" t="s">
        <v>917</v>
      </c>
      <c r="I255" s="633" t="s">
        <v>116</v>
      </c>
      <c r="J255" s="471" t="s">
        <v>913</v>
      </c>
      <c r="K255" s="469">
        <v>38</v>
      </c>
      <c r="L255" s="473"/>
      <c r="M255" s="623">
        <v>37</v>
      </c>
      <c r="N255" s="623">
        <v>3</v>
      </c>
      <c r="O255" s="624">
        <v>8.1081081081081086E-2</v>
      </c>
      <c r="P255" s="624">
        <v>8.1081081081081086E-2</v>
      </c>
      <c r="Q255" s="785">
        <f t="shared" si="3"/>
        <v>0.21337126600284495</v>
      </c>
      <c r="R255" s="468" t="s">
        <v>1718</v>
      </c>
      <c r="S255" s="629"/>
    </row>
    <row r="256" spans="1:19" ht="15" x14ac:dyDescent="0.25">
      <c r="A256" s="621" t="s">
        <v>351</v>
      </c>
      <c r="B256" s="466" t="s">
        <v>111</v>
      </c>
      <c r="C256" s="631" t="s">
        <v>740</v>
      </c>
      <c r="D256" s="467" t="s">
        <v>881</v>
      </c>
      <c r="E256" s="474" t="s">
        <v>1726</v>
      </c>
      <c r="F256" s="469" t="s">
        <v>112</v>
      </c>
      <c r="G256" s="470" t="s">
        <v>922</v>
      </c>
      <c r="H256" s="622" t="s">
        <v>916</v>
      </c>
      <c r="I256" s="633" t="s">
        <v>116</v>
      </c>
      <c r="J256" s="471" t="s">
        <v>913</v>
      </c>
      <c r="K256" s="469" t="s">
        <v>79</v>
      </c>
      <c r="L256" s="473"/>
      <c r="M256" s="623">
        <v>4</v>
      </c>
      <c r="N256" s="623">
        <v>0</v>
      </c>
      <c r="O256" s="624">
        <v>0</v>
      </c>
      <c r="P256" s="624">
        <v>0</v>
      </c>
      <c r="Q256" s="785" t="e">
        <f t="shared" si="3"/>
        <v>#VALUE!</v>
      </c>
      <c r="R256" s="468" t="s">
        <v>1719</v>
      </c>
      <c r="S256" s="629"/>
    </row>
    <row r="257" spans="1:19" ht="15" x14ac:dyDescent="0.25">
      <c r="A257" s="621" t="s">
        <v>351</v>
      </c>
      <c r="B257" s="466" t="s">
        <v>111</v>
      </c>
      <c r="C257" s="631" t="s">
        <v>740</v>
      </c>
      <c r="D257" s="467" t="s">
        <v>883</v>
      </c>
      <c r="E257" s="474" t="s">
        <v>1726</v>
      </c>
      <c r="F257" s="469" t="s">
        <v>112</v>
      </c>
      <c r="G257" s="470" t="s">
        <v>922</v>
      </c>
      <c r="H257" s="622" t="s">
        <v>916</v>
      </c>
      <c r="I257" s="633" t="s">
        <v>116</v>
      </c>
      <c r="J257" s="471" t="s">
        <v>913</v>
      </c>
      <c r="K257" s="469" t="s">
        <v>79</v>
      </c>
      <c r="L257" s="473"/>
      <c r="M257" s="623">
        <v>0</v>
      </c>
      <c r="N257" s="623">
        <v>0</v>
      </c>
      <c r="O257" s="624">
        <v>0</v>
      </c>
      <c r="P257" s="624">
        <v>0</v>
      </c>
      <c r="Q257" s="785" t="e">
        <f t="shared" si="3"/>
        <v>#VALUE!</v>
      </c>
      <c r="R257" s="468" t="s">
        <v>1719</v>
      </c>
      <c r="S257" s="629"/>
    </row>
    <row r="258" spans="1:19" ht="15" x14ac:dyDescent="0.25">
      <c r="A258" s="621" t="s">
        <v>351</v>
      </c>
      <c r="B258" s="466" t="s">
        <v>111</v>
      </c>
      <c r="C258" s="631" t="s">
        <v>894</v>
      </c>
      <c r="D258" s="467" t="s">
        <v>889</v>
      </c>
      <c r="E258" s="474"/>
      <c r="F258" s="469" t="s">
        <v>112</v>
      </c>
      <c r="G258" s="470" t="s">
        <v>922</v>
      </c>
      <c r="H258" s="622" t="s">
        <v>917</v>
      </c>
      <c r="I258" s="633" t="s">
        <v>116</v>
      </c>
      <c r="J258" s="471" t="s">
        <v>913</v>
      </c>
      <c r="K258" s="469">
        <v>5</v>
      </c>
      <c r="L258" s="473"/>
      <c r="M258" s="623">
        <v>543</v>
      </c>
      <c r="N258" s="623">
        <v>32</v>
      </c>
      <c r="O258" s="624">
        <v>5.8931860036832415E-2</v>
      </c>
      <c r="P258" s="624">
        <v>5.8931860036832415E-2</v>
      </c>
      <c r="Q258" s="785">
        <f t="shared" si="3"/>
        <v>1.1786372007366483</v>
      </c>
      <c r="R258" s="468" t="s">
        <v>1718</v>
      </c>
      <c r="S258" s="629"/>
    </row>
    <row r="259" spans="1:19" ht="15" x14ac:dyDescent="0.25">
      <c r="A259" s="621" t="s">
        <v>351</v>
      </c>
      <c r="B259" s="466" t="s">
        <v>111</v>
      </c>
      <c r="C259" s="631" t="s">
        <v>894</v>
      </c>
      <c r="D259" s="467" t="s">
        <v>881</v>
      </c>
      <c r="E259" s="474"/>
      <c r="F259" s="469" t="s">
        <v>112</v>
      </c>
      <c r="G259" s="470" t="s">
        <v>922</v>
      </c>
      <c r="H259" s="622" t="s">
        <v>916</v>
      </c>
      <c r="I259" s="633" t="s">
        <v>116</v>
      </c>
      <c r="J259" s="471" t="s">
        <v>913</v>
      </c>
      <c r="K259" s="469">
        <v>32</v>
      </c>
      <c r="L259" s="473"/>
      <c r="M259" s="623">
        <v>78</v>
      </c>
      <c r="N259" s="623">
        <v>28</v>
      </c>
      <c r="O259" s="624">
        <v>0.35897435897435898</v>
      </c>
      <c r="P259" s="624">
        <v>0.35897435897435898</v>
      </c>
      <c r="Q259" s="785">
        <f t="shared" si="3"/>
        <v>1.1217948717948718</v>
      </c>
      <c r="R259" s="468" t="s">
        <v>1718</v>
      </c>
      <c r="S259" s="629"/>
    </row>
    <row r="260" spans="1:19" ht="15" x14ac:dyDescent="0.25">
      <c r="A260" s="621" t="s">
        <v>351</v>
      </c>
      <c r="B260" s="466" t="s">
        <v>111</v>
      </c>
      <c r="C260" s="631" t="s">
        <v>894</v>
      </c>
      <c r="D260" s="467" t="s">
        <v>883</v>
      </c>
      <c r="E260" s="474" t="s">
        <v>1727</v>
      </c>
      <c r="F260" s="469" t="s">
        <v>112</v>
      </c>
      <c r="G260" s="470" t="s">
        <v>922</v>
      </c>
      <c r="H260" s="622" t="s">
        <v>916</v>
      </c>
      <c r="I260" s="633" t="s">
        <v>116</v>
      </c>
      <c r="J260" s="471" t="s">
        <v>913</v>
      </c>
      <c r="K260" s="469">
        <v>33</v>
      </c>
      <c r="L260" s="473"/>
      <c r="M260" s="623">
        <v>25</v>
      </c>
      <c r="N260" s="623">
        <v>9</v>
      </c>
      <c r="O260" s="624">
        <v>0.36</v>
      </c>
      <c r="P260" s="624">
        <v>0.36</v>
      </c>
      <c r="Q260" s="785">
        <f t="shared" si="3"/>
        <v>1.0909090909090908</v>
      </c>
      <c r="R260" s="468" t="s">
        <v>1718</v>
      </c>
      <c r="S260" s="629"/>
    </row>
    <row r="261" spans="1:19" ht="15" x14ac:dyDescent="0.25">
      <c r="A261" s="621" t="s">
        <v>351</v>
      </c>
      <c r="B261" s="466" t="s">
        <v>111</v>
      </c>
      <c r="C261" s="631" t="s">
        <v>894</v>
      </c>
      <c r="D261" s="467" t="s">
        <v>869</v>
      </c>
      <c r="E261" s="474" t="s">
        <v>1727</v>
      </c>
      <c r="F261" s="469" t="s">
        <v>112</v>
      </c>
      <c r="G261" s="470" t="s">
        <v>922</v>
      </c>
      <c r="H261" s="622" t="s">
        <v>916</v>
      </c>
      <c r="I261" s="633" t="s">
        <v>116</v>
      </c>
      <c r="J261" s="471" t="s">
        <v>913</v>
      </c>
      <c r="K261" s="469" t="s">
        <v>79</v>
      </c>
      <c r="L261" s="473"/>
      <c r="M261" s="623">
        <v>0</v>
      </c>
      <c r="N261" s="623">
        <v>0</v>
      </c>
      <c r="O261" s="624">
        <v>0</v>
      </c>
      <c r="P261" s="624">
        <v>0</v>
      </c>
      <c r="Q261" s="785" t="e">
        <f t="shared" si="3"/>
        <v>#VALUE!</v>
      </c>
      <c r="R261" s="468" t="s">
        <v>1719</v>
      </c>
      <c r="S261" s="629"/>
    </row>
    <row r="262" spans="1:19" ht="15" x14ac:dyDescent="0.25">
      <c r="A262" s="621" t="s">
        <v>351</v>
      </c>
      <c r="B262" s="466" t="s">
        <v>111</v>
      </c>
      <c r="C262" s="631" t="s">
        <v>99</v>
      </c>
      <c r="D262" s="467" t="s">
        <v>866</v>
      </c>
      <c r="E262" s="474" t="s">
        <v>1720</v>
      </c>
      <c r="F262" s="469" t="s">
        <v>112</v>
      </c>
      <c r="G262" s="470" t="s">
        <v>923</v>
      </c>
      <c r="H262" s="622" t="s">
        <v>916</v>
      </c>
      <c r="I262" s="633" t="s">
        <v>116</v>
      </c>
      <c r="J262" s="471" t="s">
        <v>913</v>
      </c>
      <c r="K262" s="469">
        <v>33</v>
      </c>
      <c r="L262" s="473"/>
      <c r="M262" s="623">
        <v>0</v>
      </c>
      <c r="N262" s="623">
        <v>0</v>
      </c>
      <c r="O262" s="624">
        <v>0</v>
      </c>
      <c r="P262" s="624">
        <v>0</v>
      </c>
      <c r="Q262" s="785" t="e">
        <f t="shared" ref="Q262:Q325" si="4">N262/(M262*K262/100)</f>
        <v>#DIV/0!</v>
      </c>
      <c r="R262" s="468" t="s">
        <v>1719</v>
      </c>
      <c r="S262" s="629"/>
    </row>
    <row r="263" spans="1:19" ht="15" x14ac:dyDescent="0.25">
      <c r="A263" s="621" t="s">
        <v>351</v>
      </c>
      <c r="B263" s="466" t="s">
        <v>111</v>
      </c>
      <c r="C263" s="631" t="s">
        <v>99</v>
      </c>
      <c r="D263" s="467" t="s">
        <v>869</v>
      </c>
      <c r="E263" s="474" t="s">
        <v>1720</v>
      </c>
      <c r="F263" s="469" t="s">
        <v>112</v>
      </c>
      <c r="G263" s="470" t="s">
        <v>923</v>
      </c>
      <c r="H263" s="622" t="s">
        <v>916</v>
      </c>
      <c r="I263" s="633" t="s">
        <v>116</v>
      </c>
      <c r="J263" s="471" t="s">
        <v>913</v>
      </c>
      <c r="K263" s="469">
        <v>33</v>
      </c>
      <c r="L263" s="473"/>
      <c r="M263" s="623">
        <v>14</v>
      </c>
      <c r="N263" s="623">
        <v>2</v>
      </c>
      <c r="O263" s="624">
        <v>0.14285714285714285</v>
      </c>
      <c r="P263" s="624">
        <v>0.14285714285714285</v>
      </c>
      <c r="Q263" s="785">
        <f t="shared" si="4"/>
        <v>0.4329004329004329</v>
      </c>
      <c r="R263" s="468" t="s">
        <v>1718</v>
      </c>
      <c r="S263" s="629"/>
    </row>
    <row r="264" spans="1:19" ht="15" x14ac:dyDescent="0.25">
      <c r="A264" s="621" t="s">
        <v>351</v>
      </c>
      <c r="B264" s="466" t="s">
        <v>111</v>
      </c>
      <c r="C264" s="631" t="s">
        <v>870</v>
      </c>
      <c r="D264" s="467" t="s">
        <v>889</v>
      </c>
      <c r="E264" s="474"/>
      <c r="F264" s="469" t="s">
        <v>112</v>
      </c>
      <c r="G264" s="470" t="s">
        <v>923</v>
      </c>
      <c r="H264" s="622" t="s">
        <v>917</v>
      </c>
      <c r="I264" s="633" t="s">
        <v>116</v>
      </c>
      <c r="J264" s="471" t="s">
        <v>913</v>
      </c>
      <c r="K264" s="469">
        <v>16</v>
      </c>
      <c r="L264" s="473"/>
      <c r="M264" s="623">
        <v>50</v>
      </c>
      <c r="N264" s="623">
        <v>4</v>
      </c>
      <c r="O264" s="624">
        <v>0.08</v>
      </c>
      <c r="P264" s="624">
        <v>0.08</v>
      </c>
      <c r="Q264" s="785">
        <f t="shared" si="4"/>
        <v>0.5</v>
      </c>
      <c r="R264" s="468" t="s">
        <v>1718</v>
      </c>
      <c r="S264" s="629"/>
    </row>
    <row r="265" spans="1:19" ht="15" x14ac:dyDescent="0.25">
      <c r="A265" s="621" t="s">
        <v>351</v>
      </c>
      <c r="B265" s="466" t="s">
        <v>111</v>
      </c>
      <c r="C265" s="631" t="s">
        <v>870</v>
      </c>
      <c r="D265" s="467" t="s">
        <v>881</v>
      </c>
      <c r="E265" s="474"/>
      <c r="F265" s="469" t="s">
        <v>112</v>
      </c>
      <c r="G265" s="470" t="s">
        <v>923</v>
      </c>
      <c r="H265" s="622" t="s">
        <v>916</v>
      </c>
      <c r="I265" s="633" t="s">
        <v>116</v>
      </c>
      <c r="J265" s="471" t="s">
        <v>913</v>
      </c>
      <c r="K265" s="469">
        <v>16</v>
      </c>
      <c r="L265" s="473"/>
      <c r="M265" s="623">
        <v>19</v>
      </c>
      <c r="N265" s="623">
        <v>3</v>
      </c>
      <c r="O265" s="624">
        <v>0.15789473684210525</v>
      </c>
      <c r="P265" s="624">
        <v>0.15789473684210525</v>
      </c>
      <c r="Q265" s="785">
        <f t="shared" si="4"/>
        <v>0.98684210526315785</v>
      </c>
      <c r="R265" s="468" t="s">
        <v>1718</v>
      </c>
      <c r="S265" s="629"/>
    </row>
    <row r="266" spans="1:19" ht="15" x14ac:dyDescent="0.25">
      <c r="A266" s="621" t="s">
        <v>351</v>
      </c>
      <c r="B266" s="466" t="s">
        <v>111</v>
      </c>
      <c r="C266" s="631" t="s">
        <v>870</v>
      </c>
      <c r="D266" s="467" t="s">
        <v>883</v>
      </c>
      <c r="E266" s="474"/>
      <c r="F266" s="469" t="s">
        <v>112</v>
      </c>
      <c r="G266" s="470" t="s">
        <v>923</v>
      </c>
      <c r="H266" s="622" t="s">
        <v>916</v>
      </c>
      <c r="I266" s="633" t="s">
        <v>116</v>
      </c>
      <c r="J266" s="471" t="s">
        <v>913</v>
      </c>
      <c r="K266" s="469">
        <v>6</v>
      </c>
      <c r="L266" s="473"/>
      <c r="M266" s="623">
        <v>39</v>
      </c>
      <c r="N266" s="623">
        <v>9</v>
      </c>
      <c r="O266" s="624">
        <v>0.23076923076923078</v>
      </c>
      <c r="P266" s="624">
        <v>0.23076923076923078</v>
      </c>
      <c r="Q266" s="785">
        <f t="shared" si="4"/>
        <v>3.8461538461538463</v>
      </c>
      <c r="R266" s="468" t="s">
        <v>1718</v>
      </c>
      <c r="S266" s="629"/>
    </row>
    <row r="267" spans="1:19" ht="15" x14ac:dyDescent="0.25">
      <c r="A267" s="621" t="s">
        <v>351</v>
      </c>
      <c r="B267" s="466" t="s">
        <v>111</v>
      </c>
      <c r="C267" s="631" t="s">
        <v>870</v>
      </c>
      <c r="D267" s="467" t="s">
        <v>866</v>
      </c>
      <c r="E267" s="474"/>
      <c r="F267" s="469" t="s">
        <v>112</v>
      </c>
      <c r="G267" s="470" t="s">
        <v>923</v>
      </c>
      <c r="H267" s="622" t="s">
        <v>916</v>
      </c>
      <c r="I267" s="633" t="s">
        <v>116</v>
      </c>
      <c r="J267" s="471" t="s">
        <v>913</v>
      </c>
      <c r="K267" s="469">
        <v>8</v>
      </c>
      <c r="L267" s="473"/>
      <c r="M267" s="623">
        <v>67</v>
      </c>
      <c r="N267" s="623">
        <v>17</v>
      </c>
      <c r="O267" s="624">
        <v>0.2537313432835821</v>
      </c>
      <c r="P267" s="624">
        <v>0.2537313432835821</v>
      </c>
      <c r="Q267" s="785">
        <f t="shared" si="4"/>
        <v>3.1716417910447761</v>
      </c>
      <c r="R267" s="468" t="s">
        <v>1718</v>
      </c>
      <c r="S267" s="629"/>
    </row>
    <row r="268" spans="1:19" ht="15" x14ac:dyDescent="0.25">
      <c r="A268" s="621" t="s">
        <v>351</v>
      </c>
      <c r="B268" s="466" t="s">
        <v>111</v>
      </c>
      <c r="C268" s="631" t="s">
        <v>870</v>
      </c>
      <c r="D268" s="467" t="s">
        <v>869</v>
      </c>
      <c r="E268" s="474"/>
      <c r="F268" s="469" t="s">
        <v>112</v>
      </c>
      <c r="G268" s="470" t="s">
        <v>923</v>
      </c>
      <c r="H268" s="622" t="s">
        <v>916</v>
      </c>
      <c r="I268" s="633" t="s">
        <v>116</v>
      </c>
      <c r="J268" s="471" t="s">
        <v>913</v>
      </c>
      <c r="K268" s="469">
        <v>5</v>
      </c>
      <c r="L268" s="473"/>
      <c r="M268" s="623">
        <v>46</v>
      </c>
      <c r="N268" s="623">
        <v>18</v>
      </c>
      <c r="O268" s="624">
        <v>0.39130434782608697</v>
      </c>
      <c r="P268" s="624">
        <v>0.39130434782608697</v>
      </c>
      <c r="Q268" s="785">
        <f t="shared" si="4"/>
        <v>7.8260869565217401</v>
      </c>
      <c r="R268" s="468" t="s">
        <v>1718</v>
      </c>
      <c r="S268" s="629"/>
    </row>
    <row r="269" spans="1:19" ht="15" x14ac:dyDescent="0.25">
      <c r="A269" s="621" t="s">
        <v>351</v>
      </c>
      <c r="B269" s="466" t="s">
        <v>111</v>
      </c>
      <c r="C269" s="631" t="s">
        <v>738</v>
      </c>
      <c r="D269" s="467" t="s">
        <v>889</v>
      </c>
      <c r="E269" s="474"/>
      <c r="F269" s="469" t="s">
        <v>112</v>
      </c>
      <c r="G269" s="470" t="s">
        <v>923</v>
      </c>
      <c r="H269" s="622" t="s">
        <v>917</v>
      </c>
      <c r="I269" s="633" t="s">
        <v>116</v>
      </c>
      <c r="J269" s="471" t="s">
        <v>913</v>
      </c>
      <c r="K269" s="469">
        <v>29</v>
      </c>
      <c r="L269" s="473"/>
      <c r="M269" s="623">
        <v>156</v>
      </c>
      <c r="N269" s="623">
        <v>7</v>
      </c>
      <c r="O269" s="624">
        <v>4.4871794871794872E-2</v>
      </c>
      <c r="P269" s="624">
        <v>4.4871794871794872E-2</v>
      </c>
      <c r="Q269" s="785">
        <f t="shared" si="4"/>
        <v>0.15473032714412024</v>
      </c>
      <c r="R269" s="468" t="s">
        <v>1718</v>
      </c>
      <c r="S269" s="629"/>
    </row>
    <row r="270" spans="1:19" ht="15" x14ac:dyDescent="0.25">
      <c r="A270" s="621" t="s">
        <v>351</v>
      </c>
      <c r="B270" s="466" t="s">
        <v>111</v>
      </c>
      <c r="C270" s="631" t="s">
        <v>738</v>
      </c>
      <c r="D270" s="467" t="s">
        <v>881</v>
      </c>
      <c r="E270" s="474" t="s">
        <v>1721</v>
      </c>
      <c r="F270" s="469" t="s">
        <v>112</v>
      </c>
      <c r="G270" s="470" t="s">
        <v>923</v>
      </c>
      <c r="H270" s="622" t="s">
        <v>916</v>
      </c>
      <c r="I270" s="633" t="s">
        <v>116</v>
      </c>
      <c r="J270" s="471" t="s">
        <v>913</v>
      </c>
      <c r="K270" s="469">
        <v>8</v>
      </c>
      <c r="L270" s="473"/>
      <c r="M270" s="623">
        <v>54</v>
      </c>
      <c r="N270" s="623">
        <v>6</v>
      </c>
      <c r="O270" s="624">
        <v>0.1111111111111111</v>
      </c>
      <c r="P270" s="624">
        <v>0.1111111111111111</v>
      </c>
      <c r="Q270" s="785">
        <f t="shared" si="4"/>
        <v>1.3888888888888888</v>
      </c>
      <c r="R270" s="468" t="s">
        <v>1718</v>
      </c>
      <c r="S270" s="629"/>
    </row>
    <row r="271" spans="1:19" ht="15" x14ac:dyDescent="0.25">
      <c r="A271" s="621" t="s">
        <v>351</v>
      </c>
      <c r="B271" s="466" t="s">
        <v>111</v>
      </c>
      <c r="C271" s="631" t="s">
        <v>738</v>
      </c>
      <c r="D271" s="467" t="s">
        <v>883</v>
      </c>
      <c r="E271" s="474" t="s">
        <v>1721</v>
      </c>
      <c r="F271" s="469" t="s">
        <v>112</v>
      </c>
      <c r="G271" s="470" t="s">
        <v>923</v>
      </c>
      <c r="H271" s="622" t="s">
        <v>916</v>
      </c>
      <c r="I271" s="633" t="s">
        <v>116</v>
      </c>
      <c r="J271" s="471" t="s">
        <v>913</v>
      </c>
      <c r="K271" s="469">
        <v>8</v>
      </c>
      <c r="L271" s="473"/>
      <c r="M271" s="623">
        <v>0</v>
      </c>
      <c r="N271" s="623">
        <v>0</v>
      </c>
      <c r="O271" s="624">
        <v>0</v>
      </c>
      <c r="P271" s="624">
        <v>0</v>
      </c>
      <c r="Q271" s="785" t="e">
        <f t="shared" si="4"/>
        <v>#DIV/0!</v>
      </c>
      <c r="R271" s="468" t="s">
        <v>1719</v>
      </c>
      <c r="S271" s="629"/>
    </row>
    <row r="272" spans="1:19" ht="15" x14ac:dyDescent="0.25">
      <c r="A272" s="621" t="s">
        <v>351</v>
      </c>
      <c r="B272" s="466" t="s">
        <v>111</v>
      </c>
      <c r="C272" s="631" t="s">
        <v>738</v>
      </c>
      <c r="D272" s="467" t="s">
        <v>866</v>
      </c>
      <c r="E272" s="474" t="s">
        <v>1722</v>
      </c>
      <c r="F272" s="469" t="s">
        <v>112</v>
      </c>
      <c r="G272" s="470" t="s">
        <v>923</v>
      </c>
      <c r="H272" s="622" t="s">
        <v>916</v>
      </c>
      <c r="I272" s="633" t="s">
        <v>116</v>
      </c>
      <c r="J272" s="471" t="s">
        <v>913</v>
      </c>
      <c r="K272" s="469">
        <v>8</v>
      </c>
      <c r="L272" s="473"/>
      <c r="M272" s="623">
        <v>0</v>
      </c>
      <c r="N272" s="623">
        <v>1</v>
      </c>
      <c r="O272" s="624">
        <v>0</v>
      </c>
      <c r="P272" s="624">
        <v>0</v>
      </c>
      <c r="Q272" s="785" t="e">
        <f t="shared" si="4"/>
        <v>#DIV/0!</v>
      </c>
      <c r="R272" s="468" t="s">
        <v>1719</v>
      </c>
      <c r="S272" s="629"/>
    </row>
    <row r="273" spans="1:19" ht="15" x14ac:dyDescent="0.25">
      <c r="A273" s="621" t="s">
        <v>351</v>
      </c>
      <c r="B273" s="466" t="s">
        <v>111</v>
      </c>
      <c r="C273" s="631" t="s">
        <v>738</v>
      </c>
      <c r="D273" s="467" t="s">
        <v>869</v>
      </c>
      <c r="E273" s="474" t="s">
        <v>1722</v>
      </c>
      <c r="F273" s="469" t="s">
        <v>112</v>
      </c>
      <c r="G273" s="470" t="s">
        <v>923</v>
      </c>
      <c r="H273" s="622" t="s">
        <v>916</v>
      </c>
      <c r="I273" s="633" t="s">
        <v>116</v>
      </c>
      <c r="J273" s="471" t="s">
        <v>913</v>
      </c>
      <c r="K273" s="469">
        <v>8</v>
      </c>
      <c r="L273" s="473"/>
      <c r="M273" s="623">
        <v>7</v>
      </c>
      <c r="N273" s="623">
        <v>2</v>
      </c>
      <c r="O273" s="624">
        <v>0.2857142857142857</v>
      </c>
      <c r="P273" s="624">
        <v>0.2857142857142857</v>
      </c>
      <c r="Q273" s="785">
        <f t="shared" si="4"/>
        <v>3.5714285714285712</v>
      </c>
      <c r="R273" s="468" t="s">
        <v>1718</v>
      </c>
      <c r="S273" s="629"/>
    </row>
    <row r="274" spans="1:19" ht="15" x14ac:dyDescent="0.25">
      <c r="A274" s="621" t="s">
        <v>351</v>
      </c>
      <c r="B274" s="466" t="s">
        <v>111</v>
      </c>
      <c r="C274" s="631" t="s">
        <v>101</v>
      </c>
      <c r="D274" s="467" t="s">
        <v>889</v>
      </c>
      <c r="E274" s="474"/>
      <c r="F274" s="469" t="s">
        <v>112</v>
      </c>
      <c r="G274" s="470" t="s">
        <v>923</v>
      </c>
      <c r="H274" s="622" t="s">
        <v>917</v>
      </c>
      <c r="I274" s="633" t="s">
        <v>116</v>
      </c>
      <c r="J274" s="471" t="s">
        <v>913</v>
      </c>
      <c r="K274" s="469">
        <v>17</v>
      </c>
      <c r="L274" s="473"/>
      <c r="M274" s="623">
        <v>112</v>
      </c>
      <c r="N274" s="623">
        <v>19</v>
      </c>
      <c r="O274" s="624">
        <v>0.16964285714285715</v>
      </c>
      <c r="P274" s="624">
        <v>0.16964285714285715</v>
      </c>
      <c r="Q274" s="785">
        <f t="shared" si="4"/>
        <v>0.99789915966386555</v>
      </c>
      <c r="R274" s="468" t="s">
        <v>1718</v>
      </c>
      <c r="S274" s="629"/>
    </row>
    <row r="275" spans="1:19" ht="15" x14ac:dyDescent="0.25">
      <c r="A275" s="621" t="s">
        <v>351</v>
      </c>
      <c r="B275" s="466" t="s">
        <v>111</v>
      </c>
      <c r="C275" s="631" t="s">
        <v>101</v>
      </c>
      <c r="D275" s="467" t="s">
        <v>881</v>
      </c>
      <c r="E275" s="474"/>
      <c r="F275" s="469" t="s">
        <v>112</v>
      </c>
      <c r="G275" s="470" t="s">
        <v>923</v>
      </c>
      <c r="H275" s="622" t="s">
        <v>916</v>
      </c>
      <c r="I275" s="633" t="s">
        <v>116</v>
      </c>
      <c r="J275" s="471" t="s">
        <v>913</v>
      </c>
      <c r="K275" s="469">
        <v>36</v>
      </c>
      <c r="L275" s="473"/>
      <c r="M275" s="623">
        <v>9</v>
      </c>
      <c r="N275" s="623">
        <v>2</v>
      </c>
      <c r="O275" s="624">
        <v>0.22222222222222221</v>
      </c>
      <c r="P275" s="624">
        <v>0.22222222222222221</v>
      </c>
      <c r="Q275" s="785">
        <f t="shared" si="4"/>
        <v>0.61728395061728392</v>
      </c>
      <c r="R275" s="468" t="s">
        <v>1718</v>
      </c>
      <c r="S275" s="629"/>
    </row>
    <row r="276" spans="1:19" ht="15" x14ac:dyDescent="0.25">
      <c r="A276" s="621" t="s">
        <v>351</v>
      </c>
      <c r="B276" s="466" t="s">
        <v>111</v>
      </c>
      <c r="C276" s="631" t="s">
        <v>101</v>
      </c>
      <c r="D276" s="467" t="s">
        <v>883</v>
      </c>
      <c r="E276" s="474" t="s">
        <v>1723</v>
      </c>
      <c r="F276" s="469" t="s">
        <v>112</v>
      </c>
      <c r="G276" s="470" t="s">
        <v>923</v>
      </c>
      <c r="H276" s="622" t="s">
        <v>916</v>
      </c>
      <c r="I276" s="633" t="s">
        <v>116</v>
      </c>
      <c r="J276" s="471" t="s">
        <v>913</v>
      </c>
      <c r="K276" s="469">
        <v>80</v>
      </c>
      <c r="L276" s="473"/>
      <c r="M276" s="623">
        <v>0</v>
      </c>
      <c r="N276" s="623">
        <v>0</v>
      </c>
      <c r="O276" s="624">
        <v>0</v>
      </c>
      <c r="P276" s="624">
        <v>0</v>
      </c>
      <c r="Q276" s="785" t="e">
        <f t="shared" si="4"/>
        <v>#DIV/0!</v>
      </c>
      <c r="R276" s="468" t="s">
        <v>1719</v>
      </c>
      <c r="S276" s="629"/>
    </row>
    <row r="277" spans="1:19" ht="15" x14ac:dyDescent="0.25">
      <c r="A277" s="621" t="s">
        <v>351</v>
      </c>
      <c r="B277" s="466" t="s">
        <v>111</v>
      </c>
      <c r="C277" s="631" t="s">
        <v>101</v>
      </c>
      <c r="D277" s="467" t="s">
        <v>866</v>
      </c>
      <c r="E277" s="474" t="s">
        <v>1723</v>
      </c>
      <c r="F277" s="469" t="s">
        <v>112</v>
      </c>
      <c r="G277" s="470" t="s">
        <v>923</v>
      </c>
      <c r="H277" s="622" t="s">
        <v>916</v>
      </c>
      <c r="I277" s="633" t="s">
        <v>116</v>
      </c>
      <c r="J277" s="471" t="s">
        <v>913</v>
      </c>
      <c r="K277" s="469" t="s">
        <v>79</v>
      </c>
      <c r="L277" s="473"/>
      <c r="M277" s="623">
        <v>13</v>
      </c>
      <c r="N277" s="623">
        <v>2</v>
      </c>
      <c r="O277" s="624">
        <v>0.15384615384615385</v>
      </c>
      <c r="P277" s="624">
        <v>0.15384615384615385</v>
      </c>
      <c r="Q277" s="785" t="e">
        <f t="shared" si="4"/>
        <v>#VALUE!</v>
      </c>
      <c r="R277" s="468" t="s">
        <v>1718</v>
      </c>
      <c r="S277" s="629"/>
    </row>
    <row r="278" spans="1:19" ht="15" x14ac:dyDescent="0.25">
      <c r="A278" s="621" t="s">
        <v>351</v>
      </c>
      <c r="B278" s="466" t="s">
        <v>111</v>
      </c>
      <c r="C278" s="631" t="s">
        <v>101</v>
      </c>
      <c r="D278" s="467" t="s">
        <v>869</v>
      </c>
      <c r="E278" s="474" t="s">
        <v>1723</v>
      </c>
      <c r="F278" s="469" t="s">
        <v>112</v>
      </c>
      <c r="G278" s="470" t="s">
        <v>923</v>
      </c>
      <c r="H278" s="622" t="s">
        <v>916</v>
      </c>
      <c r="I278" s="633" t="s">
        <v>116</v>
      </c>
      <c r="J278" s="471" t="s">
        <v>913</v>
      </c>
      <c r="K278" s="469" t="s">
        <v>79</v>
      </c>
      <c r="L278" s="473"/>
      <c r="M278" s="623">
        <v>0</v>
      </c>
      <c r="N278" s="623">
        <v>0</v>
      </c>
      <c r="O278" s="624">
        <v>0</v>
      </c>
      <c r="P278" s="624">
        <v>0</v>
      </c>
      <c r="Q278" s="785" t="e">
        <f t="shared" si="4"/>
        <v>#VALUE!</v>
      </c>
      <c r="R278" s="468" t="s">
        <v>1719</v>
      </c>
      <c r="S278" s="629"/>
    </row>
    <row r="279" spans="1:19" ht="15" x14ac:dyDescent="0.25">
      <c r="A279" s="621" t="s">
        <v>351</v>
      </c>
      <c r="B279" s="466" t="s">
        <v>111</v>
      </c>
      <c r="C279" s="631" t="s">
        <v>885</v>
      </c>
      <c r="D279" s="467" t="s">
        <v>889</v>
      </c>
      <c r="E279" s="474"/>
      <c r="F279" s="469" t="s">
        <v>112</v>
      </c>
      <c r="G279" s="470" t="s">
        <v>923</v>
      </c>
      <c r="H279" s="622" t="s">
        <v>917</v>
      </c>
      <c r="I279" s="633" t="s">
        <v>116</v>
      </c>
      <c r="J279" s="471" t="s">
        <v>913</v>
      </c>
      <c r="K279" s="469">
        <v>13</v>
      </c>
      <c r="L279" s="473"/>
      <c r="M279" s="623">
        <v>0</v>
      </c>
      <c r="N279" s="623">
        <v>0</v>
      </c>
      <c r="O279" s="624">
        <v>0</v>
      </c>
      <c r="P279" s="624">
        <v>0</v>
      </c>
      <c r="Q279" s="785" t="e">
        <f t="shared" si="4"/>
        <v>#DIV/0!</v>
      </c>
      <c r="R279" s="468" t="s">
        <v>1719</v>
      </c>
      <c r="S279" s="629"/>
    </row>
    <row r="280" spans="1:19" ht="15" x14ac:dyDescent="0.25">
      <c r="A280" s="621" t="s">
        <v>351</v>
      </c>
      <c r="B280" s="466" t="s">
        <v>111</v>
      </c>
      <c r="C280" s="631" t="s">
        <v>885</v>
      </c>
      <c r="D280" s="467" t="s">
        <v>881</v>
      </c>
      <c r="E280" s="474"/>
      <c r="F280" s="469" t="s">
        <v>112</v>
      </c>
      <c r="G280" s="470" t="s">
        <v>923</v>
      </c>
      <c r="H280" s="622" t="s">
        <v>916</v>
      </c>
      <c r="I280" s="633" t="s">
        <v>116</v>
      </c>
      <c r="J280" s="471" t="s">
        <v>913</v>
      </c>
      <c r="K280" s="469">
        <v>13</v>
      </c>
      <c r="L280" s="473"/>
      <c r="M280" s="623">
        <v>5</v>
      </c>
      <c r="N280" s="623">
        <v>0</v>
      </c>
      <c r="O280" s="624">
        <v>0</v>
      </c>
      <c r="P280" s="624">
        <v>0</v>
      </c>
      <c r="Q280" s="785">
        <f t="shared" si="4"/>
        <v>0</v>
      </c>
      <c r="R280" s="468" t="s">
        <v>1719</v>
      </c>
      <c r="S280" s="629"/>
    </row>
    <row r="281" spans="1:19" ht="15" x14ac:dyDescent="0.25">
      <c r="A281" s="621" t="s">
        <v>351</v>
      </c>
      <c r="B281" s="466" t="s">
        <v>111</v>
      </c>
      <c r="C281" s="631" t="s">
        <v>885</v>
      </c>
      <c r="D281" s="467" t="s">
        <v>883</v>
      </c>
      <c r="E281" s="474" t="s">
        <v>1724</v>
      </c>
      <c r="F281" s="469" t="s">
        <v>112</v>
      </c>
      <c r="G281" s="470" t="s">
        <v>923</v>
      </c>
      <c r="H281" s="622" t="s">
        <v>916</v>
      </c>
      <c r="I281" s="633" t="s">
        <v>116</v>
      </c>
      <c r="J281" s="471" t="s">
        <v>913</v>
      </c>
      <c r="K281" s="469" t="s">
        <v>79</v>
      </c>
      <c r="L281" s="473"/>
      <c r="M281" s="623">
        <v>5</v>
      </c>
      <c r="N281" s="623">
        <v>0</v>
      </c>
      <c r="O281" s="624">
        <v>0</v>
      </c>
      <c r="P281" s="624">
        <v>0</v>
      </c>
      <c r="Q281" s="785" t="e">
        <f t="shared" si="4"/>
        <v>#VALUE!</v>
      </c>
      <c r="R281" s="468" t="s">
        <v>1719</v>
      </c>
      <c r="S281" s="629"/>
    </row>
    <row r="282" spans="1:19" ht="15" x14ac:dyDescent="0.25">
      <c r="A282" s="621" t="s">
        <v>351</v>
      </c>
      <c r="B282" s="466" t="s">
        <v>111</v>
      </c>
      <c r="C282" s="631" t="s">
        <v>885</v>
      </c>
      <c r="D282" s="467" t="s">
        <v>866</v>
      </c>
      <c r="E282" s="474" t="s">
        <v>1724</v>
      </c>
      <c r="F282" s="469" t="s">
        <v>112</v>
      </c>
      <c r="G282" s="470" t="s">
        <v>923</v>
      </c>
      <c r="H282" s="622" t="s">
        <v>916</v>
      </c>
      <c r="I282" s="633" t="s">
        <v>116</v>
      </c>
      <c r="J282" s="471" t="s">
        <v>913</v>
      </c>
      <c r="K282" s="469" t="s">
        <v>79</v>
      </c>
      <c r="L282" s="473"/>
      <c r="M282" s="623">
        <v>0</v>
      </c>
      <c r="N282" s="623">
        <v>0</v>
      </c>
      <c r="O282" s="624">
        <v>0</v>
      </c>
      <c r="P282" s="624">
        <v>0</v>
      </c>
      <c r="Q282" s="785" t="e">
        <f t="shared" si="4"/>
        <v>#VALUE!</v>
      </c>
      <c r="R282" s="468" t="s">
        <v>1719</v>
      </c>
      <c r="S282" s="629"/>
    </row>
    <row r="283" spans="1:19" ht="15" x14ac:dyDescent="0.25">
      <c r="A283" s="621" t="s">
        <v>351</v>
      </c>
      <c r="B283" s="466" t="s">
        <v>111</v>
      </c>
      <c r="C283" s="631" t="s">
        <v>885</v>
      </c>
      <c r="D283" s="467" t="s">
        <v>869</v>
      </c>
      <c r="E283" s="474"/>
      <c r="F283" s="469" t="s">
        <v>112</v>
      </c>
      <c r="G283" s="470" t="s">
        <v>923</v>
      </c>
      <c r="H283" s="622" t="s">
        <v>916</v>
      </c>
      <c r="I283" s="633" t="s">
        <v>116</v>
      </c>
      <c r="J283" s="471" t="s">
        <v>913</v>
      </c>
      <c r="K283" s="469">
        <v>25</v>
      </c>
      <c r="L283" s="473"/>
      <c r="M283" s="623">
        <v>12</v>
      </c>
      <c r="N283" s="623">
        <v>5</v>
      </c>
      <c r="O283" s="624">
        <v>0.41666666666666669</v>
      </c>
      <c r="P283" s="624">
        <v>0.41666666666666669</v>
      </c>
      <c r="Q283" s="785">
        <f t="shared" si="4"/>
        <v>1.6666666666666667</v>
      </c>
      <c r="R283" s="468" t="s">
        <v>1718</v>
      </c>
      <c r="S283" s="629"/>
    </row>
    <row r="284" spans="1:19" ht="15" x14ac:dyDescent="0.25">
      <c r="A284" s="621" t="s">
        <v>351</v>
      </c>
      <c r="B284" s="466" t="s">
        <v>111</v>
      </c>
      <c r="C284" s="631" t="s">
        <v>885</v>
      </c>
      <c r="D284" s="467" t="s">
        <v>887</v>
      </c>
      <c r="E284" s="474"/>
      <c r="F284" s="469" t="s">
        <v>112</v>
      </c>
      <c r="G284" s="470" t="s">
        <v>923</v>
      </c>
      <c r="H284" s="622" t="s">
        <v>916</v>
      </c>
      <c r="I284" s="633" t="s">
        <v>116</v>
      </c>
      <c r="J284" s="471" t="s">
        <v>913</v>
      </c>
      <c r="K284" s="469">
        <v>10</v>
      </c>
      <c r="L284" s="473"/>
      <c r="M284" s="623">
        <v>20</v>
      </c>
      <c r="N284" s="623">
        <v>8</v>
      </c>
      <c r="O284" s="624">
        <v>0.4</v>
      </c>
      <c r="P284" s="624">
        <v>0.4</v>
      </c>
      <c r="Q284" s="785">
        <f t="shared" si="4"/>
        <v>4</v>
      </c>
      <c r="R284" s="468" t="s">
        <v>1718</v>
      </c>
      <c r="S284" s="629"/>
    </row>
    <row r="285" spans="1:19" ht="15" x14ac:dyDescent="0.25">
      <c r="A285" s="621" t="s">
        <v>351</v>
      </c>
      <c r="B285" s="466" t="s">
        <v>111</v>
      </c>
      <c r="C285" s="631" t="s">
        <v>904</v>
      </c>
      <c r="D285" s="467" t="s">
        <v>881</v>
      </c>
      <c r="E285" s="474" t="s">
        <v>1718</v>
      </c>
      <c r="F285" s="469" t="s">
        <v>112</v>
      </c>
      <c r="G285" s="470" t="s">
        <v>923</v>
      </c>
      <c r="H285" s="622" t="s">
        <v>916</v>
      </c>
      <c r="I285" s="633" t="s">
        <v>116</v>
      </c>
      <c r="J285" s="471" t="s">
        <v>913</v>
      </c>
      <c r="K285" s="469" t="s">
        <v>79</v>
      </c>
      <c r="L285" s="473"/>
      <c r="M285" s="623">
        <v>0</v>
      </c>
      <c r="N285" s="623">
        <v>0</v>
      </c>
      <c r="O285" s="624">
        <v>0</v>
      </c>
      <c r="P285" s="624">
        <v>0</v>
      </c>
      <c r="Q285" s="785" t="e">
        <f t="shared" si="4"/>
        <v>#VALUE!</v>
      </c>
      <c r="R285" s="468" t="s">
        <v>1719</v>
      </c>
      <c r="S285" s="629"/>
    </row>
    <row r="286" spans="1:19" ht="15" x14ac:dyDescent="0.25">
      <c r="A286" s="621" t="s">
        <v>351</v>
      </c>
      <c r="B286" s="466" t="s">
        <v>111</v>
      </c>
      <c r="C286" s="631" t="s">
        <v>904</v>
      </c>
      <c r="D286" s="467" t="s">
        <v>883</v>
      </c>
      <c r="E286" s="474" t="s">
        <v>1725</v>
      </c>
      <c r="F286" s="469" t="s">
        <v>112</v>
      </c>
      <c r="G286" s="470" t="s">
        <v>923</v>
      </c>
      <c r="H286" s="622" t="s">
        <v>916</v>
      </c>
      <c r="I286" s="633" t="s">
        <v>116</v>
      </c>
      <c r="J286" s="471" t="s">
        <v>913</v>
      </c>
      <c r="K286" s="469" t="s">
        <v>79</v>
      </c>
      <c r="L286" s="473"/>
      <c r="M286" s="623">
        <v>1</v>
      </c>
      <c r="N286" s="623">
        <v>1</v>
      </c>
      <c r="O286" s="624">
        <v>1</v>
      </c>
      <c r="P286" s="624">
        <v>1</v>
      </c>
      <c r="Q286" s="785" t="e">
        <f t="shared" si="4"/>
        <v>#VALUE!</v>
      </c>
      <c r="R286" s="468" t="s">
        <v>1718</v>
      </c>
      <c r="S286" s="629"/>
    </row>
    <row r="287" spans="1:19" ht="15" x14ac:dyDescent="0.25">
      <c r="A287" s="621" t="s">
        <v>351</v>
      </c>
      <c r="B287" s="466" t="s">
        <v>111</v>
      </c>
      <c r="C287" s="631" t="s">
        <v>740</v>
      </c>
      <c r="D287" s="467" t="s">
        <v>889</v>
      </c>
      <c r="E287" s="474"/>
      <c r="F287" s="469" t="s">
        <v>112</v>
      </c>
      <c r="G287" s="470" t="s">
        <v>923</v>
      </c>
      <c r="H287" s="622" t="s">
        <v>917</v>
      </c>
      <c r="I287" s="633" t="s">
        <v>116</v>
      </c>
      <c r="J287" s="471" t="s">
        <v>913</v>
      </c>
      <c r="K287" s="469">
        <v>38</v>
      </c>
      <c r="L287" s="473"/>
      <c r="M287" s="623">
        <v>37</v>
      </c>
      <c r="N287" s="623">
        <v>3</v>
      </c>
      <c r="O287" s="624">
        <v>8.1081081081081086E-2</v>
      </c>
      <c r="P287" s="624">
        <v>8.1081081081081086E-2</v>
      </c>
      <c r="Q287" s="785">
        <f t="shared" si="4"/>
        <v>0.21337126600284495</v>
      </c>
      <c r="R287" s="468" t="s">
        <v>1718</v>
      </c>
      <c r="S287" s="629"/>
    </row>
    <row r="288" spans="1:19" ht="15" x14ac:dyDescent="0.25">
      <c r="A288" s="621" t="s">
        <v>351</v>
      </c>
      <c r="B288" s="466" t="s">
        <v>111</v>
      </c>
      <c r="C288" s="631" t="s">
        <v>740</v>
      </c>
      <c r="D288" s="467" t="s">
        <v>881</v>
      </c>
      <c r="E288" s="474" t="s">
        <v>1726</v>
      </c>
      <c r="F288" s="469" t="s">
        <v>112</v>
      </c>
      <c r="G288" s="470" t="s">
        <v>923</v>
      </c>
      <c r="H288" s="622" t="s">
        <v>916</v>
      </c>
      <c r="I288" s="633" t="s">
        <v>116</v>
      </c>
      <c r="J288" s="471" t="s">
        <v>913</v>
      </c>
      <c r="K288" s="469" t="s">
        <v>79</v>
      </c>
      <c r="L288" s="473"/>
      <c r="M288" s="623">
        <v>4</v>
      </c>
      <c r="N288" s="623">
        <v>0</v>
      </c>
      <c r="O288" s="624">
        <v>0</v>
      </c>
      <c r="P288" s="624">
        <v>0</v>
      </c>
      <c r="Q288" s="785" t="e">
        <f t="shared" si="4"/>
        <v>#VALUE!</v>
      </c>
      <c r="R288" s="468" t="s">
        <v>1719</v>
      </c>
      <c r="S288" s="629"/>
    </row>
    <row r="289" spans="1:19" ht="15" x14ac:dyDescent="0.25">
      <c r="A289" s="621" t="s">
        <v>351</v>
      </c>
      <c r="B289" s="466" t="s">
        <v>111</v>
      </c>
      <c r="C289" s="631" t="s">
        <v>740</v>
      </c>
      <c r="D289" s="467" t="s">
        <v>883</v>
      </c>
      <c r="E289" s="474" t="s">
        <v>1726</v>
      </c>
      <c r="F289" s="469" t="s">
        <v>112</v>
      </c>
      <c r="G289" s="470" t="s">
        <v>923</v>
      </c>
      <c r="H289" s="622" t="s">
        <v>916</v>
      </c>
      <c r="I289" s="633" t="s">
        <v>116</v>
      </c>
      <c r="J289" s="471" t="s">
        <v>913</v>
      </c>
      <c r="K289" s="469" t="s">
        <v>79</v>
      </c>
      <c r="L289" s="473"/>
      <c r="M289" s="623">
        <v>0</v>
      </c>
      <c r="N289" s="623">
        <v>0</v>
      </c>
      <c r="O289" s="624">
        <v>0</v>
      </c>
      <c r="P289" s="624">
        <v>0</v>
      </c>
      <c r="Q289" s="785" t="e">
        <f t="shared" si="4"/>
        <v>#VALUE!</v>
      </c>
      <c r="R289" s="468" t="s">
        <v>1719</v>
      </c>
      <c r="S289" s="629"/>
    </row>
    <row r="290" spans="1:19" ht="15" x14ac:dyDescent="0.25">
      <c r="A290" s="621" t="s">
        <v>351</v>
      </c>
      <c r="B290" s="466" t="s">
        <v>111</v>
      </c>
      <c r="C290" s="631" t="s">
        <v>894</v>
      </c>
      <c r="D290" s="467" t="s">
        <v>889</v>
      </c>
      <c r="E290" s="474"/>
      <c r="F290" s="469" t="s">
        <v>112</v>
      </c>
      <c r="G290" s="470" t="s">
        <v>923</v>
      </c>
      <c r="H290" s="622" t="s">
        <v>917</v>
      </c>
      <c r="I290" s="633" t="s">
        <v>116</v>
      </c>
      <c r="J290" s="471" t="s">
        <v>913</v>
      </c>
      <c r="K290" s="469">
        <v>5</v>
      </c>
      <c r="L290" s="473"/>
      <c r="M290" s="623">
        <v>543</v>
      </c>
      <c r="N290" s="623">
        <v>32</v>
      </c>
      <c r="O290" s="624">
        <v>5.8931860036832415E-2</v>
      </c>
      <c r="P290" s="624">
        <v>5.8931860036832415E-2</v>
      </c>
      <c r="Q290" s="785">
        <f t="shared" si="4"/>
        <v>1.1786372007366483</v>
      </c>
      <c r="R290" s="468" t="s">
        <v>1718</v>
      </c>
      <c r="S290" s="629"/>
    </row>
    <row r="291" spans="1:19" ht="15" x14ac:dyDescent="0.25">
      <c r="A291" s="621" t="s">
        <v>351</v>
      </c>
      <c r="B291" s="466" t="s">
        <v>111</v>
      </c>
      <c r="C291" s="631" t="s">
        <v>894</v>
      </c>
      <c r="D291" s="467" t="s">
        <v>881</v>
      </c>
      <c r="E291" s="474"/>
      <c r="F291" s="469" t="s">
        <v>112</v>
      </c>
      <c r="G291" s="470" t="s">
        <v>923</v>
      </c>
      <c r="H291" s="622" t="s">
        <v>916</v>
      </c>
      <c r="I291" s="633" t="s">
        <v>116</v>
      </c>
      <c r="J291" s="471" t="s">
        <v>913</v>
      </c>
      <c r="K291" s="469">
        <v>32</v>
      </c>
      <c r="L291" s="473"/>
      <c r="M291" s="623">
        <v>78</v>
      </c>
      <c r="N291" s="623">
        <v>28</v>
      </c>
      <c r="O291" s="624">
        <v>0.35897435897435898</v>
      </c>
      <c r="P291" s="624">
        <v>0.35897435897435898</v>
      </c>
      <c r="Q291" s="785">
        <f t="shared" si="4"/>
        <v>1.1217948717948718</v>
      </c>
      <c r="R291" s="468" t="s">
        <v>1718</v>
      </c>
      <c r="S291" s="629"/>
    </row>
    <row r="292" spans="1:19" ht="15" x14ac:dyDescent="0.25">
      <c r="A292" s="621" t="s">
        <v>351</v>
      </c>
      <c r="B292" s="466" t="s">
        <v>111</v>
      </c>
      <c r="C292" s="631" t="s">
        <v>894</v>
      </c>
      <c r="D292" s="467" t="s">
        <v>883</v>
      </c>
      <c r="E292" s="474" t="s">
        <v>1727</v>
      </c>
      <c r="F292" s="469" t="s">
        <v>112</v>
      </c>
      <c r="G292" s="470" t="s">
        <v>923</v>
      </c>
      <c r="H292" s="622" t="s">
        <v>916</v>
      </c>
      <c r="I292" s="633" t="s">
        <v>116</v>
      </c>
      <c r="J292" s="471" t="s">
        <v>913</v>
      </c>
      <c r="K292" s="469">
        <v>33</v>
      </c>
      <c r="L292" s="473"/>
      <c r="M292" s="623">
        <v>25</v>
      </c>
      <c r="N292" s="623">
        <v>9</v>
      </c>
      <c r="O292" s="624">
        <v>0.36</v>
      </c>
      <c r="P292" s="624">
        <v>0.36</v>
      </c>
      <c r="Q292" s="785">
        <f t="shared" si="4"/>
        <v>1.0909090909090908</v>
      </c>
      <c r="R292" s="468" t="s">
        <v>1718</v>
      </c>
      <c r="S292" s="629"/>
    </row>
    <row r="293" spans="1:19" ht="15" x14ac:dyDescent="0.25">
      <c r="A293" s="621" t="s">
        <v>351</v>
      </c>
      <c r="B293" s="466" t="s">
        <v>111</v>
      </c>
      <c r="C293" s="631" t="s">
        <v>894</v>
      </c>
      <c r="D293" s="467" t="s">
        <v>869</v>
      </c>
      <c r="E293" s="474" t="s">
        <v>1727</v>
      </c>
      <c r="F293" s="469" t="s">
        <v>112</v>
      </c>
      <c r="G293" s="470" t="s">
        <v>923</v>
      </c>
      <c r="H293" s="622" t="s">
        <v>916</v>
      </c>
      <c r="I293" s="633" t="s">
        <v>116</v>
      </c>
      <c r="J293" s="471" t="s">
        <v>913</v>
      </c>
      <c r="K293" s="469" t="s">
        <v>79</v>
      </c>
      <c r="L293" s="473"/>
      <c r="M293" s="623">
        <v>0</v>
      </c>
      <c r="N293" s="623">
        <v>0</v>
      </c>
      <c r="O293" s="624">
        <v>0</v>
      </c>
      <c r="P293" s="624">
        <v>0</v>
      </c>
      <c r="Q293" s="785" t="e">
        <f t="shared" si="4"/>
        <v>#VALUE!</v>
      </c>
      <c r="R293" s="468" t="s">
        <v>1719</v>
      </c>
      <c r="S293" s="629"/>
    </row>
    <row r="294" spans="1:19" ht="15" x14ac:dyDescent="0.25">
      <c r="A294" s="621" t="s">
        <v>351</v>
      </c>
      <c r="B294" s="466" t="s">
        <v>111</v>
      </c>
      <c r="C294" s="631" t="s">
        <v>99</v>
      </c>
      <c r="D294" s="467" t="s">
        <v>866</v>
      </c>
      <c r="E294" s="474" t="s">
        <v>1720</v>
      </c>
      <c r="F294" s="469" t="s">
        <v>112</v>
      </c>
      <c r="G294" s="470" t="s">
        <v>924</v>
      </c>
      <c r="H294" s="622" t="s">
        <v>916</v>
      </c>
      <c r="I294" s="633" t="s">
        <v>116</v>
      </c>
      <c r="J294" s="471" t="s">
        <v>913</v>
      </c>
      <c r="K294" s="469">
        <v>33</v>
      </c>
      <c r="L294" s="473"/>
      <c r="M294" s="623">
        <v>0</v>
      </c>
      <c r="N294" s="623">
        <v>0</v>
      </c>
      <c r="O294" s="624">
        <v>0</v>
      </c>
      <c r="P294" s="624">
        <v>0</v>
      </c>
      <c r="Q294" s="785" t="e">
        <f t="shared" si="4"/>
        <v>#DIV/0!</v>
      </c>
      <c r="R294" s="468" t="s">
        <v>1719</v>
      </c>
      <c r="S294" s="629"/>
    </row>
    <row r="295" spans="1:19" ht="15" x14ac:dyDescent="0.25">
      <c r="A295" s="621" t="s">
        <v>351</v>
      </c>
      <c r="B295" s="466" t="s">
        <v>111</v>
      </c>
      <c r="C295" s="631" t="s">
        <v>99</v>
      </c>
      <c r="D295" s="467" t="s">
        <v>869</v>
      </c>
      <c r="E295" s="474" t="s">
        <v>1720</v>
      </c>
      <c r="F295" s="469" t="s">
        <v>112</v>
      </c>
      <c r="G295" s="470" t="s">
        <v>924</v>
      </c>
      <c r="H295" s="622" t="s">
        <v>916</v>
      </c>
      <c r="I295" s="633" t="s">
        <v>116</v>
      </c>
      <c r="J295" s="471" t="s">
        <v>913</v>
      </c>
      <c r="K295" s="469">
        <v>33</v>
      </c>
      <c r="L295" s="473"/>
      <c r="M295" s="623">
        <v>14</v>
      </c>
      <c r="N295" s="623">
        <v>2</v>
      </c>
      <c r="O295" s="624">
        <v>0.14285714285714285</v>
      </c>
      <c r="P295" s="624">
        <v>0.14285714285714285</v>
      </c>
      <c r="Q295" s="785">
        <f t="shared" si="4"/>
        <v>0.4329004329004329</v>
      </c>
      <c r="R295" s="468" t="s">
        <v>1718</v>
      </c>
      <c r="S295" s="629"/>
    </row>
    <row r="296" spans="1:19" ht="15" x14ac:dyDescent="0.25">
      <c r="A296" s="621" t="s">
        <v>351</v>
      </c>
      <c r="B296" s="466" t="s">
        <v>111</v>
      </c>
      <c r="C296" s="631" t="s">
        <v>870</v>
      </c>
      <c r="D296" s="467" t="s">
        <v>889</v>
      </c>
      <c r="E296" s="474"/>
      <c r="F296" s="469" t="s">
        <v>112</v>
      </c>
      <c r="G296" s="470" t="s">
        <v>924</v>
      </c>
      <c r="H296" s="622" t="s">
        <v>917</v>
      </c>
      <c r="I296" s="633" t="s">
        <v>116</v>
      </c>
      <c r="J296" s="471" t="s">
        <v>913</v>
      </c>
      <c r="K296" s="469">
        <v>16</v>
      </c>
      <c r="L296" s="473"/>
      <c r="M296" s="623">
        <v>50</v>
      </c>
      <c r="N296" s="623">
        <v>4</v>
      </c>
      <c r="O296" s="624">
        <v>0.08</v>
      </c>
      <c r="P296" s="624">
        <v>0.08</v>
      </c>
      <c r="Q296" s="785">
        <f t="shared" si="4"/>
        <v>0.5</v>
      </c>
      <c r="R296" s="468" t="s">
        <v>1718</v>
      </c>
      <c r="S296" s="629"/>
    </row>
    <row r="297" spans="1:19" ht="15" x14ac:dyDescent="0.25">
      <c r="A297" s="621" t="s">
        <v>351</v>
      </c>
      <c r="B297" s="466" t="s">
        <v>111</v>
      </c>
      <c r="C297" s="631" t="s">
        <v>870</v>
      </c>
      <c r="D297" s="467" t="s">
        <v>881</v>
      </c>
      <c r="E297" s="474"/>
      <c r="F297" s="469" t="s">
        <v>112</v>
      </c>
      <c r="G297" s="470" t="s">
        <v>924</v>
      </c>
      <c r="H297" s="622" t="s">
        <v>916</v>
      </c>
      <c r="I297" s="633" t="s">
        <v>116</v>
      </c>
      <c r="J297" s="471" t="s">
        <v>913</v>
      </c>
      <c r="K297" s="469">
        <v>16</v>
      </c>
      <c r="L297" s="473"/>
      <c r="M297" s="623">
        <v>19</v>
      </c>
      <c r="N297" s="623">
        <v>3</v>
      </c>
      <c r="O297" s="624">
        <v>0.15789473684210525</v>
      </c>
      <c r="P297" s="624">
        <v>0.15789473684210525</v>
      </c>
      <c r="Q297" s="785">
        <f t="shared" si="4"/>
        <v>0.98684210526315785</v>
      </c>
      <c r="R297" s="468" t="s">
        <v>1718</v>
      </c>
      <c r="S297" s="629"/>
    </row>
    <row r="298" spans="1:19" ht="15" x14ac:dyDescent="0.25">
      <c r="A298" s="621" t="s">
        <v>351</v>
      </c>
      <c r="B298" s="466" t="s">
        <v>111</v>
      </c>
      <c r="C298" s="631" t="s">
        <v>870</v>
      </c>
      <c r="D298" s="467" t="s">
        <v>883</v>
      </c>
      <c r="E298" s="474"/>
      <c r="F298" s="469" t="s">
        <v>112</v>
      </c>
      <c r="G298" s="470" t="s">
        <v>924</v>
      </c>
      <c r="H298" s="622" t="s">
        <v>916</v>
      </c>
      <c r="I298" s="633" t="s">
        <v>116</v>
      </c>
      <c r="J298" s="471" t="s">
        <v>913</v>
      </c>
      <c r="K298" s="469">
        <v>6</v>
      </c>
      <c r="L298" s="473"/>
      <c r="M298" s="623">
        <v>39</v>
      </c>
      <c r="N298" s="623">
        <v>9</v>
      </c>
      <c r="O298" s="624">
        <v>0.23076923076923078</v>
      </c>
      <c r="P298" s="624">
        <v>0.23076923076923078</v>
      </c>
      <c r="Q298" s="785">
        <f t="shared" si="4"/>
        <v>3.8461538461538463</v>
      </c>
      <c r="R298" s="468" t="s">
        <v>1718</v>
      </c>
      <c r="S298" s="629"/>
    </row>
    <row r="299" spans="1:19" ht="15" x14ac:dyDescent="0.25">
      <c r="A299" s="621" t="s">
        <v>351</v>
      </c>
      <c r="B299" s="466" t="s">
        <v>111</v>
      </c>
      <c r="C299" s="631" t="s">
        <v>870</v>
      </c>
      <c r="D299" s="467" t="s">
        <v>866</v>
      </c>
      <c r="E299" s="474"/>
      <c r="F299" s="469" t="s">
        <v>112</v>
      </c>
      <c r="G299" s="470" t="s">
        <v>924</v>
      </c>
      <c r="H299" s="622" t="s">
        <v>916</v>
      </c>
      <c r="I299" s="633" t="s">
        <v>116</v>
      </c>
      <c r="J299" s="471" t="s">
        <v>913</v>
      </c>
      <c r="K299" s="469">
        <v>8</v>
      </c>
      <c r="L299" s="473"/>
      <c r="M299" s="623">
        <v>67</v>
      </c>
      <c r="N299" s="623">
        <v>17</v>
      </c>
      <c r="O299" s="624">
        <v>0.2537313432835821</v>
      </c>
      <c r="P299" s="624">
        <v>0.2537313432835821</v>
      </c>
      <c r="Q299" s="785">
        <f t="shared" si="4"/>
        <v>3.1716417910447761</v>
      </c>
      <c r="R299" s="468" t="s">
        <v>1718</v>
      </c>
      <c r="S299" s="629"/>
    </row>
    <row r="300" spans="1:19" ht="15" x14ac:dyDescent="0.25">
      <c r="A300" s="621" t="s">
        <v>351</v>
      </c>
      <c r="B300" s="466" t="s">
        <v>111</v>
      </c>
      <c r="C300" s="631" t="s">
        <v>870</v>
      </c>
      <c r="D300" s="467" t="s">
        <v>869</v>
      </c>
      <c r="E300" s="474"/>
      <c r="F300" s="469" t="s">
        <v>112</v>
      </c>
      <c r="G300" s="470" t="s">
        <v>924</v>
      </c>
      <c r="H300" s="622" t="s">
        <v>916</v>
      </c>
      <c r="I300" s="633" t="s">
        <v>116</v>
      </c>
      <c r="J300" s="471" t="s">
        <v>913</v>
      </c>
      <c r="K300" s="469">
        <v>5</v>
      </c>
      <c r="L300" s="473"/>
      <c r="M300" s="623">
        <v>46</v>
      </c>
      <c r="N300" s="623">
        <v>18</v>
      </c>
      <c r="O300" s="624">
        <v>0.39130434782608697</v>
      </c>
      <c r="P300" s="624">
        <v>0.39130434782608697</v>
      </c>
      <c r="Q300" s="785">
        <f t="shared" si="4"/>
        <v>7.8260869565217401</v>
      </c>
      <c r="R300" s="468" t="s">
        <v>1718</v>
      </c>
      <c r="S300" s="629"/>
    </row>
    <row r="301" spans="1:19" ht="15" x14ac:dyDescent="0.25">
      <c r="A301" s="621" t="s">
        <v>351</v>
      </c>
      <c r="B301" s="466" t="s">
        <v>111</v>
      </c>
      <c r="C301" s="631" t="s">
        <v>738</v>
      </c>
      <c r="D301" s="467" t="s">
        <v>889</v>
      </c>
      <c r="E301" s="474"/>
      <c r="F301" s="469" t="s">
        <v>112</v>
      </c>
      <c r="G301" s="470" t="s">
        <v>924</v>
      </c>
      <c r="H301" s="622" t="s">
        <v>917</v>
      </c>
      <c r="I301" s="633" t="s">
        <v>116</v>
      </c>
      <c r="J301" s="471" t="s">
        <v>913</v>
      </c>
      <c r="K301" s="469">
        <v>29</v>
      </c>
      <c r="L301" s="473"/>
      <c r="M301" s="623">
        <v>156</v>
      </c>
      <c r="N301" s="623">
        <v>7</v>
      </c>
      <c r="O301" s="624">
        <v>4.4871794871794872E-2</v>
      </c>
      <c r="P301" s="624">
        <v>4.4871794871794872E-2</v>
      </c>
      <c r="Q301" s="785">
        <f t="shared" si="4"/>
        <v>0.15473032714412024</v>
      </c>
      <c r="R301" s="468" t="s">
        <v>1718</v>
      </c>
      <c r="S301" s="629"/>
    </row>
    <row r="302" spans="1:19" ht="15" x14ac:dyDescent="0.25">
      <c r="A302" s="621" t="s">
        <v>351</v>
      </c>
      <c r="B302" s="466" t="s">
        <v>111</v>
      </c>
      <c r="C302" s="631" t="s">
        <v>738</v>
      </c>
      <c r="D302" s="467" t="s">
        <v>881</v>
      </c>
      <c r="E302" s="474" t="s">
        <v>1721</v>
      </c>
      <c r="F302" s="469" t="s">
        <v>112</v>
      </c>
      <c r="G302" s="470" t="s">
        <v>924</v>
      </c>
      <c r="H302" s="622" t="s">
        <v>916</v>
      </c>
      <c r="I302" s="633" t="s">
        <v>116</v>
      </c>
      <c r="J302" s="471" t="s">
        <v>913</v>
      </c>
      <c r="K302" s="469">
        <v>8</v>
      </c>
      <c r="L302" s="473"/>
      <c r="M302" s="623">
        <v>54</v>
      </c>
      <c r="N302" s="623">
        <v>6</v>
      </c>
      <c r="O302" s="624">
        <v>0.1111111111111111</v>
      </c>
      <c r="P302" s="624">
        <v>0.1111111111111111</v>
      </c>
      <c r="Q302" s="785">
        <f t="shared" si="4"/>
        <v>1.3888888888888888</v>
      </c>
      <c r="R302" s="468" t="s">
        <v>1718</v>
      </c>
      <c r="S302" s="629"/>
    </row>
    <row r="303" spans="1:19" ht="15" x14ac:dyDescent="0.25">
      <c r="A303" s="621" t="s">
        <v>351</v>
      </c>
      <c r="B303" s="466" t="s">
        <v>111</v>
      </c>
      <c r="C303" s="631" t="s">
        <v>738</v>
      </c>
      <c r="D303" s="467" t="s">
        <v>883</v>
      </c>
      <c r="E303" s="474" t="s">
        <v>1721</v>
      </c>
      <c r="F303" s="469" t="s">
        <v>112</v>
      </c>
      <c r="G303" s="470" t="s">
        <v>924</v>
      </c>
      <c r="H303" s="622" t="s">
        <v>916</v>
      </c>
      <c r="I303" s="633" t="s">
        <v>116</v>
      </c>
      <c r="J303" s="471" t="s">
        <v>913</v>
      </c>
      <c r="K303" s="469">
        <v>8</v>
      </c>
      <c r="L303" s="473"/>
      <c r="M303" s="623">
        <v>0</v>
      </c>
      <c r="N303" s="623">
        <v>0</v>
      </c>
      <c r="O303" s="624">
        <v>0</v>
      </c>
      <c r="P303" s="624">
        <v>0</v>
      </c>
      <c r="Q303" s="785" t="e">
        <f t="shared" si="4"/>
        <v>#DIV/0!</v>
      </c>
      <c r="R303" s="468" t="s">
        <v>1719</v>
      </c>
      <c r="S303" s="629"/>
    </row>
    <row r="304" spans="1:19" ht="15" x14ac:dyDescent="0.25">
      <c r="A304" s="621" t="s">
        <v>351</v>
      </c>
      <c r="B304" s="466" t="s">
        <v>111</v>
      </c>
      <c r="C304" s="631" t="s">
        <v>738</v>
      </c>
      <c r="D304" s="467" t="s">
        <v>866</v>
      </c>
      <c r="E304" s="474" t="s">
        <v>1722</v>
      </c>
      <c r="F304" s="469" t="s">
        <v>112</v>
      </c>
      <c r="G304" s="470" t="s">
        <v>924</v>
      </c>
      <c r="H304" s="622" t="s">
        <v>916</v>
      </c>
      <c r="I304" s="633" t="s">
        <v>116</v>
      </c>
      <c r="J304" s="471" t="s">
        <v>913</v>
      </c>
      <c r="K304" s="469">
        <v>8</v>
      </c>
      <c r="L304" s="473"/>
      <c r="M304" s="623">
        <v>0</v>
      </c>
      <c r="N304" s="623">
        <v>1</v>
      </c>
      <c r="O304" s="624">
        <v>0</v>
      </c>
      <c r="P304" s="624">
        <v>0</v>
      </c>
      <c r="Q304" s="785" t="e">
        <f t="shared" si="4"/>
        <v>#DIV/0!</v>
      </c>
      <c r="R304" s="468" t="s">
        <v>1719</v>
      </c>
      <c r="S304" s="629"/>
    </row>
    <row r="305" spans="1:19" ht="15" x14ac:dyDescent="0.25">
      <c r="A305" s="621" t="s">
        <v>351</v>
      </c>
      <c r="B305" s="466" t="s">
        <v>111</v>
      </c>
      <c r="C305" s="631" t="s">
        <v>738</v>
      </c>
      <c r="D305" s="467" t="s">
        <v>869</v>
      </c>
      <c r="E305" s="474" t="s">
        <v>1722</v>
      </c>
      <c r="F305" s="469" t="s">
        <v>112</v>
      </c>
      <c r="G305" s="470" t="s">
        <v>924</v>
      </c>
      <c r="H305" s="622" t="s">
        <v>916</v>
      </c>
      <c r="I305" s="633" t="s">
        <v>116</v>
      </c>
      <c r="J305" s="471" t="s">
        <v>913</v>
      </c>
      <c r="K305" s="469">
        <v>8</v>
      </c>
      <c r="L305" s="473"/>
      <c r="M305" s="623">
        <v>7</v>
      </c>
      <c r="N305" s="623">
        <v>2</v>
      </c>
      <c r="O305" s="624">
        <v>0.2857142857142857</v>
      </c>
      <c r="P305" s="624">
        <v>0.2857142857142857</v>
      </c>
      <c r="Q305" s="785">
        <f t="shared" si="4"/>
        <v>3.5714285714285712</v>
      </c>
      <c r="R305" s="468" t="s">
        <v>1718</v>
      </c>
      <c r="S305" s="629"/>
    </row>
    <row r="306" spans="1:19" ht="15" x14ac:dyDescent="0.25">
      <c r="A306" s="621" t="s">
        <v>351</v>
      </c>
      <c r="B306" s="466" t="s">
        <v>111</v>
      </c>
      <c r="C306" s="631" t="s">
        <v>101</v>
      </c>
      <c r="D306" s="467" t="s">
        <v>889</v>
      </c>
      <c r="E306" s="474"/>
      <c r="F306" s="469" t="s">
        <v>112</v>
      </c>
      <c r="G306" s="470" t="s">
        <v>924</v>
      </c>
      <c r="H306" s="622" t="s">
        <v>917</v>
      </c>
      <c r="I306" s="633" t="s">
        <v>116</v>
      </c>
      <c r="J306" s="471" t="s">
        <v>913</v>
      </c>
      <c r="K306" s="469">
        <v>17</v>
      </c>
      <c r="L306" s="473"/>
      <c r="M306" s="623">
        <v>112</v>
      </c>
      <c r="N306" s="623">
        <v>19</v>
      </c>
      <c r="O306" s="624">
        <v>0.16964285714285715</v>
      </c>
      <c r="P306" s="624">
        <v>0.16964285714285715</v>
      </c>
      <c r="Q306" s="785">
        <f t="shared" si="4"/>
        <v>0.99789915966386555</v>
      </c>
      <c r="R306" s="468" t="s">
        <v>1718</v>
      </c>
      <c r="S306" s="629"/>
    </row>
    <row r="307" spans="1:19" ht="15" x14ac:dyDescent="0.25">
      <c r="A307" s="621" t="s">
        <v>351</v>
      </c>
      <c r="B307" s="466" t="s">
        <v>111</v>
      </c>
      <c r="C307" s="631" t="s">
        <v>101</v>
      </c>
      <c r="D307" s="467" t="s">
        <v>881</v>
      </c>
      <c r="E307" s="474"/>
      <c r="F307" s="469" t="s">
        <v>112</v>
      </c>
      <c r="G307" s="470" t="s">
        <v>924</v>
      </c>
      <c r="H307" s="622" t="s">
        <v>916</v>
      </c>
      <c r="I307" s="633" t="s">
        <v>116</v>
      </c>
      <c r="J307" s="471" t="s">
        <v>913</v>
      </c>
      <c r="K307" s="469">
        <v>36</v>
      </c>
      <c r="L307" s="473"/>
      <c r="M307" s="623">
        <v>9</v>
      </c>
      <c r="N307" s="623">
        <v>2</v>
      </c>
      <c r="O307" s="624">
        <v>0.22222222222222221</v>
      </c>
      <c r="P307" s="624">
        <v>0.22222222222222221</v>
      </c>
      <c r="Q307" s="785">
        <f t="shared" si="4"/>
        <v>0.61728395061728392</v>
      </c>
      <c r="R307" s="468" t="s">
        <v>1718</v>
      </c>
      <c r="S307" s="629"/>
    </row>
    <row r="308" spans="1:19" ht="15" x14ac:dyDescent="0.25">
      <c r="A308" s="621" t="s">
        <v>351</v>
      </c>
      <c r="B308" s="466" t="s">
        <v>111</v>
      </c>
      <c r="C308" s="631" t="s">
        <v>101</v>
      </c>
      <c r="D308" s="467" t="s">
        <v>883</v>
      </c>
      <c r="E308" s="474" t="s">
        <v>1723</v>
      </c>
      <c r="F308" s="469" t="s">
        <v>112</v>
      </c>
      <c r="G308" s="470" t="s">
        <v>924</v>
      </c>
      <c r="H308" s="622" t="s">
        <v>916</v>
      </c>
      <c r="I308" s="633" t="s">
        <v>116</v>
      </c>
      <c r="J308" s="471" t="s">
        <v>913</v>
      </c>
      <c r="K308" s="469">
        <v>80</v>
      </c>
      <c r="L308" s="473"/>
      <c r="M308" s="623">
        <v>0</v>
      </c>
      <c r="N308" s="623">
        <v>0</v>
      </c>
      <c r="O308" s="624">
        <v>0</v>
      </c>
      <c r="P308" s="624">
        <v>0</v>
      </c>
      <c r="Q308" s="785" t="e">
        <f t="shared" si="4"/>
        <v>#DIV/0!</v>
      </c>
      <c r="R308" s="468" t="s">
        <v>1719</v>
      </c>
      <c r="S308" s="629"/>
    </row>
    <row r="309" spans="1:19" ht="15" x14ac:dyDescent="0.25">
      <c r="A309" s="621" t="s">
        <v>351</v>
      </c>
      <c r="B309" s="466" t="s">
        <v>111</v>
      </c>
      <c r="C309" s="631" t="s">
        <v>101</v>
      </c>
      <c r="D309" s="467" t="s">
        <v>866</v>
      </c>
      <c r="E309" s="474" t="s">
        <v>1723</v>
      </c>
      <c r="F309" s="469" t="s">
        <v>112</v>
      </c>
      <c r="G309" s="470" t="s">
        <v>924</v>
      </c>
      <c r="H309" s="622" t="s">
        <v>916</v>
      </c>
      <c r="I309" s="633" t="s">
        <v>116</v>
      </c>
      <c r="J309" s="471" t="s">
        <v>913</v>
      </c>
      <c r="K309" s="469" t="s">
        <v>79</v>
      </c>
      <c r="L309" s="473"/>
      <c r="M309" s="623">
        <v>13</v>
      </c>
      <c r="N309" s="623">
        <v>2</v>
      </c>
      <c r="O309" s="624">
        <v>0.15384615384615385</v>
      </c>
      <c r="P309" s="624">
        <v>0.15384615384615385</v>
      </c>
      <c r="Q309" s="785" t="e">
        <f t="shared" si="4"/>
        <v>#VALUE!</v>
      </c>
      <c r="R309" s="468" t="s">
        <v>1718</v>
      </c>
      <c r="S309" s="629"/>
    </row>
    <row r="310" spans="1:19" ht="15" x14ac:dyDescent="0.25">
      <c r="A310" s="621" t="s">
        <v>351</v>
      </c>
      <c r="B310" s="466" t="s">
        <v>111</v>
      </c>
      <c r="C310" s="631" t="s">
        <v>101</v>
      </c>
      <c r="D310" s="467" t="s">
        <v>869</v>
      </c>
      <c r="E310" s="474" t="s">
        <v>1723</v>
      </c>
      <c r="F310" s="469" t="s">
        <v>112</v>
      </c>
      <c r="G310" s="470" t="s">
        <v>924</v>
      </c>
      <c r="H310" s="622" t="s">
        <v>916</v>
      </c>
      <c r="I310" s="633" t="s">
        <v>116</v>
      </c>
      <c r="J310" s="471" t="s">
        <v>913</v>
      </c>
      <c r="K310" s="469" t="s">
        <v>79</v>
      </c>
      <c r="L310" s="473"/>
      <c r="M310" s="623">
        <v>0</v>
      </c>
      <c r="N310" s="623">
        <v>0</v>
      </c>
      <c r="O310" s="624">
        <v>0</v>
      </c>
      <c r="P310" s="624">
        <v>0</v>
      </c>
      <c r="Q310" s="785" t="e">
        <f t="shared" si="4"/>
        <v>#VALUE!</v>
      </c>
      <c r="R310" s="468" t="s">
        <v>1719</v>
      </c>
      <c r="S310" s="629"/>
    </row>
    <row r="311" spans="1:19" ht="15" x14ac:dyDescent="0.25">
      <c r="A311" s="621" t="s">
        <v>351</v>
      </c>
      <c r="B311" s="466" t="s">
        <v>111</v>
      </c>
      <c r="C311" s="631" t="s">
        <v>885</v>
      </c>
      <c r="D311" s="467" t="s">
        <v>889</v>
      </c>
      <c r="E311" s="474"/>
      <c r="F311" s="469" t="s">
        <v>112</v>
      </c>
      <c r="G311" s="470" t="s">
        <v>924</v>
      </c>
      <c r="H311" s="622" t="s">
        <v>917</v>
      </c>
      <c r="I311" s="633" t="s">
        <v>116</v>
      </c>
      <c r="J311" s="471" t="s">
        <v>913</v>
      </c>
      <c r="K311" s="469">
        <v>13</v>
      </c>
      <c r="L311" s="473"/>
      <c r="M311" s="623">
        <v>0</v>
      </c>
      <c r="N311" s="623">
        <v>0</v>
      </c>
      <c r="O311" s="624">
        <v>0</v>
      </c>
      <c r="P311" s="624">
        <v>0</v>
      </c>
      <c r="Q311" s="785" t="e">
        <f t="shared" si="4"/>
        <v>#DIV/0!</v>
      </c>
      <c r="R311" s="468" t="s">
        <v>1719</v>
      </c>
      <c r="S311" s="629"/>
    </row>
    <row r="312" spans="1:19" ht="15" x14ac:dyDescent="0.25">
      <c r="A312" s="621" t="s">
        <v>351</v>
      </c>
      <c r="B312" s="466" t="s">
        <v>111</v>
      </c>
      <c r="C312" s="631" t="s">
        <v>885</v>
      </c>
      <c r="D312" s="467" t="s">
        <v>881</v>
      </c>
      <c r="E312" s="474"/>
      <c r="F312" s="469" t="s">
        <v>112</v>
      </c>
      <c r="G312" s="470" t="s">
        <v>924</v>
      </c>
      <c r="H312" s="622" t="s">
        <v>916</v>
      </c>
      <c r="I312" s="633" t="s">
        <v>116</v>
      </c>
      <c r="J312" s="471" t="s">
        <v>913</v>
      </c>
      <c r="K312" s="469">
        <v>13</v>
      </c>
      <c r="L312" s="473"/>
      <c r="M312" s="623">
        <v>5</v>
      </c>
      <c r="N312" s="623">
        <v>0</v>
      </c>
      <c r="O312" s="624">
        <v>0</v>
      </c>
      <c r="P312" s="624">
        <v>0</v>
      </c>
      <c r="Q312" s="785">
        <f t="shared" si="4"/>
        <v>0</v>
      </c>
      <c r="R312" s="468" t="s">
        <v>1719</v>
      </c>
      <c r="S312" s="629"/>
    </row>
    <row r="313" spans="1:19" ht="15" x14ac:dyDescent="0.25">
      <c r="A313" s="621" t="s">
        <v>351</v>
      </c>
      <c r="B313" s="466" t="s">
        <v>111</v>
      </c>
      <c r="C313" s="631" t="s">
        <v>885</v>
      </c>
      <c r="D313" s="467" t="s">
        <v>883</v>
      </c>
      <c r="E313" s="474" t="s">
        <v>1724</v>
      </c>
      <c r="F313" s="469" t="s">
        <v>112</v>
      </c>
      <c r="G313" s="470" t="s">
        <v>924</v>
      </c>
      <c r="H313" s="622" t="s">
        <v>916</v>
      </c>
      <c r="I313" s="633" t="s">
        <v>116</v>
      </c>
      <c r="J313" s="471" t="s">
        <v>913</v>
      </c>
      <c r="K313" s="469" t="s">
        <v>79</v>
      </c>
      <c r="L313" s="473"/>
      <c r="M313" s="623">
        <v>5</v>
      </c>
      <c r="N313" s="623">
        <v>0</v>
      </c>
      <c r="O313" s="624">
        <v>0</v>
      </c>
      <c r="P313" s="624">
        <v>0</v>
      </c>
      <c r="Q313" s="785" t="e">
        <f t="shared" si="4"/>
        <v>#VALUE!</v>
      </c>
      <c r="R313" s="468" t="s">
        <v>1719</v>
      </c>
      <c r="S313" s="629"/>
    </row>
    <row r="314" spans="1:19" ht="15" x14ac:dyDescent="0.25">
      <c r="A314" s="621" t="s">
        <v>351</v>
      </c>
      <c r="B314" s="466" t="s">
        <v>111</v>
      </c>
      <c r="C314" s="631" t="s">
        <v>885</v>
      </c>
      <c r="D314" s="467" t="s">
        <v>866</v>
      </c>
      <c r="E314" s="474" t="s">
        <v>1724</v>
      </c>
      <c r="F314" s="469" t="s">
        <v>112</v>
      </c>
      <c r="G314" s="470" t="s">
        <v>924</v>
      </c>
      <c r="H314" s="622" t="s">
        <v>916</v>
      </c>
      <c r="I314" s="633" t="s">
        <v>116</v>
      </c>
      <c r="J314" s="471" t="s">
        <v>913</v>
      </c>
      <c r="K314" s="469" t="s">
        <v>79</v>
      </c>
      <c r="L314" s="473"/>
      <c r="M314" s="623">
        <v>0</v>
      </c>
      <c r="N314" s="623">
        <v>0</v>
      </c>
      <c r="O314" s="624">
        <v>0</v>
      </c>
      <c r="P314" s="624">
        <v>0</v>
      </c>
      <c r="Q314" s="785" t="e">
        <f t="shared" si="4"/>
        <v>#VALUE!</v>
      </c>
      <c r="R314" s="468" t="s">
        <v>1719</v>
      </c>
      <c r="S314" s="629"/>
    </row>
    <row r="315" spans="1:19" ht="15" x14ac:dyDescent="0.25">
      <c r="A315" s="621" t="s">
        <v>351</v>
      </c>
      <c r="B315" s="466" t="s">
        <v>111</v>
      </c>
      <c r="C315" s="631" t="s">
        <v>885</v>
      </c>
      <c r="D315" s="467" t="s">
        <v>869</v>
      </c>
      <c r="E315" s="474"/>
      <c r="F315" s="469" t="s">
        <v>112</v>
      </c>
      <c r="G315" s="470" t="s">
        <v>924</v>
      </c>
      <c r="H315" s="622" t="s">
        <v>916</v>
      </c>
      <c r="I315" s="633" t="s">
        <v>116</v>
      </c>
      <c r="J315" s="471" t="s">
        <v>913</v>
      </c>
      <c r="K315" s="469">
        <v>25</v>
      </c>
      <c r="L315" s="473"/>
      <c r="M315" s="623">
        <v>12</v>
      </c>
      <c r="N315" s="623">
        <v>5</v>
      </c>
      <c r="O315" s="624">
        <v>0.41666666666666669</v>
      </c>
      <c r="P315" s="624">
        <v>0.41666666666666669</v>
      </c>
      <c r="Q315" s="785">
        <f t="shared" si="4"/>
        <v>1.6666666666666667</v>
      </c>
      <c r="R315" s="468" t="s">
        <v>1718</v>
      </c>
      <c r="S315" s="629"/>
    </row>
    <row r="316" spans="1:19" ht="15" x14ac:dyDescent="0.25">
      <c r="A316" s="621" t="s">
        <v>351</v>
      </c>
      <c r="B316" s="466" t="s">
        <v>111</v>
      </c>
      <c r="C316" s="631" t="s">
        <v>885</v>
      </c>
      <c r="D316" s="467" t="s">
        <v>887</v>
      </c>
      <c r="E316" s="474"/>
      <c r="F316" s="469" t="s">
        <v>112</v>
      </c>
      <c r="G316" s="470" t="s">
        <v>924</v>
      </c>
      <c r="H316" s="622" t="s">
        <v>916</v>
      </c>
      <c r="I316" s="633" t="s">
        <v>116</v>
      </c>
      <c r="J316" s="471" t="s">
        <v>913</v>
      </c>
      <c r="K316" s="469">
        <v>10</v>
      </c>
      <c r="L316" s="473"/>
      <c r="M316" s="623">
        <v>20</v>
      </c>
      <c r="N316" s="623">
        <v>8</v>
      </c>
      <c r="O316" s="624">
        <v>0.4</v>
      </c>
      <c r="P316" s="624">
        <v>0.4</v>
      </c>
      <c r="Q316" s="785">
        <f t="shared" si="4"/>
        <v>4</v>
      </c>
      <c r="R316" s="468" t="s">
        <v>1718</v>
      </c>
      <c r="S316" s="629"/>
    </row>
    <row r="317" spans="1:19" ht="15" x14ac:dyDescent="0.25">
      <c r="A317" s="621" t="s">
        <v>351</v>
      </c>
      <c r="B317" s="466" t="s">
        <v>111</v>
      </c>
      <c r="C317" s="631" t="s">
        <v>904</v>
      </c>
      <c r="D317" s="467" t="s">
        <v>881</v>
      </c>
      <c r="E317" s="474" t="s">
        <v>1718</v>
      </c>
      <c r="F317" s="469" t="s">
        <v>112</v>
      </c>
      <c r="G317" s="470" t="s">
        <v>924</v>
      </c>
      <c r="H317" s="622" t="s">
        <v>916</v>
      </c>
      <c r="I317" s="633" t="s">
        <v>116</v>
      </c>
      <c r="J317" s="471" t="s">
        <v>913</v>
      </c>
      <c r="K317" s="469" t="s">
        <v>79</v>
      </c>
      <c r="L317" s="473"/>
      <c r="M317" s="623">
        <v>0</v>
      </c>
      <c r="N317" s="623">
        <v>0</v>
      </c>
      <c r="O317" s="624">
        <v>0</v>
      </c>
      <c r="P317" s="624">
        <v>0</v>
      </c>
      <c r="Q317" s="785" t="e">
        <f t="shared" si="4"/>
        <v>#VALUE!</v>
      </c>
      <c r="R317" s="468" t="s">
        <v>1719</v>
      </c>
      <c r="S317" s="629"/>
    </row>
    <row r="318" spans="1:19" ht="15" x14ac:dyDescent="0.25">
      <c r="A318" s="621" t="s">
        <v>351</v>
      </c>
      <c r="B318" s="466" t="s">
        <v>111</v>
      </c>
      <c r="C318" s="631" t="s">
        <v>904</v>
      </c>
      <c r="D318" s="467" t="s">
        <v>883</v>
      </c>
      <c r="E318" s="474" t="s">
        <v>1725</v>
      </c>
      <c r="F318" s="469" t="s">
        <v>112</v>
      </c>
      <c r="G318" s="470" t="s">
        <v>924</v>
      </c>
      <c r="H318" s="622" t="s">
        <v>916</v>
      </c>
      <c r="I318" s="633" t="s">
        <v>116</v>
      </c>
      <c r="J318" s="471" t="s">
        <v>913</v>
      </c>
      <c r="K318" s="469" t="s">
        <v>79</v>
      </c>
      <c r="L318" s="473"/>
      <c r="M318" s="623">
        <v>1</v>
      </c>
      <c r="N318" s="623">
        <v>1</v>
      </c>
      <c r="O318" s="624">
        <v>1</v>
      </c>
      <c r="P318" s="624">
        <v>1</v>
      </c>
      <c r="Q318" s="785" t="e">
        <f t="shared" si="4"/>
        <v>#VALUE!</v>
      </c>
      <c r="R318" s="468" t="s">
        <v>1718</v>
      </c>
      <c r="S318" s="629"/>
    </row>
    <row r="319" spans="1:19" ht="15" x14ac:dyDescent="0.25">
      <c r="A319" s="621" t="s">
        <v>351</v>
      </c>
      <c r="B319" s="466" t="s">
        <v>111</v>
      </c>
      <c r="C319" s="631" t="s">
        <v>740</v>
      </c>
      <c r="D319" s="467" t="s">
        <v>889</v>
      </c>
      <c r="E319" s="474"/>
      <c r="F319" s="469" t="s">
        <v>112</v>
      </c>
      <c r="G319" s="470" t="s">
        <v>924</v>
      </c>
      <c r="H319" s="622" t="s">
        <v>917</v>
      </c>
      <c r="I319" s="633" t="s">
        <v>116</v>
      </c>
      <c r="J319" s="471" t="s">
        <v>913</v>
      </c>
      <c r="K319" s="469">
        <v>38</v>
      </c>
      <c r="L319" s="473"/>
      <c r="M319" s="623">
        <v>37</v>
      </c>
      <c r="N319" s="623">
        <v>3</v>
      </c>
      <c r="O319" s="624">
        <v>8.1081081081081086E-2</v>
      </c>
      <c r="P319" s="624">
        <v>8.1081081081081086E-2</v>
      </c>
      <c r="Q319" s="785">
        <f t="shared" si="4"/>
        <v>0.21337126600284495</v>
      </c>
      <c r="R319" s="468" t="s">
        <v>1718</v>
      </c>
      <c r="S319" s="629"/>
    </row>
    <row r="320" spans="1:19" ht="15" x14ac:dyDescent="0.25">
      <c r="A320" s="621" t="s">
        <v>351</v>
      </c>
      <c r="B320" s="466" t="s">
        <v>111</v>
      </c>
      <c r="C320" s="631" t="s">
        <v>740</v>
      </c>
      <c r="D320" s="467" t="s">
        <v>881</v>
      </c>
      <c r="E320" s="474" t="s">
        <v>1726</v>
      </c>
      <c r="F320" s="469" t="s">
        <v>112</v>
      </c>
      <c r="G320" s="470" t="s">
        <v>924</v>
      </c>
      <c r="H320" s="622" t="s">
        <v>916</v>
      </c>
      <c r="I320" s="633" t="s">
        <v>116</v>
      </c>
      <c r="J320" s="471" t="s">
        <v>913</v>
      </c>
      <c r="K320" s="469" t="s">
        <v>79</v>
      </c>
      <c r="L320" s="473"/>
      <c r="M320" s="623">
        <v>4</v>
      </c>
      <c r="N320" s="623">
        <v>0</v>
      </c>
      <c r="O320" s="624">
        <v>0</v>
      </c>
      <c r="P320" s="624">
        <v>0</v>
      </c>
      <c r="Q320" s="785" t="e">
        <f t="shared" si="4"/>
        <v>#VALUE!</v>
      </c>
      <c r="R320" s="468" t="s">
        <v>1719</v>
      </c>
      <c r="S320" s="629"/>
    </row>
    <row r="321" spans="1:19" ht="15" x14ac:dyDescent="0.25">
      <c r="A321" s="621" t="s">
        <v>351</v>
      </c>
      <c r="B321" s="466" t="s">
        <v>111</v>
      </c>
      <c r="C321" s="631" t="s">
        <v>740</v>
      </c>
      <c r="D321" s="467" t="s">
        <v>883</v>
      </c>
      <c r="E321" s="474" t="s">
        <v>1726</v>
      </c>
      <c r="F321" s="469" t="s">
        <v>112</v>
      </c>
      <c r="G321" s="470" t="s">
        <v>924</v>
      </c>
      <c r="H321" s="622" t="s">
        <v>916</v>
      </c>
      <c r="I321" s="633" t="s">
        <v>116</v>
      </c>
      <c r="J321" s="471" t="s">
        <v>913</v>
      </c>
      <c r="K321" s="469" t="s">
        <v>79</v>
      </c>
      <c r="L321" s="473"/>
      <c r="M321" s="623">
        <v>0</v>
      </c>
      <c r="N321" s="623">
        <v>0</v>
      </c>
      <c r="O321" s="624">
        <v>0</v>
      </c>
      <c r="P321" s="624">
        <v>0</v>
      </c>
      <c r="Q321" s="785" t="e">
        <f t="shared" si="4"/>
        <v>#VALUE!</v>
      </c>
      <c r="R321" s="468" t="s">
        <v>1719</v>
      </c>
      <c r="S321" s="629"/>
    </row>
    <row r="322" spans="1:19" ht="15" x14ac:dyDescent="0.25">
      <c r="A322" s="621" t="s">
        <v>351</v>
      </c>
      <c r="B322" s="466" t="s">
        <v>111</v>
      </c>
      <c r="C322" s="631" t="s">
        <v>894</v>
      </c>
      <c r="D322" s="467" t="s">
        <v>889</v>
      </c>
      <c r="E322" s="474"/>
      <c r="F322" s="469" t="s">
        <v>112</v>
      </c>
      <c r="G322" s="470" t="s">
        <v>924</v>
      </c>
      <c r="H322" s="622" t="s">
        <v>917</v>
      </c>
      <c r="I322" s="633" t="s">
        <v>116</v>
      </c>
      <c r="J322" s="471" t="s">
        <v>913</v>
      </c>
      <c r="K322" s="469">
        <v>5</v>
      </c>
      <c r="L322" s="473"/>
      <c r="M322" s="623">
        <v>543</v>
      </c>
      <c r="N322" s="623">
        <v>32</v>
      </c>
      <c r="O322" s="624">
        <v>5.8931860036832415E-2</v>
      </c>
      <c r="P322" s="624">
        <v>5.8931860036832415E-2</v>
      </c>
      <c r="Q322" s="785">
        <f t="shared" si="4"/>
        <v>1.1786372007366483</v>
      </c>
      <c r="R322" s="468" t="s">
        <v>1718</v>
      </c>
      <c r="S322" s="629"/>
    </row>
    <row r="323" spans="1:19" ht="15" x14ac:dyDescent="0.25">
      <c r="A323" s="621" t="s">
        <v>351</v>
      </c>
      <c r="B323" s="466" t="s">
        <v>111</v>
      </c>
      <c r="C323" s="631" t="s">
        <v>894</v>
      </c>
      <c r="D323" s="467" t="s">
        <v>881</v>
      </c>
      <c r="E323" s="474"/>
      <c r="F323" s="469" t="s">
        <v>112</v>
      </c>
      <c r="G323" s="470" t="s">
        <v>924</v>
      </c>
      <c r="H323" s="622" t="s">
        <v>916</v>
      </c>
      <c r="I323" s="633" t="s">
        <v>116</v>
      </c>
      <c r="J323" s="471" t="s">
        <v>913</v>
      </c>
      <c r="K323" s="469">
        <v>32</v>
      </c>
      <c r="L323" s="473"/>
      <c r="M323" s="623">
        <v>78</v>
      </c>
      <c r="N323" s="623">
        <v>28</v>
      </c>
      <c r="O323" s="624">
        <v>0.35897435897435898</v>
      </c>
      <c r="P323" s="624">
        <v>0.35897435897435898</v>
      </c>
      <c r="Q323" s="785">
        <f t="shared" si="4"/>
        <v>1.1217948717948718</v>
      </c>
      <c r="R323" s="468" t="s">
        <v>1718</v>
      </c>
      <c r="S323" s="629"/>
    </row>
    <row r="324" spans="1:19" ht="15" x14ac:dyDescent="0.25">
      <c r="A324" s="621" t="s">
        <v>351</v>
      </c>
      <c r="B324" s="466" t="s">
        <v>111</v>
      </c>
      <c r="C324" s="631" t="s">
        <v>894</v>
      </c>
      <c r="D324" s="467" t="s">
        <v>883</v>
      </c>
      <c r="E324" s="474" t="s">
        <v>1727</v>
      </c>
      <c r="F324" s="469" t="s">
        <v>112</v>
      </c>
      <c r="G324" s="470" t="s">
        <v>924</v>
      </c>
      <c r="H324" s="622" t="s">
        <v>916</v>
      </c>
      <c r="I324" s="633" t="s">
        <v>116</v>
      </c>
      <c r="J324" s="471" t="s">
        <v>913</v>
      </c>
      <c r="K324" s="469">
        <v>33</v>
      </c>
      <c r="L324" s="473"/>
      <c r="M324" s="623">
        <v>25</v>
      </c>
      <c r="N324" s="623">
        <v>9</v>
      </c>
      <c r="O324" s="624">
        <v>0.36</v>
      </c>
      <c r="P324" s="624">
        <v>0.36</v>
      </c>
      <c r="Q324" s="785">
        <f t="shared" si="4"/>
        <v>1.0909090909090908</v>
      </c>
      <c r="R324" s="468" t="s">
        <v>1718</v>
      </c>
      <c r="S324" s="629"/>
    </row>
    <row r="325" spans="1:19" ht="15" x14ac:dyDescent="0.25">
      <c r="A325" s="621" t="s">
        <v>351</v>
      </c>
      <c r="B325" s="466" t="s">
        <v>111</v>
      </c>
      <c r="C325" s="631" t="s">
        <v>894</v>
      </c>
      <c r="D325" s="467" t="s">
        <v>869</v>
      </c>
      <c r="E325" s="474" t="s">
        <v>1727</v>
      </c>
      <c r="F325" s="469" t="s">
        <v>112</v>
      </c>
      <c r="G325" s="470" t="s">
        <v>924</v>
      </c>
      <c r="H325" s="622" t="s">
        <v>916</v>
      </c>
      <c r="I325" s="633" t="s">
        <v>116</v>
      </c>
      <c r="J325" s="471" t="s">
        <v>913</v>
      </c>
      <c r="K325" s="469" t="s">
        <v>79</v>
      </c>
      <c r="L325" s="473"/>
      <c r="M325" s="623">
        <v>0</v>
      </c>
      <c r="N325" s="623">
        <v>0</v>
      </c>
      <c r="O325" s="624">
        <v>0</v>
      </c>
      <c r="P325" s="624">
        <v>0</v>
      </c>
      <c r="Q325" s="785" t="e">
        <f t="shared" si="4"/>
        <v>#VALUE!</v>
      </c>
      <c r="R325" s="468" t="s">
        <v>1719</v>
      </c>
      <c r="S325" s="629"/>
    </row>
    <row r="326" spans="1:19" ht="15" x14ac:dyDescent="0.25">
      <c r="A326" s="621" t="s">
        <v>351</v>
      </c>
      <c r="B326" s="466" t="s">
        <v>111</v>
      </c>
      <c r="C326" s="631" t="s">
        <v>99</v>
      </c>
      <c r="D326" s="467" t="s">
        <v>866</v>
      </c>
      <c r="E326" s="474" t="s">
        <v>1720</v>
      </c>
      <c r="F326" s="469" t="s">
        <v>112</v>
      </c>
      <c r="G326" s="470" t="s">
        <v>925</v>
      </c>
      <c r="H326" s="622" t="s">
        <v>916</v>
      </c>
      <c r="I326" s="633" t="s">
        <v>116</v>
      </c>
      <c r="J326" s="471" t="s">
        <v>913</v>
      </c>
      <c r="K326" s="469">
        <v>33</v>
      </c>
      <c r="L326" s="473"/>
      <c r="M326" s="623">
        <v>0</v>
      </c>
      <c r="N326" s="623">
        <v>0</v>
      </c>
      <c r="O326" s="624">
        <v>0</v>
      </c>
      <c r="P326" s="624">
        <v>0</v>
      </c>
      <c r="Q326" s="785" t="e">
        <f t="shared" ref="Q326:Q389" si="5">N326/(M326*K326/100)</f>
        <v>#DIV/0!</v>
      </c>
      <c r="R326" s="468" t="s">
        <v>1719</v>
      </c>
      <c r="S326" s="629"/>
    </row>
    <row r="327" spans="1:19" ht="15" x14ac:dyDescent="0.25">
      <c r="A327" s="621" t="s">
        <v>351</v>
      </c>
      <c r="B327" s="466" t="s">
        <v>111</v>
      </c>
      <c r="C327" s="631" t="s">
        <v>99</v>
      </c>
      <c r="D327" s="467" t="s">
        <v>869</v>
      </c>
      <c r="E327" s="474" t="s">
        <v>1720</v>
      </c>
      <c r="F327" s="469" t="s">
        <v>112</v>
      </c>
      <c r="G327" s="470" t="s">
        <v>925</v>
      </c>
      <c r="H327" s="622" t="s">
        <v>916</v>
      </c>
      <c r="I327" s="633" t="s">
        <v>116</v>
      </c>
      <c r="J327" s="471" t="s">
        <v>913</v>
      </c>
      <c r="K327" s="469">
        <v>33</v>
      </c>
      <c r="L327" s="473"/>
      <c r="M327" s="623">
        <v>14</v>
      </c>
      <c r="N327" s="623">
        <v>2</v>
      </c>
      <c r="O327" s="624">
        <v>0.14285714285714285</v>
      </c>
      <c r="P327" s="624">
        <v>0.14285714285714285</v>
      </c>
      <c r="Q327" s="785">
        <f t="shared" si="5"/>
        <v>0.4329004329004329</v>
      </c>
      <c r="R327" s="468" t="s">
        <v>1718</v>
      </c>
      <c r="S327" s="629"/>
    </row>
    <row r="328" spans="1:19" ht="15" x14ac:dyDescent="0.25">
      <c r="A328" s="621" t="s">
        <v>351</v>
      </c>
      <c r="B328" s="466" t="s">
        <v>111</v>
      </c>
      <c r="C328" s="631" t="s">
        <v>870</v>
      </c>
      <c r="D328" s="467" t="s">
        <v>889</v>
      </c>
      <c r="E328" s="474"/>
      <c r="F328" s="469" t="s">
        <v>112</v>
      </c>
      <c r="G328" s="470" t="s">
        <v>925</v>
      </c>
      <c r="H328" s="622" t="s">
        <v>917</v>
      </c>
      <c r="I328" s="633" t="s">
        <v>116</v>
      </c>
      <c r="J328" s="471" t="s">
        <v>913</v>
      </c>
      <c r="K328" s="469">
        <v>16</v>
      </c>
      <c r="L328" s="473"/>
      <c r="M328" s="623">
        <v>50</v>
      </c>
      <c r="N328" s="623">
        <v>4</v>
      </c>
      <c r="O328" s="624">
        <v>0.08</v>
      </c>
      <c r="P328" s="624">
        <v>0.08</v>
      </c>
      <c r="Q328" s="785">
        <f t="shared" si="5"/>
        <v>0.5</v>
      </c>
      <c r="R328" s="468" t="s">
        <v>1718</v>
      </c>
      <c r="S328" s="629"/>
    </row>
    <row r="329" spans="1:19" ht="15" x14ac:dyDescent="0.25">
      <c r="A329" s="621" t="s">
        <v>351</v>
      </c>
      <c r="B329" s="466" t="s">
        <v>111</v>
      </c>
      <c r="C329" s="631" t="s">
        <v>870</v>
      </c>
      <c r="D329" s="467" t="s">
        <v>881</v>
      </c>
      <c r="E329" s="474"/>
      <c r="F329" s="469" t="s">
        <v>112</v>
      </c>
      <c r="G329" s="470" t="s">
        <v>925</v>
      </c>
      <c r="H329" s="622" t="s">
        <v>916</v>
      </c>
      <c r="I329" s="633" t="s">
        <v>116</v>
      </c>
      <c r="J329" s="471" t="s">
        <v>913</v>
      </c>
      <c r="K329" s="469">
        <v>16</v>
      </c>
      <c r="L329" s="473"/>
      <c r="M329" s="623">
        <v>19</v>
      </c>
      <c r="N329" s="623">
        <v>3</v>
      </c>
      <c r="O329" s="624">
        <v>0.15789473684210525</v>
      </c>
      <c r="P329" s="624">
        <v>0.15789473684210525</v>
      </c>
      <c r="Q329" s="785">
        <f t="shared" si="5"/>
        <v>0.98684210526315785</v>
      </c>
      <c r="R329" s="468" t="s">
        <v>1718</v>
      </c>
      <c r="S329" s="629"/>
    </row>
    <row r="330" spans="1:19" ht="15" x14ac:dyDescent="0.25">
      <c r="A330" s="621" t="s">
        <v>351</v>
      </c>
      <c r="B330" s="466" t="s">
        <v>111</v>
      </c>
      <c r="C330" s="631" t="s">
        <v>870</v>
      </c>
      <c r="D330" s="467" t="s">
        <v>883</v>
      </c>
      <c r="E330" s="474"/>
      <c r="F330" s="469" t="s">
        <v>112</v>
      </c>
      <c r="G330" s="470" t="s">
        <v>925</v>
      </c>
      <c r="H330" s="622" t="s">
        <v>916</v>
      </c>
      <c r="I330" s="633" t="s">
        <v>116</v>
      </c>
      <c r="J330" s="471" t="s">
        <v>913</v>
      </c>
      <c r="K330" s="469">
        <v>6</v>
      </c>
      <c r="L330" s="473"/>
      <c r="M330" s="623">
        <v>39</v>
      </c>
      <c r="N330" s="623">
        <v>9</v>
      </c>
      <c r="O330" s="624">
        <v>0.23076923076923078</v>
      </c>
      <c r="P330" s="624">
        <v>0.23076923076923078</v>
      </c>
      <c r="Q330" s="785">
        <f t="shared" si="5"/>
        <v>3.8461538461538463</v>
      </c>
      <c r="R330" s="468" t="s">
        <v>1718</v>
      </c>
      <c r="S330" s="629"/>
    </row>
    <row r="331" spans="1:19" ht="15" x14ac:dyDescent="0.25">
      <c r="A331" s="621" t="s">
        <v>351</v>
      </c>
      <c r="B331" s="466" t="s">
        <v>111</v>
      </c>
      <c r="C331" s="631" t="s">
        <v>870</v>
      </c>
      <c r="D331" s="467" t="s">
        <v>866</v>
      </c>
      <c r="E331" s="474"/>
      <c r="F331" s="469" t="s">
        <v>112</v>
      </c>
      <c r="G331" s="470" t="s">
        <v>925</v>
      </c>
      <c r="H331" s="622" t="s">
        <v>916</v>
      </c>
      <c r="I331" s="633" t="s">
        <v>116</v>
      </c>
      <c r="J331" s="471" t="s">
        <v>913</v>
      </c>
      <c r="K331" s="469">
        <v>8</v>
      </c>
      <c r="L331" s="473"/>
      <c r="M331" s="623">
        <v>67</v>
      </c>
      <c r="N331" s="623">
        <v>17</v>
      </c>
      <c r="O331" s="624">
        <v>0.2537313432835821</v>
      </c>
      <c r="P331" s="624">
        <v>0.2537313432835821</v>
      </c>
      <c r="Q331" s="785">
        <f t="shared" si="5"/>
        <v>3.1716417910447761</v>
      </c>
      <c r="R331" s="468" t="s">
        <v>1718</v>
      </c>
      <c r="S331" s="629"/>
    </row>
    <row r="332" spans="1:19" ht="15" x14ac:dyDescent="0.25">
      <c r="A332" s="621" t="s">
        <v>351</v>
      </c>
      <c r="B332" s="466" t="s">
        <v>111</v>
      </c>
      <c r="C332" s="631" t="s">
        <v>870</v>
      </c>
      <c r="D332" s="467" t="s">
        <v>869</v>
      </c>
      <c r="E332" s="474"/>
      <c r="F332" s="469" t="s">
        <v>112</v>
      </c>
      <c r="G332" s="470" t="s">
        <v>925</v>
      </c>
      <c r="H332" s="622" t="s">
        <v>916</v>
      </c>
      <c r="I332" s="633" t="s">
        <v>116</v>
      </c>
      <c r="J332" s="471" t="s">
        <v>913</v>
      </c>
      <c r="K332" s="469">
        <v>5</v>
      </c>
      <c r="L332" s="473"/>
      <c r="M332" s="623">
        <v>46</v>
      </c>
      <c r="N332" s="623">
        <v>18</v>
      </c>
      <c r="O332" s="624">
        <v>0.39130434782608697</v>
      </c>
      <c r="P332" s="624">
        <v>0.39130434782608697</v>
      </c>
      <c r="Q332" s="785">
        <f t="shared" si="5"/>
        <v>7.8260869565217401</v>
      </c>
      <c r="R332" s="468" t="s">
        <v>1718</v>
      </c>
      <c r="S332" s="629"/>
    </row>
    <row r="333" spans="1:19" ht="15" x14ac:dyDescent="0.25">
      <c r="A333" s="621" t="s">
        <v>351</v>
      </c>
      <c r="B333" s="466" t="s">
        <v>111</v>
      </c>
      <c r="C333" s="631" t="s">
        <v>738</v>
      </c>
      <c r="D333" s="467" t="s">
        <v>889</v>
      </c>
      <c r="E333" s="474"/>
      <c r="F333" s="469" t="s">
        <v>112</v>
      </c>
      <c r="G333" s="470" t="s">
        <v>925</v>
      </c>
      <c r="H333" s="622" t="s">
        <v>917</v>
      </c>
      <c r="I333" s="633" t="s">
        <v>116</v>
      </c>
      <c r="J333" s="471" t="s">
        <v>913</v>
      </c>
      <c r="K333" s="469">
        <v>29</v>
      </c>
      <c r="L333" s="473"/>
      <c r="M333" s="623">
        <v>156</v>
      </c>
      <c r="N333" s="623">
        <v>7</v>
      </c>
      <c r="O333" s="624">
        <v>4.4871794871794872E-2</v>
      </c>
      <c r="P333" s="624">
        <v>4.4871794871794872E-2</v>
      </c>
      <c r="Q333" s="785">
        <f t="shared" si="5"/>
        <v>0.15473032714412024</v>
      </c>
      <c r="R333" s="468" t="s">
        <v>1718</v>
      </c>
      <c r="S333" s="629"/>
    </row>
    <row r="334" spans="1:19" ht="15" x14ac:dyDescent="0.25">
      <c r="A334" s="621" t="s">
        <v>351</v>
      </c>
      <c r="B334" s="466" t="s">
        <v>111</v>
      </c>
      <c r="C334" s="631" t="s">
        <v>738</v>
      </c>
      <c r="D334" s="467" t="s">
        <v>881</v>
      </c>
      <c r="E334" s="474" t="s">
        <v>1721</v>
      </c>
      <c r="F334" s="469" t="s">
        <v>112</v>
      </c>
      <c r="G334" s="470" t="s">
        <v>925</v>
      </c>
      <c r="H334" s="622" t="s">
        <v>916</v>
      </c>
      <c r="I334" s="633" t="s">
        <v>116</v>
      </c>
      <c r="J334" s="471" t="s">
        <v>913</v>
      </c>
      <c r="K334" s="469">
        <v>8</v>
      </c>
      <c r="L334" s="473"/>
      <c r="M334" s="623">
        <v>54</v>
      </c>
      <c r="N334" s="623">
        <v>6</v>
      </c>
      <c r="O334" s="624">
        <v>0.1111111111111111</v>
      </c>
      <c r="P334" s="624">
        <v>0.1111111111111111</v>
      </c>
      <c r="Q334" s="785">
        <f t="shared" si="5"/>
        <v>1.3888888888888888</v>
      </c>
      <c r="R334" s="468" t="s">
        <v>1718</v>
      </c>
      <c r="S334" s="629"/>
    </row>
    <row r="335" spans="1:19" ht="15" x14ac:dyDescent="0.25">
      <c r="A335" s="621" t="s">
        <v>351</v>
      </c>
      <c r="B335" s="466" t="s">
        <v>111</v>
      </c>
      <c r="C335" s="631" t="s">
        <v>738</v>
      </c>
      <c r="D335" s="467" t="s">
        <v>883</v>
      </c>
      <c r="E335" s="474" t="s">
        <v>1721</v>
      </c>
      <c r="F335" s="469" t="s">
        <v>112</v>
      </c>
      <c r="G335" s="470" t="s">
        <v>925</v>
      </c>
      <c r="H335" s="622" t="s">
        <v>916</v>
      </c>
      <c r="I335" s="633" t="s">
        <v>116</v>
      </c>
      <c r="J335" s="471" t="s">
        <v>913</v>
      </c>
      <c r="K335" s="469">
        <v>8</v>
      </c>
      <c r="L335" s="473"/>
      <c r="M335" s="623">
        <v>0</v>
      </c>
      <c r="N335" s="623">
        <v>0</v>
      </c>
      <c r="O335" s="624">
        <v>0</v>
      </c>
      <c r="P335" s="624">
        <v>0</v>
      </c>
      <c r="Q335" s="785" t="e">
        <f t="shared" si="5"/>
        <v>#DIV/0!</v>
      </c>
      <c r="R335" s="468" t="s">
        <v>1719</v>
      </c>
      <c r="S335" s="629"/>
    </row>
    <row r="336" spans="1:19" ht="15" x14ac:dyDescent="0.25">
      <c r="A336" s="621" t="s">
        <v>351</v>
      </c>
      <c r="B336" s="466" t="s">
        <v>111</v>
      </c>
      <c r="C336" s="631" t="s">
        <v>738</v>
      </c>
      <c r="D336" s="467" t="s">
        <v>866</v>
      </c>
      <c r="E336" s="474" t="s">
        <v>1722</v>
      </c>
      <c r="F336" s="469" t="s">
        <v>112</v>
      </c>
      <c r="G336" s="470" t="s">
        <v>925</v>
      </c>
      <c r="H336" s="622" t="s">
        <v>916</v>
      </c>
      <c r="I336" s="633" t="s">
        <v>116</v>
      </c>
      <c r="J336" s="471" t="s">
        <v>913</v>
      </c>
      <c r="K336" s="469">
        <v>8</v>
      </c>
      <c r="L336" s="473"/>
      <c r="M336" s="623">
        <v>0</v>
      </c>
      <c r="N336" s="623">
        <v>1</v>
      </c>
      <c r="O336" s="624">
        <v>0</v>
      </c>
      <c r="P336" s="624">
        <v>0</v>
      </c>
      <c r="Q336" s="785" t="e">
        <f t="shared" si="5"/>
        <v>#DIV/0!</v>
      </c>
      <c r="R336" s="468" t="s">
        <v>1719</v>
      </c>
      <c r="S336" s="629"/>
    </row>
    <row r="337" spans="1:19" ht="15" x14ac:dyDescent="0.25">
      <c r="A337" s="621" t="s">
        <v>351</v>
      </c>
      <c r="B337" s="466" t="s">
        <v>111</v>
      </c>
      <c r="C337" s="631" t="s">
        <v>738</v>
      </c>
      <c r="D337" s="467" t="s">
        <v>869</v>
      </c>
      <c r="E337" s="474" t="s">
        <v>1722</v>
      </c>
      <c r="F337" s="469" t="s">
        <v>112</v>
      </c>
      <c r="G337" s="470" t="s">
        <v>925</v>
      </c>
      <c r="H337" s="622" t="s">
        <v>916</v>
      </c>
      <c r="I337" s="633" t="s">
        <v>116</v>
      </c>
      <c r="J337" s="471" t="s">
        <v>913</v>
      </c>
      <c r="K337" s="469">
        <v>8</v>
      </c>
      <c r="L337" s="473"/>
      <c r="M337" s="623">
        <v>7</v>
      </c>
      <c r="N337" s="623">
        <v>2</v>
      </c>
      <c r="O337" s="624">
        <v>0.2857142857142857</v>
      </c>
      <c r="P337" s="624">
        <v>0.2857142857142857</v>
      </c>
      <c r="Q337" s="785">
        <f t="shared" si="5"/>
        <v>3.5714285714285712</v>
      </c>
      <c r="R337" s="468" t="s">
        <v>1718</v>
      </c>
      <c r="S337" s="629"/>
    </row>
    <row r="338" spans="1:19" ht="15" x14ac:dyDescent="0.25">
      <c r="A338" s="621" t="s">
        <v>351</v>
      </c>
      <c r="B338" s="466" t="s">
        <v>111</v>
      </c>
      <c r="C338" s="631" t="s">
        <v>101</v>
      </c>
      <c r="D338" s="467" t="s">
        <v>889</v>
      </c>
      <c r="E338" s="474"/>
      <c r="F338" s="469" t="s">
        <v>112</v>
      </c>
      <c r="G338" s="470" t="s">
        <v>925</v>
      </c>
      <c r="H338" s="622" t="s">
        <v>917</v>
      </c>
      <c r="I338" s="633" t="s">
        <v>116</v>
      </c>
      <c r="J338" s="471" t="s">
        <v>913</v>
      </c>
      <c r="K338" s="469">
        <v>17</v>
      </c>
      <c r="L338" s="473"/>
      <c r="M338" s="623">
        <v>112</v>
      </c>
      <c r="N338" s="623">
        <v>19</v>
      </c>
      <c r="O338" s="624">
        <v>0.16964285714285715</v>
      </c>
      <c r="P338" s="624">
        <v>0.16964285714285715</v>
      </c>
      <c r="Q338" s="785">
        <f t="shared" si="5"/>
        <v>0.99789915966386555</v>
      </c>
      <c r="R338" s="468" t="s">
        <v>1718</v>
      </c>
      <c r="S338" s="629"/>
    </row>
    <row r="339" spans="1:19" ht="15" x14ac:dyDescent="0.25">
      <c r="A339" s="621" t="s">
        <v>351</v>
      </c>
      <c r="B339" s="466" t="s">
        <v>111</v>
      </c>
      <c r="C339" s="631" t="s">
        <v>101</v>
      </c>
      <c r="D339" s="467" t="s">
        <v>881</v>
      </c>
      <c r="E339" s="474"/>
      <c r="F339" s="469" t="s">
        <v>112</v>
      </c>
      <c r="G339" s="470" t="s">
        <v>925</v>
      </c>
      <c r="H339" s="622" t="s">
        <v>916</v>
      </c>
      <c r="I339" s="633" t="s">
        <v>116</v>
      </c>
      <c r="J339" s="471" t="s">
        <v>913</v>
      </c>
      <c r="K339" s="469">
        <v>36</v>
      </c>
      <c r="L339" s="473"/>
      <c r="M339" s="623">
        <v>9</v>
      </c>
      <c r="N339" s="623">
        <v>2</v>
      </c>
      <c r="O339" s="624">
        <v>0.22222222222222221</v>
      </c>
      <c r="P339" s="624">
        <v>0.22222222222222221</v>
      </c>
      <c r="Q339" s="785">
        <f t="shared" si="5"/>
        <v>0.61728395061728392</v>
      </c>
      <c r="R339" s="468" t="s">
        <v>1718</v>
      </c>
      <c r="S339" s="629"/>
    </row>
    <row r="340" spans="1:19" ht="15" x14ac:dyDescent="0.25">
      <c r="A340" s="621" t="s">
        <v>351</v>
      </c>
      <c r="B340" s="466" t="s">
        <v>111</v>
      </c>
      <c r="C340" s="631" t="s">
        <v>101</v>
      </c>
      <c r="D340" s="467" t="s">
        <v>883</v>
      </c>
      <c r="E340" s="474" t="s">
        <v>1723</v>
      </c>
      <c r="F340" s="469" t="s">
        <v>112</v>
      </c>
      <c r="G340" s="470" t="s">
        <v>925</v>
      </c>
      <c r="H340" s="622" t="s">
        <v>916</v>
      </c>
      <c r="I340" s="633" t="s">
        <v>116</v>
      </c>
      <c r="J340" s="471" t="s">
        <v>913</v>
      </c>
      <c r="K340" s="469">
        <v>80</v>
      </c>
      <c r="L340" s="473"/>
      <c r="M340" s="623">
        <v>0</v>
      </c>
      <c r="N340" s="623">
        <v>0</v>
      </c>
      <c r="O340" s="624">
        <v>0</v>
      </c>
      <c r="P340" s="624">
        <v>0</v>
      </c>
      <c r="Q340" s="785" t="e">
        <f t="shared" si="5"/>
        <v>#DIV/0!</v>
      </c>
      <c r="R340" s="468" t="s">
        <v>1719</v>
      </c>
      <c r="S340" s="629"/>
    </row>
    <row r="341" spans="1:19" ht="15" x14ac:dyDescent="0.25">
      <c r="A341" s="621" t="s">
        <v>351</v>
      </c>
      <c r="B341" s="466" t="s">
        <v>111</v>
      </c>
      <c r="C341" s="631" t="s">
        <v>101</v>
      </c>
      <c r="D341" s="467" t="s">
        <v>866</v>
      </c>
      <c r="E341" s="474" t="s">
        <v>1723</v>
      </c>
      <c r="F341" s="469" t="s">
        <v>112</v>
      </c>
      <c r="G341" s="470" t="s">
        <v>925</v>
      </c>
      <c r="H341" s="622" t="s">
        <v>916</v>
      </c>
      <c r="I341" s="633" t="s">
        <v>116</v>
      </c>
      <c r="J341" s="471" t="s">
        <v>913</v>
      </c>
      <c r="K341" s="469" t="s">
        <v>79</v>
      </c>
      <c r="L341" s="473"/>
      <c r="M341" s="623">
        <v>13</v>
      </c>
      <c r="N341" s="623">
        <v>2</v>
      </c>
      <c r="O341" s="624">
        <v>0.15384615384615385</v>
      </c>
      <c r="P341" s="624">
        <v>0.15384615384615385</v>
      </c>
      <c r="Q341" s="785" t="e">
        <f t="shared" si="5"/>
        <v>#VALUE!</v>
      </c>
      <c r="R341" s="468" t="s">
        <v>1718</v>
      </c>
      <c r="S341" s="629"/>
    </row>
    <row r="342" spans="1:19" ht="15" x14ac:dyDescent="0.25">
      <c r="A342" s="621" t="s">
        <v>351</v>
      </c>
      <c r="B342" s="466" t="s">
        <v>111</v>
      </c>
      <c r="C342" s="631" t="s">
        <v>101</v>
      </c>
      <c r="D342" s="467" t="s">
        <v>869</v>
      </c>
      <c r="E342" s="474" t="s">
        <v>1723</v>
      </c>
      <c r="F342" s="469" t="s">
        <v>112</v>
      </c>
      <c r="G342" s="470" t="s">
        <v>925</v>
      </c>
      <c r="H342" s="622" t="s">
        <v>916</v>
      </c>
      <c r="I342" s="633" t="s">
        <v>116</v>
      </c>
      <c r="J342" s="471" t="s">
        <v>913</v>
      </c>
      <c r="K342" s="469" t="s">
        <v>79</v>
      </c>
      <c r="L342" s="473"/>
      <c r="M342" s="623">
        <v>0</v>
      </c>
      <c r="N342" s="623">
        <v>0</v>
      </c>
      <c r="O342" s="624">
        <v>0</v>
      </c>
      <c r="P342" s="624">
        <v>0</v>
      </c>
      <c r="Q342" s="785" t="e">
        <f t="shared" si="5"/>
        <v>#VALUE!</v>
      </c>
      <c r="R342" s="468" t="s">
        <v>1719</v>
      </c>
      <c r="S342" s="629"/>
    </row>
    <row r="343" spans="1:19" ht="15" x14ac:dyDescent="0.25">
      <c r="A343" s="621" t="s">
        <v>351</v>
      </c>
      <c r="B343" s="466" t="s">
        <v>111</v>
      </c>
      <c r="C343" s="631" t="s">
        <v>885</v>
      </c>
      <c r="D343" s="467" t="s">
        <v>889</v>
      </c>
      <c r="E343" s="474"/>
      <c r="F343" s="469" t="s">
        <v>112</v>
      </c>
      <c r="G343" s="470" t="s">
        <v>925</v>
      </c>
      <c r="H343" s="622" t="s">
        <v>917</v>
      </c>
      <c r="I343" s="633" t="s">
        <v>116</v>
      </c>
      <c r="J343" s="471" t="s">
        <v>913</v>
      </c>
      <c r="K343" s="469">
        <v>13</v>
      </c>
      <c r="L343" s="473"/>
      <c r="M343" s="623">
        <v>0</v>
      </c>
      <c r="N343" s="623">
        <v>0</v>
      </c>
      <c r="O343" s="624">
        <v>0</v>
      </c>
      <c r="P343" s="624">
        <v>0</v>
      </c>
      <c r="Q343" s="785" t="e">
        <f t="shared" si="5"/>
        <v>#DIV/0!</v>
      </c>
      <c r="R343" s="468" t="s">
        <v>1719</v>
      </c>
      <c r="S343" s="629"/>
    </row>
    <row r="344" spans="1:19" ht="15" x14ac:dyDescent="0.25">
      <c r="A344" s="621" t="s">
        <v>351</v>
      </c>
      <c r="B344" s="466" t="s">
        <v>111</v>
      </c>
      <c r="C344" s="631" t="s">
        <v>885</v>
      </c>
      <c r="D344" s="467" t="s">
        <v>881</v>
      </c>
      <c r="E344" s="474"/>
      <c r="F344" s="469" t="s">
        <v>112</v>
      </c>
      <c r="G344" s="470" t="s">
        <v>925</v>
      </c>
      <c r="H344" s="622" t="s">
        <v>916</v>
      </c>
      <c r="I344" s="633" t="s">
        <v>116</v>
      </c>
      <c r="J344" s="471" t="s">
        <v>913</v>
      </c>
      <c r="K344" s="469">
        <v>13</v>
      </c>
      <c r="L344" s="473"/>
      <c r="M344" s="623">
        <v>5</v>
      </c>
      <c r="N344" s="623">
        <v>0</v>
      </c>
      <c r="O344" s="624">
        <v>0</v>
      </c>
      <c r="P344" s="624">
        <v>0</v>
      </c>
      <c r="Q344" s="785">
        <f t="shared" si="5"/>
        <v>0</v>
      </c>
      <c r="R344" s="468" t="s">
        <v>1719</v>
      </c>
      <c r="S344" s="629"/>
    </row>
    <row r="345" spans="1:19" ht="15" x14ac:dyDescent="0.25">
      <c r="A345" s="621" t="s">
        <v>351</v>
      </c>
      <c r="B345" s="466" t="s">
        <v>111</v>
      </c>
      <c r="C345" s="631" t="s">
        <v>885</v>
      </c>
      <c r="D345" s="467" t="s">
        <v>883</v>
      </c>
      <c r="E345" s="474" t="s">
        <v>1724</v>
      </c>
      <c r="F345" s="469" t="s">
        <v>112</v>
      </c>
      <c r="G345" s="470" t="s">
        <v>925</v>
      </c>
      <c r="H345" s="622" t="s">
        <v>916</v>
      </c>
      <c r="I345" s="633" t="s">
        <v>116</v>
      </c>
      <c r="J345" s="471" t="s">
        <v>913</v>
      </c>
      <c r="K345" s="469" t="s">
        <v>79</v>
      </c>
      <c r="L345" s="473"/>
      <c r="M345" s="623">
        <v>5</v>
      </c>
      <c r="N345" s="623">
        <v>0</v>
      </c>
      <c r="O345" s="624">
        <v>0</v>
      </c>
      <c r="P345" s="624">
        <v>0</v>
      </c>
      <c r="Q345" s="785" t="e">
        <f t="shared" si="5"/>
        <v>#VALUE!</v>
      </c>
      <c r="R345" s="468" t="s">
        <v>1719</v>
      </c>
      <c r="S345" s="629"/>
    </row>
    <row r="346" spans="1:19" ht="15" x14ac:dyDescent="0.25">
      <c r="A346" s="621" t="s">
        <v>351</v>
      </c>
      <c r="B346" s="466" t="s">
        <v>111</v>
      </c>
      <c r="C346" s="631" t="s">
        <v>885</v>
      </c>
      <c r="D346" s="467" t="s">
        <v>866</v>
      </c>
      <c r="E346" s="474" t="s">
        <v>1724</v>
      </c>
      <c r="F346" s="469" t="s">
        <v>112</v>
      </c>
      <c r="G346" s="470" t="s">
        <v>925</v>
      </c>
      <c r="H346" s="622" t="s">
        <v>916</v>
      </c>
      <c r="I346" s="633" t="s">
        <v>116</v>
      </c>
      <c r="J346" s="471" t="s">
        <v>913</v>
      </c>
      <c r="K346" s="469" t="s">
        <v>79</v>
      </c>
      <c r="L346" s="473"/>
      <c r="M346" s="623">
        <v>0</v>
      </c>
      <c r="N346" s="623">
        <v>0</v>
      </c>
      <c r="O346" s="624">
        <v>0</v>
      </c>
      <c r="P346" s="624">
        <v>0</v>
      </c>
      <c r="Q346" s="785" t="e">
        <f t="shared" si="5"/>
        <v>#VALUE!</v>
      </c>
      <c r="R346" s="468" t="s">
        <v>1719</v>
      </c>
      <c r="S346" s="629"/>
    </row>
    <row r="347" spans="1:19" ht="15" x14ac:dyDescent="0.25">
      <c r="A347" s="621" t="s">
        <v>351</v>
      </c>
      <c r="B347" s="466" t="s">
        <v>111</v>
      </c>
      <c r="C347" s="631" t="s">
        <v>885</v>
      </c>
      <c r="D347" s="467" t="s">
        <v>869</v>
      </c>
      <c r="E347" s="474"/>
      <c r="F347" s="469" t="s">
        <v>112</v>
      </c>
      <c r="G347" s="470" t="s">
        <v>925</v>
      </c>
      <c r="H347" s="622" t="s">
        <v>916</v>
      </c>
      <c r="I347" s="633" t="s">
        <v>116</v>
      </c>
      <c r="J347" s="471" t="s">
        <v>913</v>
      </c>
      <c r="K347" s="469">
        <v>25</v>
      </c>
      <c r="L347" s="473"/>
      <c r="M347" s="623">
        <v>12</v>
      </c>
      <c r="N347" s="623">
        <v>5</v>
      </c>
      <c r="O347" s="624">
        <v>0.41666666666666669</v>
      </c>
      <c r="P347" s="624">
        <v>0.41666666666666669</v>
      </c>
      <c r="Q347" s="785">
        <f t="shared" si="5"/>
        <v>1.6666666666666667</v>
      </c>
      <c r="R347" s="468" t="s">
        <v>1718</v>
      </c>
      <c r="S347" s="629"/>
    </row>
    <row r="348" spans="1:19" ht="15" x14ac:dyDescent="0.25">
      <c r="A348" s="621" t="s">
        <v>351</v>
      </c>
      <c r="B348" s="466" t="s">
        <v>111</v>
      </c>
      <c r="C348" s="631" t="s">
        <v>885</v>
      </c>
      <c r="D348" s="467" t="s">
        <v>887</v>
      </c>
      <c r="E348" s="474"/>
      <c r="F348" s="469" t="s">
        <v>112</v>
      </c>
      <c r="G348" s="470" t="s">
        <v>925</v>
      </c>
      <c r="H348" s="622" t="s">
        <v>916</v>
      </c>
      <c r="I348" s="633" t="s">
        <v>116</v>
      </c>
      <c r="J348" s="471" t="s">
        <v>913</v>
      </c>
      <c r="K348" s="469">
        <v>10</v>
      </c>
      <c r="L348" s="473"/>
      <c r="M348" s="623">
        <v>20</v>
      </c>
      <c r="N348" s="623">
        <v>8</v>
      </c>
      <c r="O348" s="624">
        <v>0.4</v>
      </c>
      <c r="P348" s="624">
        <v>0.4</v>
      </c>
      <c r="Q348" s="785">
        <f t="shared" si="5"/>
        <v>4</v>
      </c>
      <c r="R348" s="468" t="s">
        <v>1718</v>
      </c>
      <c r="S348" s="629"/>
    </row>
    <row r="349" spans="1:19" ht="15" x14ac:dyDescent="0.25">
      <c r="A349" s="621" t="s">
        <v>351</v>
      </c>
      <c r="B349" s="466" t="s">
        <v>111</v>
      </c>
      <c r="C349" s="631" t="s">
        <v>904</v>
      </c>
      <c r="D349" s="467" t="s">
        <v>881</v>
      </c>
      <c r="E349" s="474" t="s">
        <v>1718</v>
      </c>
      <c r="F349" s="469" t="s">
        <v>112</v>
      </c>
      <c r="G349" s="470" t="s">
        <v>925</v>
      </c>
      <c r="H349" s="622" t="s">
        <v>916</v>
      </c>
      <c r="I349" s="633" t="s">
        <v>116</v>
      </c>
      <c r="J349" s="471" t="s">
        <v>913</v>
      </c>
      <c r="K349" s="469" t="s">
        <v>79</v>
      </c>
      <c r="L349" s="473"/>
      <c r="M349" s="623">
        <v>0</v>
      </c>
      <c r="N349" s="623">
        <v>0</v>
      </c>
      <c r="O349" s="624">
        <v>0</v>
      </c>
      <c r="P349" s="624">
        <v>0</v>
      </c>
      <c r="Q349" s="785" t="e">
        <f t="shared" si="5"/>
        <v>#VALUE!</v>
      </c>
      <c r="R349" s="468" t="s">
        <v>1719</v>
      </c>
      <c r="S349" s="629"/>
    </row>
    <row r="350" spans="1:19" ht="15" x14ac:dyDescent="0.25">
      <c r="A350" s="621" t="s">
        <v>351</v>
      </c>
      <c r="B350" s="466" t="s">
        <v>111</v>
      </c>
      <c r="C350" s="631" t="s">
        <v>904</v>
      </c>
      <c r="D350" s="467" t="s">
        <v>883</v>
      </c>
      <c r="E350" s="474" t="s">
        <v>1725</v>
      </c>
      <c r="F350" s="469" t="s">
        <v>112</v>
      </c>
      <c r="G350" s="470" t="s">
        <v>925</v>
      </c>
      <c r="H350" s="622" t="s">
        <v>916</v>
      </c>
      <c r="I350" s="633" t="s">
        <v>116</v>
      </c>
      <c r="J350" s="471" t="s">
        <v>913</v>
      </c>
      <c r="K350" s="469" t="s">
        <v>79</v>
      </c>
      <c r="L350" s="473"/>
      <c r="M350" s="623">
        <v>1</v>
      </c>
      <c r="N350" s="623">
        <v>1</v>
      </c>
      <c r="O350" s="624">
        <v>1</v>
      </c>
      <c r="P350" s="624">
        <v>1</v>
      </c>
      <c r="Q350" s="785" t="e">
        <f t="shared" si="5"/>
        <v>#VALUE!</v>
      </c>
      <c r="R350" s="468" t="s">
        <v>1718</v>
      </c>
      <c r="S350" s="629"/>
    </row>
    <row r="351" spans="1:19" ht="15" x14ac:dyDescent="0.25">
      <c r="A351" s="621" t="s">
        <v>351</v>
      </c>
      <c r="B351" s="466" t="s">
        <v>111</v>
      </c>
      <c r="C351" s="631" t="s">
        <v>740</v>
      </c>
      <c r="D351" s="467" t="s">
        <v>889</v>
      </c>
      <c r="E351" s="474"/>
      <c r="F351" s="469" t="s">
        <v>112</v>
      </c>
      <c r="G351" s="470" t="s">
        <v>925</v>
      </c>
      <c r="H351" s="622" t="s">
        <v>917</v>
      </c>
      <c r="I351" s="633" t="s">
        <v>116</v>
      </c>
      <c r="J351" s="471" t="s">
        <v>913</v>
      </c>
      <c r="K351" s="469">
        <v>38</v>
      </c>
      <c r="L351" s="473"/>
      <c r="M351" s="623">
        <v>37</v>
      </c>
      <c r="N351" s="623">
        <v>3</v>
      </c>
      <c r="O351" s="624">
        <v>8.1081081081081086E-2</v>
      </c>
      <c r="P351" s="624">
        <v>8.1081081081081086E-2</v>
      </c>
      <c r="Q351" s="785">
        <f t="shared" si="5"/>
        <v>0.21337126600284495</v>
      </c>
      <c r="R351" s="468" t="s">
        <v>1718</v>
      </c>
      <c r="S351" s="629"/>
    </row>
    <row r="352" spans="1:19" ht="15" x14ac:dyDescent="0.25">
      <c r="A352" s="621" t="s">
        <v>351</v>
      </c>
      <c r="B352" s="466" t="s">
        <v>111</v>
      </c>
      <c r="C352" s="631" t="s">
        <v>740</v>
      </c>
      <c r="D352" s="467" t="s">
        <v>881</v>
      </c>
      <c r="E352" s="474" t="s">
        <v>1726</v>
      </c>
      <c r="F352" s="469" t="s">
        <v>112</v>
      </c>
      <c r="G352" s="470" t="s">
        <v>925</v>
      </c>
      <c r="H352" s="622" t="s">
        <v>916</v>
      </c>
      <c r="I352" s="633" t="s">
        <v>116</v>
      </c>
      <c r="J352" s="471" t="s">
        <v>913</v>
      </c>
      <c r="K352" s="469" t="s">
        <v>79</v>
      </c>
      <c r="L352" s="473"/>
      <c r="M352" s="623">
        <v>4</v>
      </c>
      <c r="N352" s="623">
        <v>0</v>
      </c>
      <c r="O352" s="624">
        <v>0</v>
      </c>
      <c r="P352" s="624">
        <v>0</v>
      </c>
      <c r="Q352" s="785" t="e">
        <f t="shared" si="5"/>
        <v>#VALUE!</v>
      </c>
      <c r="R352" s="468" t="s">
        <v>1719</v>
      </c>
      <c r="S352" s="629"/>
    </row>
    <row r="353" spans="1:19" ht="15" x14ac:dyDescent="0.25">
      <c r="A353" s="621" t="s">
        <v>351</v>
      </c>
      <c r="B353" s="466" t="s">
        <v>111</v>
      </c>
      <c r="C353" s="631" t="s">
        <v>740</v>
      </c>
      <c r="D353" s="467" t="s">
        <v>883</v>
      </c>
      <c r="E353" s="474" t="s">
        <v>1726</v>
      </c>
      <c r="F353" s="469" t="s">
        <v>112</v>
      </c>
      <c r="G353" s="470" t="s">
        <v>925</v>
      </c>
      <c r="H353" s="622" t="s">
        <v>916</v>
      </c>
      <c r="I353" s="633" t="s">
        <v>116</v>
      </c>
      <c r="J353" s="471" t="s">
        <v>913</v>
      </c>
      <c r="K353" s="469" t="s">
        <v>79</v>
      </c>
      <c r="L353" s="473"/>
      <c r="M353" s="623">
        <v>0</v>
      </c>
      <c r="N353" s="623">
        <v>0</v>
      </c>
      <c r="O353" s="624">
        <v>0</v>
      </c>
      <c r="P353" s="624">
        <v>0</v>
      </c>
      <c r="Q353" s="785" t="e">
        <f t="shared" si="5"/>
        <v>#VALUE!</v>
      </c>
      <c r="R353" s="468" t="s">
        <v>1719</v>
      </c>
      <c r="S353" s="629"/>
    </row>
    <row r="354" spans="1:19" ht="15" x14ac:dyDescent="0.25">
      <c r="A354" s="621" t="s">
        <v>351</v>
      </c>
      <c r="B354" s="466" t="s">
        <v>111</v>
      </c>
      <c r="C354" s="631" t="s">
        <v>894</v>
      </c>
      <c r="D354" s="467" t="s">
        <v>889</v>
      </c>
      <c r="E354" s="474"/>
      <c r="F354" s="469" t="s">
        <v>112</v>
      </c>
      <c r="G354" s="470" t="s">
        <v>925</v>
      </c>
      <c r="H354" s="622" t="s">
        <v>917</v>
      </c>
      <c r="I354" s="633" t="s">
        <v>116</v>
      </c>
      <c r="J354" s="471" t="s">
        <v>913</v>
      </c>
      <c r="K354" s="469">
        <v>5</v>
      </c>
      <c r="L354" s="473"/>
      <c r="M354" s="623">
        <v>543</v>
      </c>
      <c r="N354" s="623">
        <v>32</v>
      </c>
      <c r="O354" s="624">
        <v>5.8931860036832415E-2</v>
      </c>
      <c r="P354" s="624">
        <v>5.8931860036832415E-2</v>
      </c>
      <c r="Q354" s="785">
        <f t="shared" si="5"/>
        <v>1.1786372007366483</v>
      </c>
      <c r="R354" s="468" t="s">
        <v>1718</v>
      </c>
      <c r="S354" s="629"/>
    </row>
    <row r="355" spans="1:19" ht="15" x14ac:dyDescent="0.25">
      <c r="A355" s="621" t="s">
        <v>351</v>
      </c>
      <c r="B355" s="466" t="s">
        <v>111</v>
      </c>
      <c r="C355" s="631" t="s">
        <v>894</v>
      </c>
      <c r="D355" s="467" t="s">
        <v>881</v>
      </c>
      <c r="E355" s="474"/>
      <c r="F355" s="469" t="s">
        <v>112</v>
      </c>
      <c r="G355" s="470" t="s">
        <v>925</v>
      </c>
      <c r="H355" s="622" t="s">
        <v>916</v>
      </c>
      <c r="I355" s="633" t="s">
        <v>116</v>
      </c>
      <c r="J355" s="471" t="s">
        <v>913</v>
      </c>
      <c r="K355" s="469">
        <v>32</v>
      </c>
      <c r="L355" s="473"/>
      <c r="M355" s="623">
        <v>78</v>
      </c>
      <c r="N355" s="623">
        <v>28</v>
      </c>
      <c r="O355" s="624">
        <v>0.35897435897435898</v>
      </c>
      <c r="P355" s="624">
        <v>0.35897435897435898</v>
      </c>
      <c r="Q355" s="785">
        <f t="shared" si="5"/>
        <v>1.1217948717948718</v>
      </c>
      <c r="R355" s="468" t="s">
        <v>1718</v>
      </c>
      <c r="S355" s="629"/>
    </row>
    <row r="356" spans="1:19" ht="15" x14ac:dyDescent="0.25">
      <c r="A356" s="621" t="s">
        <v>351</v>
      </c>
      <c r="B356" s="466" t="s">
        <v>111</v>
      </c>
      <c r="C356" s="631" t="s">
        <v>894</v>
      </c>
      <c r="D356" s="467" t="s">
        <v>883</v>
      </c>
      <c r="E356" s="474" t="s">
        <v>1727</v>
      </c>
      <c r="F356" s="469" t="s">
        <v>112</v>
      </c>
      <c r="G356" s="470" t="s">
        <v>925</v>
      </c>
      <c r="H356" s="622" t="s">
        <v>916</v>
      </c>
      <c r="I356" s="633" t="s">
        <v>116</v>
      </c>
      <c r="J356" s="471" t="s">
        <v>913</v>
      </c>
      <c r="K356" s="469">
        <v>33</v>
      </c>
      <c r="L356" s="473"/>
      <c r="M356" s="623">
        <v>25</v>
      </c>
      <c r="N356" s="623">
        <v>9</v>
      </c>
      <c r="O356" s="624">
        <v>0.36</v>
      </c>
      <c r="P356" s="624">
        <v>0.36</v>
      </c>
      <c r="Q356" s="785">
        <f t="shared" si="5"/>
        <v>1.0909090909090908</v>
      </c>
      <c r="R356" s="468" t="s">
        <v>1718</v>
      </c>
      <c r="S356" s="629"/>
    </row>
    <row r="357" spans="1:19" ht="15" x14ac:dyDescent="0.25">
      <c r="A357" s="621" t="s">
        <v>351</v>
      </c>
      <c r="B357" s="466" t="s">
        <v>111</v>
      </c>
      <c r="C357" s="631" t="s">
        <v>894</v>
      </c>
      <c r="D357" s="467" t="s">
        <v>869</v>
      </c>
      <c r="E357" s="474" t="s">
        <v>1727</v>
      </c>
      <c r="F357" s="469" t="s">
        <v>112</v>
      </c>
      <c r="G357" s="470" t="s">
        <v>925</v>
      </c>
      <c r="H357" s="622" t="s">
        <v>916</v>
      </c>
      <c r="I357" s="633" t="s">
        <v>116</v>
      </c>
      <c r="J357" s="471" t="s">
        <v>913</v>
      </c>
      <c r="K357" s="469" t="s">
        <v>79</v>
      </c>
      <c r="L357" s="473"/>
      <c r="M357" s="623">
        <v>0</v>
      </c>
      <c r="N357" s="623">
        <v>0</v>
      </c>
      <c r="O357" s="624">
        <v>0</v>
      </c>
      <c r="P357" s="624">
        <v>0</v>
      </c>
      <c r="Q357" s="785" t="e">
        <f t="shared" si="5"/>
        <v>#VALUE!</v>
      </c>
      <c r="R357" s="468" t="s">
        <v>1719</v>
      </c>
      <c r="S357" s="629"/>
    </row>
    <row r="358" spans="1:19" ht="15" x14ac:dyDescent="0.25">
      <c r="A358" s="621" t="s">
        <v>351</v>
      </c>
      <c r="B358" s="466" t="s">
        <v>111</v>
      </c>
      <c r="C358" s="631" t="s">
        <v>99</v>
      </c>
      <c r="D358" s="467" t="s">
        <v>866</v>
      </c>
      <c r="E358" s="474" t="s">
        <v>1720</v>
      </c>
      <c r="F358" s="469" t="s">
        <v>112</v>
      </c>
      <c r="G358" s="470" t="s">
        <v>926</v>
      </c>
      <c r="H358" s="622" t="s">
        <v>916</v>
      </c>
      <c r="I358" s="633" t="s">
        <v>116</v>
      </c>
      <c r="J358" s="471" t="s">
        <v>913</v>
      </c>
      <c r="K358" s="469">
        <v>33</v>
      </c>
      <c r="L358" s="473"/>
      <c r="M358" s="623">
        <v>0</v>
      </c>
      <c r="N358" s="623">
        <v>0</v>
      </c>
      <c r="O358" s="624">
        <v>0</v>
      </c>
      <c r="P358" s="624">
        <v>0</v>
      </c>
      <c r="Q358" s="785" t="e">
        <f t="shared" si="5"/>
        <v>#DIV/0!</v>
      </c>
      <c r="R358" s="468" t="s">
        <v>1719</v>
      </c>
      <c r="S358" s="629"/>
    </row>
    <row r="359" spans="1:19" ht="15" x14ac:dyDescent="0.25">
      <c r="A359" s="621" t="s">
        <v>351</v>
      </c>
      <c r="B359" s="466" t="s">
        <v>111</v>
      </c>
      <c r="C359" s="631" t="s">
        <v>99</v>
      </c>
      <c r="D359" s="467" t="s">
        <v>869</v>
      </c>
      <c r="E359" s="474" t="s">
        <v>1720</v>
      </c>
      <c r="F359" s="469" t="s">
        <v>112</v>
      </c>
      <c r="G359" s="470" t="s">
        <v>926</v>
      </c>
      <c r="H359" s="622" t="s">
        <v>916</v>
      </c>
      <c r="I359" s="633" t="s">
        <v>116</v>
      </c>
      <c r="J359" s="471" t="s">
        <v>913</v>
      </c>
      <c r="K359" s="469">
        <v>33</v>
      </c>
      <c r="L359" s="473"/>
      <c r="M359" s="623">
        <v>14</v>
      </c>
      <c r="N359" s="623">
        <v>2</v>
      </c>
      <c r="O359" s="624">
        <v>0.14285714285714285</v>
      </c>
      <c r="P359" s="624">
        <v>0.14285714285714285</v>
      </c>
      <c r="Q359" s="785">
        <f t="shared" si="5"/>
        <v>0.4329004329004329</v>
      </c>
      <c r="R359" s="468" t="s">
        <v>1718</v>
      </c>
      <c r="S359" s="629"/>
    </row>
    <row r="360" spans="1:19" ht="15" x14ac:dyDescent="0.25">
      <c r="A360" s="621" t="s">
        <v>351</v>
      </c>
      <c r="B360" s="466" t="s">
        <v>111</v>
      </c>
      <c r="C360" s="631" t="s">
        <v>870</v>
      </c>
      <c r="D360" s="467" t="s">
        <v>889</v>
      </c>
      <c r="E360" s="474"/>
      <c r="F360" s="469" t="s">
        <v>112</v>
      </c>
      <c r="G360" s="470" t="s">
        <v>926</v>
      </c>
      <c r="H360" s="622" t="s">
        <v>917</v>
      </c>
      <c r="I360" s="633" t="s">
        <v>116</v>
      </c>
      <c r="J360" s="471" t="s">
        <v>913</v>
      </c>
      <c r="K360" s="469">
        <v>16</v>
      </c>
      <c r="L360" s="473"/>
      <c r="M360" s="623">
        <v>50</v>
      </c>
      <c r="N360" s="623">
        <v>4</v>
      </c>
      <c r="O360" s="624">
        <v>0.08</v>
      </c>
      <c r="P360" s="624">
        <v>0.08</v>
      </c>
      <c r="Q360" s="785">
        <f t="shared" si="5"/>
        <v>0.5</v>
      </c>
      <c r="R360" s="468" t="s">
        <v>1718</v>
      </c>
      <c r="S360" s="629"/>
    </row>
    <row r="361" spans="1:19" ht="15" x14ac:dyDescent="0.25">
      <c r="A361" s="621" t="s">
        <v>351</v>
      </c>
      <c r="B361" s="466" t="s">
        <v>111</v>
      </c>
      <c r="C361" s="631" t="s">
        <v>870</v>
      </c>
      <c r="D361" s="467" t="s">
        <v>881</v>
      </c>
      <c r="E361" s="474"/>
      <c r="F361" s="469" t="s">
        <v>112</v>
      </c>
      <c r="G361" s="470" t="s">
        <v>926</v>
      </c>
      <c r="H361" s="622" t="s">
        <v>916</v>
      </c>
      <c r="I361" s="633" t="s">
        <v>116</v>
      </c>
      <c r="J361" s="471" t="s">
        <v>913</v>
      </c>
      <c r="K361" s="469">
        <v>16</v>
      </c>
      <c r="L361" s="473"/>
      <c r="M361" s="623">
        <v>19</v>
      </c>
      <c r="N361" s="623">
        <v>3</v>
      </c>
      <c r="O361" s="624">
        <v>0.15789473684210525</v>
      </c>
      <c r="P361" s="624">
        <v>0.15789473684210525</v>
      </c>
      <c r="Q361" s="785">
        <f t="shared" si="5"/>
        <v>0.98684210526315785</v>
      </c>
      <c r="R361" s="468" t="s">
        <v>1718</v>
      </c>
      <c r="S361" s="629"/>
    </row>
    <row r="362" spans="1:19" ht="15" x14ac:dyDescent="0.25">
      <c r="A362" s="621" t="s">
        <v>351</v>
      </c>
      <c r="B362" s="466" t="s">
        <v>111</v>
      </c>
      <c r="C362" s="631" t="s">
        <v>870</v>
      </c>
      <c r="D362" s="467" t="s">
        <v>883</v>
      </c>
      <c r="E362" s="474"/>
      <c r="F362" s="469" t="s">
        <v>112</v>
      </c>
      <c r="G362" s="470" t="s">
        <v>926</v>
      </c>
      <c r="H362" s="622" t="s">
        <v>916</v>
      </c>
      <c r="I362" s="633" t="s">
        <v>116</v>
      </c>
      <c r="J362" s="471" t="s">
        <v>913</v>
      </c>
      <c r="K362" s="469">
        <v>6</v>
      </c>
      <c r="L362" s="473"/>
      <c r="M362" s="623">
        <v>39</v>
      </c>
      <c r="N362" s="623">
        <v>9</v>
      </c>
      <c r="O362" s="624">
        <v>0.23076923076923078</v>
      </c>
      <c r="P362" s="624">
        <v>0.23076923076923078</v>
      </c>
      <c r="Q362" s="785">
        <f t="shared" si="5"/>
        <v>3.8461538461538463</v>
      </c>
      <c r="R362" s="468" t="s">
        <v>1718</v>
      </c>
      <c r="S362" s="629"/>
    </row>
    <row r="363" spans="1:19" ht="15" x14ac:dyDescent="0.25">
      <c r="A363" s="621" t="s">
        <v>351</v>
      </c>
      <c r="B363" s="466" t="s">
        <v>111</v>
      </c>
      <c r="C363" s="631" t="s">
        <v>870</v>
      </c>
      <c r="D363" s="467" t="s">
        <v>866</v>
      </c>
      <c r="E363" s="474"/>
      <c r="F363" s="469" t="s">
        <v>112</v>
      </c>
      <c r="G363" s="470" t="s">
        <v>926</v>
      </c>
      <c r="H363" s="622" t="s">
        <v>916</v>
      </c>
      <c r="I363" s="633" t="s">
        <v>116</v>
      </c>
      <c r="J363" s="471" t="s">
        <v>913</v>
      </c>
      <c r="K363" s="469">
        <v>8</v>
      </c>
      <c r="L363" s="473"/>
      <c r="M363" s="623">
        <v>67</v>
      </c>
      <c r="N363" s="623">
        <v>17</v>
      </c>
      <c r="O363" s="624">
        <v>0.2537313432835821</v>
      </c>
      <c r="P363" s="624">
        <v>0.2537313432835821</v>
      </c>
      <c r="Q363" s="785">
        <f t="shared" si="5"/>
        <v>3.1716417910447761</v>
      </c>
      <c r="R363" s="468" t="s">
        <v>1718</v>
      </c>
      <c r="S363" s="629"/>
    </row>
    <row r="364" spans="1:19" ht="15" x14ac:dyDescent="0.25">
      <c r="A364" s="621" t="s">
        <v>351</v>
      </c>
      <c r="B364" s="466" t="s">
        <v>111</v>
      </c>
      <c r="C364" s="631" t="s">
        <v>870</v>
      </c>
      <c r="D364" s="467" t="s">
        <v>869</v>
      </c>
      <c r="E364" s="474"/>
      <c r="F364" s="469" t="s">
        <v>112</v>
      </c>
      <c r="G364" s="470" t="s">
        <v>926</v>
      </c>
      <c r="H364" s="622" t="s">
        <v>916</v>
      </c>
      <c r="I364" s="633" t="s">
        <v>116</v>
      </c>
      <c r="J364" s="471" t="s">
        <v>913</v>
      </c>
      <c r="K364" s="469">
        <v>5</v>
      </c>
      <c r="L364" s="473"/>
      <c r="M364" s="623">
        <v>46</v>
      </c>
      <c r="N364" s="623">
        <v>18</v>
      </c>
      <c r="O364" s="624">
        <v>0.39130434782608697</v>
      </c>
      <c r="P364" s="624">
        <v>0.39130434782608697</v>
      </c>
      <c r="Q364" s="785">
        <f t="shared" si="5"/>
        <v>7.8260869565217401</v>
      </c>
      <c r="R364" s="468" t="s">
        <v>1718</v>
      </c>
      <c r="S364" s="629"/>
    </row>
    <row r="365" spans="1:19" ht="15" x14ac:dyDescent="0.25">
      <c r="A365" s="621" t="s">
        <v>351</v>
      </c>
      <c r="B365" s="466" t="s">
        <v>111</v>
      </c>
      <c r="C365" s="631" t="s">
        <v>738</v>
      </c>
      <c r="D365" s="467" t="s">
        <v>889</v>
      </c>
      <c r="E365" s="474"/>
      <c r="F365" s="469" t="s">
        <v>112</v>
      </c>
      <c r="G365" s="470" t="s">
        <v>926</v>
      </c>
      <c r="H365" s="622" t="s">
        <v>917</v>
      </c>
      <c r="I365" s="633" t="s">
        <v>116</v>
      </c>
      <c r="J365" s="471" t="s">
        <v>913</v>
      </c>
      <c r="K365" s="469">
        <v>29</v>
      </c>
      <c r="L365" s="473"/>
      <c r="M365" s="623">
        <v>156</v>
      </c>
      <c r="N365" s="623">
        <v>7</v>
      </c>
      <c r="O365" s="624">
        <v>4.4871794871794872E-2</v>
      </c>
      <c r="P365" s="624">
        <v>4.4871794871794872E-2</v>
      </c>
      <c r="Q365" s="785">
        <f t="shared" si="5"/>
        <v>0.15473032714412024</v>
      </c>
      <c r="R365" s="468" t="s">
        <v>1718</v>
      </c>
      <c r="S365" s="629"/>
    </row>
    <row r="366" spans="1:19" ht="15" x14ac:dyDescent="0.25">
      <c r="A366" s="621" t="s">
        <v>351</v>
      </c>
      <c r="B366" s="466" t="s">
        <v>111</v>
      </c>
      <c r="C366" s="631" t="s">
        <v>738</v>
      </c>
      <c r="D366" s="467" t="s">
        <v>881</v>
      </c>
      <c r="E366" s="474" t="s">
        <v>1721</v>
      </c>
      <c r="F366" s="469" t="s">
        <v>112</v>
      </c>
      <c r="G366" s="470" t="s">
        <v>926</v>
      </c>
      <c r="H366" s="622" t="s">
        <v>916</v>
      </c>
      <c r="I366" s="633" t="s">
        <v>116</v>
      </c>
      <c r="J366" s="471" t="s">
        <v>913</v>
      </c>
      <c r="K366" s="469">
        <v>8</v>
      </c>
      <c r="L366" s="473"/>
      <c r="M366" s="623">
        <v>54</v>
      </c>
      <c r="N366" s="623">
        <v>6</v>
      </c>
      <c r="O366" s="624">
        <v>0.1111111111111111</v>
      </c>
      <c r="P366" s="624">
        <v>0.1111111111111111</v>
      </c>
      <c r="Q366" s="785">
        <f t="shared" si="5"/>
        <v>1.3888888888888888</v>
      </c>
      <c r="R366" s="468" t="s">
        <v>1718</v>
      </c>
      <c r="S366" s="629"/>
    </row>
    <row r="367" spans="1:19" ht="15" x14ac:dyDescent="0.25">
      <c r="A367" s="621" t="s">
        <v>351</v>
      </c>
      <c r="B367" s="466" t="s">
        <v>111</v>
      </c>
      <c r="C367" s="631" t="s">
        <v>738</v>
      </c>
      <c r="D367" s="467" t="s">
        <v>883</v>
      </c>
      <c r="E367" s="474" t="s">
        <v>1721</v>
      </c>
      <c r="F367" s="469" t="s">
        <v>112</v>
      </c>
      <c r="G367" s="470" t="s">
        <v>926</v>
      </c>
      <c r="H367" s="622" t="s">
        <v>916</v>
      </c>
      <c r="I367" s="633" t="s">
        <v>116</v>
      </c>
      <c r="J367" s="471" t="s">
        <v>913</v>
      </c>
      <c r="K367" s="469">
        <v>8</v>
      </c>
      <c r="L367" s="473"/>
      <c r="M367" s="623">
        <v>0</v>
      </c>
      <c r="N367" s="623">
        <v>0</v>
      </c>
      <c r="O367" s="624">
        <v>0</v>
      </c>
      <c r="P367" s="624">
        <v>0</v>
      </c>
      <c r="Q367" s="785" t="e">
        <f t="shared" si="5"/>
        <v>#DIV/0!</v>
      </c>
      <c r="R367" s="468" t="s">
        <v>1719</v>
      </c>
      <c r="S367" s="629"/>
    </row>
    <row r="368" spans="1:19" ht="15" x14ac:dyDescent="0.25">
      <c r="A368" s="621" t="s">
        <v>351</v>
      </c>
      <c r="B368" s="466" t="s">
        <v>111</v>
      </c>
      <c r="C368" s="631" t="s">
        <v>738</v>
      </c>
      <c r="D368" s="467" t="s">
        <v>866</v>
      </c>
      <c r="E368" s="474" t="s">
        <v>1722</v>
      </c>
      <c r="F368" s="469" t="s">
        <v>112</v>
      </c>
      <c r="G368" s="470" t="s">
        <v>926</v>
      </c>
      <c r="H368" s="622" t="s">
        <v>916</v>
      </c>
      <c r="I368" s="633" t="s">
        <v>116</v>
      </c>
      <c r="J368" s="471" t="s">
        <v>913</v>
      </c>
      <c r="K368" s="469">
        <v>8</v>
      </c>
      <c r="L368" s="473"/>
      <c r="M368" s="623">
        <v>0</v>
      </c>
      <c r="N368" s="623">
        <v>1</v>
      </c>
      <c r="O368" s="624">
        <v>0</v>
      </c>
      <c r="P368" s="624">
        <v>0</v>
      </c>
      <c r="Q368" s="785" t="e">
        <f t="shared" si="5"/>
        <v>#DIV/0!</v>
      </c>
      <c r="R368" s="468" t="s">
        <v>1719</v>
      </c>
      <c r="S368" s="629"/>
    </row>
    <row r="369" spans="1:19" ht="15" x14ac:dyDescent="0.25">
      <c r="A369" s="621" t="s">
        <v>351</v>
      </c>
      <c r="B369" s="466" t="s">
        <v>111</v>
      </c>
      <c r="C369" s="631" t="s">
        <v>738</v>
      </c>
      <c r="D369" s="467" t="s">
        <v>869</v>
      </c>
      <c r="E369" s="474" t="s">
        <v>1722</v>
      </c>
      <c r="F369" s="469" t="s">
        <v>112</v>
      </c>
      <c r="G369" s="470" t="s">
        <v>926</v>
      </c>
      <c r="H369" s="622" t="s">
        <v>916</v>
      </c>
      <c r="I369" s="633" t="s">
        <v>116</v>
      </c>
      <c r="J369" s="471" t="s">
        <v>913</v>
      </c>
      <c r="K369" s="469">
        <v>8</v>
      </c>
      <c r="L369" s="473"/>
      <c r="M369" s="623">
        <v>7</v>
      </c>
      <c r="N369" s="623">
        <v>2</v>
      </c>
      <c r="O369" s="624">
        <v>0.2857142857142857</v>
      </c>
      <c r="P369" s="624">
        <v>0.2857142857142857</v>
      </c>
      <c r="Q369" s="785">
        <f t="shared" si="5"/>
        <v>3.5714285714285712</v>
      </c>
      <c r="R369" s="468" t="s">
        <v>1718</v>
      </c>
      <c r="S369" s="629"/>
    </row>
    <row r="370" spans="1:19" ht="15" x14ac:dyDescent="0.25">
      <c r="A370" s="621" t="s">
        <v>351</v>
      </c>
      <c r="B370" s="466" t="s">
        <v>111</v>
      </c>
      <c r="C370" s="631" t="s">
        <v>101</v>
      </c>
      <c r="D370" s="467" t="s">
        <v>889</v>
      </c>
      <c r="E370" s="474"/>
      <c r="F370" s="469" t="s">
        <v>112</v>
      </c>
      <c r="G370" s="470" t="s">
        <v>926</v>
      </c>
      <c r="H370" s="622" t="s">
        <v>917</v>
      </c>
      <c r="I370" s="633" t="s">
        <v>116</v>
      </c>
      <c r="J370" s="471" t="s">
        <v>913</v>
      </c>
      <c r="K370" s="469">
        <v>17</v>
      </c>
      <c r="L370" s="473"/>
      <c r="M370" s="623">
        <v>112</v>
      </c>
      <c r="N370" s="623">
        <v>19</v>
      </c>
      <c r="O370" s="624">
        <v>0.16964285714285715</v>
      </c>
      <c r="P370" s="624">
        <v>0.16964285714285715</v>
      </c>
      <c r="Q370" s="785">
        <f t="shared" si="5"/>
        <v>0.99789915966386555</v>
      </c>
      <c r="R370" s="468" t="s">
        <v>1718</v>
      </c>
      <c r="S370" s="629"/>
    </row>
    <row r="371" spans="1:19" ht="15" x14ac:dyDescent="0.25">
      <c r="A371" s="621" t="s">
        <v>351</v>
      </c>
      <c r="B371" s="466" t="s">
        <v>111</v>
      </c>
      <c r="C371" s="631" t="s">
        <v>101</v>
      </c>
      <c r="D371" s="467" t="s">
        <v>881</v>
      </c>
      <c r="E371" s="474"/>
      <c r="F371" s="469" t="s">
        <v>112</v>
      </c>
      <c r="G371" s="470" t="s">
        <v>926</v>
      </c>
      <c r="H371" s="622" t="s">
        <v>916</v>
      </c>
      <c r="I371" s="633" t="s">
        <v>116</v>
      </c>
      <c r="J371" s="471" t="s">
        <v>913</v>
      </c>
      <c r="K371" s="469">
        <v>36</v>
      </c>
      <c r="L371" s="473"/>
      <c r="M371" s="623">
        <v>9</v>
      </c>
      <c r="N371" s="623">
        <v>2</v>
      </c>
      <c r="O371" s="624">
        <v>0.22222222222222221</v>
      </c>
      <c r="P371" s="624">
        <v>0.22222222222222221</v>
      </c>
      <c r="Q371" s="785">
        <f t="shared" si="5"/>
        <v>0.61728395061728392</v>
      </c>
      <c r="R371" s="468" t="s">
        <v>1718</v>
      </c>
      <c r="S371" s="629"/>
    </row>
    <row r="372" spans="1:19" ht="15" x14ac:dyDescent="0.25">
      <c r="A372" s="621" t="s">
        <v>351</v>
      </c>
      <c r="B372" s="466" t="s">
        <v>111</v>
      </c>
      <c r="C372" s="631" t="s">
        <v>101</v>
      </c>
      <c r="D372" s="467" t="s">
        <v>883</v>
      </c>
      <c r="E372" s="474" t="s">
        <v>1723</v>
      </c>
      <c r="F372" s="469" t="s">
        <v>112</v>
      </c>
      <c r="G372" s="470" t="s">
        <v>926</v>
      </c>
      <c r="H372" s="622" t="s">
        <v>916</v>
      </c>
      <c r="I372" s="633" t="s">
        <v>116</v>
      </c>
      <c r="J372" s="471" t="s">
        <v>913</v>
      </c>
      <c r="K372" s="469">
        <v>80</v>
      </c>
      <c r="L372" s="473"/>
      <c r="M372" s="623">
        <v>0</v>
      </c>
      <c r="N372" s="623">
        <v>0</v>
      </c>
      <c r="O372" s="624">
        <v>0</v>
      </c>
      <c r="P372" s="624">
        <v>0</v>
      </c>
      <c r="Q372" s="785" t="e">
        <f t="shared" si="5"/>
        <v>#DIV/0!</v>
      </c>
      <c r="R372" s="468" t="s">
        <v>1719</v>
      </c>
      <c r="S372" s="629"/>
    </row>
    <row r="373" spans="1:19" ht="15" x14ac:dyDescent="0.25">
      <c r="A373" s="621" t="s">
        <v>351</v>
      </c>
      <c r="B373" s="466" t="s">
        <v>111</v>
      </c>
      <c r="C373" s="631" t="s">
        <v>101</v>
      </c>
      <c r="D373" s="467" t="s">
        <v>866</v>
      </c>
      <c r="E373" s="474" t="s">
        <v>1723</v>
      </c>
      <c r="F373" s="469" t="s">
        <v>112</v>
      </c>
      <c r="G373" s="470" t="s">
        <v>926</v>
      </c>
      <c r="H373" s="622" t="s">
        <v>916</v>
      </c>
      <c r="I373" s="633" t="s">
        <v>116</v>
      </c>
      <c r="J373" s="471" t="s">
        <v>913</v>
      </c>
      <c r="K373" s="469" t="s">
        <v>79</v>
      </c>
      <c r="L373" s="473"/>
      <c r="M373" s="623">
        <v>13</v>
      </c>
      <c r="N373" s="623">
        <v>2</v>
      </c>
      <c r="O373" s="624">
        <v>0.15384615384615385</v>
      </c>
      <c r="P373" s="624">
        <v>0.15384615384615385</v>
      </c>
      <c r="Q373" s="785" t="e">
        <f t="shared" si="5"/>
        <v>#VALUE!</v>
      </c>
      <c r="R373" s="468" t="s">
        <v>1718</v>
      </c>
      <c r="S373" s="629"/>
    </row>
    <row r="374" spans="1:19" ht="15" x14ac:dyDescent="0.25">
      <c r="A374" s="621" t="s">
        <v>351</v>
      </c>
      <c r="B374" s="466" t="s">
        <v>111</v>
      </c>
      <c r="C374" s="631" t="s">
        <v>101</v>
      </c>
      <c r="D374" s="467" t="s">
        <v>869</v>
      </c>
      <c r="E374" s="474" t="s">
        <v>1723</v>
      </c>
      <c r="F374" s="469" t="s">
        <v>112</v>
      </c>
      <c r="G374" s="470" t="s">
        <v>926</v>
      </c>
      <c r="H374" s="622" t="s">
        <v>916</v>
      </c>
      <c r="I374" s="633" t="s">
        <v>116</v>
      </c>
      <c r="J374" s="471" t="s">
        <v>913</v>
      </c>
      <c r="K374" s="469" t="s">
        <v>79</v>
      </c>
      <c r="L374" s="473"/>
      <c r="M374" s="623">
        <v>0</v>
      </c>
      <c r="N374" s="623">
        <v>0</v>
      </c>
      <c r="O374" s="624">
        <v>0</v>
      </c>
      <c r="P374" s="624">
        <v>0</v>
      </c>
      <c r="Q374" s="785" t="e">
        <f t="shared" si="5"/>
        <v>#VALUE!</v>
      </c>
      <c r="R374" s="468" t="s">
        <v>1719</v>
      </c>
      <c r="S374" s="629"/>
    </row>
    <row r="375" spans="1:19" ht="15" x14ac:dyDescent="0.25">
      <c r="A375" s="621" t="s">
        <v>351</v>
      </c>
      <c r="B375" s="466" t="s">
        <v>111</v>
      </c>
      <c r="C375" s="631" t="s">
        <v>885</v>
      </c>
      <c r="D375" s="467" t="s">
        <v>889</v>
      </c>
      <c r="E375" s="474"/>
      <c r="F375" s="469" t="s">
        <v>112</v>
      </c>
      <c r="G375" s="470" t="s">
        <v>926</v>
      </c>
      <c r="H375" s="622" t="s">
        <v>917</v>
      </c>
      <c r="I375" s="633" t="s">
        <v>116</v>
      </c>
      <c r="J375" s="471" t="s">
        <v>913</v>
      </c>
      <c r="K375" s="469">
        <v>13</v>
      </c>
      <c r="L375" s="473"/>
      <c r="M375" s="623">
        <v>0</v>
      </c>
      <c r="N375" s="623">
        <v>0</v>
      </c>
      <c r="O375" s="624">
        <v>0</v>
      </c>
      <c r="P375" s="624">
        <v>0</v>
      </c>
      <c r="Q375" s="785" t="e">
        <f t="shared" si="5"/>
        <v>#DIV/0!</v>
      </c>
      <c r="R375" s="468" t="s">
        <v>1719</v>
      </c>
      <c r="S375" s="629"/>
    </row>
    <row r="376" spans="1:19" ht="15" x14ac:dyDescent="0.25">
      <c r="A376" s="621" t="s">
        <v>351</v>
      </c>
      <c r="B376" s="466" t="s">
        <v>111</v>
      </c>
      <c r="C376" s="631" t="s">
        <v>885</v>
      </c>
      <c r="D376" s="467" t="s">
        <v>881</v>
      </c>
      <c r="E376" s="474"/>
      <c r="F376" s="469" t="s">
        <v>112</v>
      </c>
      <c r="G376" s="470" t="s">
        <v>926</v>
      </c>
      <c r="H376" s="622" t="s">
        <v>916</v>
      </c>
      <c r="I376" s="633" t="s">
        <v>116</v>
      </c>
      <c r="J376" s="471" t="s">
        <v>913</v>
      </c>
      <c r="K376" s="469">
        <v>13</v>
      </c>
      <c r="L376" s="473"/>
      <c r="M376" s="623">
        <v>5</v>
      </c>
      <c r="N376" s="623">
        <v>0</v>
      </c>
      <c r="O376" s="624">
        <v>0</v>
      </c>
      <c r="P376" s="624">
        <v>0</v>
      </c>
      <c r="Q376" s="785">
        <f t="shared" si="5"/>
        <v>0</v>
      </c>
      <c r="R376" s="468" t="s">
        <v>1719</v>
      </c>
      <c r="S376" s="629"/>
    </row>
    <row r="377" spans="1:19" ht="15" x14ac:dyDescent="0.25">
      <c r="A377" s="621" t="s">
        <v>351</v>
      </c>
      <c r="B377" s="466" t="s">
        <v>111</v>
      </c>
      <c r="C377" s="631" t="s">
        <v>885</v>
      </c>
      <c r="D377" s="467" t="s">
        <v>883</v>
      </c>
      <c r="E377" s="474" t="s">
        <v>1724</v>
      </c>
      <c r="F377" s="469" t="s">
        <v>112</v>
      </c>
      <c r="G377" s="470" t="s">
        <v>926</v>
      </c>
      <c r="H377" s="622" t="s">
        <v>916</v>
      </c>
      <c r="I377" s="633" t="s">
        <v>116</v>
      </c>
      <c r="J377" s="471" t="s">
        <v>913</v>
      </c>
      <c r="K377" s="469" t="s">
        <v>79</v>
      </c>
      <c r="L377" s="473"/>
      <c r="M377" s="623">
        <v>5</v>
      </c>
      <c r="N377" s="623">
        <v>0</v>
      </c>
      <c r="O377" s="624">
        <v>0</v>
      </c>
      <c r="P377" s="624">
        <v>0</v>
      </c>
      <c r="Q377" s="785" t="e">
        <f t="shared" si="5"/>
        <v>#VALUE!</v>
      </c>
      <c r="R377" s="468" t="s">
        <v>1719</v>
      </c>
      <c r="S377" s="629"/>
    </row>
    <row r="378" spans="1:19" ht="15" x14ac:dyDescent="0.25">
      <c r="A378" s="621" t="s">
        <v>351</v>
      </c>
      <c r="B378" s="466" t="s">
        <v>111</v>
      </c>
      <c r="C378" s="631" t="s">
        <v>885</v>
      </c>
      <c r="D378" s="467" t="s">
        <v>866</v>
      </c>
      <c r="E378" s="474" t="s">
        <v>1724</v>
      </c>
      <c r="F378" s="469" t="s">
        <v>112</v>
      </c>
      <c r="G378" s="470" t="s">
        <v>926</v>
      </c>
      <c r="H378" s="622" t="s">
        <v>916</v>
      </c>
      <c r="I378" s="633" t="s">
        <v>116</v>
      </c>
      <c r="J378" s="471" t="s">
        <v>913</v>
      </c>
      <c r="K378" s="469" t="s">
        <v>79</v>
      </c>
      <c r="L378" s="473"/>
      <c r="M378" s="623">
        <v>0</v>
      </c>
      <c r="N378" s="623">
        <v>0</v>
      </c>
      <c r="O378" s="624">
        <v>0</v>
      </c>
      <c r="P378" s="624">
        <v>0</v>
      </c>
      <c r="Q378" s="785" t="e">
        <f t="shared" si="5"/>
        <v>#VALUE!</v>
      </c>
      <c r="R378" s="468" t="s">
        <v>1719</v>
      </c>
      <c r="S378" s="629"/>
    </row>
    <row r="379" spans="1:19" ht="15" x14ac:dyDescent="0.25">
      <c r="A379" s="621" t="s">
        <v>351</v>
      </c>
      <c r="B379" s="466" t="s">
        <v>111</v>
      </c>
      <c r="C379" s="631" t="s">
        <v>885</v>
      </c>
      <c r="D379" s="467" t="s">
        <v>869</v>
      </c>
      <c r="E379" s="474"/>
      <c r="F379" s="469" t="s">
        <v>112</v>
      </c>
      <c r="G379" s="470" t="s">
        <v>926</v>
      </c>
      <c r="H379" s="622" t="s">
        <v>916</v>
      </c>
      <c r="I379" s="633" t="s">
        <v>116</v>
      </c>
      <c r="J379" s="471" t="s">
        <v>913</v>
      </c>
      <c r="K379" s="469">
        <v>25</v>
      </c>
      <c r="L379" s="473"/>
      <c r="M379" s="623">
        <v>12</v>
      </c>
      <c r="N379" s="623">
        <v>5</v>
      </c>
      <c r="O379" s="624">
        <v>0.41666666666666669</v>
      </c>
      <c r="P379" s="624">
        <v>0.41666666666666669</v>
      </c>
      <c r="Q379" s="785">
        <f t="shared" si="5"/>
        <v>1.6666666666666667</v>
      </c>
      <c r="R379" s="468" t="s">
        <v>1718</v>
      </c>
      <c r="S379" s="629"/>
    </row>
    <row r="380" spans="1:19" ht="15" x14ac:dyDescent="0.25">
      <c r="A380" s="621" t="s">
        <v>351</v>
      </c>
      <c r="B380" s="466" t="s">
        <v>111</v>
      </c>
      <c r="C380" s="631" t="s">
        <v>885</v>
      </c>
      <c r="D380" s="467" t="s">
        <v>887</v>
      </c>
      <c r="E380" s="474"/>
      <c r="F380" s="469" t="s">
        <v>112</v>
      </c>
      <c r="G380" s="470" t="s">
        <v>926</v>
      </c>
      <c r="H380" s="622" t="s">
        <v>916</v>
      </c>
      <c r="I380" s="633" t="s">
        <v>116</v>
      </c>
      <c r="J380" s="471" t="s">
        <v>913</v>
      </c>
      <c r="K380" s="469">
        <v>10</v>
      </c>
      <c r="L380" s="473"/>
      <c r="M380" s="623">
        <v>20</v>
      </c>
      <c r="N380" s="623">
        <v>8</v>
      </c>
      <c r="O380" s="624">
        <v>0.4</v>
      </c>
      <c r="P380" s="624">
        <v>0.4</v>
      </c>
      <c r="Q380" s="785">
        <f t="shared" si="5"/>
        <v>4</v>
      </c>
      <c r="R380" s="468" t="s">
        <v>1718</v>
      </c>
      <c r="S380" s="629"/>
    </row>
    <row r="381" spans="1:19" ht="15" x14ac:dyDescent="0.25">
      <c r="A381" s="621" t="s">
        <v>351</v>
      </c>
      <c r="B381" s="466" t="s">
        <v>111</v>
      </c>
      <c r="C381" s="631" t="s">
        <v>904</v>
      </c>
      <c r="D381" s="467" t="s">
        <v>881</v>
      </c>
      <c r="E381" s="474" t="s">
        <v>1718</v>
      </c>
      <c r="F381" s="469" t="s">
        <v>112</v>
      </c>
      <c r="G381" s="470" t="s">
        <v>926</v>
      </c>
      <c r="H381" s="622" t="s">
        <v>916</v>
      </c>
      <c r="I381" s="633" t="s">
        <v>116</v>
      </c>
      <c r="J381" s="471" t="s">
        <v>913</v>
      </c>
      <c r="K381" s="469" t="s">
        <v>79</v>
      </c>
      <c r="L381" s="473"/>
      <c r="M381" s="623">
        <v>0</v>
      </c>
      <c r="N381" s="623">
        <v>0</v>
      </c>
      <c r="O381" s="624">
        <v>0</v>
      </c>
      <c r="P381" s="624">
        <v>0</v>
      </c>
      <c r="Q381" s="785" t="e">
        <f t="shared" si="5"/>
        <v>#VALUE!</v>
      </c>
      <c r="R381" s="468" t="s">
        <v>1719</v>
      </c>
      <c r="S381" s="629"/>
    </row>
    <row r="382" spans="1:19" ht="15" x14ac:dyDescent="0.25">
      <c r="A382" s="621" t="s">
        <v>351</v>
      </c>
      <c r="B382" s="466" t="s">
        <v>111</v>
      </c>
      <c r="C382" s="631" t="s">
        <v>904</v>
      </c>
      <c r="D382" s="467" t="s">
        <v>883</v>
      </c>
      <c r="E382" s="474" t="s">
        <v>1725</v>
      </c>
      <c r="F382" s="469" t="s">
        <v>112</v>
      </c>
      <c r="G382" s="470" t="s">
        <v>926</v>
      </c>
      <c r="H382" s="622" t="s">
        <v>916</v>
      </c>
      <c r="I382" s="633" t="s">
        <v>116</v>
      </c>
      <c r="J382" s="471" t="s">
        <v>913</v>
      </c>
      <c r="K382" s="469" t="s">
        <v>79</v>
      </c>
      <c r="L382" s="473"/>
      <c r="M382" s="623">
        <v>1</v>
      </c>
      <c r="N382" s="623">
        <v>1</v>
      </c>
      <c r="O382" s="624">
        <v>1</v>
      </c>
      <c r="P382" s="624">
        <v>1</v>
      </c>
      <c r="Q382" s="785" t="e">
        <f t="shared" si="5"/>
        <v>#VALUE!</v>
      </c>
      <c r="R382" s="468" t="s">
        <v>1718</v>
      </c>
      <c r="S382" s="629"/>
    </row>
    <row r="383" spans="1:19" ht="15" x14ac:dyDescent="0.25">
      <c r="A383" s="621" t="s">
        <v>351</v>
      </c>
      <c r="B383" s="466" t="s">
        <v>111</v>
      </c>
      <c r="C383" s="631" t="s">
        <v>740</v>
      </c>
      <c r="D383" s="467" t="s">
        <v>889</v>
      </c>
      <c r="E383" s="474"/>
      <c r="F383" s="469" t="s">
        <v>112</v>
      </c>
      <c r="G383" s="470" t="s">
        <v>926</v>
      </c>
      <c r="H383" s="622" t="s">
        <v>917</v>
      </c>
      <c r="I383" s="633" t="s">
        <v>116</v>
      </c>
      <c r="J383" s="471" t="s">
        <v>913</v>
      </c>
      <c r="K383" s="469">
        <v>38</v>
      </c>
      <c r="L383" s="473"/>
      <c r="M383" s="623">
        <v>37</v>
      </c>
      <c r="N383" s="623">
        <v>3</v>
      </c>
      <c r="O383" s="624">
        <v>8.1081081081081086E-2</v>
      </c>
      <c r="P383" s="624">
        <v>8.1081081081081086E-2</v>
      </c>
      <c r="Q383" s="785">
        <f t="shared" si="5"/>
        <v>0.21337126600284495</v>
      </c>
      <c r="R383" s="468" t="s">
        <v>1718</v>
      </c>
      <c r="S383" s="629"/>
    </row>
    <row r="384" spans="1:19" ht="15" x14ac:dyDescent="0.25">
      <c r="A384" s="621" t="s">
        <v>351</v>
      </c>
      <c r="B384" s="466" t="s">
        <v>111</v>
      </c>
      <c r="C384" s="631" t="s">
        <v>740</v>
      </c>
      <c r="D384" s="467" t="s">
        <v>881</v>
      </c>
      <c r="E384" s="474" t="s">
        <v>1726</v>
      </c>
      <c r="F384" s="469" t="s">
        <v>112</v>
      </c>
      <c r="G384" s="470" t="s">
        <v>926</v>
      </c>
      <c r="H384" s="622" t="s">
        <v>916</v>
      </c>
      <c r="I384" s="633" t="s">
        <v>116</v>
      </c>
      <c r="J384" s="471" t="s">
        <v>913</v>
      </c>
      <c r="K384" s="469" t="s">
        <v>79</v>
      </c>
      <c r="L384" s="473"/>
      <c r="M384" s="623">
        <v>4</v>
      </c>
      <c r="N384" s="623">
        <v>0</v>
      </c>
      <c r="O384" s="624">
        <v>0</v>
      </c>
      <c r="P384" s="624">
        <v>0</v>
      </c>
      <c r="Q384" s="785" t="e">
        <f t="shared" si="5"/>
        <v>#VALUE!</v>
      </c>
      <c r="R384" s="468" t="s">
        <v>1719</v>
      </c>
      <c r="S384" s="629"/>
    </row>
    <row r="385" spans="1:19" ht="15" x14ac:dyDescent="0.25">
      <c r="A385" s="621" t="s">
        <v>351</v>
      </c>
      <c r="B385" s="466" t="s">
        <v>111</v>
      </c>
      <c r="C385" s="631" t="s">
        <v>740</v>
      </c>
      <c r="D385" s="467" t="s">
        <v>883</v>
      </c>
      <c r="E385" s="474" t="s">
        <v>1726</v>
      </c>
      <c r="F385" s="469" t="s">
        <v>112</v>
      </c>
      <c r="G385" s="470" t="s">
        <v>926</v>
      </c>
      <c r="H385" s="622" t="s">
        <v>916</v>
      </c>
      <c r="I385" s="633" t="s">
        <v>116</v>
      </c>
      <c r="J385" s="471" t="s">
        <v>913</v>
      </c>
      <c r="K385" s="469" t="s">
        <v>79</v>
      </c>
      <c r="L385" s="473"/>
      <c r="M385" s="623">
        <v>0</v>
      </c>
      <c r="N385" s="623">
        <v>0</v>
      </c>
      <c r="O385" s="624">
        <v>0</v>
      </c>
      <c r="P385" s="624">
        <v>0</v>
      </c>
      <c r="Q385" s="785" t="e">
        <f t="shared" si="5"/>
        <v>#VALUE!</v>
      </c>
      <c r="R385" s="468" t="s">
        <v>1719</v>
      </c>
      <c r="S385" s="629"/>
    </row>
    <row r="386" spans="1:19" ht="15" x14ac:dyDescent="0.25">
      <c r="A386" s="621" t="s">
        <v>351</v>
      </c>
      <c r="B386" s="466" t="s">
        <v>111</v>
      </c>
      <c r="C386" s="631" t="s">
        <v>894</v>
      </c>
      <c r="D386" s="467" t="s">
        <v>889</v>
      </c>
      <c r="E386" s="474"/>
      <c r="F386" s="469" t="s">
        <v>112</v>
      </c>
      <c r="G386" s="470" t="s">
        <v>926</v>
      </c>
      <c r="H386" s="622" t="s">
        <v>917</v>
      </c>
      <c r="I386" s="633" t="s">
        <v>116</v>
      </c>
      <c r="J386" s="471" t="s">
        <v>913</v>
      </c>
      <c r="K386" s="469">
        <v>5</v>
      </c>
      <c r="L386" s="473"/>
      <c r="M386" s="623">
        <v>543</v>
      </c>
      <c r="N386" s="623">
        <v>32</v>
      </c>
      <c r="O386" s="624">
        <v>5.8931860036832415E-2</v>
      </c>
      <c r="P386" s="624">
        <v>5.8931860036832415E-2</v>
      </c>
      <c r="Q386" s="785">
        <f t="shared" si="5"/>
        <v>1.1786372007366483</v>
      </c>
      <c r="R386" s="468" t="s">
        <v>1718</v>
      </c>
      <c r="S386" s="629"/>
    </row>
    <row r="387" spans="1:19" ht="15" x14ac:dyDescent="0.25">
      <c r="A387" s="621" t="s">
        <v>351</v>
      </c>
      <c r="B387" s="466" t="s">
        <v>111</v>
      </c>
      <c r="C387" s="631" t="s">
        <v>894</v>
      </c>
      <c r="D387" s="467" t="s">
        <v>881</v>
      </c>
      <c r="E387" s="474"/>
      <c r="F387" s="469" t="s">
        <v>112</v>
      </c>
      <c r="G387" s="470" t="s">
        <v>926</v>
      </c>
      <c r="H387" s="622" t="s">
        <v>916</v>
      </c>
      <c r="I387" s="633" t="s">
        <v>116</v>
      </c>
      <c r="J387" s="471" t="s">
        <v>913</v>
      </c>
      <c r="K387" s="469">
        <v>32</v>
      </c>
      <c r="L387" s="473"/>
      <c r="M387" s="623">
        <v>78</v>
      </c>
      <c r="N387" s="623">
        <v>28</v>
      </c>
      <c r="O387" s="624">
        <v>0.35897435897435898</v>
      </c>
      <c r="P387" s="624">
        <v>0.35897435897435898</v>
      </c>
      <c r="Q387" s="785">
        <f t="shared" si="5"/>
        <v>1.1217948717948718</v>
      </c>
      <c r="R387" s="468" t="s">
        <v>1718</v>
      </c>
      <c r="S387" s="629"/>
    </row>
    <row r="388" spans="1:19" ht="15" x14ac:dyDescent="0.25">
      <c r="A388" s="621" t="s">
        <v>351</v>
      </c>
      <c r="B388" s="466" t="s">
        <v>111</v>
      </c>
      <c r="C388" s="631" t="s">
        <v>894</v>
      </c>
      <c r="D388" s="467" t="s">
        <v>883</v>
      </c>
      <c r="E388" s="474" t="s">
        <v>1727</v>
      </c>
      <c r="F388" s="469" t="s">
        <v>112</v>
      </c>
      <c r="G388" s="470" t="s">
        <v>926</v>
      </c>
      <c r="H388" s="622" t="s">
        <v>916</v>
      </c>
      <c r="I388" s="633" t="s">
        <v>116</v>
      </c>
      <c r="J388" s="471" t="s">
        <v>913</v>
      </c>
      <c r="K388" s="469">
        <v>33</v>
      </c>
      <c r="L388" s="473"/>
      <c r="M388" s="623">
        <v>25</v>
      </c>
      <c r="N388" s="623">
        <v>9</v>
      </c>
      <c r="O388" s="624">
        <v>0.36</v>
      </c>
      <c r="P388" s="624">
        <v>0.36</v>
      </c>
      <c r="Q388" s="785">
        <f t="shared" si="5"/>
        <v>1.0909090909090908</v>
      </c>
      <c r="R388" s="468" t="s">
        <v>1718</v>
      </c>
      <c r="S388" s="629"/>
    </row>
    <row r="389" spans="1:19" ht="15" x14ac:dyDescent="0.25">
      <c r="A389" s="621" t="s">
        <v>351</v>
      </c>
      <c r="B389" s="466" t="s">
        <v>111</v>
      </c>
      <c r="C389" s="631" t="s">
        <v>894</v>
      </c>
      <c r="D389" s="467" t="s">
        <v>869</v>
      </c>
      <c r="E389" s="474" t="s">
        <v>1727</v>
      </c>
      <c r="F389" s="469" t="s">
        <v>112</v>
      </c>
      <c r="G389" s="470" t="s">
        <v>926</v>
      </c>
      <c r="H389" s="622" t="s">
        <v>916</v>
      </c>
      <c r="I389" s="633" t="s">
        <v>116</v>
      </c>
      <c r="J389" s="471" t="s">
        <v>913</v>
      </c>
      <c r="K389" s="469" t="s">
        <v>79</v>
      </c>
      <c r="L389" s="473"/>
      <c r="M389" s="623">
        <v>0</v>
      </c>
      <c r="N389" s="623">
        <v>0</v>
      </c>
      <c r="O389" s="624">
        <v>0</v>
      </c>
      <c r="P389" s="624">
        <v>0</v>
      </c>
      <c r="Q389" s="785" t="e">
        <f t="shared" si="5"/>
        <v>#VALUE!</v>
      </c>
      <c r="R389" s="468" t="s">
        <v>1719</v>
      </c>
      <c r="S389" s="629"/>
    </row>
    <row r="390" spans="1:19" ht="15" x14ac:dyDescent="0.25">
      <c r="A390" s="621" t="s">
        <v>351</v>
      </c>
      <c r="B390" s="466" t="s">
        <v>111</v>
      </c>
      <c r="C390" s="631" t="s">
        <v>99</v>
      </c>
      <c r="D390" s="467" t="s">
        <v>866</v>
      </c>
      <c r="E390" s="474" t="s">
        <v>1720</v>
      </c>
      <c r="F390" s="469" t="s">
        <v>112</v>
      </c>
      <c r="G390" s="470" t="s">
        <v>927</v>
      </c>
      <c r="H390" s="622" t="s">
        <v>916</v>
      </c>
      <c r="I390" s="633" t="s">
        <v>116</v>
      </c>
      <c r="J390" s="471" t="s">
        <v>913</v>
      </c>
      <c r="K390" s="469">
        <v>33</v>
      </c>
      <c r="L390" s="473"/>
      <c r="M390" s="623">
        <v>0</v>
      </c>
      <c r="N390" s="623">
        <v>0</v>
      </c>
      <c r="O390" s="624">
        <v>0</v>
      </c>
      <c r="P390" s="624">
        <v>0</v>
      </c>
      <c r="Q390" s="785" t="e">
        <f t="shared" ref="Q390:Q453" si="6">N390/(M390*K390/100)</f>
        <v>#DIV/0!</v>
      </c>
      <c r="R390" s="468" t="s">
        <v>1719</v>
      </c>
      <c r="S390" s="629"/>
    </row>
    <row r="391" spans="1:19" ht="15" x14ac:dyDescent="0.25">
      <c r="A391" s="621" t="s">
        <v>351</v>
      </c>
      <c r="B391" s="466" t="s">
        <v>111</v>
      </c>
      <c r="C391" s="631" t="s">
        <v>99</v>
      </c>
      <c r="D391" s="467" t="s">
        <v>869</v>
      </c>
      <c r="E391" s="474" t="s">
        <v>1720</v>
      </c>
      <c r="F391" s="469" t="s">
        <v>112</v>
      </c>
      <c r="G391" s="470" t="s">
        <v>927</v>
      </c>
      <c r="H391" s="622" t="s">
        <v>916</v>
      </c>
      <c r="I391" s="633" t="s">
        <v>116</v>
      </c>
      <c r="J391" s="471" t="s">
        <v>913</v>
      </c>
      <c r="K391" s="469">
        <v>33</v>
      </c>
      <c r="L391" s="473"/>
      <c r="M391" s="623">
        <v>14</v>
      </c>
      <c r="N391" s="623">
        <v>2</v>
      </c>
      <c r="O391" s="624">
        <v>0.14285714285714285</v>
      </c>
      <c r="P391" s="624">
        <v>0.14285714285714285</v>
      </c>
      <c r="Q391" s="785">
        <f t="shared" si="6"/>
        <v>0.4329004329004329</v>
      </c>
      <c r="R391" s="468" t="s">
        <v>1718</v>
      </c>
      <c r="S391" s="629"/>
    </row>
    <row r="392" spans="1:19" ht="15" x14ac:dyDescent="0.25">
      <c r="A392" s="621" t="s">
        <v>351</v>
      </c>
      <c r="B392" s="466" t="s">
        <v>111</v>
      </c>
      <c r="C392" s="631" t="s">
        <v>870</v>
      </c>
      <c r="D392" s="467" t="s">
        <v>889</v>
      </c>
      <c r="E392" s="474"/>
      <c r="F392" s="469" t="s">
        <v>112</v>
      </c>
      <c r="G392" s="470" t="s">
        <v>927</v>
      </c>
      <c r="H392" s="622" t="s">
        <v>917</v>
      </c>
      <c r="I392" s="633" t="s">
        <v>116</v>
      </c>
      <c r="J392" s="471" t="s">
        <v>913</v>
      </c>
      <c r="K392" s="469">
        <v>16</v>
      </c>
      <c r="L392" s="473"/>
      <c r="M392" s="623">
        <v>50</v>
      </c>
      <c r="N392" s="623">
        <v>4</v>
      </c>
      <c r="O392" s="624">
        <v>0.08</v>
      </c>
      <c r="P392" s="624">
        <v>0.08</v>
      </c>
      <c r="Q392" s="785">
        <f t="shared" si="6"/>
        <v>0.5</v>
      </c>
      <c r="R392" s="468" t="s">
        <v>1718</v>
      </c>
      <c r="S392" s="629"/>
    </row>
    <row r="393" spans="1:19" ht="15" x14ac:dyDescent="0.25">
      <c r="A393" s="621" t="s">
        <v>351</v>
      </c>
      <c r="B393" s="466" t="s">
        <v>111</v>
      </c>
      <c r="C393" s="631" t="s">
        <v>870</v>
      </c>
      <c r="D393" s="467" t="s">
        <v>881</v>
      </c>
      <c r="E393" s="474"/>
      <c r="F393" s="469" t="s">
        <v>112</v>
      </c>
      <c r="G393" s="470" t="s">
        <v>927</v>
      </c>
      <c r="H393" s="622" t="s">
        <v>916</v>
      </c>
      <c r="I393" s="633" t="s">
        <v>116</v>
      </c>
      <c r="J393" s="471" t="s">
        <v>913</v>
      </c>
      <c r="K393" s="469">
        <v>16</v>
      </c>
      <c r="L393" s="473"/>
      <c r="M393" s="623">
        <v>19</v>
      </c>
      <c r="N393" s="623">
        <v>3</v>
      </c>
      <c r="O393" s="624">
        <v>0.15789473684210525</v>
      </c>
      <c r="P393" s="624">
        <v>0.15789473684210525</v>
      </c>
      <c r="Q393" s="785">
        <f t="shared" si="6"/>
        <v>0.98684210526315785</v>
      </c>
      <c r="R393" s="468" t="s">
        <v>1718</v>
      </c>
      <c r="S393" s="629"/>
    </row>
    <row r="394" spans="1:19" ht="15" x14ac:dyDescent="0.25">
      <c r="A394" s="621" t="s">
        <v>351</v>
      </c>
      <c r="B394" s="466" t="s">
        <v>111</v>
      </c>
      <c r="C394" s="631" t="s">
        <v>870</v>
      </c>
      <c r="D394" s="467" t="s">
        <v>883</v>
      </c>
      <c r="E394" s="474"/>
      <c r="F394" s="469" t="s">
        <v>112</v>
      </c>
      <c r="G394" s="470" t="s">
        <v>927</v>
      </c>
      <c r="H394" s="622" t="s">
        <v>916</v>
      </c>
      <c r="I394" s="633" t="s">
        <v>116</v>
      </c>
      <c r="J394" s="471" t="s">
        <v>913</v>
      </c>
      <c r="K394" s="469">
        <v>6</v>
      </c>
      <c r="L394" s="473"/>
      <c r="M394" s="623">
        <v>39</v>
      </c>
      <c r="N394" s="623">
        <v>9</v>
      </c>
      <c r="O394" s="624">
        <v>0.23076923076923078</v>
      </c>
      <c r="P394" s="624">
        <v>0.23076923076923078</v>
      </c>
      <c r="Q394" s="785">
        <f t="shared" si="6"/>
        <v>3.8461538461538463</v>
      </c>
      <c r="R394" s="468" t="s">
        <v>1718</v>
      </c>
      <c r="S394" s="629"/>
    </row>
    <row r="395" spans="1:19" ht="15" x14ac:dyDescent="0.25">
      <c r="A395" s="621" t="s">
        <v>351</v>
      </c>
      <c r="B395" s="466" t="s">
        <v>111</v>
      </c>
      <c r="C395" s="631" t="s">
        <v>870</v>
      </c>
      <c r="D395" s="467" t="s">
        <v>866</v>
      </c>
      <c r="E395" s="474"/>
      <c r="F395" s="469" t="s">
        <v>112</v>
      </c>
      <c r="G395" s="470" t="s">
        <v>927</v>
      </c>
      <c r="H395" s="622" t="s">
        <v>916</v>
      </c>
      <c r="I395" s="633" t="s">
        <v>116</v>
      </c>
      <c r="J395" s="471" t="s">
        <v>913</v>
      </c>
      <c r="K395" s="469">
        <v>8</v>
      </c>
      <c r="L395" s="473"/>
      <c r="M395" s="623">
        <v>67</v>
      </c>
      <c r="N395" s="623">
        <v>17</v>
      </c>
      <c r="O395" s="624">
        <v>0.2537313432835821</v>
      </c>
      <c r="P395" s="624">
        <v>0.2537313432835821</v>
      </c>
      <c r="Q395" s="785">
        <f t="shared" si="6"/>
        <v>3.1716417910447761</v>
      </c>
      <c r="R395" s="468" t="s">
        <v>1718</v>
      </c>
      <c r="S395" s="629"/>
    </row>
    <row r="396" spans="1:19" ht="15" x14ac:dyDescent="0.25">
      <c r="A396" s="621" t="s">
        <v>351</v>
      </c>
      <c r="B396" s="466" t="s">
        <v>111</v>
      </c>
      <c r="C396" s="631" t="s">
        <v>870</v>
      </c>
      <c r="D396" s="467" t="s">
        <v>869</v>
      </c>
      <c r="E396" s="474"/>
      <c r="F396" s="469" t="s">
        <v>112</v>
      </c>
      <c r="G396" s="470" t="s">
        <v>927</v>
      </c>
      <c r="H396" s="622" t="s">
        <v>916</v>
      </c>
      <c r="I396" s="633" t="s">
        <v>116</v>
      </c>
      <c r="J396" s="471" t="s">
        <v>913</v>
      </c>
      <c r="K396" s="469">
        <v>5</v>
      </c>
      <c r="L396" s="473"/>
      <c r="M396" s="623">
        <v>46</v>
      </c>
      <c r="N396" s="623">
        <v>18</v>
      </c>
      <c r="O396" s="624">
        <v>0.39130434782608697</v>
      </c>
      <c r="P396" s="624">
        <v>0.39130434782608697</v>
      </c>
      <c r="Q396" s="785">
        <f t="shared" si="6"/>
        <v>7.8260869565217401</v>
      </c>
      <c r="R396" s="468" t="s">
        <v>1718</v>
      </c>
      <c r="S396" s="629"/>
    </row>
    <row r="397" spans="1:19" ht="15" x14ac:dyDescent="0.25">
      <c r="A397" s="621" t="s">
        <v>351</v>
      </c>
      <c r="B397" s="466" t="s">
        <v>111</v>
      </c>
      <c r="C397" s="631" t="s">
        <v>738</v>
      </c>
      <c r="D397" s="467" t="s">
        <v>889</v>
      </c>
      <c r="E397" s="474"/>
      <c r="F397" s="469" t="s">
        <v>112</v>
      </c>
      <c r="G397" s="470" t="s">
        <v>927</v>
      </c>
      <c r="H397" s="622" t="s">
        <v>917</v>
      </c>
      <c r="I397" s="633" t="s">
        <v>116</v>
      </c>
      <c r="J397" s="471" t="s">
        <v>913</v>
      </c>
      <c r="K397" s="469">
        <v>29</v>
      </c>
      <c r="L397" s="473"/>
      <c r="M397" s="623">
        <v>156</v>
      </c>
      <c r="N397" s="623">
        <v>7</v>
      </c>
      <c r="O397" s="624">
        <v>4.4871794871794872E-2</v>
      </c>
      <c r="P397" s="624">
        <v>4.4871794871794872E-2</v>
      </c>
      <c r="Q397" s="785">
        <f t="shared" si="6"/>
        <v>0.15473032714412024</v>
      </c>
      <c r="R397" s="468" t="s">
        <v>1718</v>
      </c>
      <c r="S397" s="629"/>
    </row>
    <row r="398" spans="1:19" ht="15" x14ac:dyDescent="0.25">
      <c r="A398" s="621" t="s">
        <v>351</v>
      </c>
      <c r="B398" s="466" t="s">
        <v>111</v>
      </c>
      <c r="C398" s="631" t="s">
        <v>738</v>
      </c>
      <c r="D398" s="467" t="s">
        <v>881</v>
      </c>
      <c r="E398" s="474" t="s">
        <v>1721</v>
      </c>
      <c r="F398" s="469" t="s">
        <v>112</v>
      </c>
      <c r="G398" s="470" t="s">
        <v>927</v>
      </c>
      <c r="H398" s="622" t="s">
        <v>916</v>
      </c>
      <c r="I398" s="633" t="s">
        <v>116</v>
      </c>
      <c r="J398" s="471" t="s">
        <v>913</v>
      </c>
      <c r="K398" s="469">
        <v>8</v>
      </c>
      <c r="L398" s="473"/>
      <c r="M398" s="623">
        <v>54</v>
      </c>
      <c r="N398" s="623">
        <v>6</v>
      </c>
      <c r="O398" s="624">
        <v>0.1111111111111111</v>
      </c>
      <c r="P398" s="624">
        <v>0.1111111111111111</v>
      </c>
      <c r="Q398" s="785">
        <f t="shared" si="6"/>
        <v>1.3888888888888888</v>
      </c>
      <c r="R398" s="468" t="s">
        <v>1718</v>
      </c>
      <c r="S398" s="629"/>
    </row>
    <row r="399" spans="1:19" ht="15" x14ac:dyDescent="0.25">
      <c r="A399" s="621" t="s">
        <v>351</v>
      </c>
      <c r="B399" s="466" t="s">
        <v>111</v>
      </c>
      <c r="C399" s="631" t="s">
        <v>738</v>
      </c>
      <c r="D399" s="467" t="s">
        <v>883</v>
      </c>
      <c r="E399" s="474" t="s">
        <v>1721</v>
      </c>
      <c r="F399" s="469" t="s">
        <v>112</v>
      </c>
      <c r="G399" s="470" t="s">
        <v>927</v>
      </c>
      <c r="H399" s="622" t="s">
        <v>916</v>
      </c>
      <c r="I399" s="633" t="s">
        <v>116</v>
      </c>
      <c r="J399" s="471" t="s">
        <v>913</v>
      </c>
      <c r="K399" s="469">
        <v>8</v>
      </c>
      <c r="L399" s="473"/>
      <c r="M399" s="623">
        <v>0</v>
      </c>
      <c r="N399" s="623">
        <v>0</v>
      </c>
      <c r="O399" s="624">
        <v>0</v>
      </c>
      <c r="P399" s="624">
        <v>0</v>
      </c>
      <c r="Q399" s="785" t="e">
        <f t="shared" si="6"/>
        <v>#DIV/0!</v>
      </c>
      <c r="R399" s="468" t="s">
        <v>1719</v>
      </c>
      <c r="S399" s="629"/>
    </row>
    <row r="400" spans="1:19" ht="15" x14ac:dyDescent="0.25">
      <c r="A400" s="621" t="s">
        <v>351</v>
      </c>
      <c r="B400" s="466" t="s">
        <v>111</v>
      </c>
      <c r="C400" s="631" t="s">
        <v>738</v>
      </c>
      <c r="D400" s="467" t="s">
        <v>866</v>
      </c>
      <c r="E400" s="474" t="s">
        <v>1722</v>
      </c>
      <c r="F400" s="469" t="s">
        <v>112</v>
      </c>
      <c r="G400" s="470" t="s">
        <v>927</v>
      </c>
      <c r="H400" s="622" t="s">
        <v>916</v>
      </c>
      <c r="I400" s="633" t="s">
        <v>116</v>
      </c>
      <c r="J400" s="471" t="s">
        <v>913</v>
      </c>
      <c r="K400" s="469">
        <v>8</v>
      </c>
      <c r="L400" s="473"/>
      <c r="M400" s="623">
        <v>0</v>
      </c>
      <c r="N400" s="623">
        <v>1</v>
      </c>
      <c r="O400" s="624">
        <v>0</v>
      </c>
      <c r="P400" s="624">
        <v>0</v>
      </c>
      <c r="Q400" s="785" t="e">
        <f t="shared" si="6"/>
        <v>#DIV/0!</v>
      </c>
      <c r="R400" s="468" t="s">
        <v>1719</v>
      </c>
      <c r="S400" s="629"/>
    </row>
    <row r="401" spans="1:19" ht="15" x14ac:dyDescent="0.25">
      <c r="A401" s="621" t="s">
        <v>351</v>
      </c>
      <c r="B401" s="466" t="s">
        <v>111</v>
      </c>
      <c r="C401" s="631" t="s">
        <v>738</v>
      </c>
      <c r="D401" s="467" t="s">
        <v>869</v>
      </c>
      <c r="E401" s="474" t="s">
        <v>1722</v>
      </c>
      <c r="F401" s="469" t="s">
        <v>112</v>
      </c>
      <c r="G401" s="470" t="s">
        <v>927</v>
      </c>
      <c r="H401" s="622" t="s">
        <v>916</v>
      </c>
      <c r="I401" s="633" t="s">
        <v>116</v>
      </c>
      <c r="J401" s="471" t="s">
        <v>913</v>
      </c>
      <c r="K401" s="469">
        <v>8</v>
      </c>
      <c r="L401" s="473"/>
      <c r="M401" s="623">
        <v>7</v>
      </c>
      <c r="N401" s="623">
        <v>2</v>
      </c>
      <c r="O401" s="624">
        <v>0.2857142857142857</v>
      </c>
      <c r="P401" s="624">
        <v>0.2857142857142857</v>
      </c>
      <c r="Q401" s="785">
        <f t="shared" si="6"/>
        <v>3.5714285714285712</v>
      </c>
      <c r="R401" s="468" t="s">
        <v>1718</v>
      </c>
      <c r="S401" s="629"/>
    </row>
    <row r="402" spans="1:19" ht="15" x14ac:dyDescent="0.25">
      <c r="A402" s="621" t="s">
        <v>351</v>
      </c>
      <c r="B402" s="466" t="s">
        <v>111</v>
      </c>
      <c r="C402" s="631" t="s">
        <v>101</v>
      </c>
      <c r="D402" s="467" t="s">
        <v>889</v>
      </c>
      <c r="E402" s="474"/>
      <c r="F402" s="469" t="s">
        <v>112</v>
      </c>
      <c r="G402" s="470" t="s">
        <v>927</v>
      </c>
      <c r="H402" s="622" t="s">
        <v>917</v>
      </c>
      <c r="I402" s="633" t="s">
        <v>116</v>
      </c>
      <c r="J402" s="471" t="s">
        <v>913</v>
      </c>
      <c r="K402" s="469">
        <v>17</v>
      </c>
      <c r="L402" s="473"/>
      <c r="M402" s="623">
        <v>112</v>
      </c>
      <c r="N402" s="623">
        <v>19</v>
      </c>
      <c r="O402" s="624">
        <v>0.16964285714285715</v>
      </c>
      <c r="P402" s="624">
        <v>0.16964285714285715</v>
      </c>
      <c r="Q402" s="785">
        <f t="shared" si="6"/>
        <v>0.99789915966386555</v>
      </c>
      <c r="R402" s="468" t="s">
        <v>1718</v>
      </c>
      <c r="S402" s="629"/>
    </row>
    <row r="403" spans="1:19" ht="15" x14ac:dyDescent="0.25">
      <c r="A403" s="621" t="s">
        <v>351</v>
      </c>
      <c r="B403" s="466" t="s">
        <v>111</v>
      </c>
      <c r="C403" s="631" t="s">
        <v>101</v>
      </c>
      <c r="D403" s="467" t="s">
        <v>881</v>
      </c>
      <c r="E403" s="474"/>
      <c r="F403" s="469" t="s">
        <v>112</v>
      </c>
      <c r="G403" s="470" t="s">
        <v>927</v>
      </c>
      <c r="H403" s="622" t="s">
        <v>916</v>
      </c>
      <c r="I403" s="633" t="s">
        <v>116</v>
      </c>
      <c r="J403" s="471" t="s">
        <v>913</v>
      </c>
      <c r="K403" s="469">
        <v>36</v>
      </c>
      <c r="L403" s="473"/>
      <c r="M403" s="623">
        <v>9</v>
      </c>
      <c r="N403" s="623">
        <v>2</v>
      </c>
      <c r="O403" s="624">
        <v>0.22222222222222221</v>
      </c>
      <c r="P403" s="624">
        <v>0.22222222222222221</v>
      </c>
      <c r="Q403" s="785">
        <f t="shared" si="6"/>
        <v>0.61728395061728392</v>
      </c>
      <c r="R403" s="468" t="s">
        <v>1718</v>
      </c>
      <c r="S403" s="629"/>
    </row>
    <row r="404" spans="1:19" ht="15" x14ac:dyDescent="0.25">
      <c r="A404" s="621" t="s">
        <v>351</v>
      </c>
      <c r="B404" s="466" t="s">
        <v>111</v>
      </c>
      <c r="C404" s="631" t="s">
        <v>101</v>
      </c>
      <c r="D404" s="467" t="s">
        <v>883</v>
      </c>
      <c r="E404" s="474" t="s">
        <v>1723</v>
      </c>
      <c r="F404" s="469" t="s">
        <v>112</v>
      </c>
      <c r="G404" s="470" t="s">
        <v>927</v>
      </c>
      <c r="H404" s="622" t="s">
        <v>916</v>
      </c>
      <c r="I404" s="633" t="s">
        <v>116</v>
      </c>
      <c r="J404" s="471" t="s">
        <v>913</v>
      </c>
      <c r="K404" s="469">
        <v>80</v>
      </c>
      <c r="L404" s="473"/>
      <c r="M404" s="623">
        <v>0</v>
      </c>
      <c r="N404" s="623">
        <v>0</v>
      </c>
      <c r="O404" s="624">
        <v>0</v>
      </c>
      <c r="P404" s="624">
        <v>0</v>
      </c>
      <c r="Q404" s="785" t="e">
        <f t="shared" si="6"/>
        <v>#DIV/0!</v>
      </c>
      <c r="R404" s="468" t="s">
        <v>1719</v>
      </c>
      <c r="S404" s="629"/>
    </row>
    <row r="405" spans="1:19" ht="15" x14ac:dyDescent="0.25">
      <c r="A405" s="621" t="s">
        <v>351</v>
      </c>
      <c r="B405" s="466" t="s">
        <v>111</v>
      </c>
      <c r="C405" s="631" t="s">
        <v>101</v>
      </c>
      <c r="D405" s="467" t="s">
        <v>866</v>
      </c>
      <c r="E405" s="474" t="s">
        <v>1723</v>
      </c>
      <c r="F405" s="469" t="s">
        <v>112</v>
      </c>
      <c r="G405" s="470" t="s">
        <v>927</v>
      </c>
      <c r="H405" s="622" t="s">
        <v>916</v>
      </c>
      <c r="I405" s="633" t="s">
        <v>116</v>
      </c>
      <c r="J405" s="471" t="s">
        <v>913</v>
      </c>
      <c r="K405" s="469" t="s">
        <v>79</v>
      </c>
      <c r="L405" s="473"/>
      <c r="M405" s="623">
        <v>13</v>
      </c>
      <c r="N405" s="623">
        <v>2</v>
      </c>
      <c r="O405" s="624">
        <v>0.15384615384615385</v>
      </c>
      <c r="P405" s="624">
        <v>0.15384615384615385</v>
      </c>
      <c r="Q405" s="785" t="e">
        <f t="shared" si="6"/>
        <v>#VALUE!</v>
      </c>
      <c r="R405" s="468" t="s">
        <v>1718</v>
      </c>
      <c r="S405" s="629"/>
    </row>
    <row r="406" spans="1:19" ht="15" x14ac:dyDescent="0.25">
      <c r="A406" s="621" t="s">
        <v>351</v>
      </c>
      <c r="B406" s="466" t="s">
        <v>111</v>
      </c>
      <c r="C406" s="631" t="s">
        <v>101</v>
      </c>
      <c r="D406" s="467" t="s">
        <v>869</v>
      </c>
      <c r="E406" s="474" t="s">
        <v>1723</v>
      </c>
      <c r="F406" s="469" t="s">
        <v>112</v>
      </c>
      <c r="G406" s="470" t="s">
        <v>927</v>
      </c>
      <c r="H406" s="622" t="s">
        <v>916</v>
      </c>
      <c r="I406" s="633" t="s">
        <v>116</v>
      </c>
      <c r="J406" s="471" t="s">
        <v>913</v>
      </c>
      <c r="K406" s="469" t="s">
        <v>79</v>
      </c>
      <c r="L406" s="473"/>
      <c r="M406" s="623">
        <v>0</v>
      </c>
      <c r="N406" s="623">
        <v>0</v>
      </c>
      <c r="O406" s="624">
        <v>0</v>
      </c>
      <c r="P406" s="624">
        <v>0</v>
      </c>
      <c r="Q406" s="785" t="e">
        <f t="shared" si="6"/>
        <v>#VALUE!</v>
      </c>
      <c r="R406" s="468" t="s">
        <v>1719</v>
      </c>
      <c r="S406" s="629"/>
    </row>
    <row r="407" spans="1:19" ht="15" x14ac:dyDescent="0.25">
      <c r="A407" s="621" t="s">
        <v>351</v>
      </c>
      <c r="B407" s="466" t="s">
        <v>111</v>
      </c>
      <c r="C407" s="631" t="s">
        <v>885</v>
      </c>
      <c r="D407" s="467" t="s">
        <v>889</v>
      </c>
      <c r="E407" s="474"/>
      <c r="F407" s="469" t="s">
        <v>112</v>
      </c>
      <c r="G407" s="470" t="s">
        <v>927</v>
      </c>
      <c r="H407" s="622" t="s">
        <v>917</v>
      </c>
      <c r="I407" s="633" t="s">
        <v>116</v>
      </c>
      <c r="J407" s="471" t="s">
        <v>913</v>
      </c>
      <c r="K407" s="469">
        <v>13</v>
      </c>
      <c r="L407" s="473"/>
      <c r="M407" s="623">
        <v>0</v>
      </c>
      <c r="N407" s="623">
        <v>0</v>
      </c>
      <c r="O407" s="624">
        <v>0</v>
      </c>
      <c r="P407" s="624">
        <v>0</v>
      </c>
      <c r="Q407" s="785" t="e">
        <f t="shared" si="6"/>
        <v>#DIV/0!</v>
      </c>
      <c r="R407" s="468" t="s">
        <v>1719</v>
      </c>
      <c r="S407" s="629"/>
    </row>
    <row r="408" spans="1:19" ht="15" x14ac:dyDescent="0.25">
      <c r="A408" s="621" t="s">
        <v>351</v>
      </c>
      <c r="B408" s="466" t="s">
        <v>111</v>
      </c>
      <c r="C408" s="631" t="s">
        <v>885</v>
      </c>
      <c r="D408" s="467" t="s">
        <v>881</v>
      </c>
      <c r="E408" s="474"/>
      <c r="F408" s="469" t="s">
        <v>112</v>
      </c>
      <c r="G408" s="470" t="s">
        <v>927</v>
      </c>
      <c r="H408" s="622" t="s">
        <v>916</v>
      </c>
      <c r="I408" s="633" t="s">
        <v>116</v>
      </c>
      <c r="J408" s="471" t="s">
        <v>913</v>
      </c>
      <c r="K408" s="469">
        <v>13</v>
      </c>
      <c r="L408" s="473"/>
      <c r="M408" s="623">
        <v>5</v>
      </c>
      <c r="N408" s="623">
        <v>0</v>
      </c>
      <c r="O408" s="624">
        <v>0</v>
      </c>
      <c r="P408" s="624">
        <v>0</v>
      </c>
      <c r="Q408" s="785">
        <f t="shared" si="6"/>
        <v>0</v>
      </c>
      <c r="R408" s="468" t="s">
        <v>1719</v>
      </c>
      <c r="S408" s="629"/>
    </row>
    <row r="409" spans="1:19" ht="15" x14ac:dyDescent="0.25">
      <c r="A409" s="621" t="s">
        <v>351</v>
      </c>
      <c r="B409" s="466" t="s">
        <v>111</v>
      </c>
      <c r="C409" s="631" t="s">
        <v>885</v>
      </c>
      <c r="D409" s="467" t="s">
        <v>883</v>
      </c>
      <c r="E409" s="474" t="s">
        <v>1724</v>
      </c>
      <c r="F409" s="469" t="s">
        <v>112</v>
      </c>
      <c r="G409" s="470" t="s">
        <v>927</v>
      </c>
      <c r="H409" s="622" t="s">
        <v>916</v>
      </c>
      <c r="I409" s="633" t="s">
        <v>116</v>
      </c>
      <c r="J409" s="471" t="s">
        <v>913</v>
      </c>
      <c r="K409" s="469" t="s">
        <v>79</v>
      </c>
      <c r="L409" s="473"/>
      <c r="M409" s="623">
        <v>5</v>
      </c>
      <c r="N409" s="623">
        <v>0</v>
      </c>
      <c r="O409" s="624">
        <v>0</v>
      </c>
      <c r="P409" s="624">
        <v>0</v>
      </c>
      <c r="Q409" s="785" t="e">
        <f t="shared" si="6"/>
        <v>#VALUE!</v>
      </c>
      <c r="R409" s="468" t="s">
        <v>1719</v>
      </c>
      <c r="S409" s="629"/>
    </row>
    <row r="410" spans="1:19" ht="15" x14ac:dyDescent="0.25">
      <c r="A410" s="621" t="s">
        <v>351</v>
      </c>
      <c r="B410" s="466" t="s">
        <v>111</v>
      </c>
      <c r="C410" s="631" t="s">
        <v>885</v>
      </c>
      <c r="D410" s="467" t="s">
        <v>866</v>
      </c>
      <c r="E410" s="474" t="s">
        <v>1724</v>
      </c>
      <c r="F410" s="469" t="s">
        <v>112</v>
      </c>
      <c r="G410" s="470" t="s">
        <v>927</v>
      </c>
      <c r="H410" s="622" t="s">
        <v>916</v>
      </c>
      <c r="I410" s="633" t="s">
        <v>116</v>
      </c>
      <c r="J410" s="471" t="s">
        <v>913</v>
      </c>
      <c r="K410" s="469" t="s">
        <v>79</v>
      </c>
      <c r="L410" s="473"/>
      <c r="M410" s="623">
        <v>0</v>
      </c>
      <c r="N410" s="623">
        <v>0</v>
      </c>
      <c r="O410" s="624">
        <v>0</v>
      </c>
      <c r="P410" s="624">
        <v>0</v>
      </c>
      <c r="Q410" s="785" t="e">
        <f t="shared" si="6"/>
        <v>#VALUE!</v>
      </c>
      <c r="R410" s="468" t="s">
        <v>1719</v>
      </c>
      <c r="S410" s="629"/>
    </row>
    <row r="411" spans="1:19" ht="15" x14ac:dyDescent="0.25">
      <c r="A411" s="621" t="s">
        <v>351</v>
      </c>
      <c r="B411" s="466" t="s">
        <v>111</v>
      </c>
      <c r="C411" s="631" t="s">
        <v>885</v>
      </c>
      <c r="D411" s="467" t="s">
        <v>869</v>
      </c>
      <c r="E411" s="474"/>
      <c r="F411" s="469" t="s">
        <v>112</v>
      </c>
      <c r="G411" s="470" t="s">
        <v>927</v>
      </c>
      <c r="H411" s="622" t="s">
        <v>916</v>
      </c>
      <c r="I411" s="633" t="s">
        <v>116</v>
      </c>
      <c r="J411" s="471" t="s">
        <v>913</v>
      </c>
      <c r="K411" s="469">
        <v>25</v>
      </c>
      <c r="L411" s="473"/>
      <c r="M411" s="623">
        <v>12</v>
      </c>
      <c r="N411" s="623">
        <v>5</v>
      </c>
      <c r="O411" s="624">
        <v>0.41666666666666669</v>
      </c>
      <c r="P411" s="624">
        <v>0.41666666666666669</v>
      </c>
      <c r="Q411" s="785">
        <f t="shared" si="6"/>
        <v>1.6666666666666667</v>
      </c>
      <c r="R411" s="468" t="s">
        <v>1718</v>
      </c>
      <c r="S411" s="629"/>
    </row>
    <row r="412" spans="1:19" ht="15" x14ac:dyDescent="0.25">
      <c r="A412" s="621" t="s">
        <v>351</v>
      </c>
      <c r="B412" s="466" t="s">
        <v>111</v>
      </c>
      <c r="C412" s="631" t="s">
        <v>885</v>
      </c>
      <c r="D412" s="467" t="s">
        <v>887</v>
      </c>
      <c r="E412" s="474"/>
      <c r="F412" s="469" t="s">
        <v>112</v>
      </c>
      <c r="G412" s="470" t="s">
        <v>927</v>
      </c>
      <c r="H412" s="622" t="s">
        <v>916</v>
      </c>
      <c r="I412" s="633" t="s">
        <v>116</v>
      </c>
      <c r="J412" s="471" t="s">
        <v>913</v>
      </c>
      <c r="K412" s="469">
        <v>10</v>
      </c>
      <c r="L412" s="473"/>
      <c r="M412" s="623">
        <v>20</v>
      </c>
      <c r="N412" s="623">
        <v>8</v>
      </c>
      <c r="O412" s="624">
        <v>0.4</v>
      </c>
      <c r="P412" s="624">
        <v>0.4</v>
      </c>
      <c r="Q412" s="785">
        <f t="shared" si="6"/>
        <v>4</v>
      </c>
      <c r="R412" s="468" t="s">
        <v>1718</v>
      </c>
      <c r="S412" s="629"/>
    </row>
    <row r="413" spans="1:19" ht="15" x14ac:dyDescent="0.25">
      <c r="A413" s="621" t="s">
        <v>351</v>
      </c>
      <c r="B413" s="466" t="s">
        <v>111</v>
      </c>
      <c r="C413" s="631" t="s">
        <v>904</v>
      </c>
      <c r="D413" s="467" t="s">
        <v>881</v>
      </c>
      <c r="E413" s="474" t="s">
        <v>1718</v>
      </c>
      <c r="F413" s="469" t="s">
        <v>112</v>
      </c>
      <c r="G413" s="470" t="s">
        <v>927</v>
      </c>
      <c r="H413" s="622" t="s">
        <v>916</v>
      </c>
      <c r="I413" s="633" t="s">
        <v>116</v>
      </c>
      <c r="J413" s="471" t="s">
        <v>913</v>
      </c>
      <c r="K413" s="469" t="s">
        <v>79</v>
      </c>
      <c r="L413" s="473"/>
      <c r="M413" s="623">
        <v>0</v>
      </c>
      <c r="N413" s="623">
        <v>0</v>
      </c>
      <c r="O413" s="624">
        <v>0</v>
      </c>
      <c r="P413" s="624">
        <v>0</v>
      </c>
      <c r="Q413" s="785" t="e">
        <f t="shared" si="6"/>
        <v>#VALUE!</v>
      </c>
      <c r="R413" s="468" t="s">
        <v>1719</v>
      </c>
      <c r="S413" s="629"/>
    </row>
    <row r="414" spans="1:19" ht="15" x14ac:dyDescent="0.25">
      <c r="A414" s="621" t="s">
        <v>351</v>
      </c>
      <c r="B414" s="466" t="s">
        <v>111</v>
      </c>
      <c r="C414" s="631" t="s">
        <v>904</v>
      </c>
      <c r="D414" s="467" t="s">
        <v>883</v>
      </c>
      <c r="E414" s="474" t="s">
        <v>1725</v>
      </c>
      <c r="F414" s="469" t="s">
        <v>112</v>
      </c>
      <c r="G414" s="470" t="s">
        <v>927</v>
      </c>
      <c r="H414" s="622" t="s">
        <v>916</v>
      </c>
      <c r="I414" s="633" t="s">
        <v>116</v>
      </c>
      <c r="J414" s="471" t="s">
        <v>913</v>
      </c>
      <c r="K414" s="469" t="s">
        <v>79</v>
      </c>
      <c r="L414" s="473"/>
      <c r="M414" s="623">
        <v>1</v>
      </c>
      <c r="N414" s="623">
        <v>1</v>
      </c>
      <c r="O414" s="624">
        <v>1</v>
      </c>
      <c r="P414" s="624">
        <v>1</v>
      </c>
      <c r="Q414" s="785" t="e">
        <f t="shared" si="6"/>
        <v>#VALUE!</v>
      </c>
      <c r="R414" s="468" t="s">
        <v>1718</v>
      </c>
      <c r="S414" s="629"/>
    </row>
    <row r="415" spans="1:19" ht="15" x14ac:dyDescent="0.25">
      <c r="A415" s="621" t="s">
        <v>351</v>
      </c>
      <c r="B415" s="466" t="s">
        <v>111</v>
      </c>
      <c r="C415" s="631" t="s">
        <v>740</v>
      </c>
      <c r="D415" s="467" t="s">
        <v>889</v>
      </c>
      <c r="E415" s="474"/>
      <c r="F415" s="469" t="s">
        <v>112</v>
      </c>
      <c r="G415" s="470" t="s">
        <v>927</v>
      </c>
      <c r="H415" s="622" t="s">
        <v>917</v>
      </c>
      <c r="I415" s="633" t="s">
        <v>116</v>
      </c>
      <c r="J415" s="471" t="s">
        <v>913</v>
      </c>
      <c r="K415" s="469">
        <v>38</v>
      </c>
      <c r="L415" s="473"/>
      <c r="M415" s="623">
        <v>37</v>
      </c>
      <c r="N415" s="623">
        <v>3</v>
      </c>
      <c r="O415" s="624">
        <v>8.1081081081081086E-2</v>
      </c>
      <c r="P415" s="624">
        <v>8.1081081081081086E-2</v>
      </c>
      <c r="Q415" s="785">
        <f t="shared" si="6"/>
        <v>0.21337126600284495</v>
      </c>
      <c r="R415" s="468" t="s">
        <v>1718</v>
      </c>
      <c r="S415" s="629"/>
    </row>
    <row r="416" spans="1:19" ht="15" x14ac:dyDescent="0.25">
      <c r="A416" s="621" t="s">
        <v>351</v>
      </c>
      <c r="B416" s="466" t="s">
        <v>111</v>
      </c>
      <c r="C416" s="631" t="s">
        <v>740</v>
      </c>
      <c r="D416" s="467" t="s">
        <v>881</v>
      </c>
      <c r="E416" s="474" t="s">
        <v>1726</v>
      </c>
      <c r="F416" s="469" t="s">
        <v>112</v>
      </c>
      <c r="G416" s="470" t="s">
        <v>927</v>
      </c>
      <c r="H416" s="622" t="s">
        <v>916</v>
      </c>
      <c r="I416" s="633" t="s">
        <v>116</v>
      </c>
      <c r="J416" s="471" t="s">
        <v>913</v>
      </c>
      <c r="K416" s="469" t="s">
        <v>79</v>
      </c>
      <c r="L416" s="473"/>
      <c r="M416" s="623">
        <v>4</v>
      </c>
      <c r="N416" s="623">
        <v>0</v>
      </c>
      <c r="O416" s="624">
        <v>0</v>
      </c>
      <c r="P416" s="624">
        <v>0</v>
      </c>
      <c r="Q416" s="785" t="e">
        <f t="shared" si="6"/>
        <v>#VALUE!</v>
      </c>
      <c r="R416" s="468" t="s">
        <v>1719</v>
      </c>
      <c r="S416" s="629"/>
    </row>
    <row r="417" spans="1:19" ht="15" x14ac:dyDescent="0.25">
      <c r="A417" s="621" t="s">
        <v>351</v>
      </c>
      <c r="B417" s="466" t="s">
        <v>111</v>
      </c>
      <c r="C417" s="631" t="s">
        <v>740</v>
      </c>
      <c r="D417" s="467" t="s">
        <v>883</v>
      </c>
      <c r="E417" s="474" t="s">
        <v>1726</v>
      </c>
      <c r="F417" s="469" t="s">
        <v>112</v>
      </c>
      <c r="G417" s="470" t="s">
        <v>927</v>
      </c>
      <c r="H417" s="622" t="s">
        <v>916</v>
      </c>
      <c r="I417" s="633" t="s">
        <v>116</v>
      </c>
      <c r="J417" s="471" t="s">
        <v>913</v>
      </c>
      <c r="K417" s="469" t="s">
        <v>79</v>
      </c>
      <c r="L417" s="473"/>
      <c r="M417" s="623">
        <v>0</v>
      </c>
      <c r="N417" s="623">
        <v>0</v>
      </c>
      <c r="O417" s="624">
        <v>0</v>
      </c>
      <c r="P417" s="624">
        <v>0</v>
      </c>
      <c r="Q417" s="785" t="e">
        <f t="shared" si="6"/>
        <v>#VALUE!</v>
      </c>
      <c r="R417" s="468" t="s">
        <v>1719</v>
      </c>
      <c r="S417" s="629"/>
    </row>
    <row r="418" spans="1:19" ht="15" x14ac:dyDescent="0.25">
      <c r="A418" s="621" t="s">
        <v>351</v>
      </c>
      <c r="B418" s="466" t="s">
        <v>111</v>
      </c>
      <c r="C418" s="631" t="s">
        <v>894</v>
      </c>
      <c r="D418" s="467" t="s">
        <v>889</v>
      </c>
      <c r="E418" s="474"/>
      <c r="F418" s="469" t="s">
        <v>112</v>
      </c>
      <c r="G418" s="470" t="s">
        <v>927</v>
      </c>
      <c r="H418" s="622" t="s">
        <v>917</v>
      </c>
      <c r="I418" s="633" t="s">
        <v>116</v>
      </c>
      <c r="J418" s="471" t="s">
        <v>913</v>
      </c>
      <c r="K418" s="469">
        <v>5</v>
      </c>
      <c r="L418" s="473"/>
      <c r="M418" s="623">
        <v>543</v>
      </c>
      <c r="N418" s="623">
        <v>32</v>
      </c>
      <c r="O418" s="624">
        <v>5.8931860036832415E-2</v>
      </c>
      <c r="P418" s="624">
        <v>5.8931860036832415E-2</v>
      </c>
      <c r="Q418" s="785">
        <f t="shared" si="6"/>
        <v>1.1786372007366483</v>
      </c>
      <c r="R418" s="468" t="s">
        <v>1718</v>
      </c>
      <c r="S418" s="629"/>
    </row>
    <row r="419" spans="1:19" ht="15" x14ac:dyDescent="0.25">
      <c r="A419" s="621" t="s">
        <v>351</v>
      </c>
      <c r="B419" s="466" t="s">
        <v>111</v>
      </c>
      <c r="C419" s="631" t="s">
        <v>894</v>
      </c>
      <c r="D419" s="467" t="s">
        <v>881</v>
      </c>
      <c r="E419" s="474"/>
      <c r="F419" s="469" t="s">
        <v>112</v>
      </c>
      <c r="G419" s="470" t="s">
        <v>927</v>
      </c>
      <c r="H419" s="622" t="s">
        <v>916</v>
      </c>
      <c r="I419" s="633" t="s">
        <v>116</v>
      </c>
      <c r="J419" s="471" t="s">
        <v>913</v>
      </c>
      <c r="K419" s="469">
        <v>32</v>
      </c>
      <c r="L419" s="473"/>
      <c r="M419" s="623">
        <v>78</v>
      </c>
      <c r="N419" s="623">
        <v>28</v>
      </c>
      <c r="O419" s="624">
        <v>0.35897435897435898</v>
      </c>
      <c r="P419" s="624">
        <v>0.35897435897435898</v>
      </c>
      <c r="Q419" s="785">
        <f t="shared" si="6"/>
        <v>1.1217948717948718</v>
      </c>
      <c r="R419" s="468" t="s">
        <v>1718</v>
      </c>
      <c r="S419" s="629"/>
    </row>
    <row r="420" spans="1:19" ht="15" x14ac:dyDescent="0.25">
      <c r="A420" s="621" t="s">
        <v>351</v>
      </c>
      <c r="B420" s="466" t="s">
        <v>111</v>
      </c>
      <c r="C420" s="631" t="s">
        <v>894</v>
      </c>
      <c r="D420" s="467" t="s">
        <v>883</v>
      </c>
      <c r="E420" s="474" t="s">
        <v>1727</v>
      </c>
      <c r="F420" s="469" t="s">
        <v>112</v>
      </c>
      <c r="G420" s="470" t="s">
        <v>927</v>
      </c>
      <c r="H420" s="622" t="s">
        <v>916</v>
      </c>
      <c r="I420" s="633" t="s">
        <v>116</v>
      </c>
      <c r="J420" s="471" t="s">
        <v>913</v>
      </c>
      <c r="K420" s="469">
        <v>33</v>
      </c>
      <c r="L420" s="473"/>
      <c r="M420" s="623">
        <v>25</v>
      </c>
      <c r="N420" s="623">
        <v>9</v>
      </c>
      <c r="O420" s="624">
        <v>0.36</v>
      </c>
      <c r="P420" s="624">
        <v>0.36</v>
      </c>
      <c r="Q420" s="785">
        <f t="shared" si="6"/>
        <v>1.0909090909090908</v>
      </c>
      <c r="R420" s="468" t="s">
        <v>1718</v>
      </c>
      <c r="S420" s="629"/>
    </row>
    <row r="421" spans="1:19" ht="15" x14ac:dyDescent="0.25">
      <c r="A421" s="621" t="s">
        <v>351</v>
      </c>
      <c r="B421" s="466" t="s">
        <v>111</v>
      </c>
      <c r="C421" s="631" t="s">
        <v>894</v>
      </c>
      <c r="D421" s="467" t="s">
        <v>869</v>
      </c>
      <c r="E421" s="474" t="s">
        <v>1727</v>
      </c>
      <c r="F421" s="469" t="s">
        <v>112</v>
      </c>
      <c r="G421" s="470" t="s">
        <v>927</v>
      </c>
      <c r="H421" s="622" t="s">
        <v>916</v>
      </c>
      <c r="I421" s="633" t="s">
        <v>116</v>
      </c>
      <c r="J421" s="471" t="s">
        <v>913</v>
      </c>
      <c r="K421" s="469" t="s">
        <v>79</v>
      </c>
      <c r="L421" s="473"/>
      <c r="M421" s="623">
        <v>0</v>
      </c>
      <c r="N421" s="623">
        <v>0</v>
      </c>
      <c r="O421" s="624">
        <v>0</v>
      </c>
      <c r="P421" s="624">
        <v>0</v>
      </c>
      <c r="Q421" s="785" t="e">
        <f t="shared" si="6"/>
        <v>#VALUE!</v>
      </c>
      <c r="R421" s="468" t="s">
        <v>1719</v>
      </c>
      <c r="S421" s="629"/>
    </row>
    <row r="422" spans="1:19" ht="15" x14ac:dyDescent="0.25">
      <c r="A422" s="621" t="s">
        <v>351</v>
      </c>
      <c r="B422" s="466" t="s">
        <v>111</v>
      </c>
      <c r="C422" s="631" t="s">
        <v>99</v>
      </c>
      <c r="D422" s="467" t="s">
        <v>866</v>
      </c>
      <c r="E422" s="474" t="s">
        <v>1720</v>
      </c>
      <c r="F422" s="469" t="s">
        <v>112</v>
      </c>
      <c r="G422" s="470" t="s">
        <v>1791</v>
      </c>
      <c r="H422" s="622" t="s">
        <v>916</v>
      </c>
      <c r="I422" s="633" t="s">
        <v>116</v>
      </c>
      <c r="J422" s="471" t="s">
        <v>913</v>
      </c>
      <c r="K422" s="469">
        <v>33</v>
      </c>
      <c r="L422" s="473"/>
      <c r="M422" s="623">
        <v>0</v>
      </c>
      <c r="N422" s="623">
        <v>0</v>
      </c>
      <c r="O422" s="624">
        <v>0</v>
      </c>
      <c r="P422" s="624">
        <v>0</v>
      </c>
      <c r="Q422" s="785" t="e">
        <f t="shared" si="6"/>
        <v>#DIV/0!</v>
      </c>
      <c r="R422" s="468" t="s">
        <v>1719</v>
      </c>
      <c r="S422" s="629"/>
    </row>
    <row r="423" spans="1:19" ht="15" x14ac:dyDescent="0.25">
      <c r="A423" s="621" t="s">
        <v>351</v>
      </c>
      <c r="B423" s="466" t="s">
        <v>111</v>
      </c>
      <c r="C423" s="631" t="s">
        <v>99</v>
      </c>
      <c r="D423" s="467" t="s">
        <v>869</v>
      </c>
      <c r="E423" s="474" t="s">
        <v>1720</v>
      </c>
      <c r="F423" s="469" t="s">
        <v>112</v>
      </c>
      <c r="G423" s="470" t="s">
        <v>1791</v>
      </c>
      <c r="H423" s="622" t="s">
        <v>916</v>
      </c>
      <c r="I423" s="633" t="s">
        <v>116</v>
      </c>
      <c r="J423" s="471" t="s">
        <v>913</v>
      </c>
      <c r="K423" s="469">
        <v>33</v>
      </c>
      <c r="L423" s="473"/>
      <c r="M423" s="623">
        <v>14</v>
      </c>
      <c r="N423" s="623">
        <v>2</v>
      </c>
      <c r="O423" s="624">
        <v>0.14285714285714285</v>
      </c>
      <c r="P423" s="624">
        <v>0.14285714285714285</v>
      </c>
      <c r="Q423" s="785">
        <f t="shared" si="6"/>
        <v>0.4329004329004329</v>
      </c>
      <c r="R423" s="468" t="s">
        <v>1718</v>
      </c>
      <c r="S423" s="629"/>
    </row>
    <row r="424" spans="1:19" ht="15" x14ac:dyDescent="0.25">
      <c r="A424" s="621" t="s">
        <v>351</v>
      </c>
      <c r="B424" s="466" t="s">
        <v>111</v>
      </c>
      <c r="C424" s="631" t="s">
        <v>870</v>
      </c>
      <c r="D424" s="467" t="s">
        <v>889</v>
      </c>
      <c r="E424" s="474"/>
      <c r="F424" s="469" t="s">
        <v>112</v>
      </c>
      <c r="G424" s="470" t="s">
        <v>1791</v>
      </c>
      <c r="H424" s="622" t="s">
        <v>917</v>
      </c>
      <c r="I424" s="633" t="s">
        <v>116</v>
      </c>
      <c r="J424" s="471" t="s">
        <v>913</v>
      </c>
      <c r="K424" s="469">
        <v>16</v>
      </c>
      <c r="L424" s="473"/>
      <c r="M424" s="623">
        <v>50</v>
      </c>
      <c r="N424" s="623">
        <v>4</v>
      </c>
      <c r="O424" s="624">
        <v>0.08</v>
      </c>
      <c r="P424" s="624">
        <v>0.08</v>
      </c>
      <c r="Q424" s="785">
        <f t="shared" si="6"/>
        <v>0.5</v>
      </c>
      <c r="R424" s="468" t="s">
        <v>1718</v>
      </c>
      <c r="S424" s="629"/>
    </row>
    <row r="425" spans="1:19" ht="15" x14ac:dyDescent="0.25">
      <c r="A425" s="621" t="s">
        <v>351</v>
      </c>
      <c r="B425" s="466" t="s">
        <v>111</v>
      </c>
      <c r="C425" s="631" t="s">
        <v>870</v>
      </c>
      <c r="D425" s="467" t="s">
        <v>881</v>
      </c>
      <c r="E425" s="474"/>
      <c r="F425" s="469" t="s">
        <v>112</v>
      </c>
      <c r="G425" s="470" t="s">
        <v>1791</v>
      </c>
      <c r="H425" s="622" t="s">
        <v>916</v>
      </c>
      <c r="I425" s="633" t="s">
        <v>116</v>
      </c>
      <c r="J425" s="471" t="s">
        <v>913</v>
      </c>
      <c r="K425" s="469">
        <v>16</v>
      </c>
      <c r="L425" s="473"/>
      <c r="M425" s="623">
        <v>19</v>
      </c>
      <c r="N425" s="623">
        <v>3</v>
      </c>
      <c r="O425" s="624">
        <v>0.15789473684210525</v>
      </c>
      <c r="P425" s="624">
        <v>0.15789473684210525</v>
      </c>
      <c r="Q425" s="785">
        <f t="shared" si="6"/>
        <v>0.98684210526315785</v>
      </c>
      <c r="R425" s="468" t="s">
        <v>1718</v>
      </c>
      <c r="S425" s="629"/>
    </row>
    <row r="426" spans="1:19" ht="15" x14ac:dyDescent="0.25">
      <c r="A426" s="621" t="s">
        <v>351</v>
      </c>
      <c r="B426" s="466" t="s">
        <v>111</v>
      </c>
      <c r="C426" s="631" t="s">
        <v>870</v>
      </c>
      <c r="D426" s="467" t="s">
        <v>883</v>
      </c>
      <c r="E426" s="474"/>
      <c r="F426" s="469" t="s">
        <v>112</v>
      </c>
      <c r="G426" s="470" t="s">
        <v>1791</v>
      </c>
      <c r="H426" s="622" t="s">
        <v>916</v>
      </c>
      <c r="I426" s="633" t="s">
        <v>116</v>
      </c>
      <c r="J426" s="471" t="s">
        <v>913</v>
      </c>
      <c r="K426" s="469">
        <v>6</v>
      </c>
      <c r="L426" s="473"/>
      <c r="M426" s="623">
        <v>39</v>
      </c>
      <c r="N426" s="623">
        <v>9</v>
      </c>
      <c r="O426" s="624">
        <v>0.23076923076923078</v>
      </c>
      <c r="P426" s="624">
        <v>0.23076923076923078</v>
      </c>
      <c r="Q426" s="785">
        <f t="shared" si="6"/>
        <v>3.8461538461538463</v>
      </c>
      <c r="R426" s="468" t="s">
        <v>1718</v>
      </c>
      <c r="S426" s="629"/>
    </row>
    <row r="427" spans="1:19" ht="15" x14ac:dyDescent="0.25">
      <c r="A427" s="621" t="s">
        <v>351</v>
      </c>
      <c r="B427" s="466" t="s">
        <v>111</v>
      </c>
      <c r="C427" s="631" t="s">
        <v>870</v>
      </c>
      <c r="D427" s="467" t="s">
        <v>866</v>
      </c>
      <c r="E427" s="474"/>
      <c r="F427" s="469" t="s">
        <v>112</v>
      </c>
      <c r="G427" s="470" t="s">
        <v>1791</v>
      </c>
      <c r="H427" s="622" t="s">
        <v>916</v>
      </c>
      <c r="I427" s="633" t="s">
        <v>116</v>
      </c>
      <c r="J427" s="471" t="s">
        <v>913</v>
      </c>
      <c r="K427" s="469">
        <v>8</v>
      </c>
      <c r="L427" s="473"/>
      <c r="M427" s="623">
        <v>67</v>
      </c>
      <c r="N427" s="623">
        <v>17</v>
      </c>
      <c r="O427" s="624">
        <v>0.2537313432835821</v>
      </c>
      <c r="P427" s="624">
        <v>0.2537313432835821</v>
      </c>
      <c r="Q427" s="785">
        <f t="shared" si="6"/>
        <v>3.1716417910447761</v>
      </c>
      <c r="R427" s="468" t="s">
        <v>1718</v>
      </c>
      <c r="S427" s="629"/>
    </row>
    <row r="428" spans="1:19" ht="15" x14ac:dyDescent="0.25">
      <c r="A428" s="621" t="s">
        <v>351</v>
      </c>
      <c r="B428" s="466" t="s">
        <v>111</v>
      </c>
      <c r="C428" s="631" t="s">
        <v>870</v>
      </c>
      <c r="D428" s="467" t="s">
        <v>869</v>
      </c>
      <c r="E428" s="474"/>
      <c r="F428" s="469" t="s">
        <v>112</v>
      </c>
      <c r="G428" s="470" t="s">
        <v>1791</v>
      </c>
      <c r="H428" s="622" t="s">
        <v>916</v>
      </c>
      <c r="I428" s="633" t="s">
        <v>116</v>
      </c>
      <c r="J428" s="471" t="s">
        <v>913</v>
      </c>
      <c r="K428" s="469">
        <v>5</v>
      </c>
      <c r="L428" s="473"/>
      <c r="M428" s="623">
        <v>46</v>
      </c>
      <c r="N428" s="623">
        <v>18</v>
      </c>
      <c r="O428" s="624">
        <v>0.39130434782608697</v>
      </c>
      <c r="P428" s="624">
        <v>0.39130434782608697</v>
      </c>
      <c r="Q428" s="785">
        <f t="shared" si="6"/>
        <v>7.8260869565217401</v>
      </c>
      <c r="R428" s="468" t="s">
        <v>1718</v>
      </c>
      <c r="S428" s="629"/>
    </row>
    <row r="429" spans="1:19" ht="15" x14ac:dyDescent="0.25">
      <c r="A429" s="621" t="s">
        <v>351</v>
      </c>
      <c r="B429" s="466" t="s">
        <v>111</v>
      </c>
      <c r="C429" s="631" t="s">
        <v>738</v>
      </c>
      <c r="D429" s="467" t="s">
        <v>889</v>
      </c>
      <c r="E429" s="474"/>
      <c r="F429" s="469" t="s">
        <v>112</v>
      </c>
      <c r="G429" s="470" t="s">
        <v>1791</v>
      </c>
      <c r="H429" s="622" t="s">
        <v>917</v>
      </c>
      <c r="I429" s="633" t="s">
        <v>116</v>
      </c>
      <c r="J429" s="471" t="s">
        <v>913</v>
      </c>
      <c r="K429" s="469">
        <v>29</v>
      </c>
      <c r="L429" s="473"/>
      <c r="M429" s="623">
        <v>156</v>
      </c>
      <c r="N429" s="623">
        <v>7</v>
      </c>
      <c r="O429" s="624">
        <v>4.4871794871794872E-2</v>
      </c>
      <c r="P429" s="624">
        <v>4.4871794871794872E-2</v>
      </c>
      <c r="Q429" s="785">
        <f t="shared" si="6"/>
        <v>0.15473032714412024</v>
      </c>
      <c r="R429" s="468" t="s">
        <v>1718</v>
      </c>
      <c r="S429" s="629"/>
    </row>
    <row r="430" spans="1:19" ht="15" x14ac:dyDescent="0.25">
      <c r="A430" s="621" t="s">
        <v>351</v>
      </c>
      <c r="B430" s="466" t="s">
        <v>111</v>
      </c>
      <c r="C430" s="631" t="s">
        <v>738</v>
      </c>
      <c r="D430" s="467" t="s">
        <v>881</v>
      </c>
      <c r="E430" s="474" t="s">
        <v>1721</v>
      </c>
      <c r="F430" s="469" t="s">
        <v>112</v>
      </c>
      <c r="G430" s="470" t="s">
        <v>1791</v>
      </c>
      <c r="H430" s="622" t="s">
        <v>916</v>
      </c>
      <c r="I430" s="633" t="s">
        <v>116</v>
      </c>
      <c r="J430" s="471" t="s">
        <v>913</v>
      </c>
      <c r="K430" s="469">
        <v>8</v>
      </c>
      <c r="L430" s="473"/>
      <c r="M430" s="623">
        <v>54</v>
      </c>
      <c r="N430" s="623">
        <v>6</v>
      </c>
      <c r="O430" s="624">
        <v>0.1111111111111111</v>
      </c>
      <c r="P430" s="624">
        <v>0.1111111111111111</v>
      </c>
      <c r="Q430" s="785">
        <f t="shared" si="6"/>
        <v>1.3888888888888888</v>
      </c>
      <c r="R430" s="468" t="s">
        <v>1718</v>
      </c>
      <c r="S430" s="629"/>
    </row>
    <row r="431" spans="1:19" ht="15" x14ac:dyDescent="0.25">
      <c r="A431" s="621" t="s">
        <v>351</v>
      </c>
      <c r="B431" s="466" t="s">
        <v>111</v>
      </c>
      <c r="C431" s="631" t="s">
        <v>738</v>
      </c>
      <c r="D431" s="467" t="s">
        <v>883</v>
      </c>
      <c r="E431" s="474" t="s">
        <v>1721</v>
      </c>
      <c r="F431" s="469" t="s">
        <v>112</v>
      </c>
      <c r="G431" s="470" t="s">
        <v>1791</v>
      </c>
      <c r="H431" s="622" t="s">
        <v>916</v>
      </c>
      <c r="I431" s="633" t="s">
        <v>116</v>
      </c>
      <c r="J431" s="471" t="s">
        <v>913</v>
      </c>
      <c r="K431" s="469">
        <v>8</v>
      </c>
      <c r="L431" s="473"/>
      <c r="M431" s="623">
        <v>0</v>
      </c>
      <c r="N431" s="623">
        <v>0</v>
      </c>
      <c r="O431" s="624">
        <v>0</v>
      </c>
      <c r="P431" s="624">
        <v>0</v>
      </c>
      <c r="Q431" s="785" t="e">
        <f t="shared" si="6"/>
        <v>#DIV/0!</v>
      </c>
      <c r="R431" s="468" t="s">
        <v>1719</v>
      </c>
      <c r="S431" s="629"/>
    </row>
    <row r="432" spans="1:19" ht="15" x14ac:dyDescent="0.25">
      <c r="A432" s="621" t="s">
        <v>351</v>
      </c>
      <c r="B432" s="466" t="s">
        <v>111</v>
      </c>
      <c r="C432" s="631" t="s">
        <v>738</v>
      </c>
      <c r="D432" s="467" t="s">
        <v>866</v>
      </c>
      <c r="E432" s="474" t="s">
        <v>1722</v>
      </c>
      <c r="F432" s="469" t="s">
        <v>112</v>
      </c>
      <c r="G432" s="470" t="s">
        <v>1791</v>
      </c>
      <c r="H432" s="622" t="s">
        <v>916</v>
      </c>
      <c r="I432" s="633" t="s">
        <v>116</v>
      </c>
      <c r="J432" s="471" t="s">
        <v>913</v>
      </c>
      <c r="K432" s="469">
        <v>8</v>
      </c>
      <c r="L432" s="473"/>
      <c r="M432" s="623">
        <v>0</v>
      </c>
      <c r="N432" s="623">
        <v>1</v>
      </c>
      <c r="O432" s="624">
        <v>0</v>
      </c>
      <c r="P432" s="624">
        <v>0</v>
      </c>
      <c r="Q432" s="785" t="e">
        <f t="shared" si="6"/>
        <v>#DIV/0!</v>
      </c>
      <c r="R432" s="468" t="s">
        <v>1719</v>
      </c>
      <c r="S432" s="629"/>
    </row>
    <row r="433" spans="1:19" ht="15" x14ac:dyDescent="0.25">
      <c r="A433" s="621" t="s">
        <v>351</v>
      </c>
      <c r="B433" s="466" t="s">
        <v>111</v>
      </c>
      <c r="C433" s="631" t="s">
        <v>738</v>
      </c>
      <c r="D433" s="467" t="s">
        <v>869</v>
      </c>
      <c r="E433" s="474" t="s">
        <v>1722</v>
      </c>
      <c r="F433" s="469" t="s">
        <v>112</v>
      </c>
      <c r="G433" s="470" t="s">
        <v>1791</v>
      </c>
      <c r="H433" s="622" t="s">
        <v>916</v>
      </c>
      <c r="I433" s="633" t="s">
        <v>116</v>
      </c>
      <c r="J433" s="471" t="s">
        <v>913</v>
      </c>
      <c r="K433" s="469">
        <v>8</v>
      </c>
      <c r="L433" s="473"/>
      <c r="M433" s="623">
        <v>7</v>
      </c>
      <c r="N433" s="623">
        <v>2</v>
      </c>
      <c r="O433" s="624">
        <v>0.2857142857142857</v>
      </c>
      <c r="P433" s="624">
        <v>0.2857142857142857</v>
      </c>
      <c r="Q433" s="785">
        <f t="shared" si="6"/>
        <v>3.5714285714285712</v>
      </c>
      <c r="R433" s="468" t="s">
        <v>1718</v>
      </c>
      <c r="S433" s="629"/>
    </row>
    <row r="434" spans="1:19" ht="15" x14ac:dyDescent="0.25">
      <c r="A434" s="621" t="s">
        <v>351</v>
      </c>
      <c r="B434" s="466" t="s">
        <v>111</v>
      </c>
      <c r="C434" s="631" t="s">
        <v>101</v>
      </c>
      <c r="D434" s="467" t="s">
        <v>889</v>
      </c>
      <c r="E434" s="474"/>
      <c r="F434" s="469" t="s">
        <v>112</v>
      </c>
      <c r="G434" s="470" t="s">
        <v>1791</v>
      </c>
      <c r="H434" s="622" t="s">
        <v>917</v>
      </c>
      <c r="I434" s="633" t="s">
        <v>116</v>
      </c>
      <c r="J434" s="471" t="s">
        <v>913</v>
      </c>
      <c r="K434" s="469">
        <v>17</v>
      </c>
      <c r="L434" s="473"/>
      <c r="M434" s="623">
        <v>112</v>
      </c>
      <c r="N434" s="623">
        <v>19</v>
      </c>
      <c r="O434" s="624">
        <v>0.16964285714285715</v>
      </c>
      <c r="P434" s="624">
        <v>0.16964285714285715</v>
      </c>
      <c r="Q434" s="785">
        <f t="shared" si="6"/>
        <v>0.99789915966386555</v>
      </c>
      <c r="R434" s="468" t="s">
        <v>1718</v>
      </c>
      <c r="S434" s="629"/>
    </row>
    <row r="435" spans="1:19" ht="15" x14ac:dyDescent="0.25">
      <c r="A435" s="621" t="s">
        <v>351</v>
      </c>
      <c r="B435" s="466" t="s">
        <v>111</v>
      </c>
      <c r="C435" s="631" t="s">
        <v>101</v>
      </c>
      <c r="D435" s="467" t="s">
        <v>881</v>
      </c>
      <c r="E435" s="474"/>
      <c r="F435" s="469" t="s">
        <v>112</v>
      </c>
      <c r="G435" s="470" t="s">
        <v>1791</v>
      </c>
      <c r="H435" s="622" t="s">
        <v>916</v>
      </c>
      <c r="I435" s="633" t="s">
        <v>116</v>
      </c>
      <c r="J435" s="471" t="s">
        <v>913</v>
      </c>
      <c r="K435" s="469">
        <v>36</v>
      </c>
      <c r="L435" s="473"/>
      <c r="M435" s="623">
        <v>9</v>
      </c>
      <c r="N435" s="623">
        <v>2</v>
      </c>
      <c r="O435" s="624">
        <v>0.22222222222222221</v>
      </c>
      <c r="P435" s="624">
        <v>0.22222222222222221</v>
      </c>
      <c r="Q435" s="785">
        <f t="shared" si="6"/>
        <v>0.61728395061728392</v>
      </c>
      <c r="R435" s="468" t="s">
        <v>1718</v>
      </c>
      <c r="S435" s="629"/>
    </row>
    <row r="436" spans="1:19" ht="15" x14ac:dyDescent="0.25">
      <c r="A436" s="621" t="s">
        <v>351</v>
      </c>
      <c r="B436" s="466" t="s">
        <v>111</v>
      </c>
      <c r="C436" s="631" t="s">
        <v>101</v>
      </c>
      <c r="D436" s="467" t="s">
        <v>883</v>
      </c>
      <c r="E436" s="474" t="s">
        <v>1723</v>
      </c>
      <c r="F436" s="469" t="s">
        <v>112</v>
      </c>
      <c r="G436" s="470" t="s">
        <v>1791</v>
      </c>
      <c r="H436" s="622" t="s">
        <v>916</v>
      </c>
      <c r="I436" s="633" t="s">
        <v>116</v>
      </c>
      <c r="J436" s="471" t="s">
        <v>913</v>
      </c>
      <c r="K436" s="469">
        <v>80</v>
      </c>
      <c r="L436" s="473"/>
      <c r="M436" s="623">
        <v>0</v>
      </c>
      <c r="N436" s="623">
        <v>0</v>
      </c>
      <c r="O436" s="624">
        <v>0</v>
      </c>
      <c r="P436" s="624">
        <v>0</v>
      </c>
      <c r="Q436" s="785" t="e">
        <f t="shared" si="6"/>
        <v>#DIV/0!</v>
      </c>
      <c r="R436" s="468" t="s">
        <v>1719</v>
      </c>
      <c r="S436" s="629"/>
    </row>
    <row r="437" spans="1:19" ht="15" x14ac:dyDescent="0.25">
      <c r="A437" s="621" t="s">
        <v>351</v>
      </c>
      <c r="B437" s="466" t="s">
        <v>111</v>
      </c>
      <c r="C437" s="631" t="s">
        <v>101</v>
      </c>
      <c r="D437" s="467" t="s">
        <v>866</v>
      </c>
      <c r="E437" s="474" t="s">
        <v>1723</v>
      </c>
      <c r="F437" s="469" t="s">
        <v>112</v>
      </c>
      <c r="G437" s="470" t="s">
        <v>1791</v>
      </c>
      <c r="H437" s="622" t="s">
        <v>916</v>
      </c>
      <c r="I437" s="633" t="s">
        <v>116</v>
      </c>
      <c r="J437" s="471" t="s">
        <v>913</v>
      </c>
      <c r="K437" s="469" t="s">
        <v>79</v>
      </c>
      <c r="L437" s="473"/>
      <c r="M437" s="623">
        <v>13</v>
      </c>
      <c r="N437" s="623">
        <v>2</v>
      </c>
      <c r="O437" s="624">
        <v>0.15384615384615385</v>
      </c>
      <c r="P437" s="624">
        <v>0.15384615384615385</v>
      </c>
      <c r="Q437" s="785" t="e">
        <f t="shared" si="6"/>
        <v>#VALUE!</v>
      </c>
      <c r="R437" s="468" t="s">
        <v>1718</v>
      </c>
      <c r="S437" s="629"/>
    </row>
    <row r="438" spans="1:19" ht="15" x14ac:dyDescent="0.25">
      <c r="A438" s="621" t="s">
        <v>351</v>
      </c>
      <c r="B438" s="466" t="s">
        <v>111</v>
      </c>
      <c r="C438" s="631" t="s">
        <v>101</v>
      </c>
      <c r="D438" s="467" t="s">
        <v>869</v>
      </c>
      <c r="E438" s="474" t="s">
        <v>1723</v>
      </c>
      <c r="F438" s="469" t="s">
        <v>112</v>
      </c>
      <c r="G438" s="470" t="s">
        <v>1791</v>
      </c>
      <c r="H438" s="622" t="s">
        <v>916</v>
      </c>
      <c r="I438" s="633" t="s">
        <v>116</v>
      </c>
      <c r="J438" s="471" t="s">
        <v>913</v>
      </c>
      <c r="K438" s="469" t="s">
        <v>79</v>
      </c>
      <c r="L438" s="473"/>
      <c r="M438" s="623">
        <v>0</v>
      </c>
      <c r="N438" s="623">
        <v>0</v>
      </c>
      <c r="O438" s="624">
        <v>0</v>
      </c>
      <c r="P438" s="624">
        <v>0</v>
      </c>
      <c r="Q438" s="785" t="e">
        <f t="shared" si="6"/>
        <v>#VALUE!</v>
      </c>
      <c r="R438" s="468" t="s">
        <v>1719</v>
      </c>
      <c r="S438" s="629"/>
    </row>
    <row r="439" spans="1:19" ht="15" x14ac:dyDescent="0.25">
      <c r="A439" s="621" t="s">
        <v>351</v>
      </c>
      <c r="B439" s="466" t="s">
        <v>111</v>
      </c>
      <c r="C439" s="631" t="s">
        <v>885</v>
      </c>
      <c r="D439" s="467" t="s">
        <v>889</v>
      </c>
      <c r="E439" s="474"/>
      <c r="F439" s="469" t="s">
        <v>112</v>
      </c>
      <c r="G439" s="470" t="s">
        <v>1791</v>
      </c>
      <c r="H439" s="622" t="s">
        <v>917</v>
      </c>
      <c r="I439" s="633" t="s">
        <v>116</v>
      </c>
      <c r="J439" s="471" t="s">
        <v>913</v>
      </c>
      <c r="K439" s="469">
        <v>13</v>
      </c>
      <c r="L439" s="473"/>
      <c r="M439" s="623">
        <v>0</v>
      </c>
      <c r="N439" s="623">
        <v>0</v>
      </c>
      <c r="O439" s="624">
        <v>0</v>
      </c>
      <c r="P439" s="624">
        <v>0</v>
      </c>
      <c r="Q439" s="785" t="e">
        <f t="shared" si="6"/>
        <v>#DIV/0!</v>
      </c>
      <c r="R439" s="468" t="s">
        <v>1719</v>
      </c>
      <c r="S439" s="629"/>
    </row>
    <row r="440" spans="1:19" ht="15" x14ac:dyDescent="0.25">
      <c r="A440" s="621" t="s">
        <v>351</v>
      </c>
      <c r="B440" s="466" t="s">
        <v>111</v>
      </c>
      <c r="C440" s="631" t="s">
        <v>885</v>
      </c>
      <c r="D440" s="467" t="s">
        <v>881</v>
      </c>
      <c r="E440" s="474"/>
      <c r="F440" s="469" t="s">
        <v>112</v>
      </c>
      <c r="G440" s="470" t="s">
        <v>1791</v>
      </c>
      <c r="H440" s="622" t="s">
        <v>916</v>
      </c>
      <c r="I440" s="633" t="s">
        <v>116</v>
      </c>
      <c r="J440" s="471" t="s">
        <v>913</v>
      </c>
      <c r="K440" s="469">
        <v>13</v>
      </c>
      <c r="L440" s="473"/>
      <c r="M440" s="623">
        <v>5</v>
      </c>
      <c r="N440" s="623">
        <v>0</v>
      </c>
      <c r="O440" s="624">
        <v>0</v>
      </c>
      <c r="P440" s="624">
        <v>0</v>
      </c>
      <c r="Q440" s="785">
        <f t="shared" si="6"/>
        <v>0</v>
      </c>
      <c r="R440" s="468" t="s">
        <v>1719</v>
      </c>
      <c r="S440" s="629"/>
    </row>
    <row r="441" spans="1:19" ht="15" x14ac:dyDescent="0.25">
      <c r="A441" s="621" t="s">
        <v>351</v>
      </c>
      <c r="B441" s="466" t="s">
        <v>111</v>
      </c>
      <c r="C441" s="631" t="s">
        <v>885</v>
      </c>
      <c r="D441" s="467" t="s">
        <v>883</v>
      </c>
      <c r="E441" s="474" t="s">
        <v>1724</v>
      </c>
      <c r="F441" s="469" t="s">
        <v>112</v>
      </c>
      <c r="G441" s="470" t="s">
        <v>1791</v>
      </c>
      <c r="H441" s="622" t="s">
        <v>916</v>
      </c>
      <c r="I441" s="633" t="s">
        <v>116</v>
      </c>
      <c r="J441" s="471" t="s">
        <v>913</v>
      </c>
      <c r="K441" s="469" t="s">
        <v>79</v>
      </c>
      <c r="L441" s="473"/>
      <c r="M441" s="623">
        <v>5</v>
      </c>
      <c r="N441" s="623">
        <v>0</v>
      </c>
      <c r="O441" s="624">
        <v>0</v>
      </c>
      <c r="P441" s="624">
        <v>0</v>
      </c>
      <c r="Q441" s="785" t="e">
        <f t="shared" si="6"/>
        <v>#VALUE!</v>
      </c>
      <c r="R441" s="468" t="s">
        <v>1719</v>
      </c>
      <c r="S441" s="629"/>
    </row>
    <row r="442" spans="1:19" ht="15" x14ac:dyDescent="0.25">
      <c r="A442" s="621" t="s">
        <v>351</v>
      </c>
      <c r="B442" s="466" t="s">
        <v>111</v>
      </c>
      <c r="C442" s="631" t="s">
        <v>885</v>
      </c>
      <c r="D442" s="467" t="s">
        <v>866</v>
      </c>
      <c r="E442" s="474" t="s">
        <v>1724</v>
      </c>
      <c r="F442" s="469" t="s">
        <v>112</v>
      </c>
      <c r="G442" s="470" t="s">
        <v>1791</v>
      </c>
      <c r="H442" s="622" t="s">
        <v>916</v>
      </c>
      <c r="I442" s="633" t="s">
        <v>116</v>
      </c>
      <c r="J442" s="471" t="s">
        <v>913</v>
      </c>
      <c r="K442" s="469" t="s">
        <v>79</v>
      </c>
      <c r="L442" s="473"/>
      <c r="M442" s="623">
        <v>0</v>
      </c>
      <c r="N442" s="623">
        <v>0</v>
      </c>
      <c r="O442" s="624">
        <v>0</v>
      </c>
      <c r="P442" s="624">
        <v>0</v>
      </c>
      <c r="Q442" s="785" t="e">
        <f t="shared" si="6"/>
        <v>#VALUE!</v>
      </c>
      <c r="R442" s="468" t="s">
        <v>1719</v>
      </c>
      <c r="S442" s="629"/>
    </row>
    <row r="443" spans="1:19" ht="15" x14ac:dyDescent="0.25">
      <c r="A443" s="621" t="s">
        <v>351</v>
      </c>
      <c r="B443" s="466" t="s">
        <v>111</v>
      </c>
      <c r="C443" s="631" t="s">
        <v>885</v>
      </c>
      <c r="D443" s="467" t="s">
        <v>869</v>
      </c>
      <c r="E443" s="474"/>
      <c r="F443" s="469" t="s">
        <v>112</v>
      </c>
      <c r="G443" s="470" t="s">
        <v>1791</v>
      </c>
      <c r="H443" s="622" t="s">
        <v>916</v>
      </c>
      <c r="I443" s="633" t="s">
        <v>116</v>
      </c>
      <c r="J443" s="471" t="s">
        <v>913</v>
      </c>
      <c r="K443" s="469">
        <v>25</v>
      </c>
      <c r="L443" s="473"/>
      <c r="M443" s="623">
        <v>12</v>
      </c>
      <c r="N443" s="623">
        <v>5</v>
      </c>
      <c r="O443" s="624">
        <v>0.41666666666666669</v>
      </c>
      <c r="P443" s="624">
        <v>0.41666666666666669</v>
      </c>
      <c r="Q443" s="785">
        <f t="shared" si="6"/>
        <v>1.6666666666666667</v>
      </c>
      <c r="R443" s="468" t="s">
        <v>1718</v>
      </c>
      <c r="S443" s="629"/>
    </row>
    <row r="444" spans="1:19" ht="15" x14ac:dyDescent="0.25">
      <c r="A444" s="621" t="s">
        <v>351</v>
      </c>
      <c r="B444" s="466" t="s">
        <v>111</v>
      </c>
      <c r="C444" s="631" t="s">
        <v>885</v>
      </c>
      <c r="D444" s="467" t="s">
        <v>887</v>
      </c>
      <c r="E444" s="474"/>
      <c r="F444" s="469" t="s">
        <v>112</v>
      </c>
      <c r="G444" s="470" t="s">
        <v>1791</v>
      </c>
      <c r="H444" s="622" t="s">
        <v>916</v>
      </c>
      <c r="I444" s="633" t="s">
        <v>116</v>
      </c>
      <c r="J444" s="471" t="s">
        <v>913</v>
      </c>
      <c r="K444" s="469">
        <v>10</v>
      </c>
      <c r="L444" s="473"/>
      <c r="M444" s="623">
        <v>20</v>
      </c>
      <c r="N444" s="623">
        <v>8</v>
      </c>
      <c r="O444" s="624">
        <v>0.4</v>
      </c>
      <c r="P444" s="624">
        <v>0.4</v>
      </c>
      <c r="Q444" s="785">
        <f t="shared" si="6"/>
        <v>4</v>
      </c>
      <c r="R444" s="468" t="s">
        <v>1718</v>
      </c>
      <c r="S444" s="629"/>
    </row>
    <row r="445" spans="1:19" ht="15" x14ac:dyDescent="0.25">
      <c r="A445" s="621" t="s">
        <v>351</v>
      </c>
      <c r="B445" s="466" t="s">
        <v>111</v>
      </c>
      <c r="C445" s="631" t="s">
        <v>904</v>
      </c>
      <c r="D445" s="467" t="s">
        <v>881</v>
      </c>
      <c r="E445" s="474" t="s">
        <v>1718</v>
      </c>
      <c r="F445" s="469" t="s">
        <v>112</v>
      </c>
      <c r="G445" s="470" t="s">
        <v>1791</v>
      </c>
      <c r="H445" s="622" t="s">
        <v>916</v>
      </c>
      <c r="I445" s="633" t="s">
        <v>116</v>
      </c>
      <c r="J445" s="471" t="s">
        <v>913</v>
      </c>
      <c r="K445" s="469" t="s">
        <v>79</v>
      </c>
      <c r="L445" s="473"/>
      <c r="M445" s="623">
        <v>0</v>
      </c>
      <c r="N445" s="623">
        <v>0</v>
      </c>
      <c r="O445" s="624">
        <v>0</v>
      </c>
      <c r="P445" s="624">
        <v>0</v>
      </c>
      <c r="Q445" s="785" t="e">
        <f t="shared" si="6"/>
        <v>#VALUE!</v>
      </c>
      <c r="R445" s="468" t="s">
        <v>1719</v>
      </c>
      <c r="S445" s="629"/>
    </row>
    <row r="446" spans="1:19" ht="15" x14ac:dyDescent="0.25">
      <c r="A446" s="621" t="s">
        <v>351</v>
      </c>
      <c r="B446" s="466" t="s">
        <v>111</v>
      </c>
      <c r="C446" s="631" t="s">
        <v>904</v>
      </c>
      <c r="D446" s="467" t="s">
        <v>883</v>
      </c>
      <c r="E446" s="474" t="s">
        <v>1725</v>
      </c>
      <c r="F446" s="469" t="s">
        <v>112</v>
      </c>
      <c r="G446" s="470" t="s">
        <v>1791</v>
      </c>
      <c r="H446" s="622" t="s">
        <v>916</v>
      </c>
      <c r="I446" s="633" t="s">
        <v>116</v>
      </c>
      <c r="J446" s="471" t="s">
        <v>913</v>
      </c>
      <c r="K446" s="469" t="s">
        <v>79</v>
      </c>
      <c r="L446" s="473"/>
      <c r="M446" s="623">
        <v>1</v>
      </c>
      <c r="N446" s="623">
        <v>1</v>
      </c>
      <c r="O446" s="624">
        <v>1</v>
      </c>
      <c r="P446" s="624">
        <v>1</v>
      </c>
      <c r="Q446" s="785" t="e">
        <f t="shared" si="6"/>
        <v>#VALUE!</v>
      </c>
      <c r="R446" s="468" t="s">
        <v>1718</v>
      </c>
      <c r="S446" s="629"/>
    </row>
    <row r="447" spans="1:19" ht="15" x14ac:dyDescent="0.25">
      <c r="A447" s="621" t="s">
        <v>351</v>
      </c>
      <c r="B447" s="466" t="s">
        <v>111</v>
      </c>
      <c r="C447" s="631" t="s">
        <v>740</v>
      </c>
      <c r="D447" s="467" t="s">
        <v>889</v>
      </c>
      <c r="E447" s="474"/>
      <c r="F447" s="469" t="s">
        <v>112</v>
      </c>
      <c r="G447" s="470" t="s">
        <v>1791</v>
      </c>
      <c r="H447" s="622" t="s">
        <v>917</v>
      </c>
      <c r="I447" s="633" t="s">
        <v>116</v>
      </c>
      <c r="J447" s="471" t="s">
        <v>913</v>
      </c>
      <c r="K447" s="469">
        <v>38</v>
      </c>
      <c r="L447" s="473"/>
      <c r="M447" s="623">
        <v>37</v>
      </c>
      <c r="N447" s="623">
        <v>3</v>
      </c>
      <c r="O447" s="624">
        <v>8.1081081081081086E-2</v>
      </c>
      <c r="P447" s="624">
        <v>8.1081081081081086E-2</v>
      </c>
      <c r="Q447" s="785">
        <f t="shared" si="6"/>
        <v>0.21337126600284495</v>
      </c>
      <c r="R447" s="468" t="s">
        <v>1718</v>
      </c>
      <c r="S447" s="629"/>
    </row>
    <row r="448" spans="1:19" ht="15" x14ac:dyDescent="0.25">
      <c r="A448" s="621" t="s">
        <v>351</v>
      </c>
      <c r="B448" s="466" t="s">
        <v>111</v>
      </c>
      <c r="C448" s="631" t="s">
        <v>740</v>
      </c>
      <c r="D448" s="467" t="s">
        <v>881</v>
      </c>
      <c r="E448" s="474" t="s">
        <v>1726</v>
      </c>
      <c r="F448" s="469" t="s">
        <v>112</v>
      </c>
      <c r="G448" s="470" t="s">
        <v>1791</v>
      </c>
      <c r="H448" s="622" t="s">
        <v>916</v>
      </c>
      <c r="I448" s="633" t="s">
        <v>116</v>
      </c>
      <c r="J448" s="471" t="s">
        <v>913</v>
      </c>
      <c r="K448" s="469" t="s">
        <v>79</v>
      </c>
      <c r="L448" s="473"/>
      <c r="M448" s="623">
        <v>4</v>
      </c>
      <c r="N448" s="623">
        <v>0</v>
      </c>
      <c r="O448" s="624">
        <v>0</v>
      </c>
      <c r="P448" s="624">
        <v>0</v>
      </c>
      <c r="Q448" s="785" t="e">
        <f t="shared" si="6"/>
        <v>#VALUE!</v>
      </c>
      <c r="R448" s="468" t="s">
        <v>1719</v>
      </c>
      <c r="S448" s="629"/>
    </row>
    <row r="449" spans="1:19" ht="15" x14ac:dyDescent="0.25">
      <c r="A449" s="621" t="s">
        <v>351</v>
      </c>
      <c r="B449" s="466" t="s">
        <v>111</v>
      </c>
      <c r="C449" s="631" t="s">
        <v>740</v>
      </c>
      <c r="D449" s="467" t="s">
        <v>883</v>
      </c>
      <c r="E449" s="474" t="s">
        <v>1726</v>
      </c>
      <c r="F449" s="469" t="s">
        <v>112</v>
      </c>
      <c r="G449" s="470" t="s">
        <v>1791</v>
      </c>
      <c r="H449" s="622" t="s">
        <v>916</v>
      </c>
      <c r="I449" s="633" t="s">
        <v>116</v>
      </c>
      <c r="J449" s="471" t="s">
        <v>913</v>
      </c>
      <c r="K449" s="469" t="s">
        <v>79</v>
      </c>
      <c r="L449" s="473"/>
      <c r="M449" s="623">
        <v>0</v>
      </c>
      <c r="N449" s="623">
        <v>0</v>
      </c>
      <c r="O449" s="624">
        <v>0</v>
      </c>
      <c r="P449" s="624">
        <v>0</v>
      </c>
      <c r="Q449" s="785" t="e">
        <f t="shared" si="6"/>
        <v>#VALUE!</v>
      </c>
      <c r="R449" s="468" t="s">
        <v>1719</v>
      </c>
      <c r="S449" s="629"/>
    </row>
    <row r="450" spans="1:19" ht="15" x14ac:dyDescent="0.25">
      <c r="A450" s="621" t="s">
        <v>351</v>
      </c>
      <c r="B450" s="466" t="s">
        <v>111</v>
      </c>
      <c r="C450" s="631" t="s">
        <v>894</v>
      </c>
      <c r="D450" s="467" t="s">
        <v>889</v>
      </c>
      <c r="E450" s="474"/>
      <c r="F450" s="469" t="s">
        <v>112</v>
      </c>
      <c r="G450" s="470" t="s">
        <v>1791</v>
      </c>
      <c r="H450" s="622" t="s">
        <v>917</v>
      </c>
      <c r="I450" s="633" t="s">
        <v>116</v>
      </c>
      <c r="J450" s="471" t="s">
        <v>913</v>
      </c>
      <c r="K450" s="469">
        <v>5</v>
      </c>
      <c r="L450" s="473"/>
      <c r="M450" s="623">
        <v>543</v>
      </c>
      <c r="N450" s="623">
        <v>32</v>
      </c>
      <c r="O450" s="624">
        <v>5.8931860036832415E-2</v>
      </c>
      <c r="P450" s="624">
        <v>5.8931860036832415E-2</v>
      </c>
      <c r="Q450" s="785">
        <f t="shared" si="6"/>
        <v>1.1786372007366483</v>
      </c>
      <c r="R450" s="468" t="s">
        <v>1718</v>
      </c>
      <c r="S450" s="629"/>
    </row>
    <row r="451" spans="1:19" ht="15" x14ac:dyDescent="0.25">
      <c r="A451" s="621" t="s">
        <v>351</v>
      </c>
      <c r="B451" s="466" t="s">
        <v>111</v>
      </c>
      <c r="C451" s="631" t="s">
        <v>894</v>
      </c>
      <c r="D451" s="467" t="s">
        <v>881</v>
      </c>
      <c r="E451" s="474"/>
      <c r="F451" s="469" t="s">
        <v>112</v>
      </c>
      <c r="G451" s="470" t="s">
        <v>1791</v>
      </c>
      <c r="H451" s="622" t="s">
        <v>916</v>
      </c>
      <c r="I451" s="633" t="s">
        <v>116</v>
      </c>
      <c r="J451" s="471" t="s">
        <v>913</v>
      </c>
      <c r="K451" s="469">
        <v>32</v>
      </c>
      <c r="L451" s="473"/>
      <c r="M451" s="623">
        <v>78</v>
      </c>
      <c r="N451" s="623">
        <v>28</v>
      </c>
      <c r="O451" s="624">
        <v>0.35897435897435898</v>
      </c>
      <c r="P451" s="624">
        <v>0.35897435897435898</v>
      </c>
      <c r="Q451" s="785">
        <f t="shared" si="6"/>
        <v>1.1217948717948718</v>
      </c>
      <c r="R451" s="468" t="s">
        <v>1718</v>
      </c>
      <c r="S451" s="629"/>
    </row>
    <row r="452" spans="1:19" ht="15" x14ac:dyDescent="0.25">
      <c r="A452" s="621" t="s">
        <v>351</v>
      </c>
      <c r="B452" s="466" t="s">
        <v>111</v>
      </c>
      <c r="C452" s="631" t="s">
        <v>894</v>
      </c>
      <c r="D452" s="467" t="s">
        <v>883</v>
      </c>
      <c r="E452" s="474" t="s">
        <v>1727</v>
      </c>
      <c r="F452" s="469" t="s">
        <v>112</v>
      </c>
      <c r="G452" s="470" t="s">
        <v>1791</v>
      </c>
      <c r="H452" s="622" t="s">
        <v>916</v>
      </c>
      <c r="I452" s="633" t="s">
        <v>116</v>
      </c>
      <c r="J452" s="471" t="s">
        <v>913</v>
      </c>
      <c r="K452" s="469">
        <v>33</v>
      </c>
      <c r="L452" s="473"/>
      <c r="M452" s="623">
        <v>25</v>
      </c>
      <c r="N452" s="623">
        <v>9</v>
      </c>
      <c r="O452" s="624">
        <v>0.36</v>
      </c>
      <c r="P452" s="624">
        <v>0.36</v>
      </c>
      <c r="Q452" s="785">
        <f t="shared" si="6"/>
        <v>1.0909090909090908</v>
      </c>
      <c r="R452" s="468" t="s">
        <v>1718</v>
      </c>
      <c r="S452" s="629"/>
    </row>
    <row r="453" spans="1:19" ht="15" x14ac:dyDescent="0.25">
      <c r="A453" s="621" t="s">
        <v>351</v>
      </c>
      <c r="B453" s="466" t="s">
        <v>111</v>
      </c>
      <c r="C453" s="631" t="s">
        <v>894</v>
      </c>
      <c r="D453" s="467" t="s">
        <v>869</v>
      </c>
      <c r="E453" s="474" t="s">
        <v>1727</v>
      </c>
      <c r="F453" s="469" t="s">
        <v>112</v>
      </c>
      <c r="G453" s="470" t="s">
        <v>1791</v>
      </c>
      <c r="H453" s="622" t="s">
        <v>916</v>
      </c>
      <c r="I453" s="633" t="s">
        <v>116</v>
      </c>
      <c r="J453" s="471" t="s">
        <v>913</v>
      </c>
      <c r="K453" s="469" t="s">
        <v>79</v>
      </c>
      <c r="L453" s="473"/>
      <c r="M453" s="623">
        <v>0</v>
      </c>
      <c r="N453" s="623">
        <v>0</v>
      </c>
      <c r="O453" s="624">
        <v>0</v>
      </c>
      <c r="P453" s="624">
        <v>0</v>
      </c>
      <c r="Q453" s="785" t="e">
        <f t="shared" si="6"/>
        <v>#VALUE!</v>
      </c>
      <c r="R453" s="468" t="s">
        <v>1719</v>
      </c>
      <c r="S453" s="629"/>
    </row>
    <row r="454" spans="1:19" ht="15" x14ac:dyDescent="0.25">
      <c r="A454" s="621" t="s">
        <v>351</v>
      </c>
      <c r="B454" s="466" t="s">
        <v>111</v>
      </c>
      <c r="C454" s="631" t="s">
        <v>99</v>
      </c>
      <c r="D454" s="467" t="s">
        <v>866</v>
      </c>
      <c r="E454" s="474" t="s">
        <v>1720</v>
      </c>
      <c r="F454" s="469" t="s">
        <v>112</v>
      </c>
      <c r="G454" s="470" t="s">
        <v>928</v>
      </c>
      <c r="H454" s="622" t="s">
        <v>916</v>
      </c>
      <c r="I454" s="633" t="s">
        <v>116</v>
      </c>
      <c r="J454" s="471" t="s">
        <v>913</v>
      </c>
      <c r="K454" s="469">
        <v>33</v>
      </c>
      <c r="L454" s="473"/>
      <c r="M454" s="623">
        <v>0</v>
      </c>
      <c r="N454" s="623">
        <v>0</v>
      </c>
      <c r="O454" s="624">
        <v>0</v>
      </c>
      <c r="P454" s="624">
        <v>0</v>
      </c>
      <c r="Q454" s="785" t="e">
        <f t="shared" ref="Q454:Q517" si="7">N454/(M454*K454/100)</f>
        <v>#DIV/0!</v>
      </c>
      <c r="R454" s="468" t="s">
        <v>1719</v>
      </c>
      <c r="S454" s="629"/>
    </row>
    <row r="455" spans="1:19" ht="15" x14ac:dyDescent="0.25">
      <c r="A455" s="621" t="s">
        <v>351</v>
      </c>
      <c r="B455" s="466" t="s">
        <v>111</v>
      </c>
      <c r="C455" s="631" t="s">
        <v>99</v>
      </c>
      <c r="D455" s="467" t="s">
        <v>869</v>
      </c>
      <c r="E455" s="474" t="s">
        <v>1720</v>
      </c>
      <c r="F455" s="469" t="s">
        <v>112</v>
      </c>
      <c r="G455" s="470" t="s">
        <v>928</v>
      </c>
      <c r="H455" s="622" t="s">
        <v>916</v>
      </c>
      <c r="I455" s="633" t="s">
        <v>116</v>
      </c>
      <c r="J455" s="471" t="s">
        <v>913</v>
      </c>
      <c r="K455" s="469">
        <v>33</v>
      </c>
      <c r="L455" s="473"/>
      <c r="M455" s="623">
        <v>14</v>
      </c>
      <c r="N455" s="623">
        <v>2</v>
      </c>
      <c r="O455" s="624">
        <v>0.14285714285714285</v>
      </c>
      <c r="P455" s="624">
        <v>0.14285714285714285</v>
      </c>
      <c r="Q455" s="785">
        <f t="shared" si="7"/>
        <v>0.4329004329004329</v>
      </c>
      <c r="R455" s="468" t="s">
        <v>1718</v>
      </c>
      <c r="S455" s="629"/>
    </row>
    <row r="456" spans="1:19" ht="15" x14ac:dyDescent="0.25">
      <c r="A456" s="621" t="s">
        <v>351</v>
      </c>
      <c r="B456" s="466" t="s">
        <v>111</v>
      </c>
      <c r="C456" s="631" t="s">
        <v>870</v>
      </c>
      <c r="D456" s="467" t="s">
        <v>889</v>
      </c>
      <c r="E456" s="474"/>
      <c r="F456" s="469" t="s">
        <v>112</v>
      </c>
      <c r="G456" s="470" t="s">
        <v>928</v>
      </c>
      <c r="H456" s="622" t="s">
        <v>917</v>
      </c>
      <c r="I456" s="633" t="s">
        <v>116</v>
      </c>
      <c r="J456" s="471" t="s">
        <v>913</v>
      </c>
      <c r="K456" s="469">
        <v>16</v>
      </c>
      <c r="L456" s="473"/>
      <c r="M456" s="623">
        <v>50</v>
      </c>
      <c r="N456" s="623">
        <v>4</v>
      </c>
      <c r="O456" s="624">
        <v>0.08</v>
      </c>
      <c r="P456" s="624">
        <v>0.08</v>
      </c>
      <c r="Q456" s="785">
        <f t="shared" si="7"/>
        <v>0.5</v>
      </c>
      <c r="R456" s="468" t="s">
        <v>1718</v>
      </c>
      <c r="S456" s="629"/>
    </row>
    <row r="457" spans="1:19" ht="15" x14ac:dyDescent="0.25">
      <c r="A457" s="621" t="s">
        <v>351</v>
      </c>
      <c r="B457" s="466" t="s">
        <v>111</v>
      </c>
      <c r="C457" s="631" t="s">
        <v>870</v>
      </c>
      <c r="D457" s="467" t="s">
        <v>881</v>
      </c>
      <c r="E457" s="474"/>
      <c r="F457" s="469" t="s">
        <v>112</v>
      </c>
      <c r="G457" s="470" t="s">
        <v>928</v>
      </c>
      <c r="H457" s="622" t="s">
        <v>916</v>
      </c>
      <c r="I457" s="633" t="s">
        <v>116</v>
      </c>
      <c r="J457" s="471" t="s">
        <v>913</v>
      </c>
      <c r="K457" s="469">
        <v>16</v>
      </c>
      <c r="L457" s="473"/>
      <c r="M457" s="623">
        <v>19</v>
      </c>
      <c r="N457" s="623">
        <v>3</v>
      </c>
      <c r="O457" s="624">
        <v>0.15789473684210525</v>
      </c>
      <c r="P457" s="624">
        <v>0.15789473684210525</v>
      </c>
      <c r="Q457" s="785">
        <f t="shared" si="7"/>
        <v>0.98684210526315785</v>
      </c>
      <c r="R457" s="468" t="s">
        <v>1718</v>
      </c>
      <c r="S457" s="629"/>
    </row>
    <row r="458" spans="1:19" ht="15" x14ac:dyDescent="0.25">
      <c r="A458" s="621" t="s">
        <v>351</v>
      </c>
      <c r="B458" s="466" t="s">
        <v>111</v>
      </c>
      <c r="C458" s="631" t="s">
        <v>870</v>
      </c>
      <c r="D458" s="467" t="s">
        <v>883</v>
      </c>
      <c r="E458" s="474"/>
      <c r="F458" s="469" t="s">
        <v>112</v>
      </c>
      <c r="G458" s="470" t="s">
        <v>928</v>
      </c>
      <c r="H458" s="622" t="s">
        <v>916</v>
      </c>
      <c r="I458" s="633" t="s">
        <v>116</v>
      </c>
      <c r="J458" s="471" t="s">
        <v>913</v>
      </c>
      <c r="K458" s="469">
        <v>6</v>
      </c>
      <c r="L458" s="473"/>
      <c r="M458" s="623">
        <v>39</v>
      </c>
      <c r="N458" s="623">
        <v>9</v>
      </c>
      <c r="O458" s="624">
        <v>0.23076923076923078</v>
      </c>
      <c r="P458" s="624">
        <v>0.23076923076923078</v>
      </c>
      <c r="Q458" s="785">
        <f t="shared" si="7"/>
        <v>3.8461538461538463</v>
      </c>
      <c r="R458" s="468" t="s">
        <v>1718</v>
      </c>
      <c r="S458" s="629"/>
    </row>
    <row r="459" spans="1:19" ht="15" x14ac:dyDescent="0.25">
      <c r="A459" s="621" t="s">
        <v>351</v>
      </c>
      <c r="B459" s="466" t="s">
        <v>111</v>
      </c>
      <c r="C459" s="631" t="s">
        <v>870</v>
      </c>
      <c r="D459" s="467" t="s">
        <v>866</v>
      </c>
      <c r="E459" s="474"/>
      <c r="F459" s="469" t="s">
        <v>112</v>
      </c>
      <c r="G459" s="470" t="s">
        <v>928</v>
      </c>
      <c r="H459" s="622" t="s">
        <v>916</v>
      </c>
      <c r="I459" s="633" t="s">
        <v>116</v>
      </c>
      <c r="J459" s="471" t="s">
        <v>913</v>
      </c>
      <c r="K459" s="469">
        <v>8</v>
      </c>
      <c r="L459" s="473"/>
      <c r="M459" s="623">
        <v>67</v>
      </c>
      <c r="N459" s="623">
        <v>17</v>
      </c>
      <c r="O459" s="624">
        <v>0.2537313432835821</v>
      </c>
      <c r="P459" s="624">
        <v>0.2537313432835821</v>
      </c>
      <c r="Q459" s="785">
        <f t="shared" si="7"/>
        <v>3.1716417910447761</v>
      </c>
      <c r="R459" s="468" t="s">
        <v>1718</v>
      </c>
      <c r="S459" s="629"/>
    </row>
    <row r="460" spans="1:19" ht="15" x14ac:dyDescent="0.25">
      <c r="A460" s="621" t="s">
        <v>351</v>
      </c>
      <c r="B460" s="466" t="s">
        <v>111</v>
      </c>
      <c r="C460" s="631" t="s">
        <v>870</v>
      </c>
      <c r="D460" s="467" t="s">
        <v>869</v>
      </c>
      <c r="E460" s="474"/>
      <c r="F460" s="469" t="s">
        <v>112</v>
      </c>
      <c r="G460" s="470" t="s">
        <v>928</v>
      </c>
      <c r="H460" s="622" t="s">
        <v>916</v>
      </c>
      <c r="I460" s="633" t="s">
        <v>116</v>
      </c>
      <c r="J460" s="471" t="s">
        <v>913</v>
      </c>
      <c r="K460" s="469">
        <v>5</v>
      </c>
      <c r="L460" s="473"/>
      <c r="M460" s="623">
        <v>46</v>
      </c>
      <c r="N460" s="623">
        <v>18</v>
      </c>
      <c r="O460" s="624">
        <v>0.39130434782608697</v>
      </c>
      <c r="P460" s="624">
        <v>0.39130434782608697</v>
      </c>
      <c r="Q460" s="785">
        <f t="shared" si="7"/>
        <v>7.8260869565217401</v>
      </c>
      <c r="R460" s="468" t="s">
        <v>1718</v>
      </c>
      <c r="S460" s="629"/>
    </row>
    <row r="461" spans="1:19" ht="15" x14ac:dyDescent="0.25">
      <c r="A461" s="621" t="s">
        <v>351</v>
      </c>
      <c r="B461" s="466" t="s">
        <v>111</v>
      </c>
      <c r="C461" s="631" t="s">
        <v>738</v>
      </c>
      <c r="D461" s="467" t="s">
        <v>889</v>
      </c>
      <c r="E461" s="474"/>
      <c r="F461" s="469" t="s">
        <v>112</v>
      </c>
      <c r="G461" s="470" t="s">
        <v>928</v>
      </c>
      <c r="H461" s="622" t="s">
        <v>917</v>
      </c>
      <c r="I461" s="633" t="s">
        <v>116</v>
      </c>
      <c r="J461" s="471" t="s">
        <v>913</v>
      </c>
      <c r="K461" s="469">
        <v>29</v>
      </c>
      <c r="L461" s="473"/>
      <c r="M461" s="623">
        <v>156</v>
      </c>
      <c r="N461" s="623">
        <v>7</v>
      </c>
      <c r="O461" s="624">
        <v>4.4871794871794872E-2</v>
      </c>
      <c r="P461" s="624">
        <v>4.4871794871794872E-2</v>
      </c>
      <c r="Q461" s="785">
        <f t="shared" si="7"/>
        <v>0.15473032714412024</v>
      </c>
      <c r="R461" s="468" t="s">
        <v>1718</v>
      </c>
      <c r="S461" s="629"/>
    </row>
    <row r="462" spans="1:19" ht="15" x14ac:dyDescent="0.25">
      <c r="A462" s="621" t="s">
        <v>351</v>
      </c>
      <c r="B462" s="466" t="s">
        <v>111</v>
      </c>
      <c r="C462" s="631" t="s">
        <v>738</v>
      </c>
      <c r="D462" s="467" t="s">
        <v>881</v>
      </c>
      <c r="E462" s="474" t="s">
        <v>1721</v>
      </c>
      <c r="F462" s="469" t="s">
        <v>112</v>
      </c>
      <c r="G462" s="470" t="s">
        <v>928</v>
      </c>
      <c r="H462" s="622" t="s">
        <v>916</v>
      </c>
      <c r="I462" s="633" t="s">
        <v>116</v>
      </c>
      <c r="J462" s="471" t="s">
        <v>913</v>
      </c>
      <c r="K462" s="469">
        <v>8</v>
      </c>
      <c r="L462" s="473"/>
      <c r="M462" s="623">
        <v>54</v>
      </c>
      <c r="N462" s="623">
        <v>6</v>
      </c>
      <c r="O462" s="624">
        <v>0.1111111111111111</v>
      </c>
      <c r="P462" s="624">
        <v>0.1111111111111111</v>
      </c>
      <c r="Q462" s="785">
        <f t="shared" si="7"/>
        <v>1.3888888888888888</v>
      </c>
      <c r="R462" s="468" t="s">
        <v>1718</v>
      </c>
      <c r="S462" s="629"/>
    </row>
    <row r="463" spans="1:19" ht="15" x14ac:dyDescent="0.25">
      <c r="A463" s="621" t="s">
        <v>351</v>
      </c>
      <c r="B463" s="466" t="s">
        <v>111</v>
      </c>
      <c r="C463" s="631" t="s">
        <v>738</v>
      </c>
      <c r="D463" s="467" t="s">
        <v>883</v>
      </c>
      <c r="E463" s="474" t="s">
        <v>1721</v>
      </c>
      <c r="F463" s="469" t="s">
        <v>112</v>
      </c>
      <c r="G463" s="470" t="s">
        <v>928</v>
      </c>
      <c r="H463" s="622" t="s">
        <v>916</v>
      </c>
      <c r="I463" s="633" t="s">
        <v>116</v>
      </c>
      <c r="J463" s="471" t="s">
        <v>913</v>
      </c>
      <c r="K463" s="469">
        <v>8</v>
      </c>
      <c r="L463" s="473"/>
      <c r="M463" s="623">
        <v>0</v>
      </c>
      <c r="N463" s="623">
        <v>0</v>
      </c>
      <c r="O463" s="624">
        <v>0</v>
      </c>
      <c r="P463" s="624">
        <v>0</v>
      </c>
      <c r="Q463" s="785" t="e">
        <f t="shared" si="7"/>
        <v>#DIV/0!</v>
      </c>
      <c r="R463" s="468" t="s">
        <v>1719</v>
      </c>
      <c r="S463" s="629"/>
    </row>
    <row r="464" spans="1:19" ht="15" x14ac:dyDescent="0.25">
      <c r="A464" s="621" t="s">
        <v>351</v>
      </c>
      <c r="B464" s="466" t="s">
        <v>111</v>
      </c>
      <c r="C464" s="631" t="s">
        <v>738</v>
      </c>
      <c r="D464" s="467" t="s">
        <v>866</v>
      </c>
      <c r="E464" s="474" t="s">
        <v>1722</v>
      </c>
      <c r="F464" s="469" t="s">
        <v>112</v>
      </c>
      <c r="G464" s="470" t="s">
        <v>928</v>
      </c>
      <c r="H464" s="622" t="s">
        <v>916</v>
      </c>
      <c r="I464" s="633" t="s">
        <v>116</v>
      </c>
      <c r="J464" s="471" t="s">
        <v>913</v>
      </c>
      <c r="K464" s="469">
        <v>8</v>
      </c>
      <c r="L464" s="473"/>
      <c r="M464" s="623">
        <v>0</v>
      </c>
      <c r="N464" s="623">
        <v>1</v>
      </c>
      <c r="O464" s="624">
        <v>0</v>
      </c>
      <c r="P464" s="624">
        <v>0</v>
      </c>
      <c r="Q464" s="785" t="e">
        <f t="shared" si="7"/>
        <v>#DIV/0!</v>
      </c>
      <c r="R464" s="468" t="s">
        <v>1719</v>
      </c>
      <c r="S464" s="629"/>
    </row>
    <row r="465" spans="1:19" ht="15" x14ac:dyDescent="0.25">
      <c r="A465" s="621" t="s">
        <v>351</v>
      </c>
      <c r="B465" s="466" t="s">
        <v>111</v>
      </c>
      <c r="C465" s="631" t="s">
        <v>738</v>
      </c>
      <c r="D465" s="467" t="s">
        <v>869</v>
      </c>
      <c r="E465" s="474" t="s">
        <v>1722</v>
      </c>
      <c r="F465" s="469" t="s">
        <v>112</v>
      </c>
      <c r="G465" s="470" t="s">
        <v>928</v>
      </c>
      <c r="H465" s="622" t="s">
        <v>916</v>
      </c>
      <c r="I465" s="633" t="s">
        <v>116</v>
      </c>
      <c r="J465" s="471" t="s">
        <v>913</v>
      </c>
      <c r="K465" s="469">
        <v>8</v>
      </c>
      <c r="L465" s="473"/>
      <c r="M465" s="623">
        <v>7</v>
      </c>
      <c r="N465" s="623">
        <v>2</v>
      </c>
      <c r="O465" s="624">
        <v>0.2857142857142857</v>
      </c>
      <c r="P465" s="624">
        <v>0.2857142857142857</v>
      </c>
      <c r="Q465" s="785">
        <f t="shared" si="7"/>
        <v>3.5714285714285712</v>
      </c>
      <c r="R465" s="468" t="s">
        <v>1718</v>
      </c>
      <c r="S465" s="629"/>
    </row>
    <row r="466" spans="1:19" ht="15" x14ac:dyDescent="0.25">
      <c r="A466" s="621" t="s">
        <v>351</v>
      </c>
      <c r="B466" s="466" t="s">
        <v>111</v>
      </c>
      <c r="C466" s="631" t="s">
        <v>101</v>
      </c>
      <c r="D466" s="467" t="s">
        <v>889</v>
      </c>
      <c r="E466" s="474"/>
      <c r="F466" s="469" t="s">
        <v>112</v>
      </c>
      <c r="G466" s="470" t="s">
        <v>928</v>
      </c>
      <c r="H466" s="622" t="s">
        <v>917</v>
      </c>
      <c r="I466" s="633" t="s">
        <v>116</v>
      </c>
      <c r="J466" s="471" t="s">
        <v>913</v>
      </c>
      <c r="K466" s="469">
        <v>17</v>
      </c>
      <c r="L466" s="473"/>
      <c r="M466" s="623">
        <v>112</v>
      </c>
      <c r="N466" s="623">
        <v>19</v>
      </c>
      <c r="O466" s="624">
        <v>0.16964285714285715</v>
      </c>
      <c r="P466" s="624">
        <v>0.16964285714285715</v>
      </c>
      <c r="Q466" s="785">
        <f t="shared" si="7"/>
        <v>0.99789915966386555</v>
      </c>
      <c r="R466" s="468" t="s">
        <v>1718</v>
      </c>
      <c r="S466" s="629"/>
    </row>
    <row r="467" spans="1:19" ht="15" x14ac:dyDescent="0.25">
      <c r="A467" s="621" t="s">
        <v>351</v>
      </c>
      <c r="B467" s="466" t="s">
        <v>111</v>
      </c>
      <c r="C467" s="631" t="s">
        <v>101</v>
      </c>
      <c r="D467" s="467" t="s">
        <v>881</v>
      </c>
      <c r="E467" s="474"/>
      <c r="F467" s="469" t="s">
        <v>112</v>
      </c>
      <c r="G467" s="470" t="s">
        <v>928</v>
      </c>
      <c r="H467" s="622" t="s">
        <v>916</v>
      </c>
      <c r="I467" s="633" t="s">
        <v>116</v>
      </c>
      <c r="J467" s="471" t="s">
        <v>913</v>
      </c>
      <c r="K467" s="469">
        <v>36</v>
      </c>
      <c r="L467" s="473"/>
      <c r="M467" s="623">
        <v>9</v>
      </c>
      <c r="N467" s="623">
        <v>2</v>
      </c>
      <c r="O467" s="624">
        <v>0.22222222222222221</v>
      </c>
      <c r="P467" s="624">
        <v>0.22222222222222221</v>
      </c>
      <c r="Q467" s="785">
        <f t="shared" si="7"/>
        <v>0.61728395061728392</v>
      </c>
      <c r="R467" s="468" t="s">
        <v>1718</v>
      </c>
      <c r="S467" s="629"/>
    </row>
    <row r="468" spans="1:19" ht="15" x14ac:dyDescent="0.25">
      <c r="A468" s="621" t="s">
        <v>351</v>
      </c>
      <c r="B468" s="466" t="s">
        <v>111</v>
      </c>
      <c r="C468" s="631" t="s">
        <v>101</v>
      </c>
      <c r="D468" s="467" t="s">
        <v>883</v>
      </c>
      <c r="E468" s="474" t="s">
        <v>1723</v>
      </c>
      <c r="F468" s="469" t="s">
        <v>112</v>
      </c>
      <c r="G468" s="470" t="s">
        <v>928</v>
      </c>
      <c r="H468" s="622" t="s">
        <v>916</v>
      </c>
      <c r="I468" s="633" t="s">
        <v>116</v>
      </c>
      <c r="J468" s="471" t="s">
        <v>913</v>
      </c>
      <c r="K468" s="469">
        <v>80</v>
      </c>
      <c r="L468" s="473"/>
      <c r="M468" s="623">
        <v>0</v>
      </c>
      <c r="N468" s="623">
        <v>0</v>
      </c>
      <c r="O468" s="624">
        <v>0</v>
      </c>
      <c r="P468" s="624">
        <v>0</v>
      </c>
      <c r="Q468" s="785" t="e">
        <f t="shared" si="7"/>
        <v>#DIV/0!</v>
      </c>
      <c r="R468" s="468" t="s">
        <v>1719</v>
      </c>
      <c r="S468" s="629"/>
    </row>
    <row r="469" spans="1:19" ht="15" x14ac:dyDescent="0.25">
      <c r="A469" s="621" t="s">
        <v>351</v>
      </c>
      <c r="B469" s="466" t="s">
        <v>111</v>
      </c>
      <c r="C469" s="631" t="s">
        <v>101</v>
      </c>
      <c r="D469" s="467" t="s">
        <v>866</v>
      </c>
      <c r="E469" s="474" t="s">
        <v>1723</v>
      </c>
      <c r="F469" s="469" t="s">
        <v>112</v>
      </c>
      <c r="G469" s="470" t="s">
        <v>928</v>
      </c>
      <c r="H469" s="622" t="s">
        <v>916</v>
      </c>
      <c r="I469" s="633" t="s">
        <v>116</v>
      </c>
      <c r="J469" s="471" t="s">
        <v>913</v>
      </c>
      <c r="K469" s="469" t="s">
        <v>79</v>
      </c>
      <c r="L469" s="473"/>
      <c r="M469" s="623">
        <v>13</v>
      </c>
      <c r="N469" s="623">
        <v>2</v>
      </c>
      <c r="O469" s="624">
        <v>0.15384615384615385</v>
      </c>
      <c r="P469" s="624">
        <v>0.15384615384615385</v>
      </c>
      <c r="Q469" s="785" t="e">
        <f t="shared" si="7"/>
        <v>#VALUE!</v>
      </c>
      <c r="R469" s="468" t="s">
        <v>1718</v>
      </c>
      <c r="S469" s="629"/>
    </row>
    <row r="470" spans="1:19" ht="15" x14ac:dyDescent="0.25">
      <c r="A470" s="621" t="s">
        <v>351</v>
      </c>
      <c r="B470" s="466" t="s">
        <v>111</v>
      </c>
      <c r="C470" s="631" t="s">
        <v>101</v>
      </c>
      <c r="D470" s="467" t="s">
        <v>869</v>
      </c>
      <c r="E470" s="474" t="s">
        <v>1723</v>
      </c>
      <c r="F470" s="469" t="s">
        <v>112</v>
      </c>
      <c r="G470" s="470" t="s">
        <v>928</v>
      </c>
      <c r="H470" s="622" t="s">
        <v>916</v>
      </c>
      <c r="I470" s="633" t="s">
        <v>116</v>
      </c>
      <c r="J470" s="471" t="s">
        <v>913</v>
      </c>
      <c r="K470" s="469" t="s">
        <v>79</v>
      </c>
      <c r="L470" s="473"/>
      <c r="M470" s="623">
        <v>0</v>
      </c>
      <c r="N470" s="623">
        <v>0</v>
      </c>
      <c r="O470" s="624">
        <v>0</v>
      </c>
      <c r="P470" s="624">
        <v>0</v>
      </c>
      <c r="Q470" s="785" t="e">
        <f t="shared" si="7"/>
        <v>#VALUE!</v>
      </c>
      <c r="R470" s="468" t="s">
        <v>1719</v>
      </c>
      <c r="S470" s="629"/>
    </row>
    <row r="471" spans="1:19" ht="15" x14ac:dyDescent="0.25">
      <c r="A471" s="621" t="s">
        <v>351</v>
      </c>
      <c r="B471" s="466" t="s">
        <v>111</v>
      </c>
      <c r="C471" s="631" t="s">
        <v>885</v>
      </c>
      <c r="D471" s="467" t="s">
        <v>889</v>
      </c>
      <c r="E471" s="474"/>
      <c r="F471" s="469" t="s">
        <v>112</v>
      </c>
      <c r="G471" s="470" t="s">
        <v>928</v>
      </c>
      <c r="H471" s="622" t="s">
        <v>917</v>
      </c>
      <c r="I471" s="633" t="s">
        <v>116</v>
      </c>
      <c r="J471" s="471" t="s">
        <v>913</v>
      </c>
      <c r="K471" s="469">
        <v>13</v>
      </c>
      <c r="L471" s="473"/>
      <c r="M471" s="623">
        <v>0</v>
      </c>
      <c r="N471" s="623">
        <v>0</v>
      </c>
      <c r="O471" s="624">
        <v>0</v>
      </c>
      <c r="P471" s="624">
        <v>0</v>
      </c>
      <c r="Q471" s="785" t="e">
        <f t="shared" si="7"/>
        <v>#DIV/0!</v>
      </c>
      <c r="R471" s="468" t="s">
        <v>1719</v>
      </c>
      <c r="S471" s="629"/>
    </row>
    <row r="472" spans="1:19" ht="15" x14ac:dyDescent="0.25">
      <c r="A472" s="621" t="s">
        <v>351</v>
      </c>
      <c r="B472" s="466" t="s">
        <v>111</v>
      </c>
      <c r="C472" s="631" t="s">
        <v>885</v>
      </c>
      <c r="D472" s="467" t="s">
        <v>881</v>
      </c>
      <c r="E472" s="474"/>
      <c r="F472" s="469" t="s">
        <v>112</v>
      </c>
      <c r="G472" s="470" t="s">
        <v>928</v>
      </c>
      <c r="H472" s="622" t="s">
        <v>916</v>
      </c>
      <c r="I472" s="633" t="s">
        <v>116</v>
      </c>
      <c r="J472" s="471" t="s">
        <v>913</v>
      </c>
      <c r="K472" s="469">
        <v>13</v>
      </c>
      <c r="L472" s="473"/>
      <c r="M472" s="623">
        <v>5</v>
      </c>
      <c r="N472" s="623">
        <v>0</v>
      </c>
      <c r="O472" s="624">
        <v>0</v>
      </c>
      <c r="P472" s="624">
        <v>0</v>
      </c>
      <c r="Q472" s="785">
        <f t="shared" si="7"/>
        <v>0</v>
      </c>
      <c r="R472" s="468" t="s">
        <v>1719</v>
      </c>
      <c r="S472" s="629"/>
    </row>
    <row r="473" spans="1:19" ht="15" x14ac:dyDescent="0.25">
      <c r="A473" s="621" t="s">
        <v>351</v>
      </c>
      <c r="B473" s="466" t="s">
        <v>111</v>
      </c>
      <c r="C473" s="631" t="s">
        <v>885</v>
      </c>
      <c r="D473" s="467" t="s">
        <v>883</v>
      </c>
      <c r="E473" s="474" t="s">
        <v>1724</v>
      </c>
      <c r="F473" s="469" t="s">
        <v>112</v>
      </c>
      <c r="G473" s="470" t="s">
        <v>928</v>
      </c>
      <c r="H473" s="622" t="s">
        <v>916</v>
      </c>
      <c r="I473" s="633" t="s">
        <v>116</v>
      </c>
      <c r="J473" s="471" t="s">
        <v>913</v>
      </c>
      <c r="K473" s="469" t="s">
        <v>79</v>
      </c>
      <c r="L473" s="473"/>
      <c r="M473" s="623">
        <v>5</v>
      </c>
      <c r="N473" s="623">
        <v>0</v>
      </c>
      <c r="O473" s="624">
        <v>0</v>
      </c>
      <c r="P473" s="624">
        <v>0</v>
      </c>
      <c r="Q473" s="785" t="e">
        <f t="shared" si="7"/>
        <v>#VALUE!</v>
      </c>
      <c r="R473" s="468" t="s">
        <v>1719</v>
      </c>
      <c r="S473" s="629"/>
    </row>
    <row r="474" spans="1:19" ht="15" x14ac:dyDescent="0.25">
      <c r="A474" s="621" t="s">
        <v>351</v>
      </c>
      <c r="B474" s="466" t="s">
        <v>111</v>
      </c>
      <c r="C474" s="631" t="s">
        <v>885</v>
      </c>
      <c r="D474" s="467" t="s">
        <v>866</v>
      </c>
      <c r="E474" s="474" t="s">
        <v>1724</v>
      </c>
      <c r="F474" s="469" t="s">
        <v>112</v>
      </c>
      <c r="G474" s="470" t="s">
        <v>928</v>
      </c>
      <c r="H474" s="622" t="s">
        <v>916</v>
      </c>
      <c r="I474" s="633" t="s">
        <v>116</v>
      </c>
      <c r="J474" s="471" t="s">
        <v>913</v>
      </c>
      <c r="K474" s="469" t="s">
        <v>79</v>
      </c>
      <c r="L474" s="473"/>
      <c r="M474" s="623">
        <v>0</v>
      </c>
      <c r="N474" s="623">
        <v>0</v>
      </c>
      <c r="O474" s="624">
        <v>0</v>
      </c>
      <c r="P474" s="624">
        <v>0</v>
      </c>
      <c r="Q474" s="785" t="e">
        <f t="shared" si="7"/>
        <v>#VALUE!</v>
      </c>
      <c r="R474" s="468" t="s">
        <v>1719</v>
      </c>
      <c r="S474" s="629"/>
    </row>
    <row r="475" spans="1:19" ht="15" x14ac:dyDescent="0.25">
      <c r="A475" s="621" t="s">
        <v>351</v>
      </c>
      <c r="B475" s="466" t="s">
        <v>111</v>
      </c>
      <c r="C475" s="631" t="s">
        <v>885</v>
      </c>
      <c r="D475" s="467" t="s">
        <v>869</v>
      </c>
      <c r="E475" s="474"/>
      <c r="F475" s="469" t="s">
        <v>112</v>
      </c>
      <c r="G475" s="470" t="s">
        <v>928</v>
      </c>
      <c r="H475" s="622" t="s">
        <v>916</v>
      </c>
      <c r="I475" s="633" t="s">
        <v>116</v>
      </c>
      <c r="J475" s="471" t="s">
        <v>913</v>
      </c>
      <c r="K475" s="469">
        <v>25</v>
      </c>
      <c r="L475" s="473"/>
      <c r="M475" s="623">
        <v>12</v>
      </c>
      <c r="N475" s="623">
        <v>5</v>
      </c>
      <c r="O475" s="624">
        <v>0.41666666666666669</v>
      </c>
      <c r="P475" s="624">
        <v>0.41666666666666669</v>
      </c>
      <c r="Q475" s="785">
        <f t="shared" si="7"/>
        <v>1.6666666666666667</v>
      </c>
      <c r="R475" s="468" t="s">
        <v>1718</v>
      </c>
      <c r="S475" s="629"/>
    </row>
    <row r="476" spans="1:19" ht="15" x14ac:dyDescent="0.25">
      <c r="A476" s="621" t="s">
        <v>351</v>
      </c>
      <c r="B476" s="466" t="s">
        <v>111</v>
      </c>
      <c r="C476" s="631" t="s">
        <v>885</v>
      </c>
      <c r="D476" s="467" t="s">
        <v>887</v>
      </c>
      <c r="E476" s="474"/>
      <c r="F476" s="469" t="s">
        <v>112</v>
      </c>
      <c r="G476" s="470" t="s">
        <v>928</v>
      </c>
      <c r="H476" s="622" t="s">
        <v>916</v>
      </c>
      <c r="I476" s="633" t="s">
        <v>116</v>
      </c>
      <c r="J476" s="471" t="s">
        <v>913</v>
      </c>
      <c r="K476" s="469">
        <v>10</v>
      </c>
      <c r="L476" s="473"/>
      <c r="M476" s="623">
        <v>20</v>
      </c>
      <c r="N476" s="623">
        <v>8</v>
      </c>
      <c r="O476" s="624">
        <v>0.4</v>
      </c>
      <c r="P476" s="624">
        <v>0.4</v>
      </c>
      <c r="Q476" s="785">
        <f t="shared" si="7"/>
        <v>4</v>
      </c>
      <c r="R476" s="468" t="s">
        <v>1718</v>
      </c>
      <c r="S476" s="629"/>
    </row>
    <row r="477" spans="1:19" ht="15" x14ac:dyDescent="0.25">
      <c r="A477" s="621" t="s">
        <v>351</v>
      </c>
      <c r="B477" s="466" t="s">
        <v>111</v>
      </c>
      <c r="C477" s="631" t="s">
        <v>904</v>
      </c>
      <c r="D477" s="467" t="s">
        <v>881</v>
      </c>
      <c r="E477" s="474" t="s">
        <v>1718</v>
      </c>
      <c r="F477" s="469" t="s">
        <v>112</v>
      </c>
      <c r="G477" s="470" t="s">
        <v>928</v>
      </c>
      <c r="H477" s="622" t="s">
        <v>916</v>
      </c>
      <c r="I477" s="633" t="s">
        <v>116</v>
      </c>
      <c r="J477" s="471" t="s">
        <v>913</v>
      </c>
      <c r="K477" s="469" t="s">
        <v>79</v>
      </c>
      <c r="L477" s="473"/>
      <c r="M477" s="623">
        <v>0</v>
      </c>
      <c r="N477" s="623">
        <v>0</v>
      </c>
      <c r="O477" s="624">
        <v>0</v>
      </c>
      <c r="P477" s="624">
        <v>0</v>
      </c>
      <c r="Q477" s="785" t="e">
        <f t="shared" si="7"/>
        <v>#VALUE!</v>
      </c>
      <c r="R477" s="468" t="s">
        <v>1719</v>
      </c>
      <c r="S477" s="629"/>
    </row>
    <row r="478" spans="1:19" ht="15" x14ac:dyDescent="0.25">
      <c r="A478" s="621" t="s">
        <v>351</v>
      </c>
      <c r="B478" s="466" t="s">
        <v>111</v>
      </c>
      <c r="C478" s="631" t="s">
        <v>904</v>
      </c>
      <c r="D478" s="467" t="s">
        <v>883</v>
      </c>
      <c r="E478" s="474" t="s">
        <v>1725</v>
      </c>
      <c r="F478" s="469" t="s">
        <v>112</v>
      </c>
      <c r="G478" s="470" t="s">
        <v>928</v>
      </c>
      <c r="H478" s="622" t="s">
        <v>916</v>
      </c>
      <c r="I478" s="633" t="s">
        <v>116</v>
      </c>
      <c r="J478" s="471" t="s">
        <v>913</v>
      </c>
      <c r="K478" s="469" t="s">
        <v>79</v>
      </c>
      <c r="L478" s="473"/>
      <c r="M478" s="623">
        <v>1</v>
      </c>
      <c r="N478" s="623">
        <v>1</v>
      </c>
      <c r="O478" s="624">
        <v>1</v>
      </c>
      <c r="P478" s="624">
        <v>1</v>
      </c>
      <c r="Q478" s="785" t="e">
        <f t="shared" si="7"/>
        <v>#VALUE!</v>
      </c>
      <c r="R478" s="468" t="s">
        <v>1718</v>
      </c>
      <c r="S478" s="629"/>
    </row>
    <row r="479" spans="1:19" ht="15" x14ac:dyDescent="0.25">
      <c r="A479" s="621" t="s">
        <v>351</v>
      </c>
      <c r="B479" s="466" t="s">
        <v>111</v>
      </c>
      <c r="C479" s="631" t="s">
        <v>740</v>
      </c>
      <c r="D479" s="467" t="s">
        <v>889</v>
      </c>
      <c r="E479" s="474"/>
      <c r="F479" s="469" t="s">
        <v>112</v>
      </c>
      <c r="G479" s="470" t="s">
        <v>928</v>
      </c>
      <c r="H479" s="622" t="s">
        <v>917</v>
      </c>
      <c r="I479" s="633" t="s">
        <v>116</v>
      </c>
      <c r="J479" s="471" t="s">
        <v>913</v>
      </c>
      <c r="K479" s="469">
        <v>38</v>
      </c>
      <c r="L479" s="473"/>
      <c r="M479" s="623">
        <v>37</v>
      </c>
      <c r="N479" s="623">
        <v>3</v>
      </c>
      <c r="O479" s="624">
        <v>8.1081081081081086E-2</v>
      </c>
      <c r="P479" s="624">
        <v>8.1081081081081086E-2</v>
      </c>
      <c r="Q479" s="785">
        <f t="shared" si="7"/>
        <v>0.21337126600284495</v>
      </c>
      <c r="R479" s="468" t="s">
        <v>1718</v>
      </c>
      <c r="S479" s="629"/>
    </row>
    <row r="480" spans="1:19" ht="15" x14ac:dyDescent="0.25">
      <c r="A480" s="621" t="s">
        <v>351</v>
      </c>
      <c r="B480" s="466" t="s">
        <v>111</v>
      </c>
      <c r="C480" s="631" t="s">
        <v>740</v>
      </c>
      <c r="D480" s="467" t="s">
        <v>881</v>
      </c>
      <c r="E480" s="474" t="s">
        <v>1726</v>
      </c>
      <c r="F480" s="469" t="s">
        <v>112</v>
      </c>
      <c r="G480" s="470" t="s">
        <v>928</v>
      </c>
      <c r="H480" s="622" t="s">
        <v>916</v>
      </c>
      <c r="I480" s="633" t="s">
        <v>116</v>
      </c>
      <c r="J480" s="471" t="s">
        <v>913</v>
      </c>
      <c r="K480" s="469" t="s">
        <v>79</v>
      </c>
      <c r="L480" s="473"/>
      <c r="M480" s="623">
        <v>4</v>
      </c>
      <c r="N480" s="623">
        <v>0</v>
      </c>
      <c r="O480" s="624">
        <v>0</v>
      </c>
      <c r="P480" s="624">
        <v>0</v>
      </c>
      <c r="Q480" s="785" t="e">
        <f t="shared" si="7"/>
        <v>#VALUE!</v>
      </c>
      <c r="R480" s="468" t="s">
        <v>1719</v>
      </c>
      <c r="S480" s="629"/>
    </row>
    <row r="481" spans="1:19" ht="15" x14ac:dyDescent="0.25">
      <c r="A481" s="621" t="s">
        <v>351</v>
      </c>
      <c r="B481" s="466" t="s">
        <v>111</v>
      </c>
      <c r="C481" s="631" t="s">
        <v>740</v>
      </c>
      <c r="D481" s="467" t="s">
        <v>883</v>
      </c>
      <c r="E481" s="474" t="s">
        <v>1726</v>
      </c>
      <c r="F481" s="469" t="s">
        <v>112</v>
      </c>
      <c r="G481" s="470" t="s">
        <v>928</v>
      </c>
      <c r="H481" s="622" t="s">
        <v>916</v>
      </c>
      <c r="I481" s="633" t="s">
        <v>116</v>
      </c>
      <c r="J481" s="471" t="s">
        <v>913</v>
      </c>
      <c r="K481" s="469" t="s">
        <v>79</v>
      </c>
      <c r="L481" s="473"/>
      <c r="M481" s="623">
        <v>0</v>
      </c>
      <c r="N481" s="623">
        <v>0</v>
      </c>
      <c r="O481" s="624">
        <v>0</v>
      </c>
      <c r="P481" s="624">
        <v>0</v>
      </c>
      <c r="Q481" s="785" t="e">
        <f t="shared" si="7"/>
        <v>#VALUE!</v>
      </c>
      <c r="R481" s="468" t="s">
        <v>1719</v>
      </c>
      <c r="S481" s="629"/>
    </row>
    <row r="482" spans="1:19" ht="15" x14ac:dyDescent="0.25">
      <c r="A482" s="621" t="s">
        <v>351</v>
      </c>
      <c r="B482" s="466" t="s">
        <v>111</v>
      </c>
      <c r="C482" s="631" t="s">
        <v>894</v>
      </c>
      <c r="D482" s="467" t="s">
        <v>889</v>
      </c>
      <c r="E482" s="474"/>
      <c r="F482" s="469" t="s">
        <v>112</v>
      </c>
      <c r="G482" s="470" t="s">
        <v>928</v>
      </c>
      <c r="H482" s="622" t="s">
        <v>917</v>
      </c>
      <c r="I482" s="633" t="s">
        <v>116</v>
      </c>
      <c r="J482" s="471" t="s">
        <v>913</v>
      </c>
      <c r="K482" s="469">
        <v>5</v>
      </c>
      <c r="L482" s="473"/>
      <c r="M482" s="623">
        <v>543</v>
      </c>
      <c r="N482" s="623">
        <v>32</v>
      </c>
      <c r="O482" s="624">
        <v>5.8931860036832415E-2</v>
      </c>
      <c r="P482" s="624">
        <v>5.8931860036832415E-2</v>
      </c>
      <c r="Q482" s="785">
        <f t="shared" si="7"/>
        <v>1.1786372007366483</v>
      </c>
      <c r="R482" s="468" t="s">
        <v>1718</v>
      </c>
      <c r="S482" s="629"/>
    </row>
    <row r="483" spans="1:19" ht="15" x14ac:dyDescent="0.25">
      <c r="A483" s="621" t="s">
        <v>351</v>
      </c>
      <c r="B483" s="466" t="s">
        <v>111</v>
      </c>
      <c r="C483" s="631" t="s">
        <v>894</v>
      </c>
      <c r="D483" s="467" t="s">
        <v>881</v>
      </c>
      <c r="E483" s="474"/>
      <c r="F483" s="469" t="s">
        <v>112</v>
      </c>
      <c r="G483" s="470" t="s">
        <v>928</v>
      </c>
      <c r="H483" s="622" t="s">
        <v>916</v>
      </c>
      <c r="I483" s="633" t="s">
        <v>116</v>
      </c>
      <c r="J483" s="471" t="s">
        <v>913</v>
      </c>
      <c r="K483" s="469">
        <v>32</v>
      </c>
      <c r="L483" s="473"/>
      <c r="M483" s="623">
        <v>78</v>
      </c>
      <c r="N483" s="623">
        <v>28</v>
      </c>
      <c r="O483" s="624">
        <v>0.35897435897435898</v>
      </c>
      <c r="P483" s="624">
        <v>0.35897435897435898</v>
      </c>
      <c r="Q483" s="785">
        <f t="shared" si="7"/>
        <v>1.1217948717948718</v>
      </c>
      <c r="R483" s="468" t="s">
        <v>1718</v>
      </c>
      <c r="S483" s="629"/>
    </row>
    <row r="484" spans="1:19" ht="15" x14ac:dyDescent="0.25">
      <c r="A484" s="621" t="s">
        <v>351</v>
      </c>
      <c r="B484" s="466" t="s">
        <v>111</v>
      </c>
      <c r="C484" s="631" t="s">
        <v>894</v>
      </c>
      <c r="D484" s="467" t="s">
        <v>883</v>
      </c>
      <c r="E484" s="474" t="s">
        <v>1727</v>
      </c>
      <c r="F484" s="469" t="s">
        <v>112</v>
      </c>
      <c r="G484" s="470" t="s">
        <v>928</v>
      </c>
      <c r="H484" s="622" t="s">
        <v>916</v>
      </c>
      <c r="I484" s="633" t="s">
        <v>116</v>
      </c>
      <c r="J484" s="471" t="s">
        <v>913</v>
      </c>
      <c r="K484" s="469">
        <v>33</v>
      </c>
      <c r="L484" s="473"/>
      <c r="M484" s="623">
        <v>25</v>
      </c>
      <c r="N484" s="623">
        <v>9</v>
      </c>
      <c r="O484" s="624">
        <v>0.36</v>
      </c>
      <c r="P484" s="624">
        <v>0.36</v>
      </c>
      <c r="Q484" s="785">
        <f t="shared" si="7"/>
        <v>1.0909090909090908</v>
      </c>
      <c r="R484" s="468" t="s">
        <v>1718</v>
      </c>
      <c r="S484" s="629"/>
    </row>
    <row r="485" spans="1:19" ht="15" x14ac:dyDescent="0.25">
      <c r="A485" s="621" t="s">
        <v>351</v>
      </c>
      <c r="B485" s="466" t="s">
        <v>111</v>
      </c>
      <c r="C485" s="631" t="s">
        <v>894</v>
      </c>
      <c r="D485" s="467" t="s">
        <v>869</v>
      </c>
      <c r="E485" s="474" t="s">
        <v>1727</v>
      </c>
      <c r="F485" s="469" t="s">
        <v>112</v>
      </c>
      <c r="G485" s="470" t="s">
        <v>928</v>
      </c>
      <c r="H485" s="622" t="s">
        <v>916</v>
      </c>
      <c r="I485" s="633" t="s">
        <v>116</v>
      </c>
      <c r="J485" s="471" t="s">
        <v>913</v>
      </c>
      <c r="K485" s="469" t="s">
        <v>79</v>
      </c>
      <c r="L485" s="473"/>
      <c r="M485" s="623">
        <v>0</v>
      </c>
      <c r="N485" s="623">
        <v>0</v>
      </c>
      <c r="O485" s="624">
        <v>0</v>
      </c>
      <c r="P485" s="624">
        <v>0</v>
      </c>
      <c r="Q485" s="785" t="e">
        <f t="shared" si="7"/>
        <v>#VALUE!</v>
      </c>
      <c r="R485" s="468" t="s">
        <v>1719</v>
      </c>
      <c r="S485" s="629"/>
    </row>
    <row r="486" spans="1:19" ht="15" x14ac:dyDescent="0.25">
      <c r="A486" s="621" t="s">
        <v>351</v>
      </c>
      <c r="B486" s="466" t="s">
        <v>111</v>
      </c>
      <c r="C486" s="631" t="s">
        <v>99</v>
      </c>
      <c r="D486" s="467" t="s">
        <v>866</v>
      </c>
      <c r="E486" s="474" t="s">
        <v>1720</v>
      </c>
      <c r="F486" s="469" t="s">
        <v>112</v>
      </c>
      <c r="G486" s="470" t="s">
        <v>929</v>
      </c>
      <c r="H486" s="622" t="s">
        <v>916</v>
      </c>
      <c r="I486" s="633" t="s">
        <v>116</v>
      </c>
      <c r="J486" s="471" t="s">
        <v>913</v>
      </c>
      <c r="K486" s="469">
        <v>33</v>
      </c>
      <c r="L486" s="473"/>
      <c r="M486" s="623">
        <v>0</v>
      </c>
      <c r="N486" s="623">
        <v>0</v>
      </c>
      <c r="O486" s="624">
        <v>0</v>
      </c>
      <c r="P486" s="624">
        <v>0</v>
      </c>
      <c r="Q486" s="785" t="e">
        <f t="shared" si="7"/>
        <v>#DIV/0!</v>
      </c>
      <c r="R486" s="468" t="s">
        <v>1719</v>
      </c>
      <c r="S486" s="629"/>
    </row>
    <row r="487" spans="1:19" ht="15" x14ac:dyDescent="0.25">
      <c r="A487" s="621" t="s">
        <v>351</v>
      </c>
      <c r="B487" s="466" t="s">
        <v>111</v>
      </c>
      <c r="C487" s="631" t="s">
        <v>99</v>
      </c>
      <c r="D487" s="467" t="s">
        <v>869</v>
      </c>
      <c r="E487" s="474" t="s">
        <v>1720</v>
      </c>
      <c r="F487" s="469" t="s">
        <v>112</v>
      </c>
      <c r="G487" s="470" t="s">
        <v>929</v>
      </c>
      <c r="H487" s="622" t="s">
        <v>916</v>
      </c>
      <c r="I487" s="633" t="s">
        <v>116</v>
      </c>
      <c r="J487" s="471" t="s">
        <v>913</v>
      </c>
      <c r="K487" s="469">
        <v>33</v>
      </c>
      <c r="L487" s="473"/>
      <c r="M487" s="623">
        <v>14</v>
      </c>
      <c r="N487" s="623">
        <v>2</v>
      </c>
      <c r="O487" s="624">
        <v>0.14285714285714285</v>
      </c>
      <c r="P487" s="624">
        <v>0.14285714285714285</v>
      </c>
      <c r="Q487" s="785">
        <f t="shared" si="7"/>
        <v>0.4329004329004329</v>
      </c>
      <c r="R487" s="468" t="s">
        <v>1718</v>
      </c>
      <c r="S487" s="629"/>
    </row>
    <row r="488" spans="1:19" ht="15" x14ac:dyDescent="0.25">
      <c r="A488" s="621" t="s">
        <v>351</v>
      </c>
      <c r="B488" s="466" t="s">
        <v>111</v>
      </c>
      <c r="C488" s="631" t="s">
        <v>870</v>
      </c>
      <c r="D488" s="467" t="s">
        <v>889</v>
      </c>
      <c r="E488" s="474"/>
      <c r="F488" s="469" t="s">
        <v>112</v>
      </c>
      <c r="G488" s="470" t="s">
        <v>929</v>
      </c>
      <c r="H488" s="622" t="s">
        <v>917</v>
      </c>
      <c r="I488" s="633" t="s">
        <v>116</v>
      </c>
      <c r="J488" s="471" t="s">
        <v>913</v>
      </c>
      <c r="K488" s="469">
        <v>16</v>
      </c>
      <c r="L488" s="473"/>
      <c r="M488" s="623">
        <v>50</v>
      </c>
      <c r="N488" s="623">
        <v>4</v>
      </c>
      <c r="O488" s="624">
        <v>0.08</v>
      </c>
      <c r="P488" s="624">
        <v>0.08</v>
      </c>
      <c r="Q488" s="785">
        <f t="shared" si="7"/>
        <v>0.5</v>
      </c>
      <c r="R488" s="468" t="s">
        <v>1718</v>
      </c>
      <c r="S488" s="629"/>
    </row>
    <row r="489" spans="1:19" ht="15" x14ac:dyDescent="0.25">
      <c r="A489" s="621" t="s">
        <v>351</v>
      </c>
      <c r="B489" s="466" t="s">
        <v>111</v>
      </c>
      <c r="C489" s="631" t="s">
        <v>870</v>
      </c>
      <c r="D489" s="467" t="s">
        <v>881</v>
      </c>
      <c r="E489" s="474"/>
      <c r="F489" s="469" t="s">
        <v>112</v>
      </c>
      <c r="G489" s="470" t="s">
        <v>929</v>
      </c>
      <c r="H489" s="622" t="s">
        <v>916</v>
      </c>
      <c r="I489" s="633" t="s">
        <v>116</v>
      </c>
      <c r="J489" s="471" t="s">
        <v>913</v>
      </c>
      <c r="K489" s="469">
        <v>16</v>
      </c>
      <c r="L489" s="473"/>
      <c r="M489" s="623">
        <v>19</v>
      </c>
      <c r="N489" s="623">
        <v>3</v>
      </c>
      <c r="O489" s="624">
        <v>0.15789473684210525</v>
      </c>
      <c r="P489" s="624">
        <v>0.15789473684210525</v>
      </c>
      <c r="Q489" s="785">
        <f t="shared" si="7"/>
        <v>0.98684210526315785</v>
      </c>
      <c r="R489" s="468" t="s">
        <v>1718</v>
      </c>
      <c r="S489" s="629"/>
    </row>
    <row r="490" spans="1:19" ht="15" x14ac:dyDescent="0.25">
      <c r="A490" s="621" t="s">
        <v>351</v>
      </c>
      <c r="B490" s="466" t="s">
        <v>111</v>
      </c>
      <c r="C490" s="631" t="s">
        <v>870</v>
      </c>
      <c r="D490" s="467" t="s">
        <v>883</v>
      </c>
      <c r="E490" s="474"/>
      <c r="F490" s="469" t="s">
        <v>112</v>
      </c>
      <c r="G490" s="470" t="s">
        <v>929</v>
      </c>
      <c r="H490" s="622" t="s">
        <v>916</v>
      </c>
      <c r="I490" s="633" t="s">
        <v>116</v>
      </c>
      <c r="J490" s="471" t="s">
        <v>913</v>
      </c>
      <c r="K490" s="469">
        <v>6</v>
      </c>
      <c r="L490" s="473"/>
      <c r="M490" s="623">
        <v>39</v>
      </c>
      <c r="N490" s="623">
        <v>9</v>
      </c>
      <c r="O490" s="624">
        <v>0.23076923076923078</v>
      </c>
      <c r="P490" s="624">
        <v>0.23076923076923078</v>
      </c>
      <c r="Q490" s="785">
        <f t="shared" si="7"/>
        <v>3.8461538461538463</v>
      </c>
      <c r="R490" s="468" t="s">
        <v>1718</v>
      </c>
      <c r="S490" s="629"/>
    </row>
    <row r="491" spans="1:19" ht="15" x14ac:dyDescent="0.25">
      <c r="A491" s="621" t="s">
        <v>351</v>
      </c>
      <c r="B491" s="466" t="s">
        <v>111</v>
      </c>
      <c r="C491" s="631" t="s">
        <v>870</v>
      </c>
      <c r="D491" s="467" t="s">
        <v>866</v>
      </c>
      <c r="E491" s="474"/>
      <c r="F491" s="469" t="s">
        <v>112</v>
      </c>
      <c r="G491" s="470" t="s">
        <v>929</v>
      </c>
      <c r="H491" s="622" t="s">
        <v>916</v>
      </c>
      <c r="I491" s="633" t="s">
        <v>116</v>
      </c>
      <c r="J491" s="471" t="s">
        <v>913</v>
      </c>
      <c r="K491" s="469">
        <v>8</v>
      </c>
      <c r="L491" s="473"/>
      <c r="M491" s="623">
        <v>67</v>
      </c>
      <c r="N491" s="623">
        <v>17</v>
      </c>
      <c r="O491" s="624">
        <v>0.2537313432835821</v>
      </c>
      <c r="P491" s="624">
        <v>0.2537313432835821</v>
      </c>
      <c r="Q491" s="785">
        <f t="shared" si="7"/>
        <v>3.1716417910447761</v>
      </c>
      <c r="R491" s="468" t="s">
        <v>1718</v>
      </c>
      <c r="S491" s="629"/>
    </row>
    <row r="492" spans="1:19" ht="15" x14ac:dyDescent="0.25">
      <c r="A492" s="621" t="s">
        <v>351</v>
      </c>
      <c r="B492" s="466" t="s">
        <v>111</v>
      </c>
      <c r="C492" s="631" t="s">
        <v>870</v>
      </c>
      <c r="D492" s="467" t="s">
        <v>869</v>
      </c>
      <c r="E492" s="474"/>
      <c r="F492" s="469" t="s">
        <v>112</v>
      </c>
      <c r="G492" s="470" t="s">
        <v>929</v>
      </c>
      <c r="H492" s="622" t="s">
        <v>916</v>
      </c>
      <c r="I492" s="633" t="s">
        <v>116</v>
      </c>
      <c r="J492" s="471" t="s">
        <v>913</v>
      </c>
      <c r="K492" s="469">
        <v>5</v>
      </c>
      <c r="L492" s="473"/>
      <c r="M492" s="623">
        <v>46</v>
      </c>
      <c r="N492" s="623">
        <v>18</v>
      </c>
      <c r="O492" s="624">
        <v>0.39130434782608697</v>
      </c>
      <c r="P492" s="624">
        <v>0.39130434782608697</v>
      </c>
      <c r="Q492" s="785">
        <f t="shared" si="7"/>
        <v>7.8260869565217401</v>
      </c>
      <c r="R492" s="468" t="s">
        <v>1718</v>
      </c>
      <c r="S492" s="629"/>
    </row>
    <row r="493" spans="1:19" ht="15" x14ac:dyDescent="0.25">
      <c r="A493" s="621" t="s">
        <v>351</v>
      </c>
      <c r="B493" s="466" t="s">
        <v>111</v>
      </c>
      <c r="C493" s="631" t="s">
        <v>738</v>
      </c>
      <c r="D493" s="467" t="s">
        <v>889</v>
      </c>
      <c r="E493" s="474"/>
      <c r="F493" s="469" t="s">
        <v>112</v>
      </c>
      <c r="G493" s="470" t="s">
        <v>929</v>
      </c>
      <c r="H493" s="622" t="s">
        <v>917</v>
      </c>
      <c r="I493" s="633" t="s">
        <v>116</v>
      </c>
      <c r="J493" s="471" t="s">
        <v>913</v>
      </c>
      <c r="K493" s="469">
        <v>29</v>
      </c>
      <c r="L493" s="473"/>
      <c r="M493" s="623">
        <v>156</v>
      </c>
      <c r="N493" s="623">
        <v>7</v>
      </c>
      <c r="O493" s="624">
        <v>4.4871794871794872E-2</v>
      </c>
      <c r="P493" s="624">
        <v>4.4871794871794872E-2</v>
      </c>
      <c r="Q493" s="785">
        <f t="shared" si="7"/>
        <v>0.15473032714412024</v>
      </c>
      <c r="R493" s="468" t="s">
        <v>1718</v>
      </c>
      <c r="S493" s="629"/>
    </row>
    <row r="494" spans="1:19" ht="15" x14ac:dyDescent="0.25">
      <c r="A494" s="621" t="s">
        <v>351</v>
      </c>
      <c r="B494" s="466" t="s">
        <v>111</v>
      </c>
      <c r="C494" s="631" t="s">
        <v>738</v>
      </c>
      <c r="D494" s="467" t="s">
        <v>881</v>
      </c>
      <c r="E494" s="474" t="s">
        <v>1721</v>
      </c>
      <c r="F494" s="469" t="s">
        <v>112</v>
      </c>
      <c r="G494" s="470" t="s">
        <v>929</v>
      </c>
      <c r="H494" s="622" t="s">
        <v>916</v>
      </c>
      <c r="I494" s="633" t="s">
        <v>116</v>
      </c>
      <c r="J494" s="471" t="s">
        <v>913</v>
      </c>
      <c r="K494" s="469">
        <v>8</v>
      </c>
      <c r="L494" s="473"/>
      <c r="M494" s="623">
        <v>54</v>
      </c>
      <c r="N494" s="623">
        <v>6</v>
      </c>
      <c r="O494" s="624">
        <v>0.1111111111111111</v>
      </c>
      <c r="P494" s="624">
        <v>0.1111111111111111</v>
      </c>
      <c r="Q494" s="785">
        <f t="shared" si="7"/>
        <v>1.3888888888888888</v>
      </c>
      <c r="R494" s="468" t="s">
        <v>1718</v>
      </c>
      <c r="S494" s="629"/>
    </row>
    <row r="495" spans="1:19" ht="15" x14ac:dyDescent="0.25">
      <c r="A495" s="621" t="s">
        <v>351</v>
      </c>
      <c r="B495" s="466" t="s">
        <v>111</v>
      </c>
      <c r="C495" s="631" t="s">
        <v>738</v>
      </c>
      <c r="D495" s="467" t="s">
        <v>883</v>
      </c>
      <c r="E495" s="474" t="s">
        <v>1721</v>
      </c>
      <c r="F495" s="469" t="s">
        <v>112</v>
      </c>
      <c r="G495" s="470" t="s">
        <v>929</v>
      </c>
      <c r="H495" s="622" t="s">
        <v>916</v>
      </c>
      <c r="I495" s="633" t="s">
        <v>116</v>
      </c>
      <c r="J495" s="471" t="s">
        <v>913</v>
      </c>
      <c r="K495" s="469">
        <v>8</v>
      </c>
      <c r="L495" s="473"/>
      <c r="M495" s="623">
        <v>0</v>
      </c>
      <c r="N495" s="623">
        <v>0</v>
      </c>
      <c r="O495" s="624">
        <v>0</v>
      </c>
      <c r="P495" s="624">
        <v>0</v>
      </c>
      <c r="Q495" s="785" t="e">
        <f t="shared" si="7"/>
        <v>#DIV/0!</v>
      </c>
      <c r="R495" s="468" t="s">
        <v>1719</v>
      </c>
      <c r="S495" s="629"/>
    </row>
    <row r="496" spans="1:19" ht="15" x14ac:dyDescent="0.25">
      <c r="A496" s="621" t="s">
        <v>351</v>
      </c>
      <c r="B496" s="466" t="s">
        <v>111</v>
      </c>
      <c r="C496" s="631" t="s">
        <v>738</v>
      </c>
      <c r="D496" s="467" t="s">
        <v>866</v>
      </c>
      <c r="E496" s="474" t="s">
        <v>1722</v>
      </c>
      <c r="F496" s="469" t="s">
        <v>112</v>
      </c>
      <c r="G496" s="470" t="s">
        <v>929</v>
      </c>
      <c r="H496" s="622" t="s">
        <v>916</v>
      </c>
      <c r="I496" s="633" t="s">
        <v>116</v>
      </c>
      <c r="J496" s="471" t="s">
        <v>913</v>
      </c>
      <c r="K496" s="469">
        <v>8</v>
      </c>
      <c r="L496" s="473"/>
      <c r="M496" s="623">
        <v>0</v>
      </c>
      <c r="N496" s="623">
        <v>1</v>
      </c>
      <c r="O496" s="624">
        <v>0</v>
      </c>
      <c r="P496" s="624">
        <v>0</v>
      </c>
      <c r="Q496" s="785" t="e">
        <f t="shared" si="7"/>
        <v>#DIV/0!</v>
      </c>
      <c r="R496" s="468" t="s">
        <v>1719</v>
      </c>
      <c r="S496" s="629"/>
    </row>
    <row r="497" spans="1:19" ht="15" x14ac:dyDescent="0.25">
      <c r="A497" s="621" t="s">
        <v>351</v>
      </c>
      <c r="B497" s="466" t="s">
        <v>111</v>
      </c>
      <c r="C497" s="631" t="s">
        <v>738</v>
      </c>
      <c r="D497" s="467" t="s">
        <v>869</v>
      </c>
      <c r="E497" s="474" t="s">
        <v>1722</v>
      </c>
      <c r="F497" s="469" t="s">
        <v>112</v>
      </c>
      <c r="G497" s="470" t="s">
        <v>929</v>
      </c>
      <c r="H497" s="622" t="s">
        <v>916</v>
      </c>
      <c r="I497" s="633" t="s">
        <v>116</v>
      </c>
      <c r="J497" s="471" t="s">
        <v>913</v>
      </c>
      <c r="K497" s="469">
        <v>8</v>
      </c>
      <c r="L497" s="473"/>
      <c r="M497" s="623">
        <v>7</v>
      </c>
      <c r="N497" s="623">
        <v>2</v>
      </c>
      <c r="O497" s="624">
        <v>0.2857142857142857</v>
      </c>
      <c r="P497" s="624">
        <v>0.2857142857142857</v>
      </c>
      <c r="Q497" s="785">
        <f t="shared" si="7"/>
        <v>3.5714285714285712</v>
      </c>
      <c r="R497" s="468" t="s">
        <v>1718</v>
      </c>
      <c r="S497" s="629"/>
    </row>
    <row r="498" spans="1:19" ht="15" x14ac:dyDescent="0.25">
      <c r="A498" s="621" t="s">
        <v>351</v>
      </c>
      <c r="B498" s="466" t="s">
        <v>111</v>
      </c>
      <c r="C498" s="631" t="s">
        <v>101</v>
      </c>
      <c r="D498" s="467" t="s">
        <v>889</v>
      </c>
      <c r="E498" s="474"/>
      <c r="F498" s="469" t="s">
        <v>112</v>
      </c>
      <c r="G498" s="470" t="s">
        <v>929</v>
      </c>
      <c r="H498" s="622" t="s">
        <v>917</v>
      </c>
      <c r="I498" s="633" t="s">
        <v>116</v>
      </c>
      <c r="J498" s="471" t="s">
        <v>913</v>
      </c>
      <c r="K498" s="469">
        <v>17</v>
      </c>
      <c r="L498" s="473"/>
      <c r="M498" s="623">
        <v>112</v>
      </c>
      <c r="N498" s="623">
        <v>19</v>
      </c>
      <c r="O498" s="624">
        <v>0.16964285714285715</v>
      </c>
      <c r="P498" s="624">
        <v>0.16964285714285715</v>
      </c>
      <c r="Q498" s="785">
        <f t="shared" si="7"/>
        <v>0.99789915966386555</v>
      </c>
      <c r="R498" s="468" t="s">
        <v>1718</v>
      </c>
      <c r="S498" s="629"/>
    </row>
    <row r="499" spans="1:19" ht="15" x14ac:dyDescent="0.25">
      <c r="A499" s="621" t="s">
        <v>351</v>
      </c>
      <c r="B499" s="466" t="s">
        <v>111</v>
      </c>
      <c r="C499" s="631" t="s">
        <v>101</v>
      </c>
      <c r="D499" s="467" t="s">
        <v>881</v>
      </c>
      <c r="E499" s="474"/>
      <c r="F499" s="469" t="s">
        <v>112</v>
      </c>
      <c r="G499" s="470" t="s">
        <v>929</v>
      </c>
      <c r="H499" s="622" t="s">
        <v>916</v>
      </c>
      <c r="I499" s="633" t="s">
        <v>116</v>
      </c>
      <c r="J499" s="471" t="s">
        <v>913</v>
      </c>
      <c r="K499" s="469">
        <v>36</v>
      </c>
      <c r="L499" s="473"/>
      <c r="M499" s="623">
        <v>9</v>
      </c>
      <c r="N499" s="623">
        <v>2</v>
      </c>
      <c r="O499" s="624">
        <v>0.22222222222222221</v>
      </c>
      <c r="P499" s="624">
        <v>0.22222222222222221</v>
      </c>
      <c r="Q499" s="785">
        <f t="shared" si="7"/>
        <v>0.61728395061728392</v>
      </c>
      <c r="R499" s="468" t="s">
        <v>1718</v>
      </c>
      <c r="S499" s="629"/>
    </row>
    <row r="500" spans="1:19" ht="15" x14ac:dyDescent="0.25">
      <c r="A500" s="621" t="s">
        <v>351</v>
      </c>
      <c r="B500" s="466" t="s">
        <v>111</v>
      </c>
      <c r="C500" s="631" t="s">
        <v>101</v>
      </c>
      <c r="D500" s="467" t="s">
        <v>883</v>
      </c>
      <c r="E500" s="474" t="s">
        <v>1723</v>
      </c>
      <c r="F500" s="469" t="s">
        <v>112</v>
      </c>
      <c r="G500" s="470" t="s">
        <v>929</v>
      </c>
      <c r="H500" s="622" t="s">
        <v>916</v>
      </c>
      <c r="I500" s="633" t="s">
        <v>116</v>
      </c>
      <c r="J500" s="471" t="s">
        <v>913</v>
      </c>
      <c r="K500" s="469">
        <v>80</v>
      </c>
      <c r="L500" s="473"/>
      <c r="M500" s="623">
        <v>0</v>
      </c>
      <c r="N500" s="623">
        <v>0</v>
      </c>
      <c r="O500" s="624">
        <v>0</v>
      </c>
      <c r="P500" s="624">
        <v>0</v>
      </c>
      <c r="Q500" s="785" t="e">
        <f t="shared" si="7"/>
        <v>#DIV/0!</v>
      </c>
      <c r="R500" s="468" t="s">
        <v>1719</v>
      </c>
      <c r="S500" s="629"/>
    </row>
    <row r="501" spans="1:19" ht="15" x14ac:dyDescent="0.25">
      <c r="A501" s="621" t="s">
        <v>351</v>
      </c>
      <c r="B501" s="466" t="s">
        <v>111</v>
      </c>
      <c r="C501" s="631" t="s">
        <v>101</v>
      </c>
      <c r="D501" s="467" t="s">
        <v>866</v>
      </c>
      <c r="E501" s="474" t="s">
        <v>1723</v>
      </c>
      <c r="F501" s="469" t="s">
        <v>112</v>
      </c>
      <c r="G501" s="470" t="s">
        <v>929</v>
      </c>
      <c r="H501" s="622" t="s">
        <v>916</v>
      </c>
      <c r="I501" s="633" t="s">
        <v>116</v>
      </c>
      <c r="J501" s="471" t="s">
        <v>913</v>
      </c>
      <c r="K501" s="469" t="s">
        <v>79</v>
      </c>
      <c r="L501" s="473"/>
      <c r="M501" s="623">
        <v>13</v>
      </c>
      <c r="N501" s="623">
        <v>2</v>
      </c>
      <c r="O501" s="624">
        <v>0.15384615384615385</v>
      </c>
      <c r="P501" s="624">
        <v>0.15384615384615385</v>
      </c>
      <c r="Q501" s="785" t="e">
        <f t="shared" si="7"/>
        <v>#VALUE!</v>
      </c>
      <c r="R501" s="468" t="s">
        <v>1718</v>
      </c>
      <c r="S501" s="629"/>
    </row>
    <row r="502" spans="1:19" ht="15" x14ac:dyDescent="0.25">
      <c r="A502" s="621" t="s">
        <v>351</v>
      </c>
      <c r="B502" s="466" t="s">
        <v>111</v>
      </c>
      <c r="C502" s="631" t="s">
        <v>101</v>
      </c>
      <c r="D502" s="467" t="s">
        <v>869</v>
      </c>
      <c r="E502" s="474" t="s">
        <v>1723</v>
      </c>
      <c r="F502" s="469" t="s">
        <v>112</v>
      </c>
      <c r="G502" s="470" t="s">
        <v>929</v>
      </c>
      <c r="H502" s="622" t="s">
        <v>916</v>
      </c>
      <c r="I502" s="633" t="s">
        <v>116</v>
      </c>
      <c r="J502" s="471" t="s">
        <v>913</v>
      </c>
      <c r="K502" s="469" t="s">
        <v>79</v>
      </c>
      <c r="L502" s="473"/>
      <c r="M502" s="623">
        <v>0</v>
      </c>
      <c r="N502" s="623">
        <v>0</v>
      </c>
      <c r="O502" s="624">
        <v>0</v>
      </c>
      <c r="P502" s="624">
        <v>0</v>
      </c>
      <c r="Q502" s="785" t="e">
        <f t="shared" si="7"/>
        <v>#VALUE!</v>
      </c>
      <c r="R502" s="468" t="s">
        <v>1719</v>
      </c>
      <c r="S502" s="629"/>
    </row>
    <row r="503" spans="1:19" ht="15" x14ac:dyDescent="0.25">
      <c r="A503" s="621" t="s">
        <v>351</v>
      </c>
      <c r="B503" s="466" t="s">
        <v>111</v>
      </c>
      <c r="C503" s="631" t="s">
        <v>885</v>
      </c>
      <c r="D503" s="467" t="s">
        <v>889</v>
      </c>
      <c r="E503" s="474"/>
      <c r="F503" s="469" t="s">
        <v>112</v>
      </c>
      <c r="G503" s="470" t="s">
        <v>929</v>
      </c>
      <c r="H503" s="622" t="s">
        <v>917</v>
      </c>
      <c r="I503" s="633" t="s">
        <v>116</v>
      </c>
      <c r="J503" s="471" t="s">
        <v>913</v>
      </c>
      <c r="K503" s="469">
        <v>13</v>
      </c>
      <c r="L503" s="473"/>
      <c r="M503" s="623">
        <v>0</v>
      </c>
      <c r="N503" s="623">
        <v>0</v>
      </c>
      <c r="O503" s="624">
        <v>0</v>
      </c>
      <c r="P503" s="624">
        <v>0</v>
      </c>
      <c r="Q503" s="785" t="e">
        <f t="shared" si="7"/>
        <v>#DIV/0!</v>
      </c>
      <c r="R503" s="468" t="s">
        <v>1719</v>
      </c>
      <c r="S503" s="629"/>
    </row>
    <row r="504" spans="1:19" ht="15" x14ac:dyDescent="0.25">
      <c r="A504" s="621" t="s">
        <v>351</v>
      </c>
      <c r="B504" s="466" t="s">
        <v>111</v>
      </c>
      <c r="C504" s="631" t="s">
        <v>885</v>
      </c>
      <c r="D504" s="467" t="s">
        <v>881</v>
      </c>
      <c r="E504" s="474"/>
      <c r="F504" s="469" t="s">
        <v>112</v>
      </c>
      <c r="G504" s="470" t="s">
        <v>929</v>
      </c>
      <c r="H504" s="622" t="s">
        <v>916</v>
      </c>
      <c r="I504" s="633" t="s">
        <v>116</v>
      </c>
      <c r="J504" s="471" t="s">
        <v>913</v>
      </c>
      <c r="K504" s="469">
        <v>13</v>
      </c>
      <c r="L504" s="473"/>
      <c r="M504" s="623">
        <v>5</v>
      </c>
      <c r="N504" s="623">
        <v>0</v>
      </c>
      <c r="O504" s="624">
        <v>0</v>
      </c>
      <c r="P504" s="624">
        <v>0</v>
      </c>
      <c r="Q504" s="785">
        <f t="shared" si="7"/>
        <v>0</v>
      </c>
      <c r="R504" s="468" t="s">
        <v>1719</v>
      </c>
      <c r="S504" s="629"/>
    </row>
    <row r="505" spans="1:19" ht="15" x14ac:dyDescent="0.25">
      <c r="A505" s="621" t="s">
        <v>351</v>
      </c>
      <c r="B505" s="466" t="s">
        <v>111</v>
      </c>
      <c r="C505" s="631" t="s">
        <v>885</v>
      </c>
      <c r="D505" s="467" t="s">
        <v>883</v>
      </c>
      <c r="E505" s="474" t="s">
        <v>1724</v>
      </c>
      <c r="F505" s="469" t="s">
        <v>112</v>
      </c>
      <c r="G505" s="470" t="s">
        <v>929</v>
      </c>
      <c r="H505" s="622" t="s">
        <v>916</v>
      </c>
      <c r="I505" s="633" t="s">
        <v>116</v>
      </c>
      <c r="J505" s="471" t="s">
        <v>913</v>
      </c>
      <c r="K505" s="469" t="s">
        <v>79</v>
      </c>
      <c r="L505" s="473"/>
      <c r="M505" s="623">
        <v>5</v>
      </c>
      <c r="N505" s="623">
        <v>0</v>
      </c>
      <c r="O505" s="624">
        <v>0</v>
      </c>
      <c r="P505" s="624">
        <v>0</v>
      </c>
      <c r="Q505" s="785" t="e">
        <f t="shared" si="7"/>
        <v>#VALUE!</v>
      </c>
      <c r="R505" s="468" t="s">
        <v>1719</v>
      </c>
      <c r="S505" s="629"/>
    </row>
    <row r="506" spans="1:19" ht="15" x14ac:dyDescent="0.25">
      <c r="A506" s="621" t="s">
        <v>351</v>
      </c>
      <c r="B506" s="466" t="s">
        <v>111</v>
      </c>
      <c r="C506" s="631" t="s">
        <v>885</v>
      </c>
      <c r="D506" s="467" t="s">
        <v>866</v>
      </c>
      <c r="E506" s="474" t="s">
        <v>1724</v>
      </c>
      <c r="F506" s="469" t="s">
        <v>112</v>
      </c>
      <c r="G506" s="470" t="s">
        <v>929</v>
      </c>
      <c r="H506" s="622" t="s">
        <v>916</v>
      </c>
      <c r="I506" s="633" t="s">
        <v>116</v>
      </c>
      <c r="J506" s="471" t="s">
        <v>913</v>
      </c>
      <c r="K506" s="469" t="s">
        <v>79</v>
      </c>
      <c r="L506" s="473"/>
      <c r="M506" s="623">
        <v>0</v>
      </c>
      <c r="N506" s="623">
        <v>0</v>
      </c>
      <c r="O506" s="624">
        <v>0</v>
      </c>
      <c r="P506" s="624">
        <v>0</v>
      </c>
      <c r="Q506" s="785" t="e">
        <f t="shared" si="7"/>
        <v>#VALUE!</v>
      </c>
      <c r="R506" s="468" t="s">
        <v>1719</v>
      </c>
      <c r="S506" s="629"/>
    </row>
    <row r="507" spans="1:19" ht="15" x14ac:dyDescent="0.25">
      <c r="A507" s="621" t="s">
        <v>351</v>
      </c>
      <c r="B507" s="466" t="s">
        <v>111</v>
      </c>
      <c r="C507" s="631" t="s">
        <v>885</v>
      </c>
      <c r="D507" s="467" t="s">
        <v>869</v>
      </c>
      <c r="E507" s="474"/>
      <c r="F507" s="469" t="s">
        <v>112</v>
      </c>
      <c r="G507" s="470" t="s">
        <v>929</v>
      </c>
      <c r="H507" s="622" t="s">
        <v>916</v>
      </c>
      <c r="I507" s="633" t="s">
        <v>116</v>
      </c>
      <c r="J507" s="471" t="s">
        <v>913</v>
      </c>
      <c r="K507" s="469">
        <v>25</v>
      </c>
      <c r="L507" s="473"/>
      <c r="M507" s="623">
        <v>12</v>
      </c>
      <c r="N507" s="623">
        <v>5</v>
      </c>
      <c r="O507" s="624">
        <v>0.41666666666666669</v>
      </c>
      <c r="P507" s="624">
        <v>0.41666666666666669</v>
      </c>
      <c r="Q507" s="785">
        <f t="shared" si="7"/>
        <v>1.6666666666666667</v>
      </c>
      <c r="R507" s="468" t="s">
        <v>1718</v>
      </c>
      <c r="S507" s="629"/>
    </row>
    <row r="508" spans="1:19" ht="15" x14ac:dyDescent="0.25">
      <c r="A508" s="621" t="s">
        <v>351</v>
      </c>
      <c r="B508" s="466" t="s">
        <v>111</v>
      </c>
      <c r="C508" s="631" t="s">
        <v>885</v>
      </c>
      <c r="D508" s="467" t="s">
        <v>887</v>
      </c>
      <c r="E508" s="474"/>
      <c r="F508" s="469" t="s">
        <v>112</v>
      </c>
      <c r="G508" s="470" t="s">
        <v>929</v>
      </c>
      <c r="H508" s="622" t="s">
        <v>916</v>
      </c>
      <c r="I508" s="633" t="s">
        <v>116</v>
      </c>
      <c r="J508" s="471" t="s">
        <v>913</v>
      </c>
      <c r="K508" s="469">
        <v>10</v>
      </c>
      <c r="L508" s="473"/>
      <c r="M508" s="623">
        <v>20</v>
      </c>
      <c r="N508" s="623">
        <v>8</v>
      </c>
      <c r="O508" s="624">
        <v>0.4</v>
      </c>
      <c r="P508" s="624">
        <v>0.4</v>
      </c>
      <c r="Q508" s="785">
        <f t="shared" si="7"/>
        <v>4</v>
      </c>
      <c r="R508" s="468" t="s">
        <v>1718</v>
      </c>
      <c r="S508" s="629"/>
    </row>
    <row r="509" spans="1:19" ht="15" x14ac:dyDescent="0.25">
      <c r="A509" s="621" t="s">
        <v>351</v>
      </c>
      <c r="B509" s="466" t="s">
        <v>111</v>
      </c>
      <c r="C509" s="631" t="s">
        <v>904</v>
      </c>
      <c r="D509" s="467" t="s">
        <v>881</v>
      </c>
      <c r="E509" s="474" t="s">
        <v>1718</v>
      </c>
      <c r="F509" s="469" t="s">
        <v>112</v>
      </c>
      <c r="G509" s="470" t="s">
        <v>929</v>
      </c>
      <c r="H509" s="622" t="s">
        <v>916</v>
      </c>
      <c r="I509" s="633" t="s">
        <v>116</v>
      </c>
      <c r="J509" s="471" t="s">
        <v>913</v>
      </c>
      <c r="K509" s="469" t="s">
        <v>79</v>
      </c>
      <c r="L509" s="473"/>
      <c r="M509" s="623">
        <v>0</v>
      </c>
      <c r="N509" s="623">
        <v>0</v>
      </c>
      <c r="O509" s="624">
        <v>0</v>
      </c>
      <c r="P509" s="624">
        <v>0</v>
      </c>
      <c r="Q509" s="785" t="e">
        <f t="shared" si="7"/>
        <v>#VALUE!</v>
      </c>
      <c r="R509" s="468" t="s">
        <v>1719</v>
      </c>
      <c r="S509" s="629"/>
    </row>
    <row r="510" spans="1:19" ht="15" x14ac:dyDescent="0.25">
      <c r="A510" s="621" t="s">
        <v>351</v>
      </c>
      <c r="B510" s="466" t="s">
        <v>111</v>
      </c>
      <c r="C510" s="631" t="s">
        <v>904</v>
      </c>
      <c r="D510" s="467" t="s">
        <v>883</v>
      </c>
      <c r="E510" s="474" t="s">
        <v>1725</v>
      </c>
      <c r="F510" s="469" t="s">
        <v>112</v>
      </c>
      <c r="G510" s="470" t="s">
        <v>929</v>
      </c>
      <c r="H510" s="622" t="s">
        <v>916</v>
      </c>
      <c r="I510" s="633" t="s">
        <v>116</v>
      </c>
      <c r="J510" s="471" t="s">
        <v>913</v>
      </c>
      <c r="K510" s="469" t="s">
        <v>79</v>
      </c>
      <c r="L510" s="473"/>
      <c r="M510" s="623">
        <v>1</v>
      </c>
      <c r="N510" s="623">
        <v>1</v>
      </c>
      <c r="O510" s="624">
        <v>1</v>
      </c>
      <c r="P510" s="624">
        <v>1</v>
      </c>
      <c r="Q510" s="785" t="e">
        <f t="shared" si="7"/>
        <v>#VALUE!</v>
      </c>
      <c r="R510" s="468" t="s">
        <v>1718</v>
      </c>
      <c r="S510" s="629"/>
    </row>
    <row r="511" spans="1:19" ht="15" x14ac:dyDescent="0.25">
      <c r="A511" s="621" t="s">
        <v>351</v>
      </c>
      <c r="B511" s="466" t="s">
        <v>111</v>
      </c>
      <c r="C511" s="631" t="s">
        <v>740</v>
      </c>
      <c r="D511" s="467" t="s">
        <v>889</v>
      </c>
      <c r="E511" s="474"/>
      <c r="F511" s="469" t="s">
        <v>112</v>
      </c>
      <c r="G511" s="470" t="s">
        <v>929</v>
      </c>
      <c r="H511" s="622" t="s">
        <v>917</v>
      </c>
      <c r="I511" s="633" t="s">
        <v>116</v>
      </c>
      <c r="J511" s="471" t="s">
        <v>913</v>
      </c>
      <c r="K511" s="469">
        <v>38</v>
      </c>
      <c r="L511" s="473"/>
      <c r="M511" s="623">
        <v>37</v>
      </c>
      <c r="N511" s="623">
        <v>3</v>
      </c>
      <c r="O511" s="624">
        <v>8.1081081081081086E-2</v>
      </c>
      <c r="P511" s="624">
        <v>8.1081081081081086E-2</v>
      </c>
      <c r="Q511" s="785">
        <f t="shared" si="7"/>
        <v>0.21337126600284495</v>
      </c>
      <c r="R511" s="468" t="s">
        <v>1718</v>
      </c>
      <c r="S511" s="629"/>
    </row>
    <row r="512" spans="1:19" ht="15" x14ac:dyDescent="0.25">
      <c r="A512" s="621" t="s">
        <v>351</v>
      </c>
      <c r="B512" s="466" t="s">
        <v>111</v>
      </c>
      <c r="C512" s="631" t="s">
        <v>740</v>
      </c>
      <c r="D512" s="467" t="s">
        <v>881</v>
      </c>
      <c r="E512" s="474" t="s">
        <v>1726</v>
      </c>
      <c r="F512" s="469" t="s">
        <v>112</v>
      </c>
      <c r="G512" s="470" t="s">
        <v>929</v>
      </c>
      <c r="H512" s="622" t="s">
        <v>916</v>
      </c>
      <c r="I512" s="633" t="s">
        <v>116</v>
      </c>
      <c r="J512" s="471" t="s">
        <v>913</v>
      </c>
      <c r="K512" s="469" t="s">
        <v>79</v>
      </c>
      <c r="L512" s="473"/>
      <c r="M512" s="623">
        <v>4</v>
      </c>
      <c r="N512" s="623">
        <v>0</v>
      </c>
      <c r="O512" s="624">
        <v>0</v>
      </c>
      <c r="P512" s="624">
        <v>0</v>
      </c>
      <c r="Q512" s="785" t="e">
        <f t="shared" si="7"/>
        <v>#VALUE!</v>
      </c>
      <c r="R512" s="468" t="s">
        <v>1719</v>
      </c>
      <c r="S512" s="629"/>
    </row>
    <row r="513" spans="1:19" ht="15" x14ac:dyDescent="0.25">
      <c r="A513" s="621" t="s">
        <v>351</v>
      </c>
      <c r="B513" s="466" t="s">
        <v>111</v>
      </c>
      <c r="C513" s="631" t="s">
        <v>740</v>
      </c>
      <c r="D513" s="467" t="s">
        <v>883</v>
      </c>
      <c r="E513" s="474" t="s">
        <v>1726</v>
      </c>
      <c r="F513" s="469" t="s">
        <v>112</v>
      </c>
      <c r="G513" s="470" t="s">
        <v>929</v>
      </c>
      <c r="H513" s="622" t="s">
        <v>916</v>
      </c>
      <c r="I513" s="633" t="s">
        <v>116</v>
      </c>
      <c r="J513" s="471" t="s">
        <v>913</v>
      </c>
      <c r="K513" s="469" t="s">
        <v>79</v>
      </c>
      <c r="L513" s="473"/>
      <c r="M513" s="623">
        <v>0</v>
      </c>
      <c r="N513" s="623">
        <v>0</v>
      </c>
      <c r="O513" s="624">
        <v>0</v>
      </c>
      <c r="P513" s="624">
        <v>0</v>
      </c>
      <c r="Q513" s="785" t="e">
        <f t="shared" si="7"/>
        <v>#VALUE!</v>
      </c>
      <c r="R513" s="468" t="s">
        <v>1719</v>
      </c>
      <c r="S513" s="629"/>
    </row>
    <row r="514" spans="1:19" ht="15" x14ac:dyDescent="0.25">
      <c r="A514" s="621" t="s">
        <v>351</v>
      </c>
      <c r="B514" s="466" t="s">
        <v>111</v>
      </c>
      <c r="C514" s="631" t="s">
        <v>894</v>
      </c>
      <c r="D514" s="467" t="s">
        <v>889</v>
      </c>
      <c r="E514" s="474"/>
      <c r="F514" s="469" t="s">
        <v>112</v>
      </c>
      <c r="G514" s="470" t="s">
        <v>929</v>
      </c>
      <c r="H514" s="622" t="s">
        <v>917</v>
      </c>
      <c r="I514" s="633" t="s">
        <v>116</v>
      </c>
      <c r="J514" s="471" t="s">
        <v>913</v>
      </c>
      <c r="K514" s="469">
        <v>5</v>
      </c>
      <c r="L514" s="473"/>
      <c r="M514" s="623">
        <v>543</v>
      </c>
      <c r="N514" s="623">
        <v>32</v>
      </c>
      <c r="O514" s="624">
        <v>5.8931860036832415E-2</v>
      </c>
      <c r="P514" s="624">
        <v>5.8931860036832415E-2</v>
      </c>
      <c r="Q514" s="785">
        <f t="shared" si="7"/>
        <v>1.1786372007366483</v>
      </c>
      <c r="R514" s="468" t="s">
        <v>1718</v>
      </c>
      <c r="S514" s="629"/>
    </row>
    <row r="515" spans="1:19" ht="15" x14ac:dyDescent="0.25">
      <c r="A515" s="621" t="s">
        <v>351</v>
      </c>
      <c r="B515" s="466" t="s">
        <v>111</v>
      </c>
      <c r="C515" s="631" t="s">
        <v>894</v>
      </c>
      <c r="D515" s="467" t="s">
        <v>881</v>
      </c>
      <c r="E515" s="474"/>
      <c r="F515" s="469" t="s">
        <v>112</v>
      </c>
      <c r="G515" s="470" t="s">
        <v>929</v>
      </c>
      <c r="H515" s="622" t="s">
        <v>916</v>
      </c>
      <c r="I515" s="633" t="s">
        <v>116</v>
      </c>
      <c r="J515" s="471" t="s">
        <v>913</v>
      </c>
      <c r="K515" s="469">
        <v>32</v>
      </c>
      <c r="L515" s="473"/>
      <c r="M515" s="623">
        <v>78</v>
      </c>
      <c r="N515" s="623">
        <v>28</v>
      </c>
      <c r="O515" s="624">
        <v>0.35897435897435898</v>
      </c>
      <c r="P515" s="624">
        <v>0.35897435897435898</v>
      </c>
      <c r="Q515" s="785">
        <f t="shared" si="7"/>
        <v>1.1217948717948718</v>
      </c>
      <c r="R515" s="468" t="s">
        <v>1718</v>
      </c>
      <c r="S515" s="629"/>
    </row>
    <row r="516" spans="1:19" ht="15" x14ac:dyDescent="0.25">
      <c r="A516" s="621" t="s">
        <v>351</v>
      </c>
      <c r="B516" s="466" t="s">
        <v>111</v>
      </c>
      <c r="C516" s="631" t="s">
        <v>894</v>
      </c>
      <c r="D516" s="467" t="s">
        <v>883</v>
      </c>
      <c r="E516" s="474" t="s">
        <v>1727</v>
      </c>
      <c r="F516" s="469" t="s">
        <v>112</v>
      </c>
      <c r="G516" s="470" t="s">
        <v>929</v>
      </c>
      <c r="H516" s="622" t="s">
        <v>916</v>
      </c>
      <c r="I516" s="633" t="s">
        <v>116</v>
      </c>
      <c r="J516" s="471" t="s">
        <v>913</v>
      </c>
      <c r="K516" s="469">
        <v>33</v>
      </c>
      <c r="L516" s="473"/>
      <c r="M516" s="623">
        <v>25</v>
      </c>
      <c r="N516" s="623">
        <v>9</v>
      </c>
      <c r="O516" s="624">
        <v>0.36</v>
      </c>
      <c r="P516" s="624">
        <v>0.36</v>
      </c>
      <c r="Q516" s="785">
        <f t="shared" si="7"/>
        <v>1.0909090909090908</v>
      </c>
      <c r="R516" s="468" t="s">
        <v>1718</v>
      </c>
      <c r="S516" s="629"/>
    </row>
    <row r="517" spans="1:19" ht="15" x14ac:dyDescent="0.25">
      <c r="A517" s="621" t="s">
        <v>351</v>
      </c>
      <c r="B517" s="466" t="s">
        <v>111</v>
      </c>
      <c r="C517" s="631" t="s">
        <v>894</v>
      </c>
      <c r="D517" s="467" t="s">
        <v>869</v>
      </c>
      <c r="E517" s="474" t="s">
        <v>1727</v>
      </c>
      <c r="F517" s="469" t="s">
        <v>112</v>
      </c>
      <c r="G517" s="470" t="s">
        <v>929</v>
      </c>
      <c r="H517" s="622" t="s">
        <v>916</v>
      </c>
      <c r="I517" s="633" t="s">
        <v>116</v>
      </c>
      <c r="J517" s="471" t="s">
        <v>913</v>
      </c>
      <c r="K517" s="469" t="s">
        <v>79</v>
      </c>
      <c r="L517" s="473"/>
      <c r="M517" s="623">
        <v>0</v>
      </c>
      <c r="N517" s="623">
        <v>0</v>
      </c>
      <c r="O517" s="624">
        <v>0</v>
      </c>
      <c r="P517" s="624">
        <v>0</v>
      </c>
      <c r="Q517" s="785" t="e">
        <f t="shared" si="7"/>
        <v>#VALUE!</v>
      </c>
      <c r="R517" s="468" t="s">
        <v>1719</v>
      </c>
      <c r="S517" s="629"/>
    </row>
    <row r="518" spans="1:19" ht="15" x14ac:dyDescent="0.25">
      <c r="A518" s="621" t="s">
        <v>351</v>
      </c>
      <c r="B518" s="466" t="s">
        <v>111</v>
      </c>
      <c r="C518" s="631" t="s">
        <v>99</v>
      </c>
      <c r="D518" s="467" t="s">
        <v>866</v>
      </c>
      <c r="E518" s="474" t="s">
        <v>1720</v>
      </c>
      <c r="F518" s="469" t="s">
        <v>112</v>
      </c>
      <c r="G518" s="470" t="s">
        <v>1792</v>
      </c>
      <c r="H518" s="622" t="s">
        <v>916</v>
      </c>
      <c r="I518" s="633" t="s">
        <v>116</v>
      </c>
      <c r="J518" s="471" t="s">
        <v>913</v>
      </c>
      <c r="K518" s="469">
        <v>33</v>
      </c>
      <c r="L518" s="473"/>
      <c r="M518" s="623">
        <v>0</v>
      </c>
      <c r="N518" s="623">
        <v>0</v>
      </c>
      <c r="O518" s="624">
        <v>0</v>
      </c>
      <c r="P518" s="624">
        <v>0</v>
      </c>
      <c r="Q518" s="785" t="e">
        <f t="shared" ref="Q518:Q581" si="8">N518/(M518*K518/100)</f>
        <v>#DIV/0!</v>
      </c>
      <c r="R518" s="468" t="s">
        <v>1719</v>
      </c>
      <c r="S518" s="629"/>
    </row>
    <row r="519" spans="1:19" ht="15" x14ac:dyDescent="0.25">
      <c r="A519" s="621" t="s">
        <v>351</v>
      </c>
      <c r="B519" s="466" t="s">
        <v>111</v>
      </c>
      <c r="C519" s="631" t="s">
        <v>99</v>
      </c>
      <c r="D519" s="467" t="s">
        <v>869</v>
      </c>
      <c r="E519" s="474" t="s">
        <v>1720</v>
      </c>
      <c r="F519" s="469" t="s">
        <v>112</v>
      </c>
      <c r="G519" s="470" t="s">
        <v>1792</v>
      </c>
      <c r="H519" s="622" t="s">
        <v>916</v>
      </c>
      <c r="I519" s="633" t="s">
        <v>116</v>
      </c>
      <c r="J519" s="471" t="s">
        <v>913</v>
      </c>
      <c r="K519" s="469">
        <v>33</v>
      </c>
      <c r="L519" s="473"/>
      <c r="M519" s="623">
        <v>14</v>
      </c>
      <c r="N519" s="623">
        <v>2</v>
      </c>
      <c r="O519" s="624">
        <v>0.14285714285714285</v>
      </c>
      <c r="P519" s="624">
        <v>0.14285714285714285</v>
      </c>
      <c r="Q519" s="785">
        <f t="shared" si="8"/>
        <v>0.4329004329004329</v>
      </c>
      <c r="R519" s="468" t="s">
        <v>1718</v>
      </c>
      <c r="S519" s="629"/>
    </row>
    <row r="520" spans="1:19" ht="15" x14ac:dyDescent="0.25">
      <c r="A520" s="621" t="s">
        <v>351</v>
      </c>
      <c r="B520" s="466" t="s">
        <v>111</v>
      </c>
      <c r="C520" s="631" t="s">
        <v>870</v>
      </c>
      <c r="D520" s="467" t="s">
        <v>889</v>
      </c>
      <c r="E520" s="474"/>
      <c r="F520" s="469" t="s">
        <v>112</v>
      </c>
      <c r="G520" s="470" t="s">
        <v>1792</v>
      </c>
      <c r="H520" s="622" t="s">
        <v>917</v>
      </c>
      <c r="I520" s="633" t="s">
        <v>116</v>
      </c>
      <c r="J520" s="471" t="s">
        <v>913</v>
      </c>
      <c r="K520" s="469">
        <v>16</v>
      </c>
      <c r="L520" s="473"/>
      <c r="M520" s="623">
        <v>50</v>
      </c>
      <c r="N520" s="623">
        <v>4</v>
      </c>
      <c r="O520" s="624">
        <v>0.08</v>
      </c>
      <c r="P520" s="624">
        <v>0.08</v>
      </c>
      <c r="Q520" s="785">
        <f t="shared" si="8"/>
        <v>0.5</v>
      </c>
      <c r="R520" s="468" t="s">
        <v>1718</v>
      </c>
      <c r="S520" s="629"/>
    </row>
    <row r="521" spans="1:19" ht="15" x14ac:dyDescent="0.25">
      <c r="A521" s="621" t="s">
        <v>351</v>
      </c>
      <c r="B521" s="466" t="s">
        <v>111</v>
      </c>
      <c r="C521" s="631" t="s">
        <v>870</v>
      </c>
      <c r="D521" s="467" t="s">
        <v>881</v>
      </c>
      <c r="E521" s="474"/>
      <c r="F521" s="469" t="s">
        <v>112</v>
      </c>
      <c r="G521" s="470" t="s">
        <v>1792</v>
      </c>
      <c r="H521" s="622" t="s">
        <v>916</v>
      </c>
      <c r="I521" s="633" t="s">
        <v>116</v>
      </c>
      <c r="J521" s="471" t="s">
        <v>913</v>
      </c>
      <c r="K521" s="469">
        <v>16</v>
      </c>
      <c r="L521" s="473"/>
      <c r="M521" s="623">
        <v>19</v>
      </c>
      <c r="N521" s="623">
        <v>3</v>
      </c>
      <c r="O521" s="624">
        <v>0.15789473684210525</v>
      </c>
      <c r="P521" s="624">
        <v>0.15789473684210525</v>
      </c>
      <c r="Q521" s="785">
        <f t="shared" si="8"/>
        <v>0.98684210526315785</v>
      </c>
      <c r="R521" s="468" t="s">
        <v>1718</v>
      </c>
      <c r="S521" s="629"/>
    </row>
    <row r="522" spans="1:19" ht="15" x14ac:dyDescent="0.25">
      <c r="A522" s="621" t="s">
        <v>351</v>
      </c>
      <c r="B522" s="466" t="s">
        <v>111</v>
      </c>
      <c r="C522" s="631" t="s">
        <v>870</v>
      </c>
      <c r="D522" s="467" t="s">
        <v>883</v>
      </c>
      <c r="E522" s="474"/>
      <c r="F522" s="469" t="s">
        <v>112</v>
      </c>
      <c r="G522" s="470" t="s">
        <v>1792</v>
      </c>
      <c r="H522" s="622" t="s">
        <v>916</v>
      </c>
      <c r="I522" s="633" t="s">
        <v>116</v>
      </c>
      <c r="J522" s="471" t="s">
        <v>913</v>
      </c>
      <c r="K522" s="469">
        <v>6</v>
      </c>
      <c r="L522" s="473"/>
      <c r="M522" s="623">
        <v>39</v>
      </c>
      <c r="N522" s="623">
        <v>9</v>
      </c>
      <c r="O522" s="624">
        <v>0.23076923076923078</v>
      </c>
      <c r="P522" s="624">
        <v>0.23076923076923078</v>
      </c>
      <c r="Q522" s="785">
        <f t="shared" si="8"/>
        <v>3.8461538461538463</v>
      </c>
      <c r="R522" s="468" t="s">
        <v>1718</v>
      </c>
      <c r="S522" s="629"/>
    </row>
    <row r="523" spans="1:19" ht="15" x14ac:dyDescent="0.25">
      <c r="A523" s="621" t="s">
        <v>351</v>
      </c>
      <c r="B523" s="466" t="s">
        <v>111</v>
      </c>
      <c r="C523" s="631" t="s">
        <v>870</v>
      </c>
      <c r="D523" s="467" t="s">
        <v>866</v>
      </c>
      <c r="E523" s="474"/>
      <c r="F523" s="469" t="s">
        <v>112</v>
      </c>
      <c r="G523" s="470" t="s">
        <v>1792</v>
      </c>
      <c r="H523" s="622" t="s">
        <v>916</v>
      </c>
      <c r="I523" s="633" t="s">
        <v>116</v>
      </c>
      <c r="J523" s="471" t="s">
        <v>913</v>
      </c>
      <c r="K523" s="469">
        <v>8</v>
      </c>
      <c r="L523" s="473"/>
      <c r="M523" s="623">
        <v>67</v>
      </c>
      <c r="N523" s="623">
        <v>17</v>
      </c>
      <c r="O523" s="624">
        <v>0.2537313432835821</v>
      </c>
      <c r="P523" s="624">
        <v>0.2537313432835821</v>
      </c>
      <c r="Q523" s="785">
        <f t="shared" si="8"/>
        <v>3.1716417910447761</v>
      </c>
      <c r="R523" s="468" t="s">
        <v>1718</v>
      </c>
      <c r="S523" s="629"/>
    </row>
    <row r="524" spans="1:19" ht="15" x14ac:dyDescent="0.25">
      <c r="A524" s="621" t="s">
        <v>351</v>
      </c>
      <c r="B524" s="466" t="s">
        <v>111</v>
      </c>
      <c r="C524" s="631" t="s">
        <v>870</v>
      </c>
      <c r="D524" s="467" t="s">
        <v>869</v>
      </c>
      <c r="E524" s="474"/>
      <c r="F524" s="469" t="s">
        <v>112</v>
      </c>
      <c r="G524" s="470" t="s">
        <v>1792</v>
      </c>
      <c r="H524" s="622" t="s">
        <v>916</v>
      </c>
      <c r="I524" s="633" t="s">
        <v>116</v>
      </c>
      <c r="J524" s="471" t="s">
        <v>913</v>
      </c>
      <c r="K524" s="469">
        <v>5</v>
      </c>
      <c r="L524" s="473"/>
      <c r="M524" s="623">
        <v>46</v>
      </c>
      <c r="N524" s="623">
        <v>18</v>
      </c>
      <c r="O524" s="624">
        <v>0.39130434782608697</v>
      </c>
      <c r="P524" s="624">
        <v>0.39130434782608697</v>
      </c>
      <c r="Q524" s="785">
        <f t="shared" si="8"/>
        <v>7.8260869565217401</v>
      </c>
      <c r="R524" s="468" t="s">
        <v>1718</v>
      </c>
      <c r="S524" s="629"/>
    </row>
    <row r="525" spans="1:19" ht="15" x14ac:dyDescent="0.25">
      <c r="A525" s="621" t="s">
        <v>351</v>
      </c>
      <c r="B525" s="466" t="s">
        <v>111</v>
      </c>
      <c r="C525" s="631" t="s">
        <v>738</v>
      </c>
      <c r="D525" s="467" t="s">
        <v>889</v>
      </c>
      <c r="E525" s="474"/>
      <c r="F525" s="469" t="s">
        <v>112</v>
      </c>
      <c r="G525" s="470" t="s">
        <v>1792</v>
      </c>
      <c r="H525" s="622" t="s">
        <v>917</v>
      </c>
      <c r="I525" s="633" t="s">
        <v>116</v>
      </c>
      <c r="J525" s="471" t="s">
        <v>913</v>
      </c>
      <c r="K525" s="469">
        <v>29</v>
      </c>
      <c r="L525" s="473"/>
      <c r="M525" s="623">
        <v>156</v>
      </c>
      <c r="N525" s="623">
        <v>7</v>
      </c>
      <c r="O525" s="624">
        <v>4.4871794871794872E-2</v>
      </c>
      <c r="P525" s="624">
        <v>4.4871794871794872E-2</v>
      </c>
      <c r="Q525" s="785">
        <f t="shared" si="8"/>
        <v>0.15473032714412024</v>
      </c>
      <c r="R525" s="468" t="s">
        <v>1718</v>
      </c>
      <c r="S525" s="629"/>
    </row>
    <row r="526" spans="1:19" ht="15" x14ac:dyDescent="0.25">
      <c r="A526" s="621" t="s">
        <v>351</v>
      </c>
      <c r="B526" s="466" t="s">
        <v>111</v>
      </c>
      <c r="C526" s="631" t="s">
        <v>738</v>
      </c>
      <c r="D526" s="467" t="s">
        <v>881</v>
      </c>
      <c r="E526" s="474" t="s">
        <v>1721</v>
      </c>
      <c r="F526" s="469" t="s">
        <v>112</v>
      </c>
      <c r="G526" s="470" t="s">
        <v>1792</v>
      </c>
      <c r="H526" s="622" t="s">
        <v>916</v>
      </c>
      <c r="I526" s="633" t="s">
        <v>116</v>
      </c>
      <c r="J526" s="471" t="s">
        <v>913</v>
      </c>
      <c r="K526" s="469">
        <v>8</v>
      </c>
      <c r="L526" s="473"/>
      <c r="M526" s="623">
        <v>54</v>
      </c>
      <c r="N526" s="623">
        <v>6</v>
      </c>
      <c r="O526" s="624">
        <v>0.1111111111111111</v>
      </c>
      <c r="P526" s="624">
        <v>0.1111111111111111</v>
      </c>
      <c r="Q526" s="785">
        <f t="shared" si="8"/>
        <v>1.3888888888888888</v>
      </c>
      <c r="R526" s="468" t="s">
        <v>1718</v>
      </c>
      <c r="S526" s="629"/>
    </row>
    <row r="527" spans="1:19" ht="15" x14ac:dyDescent="0.25">
      <c r="A527" s="621" t="s">
        <v>351</v>
      </c>
      <c r="B527" s="466" t="s">
        <v>111</v>
      </c>
      <c r="C527" s="631" t="s">
        <v>738</v>
      </c>
      <c r="D527" s="467" t="s">
        <v>883</v>
      </c>
      <c r="E527" s="474" t="s">
        <v>1721</v>
      </c>
      <c r="F527" s="469" t="s">
        <v>112</v>
      </c>
      <c r="G527" s="470" t="s">
        <v>1792</v>
      </c>
      <c r="H527" s="622" t="s">
        <v>916</v>
      </c>
      <c r="I527" s="633" t="s">
        <v>116</v>
      </c>
      <c r="J527" s="471" t="s">
        <v>913</v>
      </c>
      <c r="K527" s="469">
        <v>8</v>
      </c>
      <c r="L527" s="473"/>
      <c r="M527" s="623">
        <v>0</v>
      </c>
      <c r="N527" s="623">
        <v>0</v>
      </c>
      <c r="O527" s="624">
        <v>0</v>
      </c>
      <c r="P527" s="624">
        <v>0</v>
      </c>
      <c r="Q527" s="785" t="e">
        <f t="shared" si="8"/>
        <v>#DIV/0!</v>
      </c>
      <c r="R527" s="468" t="s">
        <v>1719</v>
      </c>
      <c r="S527" s="629"/>
    </row>
    <row r="528" spans="1:19" ht="15" x14ac:dyDescent="0.25">
      <c r="A528" s="621" t="s">
        <v>351</v>
      </c>
      <c r="B528" s="466" t="s">
        <v>111</v>
      </c>
      <c r="C528" s="631" t="s">
        <v>738</v>
      </c>
      <c r="D528" s="467" t="s">
        <v>866</v>
      </c>
      <c r="E528" s="474" t="s">
        <v>1722</v>
      </c>
      <c r="F528" s="469" t="s">
        <v>112</v>
      </c>
      <c r="G528" s="470" t="s">
        <v>1792</v>
      </c>
      <c r="H528" s="622" t="s">
        <v>916</v>
      </c>
      <c r="I528" s="633" t="s">
        <v>116</v>
      </c>
      <c r="J528" s="471" t="s">
        <v>913</v>
      </c>
      <c r="K528" s="469">
        <v>8</v>
      </c>
      <c r="L528" s="473"/>
      <c r="M528" s="623">
        <v>0</v>
      </c>
      <c r="N528" s="623">
        <v>1</v>
      </c>
      <c r="O528" s="624">
        <v>0</v>
      </c>
      <c r="P528" s="624">
        <v>0</v>
      </c>
      <c r="Q528" s="785" t="e">
        <f t="shared" si="8"/>
        <v>#DIV/0!</v>
      </c>
      <c r="R528" s="468" t="s">
        <v>1719</v>
      </c>
      <c r="S528" s="629"/>
    </row>
    <row r="529" spans="1:19" ht="15" x14ac:dyDescent="0.25">
      <c r="A529" s="621" t="s">
        <v>351</v>
      </c>
      <c r="B529" s="466" t="s">
        <v>111</v>
      </c>
      <c r="C529" s="631" t="s">
        <v>738</v>
      </c>
      <c r="D529" s="467" t="s">
        <v>869</v>
      </c>
      <c r="E529" s="474" t="s">
        <v>1722</v>
      </c>
      <c r="F529" s="469" t="s">
        <v>112</v>
      </c>
      <c r="G529" s="470" t="s">
        <v>1792</v>
      </c>
      <c r="H529" s="622" t="s">
        <v>916</v>
      </c>
      <c r="I529" s="633" t="s">
        <v>116</v>
      </c>
      <c r="J529" s="471" t="s">
        <v>913</v>
      </c>
      <c r="K529" s="469">
        <v>8</v>
      </c>
      <c r="L529" s="473"/>
      <c r="M529" s="623">
        <v>7</v>
      </c>
      <c r="N529" s="623">
        <v>2</v>
      </c>
      <c r="O529" s="624">
        <v>0.2857142857142857</v>
      </c>
      <c r="P529" s="624">
        <v>0.2857142857142857</v>
      </c>
      <c r="Q529" s="785">
        <f t="shared" si="8"/>
        <v>3.5714285714285712</v>
      </c>
      <c r="R529" s="468" t="s">
        <v>1718</v>
      </c>
      <c r="S529" s="629"/>
    </row>
    <row r="530" spans="1:19" ht="15" x14ac:dyDescent="0.25">
      <c r="A530" s="621" t="s">
        <v>351</v>
      </c>
      <c r="B530" s="466" t="s">
        <v>111</v>
      </c>
      <c r="C530" s="631" t="s">
        <v>101</v>
      </c>
      <c r="D530" s="467" t="s">
        <v>889</v>
      </c>
      <c r="E530" s="474"/>
      <c r="F530" s="469" t="s">
        <v>112</v>
      </c>
      <c r="G530" s="470" t="s">
        <v>1792</v>
      </c>
      <c r="H530" s="622" t="s">
        <v>917</v>
      </c>
      <c r="I530" s="633" t="s">
        <v>116</v>
      </c>
      <c r="J530" s="471" t="s">
        <v>913</v>
      </c>
      <c r="K530" s="469">
        <v>17</v>
      </c>
      <c r="L530" s="473"/>
      <c r="M530" s="623">
        <v>112</v>
      </c>
      <c r="N530" s="623">
        <v>19</v>
      </c>
      <c r="O530" s="624">
        <v>0.16964285714285715</v>
      </c>
      <c r="P530" s="624">
        <v>0.16964285714285715</v>
      </c>
      <c r="Q530" s="785">
        <f t="shared" si="8"/>
        <v>0.99789915966386555</v>
      </c>
      <c r="R530" s="468" t="s">
        <v>1718</v>
      </c>
      <c r="S530" s="629"/>
    </row>
    <row r="531" spans="1:19" ht="15" x14ac:dyDescent="0.25">
      <c r="A531" s="621" t="s">
        <v>351</v>
      </c>
      <c r="B531" s="466" t="s">
        <v>111</v>
      </c>
      <c r="C531" s="631" t="s">
        <v>101</v>
      </c>
      <c r="D531" s="467" t="s">
        <v>881</v>
      </c>
      <c r="E531" s="474"/>
      <c r="F531" s="469" t="s">
        <v>112</v>
      </c>
      <c r="G531" s="470" t="s">
        <v>1792</v>
      </c>
      <c r="H531" s="622" t="s">
        <v>916</v>
      </c>
      <c r="I531" s="633" t="s">
        <v>116</v>
      </c>
      <c r="J531" s="471" t="s">
        <v>913</v>
      </c>
      <c r="K531" s="469">
        <v>36</v>
      </c>
      <c r="L531" s="473"/>
      <c r="M531" s="623">
        <v>9</v>
      </c>
      <c r="N531" s="623">
        <v>2</v>
      </c>
      <c r="O531" s="624">
        <v>0.22222222222222221</v>
      </c>
      <c r="P531" s="624">
        <v>0.22222222222222221</v>
      </c>
      <c r="Q531" s="785">
        <f t="shared" si="8"/>
        <v>0.61728395061728392</v>
      </c>
      <c r="R531" s="468" t="s">
        <v>1718</v>
      </c>
      <c r="S531" s="629"/>
    </row>
    <row r="532" spans="1:19" ht="15" x14ac:dyDescent="0.25">
      <c r="A532" s="621" t="s">
        <v>351</v>
      </c>
      <c r="B532" s="466" t="s">
        <v>111</v>
      </c>
      <c r="C532" s="631" t="s">
        <v>101</v>
      </c>
      <c r="D532" s="467" t="s">
        <v>883</v>
      </c>
      <c r="E532" s="474" t="s">
        <v>1723</v>
      </c>
      <c r="F532" s="469" t="s">
        <v>112</v>
      </c>
      <c r="G532" s="470" t="s">
        <v>1792</v>
      </c>
      <c r="H532" s="622" t="s">
        <v>916</v>
      </c>
      <c r="I532" s="633" t="s">
        <v>116</v>
      </c>
      <c r="J532" s="471" t="s">
        <v>913</v>
      </c>
      <c r="K532" s="469">
        <v>80</v>
      </c>
      <c r="L532" s="473"/>
      <c r="M532" s="623">
        <v>0</v>
      </c>
      <c r="N532" s="623">
        <v>0</v>
      </c>
      <c r="O532" s="624">
        <v>0</v>
      </c>
      <c r="P532" s="624">
        <v>0</v>
      </c>
      <c r="Q532" s="785" t="e">
        <f t="shared" si="8"/>
        <v>#DIV/0!</v>
      </c>
      <c r="R532" s="468" t="s">
        <v>1719</v>
      </c>
      <c r="S532" s="629"/>
    </row>
    <row r="533" spans="1:19" ht="15" x14ac:dyDescent="0.25">
      <c r="A533" s="621" t="s">
        <v>351</v>
      </c>
      <c r="B533" s="466" t="s">
        <v>111</v>
      </c>
      <c r="C533" s="631" t="s">
        <v>101</v>
      </c>
      <c r="D533" s="467" t="s">
        <v>866</v>
      </c>
      <c r="E533" s="474" t="s">
        <v>1723</v>
      </c>
      <c r="F533" s="469" t="s">
        <v>112</v>
      </c>
      <c r="G533" s="470" t="s">
        <v>1792</v>
      </c>
      <c r="H533" s="622" t="s">
        <v>916</v>
      </c>
      <c r="I533" s="633" t="s">
        <v>116</v>
      </c>
      <c r="J533" s="471" t="s">
        <v>913</v>
      </c>
      <c r="K533" s="469" t="s">
        <v>79</v>
      </c>
      <c r="L533" s="473"/>
      <c r="M533" s="623">
        <v>13</v>
      </c>
      <c r="N533" s="623">
        <v>2</v>
      </c>
      <c r="O533" s="624">
        <v>0.15384615384615385</v>
      </c>
      <c r="P533" s="624">
        <v>0.15384615384615385</v>
      </c>
      <c r="Q533" s="785" t="e">
        <f t="shared" si="8"/>
        <v>#VALUE!</v>
      </c>
      <c r="R533" s="468" t="s">
        <v>1718</v>
      </c>
      <c r="S533" s="629"/>
    </row>
    <row r="534" spans="1:19" ht="15" x14ac:dyDescent="0.25">
      <c r="A534" s="621" t="s">
        <v>351</v>
      </c>
      <c r="B534" s="466" t="s">
        <v>111</v>
      </c>
      <c r="C534" s="631" t="s">
        <v>101</v>
      </c>
      <c r="D534" s="467" t="s">
        <v>869</v>
      </c>
      <c r="E534" s="474" t="s">
        <v>1723</v>
      </c>
      <c r="F534" s="469" t="s">
        <v>112</v>
      </c>
      <c r="G534" s="470" t="s">
        <v>1792</v>
      </c>
      <c r="H534" s="622" t="s">
        <v>916</v>
      </c>
      <c r="I534" s="633" t="s">
        <v>116</v>
      </c>
      <c r="J534" s="471" t="s">
        <v>913</v>
      </c>
      <c r="K534" s="469" t="s">
        <v>79</v>
      </c>
      <c r="L534" s="473"/>
      <c r="M534" s="623">
        <v>0</v>
      </c>
      <c r="N534" s="623">
        <v>0</v>
      </c>
      <c r="O534" s="624">
        <v>0</v>
      </c>
      <c r="P534" s="624">
        <v>0</v>
      </c>
      <c r="Q534" s="785" t="e">
        <f t="shared" si="8"/>
        <v>#VALUE!</v>
      </c>
      <c r="R534" s="468" t="s">
        <v>1719</v>
      </c>
      <c r="S534" s="629"/>
    </row>
    <row r="535" spans="1:19" ht="15" x14ac:dyDescent="0.25">
      <c r="A535" s="621" t="s">
        <v>351</v>
      </c>
      <c r="B535" s="466" t="s">
        <v>111</v>
      </c>
      <c r="C535" s="631" t="s">
        <v>885</v>
      </c>
      <c r="D535" s="467" t="s">
        <v>889</v>
      </c>
      <c r="E535" s="474"/>
      <c r="F535" s="469" t="s">
        <v>112</v>
      </c>
      <c r="G535" s="470" t="s">
        <v>1792</v>
      </c>
      <c r="H535" s="622" t="s">
        <v>917</v>
      </c>
      <c r="I535" s="633" t="s">
        <v>116</v>
      </c>
      <c r="J535" s="471" t="s">
        <v>913</v>
      </c>
      <c r="K535" s="469">
        <v>13</v>
      </c>
      <c r="L535" s="473"/>
      <c r="M535" s="623">
        <v>0</v>
      </c>
      <c r="N535" s="623">
        <v>0</v>
      </c>
      <c r="O535" s="624">
        <v>0</v>
      </c>
      <c r="P535" s="624">
        <v>0</v>
      </c>
      <c r="Q535" s="785" t="e">
        <f t="shared" si="8"/>
        <v>#DIV/0!</v>
      </c>
      <c r="R535" s="468" t="s">
        <v>1719</v>
      </c>
      <c r="S535" s="629"/>
    </row>
    <row r="536" spans="1:19" ht="15" x14ac:dyDescent="0.25">
      <c r="A536" s="621" t="s">
        <v>351</v>
      </c>
      <c r="B536" s="466" t="s">
        <v>111</v>
      </c>
      <c r="C536" s="631" t="s">
        <v>885</v>
      </c>
      <c r="D536" s="467" t="s">
        <v>881</v>
      </c>
      <c r="E536" s="474"/>
      <c r="F536" s="469" t="s">
        <v>112</v>
      </c>
      <c r="G536" s="470" t="s">
        <v>1792</v>
      </c>
      <c r="H536" s="622" t="s">
        <v>916</v>
      </c>
      <c r="I536" s="633" t="s">
        <v>116</v>
      </c>
      <c r="J536" s="471" t="s">
        <v>913</v>
      </c>
      <c r="K536" s="469">
        <v>13</v>
      </c>
      <c r="L536" s="473"/>
      <c r="M536" s="623">
        <v>5</v>
      </c>
      <c r="N536" s="623">
        <v>0</v>
      </c>
      <c r="O536" s="624">
        <v>0</v>
      </c>
      <c r="P536" s="624">
        <v>0</v>
      </c>
      <c r="Q536" s="785">
        <f t="shared" si="8"/>
        <v>0</v>
      </c>
      <c r="R536" s="468" t="s">
        <v>1719</v>
      </c>
      <c r="S536" s="629"/>
    </row>
    <row r="537" spans="1:19" ht="15" x14ac:dyDescent="0.25">
      <c r="A537" s="621" t="s">
        <v>351</v>
      </c>
      <c r="B537" s="466" t="s">
        <v>111</v>
      </c>
      <c r="C537" s="631" t="s">
        <v>885</v>
      </c>
      <c r="D537" s="467" t="s">
        <v>883</v>
      </c>
      <c r="E537" s="474" t="s">
        <v>1724</v>
      </c>
      <c r="F537" s="469" t="s">
        <v>112</v>
      </c>
      <c r="G537" s="470" t="s">
        <v>1792</v>
      </c>
      <c r="H537" s="622" t="s">
        <v>916</v>
      </c>
      <c r="I537" s="633" t="s">
        <v>116</v>
      </c>
      <c r="J537" s="471" t="s">
        <v>913</v>
      </c>
      <c r="K537" s="469" t="s">
        <v>79</v>
      </c>
      <c r="L537" s="473"/>
      <c r="M537" s="623">
        <v>5</v>
      </c>
      <c r="N537" s="623">
        <v>0</v>
      </c>
      <c r="O537" s="624">
        <v>0</v>
      </c>
      <c r="P537" s="624">
        <v>0</v>
      </c>
      <c r="Q537" s="785" t="e">
        <f t="shared" si="8"/>
        <v>#VALUE!</v>
      </c>
      <c r="R537" s="468" t="s">
        <v>1719</v>
      </c>
      <c r="S537" s="629"/>
    </row>
    <row r="538" spans="1:19" ht="15" x14ac:dyDescent="0.25">
      <c r="A538" s="621" t="s">
        <v>351</v>
      </c>
      <c r="B538" s="466" t="s">
        <v>111</v>
      </c>
      <c r="C538" s="631" t="s">
        <v>885</v>
      </c>
      <c r="D538" s="467" t="s">
        <v>866</v>
      </c>
      <c r="E538" s="474" t="s">
        <v>1724</v>
      </c>
      <c r="F538" s="469" t="s">
        <v>112</v>
      </c>
      <c r="G538" s="470" t="s">
        <v>1792</v>
      </c>
      <c r="H538" s="622" t="s">
        <v>916</v>
      </c>
      <c r="I538" s="633" t="s">
        <v>116</v>
      </c>
      <c r="J538" s="471" t="s">
        <v>913</v>
      </c>
      <c r="K538" s="469" t="s">
        <v>79</v>
      </c>
      <c r="L538" s="473"/>
      <c r="M538" s="623">
        <v>0</v>
      </c>
      <c r="N538" s="623">
        <v>0</v>
      </c>
      <c r="O538" s="624">
        <v>0</v>
      </c>
      <c r="P538" s="624">
        <v>0</v>
      </c>
      <c r="Q538" s="785" t="e">
        <f t="shared" si="8"/>
        <v>#VALUE!</v>
      </c>
      <c r="R538" s="468" t="s">
        <v>1719</v>
      </c>
      <c r="S538" s="629"/>
    </row>
    <row r="539" spans="1:19" ht="15" x14ac:dyDescent="0.25">
      <c r="A539" s="621" t="s">
        <v>351</v>
      </c>
      <c r="B539" s="466" t="s">
        <v>111</v>
      </c>
      <c r="C539" s="631" t="s">
        <v>885</v>
      </c>
      <c r="D539" s="467" t="s">
        <v>869</v>
      </c>
      <c r="E539" s="474"/>
      <c r="F539" s="469" t="s">
        <v>112</v>
      </c>
      <c r="G539" s="470" t="s">
        <v>1792</v>
      </c>
      <c r="H539" s="622" t="s">
        <v>916</v>
      </c>
      <c r="I539" s="633" t="s">
        <v>116</v>
      </c>
      <c r="J539" s="471" t="s">
        <v>913</v>
      </c>
      <c r="K539" s="469">
        <v>25</v>
      </c>
      <c r="L539" s="473"/>
      <c r="M539" s="623">
        <v>12</v>
      </c>
      <c r="N539" s="623">
        <v>5</v>
      </c>
      <c r="O539" s="624">
        <v>0.41666666666666669</v>
      </c>
      <c r="P539" s="624">
        <v>0.41666666666666669</v>
      </c>
      <c r="Q539" s="785">
        <f t="shared" si="8"/>
        <v>1.6666666666666667</v>
      </c>
      <c r="R539" s="468" t="s">
        <v>1718</v>
      </c>
      <c r="S539" s="629"/>
    </row>
    <row r="540" spans="1:19" ht="15" x14ac:dyDescent="0.25">
      <c r="A540" s="621" t="s">
        <v>351</v>
      </c>
      <c r="B540" s="466" t="s">
        <v>111</v>
      </c>
      <c r="C540" s="631" t="s">
        <v>885</v>
      </c>
      <c r="D540" s="467" t="s">
        <v>887</v>
      </c>
      <c r="E540" s="474"/>
      <c r="F540" s="469" t="s">
        <v>112</v>
      </c>
      <c r="G540" s="470" t="s">
        <v>1792</v>
      </c>
      <c r="H540" s="622" t="s">
        <v>916</v>
      </c>
      <c r="I540" s="633" t="s">
        <v>116</v>
      </c>
      <c r="J540" s="471" t="s">
        <v>913</v>
      </c>
      <c r="K540" s="469">
        <v>10</v>
      </c>
      <c r="L540" s="473"/>
      <c r="M540" s="623">
        <v>20</v>
      </c>
      <c r="N540" s="623">
        <v>8</v>
      </c>
      <c r="O540" s="624">
        <v>0.4</v>
      </c>
      <c r="P540" s="624">
        <v>0.4</v>
      </c>
      <c r="Q540" s="785">
        <f t="shared" si="8"/>
        <v>4</v>
      </c>
      <c r="R540" s="468" t="s">
        <v>1718</v>
      </c>
      <c r="S540" s="629"/>
    </row>
    <row r="541" spans="1:19" ht="15" x14ac:dyDescent="0.25">
      <c r="A541" s="621" t="s">
        <v>351</v>
      </c>
      <c r="B541" s="466" t="s">
        <v>111</v>
      </c>
      <c r="C541" s="631" t="s">
        <v>904</v>
      </c>
      <c r="D541" s="467" t="s">
        <v>881</v>
      </c>
      <c r="E541" s="474" t="s">
        <v>1718</v>
      </c>
      <c r="F541" s="469" t="s">
        <v>112</v>
      </c>
      <c r="G541" s="470" t="s">
        <v>1792</v>
      </c>
      <c r="H541" s="622" t="s">
        <v>916</v>
      </c>
      <c r="I541" s="633" t="s">
        <v>116</v>
      </c>
      <c r="J541" s="471" t="s">
        <v>913</v>
      </c>
      <c r="K541" s="469" t="s">
        <v>79</v>
      </c>
      <c r="L541" s="473"/>
      <c r="M541" s="623">
        <v>0</v>
      </c>
      <c r="N541" s="623">
        <v>0</v>
      </c>
      <c r="O541" s="624">
        <v>0</v>
      </c>
      <c r="P541" s="624">
        <v>0</v>
      </c>
      <c r="Q541" s="785" t="e">
        <f t="shared" si="8"/>
        <v>#VALUE!</v>
      </c>
      <c r="R541" s="468" t="s">
        <v>1719</v>
      </c>
      <c r="S541" s="629"/>
    </row>
    <row r="542" spans="1:19" ht="15" x14ac:dyDescent="0.25">
      <c r="A542" s="621" t="s">
        <v>351</v>
      </c>
      <c r="B542" s="466" t="s">
        <v>111</v>
      </c>
      <c r="C542" s="631" t="s">
        <v>904</v>
      </c>
      <c r="D542" s="467" t="s">
        <v>883</v>
      </c>
      <c r="E542" s="474" t="s">
        <v>1725</v>
      </c>
      <c r="F542" s="469" t="s">
        <v>112</v>
      </c>
      <c r="G542" s="470" t="s">
        <v>1792</v>
      </c>
      <c r="H542" s="622" t="s">
        <v>916</v>
      </c>
      <c r="I542" s="633" t="s">
        <v>116</v>
      </c>
      <c r="J542" s="471" t="s">
        <v>913</v>
      </c>
      <c r="K542" s="469" t="s">
        <v>79</v>
      </c>
      <c r="L542" s="473"/>
      <c r="M542" s="623">
        <v>1</v>
      </c>
      <c r="N542" s="623">
        <v>1</v>
      </c>
      <c r="O542" s="624">
        <v>1</v>
      </c>
      <c r="P542" s="624">
        <v>1</v>
      </c>
      <c r="Q542" s="785" t="e">
        <f t="shared" si="8"/>
        <v>#VALUE!</v>
      </c>
      <c r="R542" s="468" t="s">
        <v>1718</v>
      </c>
      <c r="S542" s="629"/>
    </row>
    <row r="543" spans="1:19" ht="15" x14ac:dyDescent="0.25">
      <c r="A543" s="621" t="s">
        <v>351</v>
      </c>
      <c r="B543" s="466" t="s">
        <v>111</v>
      </c>
      <c r="C543" s="631" t="s">
        <v>740</v>
      </c>
      <c r="D543" s="467" t="s">
        <v>889</v>
      </c>
      <c r="E543" s="474"/>
      <c r="F543" s="469" t="s">
        <v>112</v>
      </c>
      <c r="G543" s="470" t="s">
        <v>1792</v>
      </c>
      <c r="H543" s="622" t="s">
        <v>917</v>
      </c>
      <c r="I543" s="633" t="s">
        <v>116</v>
      </c>
      <c r="J543" s="471" t="s">
        <v>913</v>
      </c>
      <c r="K543" s="469">
        <v>38</v>
      </c>
      <c r="L543" s="473"/>
      <c r="M543" s="623">
        <v>37</v>
      </c>
      <c r="N543" s="623">
        <v>3</v>
      </c>
      <c r="O543" s="624">
        <v>8.1081081081081086E-2</v>
      </c>
      <c r="P543" s="624">
        <v>8.1081081081081086E-2</v>
      </c>
      <c r="Q543" s="785">
        <f t="shared" si="8"/>
        <v>0.21337126600284495</v>
      </c>
      <c r="R543" s="468" t="s">
        <v>1718</v>
      </c>
      <c r="S543" s="629"/>
    </row>
    <row r="544" spans="1:19" ht="15" x14ac:dyDescent="0.25">
      <c r="A544" s="621" t="s">
        <v>351</v>
      </c>
      <c r="B544" s="466" t="s">
        <v>111</v>
      </c>
      <c r="C544" s="631" t="s">
        <v>740</v>
      </c>
      <c r="D544" s="467" t="s">
        <v>881</v>
      </c>
      <c r="E544" s="474" t="s">
        <v>1726</v>
      </c>
      <c r="F544" s="469" t="s">
        <v>112</v>
      </c>
      <c r="G544" s="470" t="s">
        <v>1792</v>
      </c>
      <c r="H544" s="622" t="s">
        <v>916</v>
      </c>
      <c r="I544" s="633" t="s">
        <v>116</v>
      </c>
      <c r="J544" s="471" t="s">
        <v>913</v>
      </c>
      <c r="K544" s="469" t="s">
        <v>79</v>
      </c>
      <c r="L544" s="473"/>
      <c r="M544" s="623">
        <v>4</v>
      </c>
      <c r="N544" s="623">
        <v>0</v>
      </c>
      <c r="O544" s="624">
        <v>0</v>
      </c>
      <c r="P544" s="624">
        <v>0</v>
      </c>
      <c r="Q544" s="785" t="e">
        <f t="shared" si="8"/>
        <v>#VALUE!</v>
      </c>
      <c r="R544" s="468" t="s">
        <v>1719</v>
      </c>
      <c r="S544" s="629"/>
    </row>
    <row r="545" spans="1:19" ht="15" x14ac:dyDescent="0.25">
      <c r="A545" s="621" t="s">
        <v>351</v>
      </c>
      <c r="B545" s="466" t="s">
        <v>111</v>
      </c>
      <c r="C545" s="631" t="s">
        <v>740</v>
      </c>
      <c r="D545" s="467" t="s">
        <v>883</v>
      </c>
      <c r="E545" s="474" t="s">
        <v>1726</v>
      </c>
      <c r="F545" s="469" t="s">
        <v>112</v>
      </c>
      <c r="G545" s="470" t="s">
        <v>1792</v>
      </c>
      <c r="H545" s="622" t="s">
        <v>916</v>
      </c>
      <c r="I545" s="633" t="s">
        <v>116</v>
      </c>
      <c r="J545" s="471" t="s">
        <v>913</v>
      </c>
      <c r="K545" s="469" t="s">
        <v>79</v>
      </c>
      <c r="L545" s="473"/>
      <c r="M545" s="623">
        <v>0</v>
      </c>
      <c r="N545" s="623">
        <v>0</v>
      </c>
      <c r="O545" s="624">
        <v>0</v>
      </c>
      <c r="P545" s="624">
        <v>0</v>
      </c>
      <c r="Q545" s="785" t="e">
        <f t="shared" si="8"/>
        <v>#VALUE!</v>
      </c>
      <c r="R545" s="468" t="s">
        <v>1719</v>
      </c>
      <c r="S545" s="629"/>
    </row>
    <row r="546" spans="1:19" ht="15" x14ac:dyDescent="0.25">
      <c r="A546" s="621" t="s">
        <v>351</v>
      </c>
      <c r="B546" s="466" t="s">
        <v>111</v>
      </c>
      <c r="C546" s="631" t="s">
        <v>894</v>
      </c>
      <c r="D546" s="467" t="s">
        <v>889</v>
      </c>
      <c r="E546" s="474"/>
      <c r="F546" s="469" t="s">
        <v>112</v>
      </c>
      <c r="G546" s="470" t="s">
        <v>1792</v>
      </c>
      <c r="H546" s="622" t="s">
        <v>917</v>
      </c>
      <c r="I546" s="633" t="s">
        <v>116</v>
      </c>
      <c r="J546" s="471" t="s">
        <v>913</v>
      </c>
      <c r="K546" s="469">
        <v>5</v>
      </c>
      <c r="L546" s="473"/>
      <c r="M546" s="623">
        <v>543</v>
      </c>
      <c r="N546" s="623">
        <v>32</v>
      </c>
      <c r="O546" s="624">
        <v>5.8931860036832415E-2</v>
      </c>
      <c r="P546" s="624">
        <v>5.8931860036832415E-2</v>
      </c>
      <c r="Q546" s="785">
        <f t="shared" si="8"/>
        <v>1.1786372007366483</v>
      </c>
      <c r="R546" s="468" t="s">
        <v>1718</v>
      </c>
      <c r="S546" s="629"/>
    </row>
    <row r="547" spans="1:19" ht="15" x14ac:dyDescent="0.25">
      <c r="A547" s="621" t="s">
        <v>351</v>
      </c>
      <c r="B547" s="466" t="s">
        <v>111</v>
      </c>
      <c r="C547" s="631" t="s">
        <v>894</v>
      </c>
      <c r="D547" s="467" t="s">
        <v>881</v>
      </c>
      <c r="E547" s="474"/>
      <c r="F547" s="469" t="s">
        <v>112</v>
      </c>
      <c r="G547" s="470" t="s">
        <v>1792</v>
      </c>
      <c r="H547" s="622" t="s">
        <v>916</v>
      </c>
      <c r="I547" s="633" t="s">
        <v>116</v>
      </c>
      <c r="J547" s="471" t="s">
        <v>913</v>
      </c>
      <c r="K547" s="469">
        <v>32</v>
      </c>
      <c r="L547" s="473"/>
      <c r="M547" s="623">
        <v>78</v>
      </c>
      <c r="N547" s="623">
        <v>28</v>
      </c>
      <c r="O547" s="624">
        <v>0.35897435897435898</v>
      </c>
      <c r="P547" s="624">
        <v>0.35897435897435898</v>
      </c>
      <c r="Q547" s="785">
        <f t="shared" si="8"/>
        <v>1.1217948717948718</v>
      </c>
      <c r="R547" s="468" t="s">
        <v>1718</v>
      </c>
      <c r="S547" s="629"/>
    </row>
    <row r="548" spans="1:19" ht="15" x14ac:dyDescent="0.25">
      <c r="A548" s="621" t="s">
        <v>351</v>
      </c>
      <c r="B548" s="466" t="s">
        <v>111</v>
      </c>
      <c r="C548" s="631" t="s">
        <v>894</v>
      </c>
      <c r="D548" s="467" t="s">
        <v>883</v>
      </c>
      <c r="E548" s="474" t="s">
        <v>1727</v>
      </c>
      <c r="F548" s="469" t="s">
        <v>112</v>
      </c>
      <c r="G548" s="470" t="s">
        <v>1792</v>
      </c>
      <c r="H548" s="622" t="s">
        <v>916</v>
      </c>
      <c r="I548" s="633" t="s">
        <v>116</v>
      </c>
      <c r="J548" s="471" t="s">
        <v>913</v>
      </c>
      <c r="K548" s="469">
        <v>33</v>
      </c>
      <c r="L548" s="473"/>
      <c r="M548" s="623">
        <v>25</v>
      </c>
      <c r="N548" s="623">
        <v>9</v>
      </c>
      <c r="O548" s="624">
        <v>0.36</v>
      </c>
      <c r="P548" s="624">
        <v>0.36</v>
      </c>
      <c r="Q548" s="785">
        <f t="shared" si="8"/>
        <v>1.0909090909090908</v>
      </c>
      <c r="R548" s="468" t="s">
        <v>1718</v>
      </c>
      <c r="S548" s="629"/>
    </row>
    <row r="549" spans="1:19" ht="15" x14ac:dyDescent="0.25">
      <c r="A549" s="621" t="s">
        <v>351</v>
      </c>
      <c r="B549" s="466" t="s">
        <v>111</v>
      </c>
      <c r="C549" s="631" t="s">
        <v>894</v>
      </c>
      <c r="D549" s="467" t="s">
        <v>869</v>
      </c>
      <c r="E549" s="474" t="s">
        <v>1727</v>
      </c>
      <c r="F549" s="469" t="s">
        <v>112</v>
      </c>
      <c r="G549" s="470" t="s">
        <v>1792</v>
      </c>
      <c r="H549" s="622" t="s">
        <v>916</v>
      </c>
      <c r="I549" s="633" t="s">
        <v>116</v>
      </c>
      <c r="J549" s="471" t="s">
        <v>913</v>
      </c>
      <c r="K549" s="469" t="s">
        <v>79</v>
      </c>
      <c r="L549" s="473"/>
      <c r="M549" s="623">
        <v>0</v>
      </c>
      <c r="N549" s="623">
        <v>0</v>
      </c>
      <c r="O549" s="624">
        <v>0</v>
      </c>
      <c r="P549" s="624">
        <v>0</v>
      </c>
      <c r="Q549" s="785" t="e">
        <f t="shared" si="8"/>
        <v>#VALUE!</v>
      </c>
      <c r="R549" s="468" t="s">
        <v>1719</v>
      </c>
      <c r="S549" s="629"/>
    </row>
    <row r="550" spans="1:19" ht="15" x14ac:dyDescent="0.25">
      <c r="A550" s="621" t="s">
        <v>351</v>
      </c>
      <c r="B550" s="466" t="s">
        <v>111</v>
      </c>
      <c r="C550" s="631" t="s">
        <v>99</v>
      </c>
      <c r="D550" s="467" t="s">
        <v>866</v>
      </c>
      <c r="E550" s="474" t="s">
        <v>1720</v>
      </c>
      <c r="F550" s="469" t="s">
        <v>112</v>
      </c>
      <c r="G550" s="470" t="s">
        <v>930</v>
      </c>
      <c r="H550" s="622" t="s">
        <v>916</v>
      </c>
      <c r="I550" s="633" t="s">
        <v>116</v>
      </c>
      <c r="J550" s="471" t="s">
        <v>913</v>
      </c>
      <c r="K550" s="469">
        <v>33</v>
      </c>
      <c r="L550" s="473"/>
      <c r="M550" s="623">
        <v>0</v>
      </c>
      <c r="N550" s="623">
        <v>0</v>
      </c>
      <c r="O550" s="624">
        <v>0</v>
      </c>
      <c r="P550" s="624">
        <v>0</v>
      </c>
      <c r="Q550" s="785" t="e">
        <f t="shared" si="8"/>
        <v>#DIV/0!</v>
      </c>
      <c r="R550" s="468" t="s">
        <v>1719</v>
      </c>
      <c r="S550" s="629"/>
    </row>
    <row r="551" spans="1:19" ht="15" x14ac:dyDescent="0.25">
      <c r="A551" s="621" t="s">
        <v>351</v>
      </c>
      <c r="B551" s="466" t="s">
        <v>111</v>
      </c>
      <c r="C551" s="631" t="s">
        <v>99</v>
      </c>
      <c r="D551" s="467" t="s">
        <v>869</v>
      </c>
      <c r="E551" s="474" t="s">
        <v>1720</v>
      </c>
      <c r="F551" s="469" t="s">
        <v>112</v>
      </c>
      <c r="G551" s="470" t="s">
        <v>930</v>
      </c>
      <c r="H551" s="622" t="s">
        <v>916</v>
      </c>
      <c r="I551" s="633" t="s">
        <v>116</v>
      </c>
      <c r="J551" s="471" t="s">
        <v>913</v>
      </c>
      <c r="K551" s="469">
        <v>33</v>
      </c>
      <c r="L551" s="473"/>
      <c r="M551" s="623">
        <v>14</v>
      </c>
      <c r="N551" s="623">
        <v>2</v>
      </c>
      <c r="O551" s="624">
        <v>0.14285714285714285</v>
      </c>
      <c r="P551" s="624">
        <v>0.14285714285714285</v>
      </c>
      <c r="Q551" s="785">
        <f t="shared" si="8"/>
        <v>0.4329004329004329</v>
      </c>
      <c r="R551" s="468" t="s">
        <v>1718</v>
      </c>
      <c r="S551" s="629"/>
    </row>
    <row r="552" spans="1:19" ht="15" x14ac:dyDescent="0.25">
      <c r="A552" s="621" t="s">
        <v>351</v>
      </c>
      <c r="B552" s="466" t="s">
        <v>111</v>
      </c>
      <c r="C552" s="631" t="s">
        <v>870</v>
      </c>
      <c r="D552" s="467" t="s">
        <v>889</v>
      </c>
      <c r="E552" s="474"/>
      <c r="F552" s="469" t="s">
        <v>112</v>
      </c>
      <c r="G552" s="470" t="s">
        <v>930</v>
      </c>
      <c r="H552" s="622" t="s">
        <v>917</v>
      </c>
      <c r="I552" s="633" t="s">
        <v>116</v>
      </c>
      <c r="J552" s="471" t="s">
        <v>913</v>
      </c>
      <c r="K552" s="469">
        <v>16</v>
      </c>
      <c r="L552" s="473"/>
      <c r="M552" s="623">
        <v>50</v>
      </c>
      <c r="N552" s="623">
        <v>4</v>
      </c>
      <c r="O552" s="624">
        <v>0.08</v>
      </c>
      <c r="P552" s="624">
        <v>0.08</v>
      </c>
      <c r="Q552" s="785">
        <f t="shared" si="8"/>
        <v>0.5</v>
      </c>
      <c r="R552" s="468" t="s">
        <v>1718</v>
      </c>
      <c r="S552" s="629"/>
    </row>
    <row r="553" spans="1:19" ht="15" x14ac:dyDescent="0.25">
      <c r="A553" s="621" t="s">
        <v>351</v>
      </c>
      <c r="B553" s="466" t="s">
        <v>111</v>
      </c>
      <c r="C553" s="631" t="s">
        <v>870</v>
      </c>
      <c r="D553" s="467" t="s">
        <v>881</v>
      </c>
      <c r="E553" s="474"/>
      <c r="F553" s="469" t="s">
        <v>112</v>
      </c>
      <c r="G553" s="470" t="s">
        <v>930</v>
      </c>
      <c r="H553" s="622" t="s">
        <v>916</v>
      </c>
      <c r="I553" s="633" t="s">
        <v>116</v>
      </c>
      <c r="J553" s="471" t="s">
        <v>913</v>
      </c>
      <c r="K553" s="469">
        <v>16</v>
      </c>
      <c r="L553" s="473"/>
      <c r="M553" s="623">
        <v>19</v>
      </c>
      <c r="N553" s="623">
        <v>3</v>
      </c>
      <c r="O553" s="624">
        <v>0.15789473684210525</v>
      </c>
      <c r="P553" s="624">
        <v>0.15789473684210525</v>
      </c>
      <c r="Q553" s="785">
        <f t="shared" si="8"/>
        <v>0.98684210526315785</v>
      </c>
      <c r="R553" s="468" t="s">
        <v>1718</v>
      </c>
      <c r="S553" s="629"/>
    </row>
    <row r="554" spans="1:19" ht="15" x14ac:dyDescent="0.25">
      <c r="A554" s="621" t="s">
        <v>351</v>
      </c>
      <c r="B554" s="466" t="s">
        <v>111</v>
      </c>
      <c r="C554" s="631" t="s">
        <v>870</v>
      </c>
      <c r="D554" s="467" t="s">
        <v>883</v>
      </c>
      <c r="E554" s="474"/>
      <c r="F554" s="469" t="s">
        <v>112</v>
      </c>
      <c r="G554" s="470" t="s">
        <v>930</v>
      </c>
      <c r="H554" s="622" t="s">
        <v>916</v>
      </c>
      <c r="I554" s="633" t="s">
        <v>116</v>
      </c>
      <c r="J554" s="471" t="s">
        <v>913</v>
      </c>
      <c r="K554" s="469">
        <v>6</v>
      </c>
      <c r="L554" s="473"/>
      <c r="M554" s="623">
        <v>39</v>
      </c>
      <c r="N554" s="623">
        <v>9</v>
      </c>
      <c r="O554" s="624">
        <v>0.23076923076923078</v>
      </c>
      <c r="P554" s="624">
        <v>0.23076923076923078</v>
      </c>
      <c r="Q554" s="785">
        <f t="shared" si="8"/>
        <v>3.8461538461538463</v>
      </c>
      <c r="R554" s="468" t="s">
        <v>1718</v>
      </c>
      <c r="S554" s="629"/>
    </row>
    <row r="555" spans="1:19" ht="15" x14ac:dyDescent="0.25">
      <c r="A555" s="621" t="s">
        <v>351</v>
      </c>
      <c r="B555" s="466" t="s">
        <v>111</v>
      </c>
      <c r="C555" s="631" t="s">
        <v>870</v>
      </c>
      <c r="D555" s="467" t="s">
        <v>866</v>
      </c>
      <c r="E555" s="474"/>
      <c r="F555" s="469" t="s">
        <v>112</v>
      </c>
      <c r="G555" s="470" t="s">
        <v>930</v>
      </c>
      <c r="H555" s="622" t="s">
        <v>916</v>
      </c>
      <c r="I555" s="633" t="s">
        <v>116</v>
      </c>
      <c r="J555" s="471" t="s">
        <v>913</v>
      </c>
      <c r="K555" s="469">
        <v>8</v>
      </c>
      <c r="L555" s="473"/>
      <c r="M555" s="623">
        <v>67</v>
      </c>
      <c r="N555" s="623">
        <v>17</v>
      </c>
      <c r="O555" s="624">
        <v>0.2537313432835821</v>
      </c>
      <c r="P555" s="624">
        <v>0.2537313432835821</v>
      </c>
      <c r="Q555" s="785">
        <f t="shared" si="8"/>
        <v>3.1716417910447761</v>
      </c>
      <c r="R555" s="468" t="s">
        <v>1718</v>
      </c>
      <c r="S555" s="629"/>
    </row>
    <row r="556" spans="1:19" ht="15" x14ac:dyDescent="0.25">
      <c r="A556" s="621" t="s">
        <v>351</v>
      </c>
      <c r="B556" s="466" t="s">
        <v>111</v>
      </c>
      <c r="C556" s="631" t="s">
        <v>870</v>
      </c>
      <c r="D556" s="467" t="s">
        <v>869</v>
      </c>
      <c r="E556" s="474"/>
      <c r="F556" s="469" t="s">
        <v>112</v>
      </c>
      <c r="G556" s="470" t="s">
        <v>930</v>
      </c>
      <c r="H556" s="622" t="s">
        <v>916</v>
      </c>
      <c r="I556" s="633" t="s">
        <v>116</v>
      </c>
      <c r="J556" s="471" t="s">
        <v>913</v>
      </c>
      <c r="K556" s="469">
        <v>5</v>
      </c>
      <c r="L556" s="473"/>
      <c r="M556" s="623">
        <v>46</v>
      </c>
      <c r="N556" s="623">
        <v>18</v>
      </c>
      <c r="O556" s="624">
        <v>0.39130434782608697</v>
      </c>
      <c r="P556" s="624">
        <v>0.39130434782608697</v>
      </c>
      <c r="Q556" s="785">
        <f t="shared" si="8"/>
        <v>7.8260869565217401</v>
      </c>
      <c r="R556" s="468" t="s">
        <v>1718</v>
      </c>
      <c r="S556" s="629"/>
    </row>
    <row r="557" spans="1:19" ht="15" x14ac:dyDescent="0.25">
      <c r="A557" s="621" t="s">
        <v>351</v>
      </c>
      <c r="B557" s="466" t="s">
        <v>111</v>
      </c>
      <c r="C557" s="631" t="s">
        <v>738</v>
      </c>
      <c r="D557" s="467" t="s">
        <v>889</v>
      </c>
      <c r="E557" s="474"/>
      <c r="F557" s="469" t="s">
        <v>112</v>
      </c>
      <c r="G557" s="470" t="s">
        <v>930</v>
      </c>
      <c r="H557" s="622" t="s">
        <v>917</v>
      </c>
      <c r="I557" s="633" t="s">
        <v>116</v>
      </c>
      <c r="J557" s="471" t="s">
        <v>913</v>
      </c>
      <c r="K557" s="469">
        <v>29</v>
      </c>
      <c r="L557" s="473"/>
      <c r="M557" s="623">
        <v>156</v>
      </c>
      <c r="N557" s="623">
        <v>7</v>
      </c>
      <c r="O557" s="624">
        <v>4.4871794871794872E-2</v>
      </c>
      <c r="P557" s="624">
        <v>4.4871794871794872E-2</v>
      </c>
      <c r="Q557" s="785">
        <f t="shared" si="8"/>
        <v>0.15473032714412024</v>
      </c>
      <c r="R557" s="468" t="s">
        <v>1718</v>
      </c>
      <c r="S557" s="629"/>
    </row>
    <row r="558" spans="1:19" ht="15" x14ac:dyDescent="0.25">
      <c r="A558" s="621" t="s">
        <v>351</v>
      </c>
      <c r="B558" s="466" t="s">
        <v>111</v>
      </c>
      <c r="C558" s="631" t="s">
        <v>738</v>
      </c>
      <c r="D558" s="467" t="s">
        <v>881</v>
      </c>
      <c r="E558" s="474" t="s">
        <v>1721</v>
      </c>
      <c r="F558" s="469" t="s">
        <v>112</v>
      </c>
      <c r="G558" s="470" t="s">
        <v>930</v>
      </c>
      <c r="H558" s="622" t="s">
        <v>916</v>
      </c>
      <c r="I558" s="633" t="s">
        <v>116</v>
      </c>
      <c r="J558" s="471" t="s">
        <v>913</v>
      </c>
      <c r="K558" s="469">
        <v>8</v>
      </c>
      <c r="L558" s="473"/>
      <c r="M558" s="623">
        <v>54</v>
      </c>
      <c r="N558" s="623">
        <v>6</v>
      </c>
      <c r="O558" s="624">
        <v>0.1111111111111111</v>
      </c>
      <c r="P558" s="624">
        <v>0.1111111111111111</v>
      </c>
      <c r="Q558" s="785">
        <f t="shared" si="8"/>
        <v>1.3888888888888888</v>
      </c>
      <c r="R558" s="468" t="s">
        <v>1718</v>
      </c>
      <c r="S558" s="629"/>
    </row>
    <row r="559" spans="1:19" ht="15" x14ac:dyDescent="0.25">
      <c r="A559" s="621" t="s">
        <v>351</v>
      </c>
      <c r="B559" s="466" t="s">
        <v>111</v>
      </c>
      <c r="C559" s="631" t="s">
        <v>738</v>
      </c>
      <c r="D559" s="467" t="s">
        <v>883</v>
      </c>
      <c r="E559" s="474" t="s">
        <v>1721</v>
      </c>
      <c r="F559" s="469" t="s">
        <v>112</v>
      </c>
      <c r="G559" s="470" t="s">
        <v>930</v>
      </c>
      <c r="H559" s="622" t="s">
        <v>916</v>
      </c>
      <c r="I559" s="633" t="s">
        <v>116</v>
      </c>
      <c r="J559" s="471" t="s">
        <v>913</v>
      </c>
      <c r="K559" s="469">
        <v>8</v>
      </c>
      <c r="L559" s="473"/>
      <c r="M559" s="623">
        <v>0</v>
      </c>
      <c r="N559" s="623">
        <v>0</v>
      </c>
      <c r="O559" s="624">
        <v>0</v>
      </c>
      <c r="P559" s="624">
        <v>0</v>
      </c>
      <c r="Q559" s="785" t="e">
        <f t="shared" si="8"/>
        <v>#DIV/0!</v>
      </c>
      <c r="R559" s="468" t="s">
        <v>1719</v>
      </c>
      <c r="S559" s="629"/>
    </row>
    <row r="560" spans="1:19" ht="15" x14ac:dyDescent="0.25">
      <c r="A560" s="621" t="s">
        <v>351</v>
      </c>
      <c r="B560" s="466" t="s">
        <v>111</v>
      </c>
      <c r="C560" s="631" t="s">
        <v>738</v>
      </c>
      <c r="D560" s="467" t="s">
        <v>866</v>
      </c>
      <c r="E560" s="474" t="s">
        <v>1722</v>
      </c>
      <c r="F560" s="469" t="s">
        <v>112</v>
      </c>
      <c r="G560" s="470" t="s">
        <v>930</v>
      </c>
      <c r="H560" s="622" t="s">
        <v>916</v>
      </c>
      <c r="I560" s="633" t="s">
        <v>116</v>
      </c>
      <c r="J560" s="471" t="s">
        <v>913</v>
      </c>
      <c r="K560" s="469">
        <v>8</v>
      </c>
      <c r="L560" s="473"/>
      <c r="M560" s="623">
        <v>0</v>
      </c>
      <c r="N560" s="623">
        <v>1</v>
      </c>
      <c r="O560" s="624">
        <v>0</v>
      </c>
      <c r="P560" s="624">
        <v>0</v>
      </c>
      <c r="Q560" s="785" t="e">
        <f t="shared" si="8"/>
        <v>#DIV/0!</v>
      </c>
      <c r="R560" s="468" t="s">
        <v>1719</v>
      </c>
      <c r="S560" s="629"/>
    </row>
    <row r="561" spans="1:19" ht="15" x14ac:dyDescent="0.25">
      <c r="A561" s="621" t="s">
        <v>351</v>
      </c>
      <c r="B561" s="466" t="s">
        <v>111</v>
      </c>
      <c r="C561" s="631" t="s">
        <v>738</v>
      </c>
      <c r="D561" s="467" t="s">
        <v>869</v>
      </c>
      <c r="E561" s="474" t="s">
        <v>1722</v>
      </c>
      <c r="F561" s="469" t="s">
        <v>112</v>
      </c>
      <c r="G561" s="470" t="s">
        <v>930</v>
      </c>
      <c r="H561" s="622" t="s">
        <v>916</v>
      </c>
      <c r="I561" s="633" t="s">
        <v>116</v>
      </c>
      <c r="J561" s="471" t="s">
        <v>913</v>
      </c>
      <c r="K561" s="469">
        <v>8</v>
      </c>
      <c r="L561" s="473"/>
      <c r="M561" s="623">
        <v>7</v>
      </c>
      <c r="N561" s="623">
        <v>2</v>
      </c>
      <c r="O561" s="624">
        <v>0.2857142857142857</v>
      </c>
      <c r="P561" s="624">
        <v>0.2857142857142857</v>
      </c>
      <c r="Q561" s="785">
        <f t="shared" si="8"/>
        <v>3.5714285714285712</v>
      </c>
      <c r="R561" s="468" t="s">
        <v>1718</v>
      </c>
      <c r="S561" s="629"/>
    </row>
    <row r="562" spans="1:19" ht="15" x14ac:dyDescent="0.25">
      <c r="A562" s="621" t="s">
        <v>351</v>
      </c>
      <c r="B562" s="466" t="s">
        <v>111</v>
      </c>
      <c r="C562" s="631" t="s">
        <v>101</v>
      </c>
      <c r="D562" s="467" t="s">
        <v>889</v>
      </c>
      <c r="E562" s="474"/>
      <c r="F562" s="469" t="s">
        <v>112</v>
      </c>
      <c r="G562" s="470" t="s">
        <v>930</v>
      </c>
      <c r="H562" s="622" t="s">
        <v>917</v>
      </c>
      <c r="I562" s="633" t="s">
        <v>116</v>
      </c>
      <c r="J562" s="471" t="s">
        <v>913</v>
      </c>
      <c r="K562" s="469">
        <v>17</v>
      </c>
      <c r="L562" s="473"/>
      <c r="M562" s="623">
        <v>112</v>
      </c>
      <c r="N562" s="623">
        <v>19</v>
      </c>
      <c r="O562" s="624">
        <v>0.16964285714285715</v>
      </c>
      <c r="P562" s="624">
        <v>0.16964285714285715</v>
      </c>
      <c r="Q562" s="785">
        <f t="shared" si="8"/>
        <v>0.99789915966386555</v>
      </c>
      <c r="R562" s="468" t="s">
        <v>1718</v>
      </c>
      <c r="S562" s="629"/>
    </row>
    <row r="563" spans="1:19" ht="15" x14ac:dyDescent="0.25">
      <c r="A563" s="621" t="s">
        <v>351</v>
      </c>
      <c r="B563" s="466" t="s">
        <v>111</v>
      </c>
      <c r="C563" s="631" t="s">
        <v>101</v>
      </c>
      <c r="D563" s="467" t="s">
        <v>881</v>
      </c>
      <c r="E563" s="474"/>
      <c r="F563" s="469" t="s">
        <v>112</v>
      </c>
      <c r="G563" s="470" t="s">
        <v>930</v>
      </c>
      <c r="H563" s="622" t="s">
        <v>916</v>
      </c>
      <c r="I563" s="633" t="s">
        <v>116</v>
      </c>
      <c r="J563" s="471" t="s">
        <v>913</v>
      </c>
      <c r="K563" s="469">
        <v>36</v>
      </c>
      <c r="L563" s="473"/>
      <c r="M563" s="623">
        <v>9</v>
      </c>
      <c r="N563" s="623">
        <v>2</v>
      </c>
      <c r="O563" s="624">
        <v>0.22222222222222221</v>
      </c>
      <c r="P563" s="624">
        <v>0.22222222222222221</v>
      </c>
      <c r="Q563" s="785">
        <f t="shared" si="8"/>
        <v>0.61728395061728392</v>
      </c>
      <c r="R563" s="468" t="s">
        <v>1718</v>
      </c>
      <c r="S563" s="629"/>
    </row>
    <row r="564" spans="1:19" ht="15" x14ac:dyDescent="0.25">
      <c r="A564" s="621" t="s">
        <v>351</v>
      </c>
      <c r="B564" s="466" t="s">
        <v>111</v>
      </c>
      <c r="C564" s="631" t="s">
        <v>101</v>
      </c>
      <c r="D564" s="467" t="s">
        <v>883</v>
      </c>
      <c r="E564" s="474" t="s">
        <v>1723</v>
      </c>
      <c r="F564" s="469" t="s">
        <v>112</v>
      </c>
      <c r="G564" s="470" t="s">
        <v>930</v>
      </c>
      <c r="H564" s="622" t="s">
        <v>916</v>
      </c>
      <c r="I564" s="633" t="s">
        <v>116</v>
      </c>
      <c r="J564" s="471" t="s">
        <v>913</v>
      </c>
      <c r="K564" s="469">
        <v>80</v>
      </c>
      <c r="L564" s="473"/>
      <c r="M564" s="623">
        <v>0</v>
      </c>
      <c r="N564" s="623">
        <v>0</v>
      </c>
      <c r="O564" s="624">
        <v>0</v>
      </c>
      <c r="P564" s="624">
        <v>0</v>
      </c>
      <c r="Q564" s="785" t="e">
        <f t="shared" si="8"/>
        <v>#DIV/0!</v>
      </c>
      <c r="R564" s="468" t="s">
        <v>1719</v>
      </c>
      <c r="S564" s="629"/>
    </row>
    <row r="565" spans="1:19" ht="15" x14ac:dyDescent="0.25">
      <c r="A565" s="621" t="s">
        <v>351</v>
      </c>
      <c r="B565" s="466" t="s">
        <v>111</v>
      </c>
      <c r="C565" s="631" t="s">
        <v>101</v>
      </c>
      <c r="D565" s="467" t="s">
        <v>866</v>
      </c>
      <c r="E565" s="474" t="s">
        <v>1723</v>
      </c>
      <c r="F565" s="469" t="s">
        <v>112</v>
      </c>
      <c r="G565" s="470" t="s">
        <v>930</v>
      </c>
      <c r="H565" s="622" t="s">
        <v>916</v>
      </c>
      <c r="I565" s="633" t="s">
        <v>116</v>
      </c>
      <c r="J565" s="471" t="s">
        <v>913</v>
      </c>
      <c r="K565" s="469" t="s">
        <v>79</v>
      </c>
      <c r="L565" s="473"/>
      <c r="M565" s="623">
        <v>13</v>
      </c>
      <c r="N565" s="623">
        <v>2</v>
      </c>
      <c r="O565" s="624">
        <v>0.15384615384615385</v>
      </c>
      <c r="P565" s="624">
        <v>0.15384615384615385</v>
      </c>
      <c r="Q565" s="785" t="e">
        <f t="shared" si="8"/>
        <v>#VALUE!</v>
      </c>
      <c r="R565" s="468" t="s">
        <v>1718</v>
      </c>
      <c r="S565" s="629"/>
    </row>
    <row r="566" spans="1:19" ht="15" x14ac:dyDescent="0.25">
      <c r="A566" s="621" t="s">
        <v>351</v>
      </c>
      <c r="B566" s="466" t="s">
        <v>111</v>
      </c>
      <c r="C566" s="631" t="s">
        <v>101</v>
      </c>
      <c r="D566" s="467" t="s">
        <v>869</v>
      </c>
      <c r="E566" s="474" t="s">
        <v>1723</v>
      </c>
      <c r="F566" s="469" t="s">
        <v>112</v>
      </c>
      <c r="G566" s="470" t="s">
        <v>930</v>
      </c>
      <c r="H566" s="622" t="s">
        <v>916</v>
      </c>
      <c r="I566" s="633" t="s">
        <v>116</v>
      </c>
      <c r="J566" s="471" t="s">
        <v>913</v>
      </c>
      <c r="K566" s="469" t="s">
        <v>79</v>
      </c>
      <c r="L566" s="473"/>
      <c r="M566" s="623">
        <v>0</v>
      </c>
      <c r="N566" s="623">
        <v>0</v>
      </c>
      <c r="O566" s="624">
        <v>0</v>
      </c>
      <c r="P566" s="624">
        <v>0</v>
      </c>
      <c r="Q566" s="785" t="e">
        <f t="shared" si="8"/>
        <v>#VALUE!</v>
      </c>
      <c r="R566" s="468" t="s">
        <v>1719</v>
      </c>
      <c r="S566" s="629"/>
    </row>
    <row r="567" spans="1:19" ht="15" x14ac:dyDescent="0.25">
      <c r="A567" s="621" t="s">
        <v>351</v>
      </c>
      <c r="B567" s="466" t="s">
        <v>111</v>
      </c>
      <c r="C567" s="631" t="s">
        <v>885</v>
      </c>
      <c r="D567" s="467" t="s">
        <v>889</v>
      </c>
      <c r="E567" s="474"/>
      <c r="F567" s="469" t="s">
        <v>112</v>
      </c>
      <c r="G567" s="470" t="s">
        <v>930</v>
      </c>
      <c r="H567" s="622" t="s">
        <v>917</v>
      </c>
      <c r="I567" s="633" t="s">
        <v>116</v>
      </c>
      <c r="J567" s="471" t="s">
        <v>913</v>
      </c>
      <c r="K567" s="469">
        <v>13</v>
      </c>
      <c r="L567" s="473"/>
      <c r="M567" s="623">
        <v>0</v>
      </c>
      <c r="N567" s="623">
        <v>0</v>
      </c>
      <c r="O567" s="624">
        <v>0</v>
      </c>
      <c r="P567" s="624">
        <v>0</v>
      </c>
      <c r="Q567" s="785" t="e">
        <f t="shared" si="8"/>
        <v>#DIV/0!</v>
      </c>
      <c r="R567" s="468" t="s">
        <v>1719</v>
      </c>
      <c r="S567" s="629"/>
    </row>
    <row r="568" spans="1:19" ht="15" x14ac:dyDescent="0.25">
      <c r="A568" s="621" t="s">
        <v>351</v>
      </c>
      <c r="B568" s="466" t="s">
        <v>111</v>
      </c>
      <c r="C568" s="631" t="s">
        <v>885</v>
      </c>
      <c r="D568" s="467" t="s">
        <v>881</v>
      </c>
      <c r="E568" s="474"/>
      <c r="F568" s="469" t="s">
        <v>112</v>
      </c>
      <c r="G568" s="470" t="s">
        <v>930</v>
      </c>
      <c r="H568" s="622" t="s">
        <v>916</v>
      </c>
      <c r="I568" s="633" t="s">
        <v>116</v>
      </c>
      <c r="J568" s="471" t="s">
        <v>913</v>
      </c>
      <c r="K568" s="469">
        <v>13</v>
      </c>
      <c r="L568" s="473"/>
      <c r="M568" s="623">
        <v>5</v>
      </c>
      <c r="N568" s="623">
        <v>0</v>
      </c>
      <c r="O568" s="624">
        <v>0</v>
      </c>
      <c r="P568" s="624">
        <v>0</v>
      </c>
      <c r="Q568" s="785">
        <f t="shared" si="8"/>
        <v>0</v>
      </c>
      <c r="R568" s="468" t="s">
        <v>1719</v>
      </c>
      <c r="S568" s="629"/>
    </row>
    <row r="569" spans="1:19" ht="15" x14ac:dyDescent="0.25">
      <c r="A569" s="621" t="s">
        <v>351</v>
      </c>
      <c r="B569" s="466" t="s">
        <v>111</v>
      </c>
      <c r="C569" s="631" t="s">
        <v>885</v>
      </c>
      <c r="D569" s="467" t="s">
        <v>883</v>
      </c>
      <c r="E569" s="474" t="s">
        <v>1724</v>
      </c>
      <c r="F569" s="469" t="s">
        <v>112</v>
      </c>
      <c r="G569" s="470" t="s">
        <v>930</v>
      </c>
      <c r="H569" s="622" t="s">
        <v>916</v>
      </c>
      <c r="I569" s="633" t="s">
        <v>116</v>
      </c>
      <c r="J569" s="471" t="s">
        <v>913</v>
      </c>
      <c r="K569" s="469" t="s">
        <v>79</v>
      </c>
      <c r="L569" s="473"/>
      <c r="M569" s="623">
        <v>5</v>
      </c>
      <c r="N569" s="623">
        <v>0</v>
      </c>
      <c r="O569" s="624">
        <v>0</v>
      </c>
      <c r="P569" s="624">
        <v>0</v>
      </c>
      <c r="Q569" s="785" t="e">
        <f t="shared" si="8"/>
        <v>#VALUE!</v>
      </c>
      <c r="R569" s="468" t="s">
        <v>1719</v>
      </c>
      <c r="S569" s="629"/>
    </row>
    <row r="570" spans="1:19" ht="15" x14ac:dyDescent="0.25">
      <c r="A570" s="621" t="s">
        <v>351</v>
      </c>
      <c r="B570" s="466" t="s">
        <v>111</v>
      </c>
      <c r="C570" s="631" t="s">
        <v>885</v>
      </c>
      <c r="D570" s="467" t="s">
        <v>866</v>
      </c>
      <c r="E570" s="474" t="s">
        <v>1724</v>
      </c>
      <c r="F570" s="469" t="s">
        <v>112</v>
      </c>
      <c r="G570" s="470" t="s">
        <v>930</v>
      </c>
      <c r="H570" s="622" t="s">
        <v>916</v>
      </c>
      <c r="I570" s="633" t="s">
        <v>116</v>
      </c>
      <c r="J570" s="471" t="s">
        <v>913</v>
      </c>
      <c r="K570" s="469" t="s">
        <v>79</v>
      </c>
      <c r="L570" s="473"/>
      <c r="M570" s="623">
        <v>0</v>
      </c>
      <c r="N570" s="623">
        <v>0</v>
      </c>
      <c r="O570" s="624">
        <v>0</v>
      </c>
      <c r="P570" s="624">
        <v>0</v>
      </c>
      <c r="Q570" s="785" t="e">
        <f t="shared" si="8"/>
        <v>#VALUE!</v>
      </c>
      <c r="R570" s="468" t="s">
        <v>1719</v>
      </c>
      <c r="S570" s="629"/>
    </row>
    <row r="571" spans="1:19" ht="15" x14ac:dyDescent="0.25">
      <c r="A571" s="621" t="s">
        <v>351</v>
      </c>
      <c r="B571" s="466" t="s">
        <v>111</v>
      </c>
      <c r="C571" s="631" t="s">
        <v>885</v>
      </c>
      <c r="D571" s="467" t="s">
        <v>869</v>
      </c>
      <c r="E571" s="474"/>
      <c r="F571" s="469" t="s">
        <v>112</v>
      </c>
      <c r="G571" s="470" t="s">
        <v>930</v>
      </c>
      <c r="H571" s="622" t="s">
        <v>916</v>
      </c>
      <c r="I571" s="633" t="s">
        <v>116</v>
      </c>
      <c r="J571" s="471" t="s">
        <v>913</v>
      </c>
      <c r="K571" s="469">
        <v>25</v>
      </c>
      <c r="L571" s="473"/>
      <c r="M571" s="623">
        <v>12</v>
      </c>
      <c r="N571" s="623">
        <v>5</v>
      </c>
      <c r="O571" s="624">
        <v>0.41666666666666669</v>
      </c>
      <c r="P571" s="624">
        <v>0.41666666666666669</v>
      </c>
      <c r="Q571" s="785">
        <f t="shared" si="8"/>
        <v>1.6666666666666667</v>
      </c>
      <c r="R571" s="468" t="s">
        <v>1718</v>
      </c>
      <c r="S571" s="629"/>
    </row>
    <row r="572" spans="1:19" ht="15" x14ac:dyDescent="0.25">
      <c r="A572" s="621" t="s">
        <v>351</v>
      </c>
      <c r="B572" s="466" t="s">
        <v>111</v>
      </c>
      <c r="C572" s="631" t="s">
        <v>885</v>
      </c>
      <c r="D572" s="467" t="s">
        <v>887</v>
      </c>
      <c r="E572" s="474"/>
      <c r="F572" s="469" t="s">
        <v>112</v>
      </c>
      <c r="G572" s="470" t="s">
        <v>930</v>
      </c>
      <c r="H572" s="622" t="s">
        <v>916</v>
      </c>
      <c r="I572" s="633" t="s">
        <v>116</v>
      </c>
      <c r="J572" s="471" t="s">
        <v>913</v>
      </c>
      <c r="K572" s="469">
        <v>10</v>
      </c>
      <c r="L572" s="473"/>
      <c r="M572" s="623">
        <v>20</v>
      </c>
      <c r="N572" s="623">
        <v>8</v>
      </c>
      <c r="O572" s="624">
        <v>0.4</v>
      </c>
      <c r="P572" s="624">
        <v>0.4</v>
      </c>
      <c r="Q572" s="785">
        <f t="shared" si="8"/>
        <v>4</v>
      </c>
      <c r="R572" s="468" t="s">
        <v>1718</v>
      </c>
      <c r="S572" s="629"/>
    </row>
    <row r="573" spans="1:19" ht="15" x14ac:dyDescent="0.25">
      <c r="A573" s="621" t="s">
        <v>351</v>
      </c>
      <c r="B573" s="466" t="s">
        <v>111</v>
      </c>
      <c r="C573" s="631" t="s">
        <v>904</v>
      </c>
      <c r="D573" s="467" t="s">
        <v>881</v>
      </c>
      <c r="E573" s="474" t="s">
        <v>1718</v>
      </c>
      <c r="F573" s="469" t="s">
        <v>112</v>
      </c>
      <c r="G573" s="470" t="s">
        <v>930</v>
      </c>
      <c r="H573" s="622" t="s">
        <v>916</v>
      </c>
      <c r="I573" s="633" t="s">
        <v>116</v>
      </c>
      <c r="J573" s="471" t="s">
        <v>913</v>
      </c>
      <c r="K573" s="469" t="s">
        <v>79</v>
      </c>
      <c r="L573" s="473"/>
      <c r="M573" s="623">
        <v>0</v>
      </c>
      <c r="N573" s="623">
        <v>0</v>
      </c>
      <c r="O573" s="624">
        <v>0</v>
      </c>
      <c r="P573" s="624">
        <v>0</v>
      </c>
      <c r="Q573" s="785" t="e">
        <f t="shared" si="8"/>
        <v>#VALUE!</v>
      </c>
      <c r="R573" s="468" t="s">
        <v>1719</v>
      </c>
      <c r="S573" s="629"/>
    </row>
    <row r="574" spans="1:19" ht="15" x14ac:dyDescent="0.25">
      <c r="A574" s="621" t="s">
        <v>351</v>
      </c>
      <c r="B574" s="466" t="s">
        <v>111</v>
      </c>
      <c r="C574" s="631" t="s">
        <v>904</v>
      </c>
      <c r="D574" s="467" t="s">
        <v>883</v>
      </c>
      <c r="E574" s="474" t="s">
        <v>1725</v>
      </c>
      <c r="F574" s="469" t="s">
        <v>112</v>
      </c>
      <c r="G574" s="470" t="s">
        <v>930</v>
      </c>
      <c r="H574" s="622" t="s">
        <v>916</v>
      </c>
      <c r="I574" s="633" t="s">
        <v>116</v>
      </c>
      <c r="J574" s="471" t="s">
        <v>913</v>
      </c>
      <c r="K574" s="469" t="s">
        <v>79</v>
      </c>
      <c r="L574" s="473"/>
      <c r="M574" s="623">
        <v>1</v>
      </c>
      <c r="N574" s="623">
        <v>1</v>
      </c>
      <c r="O574" s="624">
        <v>1</v>
      </c>
      <c r="P574" s="624">
        <v>1</v>
      </c>
      <c r="Q574" s="785" t="e">
        <f t="shared" si="8"/>
        <v>#VALUE!</v>
      </c>
      <c r="R574" s="468" t="s">
        <v>1718</v>
      </c>
      <c r="S574" s="629"/>
    </row>
    <row r="575" spans="1:19" ht="15" x14ac:dyDescent="0.25">
      <c r="A575" s="621" t="s">
        <v>351</v>
      </c>
      <c r="B575" s="466" t="s">
        <v>111</v>
      </c>
      <c r="C575" s="631" t="s">
        <v>740</v>
      </c>
      <c r="D575" s="467" t="s">
        <v>889</v>
      </c>
      <c r="E575" s="474"/>
      <c r="F575" s="469" t="s">
        <v>112</v>
      </c>
      <c r="G575" s="470" t="s">
        <v>930</v>
      </c>
      <c r="H575" s="622" t="s">
        <v>917</v>
      </c>
      <c r="I575" s="633" t="s">
        <v>116</v>
      </c>
      <c r="J575" s="471" t="s">
        <v>913</v>
      </c>
      <c r="K575" s="469">
        <v>38</v>
      </c>
      <c r="L575" s="473"/>
      <c r="M575" s="623">
        <v>37</v>
      </c>
      <c r="N575" s="623">
        <v>3</v>
      </c>
      <c r="O575" s="624">
        <v>8.1081081081081086E-2</v>
      </c>
      <c r="P575" s="624">
        <v>8.1081081081081086E-2</v>
      </c>
      <c r="Q575" s="785">
        <f t="shared" si="8"/>
        <v>0.21337126600284495</v>
      </c>
      <c r="R575" s="468" t="s">
        <v>1718</v>
      </c>
      <c r="S575" s="629"/>
    </row>
    <row r="576" spans="1:19" ht="15" x14ac:dyDescent="0.25">
      <c r="A576" s="621" t="s">
        <v>351</v>
      </c>
      <c r="B576" s="466" t="s">
        <v>111</v>
      </c>
      <c r="C576" s="631" t="s">
        <v>740</v>
      </c>
      <c r="D576" s="467" t="s">
        <v>881</v>
      </c>
      <c r="E576" s="474" t="s">
        <v>1726</v>
      </c>
      <c r="F576" s="469" t="s">
        <v>112</v>
      </c>
      <c r="G576" s="470" t="s">
        <v>930</v>
      </c>
      <c r="H576" s="622" t="s">
        <v>916</v>
      </c>
      <c r="I576" s="633" t="s">
        <v>116</v>
      </c>
      <c r="J576" s="471" t="s">
        <v>913</v>
      </c>
      <c r="K576" s="469" t="s">
        <v>79</v>
      </c>
      <c r="L576" s="473"/>
      <c r="M576" s="623">
        <v>4</v>
      </c>
      <c r="N576" s="623">
        <v>0</v>
      </c>
      <c r="O576" s="624">
        <v>0</v>
      </c>
      <c r="P576" s="624">
        <v>0</v>
      </c>
      <c r="Q576" s="785" t="e">
        <f t="shared" si="8"/>
        <v>#VALUE!</v>
      </c>
      <c r="R576" s="468" t="s">
        <v>1719</v>
      </c>
      <c r="S576" s="629"/>
    </row>
    <row r="577" spans="1:19" ht="15" x14ac:dyDescent="0.25">
      <c r="A577" s="621" t="s">
        <v>351</v>
      </c>
      <c r="B577" s="466" t="s">
        <v>111</v>
      </c>
      <c r="C577" s="631" t="s">
        <v>740</v>
      </c>
      <c r="D577" s="467" t="s">
        <v>883</v>
      </c>
      <c r="E577" s="474" t="s">
        <v>1726</v>
      </c>
      <c r="F577" s="469" t="s">
        <v>112</v>
      </c>
      <c r="G577" s="470" t="s">
        <v>930</v>
      </c>
      <c r="H577" s="622" t="s">
        <v>916</v>
      </c>
      <c r="I577" s="633" t="s">
        <v>116</v>
      </c>
      <c r="J577" s="471" t="s">
        <v>913</v>
      </c>
      <c r="K577" s="469" t="s">
        <v>79</v>
      </c>
      <c r="L577" s="473"/>
      <c r="M577" s="623">
        <v>0</v>
      </c>
      <c r="N577" s="623">
        <v>0</v>
      </c>
      <c r="O577" s="624">
        <v>0</v>
      </c>
      <c r="P577" s="624">
        <v>0</v>
      </c>
      <c r="Q577" s="785" t="e">
        <f t="shared" si="8"/>
        <v>#VALUE!</v>
      </c>
      <c r="R577" s="468" t="s">
        <v>1719</v>
      </c>
      <c r="S577" s="629"/>
    </row>
    <row r="578" spans="1:19" ht="15" x14ac:dyDescent="0.25">
      <c r="A578" s="621" t="s">
        <v>351</v>
      </c>
      <c r="B578" s="466" t="s">
        <v>111</v>
      </c>
      <c r="C578" s="631" t="s">
        <v>894</v>
      </c>
      <c r="D578" s="467" t="s">
        <v>889</v>
      </c>
      <c r="E578" s="474"/>
      <c r="F578" s="469" t="s">
        <v>112</v>
      </c>
      <c r="G578" s="470" t="s">
        <v>930</v>
      </c>
      <c r="H578" s="622" t="s">
        <v>917</v>
      </c>
      <c r="I578" s="633" t="s">
        <v>116</v>
      </c>
      <c r="J578" s="471" t="s">
        <v>913</v>
      </c>
      <c r="K578" s="469">
        <v>5</v>
      </c>
      <c r="L578" s="473"/>
      <c r="M578" s="623">
        <v>543</v>
      </c>
      <c r="N578" s="623">
        <v>32</v>
      </c>
      <c r="O578" s="624">
        <v>5.8931860036832415E-2</v>
      </c>
      <c r="P578" s="624">
        <v>5.8931860036832415E-2</v>
      </c>
      <c r="Q578" s="785">
        <f t="shared" si="8"/>
        <v>1.1786372007366483</v>
      </c>
      <c r="R578" s="468" t="s">
        <v>1718</v>
      </c>
      <c r="S578" s="629"/>
    </row>
    <row r="579" spans="1:19" ht="15" x14ac:dyDescent="0.25">
      <c r="A579" s="621" t="s">
        <v>351</v>
      </c>
      <c r="B579" s="466" t="s">
        <v>111</v>
      </c>
      <c r="C579" s="631" t="s">
        <v>894</v>
      </c>
      <c r="D579" s="467" t="s">
        <v>881</v>
      </c>
      <c r="E579" s="474"/>
      <c r="F579" s="469" t="s">
        <v>112</v>
      </c>
      <c r="G579" s="470" t="s">
        <v>930</v>
      </c>
      <c r="H579" s="622" t="s">
        <v>916</v>
      </c>
      <c r="I579" s="633" t="s">
        <v>116</v>
      </c>
      <c r="J579" s="471" t="s">
        <v>913</v>
      </c>
      <c r="K579" s="469">
        <v>32</v>
      </c>
      <c r="L579" s="473"/>
      <c r="M579" s="623">
        <v>78</v>
      </c>
      <c r="N579" s="623">
        <v>28</v>
      </c>
      <c r="O579" s="624">
        <v>0.35897435897435898</v>
      </c>
      <c r="P579" s="624">
        <v>0.35897435897435898</v>
      </c>
      <c r="Q579" s="785">
        <f t="shared" si="8"/>
        <v>1.1217948717948718</v>
      </c>
      <c r="R579" s="468" t="s">
        <v>1718</v>
      </c>
      <c r="S579" s="629"/>
    </row>
    <row r="580" spans="1:19" ht="15" x14ac:dyDescent="0.25">
      <c r="A580" s="621" t="s">
        <v>351</v>
      </c>
      <c r="B580" s="466" t="s">
        <v>111</v>
      </c>
      <c r="C580" s="631" t="s">
        <v>894</v>
      </c>
      <c r="D580" s="467" t="s">
        <v>883</v>
      </c>
      <c r="E580" s="474" t="s">
        <v>1727</v>
      </c>
      <c r="F580" s="469" t="s">
        <v>112</v>
      </c>
      <c r="G580" s="470" t="s">
        <v>930</v>
      </c>
      <c r="H580" s="622" t="s">
        <v>916</v>
      </c>
      <c r="I580" s="633" t="s">
        <v>116</v>
      </c>
      <c r="J580" s="471" t="s">
        <v>913</v>
      </c>
      <c r="K580" s="469">
        <v>33</v>
      </c>
      <c r="L580" s="473"/>
      <c r="M580" s="623">
        <v>25</v>
      </c>
      <c r="N580" s="623">
        <v>9</v>
      </c>
      <c r="O580" s="624">
        <v>0.36</v>
      </c>
      <c r="P580" s="624">
        <v>0.36</v>
      </c>
      <c r="Q580" s="785">
        <f t="shared" si="8"/>
        <v>1.0909090909090908</v>
      </c>
      <c r="R580" s="468" t="s">
        <v>1718</v>
      </c>
      <c r="S580" s="629"/>
    </row>
    <row r="581" spans="1:19" ht="15" x14ac:dyDescent="0.25">
      <c r="A581" s="621" t="s">
        <v>351</v>
      </c>
      <c r="B581" s="466" t="s">
        <v>111</v>
      </c>
      <c r="C581" s="631" t="s">
        <v>894</v>
      </c>
      <c r="D581" s="467" t="s">
        <v>869</v>
      </c>
      <c r="E581" s="474" t="s">
        <v>1727</v>
      </c>
      <c r="F581" s="469" t="s">
        <v>112</v>
      </c>
      <c r="G581" s="470" t="s">
        <v>930</v>
      </c>
      <c r="H581" s="622" t="s">
        <v>916</v>
      </c>
      <c r="I581" s="633" t="s">
        <v>116</v>
      </c>
      <c r="J581" s="471" t="s">
        <v>913</v>
      </c>
      <c r="K581" s="469" t="s">
        <v>79</v>
      </c>
      <c r="L581" s="473"/>
      <c r="M581" s="623">
        <v>0</v>
      </c>
      <c r="N581" s="623">
        <v>0</v>
      </c>
      <c r="O581" s="624">
        <v>0</v>
      </c>
      <c r="P581" s="624">
        <v>0</v>
      </c>
      <c r="Q581" s="785" t="e">
        <f t="shared" si="8"/>
        <v>#VALUE!</v>
      </c>
      <c r="R581" s="468" t="s">
        <v>1719</v>
      </c>
      <c r="S581" s="629"/>
    </row>
    <row r="582" spans="1:19" ht="15" x14ac:dyDescent="0.25">
      <c r="A582" s="621" t="s">
        <v>351</v>
      </c>
      <c r="B582" s="466" t="s">
        <v>111</v>
      </c>
      <c r="C582" s="631" t="s">
        <v>99</v>
      </c>
      <c r="D582" s="467" t="s">
        <v>866</v>
      </c>
      <c r="E582" s="474" t="s">
        <v>1720</v>
      </c>
      <c r="F582" s="469" t="s">
        <v>112</v>
      </c>
      <c r="G582" s="470" t="s">
        <v>931</v>
      </c>
      <c r="H582" s="622" t="s">
        <v>932</v>
      </c>
      <c r="I582" s="633" t="s">
        <v>116</v>
      </c>
      <c r="J582" s="471" t="s">
        <v>913</v>
      </c>
      <c r="K582" s="469">
        <v>100</v>
      </c>
      <c r="L582" s="473"/>
      <c r="M582" s="623">
        <v>0</v>
      </c>
      <c r="N582" s="623">
        <v>0</v>
      </c>
      <c r="O582" s="624">
        <v>0</v>
      </c>
      <c r="P582" s="624">
        <v>0</v>
      </c>
      <c r="Q582" s="785" t="e">
        <f t="shared" ref="Q582:Q645" si="9">N582/(M582*K582/100)</f>
        <v>#DIV/0!</v>
      </c>
      <c r="R582" s="468" t="s">
        <v>1719</v>
      </c>
      <c r="S582" s="629"/>
    </row>
    <row r="583" spans="1:19" ht="15" x14ac:dyDescent="0.25">
      <c r="A583" s="621" t="s">
        <v>351</v>
      </c>
      <c r="B583" s="466" t="s">
        <v>111</v>
      </c>
      <c r="C583" s="631" t="s">
        <v>99</v>
      </c>
      <c r="D583" s="467" t="s">
        <v>869</v>
      </c>
      <c r="E583" s="474" t="s">
        <v>1720</v>
      </c>
      <c r="F583" s="469" t="s">
        <v>112</v>
      </c>
      <c r="G583" s="470" t="s">
        <v>931</v>
      </c>
      <c r="H583" s="622" t="s">
        <v>932</v>
      </c>
      <c r="I583" s="633" t="s">
        <v>116</v>
      </c>
      <c r="J583" s="471" t="s">
        <v>913</v>
      </c>
      <c r="K583" s="469">
        <v>100</v>
      </c>
      <c r="L583" s="473"/>
      <c r="M583" s="623">
        <v>14</v>
      </c>
      <c r="N583" s="623">
        <v>2</v>
      </c>
      <c r="O583" s="624">
        <v>0.14285714285714285</v>
      </c>
      <c r="P583" s="624">
        <v>0.14285714285714285</v>
      </c>
      <c r="Q583" s="785">
        <f t="shared" si="9"/>
        <v>0.14285714285714285</v>
      </c>
      <c r="R583" s="468" t="s">
        <v>1718</v>
      </c>
      <c r="S583" s="629"/>
    </row>
    <row r="584" spans="1:19" ht="15" x14ac:dyDescent="0.25">
      <c r="A584" s="621" t="s">
        <v>351</v>
      </c>
      <c r="B584" s="466" t="s">
        <v>111</v>
      </c>
      <c r="C584" s="631" t="s">
        <v>870</v>
      </c>
      <c r="D584" s="467" t="s">
        <v>889</v>
      </c>
      <c r="E584" s="474"/>
      <c r="F584" s="469" t="s">
        <v>112</v>
      </c>
      <c r="G584" s="470" t="s">
        <v>931</v>
      </c>
      <c r="H584" s="622" t="s">
        <v>932</v>
      </c>
      <c r="I584" s="633" t="s">
        <v>116</v>
      </c>
      <c r="J584" s="471" t="s">
        <v>913</v>
      </c>
      <c r="K584" s="469">
        <v>100</v>
      </c>
      <c r="L584" s="473"/>
      <c r="M584" s="623">
        <v>50</v>
      </c>
      <c r="N584" s="623">
        <v>4</v>
      </c>
      <c r="O584" s="624">
        <v>0.08</v>
      </c>
      <c r="P584" s="624">
        <v>0.08</v>
      </c>
      <c r="Q584" s="785">
        <f t="shared" si="9"/>
        <v>0.08</v>
      </c>
      <c r="R584" s="468" t="s">
        <v>1718</v>
      </c>
      <c r="S584" s="629"/>
    </row>
    <row r="585" spans="1:19" ht="15" x14ac:dyDescent="0.25">
      <c r="A585" s="621" t="s">
        <v>351</v>
      </c>
      <c r="B585" s="466" t="s">
        <v>111</v>
      </c>
      <c r="C585" s="631" t="s">
        <v>870</v>
      </c>
      <c r="D585" s="467" t="s">
        <v>881</v>
      </c>
      <c r="E585" s="474"/>
      <c r="F585" s="469" t="s">
        <v>112</v>
      </c>
      <c r="G585" s="470" t="s">
        <v>931</v>
      </c>
      <c r="H585" s="622" t="s">
        <v>932</v>
      </c>
      <c r="I585" s="633" t="s">
        <v>116</v>
      </c>
      <c r="J585" s="471" t="s">
        <v>913</v>
      </c>
      <c r="K585" s="469">
        <v>100</v>
      </c>
      <c r="L585" s="473"/>
      <c r="M585" s="623">
        <v>19</v>
      </c>
      <c r="N585" s="623">
        <v>3</v>
      </c>
      <c r="O585" s="624">
        <v>0.15789473684210525</v>
      </c>
      <c r="P585" s="624">
        <v>0.15789473684210525</v>
      </c>
      <c r="Q585" s="785">
        <f t="shared" si="9"/>
        <v>0.15789473684210525</v>
      </c>
      <c r="R585" s="468" t="s">
        <v>1718</v>
      </c>
      <c r="S585" s="629"/>
    </row>
    <row r="586" spans="1:19" ht="15" x14ac:dyDescent="0.25">
      <c r="A586" s="621" t="s">
        <v>351</v>
      </c>
      <c r="B586" s="466" t="s">
        <v>111</v>
      </c>
      <c r="C586" s="631" t="s">
        <v>870</v>
      </c>
      <c r="D586" s="467" t="s">
        <v>883</v>
      </c>
      <c r="E586" s="474"/>
      <c r="F586" s="469" t="s">
        <v>112</v>
      </c>
      <c r="G586" s="470" t="s">
        <v>931</v>
      </c>
      <c r="H586" s="622" t="s">
        <v>932</v>
      </c>
      <c r="I586" s="633" t="s">
        <v>116</v>
      </c>
      <c r="J586" s="471" t="s">
        <v>913</v>
      </c>
      <c r="K586" s="469">
        <v>100</v>
      </c>
      <c r="L586" s="473"/>
      <c r="M586" s="623">
        <v>39</v>
      </c>
      <c r="N586" s="623">
        <v>9</v>
      </c>
      <c r="O586" s="624">
        <v>0.23076923076923078</v>
      </c>
      <c r="P586" s="624">
        <v>0.23076923076923078</v>
      </c>
      <c r="Q586" s="785">
        <f t="shared" si="9"/>
        <v>0.23076923076923078</v>
      </c>
      <c r="R586" s="468" t="s">
        <v>1718</v>
      </c>
      <c r="S586" s="629"/>
    </row>
    <row r="587" spans="1:19" ht="15" x14ac:dyDescent="0.25">
      <c r="A587" s="621" t="s">
        <v>351</v>
      </c>
      <c r="B587" s="466" t="s">
        <v>111</v>
      </c>
      <c r="C587" s="631" t="s">
        <v>870</v>
      </c>
      <c r="D587" s="467" t="s">
        <v>866</v>
      </c>
      <c r="E587" s="474"/>
      <c r="F587" s="469" t="s">
        <v>112</v>
      </c>
      <c r="G587" s="470" t="s">
        <v>931</v>
      </c>
      <c r="H587" s="622" t="s">
        <v>932</v>
      </c>
      <c r="I587" s="633" t="s">
        <v>116</v>
      </c>
      <c r="J587" s="471" t="s">
        <v>913</v>
      </c>
      <c r="K587" s="469">
        <v>100</v>
      </c>
      <c r="L587" s="473"/>
      <c r="M587" s="623">
        <v>67</v>
      </c>
      <c r="N587" s="623">
        <v>17</v>
      </c>
      <c r="O587" s="624">
        <v>0.2537313432835821</v>
      </c>
      <c r="P587" s="624">
        <v>0.2537313432835821</v>
      </c>
      <c r="Q587" s="785">
        <f t="shared" si="9"/>
        <v>0.2537313432835821</v>
      </c>
      <c r="R587" s="468" t="s">
        <v>1718</v>
      </c>
      <c r="S587" s="629"/>
    </row>
    <row r="588" spans="1:19" ht="15" x14ac:dyDescent="0.25">
      <c r="A588" s="621" t="s">
        <v>351</v>
      </c>
      <c r="B588" s="466" t="s">
        <v>111</v>
      </c>
      <c r="C588" s="631" t="s">
        <v>870</v>
      </c>
      <c r="D588" s="467" t="s">
        <v>869</v>
      </c>
      <c r="E588" s="474"/>
      <c r="F588" s="469" t="s">
        <v>112</v>
      </c>
      <c r="G588" s="470" t="s">
        <v>931</v>
      </c>
      <c r="H588" s="622" t="s">
        <v>932</v>
      </c>
      <c r="I588" s="633" t="s">
        <v>116</v>
      </c>
      <c r="J588" s="471" t="s">
        <v>913</v>
      </c>
      <c r="K588" s="469">
        <v>100</v>
      </c>
      <c r="L588" s="473"/>
      <c r="M588" s="623">
        <v>46</v>
      </c>
      <c r="N588" s="623">
        <v>18</v>
      </c>
      <c r="O588" s="624">
        <v>0.39130434782608697</v>
      </c>
      <c r="P588" s="624">
        <v>0.39130434782608697</v>
      </c>
      <c r="Q588" s="785">
        <f t="shared" si="9"/>
        <v>0.39130434782608697</v>
      </c>
      <c r="R588" s="468" t="s">
        <v>1718</v>
      </c>
      <c r="S588" s="629"/>
    </row>
    <row r="589" spans="1:19" ht="15" x14ac:dyDescent="0.25">
      <c r="A589" s="621" t="s">
        <v>351</v>
      </c>
      <c r="B589" s="466" t="s">
        <v>111</v>
      </c>
      <c r="C589" s="631" t="s">
        <v>738</v>
      </c>
      <c r="D589" s="467" t="s">
        <v>889</v>
      </c>
      <c r="E589" s="474"/>
      <c r="F589" s="469" t="s">
        <v>112</v>
      </c>
      <c r="G589" s="470" t="s">
        <v>931</v>
      </c>
      <c r="H589" s="622" t="s">
        <v>932</v>
      </c>
      <c r="I589" s="633" t="s">
        <v>116</v>
      </c>
      <c r="J589" s="471" t="s">
        <v>913</v>
      </c>
      <c r="K589" s="469">
        <v>100</v>
      </c>
      <c r="L589" s="473"/>
      <c r="M589" s="623">
        <v>156</v>
      </c>
      <c r="N589" s="623">
        <v>7</v>
      </c>
      <c r="O589" s="624">
        <v>4.4871794871794872E-2</v>
      </c>
      <c r="P589" s="624">
        <v>4.4871794871794872E-2</v>
      </c>
      <c r="Q589" s="785">
        <f t="shared" si="9"/>
        <v>4.4871794871794872E-2</v>
      </c>
      <c r="R589" s="468" t="s">
        <v>1718</v>
      </c>
      <c r="S589" s="629"/>
    </row>
    <row r="590" spans="1:19" ht="15" x14ac:dyDescent="0.25">
      <c r="A590" s="621" t="s">
        <v>351</v>
      </c>
      <c r="B590" s="466" t="s">
        <v>111</v>
      </c>
      <c r="C590" s="631" t="s">
        <v>738</v>
      </c>
      <c r="D590" s="467" t="s">
        <v>881</v>
      </c>
      <c r="E590" s="474" t="s">
        <v>1721</v>
      </c>
      <c r="F590" s="469" t="s">
        <v>112</v>
      </c>
      <c r="G590" s="470" t="s">
        <v>931</v>
      </c>
      <c r="H590" s="622" t="s">
        <v>932</v>
      </c>
      <c r="I590" s="633" t="s">
        <v>116</v>
      </c>
      <c r="J590" s="471" t="s">
        <v>913</v>
      </c>
      <c r="K590" s="469">
        <v>100</v>
      </c>
      <c r="L590" s="473"/>
      <c r="M590" s="623">
        <v>54</v>
      </c>
      <c r="N590" s="623">
        <v>6</v>
      </c>
      <c r="O590" s="624">
        <v>0.1111111111111111</v>
      </c>
      <c r="P590" s="624">
        <v>0.1111111111111111</v>
      </c>
      <c r="Q590" s="785">
        <f t="shared" si="9"/>
        <v>0.1111111111111111</v>
      </c>
      <c r="R590" s="468" t="s">
        <v>1718</v>
      </c>
      <c r="S590" s="629"/>
    </row>
    <row r="591" spans="1:19" ht="15" x14ac:dyDescent="0.25">
      <c r="A591" s="621" t="s">
        <v>351</v>
      </c>
      <c r="B591" s="466" t="s">
        <v>111</v>
      </c>
      <c r="C591" s="631" t="s">
        <v>738</v>
      </c>
      <c r="D591" s="467" t="s">
        <v>883</v>
      </c>
      <c r="E591" s="474" t="s">
        <v>1721</v>
      </c>
      <c r="F591" s="469" t="s">
        <v>112</v>
      </c>
      <c r="G591" s="470" t="s">
        <v>931</v>
      </c>
      <c r="H591" s="622" t="s">
        <v>932</v>
      </c>
      <c r="I591" s="633" t="s">
        <v>116</v>
      </c>
      <c r="J591" s="471" t="s">
        <v>913</v>
      </c>
      <c r="K591" s="469">
        <v>100</v>
      </c>
      <c r="L591" s="473"/>
      <c r="M591" s="623">
        <v>0</v>
      </c>
      <c r="N591" s="623">
        <v>0</v>
      </c>
      <c r="O591" s="624">
        <v>0</v>
      </c>
      <c r="P591" s="624">
        <v>0</v>
      </c>
      <c r="Q591" s="785" t="e">
        <f t="shared" si="9"/>
        <v>#DIV/0!</v>
      </c>
      <c r="R591" s="468" t="s">
        <v>1719</v>
      </c>
      <c r="S591" s="629"/>
    </row>
    <row r="592" spans="1:19" ht="15" x14ac:dyDescent="0.25">
      <c r="A592" s="621" t="s">
        <v>351</v>
      </c>
      <c r="B592" s="466" t="s">
        <v>111</v>
      </c>
      <c r="C592" s="631" t="s">
        <v>738</v>
      </c>
      <c r="D592" s="467" t="s">
        <v>866</v>
      </c>
      <c r="E592" s="474" t="s">
        <v>1722</v>
      </c>
      <c r="F592" s="469" t="s">
        <v>112</v>
      </c>
      <c r="G592" s="470" t="s">
        <v>931</v>
      </c>
      <c r="H592" s="622" t="s">
        <v>932</v>
      </c>
      <c r="I592" s="633" t="s">
        <v>116</v>
      </c>
      <c r="J592" s="471" t="s">
        <v>913</v>
      </c>
      <c r="K592" s="469">
        <v>100</v>
      </c>
      <c r="L592" s="473"/>
      <c r="M592" s="623">
        <v>0</v>
      </c>
      <c r="N592" s="623">
        <v>1</v>
      </c>
      <c r="O592" s="624">
        <v>0</v>
      </c>
      <c r="P592" s="624">
        <v>0</v>
      </c>
      <c r="Q592" s="785" t="e">
        <f t="shared" si="9"/>
        <v>#DIV/0!</v>
      </c>
      <c r="R592" s="468" t="s">
        <v>1719</v>
      </c>
      <c r="S592" s="629"/>
    </row>
    <row r="593" spans="1:19" ht="15" x14ac:dyDescent="0.25">
      <c r="A593" s="621" t="s">
        <v>351</v>
      </c>
      <c r="B593" s="466" t="s">
        <v>111</v>
      </c>
      <c r="C593" s="631" t="s">
        <v>738</v>
      </c>
      <c r="D593" s="467" t="s">
        <v>869</v>
      </c>
      <c r="E593" s="474" t="s">
        <v>1722</v>
      </c>
      <c r="F593" s="469" t="s">
        <v>112</v>
      </c>
      <c r="G593" s="470" t="s">
        <v>931</v>
      </c>
      <c r="H593" s="622" t="s">
        <v>932</v>
      </c>
      <c r="I593" s="633" t="s">
        <v>116</v>
      </c>
      <c r="J593" s="471" t="s">
        <v>913</v>
      </c>
      <c r="K593" s="469">
        <v>100</v>
      </c>
      <c r="L593" s="473"/>
      <c r="M593" s="623">
        <v>7</v>
      </c>
      <c r="N593" s="623">
        <v>2</v>
      </c>
      <c r="O593" s="624">
        <v>0.2857142857142857</v>
      </c>
      <c r="P593" s="624">
        <v>0.2857142857142857</v>
      </c>
      <c r="Q593" s="785">
        <f t="shared" si="9"/>
        <v>0.2857142857142857</v>
      </c>
      <c r="R593" s="468" t="s">
        <v>1718</v>
      </c>
      <c r="S593" s="629"/>
    </row>
    <row r="594" spans="1:19" ht="15" x14ac:dyDescent="0.25">
      <c r="A594" s="621" t="s">
        <v>351</v>
      </c>
      <c r="B594" s="466" t="s">
        <v>111</v>
      </c>
      <c r="C594" s="631" t="s">
        <v>101</v>
      </c>
      <c r="D594" s="467" t="s">
        <v>889</v>
      </c>
      <c r="E594" s="474"/>
      <c r="F594" s="469" t="s">
        <v>112</v>
      </c>
      <c r="G594" s="470" t="s">
        <v>931</v>
      </c>
      <c r="H594" s="622" t="s">
        <v>932</v>
      </c>
      <c r="I594" s="633" t="s">
        <v>116</v>
      </c>
      <c r="J594" s="471" t="s">
        <v>913</v>
      </c>
      <c r="K594" s="469">
        <v>100</v>
      </c>
      <c r="L594" s="473"/>
      <c r="M594" s="623">
        <v>112</v>
      </c>
      <c r="N594" s="623">
        <v>19</v>
      </c>
      <c r="O594" s="624">
        <v>0.16964285714285715</v>
      </c>
      <c r="P594" s="624">
        <v>0.16964285714285715</v>
      </c>
      <c r="Q594" s="785">
        <f t="shared" si="9"/>
        <v>0.16964285714285715</v>
      </c>
      <c r="R594" s="468" t="s">
        <v>1718</v>
      </c>
      <c r="S594" s="629"/>
    </row>
    <row r="595" spans="1:19" ht="15" x14ac:dyDescent="0.25">
      <c r="A595" s="621" t="s">
        <v>351</v>
      </c>
      <c r="B595" s="466" t="s">
        <v>111</v>
      </c>
      <c r="C595" s="631" t="s">
        <v>101</v>
      </c>
      <c r="D595" s="467" t="s">
        <v>881</v>
      </c>
      <c r="E595" s="474"/>
      <c r="F595" s="469" t="s">
        <v>112</v>
      </c>
      <c r="G595" s="470" t="s">
        <v>931</v>
      </c>
      <c r="H595" s="622" t="s">
        <v>932</v>
      </c>
      <c r="I595" s="633" t="s">
        <v>116</v>
      </c>
      <c r="J595" s="471" t="s">
        <v>913</v>
      </c>
      <c r="K595" s="469">
        <v>100</v>
      </c>
      <c r="L595" s="473"/>
      <c r="M595" s="623">
        <v>9</v>
      </c>
      <c r="N595" s="623">
        <v>2</v>
      </c>
      <c r="O595" s="624">
        <v>0.22222222222222221</v>
      </c>
      <c r="P595" s="624">
        <v>0.22222222222222221</v>
      </c>
      <c r="Q595" s="785">
        <f t="shared" si="9"/>
        <v>0.22222222222222221</v>
      </c>
      <c r="R595" s="468" t="s">
        <v>1718</v>
      </c>
      <c r="S595" s="629"/>
    </row>
    <row r="596" spans="1:19" ht="15" x14ac:dyDescent="0.25">
      <c r="A596" s="621" t="s">
        <v>351</v>
      </c>
      <c r="B596" s="466" t="s">
        <v>111</v>
      </c>
      <c r="C596" s="631" t="s">
        <v>101</v>
      </c>
      <c r="D596" s="467" t="s">
        <v>883</v>
      </c>
      <c r="E596" s="474" t="s">
        <v>1723</v>
      </c>
      <c r="F596" s="469" t="s">
        <v>112</v>
      </c>
      <c r="G596" s="470" t="s">
        <v>931</v>
      </c>
      <c r="H596" s="622" t="s">
        <v>932</v>
      </c>
      <c r="I596" s="633" t="s">
        <v>116</v>
      </c>
      <c r="J596" s="471" t="s">
        <v>913</v>
      </c>
      <c r="K596" s="469">
        <v>100</v>
      </c>
      <c r="L596" s="473"/>
      <c r="M596" s="623">
        <v>0</v>
      </c>
      <c r="N596" s="623">
        <v>0</v>
      </c>
      <c r="O596" s="624">
        <v>0</v>
      </c>
      <c r="P596" s="624">
        <v>0</v>
      </c>
      <c r="Q596" s="785" t="e">
        <f t="shared" si="9"/>
        <v>#DIV/0!</v>
      </c>
      <c r="R596" s="468" t="s">
        <v>1719</v>
      </c>
      <c r="S596" s="629"/>
    </row>
    <row r="597" spans="1:19" ht="15" x14ac:dyDescent="0.25">
      <c r="A597" s="621" t="s">
        <v>351</v>
      </c>
      <c r="B597" s="466" t="s">
        <v>111</v>
      </c>
      <c r="C597" s="631" t="s">
        <v>101</v>
      </c>
      <c r="D597" s="467" t="s">
        <v>866</v>
      </c>
      <c r="E597" s="474" t="s">
        <v>1723</v>
      </c>
      <c r="F597" s="469" t="s">
        <v>112</v>
      </c>
      <c r="G597" s="470" t="s">
        <v>931</v>
      </c>
      <c r="H597" s="622" t="s">
        <v>932</v>
      </c>
      <c r="I597" s="633" t="s">
        <v>116</v>
      </c>
      <c r="J597" s="471" t="s">
        <v>913</v>
      </c>
      <c r="K597" s="469">
        <v>100</v>
      </c>
      <c r="L597" s="473"/>
      <c r="M597" s="623">
        <v>13</v>
      </c>
      <c r="N597" s="623">
        <v>2</v>
      </c>
      <c r="O597" s="624">
        <v>0.15384615384615385</v>
      </c>
      <c r="P597" s="624">
        <v>0.15384615384615385</v>
      </c>
      <c r="Q597" s="785">
        <f t="shared" si="9"/>
        <v>0.15384615384615385</v>
      </c>
      <c r="R597" s="468" t="s">
        <v>1718</v>
      </c>
      <c r="S597" s="629"/>
    </row>
    <row r="598" spans="1:19" ht="15" x14ac:dyDescent="0.25">
      <c r="A598" s="621" t="s">
        <v>351</v>
      </c>
      <c r="B598" s="466" t="s">
        <v>111</v>
      </c>
      <c r="C598" s="631" t="s">
        <v>101</v>
      </c>
      <c r="D598" s="467" t="s">
        <v>869</v>
      </c>
      <c r="E598" s="474" t="s">
        <v>1723</v>
      </c>
      <c r="F598" s="469" t="s">
        <v>112</v>
      </c>
      <c r="G598" s="470" t="s">
        <v>931</v>
      </c>
      <c r="H598" s="622" t="s">
        <v>932</v>
      </c>
      <c r="I598" s="633" t="s">
        <v>116</v>
      </c>
      <c r="J598" s="471" t="s">
        <v>913</v>
      </c>
      <c r="K598" s="469">
        <v>100</v>
      </c>
      <c r="L598" s="473"/>
      <c r="M598" s="623">
        <v>0</v>
      </c>
      <c r="N598" s="623">
        <v>0</v>
      </c>
      <c r="O598" s="624">
        <v>0</v>
      </c>
      <c r="P598" s="624">
        <v>0</v>
      </c>
      <c r="Q598" s="785" t="e">
        <f t="shared" si="9"/>
        <v>#DIV/0!</v>
      </c>
      <c r="R598" s="468" t="s">
        <v>1719</v>
      </c>
      <c r="S598" s="629"/>
    </row>
    <row r="599" spans="1:19" ht="15" x14ac:dyDescent="0.25">
      <c r="A599" s="621" t="s">
        <v>351</v>
      </c>
      <c r="B599" s="466" t="s">
        <v>111</v>
      </c>
      <c r="C599" s="631" t="s">
        <v>885</v>
      </c>
      <c r="D599" s="467" t="s">
        <v>889</v>
      </c>
      <c r="E599" s="474"/>
      <c r="F599" s="469" t="s">
        <v>112</v>
      </c>
      <c r="G599" s="470" t="s">
        <v>931</v>
      </c>
      <c r="H599" s="622" t="s">
        <v>932</v>
      </c>
      <c r="I599" s="633" t="s">
        <v>116</v>
      </c>
      <c r="J599" s="471" t="s">
        <v>913</v>
      </c>
      <c r="K599" s="469">
        <v>100</v>
      </c>
      <c r="L599" s="473"/>
      <c r="M599" s="623">
        <v>0</v>
      </c>
      <c r="N599" s="623">
        <v>0</v>
      </c>
      <c r="O599" s="624">
        <v>0</v>
      </c>
      <c r="P599" s="624">
        <v>0</v>
      </c>
      <c r="Q599" s="785" t="e">
        <f t="shared" si="9"/>
        <v>#DIV/0!</v>
      </c>
      <c r="R599" s="468" t="s">
        <v>1719</v>
      </c>
      <c r="S599" s="629"/>
    </row>
    <row r="600" spans="1:19" ht="15" x14ac:dyDescent="0.25">
      <c r="A600" s="621" t="s">
        <v>351</v>
      </c>
      <c r="B600" s="466" t="s">
        <v>111</v>
      </c>
      <c r="C600" s="631" t="s">
        <v>885</v>
      </c>
      <c r="D600" s="467" t="s">
        <v>881</v>
      </c>
      <c r="E600" s="474"/>
      <c r="F600" s="469" t="s">
        <v>112</v>
      </c>
      <c r="G600" s="470" t="s">
        <v>931</v>
      </c>
      <c r="H600" s="622" t="s">
        <v>932</v>
      </c>
      <c r="I600" s="633" t="s">
        <v>116</v>
      </c>
      <c r="J600" s="471" t="s">
        <v>913</v>
      </c>
      <c r="K600" s="469">
        <v>100</v>
      </c>
      <c r="L600" s="473"/>
      <c r="M600" s="623">
        <v>5</v>
      </c>
      <c r="N600" s="623">
        <v>0</v>
      </c>
      <c r="O600" s="624">
        <v>0</v>
      </c>
      <c r="P600" s="624">
        <v>0</v>
      </c>
      <c r="Q600" s="785">
        <f t="shared" si="9"/>
        <v>0</v>
      </c>
      <c r="R600" s="468" t="s">
        <v>1719</v>
      </c>
      <c r="S600" s="629"/>
    </row>
    <row r="601" spans="1:19" ht="15" x14ac:dyDescent="0.25">
      <c r="A601" s="621" t="s">
        <v>351</v>
      </c>
      <c r="B601" s="466" t="s">
        <v>111</v>
      </c>
      <c r="C601" s="631" t="s">
        <v>885</v>
      </c>
      <c r="D601" s="467" t="s">
        <v>883</v>
      </c>
      <c r="E601" s="474" t="s">
        <v>1724</v>
      </c>
      <c r="F601" s="469" t="s">
        <v>112</v>
      </c>
      <c r="G601" s="470" t="s">
        <v>931</v>
      </c>
      <c r="H601" s="622" t="s">
        <v>932</v>
      </c>
      <c r="I601" s="633" t="s">
        <v>116</v>
      </c>
      <c r="J601" s="471" t="s">
        <v>913</v>
      </c>
      <c r="K601" s="469">
        <v>100</v>
      </c>
      <c r="L601" s="473"/>
      <c r="M601" s="623">
        <v>5</v>
      </c>
      <c r="N601" s="623">
        <v>0</v>
      </c>
      <c r="O601" s="624">
        <v>0</v>
      </c>
      <c r="P601" s="624">
        <v>0</v>
      </c>
      <c r="Q601" s="785">
        <f t="shared" si="9"/>
        <v>0</v>
      </c>
      <c r="R601" s="468" t="s">
        <v>1719</v>
      </c>
      <c r="S601" s="629"/>
    </row>
    <row r="602" spans="1:19" ht="15" x14ac:dyDescent="0.25">
      <c r="A602" s="621" t="s">
        <v>351</v>
      </c>
      <c r="B602" s="466" t="s">
        <v>111</v>
      </c>
      <c r="C602" s="631" t="s">
        <v>885</v>
      </c>
      <c r="D602" s="467" t="s">
        <v>866</v>
      </c>
      <c r="E602" s="474" t="s">
        <v>1724</v>
      </c>
      <c r="F602" s="469" t="s">
        <v>112</v>
      </c>
      <c r="G602" s="470" t="s">
        <v>931</v>
      </c>
      <c r="H602" s="622" t="s">
        <v>932</v>
      </c>
      <c r="I602" s="633" t="s">
        <v>116</v>
      </c>
      <c r="J602" s="471" t="s">
        <v>913</v>
      </c>
      <c r="K602" s="469">
        <v>100</v>
      </c>
      <c r="L602" s="473"/>
      <c r="M602" s="623">
        <v>0</v>
      </c>
      <c r="N602" s="623">
        <v>0</v>
      </c>
      <c r="O602" s="624">
        <v>0</v>
      </c>
      <c r="P602" s="624">
        <v>0</v>
      </c>
      <c r="Q602" s="785" t="e">
        <f t="shared" si="9"/>
        <v>#DIV/0!</v>
      </c>
      <c r="R602" s="468" t="s">
        <v>1719</v>
      </c>
      <c r="S602" s="629"/>
    </row>
    <row r="603" spans="1:19" ht="15" x14ac:dyDescent="0.25">
      <c r="A603" s="621" t="s">
        <v>351</v>
      </c>
      <c r="B603" s="466" t="s">
        <v>111</v>
      </c>
      <c r="C603" s="631" t="s">
        <v>885</v>
      </c>
      <c r="D603" s="467" t="s">
        <v>869</v>
      </c>
      <c r="E603" s="474"/>
      <c r="F603" s="469" t="s">
        <v>112</v>
      </c>
      <c r="G603" s="470" t="s">
        <v>931</v>
      </c>
      <c r="H603" s="622" t="s">
        <v>932</v>
      </c>
      <c r="I603" s="633" t="s">
        <v>116</v>
      </c>
      <c r="J603" s="471" t="s">
        <v>913</v>
      </c>
      <c r="K603" s="469">
        <v>100</v>
      </c>
      <c r="L603" s="473"/>
      <c r="M603" s="623">
        <v>12</v>
      </c>
      <c r="N603" s="623">
        <v>5</v>
      </c>
      <c r="O603" s="624">
        <v>0.41666666666666669</v>
      </c>
      <c r="P603" s="624">
        <v>0.41666666666666669</v>
      </c>
      <c r="Q603" s="785">
        <f t="shared" si="9"/>
        <v>0.41666666666666669</v>
      </c>
      <c r="R603" s="468" t="s">
        <v>1718</v>
      </c>
      <c r="S603" s="629"/>
    </row>
    <row r="604" spans="1:19" ht="15" x14ac:dyDescent="0.25">
      <c r="A604" s="621" t="s">
        <v>351</v>
      </c>
      <c r="B604" s="466" t="s">
        <v>111</v>
      </c>
      <c r="C604" s="631" t="s">
        <v>885</v>
      </c>
      <c r="D604" s="467" t="s">
        <v>887</v>
      </c>
      <c r="E604" s="474"/>
      <c r="F604" s="469" t="s">
        <v>112</v>
      </c>
      <c r="G604" s="470" t="s">
        <v>931</v>
      </c>
      <c r="H604" s="622" t="s">
        <v>932</v>
      </c>
      <c r="I604" s="633" t="s">
        <v>116</v>
      </c>
      <c r="J604" s="471" t="s">
        <v>913</v>
      </c>
      <c r="K604" s="469">
        <v>100</v>
      </c>
      <c r="L604" s="473"/>
      <c r="M604" s="623">
        <v>20</v>
      </c>
      <c r="N604" s="623">
        <v>8</v>
      </c>
      <c r="O604" s="624">
        <v>0.4</v>
      </c>
      <c r="P604" s="624">
        <v>0.4</v>
      </c>
      <c r="Q604" s="785">
        <f t="shared" si="9"/>
        <v>0.4</v>
      </c>
      <c r="R604" s="468" t="s">
        <v>1718</v>
      </c>
      <c r="S604" s="629"/>
    </row>
    <row r="605" spans="1:19" ht="15" x14ac:dyDescent="0.25">
      <c r="A605" s="621" t="s">
        <v>351</v>
      </c>
      <c r="B605" s="466" t="s">
        <v>111</v>
      </c>
      <c r="C605" s="631" t="s">
        <v>904</v>
      </c>
      <c r="D605" s="467" t="s">
        <v>881</v>
      </c>
      <c r="E605" s="474" t="s">
        <v>1718</v>
      </c>
      <c r="F605" s="469" t="s">
        <v>112</v>
      </c>
      <c r="G605" s="470" t="s">
        <v>931</v>
      </c>
      <c r="H605" s="622" t="s">
        <v>932</v>
      </c>
      <c r="I605" s="633" t="s">
        <v>116</v>
      </c>
      <c r="J605" s="471" t="s">
        <v>913</v>
      </c>
      <c r="K605" s="469">
        <v>100</v>
      </c>
      <c r="L605" s="473"/>
      <c r="M605" s="623">
        <v>0</v>
      </c>
      <c r="N605" s="623">
        <v>0</v>
      </c>
      <c r="O605" s="624">
        <v>0</v>
      </c>
      <c r="P605" s="624">
        <v>0</v>
      </c>
      <c r="Q605" s="785" t="e">
        <f t="shared" si="9"/>
        <v>#DIV/0!</v>
      </c>
      <c r="R605" s="468" t="s">
        <v>1719</v>
      </c>
      <c r="S605" s="629"/>
    </row>
    <row r="606" spans="1:19" ht="15" x14ac:dyDescent="0.25">
      <c r="A606" s="621" t="s">
        <v>351</v>
      </c>
      <c r="B606" s="466" t="s">
        <v>111</v>
      </c>
      <c r="C606" s="631" t="s">
        <v>904</v>
      </c>
      <c r="D606" s="467" t="s">
        <v>883</v>
      </c>
      <c r="E606" s="474" t="s">
        <v>1725</v>
      </c>
      <c r="F606" s="469" t="s">
        <v>112</v>
      </c>
      <c r="G606" s="470" t="s">
        <v>931</v>
      </c>
      <c r="H606" s="622" t="s">
        <v>932</v>
      </c>
      <c r="I606" s="633" t="s">
        <v>116</v>
      </c>
      <c r="J606" s="471" t="s">
        <v>913</v>
      </c>
      <c r="K606" s="469">
        <v>100</v>
      </c>
      <c r="L606" s="473"/>
      <c r="M606" s="623">
        <v>1</v>
      </c>
      <c r="N606" s="623">
        <v>1</v>
      </c>
      <c r="O606" s="624">
        <v>1</v>
      </c>
      <c r="P606" s="624">
        <v>1</v>
      </c>
      <c r="Q606" s="785">
        <f t="shared" si="9"/>
        <v>1</v>
      </c>
      <c r="R606" s="468" t="s">
        <v>1718</v>
      </c>
      <c r="S606" s="629"/>
    </row>
    <row r="607" spans="1:19" ht="15" x14ac:dyDescent="0.25">
      <c r="A607" s="621" t="s">
        <v>351</v>
      </c>
      <c r="B607" s="466" t="s">
        <v>111</v>
      </c>
      <c r="C607" s="631" t="s">
        <v>740</v>
      </c>
      <c r="D607" s="467" t="s">
        <v>889</v>
      </c>
      <c r="E607" s="474"/>
      <c r="F607" s="469" t="s">
        <v>112</v>
      </c>
      <c r="G607" s="470" t="s">
        <v>931</v>
      </c>
      <c r="H607" s="622" t="s">
        <v>932</v>
      </c>
      <c r="I607" s="633" t="s">
        <v>116</v>
      </c>
      <c r="J607" s="471" t="s">
        <v>913</v>
      </c>
      <c r="K607" s="469">
        <v>100</v>
      </c>
      <c r="L607" s="473"/>
      <c r="M607" s="623">
        <v>37</v>
      </c>
      <c r="N607" s="623">
        <v>3</v>
      </c>
      <c r="O607" s="624">
        <v>8.1081081081081086E-2</v>
      </c>
      <c r="P607" s="624">
        <v>8.1081081081081086E-2</v>
      </c>
      <c r="Q607" s="785">
        <f t="shared" si="9"/>
        <v>8.1081081081081086E-2</v>
      </c>
      <c r="R607" s="468" t="s">
        <v>1718</v>
      </c>
      <c r="S607" s="629"/>
    </row>
    <row r="608" spans="1:19" ht="15" x14ac:dyDescent="0.25">
      <c r="A608" s="621" t="s">
        <v>351</v>
      </c>
      <c r="B608" s="466" t="s">
        <v>111</v>
      </c>
      <c r="C608" s="631" t="s">
        <v>740</v>
      </c>
      <c r="D608" s="467" t="s">
        <v>881</v>
      </c>
      <c r="E608" s="474" t="s">
        <v>1726</v>
      </c>
      <c r="F608" s="469" t="s">
        <v>112</v>
      </c>
      <c r="G608" s="470" t="s">
        <v>931</v>
      </c>
      <c r="H608" s="622" t="s">
        <v>932</v>
      </c>
      <c r="I608" s="633" t="s">
        <v>116</v>
      </c>
      <c r="J608" s="471" t="s">
        <v>913</v>
      </c>
      <c r="K608" s="469">
        <v>100</v>
      </c>
      <c r="L608" s="473"/>
      <c r="M608" s="623">
        <v>4</v>
      </c>
      <c r="N608" s="623">
        <v>0</v>
      </c>
      <c r="O608" s="624">
        <v>0</v>
      </c>
      <c r="P608" s="624">
        <v>0</v>
      </c>
      <c r="Q608" s="785">
        <f t="shared" si="9"/>
        <v>0</v>
      </c>
      <c r="R608" s="468" t="s">
        <v>1719</v>
      </c>
      <c r="S608" s="629"/>
    </row>
    <row r="609" spans="1:19" ht="15" x14ac:dyDescent="0.25">
      <c r="A609" s="621" t="s">
        <v>351</v>
      </c>
      <c r="B609" s="466" t="s">
        <v>111</v>
      </c>
      <c r="C609" s="631" t="s">
        <v>740</v>
      </c>
      <c r="D609" s="467" t="s">
        <v>883</v>
      </c>
      <c r="E609" s="474" t="s">
        <v>1726</v>
      </c>
      <c r="F609" s="469" t="s">
        <v>112</v>
      </c>
      <c r="G609" s="470" t="s">
        <v>931</v>
      </c>
      <c r="H609" s="622" t="s">
        <v>932</v>
      </c>
      <c r="I609" s="633" t="s">
        <v>116</v>
      </c>
      <c r="J609" s="471" t="s">
        <v>913</v>
      </c>
      <c r="K609" s="469">
        <v>100</v>
      </c>
      <c r="L609" s="473"/>
      <c r="M609" s="623">
        <v>0</v>
      </c>
      <c r="N609" s="623">
        <v>0</v>
      </c>
      <c r="O609" s="624">
        <v>0</v>
      </c>
      <c r="P609" s="624">
        <v>0</v>
      </c>
      <c r="Q609" s="785" t="e">
        <f t="shared" si="9"/>
        <v>#DIV/0!</v>
      </c>
      <c r="R609" s="468" t="s">
        <v>1719</v>
      </c>
      <c r="S609" s="629"/>
    </row>
    <row r="610" spans="1:19" ht="15" x14ac:dyDescent="0.25">
      <c r="A610" s="621" t="s">
        <v>351</v>
      </c>
      <c r="B610" s="466" t="s">
        <v>111</v>
      </c>
      <c r="C610" s="631" t="s">
        <v>894</v>
      </c>
      <c r="D610" s="467" t="s">
        <v>889</v>
      </c>
      <c r="E610" s="474"/>
      <c r="F610" s="469" t="s">
        <v>112</v>
      </c>
      <c r="G610" s="470" t="s">
        <v>931</v>
      </c>
      <c r="H610" s="622" t="s">
        <v>932</v>
      </c>
      <c r="I610" s="633" t="s">
        <v>116</v>
      </c>
      <c r="J610" s="471" t="s">
        <v>913</v>
      </c>
      <c r="K610" s="469">
        <v>100</v>
      </c>
      <c r="L610" s="473"/>
      <c r="M610" s="623">
        <v>543</v>
      </c>
      <c r="N610" s="623">
        <v>32</v>
      </c>
      <c r="O610" s="624">
        <v>5.8931860036832415E-2</v>
      </c>
      <c r="P610" s="624">
        <v>5.8931860036832415E-2</v>
      </c>
      <c r="Q610" s="785">
        <f t="shared" si="9"/>
        <v>5.8931860036832415E-2</v>
      </c>
      <c r="R610" s="468" t="s">
        <v>1718</v>
      </c>
      <c r="S610" s="629"/>
    </row>
    <row r="611" spans="1:19" ht="15" x14ac:dyDescent="0.25">
      <c r="A611" s="621" t="s">
        <v>351</v>
      </c>
      <c r="B611" s="466" t="s">
        <v>111</v>
      </c>
      <c r="C611" s="631" t="s">
        <v>894</v>
      </c>
      <c r="D611" s="467" t="s">
        <v>881</v>
      </c>
      <c r="E611" s="474"/>
      <c r="F611" s="469" t="s">
        <v>112</v>
      </c>
      <c r="G611" s="470" t="s">
        <v>931</v>
      </c>
      <c r="H611" s="622" t="s">
        <v>932</v>
      </c>
      <c r="I611" s="633" t="s">
        <v>116</v>
      </c>
      <c r="J611" s="471" t="s">
        <v>913</v>
      </c>
      <c r="K611" s="469">
        <v>100</v>
      </c>
      <c r="L611" s="473"/>
      <c r="M611" s="623">
        <v>78</v>
      </c>
      <c r="N611" s="623">
        <v>28</v>
      </c>
      <c r="O611" s="624">
        <v>0.35897435897435898</v>
      </c>
      <c r="P611" s="624">
        <v>0.35897435897435898</v>
      </c>
      <c r="Q611" s="785">
        <f t="shared" si="9"/>
        <v>0.35897435897435898</v>
      </c>
      <c r="R611" s="468" t="s">
        <v>1718</v>
      </c>
      <c r="S611" s="629"/>
    </row>
    <row r="612" spans="1:19" ht="15" x14ac:dyDescent="0.25">
      <c r="A612" s="621" t="s">
        <v>351</v>
      </c>
      <c r="B612" s="466" t="s">
        <v>111</v>
      </c>
      <c r="C612" s="631" t="s">
        <v>894</v>
      </c>
      <c r="D612" s="467" t="s">
        <v>883</v>
      </c>
      <c r="E612" s="474" t="s">
        <v>1727</v>
      </c>
      <c r="F612" s="469" t="s">
        <v>112</v>
      </c>
      <c r="G612" s="470" t="s">
        <v>931</v>
      </c>
      <c r="H612" s="622" t="s">
        <v>932</v>
      </c>
      <c r="I612" s="633" t="s">
        <v>116</v>
      </c>
      <c r="J612" s="471" t="s">
        <v>913</v>
      </c>
      <c r="K612" s="469">
        <v>100</v>
      </c>
      <c r="L612" s="473"/>
      <c r="M612" s="623">
        <v>25</v>
      </c>
      <c r="N612" s="623">
        <v>9</v>
      </c>
      <c r="O612" s="624">
        <v>0.36</v>
      </c>
      <c r="P612" s="624">
        <v>0.36</v>
      </c>
      <c r="Q612" s="785">
        <f t="shared" si="9"/>
        <v>0.36</v>
      </c>
      <c r="R612" s="468" t="s">
        <v>1718</v>
      </c>
      <c r="S612" s="629"/>
    </row>
    <row r="613" spans="1:19" ht="15" x14ac:dyDescent="0.25">
      <c r="A613" s="621" t="s">
        <v>351</v>
      </c>
      <c r="B613" s="466" t="s">
        <v>111</v>
      </c>
      <c r="C613" s="631" t="s">
        <v>894</v>
      </c>
      <c r="D613" s="467" t="s">
        <v>869</v>
      </c>
      <c r="E613" s="474" t="s">
        <v>1727</v>
      </c>
      <c r="F613" s="469" t="s">
        <v>112</v>
      </c>
      <c r="G613" s="470" t="s">
        <v>931</v>
      </c>
      <c r="H613" s="622" t="s">
        <v>932</v>
      </c>
      <c r="I613" s="633" t="s">
        <v>116</v>
      </c>
      <c r="J613" s="471" t="s">
        <v>913</v>
      </c>
      <c r="K613" s="469">
        <v>100</v>
      </c>
      <c r="L613" s="473"/>
      <c r="M613" s="623">
        <v>0</v>
      </c>
      <c r="N613" s="623">
        <v>0</v>
      </c>
      <c r="O613" s="624">
        <v>0</v>
      </c>
      <c r="P613" s="624">
        <v>0</v>
      </c>
      <c r="Q613" s="785" t="e">
        <f t="shared" si="9"/>
        <v>#DIV/0!</v>
      </c>
      <c r="R613" s="468" t="s">
        <v>1719</v>
      </c>
      <c r="S613" s="629"/>
    </row>
    <row r="614" spans="1:19" ht="15" x14ac:dyDescent="0.25">
      <c r="A614" s="621" t="s">
        <v>351</v>
      </c>
      <c r="B614" s="466" t="s">
        <v>111</v>
      </c>
      <c r="C614" s="631" t="s">
        <v>99</v>
      </c>
      <c r="D614" s="467" t="s">
        <v>866</v>
      </c>
      <c r="E614" s="474" t="s">
        <v>1720</v>
      </c>
      <c r="F614" s="469" t="s">
        <v>117</v>
      </c>
      <c r="G614" s="470" t="s">
        <v>933</v>
      </c>
      <c r="H614" s="622" t="s">
        <v>916</v>
      </c>
      <c r="I614" s="633" t="s">
        <v>116</v>
      </c>
      <c r="J614" s="471" t="s">
        <v>913</v>
      </c>
      <c r="K614" s="469">
        <v>33</v>
      </c>
      <c r="L614" s="473"/>
      <c r="M614" s="623">
        <v>0</v>
      </c>
      <c r="N614" s="623">
        <v>0</v>
      </c>
      <c r="O614" s="624">
        <v>0</v>
      </c>
      <c r="P614" s="624">
        <v>0</v>
      </c>
      <c r="Q614" s="785" t="e">
        <f t="shared" si="9"/>
        <v>#DIV/0!</v>
      </c>
      <c r="R614" s="468" t="s">
        <v>1719</v>
      </c>
      <c r="S614" s="629"/>
    </row>
    <row r="615" spans="1:19" ht="15" x14ac:dyDescent="0.25">
      <c r="A615" s="621" t="s">
        <v>351</v>
      </c>
      <c r="B615" s="466" t="s">
        <v>111</v>
      </c>
      <c r="C615" s="631" t="s">
        <v>99</v>
      </c>
      <c r="D615" s="467" t="s">
        <v>869</v>
      </c>
      <c r="E615" s="474" t="s">
        <v>1720</v>
      </c>
      <c r="F615" s="469" t="s">
        <v>117</v>
      </c>
      <c r="G615" s="470" t="s">
        <v>933</v>
      </c>
      <c r="H615" s="622" t="s">
        <v>916</v>
      </c>
      <c r="I615" s="633" t="s">
        <v>116</v>
      </c>
      <c r="J615" s="471" t="s">
        <v>913</v>
      </c>
      <c r="K615" s="469">
        <v>33</v>
      </c>
      <c r="L615" s="473"/>
      <c r="M615" s="623">
        <v>14</v>
      </c>
      <c r="N615" s="623">
        <v>2</v>
      </c>
      <c r="O615" s="624">
        <v>0.14285714285714285</v>
      </c>
      <c r="P615" s="624">
        <v>0.14285714285714285</v>
      </c>
      <c r="Q615" s="785">
        <f t="shared" si="9"/>
        <v>0.4329004329004329</v>
      </c>
      <c r="R615" s="468" t="s">
        <v>1718</v>
      </c>
      <c r="S615" s="629"/>
    </row>
    <row r="616" spans="1:19" ht="15" x14ac:dyDescent="0.25">
      <c r="A616" s="621" t="s">
        <v>351</v>
      </c>
      <c r="B616" s="466" t="s">
        <v>111</v>
      </c>
      <c r="C616" s="631" t="s">
        <v>870</v>
      </c>
      <c r="D616" s="467" t="s">
        <v>889</v>
      </c>
      <c r="E616" s="474"/>
      <c r="F616" s="469" t="s">
        <v>117</v>
      </c>
      <c r="G616" s="470" t="s">
        <v>933</v>
      </c>
      <c r="H616" s="622" t="s">
        <v>917</v>
      </c>
      <c r="I616" s="633" t="s">
        <v>116</v>
      </c>
      <c r="J616" s="471" t="s">
        <v>913</v>
      </c>
      <c r="K616" s="469">
        <v>16</v>
      </c>
      <c r="L616" s="473"/>
      <c r="M616" s="623">
        <v>50</v>
      </c>
      <c r="N616" s="623">
        <v>4</v>
      </c>
      <c r="O616" s="624">
        <v>0.08</v>
      </c>
      <c r="P616" s="624">
        <v>0.08</v>
      </c>
      <c r="Q616" s="785">
        <f t="shared" si="9"/>
        <v>0.5</v>
      </c>
      <c r="R616" s="468" t="s">
        <v>1718</v>
      </c>
      <c r="S616" s="629"/>
    </row>
    <row r="617" spans="1:19" ht="15" x14ac:dyDescent="0.25">
      <c r="A617" s="621" t="s">
        <v>351</v>
      </c>
      <c r="B617" s="466" t="s">
        <v>111</v>
      </c>
      <c r="C617" s="631" t="s">
        <v>870</v>
      </c>
      <c r="D617" s="467" t="s">
        <v>881</v>
      </c>
      <c r="E617" s="474"/>
      <c r="F617" s="469" t="s">
        <v>117</v>
      </c>
      <c r="G617" s="470" t="s">
        <v>933</v>
      </c>
      <c r="H617" s="622" t="s">
        <v>916</v>
      </c>
      <c r="I617" s="633" t="s">
        <v>116</v>
      </c>
      <c r="J617" s="471" t="s">
        <v>913</v>
      </c>
      <c r="K617" s="469">
        <v>16</v>
      </c>
      <c r="L617" s="473"/>
      <c r="M617" s="623">
        <v>19</v>
      </c>
      <c r="N617" s="623">
        <v>3</v>
      </c>
      <c r="O617" s="624">
        <v>0.15789473684210525</v>
      </c>
      <c r="P617" s="624">
        <v>0.15789473684210525</v>
      </c>
      <c r="Q617" s="785">
        <f t="shared" si="9"/>
        <v>0.98684210526315785</v>
      </c>
      <c r="R617" s="468" t="s">
        <v>1718</v>
      </c>
      <c r="S617" s="629"/>
    </row>
    <row r="618" spans="1:19" ht="15" x14ac:dyDescent="0.25">
      <c r="A618" s="621" t="s">
        <v>351</v>
      </c>
      <c r="B618" s="466" t="s">
        <v>111</v>
      </c>
      <c r="C618" s="631" t="s">
        <v>870</v>
      </c>
      <c r="D618" s="467" t="s">
        <v>883</v>
      </c>
      <c r="E618" s="474"/>
      <c r="F618" s="469" t="s">
        <v>117</v>
      </c>
      <c r="G618" s="470" t="s">
        <v>933</v>
      </c>
      <c r="H618" s="622" t="s">
        <v>916</v>
      </c>
      <c r="I618" s="633" t="s">
        <v>116</v>
      </c>
      <c r="J618" s="471" t="s">
        <v>913</v>
      </c>
      <c r="K618" s="469">
        <v>6</v>
      </c>
      <c r="L618" s="473"/>
      <c r="M618" s="623">
        <v>39</v>
      </c>
      <c r="N618" s="623">
        <v>9</v>
      </c>
      <c r="O618" s="624">
        <v>0.23076923076923078</v>
      </c>
      <c r="P618" s="624">
        <v>0.23076923076923078</v>
      </c>
      <c r="Q618" s="785">
        <f t="shared" si="9"/>
        <v>3.8461538461538463</v>
      </c>
      <c r="R618" s="468" t="s">
        <v>1718</v>
      </c>
      <c r="S618" s="629"/>
    </row>
    <row r="619" spans="1:19" ht="15" x14ac:dyDescent="0.25">
      <c r="A619" s="621" t="s">
        <v>351</v>
      </c>
      <c r="B619" s="466" t="s">
        <v>111</v>
      </c>
      <c r="C619" s="631" t="s">
        <v>870</v>
      </c>
      <c r="D619" s="467" t="s">
        <v>866</v>
      </c>
      <c r="E619" s="474"/>
      <c r="F619" s="469" t="s">
        <v>117</v>
      </c>
      <c r="G619" s="470" t="s">
        <v>933</v>
      </c>
      <c r="H619" s="622" t="s">
        <v>916</v>
      </c>
      <c r="I619" s="633" t="s">
        <v>116</v>
      </c>
      <c r="J619" s="471" t="s">
        <v>913</v>
      </c>
      <c r="K619" s="469">
        <v>8</v>
      </c>
      <c r="L619" s="473"/>
      <c r="M619" s="623">
        <v>67</v>
      </c>
      <c r="N619" s="623">
        <v>17</v>
      </c>
      <c r="O619" s="624">
        <v>0.2537313432835821</v>
      </c>
      <c r="P619" s="624">
        <v>0.2537313432835821</v>
      </c>
      <c r="Q619" s="785">
        <f t="shared" si="9"/>
        <v>3.1716417910447761</v>
      </c>
      <c r="R619" s="468" t="s">
        <v>1718</v>
      </c>
      <c r="S619" s="629"/>
    </row>
    <row r="620" spans="1:19" ht="15" x14ac:dyDescent="0.25">
      <c r="A620" s="621" t="s">
        <v>351</v>
      </c>
      <c r="B620" s="466" t="s">
        <v>111</v>
      </c>
      <c r="C620" s="631" t="s">
        <v>870</v>
      </c>
      <c r="D620" s="467" t="s">
        <v>869</v>
      </c>
      <c r="E620" s="474"/>
      <c r="F620" s="469" t="s">
        <v>117</v>
      </c>
      <c r="G620" s="470" t="s">
        <v>933</v>
      </c>
      <c r="H620" s="622" t="s">
        <v>916</v>
      </c>
      <c r="I620" s="633" t="s">
        <v>116</v>
      </c>
      <c r="J620" s="471" t="s">
        <v>913</v>
      </c>
      <c r="K620" s="469">
        <v>5</v>
      </c>
      <c r="L620" s="473"/>
      <c r="M620" s="623">
        <v>46</v>
      </c>
      <c r="N620" s="623">
        <v>18</v>
      </c>
      <c r="O620" s="624">
        <v>0.39130434782608697</v>
      </c>
      <c r="P620" s="624">
        <v>0.39130434782608697</v>
      </c>
      <c r="Q620" s="785">
        <f t="shared" si="9"/>
        <v>7.8260869565217401</v>
      </c>
      <c r="R620" s="468" t="s">
        <v>1718</v>
      </c>
      <c r="S620" s="629"/>
    </row>
    <row r="621" spans="1:19" ht="15" x14ac:dyDescent="0.25">
      <c r="A621" s="621" t="s">
        <v>351</v>
      </c>
      <c r="B621" s="466" t="s">
        <v>111</v>
      </c>
      <c r="C621" s="631" t="s">
        <v>738</v>
      </c>
      <c r="D621" s="467" t="s">
        <v>889</v>
      </c>
      <c r="E621" s="474"/>
      <c r="F621" s="469" t="s">
        <v>117</v>
      </c>
      <c r="G621" s="470" t="s">
        <v>933</v>
      </c>
      <c r="H621" s="622" t="s">
        <v>917</v>
      </c>
      <c r="I621" s="633" t="s">
        <v>116</v>
      </c>
      <c r="J621" s="471" t="s">
        <v>913</v>
      </c>
      <c r="K621" s="469">
        <v>29</v>
      </c>
      <c r="L621" s="473"/>
      <c r="M621" s="623">
        <v>156</v>
      </c>
      <c r="N621" s="623">
        <v>7</v>
      </c>
      <c r="O621" s="624">
        <v>4.4871794871794872E-2</v>
      </c>
      <c r="P621" s="624">
        <v>4.4871794871794872E-2</v>
      </c>
      <c r="Q621" s="785">
        <f t="shared" si="9"/>
        <v>0.15473032714412024</v>
      </c>
      <c r="R621" s="468" t="s">
        <v>1718</v>
      </c>
      <c r="S621" s="629"/>
    </row>
    <row r="622" spans="1:19" ht="15" x14ac:dyDescent="0.25">
      <c r="A622" s="621" t="s">
        <v>351</v>
      </c>
      <c r="B622" s="466" t="s">
        <v>111</v>
      </c>
      <c r="C622" s="631" t="s">
        <v>738</v>
      </c>
      <c r="D622" s="467" t="s">
        <v>881</v>
      </c>
      <c r="E622" s="474" t="s">
        <v>1721</v>
      </c>
      <c r="F622" s="469" t="s">
        <v>117</v>
      </c>
      <c r="G622" s="470" t="s">
        <v>933</v>
      </c>
      <c r="H622" s="622" t="s">
        <v>916</v>
      </c>
      <c r="I622" s="633" t="s">
        <v>116</v>
      </c>
      <c r="J622" s="471" t="s">
        <v>913</v>
      </c>
      <c r="K622" s="469">
        <v>8</v>
      </c>
      <c r="L622" s="473"/>
      <c r="M622" s="623">
        <v>54</v>
      </c>
      <c r="N622" s="623">
        <v>6</v>
      </c>
      <c r="O622" s="624">
        <v>0.1111111111111111</v>
      </c>
      <c r="P622" s="624">
        <v>0.1111111111111111</v>
      </c>
      <c r="Q622" s="785">
        <f t="shared" si="9"/>
        <v>1.3888888888888888</v>
      </c>
      <c r="R622" s="468" t="s">
        <v>1718</v>
      </c>
      <c r="S622" s="629"/>
    </row>
    <row r="623" spans="1:19" ht="15" x14ac:dyDescent="0.25">
      <c r="A623" s="621" t="s">
        <v>351</v>
      </c>
      <c r="B623" s="466" t="s">
        <v>111</v>
      </c>
      <c r="C623" s="631" t="s">
        <v>738</v>
      </c>
      <c r="D623" s="467" t="s">
        <v>883</v>
      </c>
      <c r="E623" s="474" t="s">
        <v>1721</v>
      </c>
      <c r="F623" s="469" t="s">
        <v>117</v>
      </c>
      <c r="G623" s="470" t="s">
        <v>933</v>
      </c>
      <c r="H623" s="622" t="s">
        <v>916</v>
      </c>
      <c r="I623" s="633" t="s">
        <v>116</v>
      </c>
      <c r="J623" s="471" t="s">
        <v>913</v>
      </c>
      <c r="K623" s="469">
        <v>8</v>
      </c>
      <c r="L623" s="473"/>
      <c r="M623" s="623">
        <v>0</v>
      </c>
      <c r="N623" s="623">
        <v>0</v>
      </c>
      <c r="O623" s="624">
        <v>0</v>
      </c>
      <c r="P623" s="624">
        <v>0</v>
      </c>
      <c r="Q623" s="785" t="e">
        <f t="shared" si="9"/>
        <v>#DIV/0!</v>
      </c>
      <c r="R623" s="468" t="s">
        <v>1719</v>
      </c>
      <c r="S623" s="629"/>
    </row>
    <row r="624" spans="1:19" ht="15" x14ac:dyDescent="0.25">
      <c r="A624" s="621" t="s">
        <v>351</v>
      </c>
      <c r="B624" s="466" t="s">
        <v>111</v>
      </c>
      <c r="C624" s="631" t="s">
        <v>738</v>
      </c>
      <c r="D624" s="467" t="s">
        <v>866</v>
      </c>
      <c r="E624" s="474" t="s">
        <v>1722</v>
      </c>
      <c r="F624" s="469" t="s">
        <v>117</v>
      </c>
      <c r="G624" s="470" t="s">
        <v>933</v>
      </c>
      <c r="H624" s="622" t="s">
        <v>916</v>
      </c>
      <c r="I624" s="633" t="s">
        <v>116</v>
      </c>
      <c r="J624" s="471" t="s">
        <v>913</v>
      </c>
      <c r="K624" s="469">
        <v>8</v>
      </c>
      <c r="L624" s="473"/>
      <c r="M624" s="623">
        <v>0</v>
      </c>
      <c r="N624" s="623">
        <v>1</v>
      </c>
      <c r="O624" s="624">
        <v>0</v>
      </c>
      <c r="P624" s="624">
        <v>0</v>
      </c>
      <c r="Q624" s="785" t="e">
        <f t="shared" si="9"/>
        <v>#DIV/0!</v>
      </c>
      <c r="R624" s="468" t="s">
        <v>1719</v>
      </c>
      <c r="S624" s="629"/>
    </row>
    <row r="625" spans="1:19" ht="15" x14ac:dyDescent="0.25">
      <c r="A625" s="621" t="s">
        <v>351</v>
      </c>
      <c r="B625" s="466" t="s">
        <v>111</v>
      </c>
      <c r="C625" s="631" t="s">
        <v>738</v>
      </c>
      <c r="D625" s="467" t="s">
        <v>869</v>
      </c>
      <c r="E625" s="474" t="s">
        <v>1722</v>
      </c>
      <c r="F625" s="469" t="s">
        <v>117</v>
      </c>
      <c r="G625" s="470" t="s">
        <v>933</v>
      </c>
      <c r="H625" s="622" t="s">
        <v>916</v>
      </c>
      <c r="I625" s="633" t="s">
        <v>116</v>
      </c>
      <c r="J625" s="471" t="s">
        <v>913</v>
      </c>
      <c r="K625" s="469">
        <v>8</v>
      </c>
      <c r="L625" s="473"/>
      <c r="M625" s="623">
        <v>7</v>
      </c>
      <c r="N625" s="623">
        <v>2</v>
      </c>
      <c r="O625" s="624">
        <v>0.2857142857142857</v>
      </c>
      <c r="P625" s="624">
        <v>0.2857142857142857</v>
      </c>
      <c r="Q625" s="785">
        <f t="shared" si="9"/>
        <v>3.5714285714285712</v>
      </c>
      <c r="R625" s="468" t="s">
        <v>1718</v>
      </c>
      <c r="S625" s="629"/>
    </row>
    <row r="626" spans="1:19" ht="15" x14ac:dyDescent="0.25">
      <c r="A626" s="621" t="s">
        <v>351</v>
      </c>
      <c r="B626" s="466" t="s">
        <v>111</v>
      </c>
      <c r="C626" s="631" t="s">
        <v>101</v>
      </c>
      <c r="D626" s="467" t="s">
        <v>889</v>
      </c>
      <c r="E626" s="474"/>
      <c r="F626" s="469" t="s">
        <v>117</v>
      </c>
      <c r="G626" s="470" t="s">
        <v>933</v>
      </c>
      <c r="H626" s="622" t="s">
        <v>917</v>
      </c>
      <c r="I626" s="633" t="s">
        <v>116</v>
      </c>
      <c r="J626" s="471" t="s">
        <v>913</v>
      </c>
      <c r="K626" s="469">
        <v>17</v>
      </c>
      <c r="L626" s="473"/>
      <c r="M626" s="623">
        <v>112</v>
      </c>
      <c r="N626" s="623">
        <v>19</v>
      </c>
      <c r="O626" s="624">
        <v>0.16964285714285715</v>
      </c>
      <c r="P626" s="624">
        <v>0.16964285714285715</v>
      </c>
      <c r="Q626" s="785">
        <f t="shared" si="9"/>
        <v>0.99789915966386555</v>
      </c>
      <c r="R626" s="468" t="s">
        <v>1718</v>
      </c>
      <c r="S626" s="629"/>
    </row>
    <row r="627" spans="1:19" ht="15" x14ac:dyDescent="0.25">
      <c r="A627" s="621" t="s">
        <v>351</v>
      </c>
      <c r="B627" s="466" t="s">
        <v>111</v>
      </c>
      <c r="C627" s="631" t="s">
        <v>101</v>
      </c>
      <c r="D627" s="467" t="s">
        <v>881</v>
      </c>
      <c r="E627" s="474"/>
      <c r="F627" s="469" t="s">
        <v>117</v>
      </c>
      <c r="G627" s="470" t="s">
        <v>933</v>
      </c>
      <c r="H627" s="622" t="s">
        <v>916</v>
      </c>
      <c r="I627" s="633" t="s">
        <v>116</v>
      </c>
      <c r="J627" s="471" t="s">
        <v>913</v>
      </c>
      <c r="K627" s="469">
        <v>36</v>
      </c>
      <c r="L627" s="473"/>
      <c r="M627" s="623">
        <v>9</v>
      </c>
      <c r="N627" s="623">
        <v>2</v>
      </c>
      <c r="O627" s="624">
        <v>0.22222222222222221</v>
      </c>
      <c r="P627" s="624">
        <v>0.22222222222222221</v>
      </c>
      <c r="Q627" s="785">
        <f t="shared" si="9"/>
        <v>0.61728395061728392</v>
      </c>
      <c r="R627" s="468" t="s">
        <v>1718</v>
      </c>
      <c r="S627" s="629"/>
    </row>
    <row r="628" spans="1:19" ht="15" x14ac:dyDescent="0.25">
      <c r="A628" s="621" t="s">
        <v>351</v>
      </c>
      <c r="B628" s="466" t="s">
        <v>111</v>
      </c>
      <c r="C628" s="631" t="s">
        <v>101</v>
      </c>
      <c r="D628" s="467" t="s">
        <v>883</v>
      </c>
      <c r="E628" s="474" t="s">
        <v>1723</v>
      </c>
      <c r="F628" s="469" t="s">
        <v>117</v>
      </c>
      <c r="G628" s="470" t="s">
        <v>933</v>
      </c>
      <c r="H628" s="622" t="s">
        <v>916</v>
      </c>
      <c r="I628" s="633" t="s">
        <v>116</v>
      </c>
      <c r="J628" s="471" t="s">
        <v>913</v>
      </c>
      <c r="K628" s="469">
        <v>80</v>
      </c>
      <c r="L628" s="473"/>
      <c r="M628" s="623">
        <v>0</v>
      </c>
      <c r="N628" s="623">
        <v>0</v>
      </c>
      <c r="O628" s="624">
        <v>0</v>
      </c>
      <c r="P628" s="624">
        <v>0</v>
      </c>
      <c r="Q628" s="785" t="e">
        <f t="shared" si="9"/>
        <v>#DIV/0!</v>
      </c>
      <c r="R628" s="468" t="s">
        <v>1719</v>
      </c>
      <c r="S628" s="629"/>
    </row>
    <row r="629" spans="1:19" ht="15" x14ac:dyDescent="0.25">
      <c r="A629" s="621" t="s">
        <v>351</v>
      </c>
      <c r="B629" s="466" t="s">
        <v>111</v>
      </c>
      <c r="C629" s="631" t="s">
        <v>101</v>
      </c>
      <c r="D629" s="467" t="s">
        <v>866</v>
      </c>
      <c r="E629" s="474" t="s">
        <v>1723</v>
      </c>
      <c r="F629" s="469" t="s">
        <v>117</v>
      </c>
      <c r="G629" s="470" t="s">
        <v>933</v>
      </c>
      <c r="H629" s="622" t="s">
        <v>916</v>
      </c>
      <c r="I629" s="633" t="s">
        <v>116</v>
      </c>
      <c r="J629" s="471" t="s">
        <v>913</v>
      </c>
      <c r="K629" s="469" t="s">
        <v>79</v>
      </c>
      <c r="L629" s="473"/>
      <c r="M629" s="623">
        <v>13</v>
      </c>
      <c r="N629" s="623">
        <v>2</v>
      </c>
      <c r="O629" s="624">
        <v>0.15384615384615385</v>
      </c>
      <c r="P629" s="624">
        <v>0.15384615384615385</v>
      </c>
      <c r="Q629" s="785" t="e">
        <f t="shared" si="9"/>
        <v>#VALUE!</v>
      </c>
      <c r="R629" s="468" t="s">
        <v>1718</v>
      </c>
      <c r="S629" s="629"/>
    </row>
    <row r="630" spans="1:19" ht="15" x14ac:dyDescent="0.25">
      <c r="A630" s="621" t="s">
        <v>351</v>
      </c>
      <c r="B630" s="466" t="s">
        <v>111</v>
      </c>
      <c r="C630" s="631" t="s">
        <v>101</v>
      </c>
      <c r="D630" s="467" t="s">
        <v>869</v>
      </c>
      <c r="E630" s="474" t="s">
        <v>1723</v>
      </c>
      <c r="F630" s="469" t="s">
        <v>117</v>
      </c>
      <c r="G630" s="470" t="s">
        <v>933</v>
      </c>
      <c r="H630" s="622" t="s">
        <v>916</v>
      </c>
      <c r="I630" s="633" t="s">
        <v>116</v>
      </c>
      <c r="J630" s="471" t="s">
        <v>913</v>
      </c>
      <c r="K630" s="469" t="s">
        <v>79</v>
      </c>
      <c r="L630" s="473"/>
      <c r="M630" s="623">
        <v>0</v>
      </c>
      <c r="N630" s="623">
        <v>0</v>
      </c>
      <c r="O630" s="624">
        <v>0</v>
      </c>
      <c r="P630" s="624">
        <v>0</v>
      </c>
      <c r="Q630" s="785" t="e">
        <f t="shared" si="9"/>
        <v>#VALUE!</v>
      </c>
      <c r="R630" s="468" t="s">
        <v>1719</v>
      </c>
      <c r="S630" s="629"/>
    </row>
    <row r="631" spans="1:19" ht="15" x14ac:dyDescent="0.25">
      <c r="A631" s="621" t="s">
        <v>351</v>
      </c>
      <c r="B631" s="466" t="s">
        <v>111</v>
      </c>
      <c r="C631" s="631" t="s">
        <v>885</v>
      </c>
      <c r="D631" s="467" t="s">
        <v>889</v>
      </c>
      <c r="E631" s="474"/>
      <c r="F631" s="469" t="s">
        <v>117</v>
      </c>
      <c r="G631" s="470" t="s">
        <v>933</v>
      </c>
      <c r="H631" s="622" t="s">
        <v>917</v>
      </c>
      <c r="I631" s="633" t="s">
        <v>116</v>
      </c>
      <c r="J631" s="471" t="s">
        <v>913</v>
      </c>
      <c r="K631" s="469">
        <v>13</v>
      </c>
      <c r="L631" s="473"/>
      <c r="M631" s="623">
        <v>0</v>
      </c>
      <c r="N631" s="623">
        <v>0</v>
      </c>
      <c r="O631" s="624">
        <v>0</v>
      </c>
      <c r="P631" s="624">
        <v>0</v>
      </c>
      <c r="Q631" s="785" t="e">
        <f t="shared" si="9"/>
        <v>#DIV/0!</v>
      </c>
      <c r="R631" s="468" t="s">
        <v>1719</v>
      </c>
      <c r="S631" s="629"/>
    </row>
    <row r="632" spans="1:19" ht="15" x14ac:dyDescent="0.25">
      <c r="A632" s="621" t="s">
        <v>351</v>
      </c>
      <c r="B632" s="466" t="s">
        <v>111</v>
      </c>
      <c r="C632" s="631" t="s">
        <v>885</v>
      </c>
      <c r="D632" s="467" t="s">
        <v>881</v>
      </c>
      <c r="E632" s="474"/>
      <c r="F632" s="469" t="s">
        <v>117</v>
      </c>
      <c r="G632" s="470" t="s">
        <v>933</v>
      </c>
      <c r="H632" s="622" t="s">
        <v>916</v>
      </c>
      <c r="I632" s="633" t="s">
        <v>116</v>
      </c>
      <c r="J632" s="471" t="s">
        <v>913</v>
      </c>
      <c r="K632" s="469">
        <v>13</v>
      </c>
      <c r="L632" s="473"/>
      <c r="M632" s="623">
        <v>5</v>
      </c>
      <c r="N632" s="623">
        <v>0</v>
      </c>
      <c r="O632" s="624">
        <v>0</v>
      </c>
      <c r="P632" s="624">
        <v>0</v>
      </c>
      <c r="Q632" s="785">
        <f t="shared" si="9"/>
        <v>0</v>
      </c>
      <c r="R632" s="468" t="s">
        <v>1719</v>
      </c>
      <c r="S632" s="629"/>
    </row>
    <row r="633" spans="1:19" ht="15" x14ac:dyDescent="0.25">
      <c r="A633" s="621" t="s">
        <v>351</v>
      </c>
      <c r="B633" s="466" t="s">
        <v>111</v>
      </c>
      <c r="C633" s="631" t="s">
        <v>885</v>
      </c>
      <c r="D633" s="467" t="s">
        <v>883</v>
      </c>
      <c r="E633" s="474" t="s">
        <v>1724</v>
      </c>
      <c r="F633" s="469" t="s">
        <v>117</v>
      </c>
      <c r="G633" s="470" t="s">
        <v>933</v>
      </c>
      <c r="H633" s="622" t="s">
        <v>916</v>
      </c>
      <c r="I633" s="633" t="s">
        <v>116</v>
      </c>
      <c r="J633" s="471" t="s">
        <v>913</v>
      </c>
      <c r="K633" s="469" t="s">
        <v>79</v>
      </c>
      <c r="L633" s="473"/>
      <c r="M633" s="623">
        <v>5</v>
      </c>
      <c r="N633" s="623">
        <v>0</v>
      </c>
      <c r="O633" s="624">
        <v>0</v>
      </c>
      <c r="P633" s="624">
        <v>0</v>
      </c>
      <c r="Q633" s="785" t="e">
        <f t="shared" si="9"/>
        <v>#VALUE!</v>
      </c>
      <c r="R633" s="468" t="s">
        <v>1719</v>
      </c>
      <c r="S633" s="629"/>
    </row>
    <row r="634" spans="1:19" ht="15" x14ac:dyDescent="0.25">
      <c r="A634" s="621" t="s">
        <v>351</v>
      </c>
      <c r="B634" s="466" t="s">
        <v>111</v>
      </c>
      <c r="C634" s="631" t="s">
        <v>885</v>
      </c>
      <c r="D634" s="467" t="s">
        <v>866</v>
      </c>
      <c r="E634" s="474" t="s">
        <v>1724</v>
      </c>
      <c r="F634" s="469" t="s">
        <v>117</v>
      </c>
      <c r="G634" s="470" t="s">
        <v>933</v>
      </c>
      <c r="H634" s="622" t="s">
        <v>916</v>
      </c>
      <c r="I634" s="633" t="s">
        <v>116</v>
      </c>
      <c r="J634" s="471" t="s">
        <v>913</v>
      </c>
      <c r="K634" s="469" t="s">
        <v>79</v>
      </c>
      <c r="L634" s="473"/>
      <c r="M634" s="623">
        <v>0</v>
      </c>
      <c r="N634" s="623">
        <v>0</v>
      </c>
      <c r="O634" s="624">
        <v>0</v>
      </c>
      <c r="P634" s="624">
        <v>0</v>
      </c>
      <c r="Q634" s="785" t="e">
        <f t="shared" si="9"/>
        <v>#VALUE!</v>
      </c>
      <c r="R634" s="468" t="s">
        <v>1719</v>
      </c>
      <c r="S634" s="629"/>
    </row>
    <row r="635" spans="1:19" ht="15" x14ac:dyDescent="0.25">
      <c r="A635" s="621" t="s">
        <v>351</v>
      </c>
      <c r="B635" s="466" t="s">
        <v>111</v>
      </c>
      <c r="C635" s="631" t="s">
        <v>885</v>
      </c>
      <c r="D635" s="467" t="s">
        <v>869</v>
      </c>
      <c r="E635" s="474"/>
      <c r="F635" s="469" t="s">
        <v>117</v>
      </c>
      <c r="G635" s="470" t="s">
        <v>933</v>
      </c>
      <c r="H635" s="622" t="s">
        <v>916</v>
      </c>
      <c r="I635" s="633" t="s">
        <v>116</v>
      </c>
      <c r="J635" s="471" t="s">
        <v>913</v>
      </c>
      <c r="K635" s="469">
        <v>25</v>
      </c>
      <c r="L635" s="473"/>
      <c r="M635" s="623">
        <v>12</v>
      </c>
      <c r="N635" s="623">
        <v>5</v>
      </c>
      <c r="O635" s="624">
        <v>0.41666666666666669</v>
      </c>
      <c r="P635" s="624">
        <v>0.41666666666666669</v>
      </c>
      <c r="Q635" s="785">
        <f t="shared" si="9"/>
        <v>1.6666666666666667</v>
      </c>
      <c r="R635" s="468" t="s">
        <v>1718</v>
      </c>
      <c r="S635" s="629"/>
    </row>
    <row r="636" spans="1:19" ht="15" x14ac:dyDescent="0.25">
      <c r="A636" s="621" t="s">
        <v>351</v>
      </c>
      <c r="B636" s="466" t="s">
        <v>111</v>
      </c>
      <c r="C636" s="631" t="s">
        <v>885</v>
      </c>
      <c r="D636" s="467" t="s">
        <v>887</v>
      </c>
      <c r="E636" s="474"/>
      <c r="F636" s="469" t="s">
        <v>117</v>
      </c>
      <c r="G636" s="470" t="s">
        <v>933</v>
      </c>
      <c r="H636" s="622" t="s">
        <v>916</v>
      </c>
      <c r="I636" s="633" t="s">
        <v>116</v>
      </c>
      <c r="J636" s="471" t="s">
        <v>913</v>
      </c>
      <c r="K636" s="469">
        <v>10</v>
      </c>
      <c r="L636" s="473"/>
      <c r="M636" s="623">
        <v>20</v>
      </c>
      <c r="N636" s="623">
        <v>8</v>
      </c>
      <c r="O636" s="624">
        <v>0.4</v>
      </c>
      <c r="P636" s="624">
        <v>0.4</v>
      </c>
      <c r="Q636" s="785">
        <f t="shared" si="9"/>
        <v>4</v>
      </c>
      <c r="R636" s="468" t="s">
        <v>1718</v>
      </c>
      <c r="S636" s="629"/>
    </row>
    <row r="637" spans="1:19" ht="15" x14ac:dyDescent="0.25">
      <c r="A637" s="621" t="s">
        <v>351</v>
      </c>
      <c r="B637" s="466" t="s">
        <v>111</v>
      </c>
      <c r="C637" s="631" t="s">
        <v>904</v>
      </c>
      <c r="D637" s="467" t="s">
        <v>881</v>
      </c>
      <c r="E637" s="474" t="s">
        <v>1718</v>
      </c>
      <c r="F637" s="469" t="s">
        <v>117</v>
      </c>
      <c r="G637" s="470" t="s">
        <v>933</v>
      </c>
      <c r="H637" s="622" t="s">
        <v>916</v>
      </c>
      <c r="I637" s="633" t="s">
        <v>116</v>
      </c>
      <c r="J637" s="471" t="s">
        <v>913</v>
      </c>
      <c r="K637" s="469" t="s">
        <v>79</v>
      </c>
      <c r="L637" s="473"/>
      <c r="M637" s="623">
        <v>0</v>
      </c>
      <c r="N637" s="623">
        <v>0</v>
      </c>
      <c r="O637" s="624">
        <v>0</v>
      </c>
      <c r="P637" s="624">
        <v>0</v>
      </c>
      <c r="Q637" s="785" t="e">
        <f t="shared" si="9"/>
        <v>#VALUE!</v>
      </c>
      <c r="R637" s="468" t="s">
        <v>1719</v>
      </c>
      <c r="S637" s="629"/>
    </row>
    <row r="638" spans="1:19" ht="15" x14ac:dyDescent="0.25">
      <c r="A638" s="621" t="s">
        <v>351</v>
      </c>
      <c r="B638" s="466" t="s">
        <v>111</v>
      </c>
      <c r="C638" s="631" t="s">
        <v>904</v>
      </c>
      <c r="D638" s="467" t="s">
        <v>883</v>
      </c>
      <c r="E638" s="474" t="s">
        <v>1725</v>
      </c>
      <c r="F638" s="469" t="s">
        <v>117</v>
      </c>
      <c r="G638" s="470" t="s">
        <v>933</v>
      </c>
      <c r="H638" s="622" t="s">
        <v>916</v>
      </c>
      <c r="I638" s="633" t="s">
        <v>116</v>
      </c>
      <c r="J638" s="471" t="s">
        <v>913</v>
      </c>
      <c r="K638" s="469" t="s">
        <v>79</v>
      </c>
      <c r="L638" s="473"/>
      <c r="M638" s="623">
        <v>1</v>
      </c>
      <c r="N638" s="623">
        <v>1</v>
      </c>
      <c r="O638" s="624">
        <v>1</v>
      </c>
      <c r="P638" s="624">
        <v>1</v>
      </c>
      <c r="Q638" s="785" t="e">
        <f t="shared" si="9"/>
        <v>#VALUE!</v>
      </c>
      <c r="R638" s="468" t="s">
        <v>1718</v>
      </c>
      <c r="S638" s="629"/>
    </row>
    <row r="639" spans="1:19" ht="15" x14ac:dyDescent="0.25">
      <c r="A639" s="621" t="s">
        <v>351</v>
      </c>
      <c r="B639" s="466" t="s">
        <v>111</v>
      </c>
      <c r="C639" s="631" t="s">
        <v>740</v>
      </c>
      <c r="D639" s="467" t="s">
        <v>889</v>
      </c>
      <c r="E639" s="474"/>
      <c r="F639" s="469" t="s">
        <v>117</v>
      </c>
      <c r="G639" s="470" t="s">
        <v>933</v>
      </c>
      <c r="H639" s="622" t="s">
        <v>917</v>
      </c>
      <c r="I639" s="633" t="s">
        <v>116</v>
      </c>
      <c r="J639" s="471" t="s">
        <v>913</v>
      </c>
      <c r="K639" s="469">
        <v>38</v>
      </c>
      <c r="L639" s="473"/>
      <c r="M639" s="623">
        <v>37</v>
      </c>
      <c r="N639" s="623">
        <v>3</v>
      </c>
      <c r="O639" s="624">
        <v>8.1081081081081086E-2</v>
      </c>
      <c r="P639" s="624">
        <v>8.1081081081081086E-2</v>
      </c>
      <c r="Q639" s="785">
        <f t="shared" si="9"/>
        <v>0.21337126600284495</v>
      </c>
      <c r="R639" s="468" t="s">
        <v>1718</v>
      </c>
      <c r="S639" s="629"/>
    </row>
    <row r="640" spans="1:19" ht="15" x14ac:dyDescent="0.25">
      <c r="A640" s="621" t="s">
        <v>351</v>
      </c>
      <c r="B640" s="466" t="s">
        <v>111</v>
      </c>
      <c r="C640" s="631" t="s">
        <v>740</v>
      </c>
      <c r="D640" s="467" t="s">
        <v>881</v>
      </c>
      <c r="E640" s="474" t="s">
        <v>1726</v>
      </c>
      <c r="F640" s="469" t="s">
        <v>117</v>
      </c>
      <c r="G640" s="470" t="s">
        <v>933</v>
      </c>
      <c r="H640" s="622" t="s">
        <v>916</v>
      </c>
      <c r="I640" s="633" t="s">
        <v>116</v>
      </c>
      <c r="J640" s="471" t="s">
        <v>913</v>
      </c>
      <c r="K640" s="469" t="s">
        <v>79</v>
      </c>
      <c r="L640" s="473"/>
      <c r="M640" s="623">
        <v>4</v>
      </c>
      <c r="N640" s="623">
        <v>0</v>
      </c>
      <c r="O640" s="624">
        <v>0</v>
      </c>
      <c r="P640" s="624">
        <v>0</v>
      </c>
      <c r="Q640" s="785" t="e">
        <f t="shared" si="9"/>
        <v>#VALUE!</v>
      </c>
      <c r="R640" s="468" t="s">
        <v>1719</v>
      </c>
      <c r="S640" s="629"/>
    </row>
    <row r="641" spans="1:19" ht="15" x14ac:dyDescent="0.25">
      <c r="A641" s="621" t="s">
        <v>351</v>
      </c>
      <c r="B641" s="466" t="s">
        <v>111</v>
      </c>
      <c r="C641" s="631" t="s">
        <v>740</v>
      </c>
      <c r="D641" s="467" t="s">
        <v>883</v>
      </c>
      <c r="E641" s="474" t="s">
        <v>1726</v>
      </c>
      <c r="F641" s="469" t="s">
        <v>117</v>
      </c>
      <c r="G641" s="470" t="s">
        <v>933</v>
      </c>
      <c r="H641" s="622" t="s">
        <v>916</v>
      </c>
      <c r="I641" s="633" t="s">
        <v>116</v>
      </c>
      <c r="J641" s="471" t="s">
        <v>913</v>
      </c>
      <c r="K641" s="469" t="s">
        <v>79</v>
      </c>
      <c r="L641" s="473"/>
      <c r="M641" s="623">
        <v>0</v>
      </c>
      <c r="N641" s="623">
        <v>0</v>
      </c>
      <c r="O641" s="624">
        <v>0</v>
      </c>
      <c r="P641" s="624">
        <v>0</v>
      </c>
      <c r="Q641" s="785" t="e">
        <f t="shared" si="9"/>
        <v>#VALUE!</v>
      </c>
      <c r="R641" s="468" t="s">
        <v>1719</v>
      </c>
      <c r="S641" s="629"/>
    </row>
    <row r="642" spans="1:19" ht="15" x14ac:dyDescent="0.25">
      <c r="A642" s="621" t="s">
        <v>351</v>
      </c>
      <c r="B642" s="466" t="s">
        <v>111</v>
      </c>
      <c r="C642" s="631" t="s">
        <v>894</v>
      </c>
      <c r="D642" s="467" t="s">
        <v>889</v>
      </c>
      <c r="E642" s="474"/>
      <c r="F642" s="469" t="s">
        <v>117</v>
      </c>
      <c r="G642" s="470" t="s">
        <v>933</v>
      </c>
      <c r="H642" s="622" t="s">
        <v>917</v>
      </c>
      <c r="I642" s="633" t="s">
        <v>116</v>
      </c>
      <c r="J642" s="471" t="s">
        <v>913</v>
      </c>
      <c r="K642" s="469">
        <v>5</v>
      </c>
      <c r="L642" s="473"/>
      <c r="M642" s="623">
        <v>543</v>
      </c>
      <c r="N642" s="623">
        <v>32</v>
      </c>
      <c r="O642" s="624">
        <v>5.8931860036832415E-2</v>
      </c>
      <c r="P642" s="624">
        <v>5.8931860036832415E-2</v>
      </c>
      <c r="Q642" s="785">
        <f t="shared" si="9"/>
        <v>1.1786372007366483</v>
      </c>
      <c r="R642" s="468" t="s">
        <v>1718</v>
      </c>
      <c r="S642" s="629"/>
    </row>
    <row r="643" spans="1:19" ht="15" x14ac:dyDescent="0.25">
      <c r="A643" s="621" t="s">
        <v>351</v>
      </c>
      <c r="B643" s="466" t="s">
        <v>111</v>
      </c>
      <c r="C643" s="631" t="s">
        <v>894</v>
      </c>
      <c r="D643" s="467" t="s">
        <v>881</v>
      </c>
      <c r="E643" s="474"/>
      <c r="F643" s="469" t="s">
        <v>117</v>
      </c>
      <c r="G643" s="470" t="s">
        <v>933</v>
      </c>
      <c r="H643" s="622" t="s">
        <v>916</v>
      </c>
      <c r="I643" s="633" t="s">
        <v>116</v>
      </c>
      <c r="J643" s="471" t="s">
        <v>913</v>
      </c>
      <c r="K643" s="469">
        <v>32</v>
      </c>
      <c r="L643" s="473"/>
      <c r="M643" s="623">
        <v>78</v>
      </c>
      <c r="N643" s="623">
        <v>28</v>
      </c>
      <c r="O643" s="624">
        <v>0.35897435897435898</v>
      </c>
      <c r="P643" s="624">
        <v>0.35897435897435898</v>
      </c>
      <c r="Q643" s="785">
        <f t="shared" si="9"/>
        <v>1.1217948717948718</v>
      </c>
      <c r="R643" s="468" t="s">
        <v>1718</v>
      </c>
      <c r="S643" s="629"/>
    </row>
    <row r="644" spans="1:19" ht="15" x14ac:dyDescent="0.25">
      <c r="A644" s="621" t="s">
        <v>351</v>
      </c>
      <c r="B644" s="466" t="s">
        <v>111</v>
      </c>
      <c r="C644" s="631" t="s">
        <v>894</v>
      </c>
      <c r="D644" s="467" t="s">
        <v>883</v>
      </c>
      <c r="E644" s="474" t="s">
        <v>1727</v>
      </c>
      <c r="F644" s="469" t="s">
        <v>117</v>
      </c>
      <c r="G644" s="470" t="s">
        <v>933</v>
      </c>
      <c r="H644" s="622" t="s">
        <v>916</v>
      </c>
      <c r="I644" s="633" t="s">
        <v>116</v>
      </c>
      <c r="J644" s="471" t="s">
        <v>913</v>
      </c>
      <c r="K644" s="469">
        <v>33</v>
      </c>
      <c r="L644" s="473"/>
      <c r="M644" s="623">
        <v>25</v>
      </c>
      <c r="N644" s="623">
        <v>9</v>
      </c>
      <c r="O644" s="624">
        <v>0.36</v>
      </c>
      <c r="P644" s="624">
        <v>0.36</v>
      </c>
      <c r="Q644" s="785">
        <f t="shared" si="9"/>
        <v>1.0909090909090908</v>
      </c>
      <c r="R644" s="468" t="s">
        <v>1718</v>
      </c>
      <c r="S644" s="629"/>
    </row>
    <row r="645" spans="1:19" ht="15" x14ac:dyDescent="0.25">
      <c r="A645" s="621" t="s">
        <v>351</v>
      </c>
      <c r="B645" s="466" t="s">
        <v>111</v>
      </c>
      <c r="C645" s="631" t="s">
        <v>894</v>
      </c>
      <c r="D645" s="467" t="s">
        <v>869</v>
      </c>
      <c r="E645" s="474" t="s">
        <v>1727</v>
      </c>
      <c r="F645" s="469" t="s">
        <v>117</v>
      </c>
      <c r="G645" s="470" t="s">
        <v>933</v>
      </c>
      <c r="H645" s="622" t="s">
        <v>916</v>
      </c>
      <c r="I645" s="633" t="s">
        <v>116</v>
      </c>
      <c r="J645" s="471" t="s">
        <v>913</v>
      </c>
      <c r="K645" s="469" t="s">
        <v>79</v>
      </c>
      <c r="L645" s="473"/>
      <c r="M645" s="623">
        <v>0</v>
      </c>
      <c r="N645" s="623">
        <v>0</v>
      </c>
      <c r="O645" s="624">
        <v>0</v>
      </c>
      <c r="P645" s="624">
        <v>0</v>
      </c>
      <c r="Q645" s="785" t="e">
        <f t="shared" si="9"/>
        <v>#VALUE!</v>
      </c>
      <c r="R645" s="468" t="s">
        <v>1719</v>
      </c>
      <c r="S645" s="629"/>
    </row>
    <row r="646" spans="1:19" ht="15" x14ac:dyDescent="0.25">
      <c r="A646" s="621" t="s">
        <v>351</v>
      </c>
      <c r="B646" s="466" t="s">
        <v>111</v>
      </c>
      <c r="C646" s="631" t="s">
        <v>99</v>
      </c>
      <c r="D646" s="467" t="s">
        <v>866</v>
      </c>
      <c r="E646" s="474" t="s">
        <v>1720</v>
      </c>
      <c r="F646" s="469" t="s">
        <v>117</v>
      </c>
      <c r="G646" s="470" t="s">
        <v>934</v>
      </c>
      <c r="H646" s="622" t="s">
        <v>916</v>
      </c>
      <c r="I646" s="633" t="s">
        <v>116</v>
      </c>
      <c r="J646" s="471" t="s">
        <v>913</v>
      </c>
      <c r="K646" s="469">
        <v>33</v>
      </c>
      <c r="L646" s="473"/>
      <c r="M646" s="623">
        <v>0</v>
      </c>
      <c r="N646" s="623">
        <v>0</v>
      </c>
      <c r="O646" s="624">
        <v>0</v>
      </c>
      <c r="P646" s="624">
        <v>0</v>
      </c>
      <c r="Q646" s="785" t="e">
        <f t="shared" ref="Q646:Q709" si="10">N646/(M646*K646/100)</f>
        <v>#DIV/0!</v>
      </c>
      <c r="R646" s="468" t="s">
        <v>1719</v>
      </c>
      <c r="S646" s="629"/>
    </row>
    <row r="647" spans="1:19" ht="15" x14ac:dyDescent="0.25">
      <c r="A647" s="621" t="s">
        <v>351</v>
      </c>
      <c r="B647" s="466" t="s">
        <v>111</v>
      </c>
      <c r="C647" s="631" t="s">
        <v>99</v>
      </c>
      <c r="D647" s="467" t="s">
        <v>869</v>
      </c>
      <c r="E647" s="474" t="s">
        <v>1720</v>
      </c>
      <c r="F647" s="469" t="s">
        <v>117</v>
      </c>
      <c r="G647" s="470" t="s">
        <v>934</v>
      </c>
      <c r="H647" s="622" t="s">
        <v>916</v>
      </c>
      <c r="I647" s="633" t="s">
        <v>116</v>
      </c>
      <c r="J647" s="471" t="s">
        <v>913</v>
      </c>
      <c r="K647" s="469">
        <v>33</v>
      </c>
      <c r="L647" s="473"/>
      <c r="M647" s="623">
        <v>14</v>
      </c>
      <c r="N647" s="623">
        <v>2</v>
      </c>
      <c r="O647" s="624">
        <v>0.14285714285714285</v>
      </c>
      <c r="P647" s="624">
        <v>0.14285714285714285</v>
      </c>
      <c r="Q647" s="785">
        <f t="shared" si="10"/>
        <v>0.4329004329004329</v>
      </c>
      <c r="R647" s="468" t="s">
        <v>1718</v>
      </c>
      <c r="S647" s="629"/>
    </row>
    <row r="648" spans="1:19" ht="15" x14ac:dyDescent="0.25">
      <c r="A648" s="621" t="s">
        <v>351</v>
      </c>
      <c r="B648" s="466" t="s">
        <v>111</v>
      </c>
      <c r="C648" s="631" t="s">
        <v>870</v>
      </c>
      <c r="D648" s="467" t="s">
        <v>889</v>
      </c>
      <c r="E648" s="474"/>
      <c r="F648" s="469" t="s">
        <v>117</v>
      </c>
      <c r="G648" s="470" t="s">
        <v>934</v>
      </c>
      <c r="H648" s="622" t="s">
        <v>917</v>
      </c>
      <c r="I648" s="633" t="s">
        <v>116</v>
      </c>
      <c r="J648" s="471" t="s">
        <v>913</v>
      </c>
      <c r="K648" s="469">
        <v>16</v>
      </c>
      <c r="L648" s="473"/>
      <c r="M648" s="623">
        <v>50</v>
      </c>
      <c r="N648" s="623">
        <v>4</v>
      </c>
      <c r="O648" s="624">
        <v>0.08</v>
      </c>
      <c r="P648" s="624">
        <v>0.08</v>
      </c>
      <c r="Q648" s="785">
        <f t="shared" si="10"/>
        <v>0.5</v>
      </c>
      <c r="R648" s="468" t="s">
        <v>1718</v>
      </c>
      <c r="S648" s="629"/>
    </row>
    <row r="649" spans="1:19" ht="15" x14ac:dyDescent="0.25">
      <c r="A649" s="621" t="s">
        <v>351</v>
      </c>
      <c r="B649" s="466" t="s">
        <v>111</v>
      </c>
      <c r="C649" s="631" t="s">
        <v>870</v>
      </c>
      <c r="D649" s="467" t="s">
        <v>881</v>
      </c>
      <c r="E649" s="474"/>
      <c r="F649" s="469" t="s">
        <v>117</v>
      </c>
      <c r="G649" s="470" t="s">
        <v>934</v>
      </c>
      <c r="H649" s="622" t="s">
        <v>916</v>
      </c>
      <c r="I649" s="633" t="s">
        <v>116</v>
      </c>
      <c r="J649" s="471" t="s">
        <v>913</v>
      </c>
      <c r="K649" s="469">
        <v>16</v>
      </c>
      <c r="L649" s="473"/>
      <c r="M649" s="623">
        <v>19</v>
      </c>
      <c r="N649" s="623">
        <v>3</v>
      </c>
      <c r="O649" s="624">
        <v>0.15789473684210525</v>
      </c>
      <c r="P649" s="624">
        <v>0.15789473684210525</v>
      </c>
      <c r="Q649" s="785">
        <f t="shared" si="10"/>
        <v>0.98684210526315785</v>
      </c>
      <c r="R649" s="468" t="s">
        <v>1718</v>
      </c>
      <c r="S649" s="629"/>
    </row>
    <row r="650" spans="1:19" ht="15" x14ac:dyDescent="0.25">
      <c r="A650" s="621" t="s">
        <v>351</v>
      </c>
      <c r="B650" s="466" t="s">
        <v>111</v>
      </c>
      <c r="C650" s="631" t="s">
        <v>870</v>
      </c>
      <c r="D650" s="467" t="s">
        <v>883</v>
      </c>
      <c r="E650" s="474"/>
      <c r="F650" s="469" t="s">
        <v>117</v>
      </c>
      <c r="G650" s="470" t="s">
        <v>934</v>
      </c>
      <c r="H650" s="622" t="s">
        <v>916</v>
      </c>
      <c r="I650" s="633" t="s">
        <v>116</v>
      </c>
      <c r="J650" s="471" t="s">
        <v>913</v>
      </c>
      <c r="K650" s="469">
        <v>6</v>
      </c>
      <c r="L650" s="473"/>
      <c r="M650" s="623">
        <v>39</v>
      </c>
      <c r="N650" s="623">
        <v>9</v>
      </c>
      <c r="O650" s="624">
        <v>0.23076923076923078</v>
      </c>
      <c r="P650" s="624">
        <v>0.23076923076923078</v>
      </c>
      <c r="Q650" s="785">
        <f t="shared" si="10"/>
        <v>3.8461538461538463</v>
      </c>
      <c r="R650" s="468" t="s">
        <v>1718</v>
      </c>
      <c r="S650" s="629"/>
    </row>
    <row r="651" spans="1:19" ht="15" x14ac:dyDescent="0.25">
      <c r="A651" s="621" t="s">
        <v>351</v>
      </c>
      <c r="B651" s="466" t="s">
        <v>111</v>
      </c>
      <c r="C651" s="631" t="s">
        <v>870</v>
      </c>
      <c r="D651" s="467" t="s">
        <v>866</v>
      </c>
      <c r="E651" s="474"/>
      <c r="F651" s="469" t="s">
        <v>117</v>
      </c>
      <c r="G651" s="470" t="s">
        <v>934</v>
      </c>
      <c r="H651" s="622" t="s">
        <v>916</v>
      </c>
      <c r="I651" s="633" t="s">
        <v>116</v>
      </c>
      <c r="J651" s="471" t="s">
        <v>913</v>
      </c>
      <c r="K651" s="469">
        <v>8</v>
      </c>
      <c r="L651" s="473"/>
      <c r="M651" s="623">
        <v>67</v>
      </c>
      <c r="N651" s="623">
        <v>17</v>
      </c>
      <c r="O651" s="624">
        <v>0.2537313432835821</v>
      </c>
      <c r="P651" s="624">
        <v>0.2537313432835821</v>
      </c>
      <c r="Q651" s="785">
        <f t="shared" si="10"/>
        <v>3.1716417910447761</v>
      </c>
      <c r="R651" s="468" t="s">
        <v>1718</v>
      </c>
      <c r="S651" s="629"/>
    </row>
    <row r="652" spans="1:19" ht="15" x14ac:dyDescent="0.25">
      <c r="A652" s="621" t="s">
        <v>351</v>
      </c>
      <c r="B652" s="466" t="s">
        <v>111</v>
      </c>
      <c r="C652" s="631" t="s">
        <v>870</v>
      </c>
      <c r="D652" s="467" t="s">
        <v>869</v>
      </c>
      <c r="E652" s="474"/>
      <c r="F652" s="469" t="s">
        <v>117</v>
      </c>
      <c r="G652" s="470" t="s">
        <v>934</v>
      </c>
      <c r="H652" s="622" t="s">
        <v>916</v>
      </c>
      <c r="I652" s="633" t="s">
        <v>116</v>
      </c>
      <c r="J652" s="471" t="s">
        <v>913</v>
      </c>
      <c r="K652" s="469">
        <v>5</v>
      </c>
      <c r="L652" s="473"/>
      <c r="M652" s="623">
        <v>46</v>
      </c>
      <c r="N652" s="623">
        <v>18</v>
      </c>
      <c r="O652" s="624">
        <v>0.39130434782608697</v>
      </c>
      <c r="P652" s="624">
        <v>0.39130434782608697</v>
      </c>
      <c r="Q652" s="785">
        <f t="shared" si="10"/>
        <v>7.8260869565217401</v>
      </c>
      <c r="R652" s="468" t="s">
        <v>1718</v>
      </c>
      <c r="S652" s="629"/>
    </row>
    <row r="653" spans="1:19" ht="15" x14ac:dyDescent="0.25">
      <c r="A653" s="621" t="s">
        <v>351</v>
      </c>
      <c r="B653" s="466" t="s">
        <v>111</v>
      </c>
      <c r="C653" s="631" t="s">
        <v>738</v>
      </c>
      <c r="D653" s="467" t="s">
        <v>889</v>
      </c>
      <c r="E653" s="474"/>
      <c r="F653" s="469" t="s">
        <v>117</v>
      </c>
      <c r="G653" s="470" t="s">
        <v>934</v>
      </c>
      <c r="H653" s="622" t="s">
        <v>917</v>
      </c>
      <c r="I653" s="633" t="s">
        <v>116</v>
      </c>
      <c r="J653" s="471" t="s">
        <v>913</v>
      </c>
      <c r="K653" s="469">
        <v>29</v>
      </c>
      <c r="L653" s="473"/>
      <c r="M653" s="623">
        <v>156</v>
      </c>
      <c r="N653" s="623">
        <v>7</v>
      </c>
      <c r="O653" s="624">
        <v>4.4871794871794872E-2</v>
      </c>
      <c r="P653" s="624">
        <v>4.4871794871794872E-2</v>
      </c>
      <c r="Q653" s="785">
        <f t="shared" si="10"/>
        <v>0.15473032714412024</v>
      </c>
      <c r="R653" s="468" t="s">
        <v>1718</v>
      </c>
      <c r="S653" s="629"/>
    </row>
    <row r="654" spans="1:19" ht="15" x14ac:dyDescent="0.25">
      <c r="A654" s="621" t="s">
        <v>351</v>
      </c>
      <c r="B654" s="466" t="s">
        <v>111</v>
      </c>
      <c r="C654" s="631" t="s">
        <v>738</v>
      </c>
      <c r="D654" s="467" t="s">
        <v>881</v>
      </c>
      <c r="E654" s="474" t="s">
        <v>1721</v>
      </c>
      <c r="F654" s="469" t="s">
        <v>117</v>
      </c>
      <c r="G654" s="470" t="s">
        <v>934</v>
      </c>
      <c r="H654" s="622" t="s">
        <v>916</v>
      </c>
      <c r="I654" s="633" t="s">
        <v>116</v>
      </c>
      <c r="J654" s="471" t="s">
        <v>913</v>
      </c>
      <c r="K654" s="469">
        <v>8</v>
      </c>
      <c r="L654" s="473"/>
      <c r="M654" s="623">
        <v>54</v>
      </c>
      <c r="N654" s="623">
        <v>6</v>
      </c>
      <c r="O654" s="624">
        <v>0.1111111111111111</v>
      </c>
      <c r="P654" s="624">
        <v>0.1111111111111111</v>
      </c>
      <c r="Q654" s="785">
        <f t="shared" si="10"/>
        <v>1.3888888888888888</v>
      </c>
      <c r="R654" s="468" t="s">
        <v>1718</v>
      </c>
      <c r="S654" s="629"/>
    </row>
    <row r="655" spans="1:19" ht="15" x14ac:dyDescent="0.25">
      <c r="A655" s="621" t="s">
        <v>351</v>
      </c>
      <c r="B655" s="466" t="s">
        <v>111</v>
      </c>
      <c r="C655" s="631" t="s">
        <v>738</v>
      </c>
      <c r="D655" s="467" t="s">
        <v>883</v>
      </c>
      <c r="E655" s="474" t="s">
        <v>1721</v>
      </c>
      <c r="F655" s="469" t="s">
        <v>117</v>
      </c>
      <c r="G655" s="470" t="s">
        <v>934</v>
      </c>
      <c r="H655" s="622" t="s">
        <v>916</v>
      </c>
      <c r="I655" s="633" t="s">
        <v>116</v>
      </c>
      <c r="J655" s="471" t="s">
        <v>913</v>
      </c>
      <c r="K655" s="469">
        <v>8</v>
      </c>
      <c r="L655" s="473"/>
      <c r="M655" s="623">
        <v>0</v>
      </c>
      <c r="N655" s="623">
        <v>0</v>
      </c>
      <c r="O655" s="624">
        <v>0</v>
      </c>
      <c r="P655" s="624">
        <v>0</v>
      </c>
      <c r="Q655" s="785" t="e">
        <f t="shared" si="10"/>
        <v>#DIV/0!</v>
      </c>
      <c r="R655" s="468" t="s">
        <v>1719</v>
      </c>
      <c r="S655" s="629"/>
    </row>
    <row r="656" spans="1:19" ht="15" x14ac:dyDescent="0.25">
      <c r="A656" s="621" t="s">
        <v>351</v>
      </c>
      <c r="B656" s="466" t="s">
        <v>111</v>
      </c>
      <c r="C656" s="631" t="s">
        <v>738</v>
      </c>
      <c r="D656" s="467" t="s">
        <v>866</v>
      </c>
      <c r="E656" s="474" t="s">
        <v>1722</v>
      </c>
      <c r="F656" s="469" t="s">
        <v>117</v>
      </c>
      <c r="G656" s="470" t="s">
        <v>934</v>
      </c>
      <c r="H656" s="622" t="s">
        <v>916</v>
      </c>
      <c r="I656" s="633" t="s">
        <v>116</v>
      </c>
      <c r="J656" s="471" t="s">
        <v>913</v>
      </c>
      <c r="K656" s="469">
        <v>8</v>
      </c>
      <c r="L656" s="473"/>
      <c r="M656" s="623">
        <v>0</v>
      </c>
      <c r="N656" s="623">
        <v>1</v>
      </c>
      <c r="O656" s="624">
        <v>0</v>
      </c>
      <c r="P656" s="624">
        <v>0</v>
      </c>
      <c r="Q656" s="785" t="e">
        <f t="shared" si="10"/>
        <v>#DIV/0!</v>
      </c>
      <c r="R656" s="468" t="s">
        <v>1719</v>
      </c>
      <c r="S656" s="629"/>
    </row>
    <row r="657" spans="1:19" ht="15" x14ac:dyDescent="0.25">
      <c r="A657" s="621" t="s">
        <v>351</v>
      </c>
      <c r="B657" s="466" t="s">
        <v>111</v>
      </c>
      <c r="C657" s="631" t="s">
        <v>738</v>
      </c>
      <c r="D657" s="467" t="s">
        <v>869</v>
      </c>
      <c r="E657" s="474" t="s">
        <v>1722</v>
      </c>
      <c r="F657" s="469" t="s">
        <v>117</v>
      </c>
      <c r="G657" s="470" t="s">
        <v>934</v>
      </c>
      <c r="H657" s="622" t="s">
        <v>916</v>
      </c>
      <c r="I657" s="633" t="s">
        <v>116</v>
      </c>
      <c r="J657" s="471" t="s">
        <v>913</v>
      </c>
      <c r="K657" s="469">
        <v>8</v>
      </c>
      <c r="L657" s="473"/>
      <c r="M657" s="623">
        <v>7</v>
      </c>
      <c r="N657" s="623">
        <v>2</v>
      </c>
      <c r="O657" s="624">
        <v>0.2857142857142857</v>
      </c>
      <c r="P657" s="624">
        <v>0.2857142857142857</v>
      </c>
      <c r="Q657" s="785">
        <f t="shared" si="10"/>
        <v>3.5714285714285712</v>
      </c>
      <c r="R657" s="468" t="s">
        <v>1718</v>
      </c>
      <c r="S657" s="629"/>
    </row>
    <row r="658" spans="1:19" ht="15" x14ac:dyDescent="0.25">
      <c r="A658" s="621" t="s">
        <v>351</v>
      </c>
      <c r="B658" s="466" t="s">
        <v>111</v>
      </c>
      <c r="C658" s="631" t="s">
        <v>101</v>
      </c>
      <c r="D658" s="467" t="s">
        <v>889</v>
      </c>
      <c r="E658" s="474"/>
      <c r="F658" s="469" t="s">
        <v>117</v>
      </c>
      <c r="G658" s="470" t="s">
        <v>934</v>
      </c>
      <c r="H658" s="622" t="s">
        <v>917</v>
      </c>
      <c r="I658" s="633" t="s">
        <v>116</v>
      </c>
      <c r="J658" s="471" t="s">
        <v>913</v>
      </c>
      <c r="K658" s="469">
        <v>17</v>
      </c>
      <c r="L658" s="473"/>
      <c r="M658" s="623">
        <v>112</v>
      </c>
      <c r="N658" s="623">
        <v>19</v>
      </c>
      <c r="O658" s="624">
        <v>0.16964285714285715</v>
      </c>
      <c r="P658" s="624">
        <v>0.16964285714285715</v>
      </c>
      <c r="Q658" s="785">
        <f t="shared" si="10"/>
        <v>0.99789915966386555</v>
      </c>
      <c r="R658" s="468" t="s">
        <v>1718</v>
      </c>
      <c r="S658" s="629"/>
    </row>
    <row r="659" spans="1:19" ht="15" x14ac:dyDescent="0.25">
      <c r="A659" s="621" t="s">
        <v>351</v>
      </c>
      <c r="B659" s="466" t="s">
        <v>111</v>
      </c>
      <c r="C659" s="631" t="s">
        <v>101</v>
      </c>
      <c r="D659" s="467" t="s">
        <v>881</v>
      </c>
      <c r="E659" s="474"/>
      <c r="F659" s="469" t="s">
        <v>117</v>
      </c>
      <c r="G659" s="470" t="s">
        <v>934</v>
      </c>
      <c r="H659" s="622" t="s">
        <v>916</v>
      </c>
      <c r="I659" s="633" t="s">
        <v>116</v>
      </c>
      <c r="J659" s="471" t="s">
        <v>913</v>
      </c>
      <c r="K659" s="469">
        <v>36</v>
      </c>
      <c r="L659" s="473"/>
      <c r="M659" s="623">
        <v>9</v>
      </c>
      <c r="N659" s="623">
        <v>2</v>
      </c>
      <c r="O659" s="624">
        <v>0.22222222222222221</v>
      </c>
      <c r="P659" s="624">
        <v>0.22222222222222221</v>
      </c>
      <c r="Q659" s="785">
        <f t="shared" si="10"/>
        <v>0.61728395061728392</v>
      </c>
      <c r="R659" s="468" t="s">
        <v>1718</v>
      </c>
      <c r="S659" s="629"/>
    </row>
    <row r="660" spans="1:19" ht="15" x14ac:dyDescent="0.25">
      <c r="A660" s="621" t="s">
        <v>351</v>
      </c>
      <c r="B660" s="466" t="s">
        <v>111</v>
      </c>
      <c r="C660" s="631" t="s">
        <v>101</v>
      </c>
      <c r="D660" s="467" t="s">
        <v>883</v>
      </c>
      <c r="E660" s="474" t="s">
        <v>1723</v>
      </c>
      <c r="F660" s="469" t="s">
        <v>117</v>
      </c>
      <c r="G660" s="470" t="s">
        <v>934</v>
      </c>
      <c r="H660" s="622" t="s">
        <v>916</v>
      </c>
      <c r="I660" s="633" t="s">
        <v>116</v>
      </c>
      <c r="J660" s="471" t="s">
        <v>913</v>
      </c>
      <c r="K660" s="469">
        <v>80</v>
      </c>
      <c r="L660" s="473"/>
      <c r="M660" s="623">
        <v>0</v>
      </c>
      <c r="N660" s="623">
        <v>0</v>
      </c>
      <c r="O660" s="624">
        <v>0</v>
      </c>
      <c r="P660" s="624">
        <v>0</v>
      </c>
      <c r="Q660" s="785" t="e">
        <f t="shared" si="10"/>
        <v>#DIV/0!</v>
      </c>
      <c r="R660" s="468" t="s">
        <v>1719</v>
      </c>
      <c r="S660" s="629"/>
    </row>
    <row r="661" spans="1:19" ht="15" x14ac:dyDescent="0.25">
      <c r="A661" s="621" t="s">
        <v>351</v>
      </c>
      <c r="B661" s="466" t="s">
        <v>111</v>
      </c>
      <c r="C661" s="631" t="s">
        <v>101</v>
      </c>
      <c r="D661" s="467" t="s">
        <v>866</v>
      </c>
      <c r="E661" s="474" t="s">
        <v>1723</v>
      </c>
      <c r="F661" s="469" t="s">
        <v>117</v>
      </c>
      <c r="G661" s="470" t="s">
        <v>934</v>
      </c>
      <c r="H661" s="622" t="s">
        <v>916</v>
      </c>
      <c r="I661" s="633" t="s">
        <v>116</v>
      </c>
      <c r="J661" s="471" t="s">
        <v>913</v>
      </c>
      <c r="K661" s="469" t="s">
        <v>79</v>
      </c>
      <c r="L661" s="473"/>
      <c r="M661" s="623">
        <v>13</v>
      </c>
      <c r="N661" s="623">
        <v>2</v>
      </c>
      <c r="O661" s="624">
        <v>0.15384615384615385</v>
      </c>
      <c r="P661" s="624">
        <v>0.15384615384615385</v>
      </c>
      <c r="Q661" s="785" t="e">
        <f t="shared" si="10"/>
        <v>#VALUE!</v>
      </c>
      <c r="R661" s="468" t="s">
        <v>1718</v>
      </c>
      <c r="S661" s="629"/>
    </row>
    <row r="662" spans="1:19" ht="15" x14ac:dyDescent="0.25">
      <c r="A662" s="621" t="s">
        <v>351</v>
      </c>
      <c r="B662" s="466" t="s">
        <v>111</v>
      </c>
      <c r="C662" s="631" t="s">
        <v>101</v>
      </c>
      <c r="D662" s="467" t="s">
        <v>869</v>
      </c>
      <c r="E662" s="474" t="s">
        <v>1723</v>
      </c>
      <c r="F662" s="469" t="s">
        <v>117</v>
      </c>
      <c r="G662" s="470" t="s">
        <v>934</v>
      </c>
      <c r="H662" s="622" t="s">
        <v>916</v>
      </c>
      <c r="I662" s="633" t="s">
        <v>116</v>
      </c>
      <c r="J662" s="471" t="s">
        <v>913</v>
      </c>
      <c r="K662" s="469" t="s">
        <v>79</v>
      </c>
      <c r="L662" s="473"/>
      <c r="M662" s="623">
        <v>0</v>
      </c>
      <c r="N662" s="623">
        <v>0</v>
      </c>
      <c r="O662" s="624">
        <v>0</v>
      </c>
      <c r="P662" s="624">
        <v>0</v>
      </c>
      <c r="Q662" s="785" t="e">
        <f t="shared" si="10"/>
        <v>#VALUE!</v>
      </c>
      <c r="R662" s="468" t="s">
        <v>1719</v>
      </c>
      <c r="S662" s="629"/>
    </row>
    <row r="663" spans="1:19" ht="15" x14ac:dyDescent="0.25">
      <c r="A663" s="621" t="s">
        <v>351</v>
      </c>
      <c r="B663" s="466" t="s">
        <v>111</v>
      </c>
      <c r="C663" s="631" t="s">
        <v>885</v>
      </c>
      <c r="D663" s="467" t="s">
        <v>889</v>
      </c>
      <c r="E663" s="474"/>
      <c r="F663" s="469" t="s">
        <v>117</v>
      </c>
      <c r="G663" s="470" t="s">
        <v>934</v>
      </c>
      <c r="H663" s="622" t="s">
        <v>917</v>
      </c>
      <c r="I663" s="633" t="s">
        <v>116</v>
      </c>
      <c r="J663" s="471" t="s">
        <v>913</v>
      </c>
      <c r="K663" s="469">
        <v>13</v>
      </c>
      <c r="L663" s="473"/>
      <c r="M663" s="623">
        <v>0</v>
      </c>
      <c r="N663" s="623">
        <v>0</v>
      </c>
      <c r="O663" s="624">
        <v>0</v>
      </c>
      <c r="P663" s="624">
        <v>0</v>
      </c>
      <c r="Q663" s="785" t="e">
        <f t="shared" si="10"/>
        <v>#DIV/0!</v>
      </c>
      <c r="R663" s="468" t="s">
        <v>1719</v>
      </c>
      <c r="S663" s="629"/>
    </row>
    <row r="664" spans="1:19" ht="15" x14ac:dyDescent="0.25">
      <c r="A664" s="621" t="s">
        <v>351</v>
      </c>
      <c r="B664" s="466" t="s">
        <v>111</v>
      </c>
      <c r="C664" s="631" t="s">
        <v>885</v>
      </c>
      <c r="D664" s="467" t="s">
        <v>881</v>
      </c>
      <c r="E664" s="474"/>
      <c r="F664" s="469" t="s">
        <v>117</v>
      </c>
      <c r="G664" s="470" t="s">
        <v>934</v>
      </c>
      <c r="H664" s="622" t="s">
        <v>916</v>
      </c>
      <c r="I664" s="633" t="s">
        <v>116</v>
      </c>
      <c r="J664" s="471" t="s">
        <v>913</v>
      </c>
      <c r="K664" s="469">
        <v>13</v>
      </c>
      <c r="L664" s="473"/>
      <c r="M664" s="623">
        <v>5</v>
      </c>
      <c r="N664" s="623">
        <v>0</v>
      </c>
      <c r="O664" s="624">
        <v>0</v>
      </c>
      <c r="P664" s="624">
        <v>0</v>
      </c>
      <c r="Q664" s="785">
        <f t="shared" si="10"/>
        <v>0</v>
      </c>
      <c r="R664" s="468" t="s">
        <v>1719</v>
      </c>
      <c r="S664" s="629"/>
    </row>
    <row r="665" spans="1:19" ht="15" x14ac:dyDescent="0.25">
      <c r="A665" s="621" t="s">
        <v>351</v>
      </c>
      <c r="B665" s="466" t="s">
        <v>111</v>
      </c>
      <c r="C665" s="631" t="s">
        <v>885</v>
      </c>
      <c r="D665" s="467" t="s">
        <v>883</v>
      </c>
      <c r="E665" s="474" t="s">
        <v>1724</v>
      </c>
      <c r="F665" s="469" t="s">
        <v>117</v>
      </c>
      <c r="G665" s="470" t="s">
        <v>934</v>
      </c>
      <c r="H665" s="622" t="s">
        <v>916</v>
      </c>
      <c r="I665" s="633" t="s">
        <v>116</v>
      </c>
      <c r="J665" s="471" t="s">
        <v>913</v>
      </c>
      <c r="K665" s="469" t="s">
        <v>79</v>
      </c>
      <c r="L665" s="473"/>
      <c r="M665" s="623">
        <v>5</v>
      </c>
      <c r="N665" s="623">
        <v>0</v>
      </c>
      <c r="O665" s="624">
        <v>0</v>
      </c>
      <c r="P665" s="624">
        <v>0</v>
      </c>
      <c r="Q665" s="785" t="e">
        <f t="shared" si="10"/>
        <v>#VALUE!</v>
      </c>
      <c r="R665" s="468" t="s">
        <v>1719</v>
      </c>
      <c r="S665" s="629"/>
    </row>
    <row r="666" spans="1:19" ht="15" x14ac:dyDescent="0.25">
      <c r="A666" s="621" t="s">
        <v>351</v>
      </c>
      <c r="B666" s="466" t="s">
        <v>111</v>
      </c>
      <c r="C666" s="631" t="s">
        <v>885</v>
      </c>
      <c r="D666" s="467" t="s">
        <v>866</v>
      </c>
      <c r="E666" s="474" t="s">
        <v>1724</v>
      </c>
      <c r="F666" s="469" t="s">
        <v>117</v>
      </c>
      <c r="G666" s="470" t="s">
        <v>934</v>
      </c>
      <c r="H666" s="622" t="s">
        <v>916</v>
      </c>
      <c r="I666" s="633" t="s">
        <v>116</v>
      </c>
      <c r="J666" s="471" t="s">
        <v>913</v>
      </c>
      <c r="K666" s="469" t="s">
        <v>79</v>
      </c>
      <c r="L666" s="473"/>
      <c r="M666" s="623">
        <v>0</v>
      </c>
      <c r="N666" s="623">
        <v>0</v>
      </c>
      <c r="O666" s="624">
        <v>0</v>
      </c>
      <c r="P666" s="624">
        <v>0</v>
      </c>
      <c r="Q666" s="785" t="e">
        <f t="shared" si="10"/>
        <v>#VALUE!</v>
      </c>
      <c r="R666" s="468" t="s">
        <v>1719</v>
      </c>
      <c r="S666" s="629"/>
    </row>
    <row r="667" spans="1:19" ht="15" x14ac:dyDescent="0.25">
      <c r="A667" s="621" t="s">
        <v>351</v>
      </c>
      <c r="B667" s="466" t="s">
        <v>111</v>
      </c>
      <c r="C667" s="631" t="s">
        <v>885</v>
      </c>
      <c r="D667" s="467" t="s">
        <v>869</v>
      </c>
      <c r="E667" s="474"/>
      <c r="F667" s="469" t="s">
        <v>117</v>
      </c>
      <c r="G667" s="470" t="s">
        <v>934</v>
      </c>
      <c r="H667" s="622" t="s">
        <v>916</v>
      </c>
      <c r="I667" s="633" t="s">
        <v>116</v>
      </c>
      <c r="J667" s="471" t="s">
        <v>913</v>
      </c>
      <c r="K667" s="469">
        <v>25</v>
      </c>
      <c r="L667" s="473"/>
      <c r="M667" s="623">
        <v>12</v>
      </c>
      <c r="N667" s="623">
        <v>5</v>
      </c>
      <c r="O667" s="624">
        <v>0.41666666666666669</v>
      </c>
      <c r="P667" s="624">
        <v>0.41666666666666669</v>
      </c>
      <c r="Q667" s="785">
        <f t="shared" si="10"/>
        <v>1.6666666666666667</v>
      </c>
      <c r="R667" s="468" t="s">
        <v>1718</v>
      </c>
      <c r="S667" s="629"/>
    </row>
    <row r="668" spans="1:19" ht="15" x14ac:dyDescent="0.25">
      <c r="A668" s="621" t="s">
        <v>351</v>
      </c>
      <c r="B668" s="466" t="s">
        <v>111</v>
      </c>
      <c r="C668" s="631" t="s">
        <v>885</v>
      </c>
      <c r="D668" s="467" t="s">
        <v>887</v>
      </c>
      <c r="E668" s="474"/>
      <c r="F668" s="469" t="s">
        <v>117</v>
      </c>
      <c r="G668" s="470" t="s">
        <v>934</v>
      </c>
      <c r="H668" s="622" t="s">
        <v>916</v>
      </c>
      <c r="I668" s="633" t="s">
        <v>116</v>
      </c>
      <c r="J668" s="471" t="s">
        <v>913</v>
      </c>
      <c r="K668" s="469">
        <v>10</v>
      </c>
      <c r="L668" s="473"/>
      <c r="M668" s="623">
        <v>20</v>
      </c>
      <c r="N668" s="623">
        <v>8</v>
      </c>
      <c r="O668" s="624">
        <v>0.4</v>
      </c>
      <c r="P668" s="624">
        <v>0.4</v>
      </c>
      <c r="Q668" s="785">
        <f t="shared" si="10"/>
        <v>4</v>
      </c>
      <c r="R668" s="468" t="s">
        <v>1718</v>
      </c>
      <c r="S668" s="629"/>
    </row>
    <row r="669" spans="1:19" ht="15" x14ac:dyDescent="0.25">
      <c r="A669" s="621" t="s">
        <v>351</v>
      </c>
      <c r="B669" s="466" t="s">
        <v>111</v>
      </c>
      <c r="C669" s="631" t="s">
        <v>904</v>
      </c>
      <c r="D669" s="467" t="s">
        <v>881</v>
      </c>
      <c r="E669" s="474" t="s">
        <v>1718</v>
      </c>
      <c r="F669" s="469" t="s">
        <v>117</v>
      </c>
      <c r="G669" s="470" t="s">
        <v>934</v>
      </c>
      <c r="H669" s="622" t="s">
        <v>916</v>
      </c>
      <c r="I669" s="633" t="s">
        <v>116</v>
      </c>
      <c r="J669" s="471" t="s">
        <v>913</v>
      </c>
      <c r="K669" s="469" t="s">
        <v>79</v>
      </c>
      <c r="L669" s="473"/>
      <c r="M669" s="623">
        <v>0</v>
      </c>
      <c r="N669" s="623">
        <v>0</v>
      </c>
      <c r="O669" s="624">
        <v>0</v>
      </c>
      <c r="P669" s="624">
        <v>0</v>
      </c>
      <c r="Q669" s="785" t="e">
        <f t="shared" si="10"/>
        <v>#VALUE!</v>
      </c>
      <c r="R669" s="468" t="s">
        <v>1719</v>
      </c>
      <c r="S669" s="629"/>
    </row>
    <row r="670" spans="1:19" ht="15" x14ac:dyDescent="0.25">
      <c r="A670" s="621" t="s">
        <v>351</v>
      </c>
      <c r="B670" s="466" t="s">
        <v>111</v>
      </c>
      <c r="C670" s="631" t="s">
        <v>904</v>
      </c>
      <c r="D670" s="467" t="s">
        <v>883</v>
      </c>
      <c r="E670" s="474" t="s">
        <v>1725</v>
      </c>
      <c r="F670" s="469" t="s">
        <v>117</v>
      </c>
      <c r="G670" s="470" t="s">
        <v>934</v>
      </c>
      <c r="H670" s="622" t="s">
        <v>916</v>
      </c>
      <c r="I670" s="633" t="s">
        <v>116</v>
      </c>
      <c r="J670" s="471" t="s">
        <v>913</v>
      </c>
      <c r="K670" s="469" t="s">
        <v>79</v>
      </c>
      <c r="L670" s="473"/>
      <c r="M670" s="623">
        <v>1</v>
      </c>
      <c r="N670" s="623">
        <v>1</v>
      </c>
      <c r="O670" s="624">
        <v>1</v>
      </c>
      <c r="P670" s="624">
        <v>1</v>
      </c>
      <c r="Q670" s="785" t="e">
        <f t="shared" si="10"/>
        <v>#VALUE!</v>
      </c>
      <c r="R670" s="468" t="s">
        <v>1718</v>
      </c>
      <c r="S670" s="629"/>
    </row>
    <row r="671" spans="1:19" ht="15" x14ac:dyDescent="0.25">
      <c r="A671" s="621" t="s">
        <v>351</v>
      </c>
      <c r="B671" s="466" t="s">
        <v>111</v>
      </c>
      <c r="C671" s="631" t="s">
        <v>740</v>
      </c>
      <c r="D671" s="467" t="s">
        <v>889</v>
      </c>
      <c r="E671" s="474"/>
      <c r="F671" s="469" t="s">
        <v>117</v>
      </c>
      <c r="G671" s="470" t="s">
        <v>934</v>
      </c>
      <c r="H671" s="622" t="s">
        <v>917</v>
      </c>
      <c r="I671" s="633" t="s">
        <v>116</v>
      </c>
      <c r="J671" s="471" t="s">
        <v>913</v>
      </c>
      <c r="K671" s="469">
        <v>38</v>
      </c>
      <c r="L671" s="473"/>
      <c r="M671" s="623">
        <v>37</v>
      </c>
      <c r="N671" s="623">
        <v>3</v>
      </c>
      <c r="O671" s="624">
        <v>8.1081081081081086E-2</v>
      </c>
      <c r="P671" s="624">
        <v>8.1081081081081086E-2</v>
      </c>
      <c r="Q671" s="785">
        <f t="shared" si="10"/>
        <v>0.21337126600284495</v>
      </c>
      <c r="R671" s="468" t="s">
        <v>1718</v>
      </c>
      <c r="S671" s="629"/>
    </row>
    <row r="672" spans="1:19" ht="15" x14ac:dyDescent="0.25">
      <c r="A672" s="621" t="s">
        <v>351</v>
      </c>
      <c r="B672" s="466" t="s">
        <v>111</v>
      </c>
      <c r="C672" s="631" t="s">
        <v>740</v>
      </c>
      <c r="D672" s="467" t="s">
        <v>881</v>
      </c>
      <c r="E672" s="474" t="s">
        <v>1726</v>
      </c>
      <c r="F672" s="469" t="s">
        <v>117</v>
      </c>
      <c r="G672" s="470" t="s">
        <v>934</v>
      </c>
      <c r="H672" s="622" t="s">
        <v>916</v>
      </c>
      <c r="I672" s="633" t="s">
        <v>116</v>
      </c>
      <c r="J672" s="471" t="s">
        <v>913</v>
      </c>
      <c r="K672" s="469" t="s">
        <v>79</v>
      </c>
      <c r="L672" s="473"/>
      <c r="M672" s="623">
        <v>4</v>
      </c>
      <c r="N672" s="623">
        <v>0</v>
      </c>
      <c r="O672" s="624">
        <v>0</v>
      </c>
      <c r="P672" s="624">
        <v>0</v>
      </c>
      <c r="Q672" s="785" t="e">
        <f t="shared" si="10"/>
        <v>#VALUE!</v>
      </c>
      <c r="R672" s="468" t="s">
        <v>1719</v>
      </c>
      <c r="S672" s="629"/>
    </row>
    <row r="673" spans="1:19" ht="15" x14ac:dyDescent="0.25">
      <c r="A673" s="621" t="s">
        <v>351</v>
      </c>
      <c r="B673" s="466" t="s">
        <v>111</v>
      </c>
      <c r="C673" s="631" t="s">
        <v>740</v>
      </c>
      <c r="D673" s="467" t="s">
        <v>883</v>
      </c>
      <c r="E673" s="474" t="s">
        <v>1726</v>
      </c>
      <c r="F673" s="469" t="s">
        <v>117</v>
      </c>
      <c r="G673" s="470" t="s">
        <v>934</v>
      </c>
      <c r="H673" s="622" t="s">
        <v>916</v>
      </c>
      <c r="I673" s="633" t="s">
        <v>116</v>
      </c>
      <c r="J673" s="471" t="s">
        <v>913</v>
      </c>
      <c r="K673" s="469" t="s">
        <v>79</v>
      </c>
      <c r="L673" s="473"/>
      <c r="M673" s="623">
        <v>0</v>
      </c>
      <c r="N673" s="623">
        <v>0</v>
      </c>
      <c r="O673" s="624">
        <v>0</v>
      </c>
      <c r="P673" s="624">
        <v>0</v>
      </c>
      <c r="Q673" s="785" t="e">
        <f t="shared" si="10"/>
        <v>#VALUE!</v>
      </c>
      <c r="R673" s="468" t="s">
        <v>1719</v>
      </c>
      <c r="S673" s="629"/>
    </row>
    <row r="674" spans="1:19" ht="15" x14ac:dyDescent="0.25">
      <c r="A674" s="621" t="s">
        <v>351</v>
      </c>
      <c r="B674" s="466" t="s">
        <v>111</v>
      </c>
      <c r="C674" s="631" t="s">
        <v>894</v>
      </c>
      <c r="D674" s="467" t="s">
        <v>889</v>
      </c>
      <c r="E674" s="474"/>
      <c r="F674" s="469" t="s">
        <v>117</v>
      </c>
      <c r="G674" s="470" t="s">
        <v>934</v>
      </c>
      <c r="H674" s="622" t="s">
        <v>917</v>
      </c>
      <c r="I674" s="633" t="s">
        <v>116</v>
      </c>
      <c r="J674" s="471" t="s">
        <v>913</v>
      </c>
      <c r="K674" s="469">
        <v>5</v>
      </c>
      <c r="L674" s="473"/>
      <c r="M674" s="623">
        <v>543</v>
      </c>
      <c r="N674" s="623">
        <v>32</v>
      </c>
      <c r="O674" s="624">
        <v>5.8931860036832415E-2</v>
      </c>
      <c r="P674" s="624">
        <v>5.8931860036832415E-2</v>
      </c>
      <c r="Q674" s="785">
        <f t="shared" si="10"/>
        <v>1.1786372007366483</v>
      </c>
      <c r="R674" s="468" t="s">
        <v>1718</v>
      </c>
      <c r="S674" s="629"/>
    </row>
    <row r="675" spans="1:19" ht="15" x14ac:dyDescent="0.25">
      <c r="A675" s="621" t="s">
        <v>351</v>
      </c>
      <c r="B675" s="466" t="s">
        <v>111</v>
      </c>
      <c r="C675" s="631" t="s">
        <v>894</v>
      </c>
      <c r="D675" s="467" t="s">
        <v>881</v>
      </c>
      <c r="E675" s="474"/>
      <c r="F675" s="469" t="s">
        <v>117</v>
      </c>
      <c r="G675" s="470" t="s">
        <v>934</v>
      </c>
      <c r="H675" s="622" t="s">
        <v>916</v>
      </c>
      <c r="I675" s="633" t="s">
        <v>116</v>
      </c>
      <c r="J675" s="471" t="s">
        <v>913</v>
      </c>
      <c r="K675" s="469">
        <v>32</v>
      </c>
      <c r="L675" s="473"/>
      <c r="M675" s="623">
        <v>78</v>
      </c>
      <c r="N675" s="623">
        <v>28</v>
      </c>
      <c r="O675" s="624">
        <v>0.35897435897435898</v>
      </c>
      <c r="P675" s="624">
        <v>0.35897435897435898</v>
      </c>
      <c r="Q675" s="785">
        <f t="shared" si="10"/>
        <v>1.1217948717948718</v>
      </c>
      <c r="R675" s="468" t="s">
        <v>1718</v>
      </c>
      <c r="S675" s="629"/>
    </row>
    <row r="676" spans="1:19" ht="15" x14ac:dyDescent="0.25">
      <c r="A676" s="621" t="s">
        <v>351</v>
      </c>
      <c r="B676" s="466" t="s">
        <v>111</v>
      </c>
      <c r="C676" s="631" t="s">
        <v>894</v>
      </c>
      <c r="D676" s="467" t="s">
        <v>883</v>
      </c>
      <c r="E676" s="474" t="s">
        <v>1727</v>
      </c>
      <c r="F676" s="469" t="s">
        <v>117</v>
      </c>
      <c r="G676" s="470" t="s">
        <v>934</v>
      </c>
      <c r="H676" s="622" t="s">
        <v>916</v>
      </c>
      <c r="I676" s="633" t="s">
        <v>116</v>
      </c>
      <c r="J676" s="471" t="s">
        <v>913</v>
      </c>
      <c r="K676" s="469">
        <v>33</v>
      </c>
      <c r="L676" s="473"/>
      <c r="M676" s="623">
        <v>25</v>
      </c>
      <c r="N676" s="623">
        <v>9</v>
      </c>
      <c r="O676" s="624">
        <v>0.36</v>
      </c>
      <c r="P676" s="624">
        <v>0.36</v>
      </c>
      <c r="Q676" s="785">
        <f t="shared" si="10"/>
        <v>1.0909090909090908</v>
      </c>
      <c r="R676" s="468" t="s">
        <v>1718</v>
      </c>
      <c r="S676" s="629"/>
    </row>
    <row r="677" spans="1:19" ht="15" x14ac:dyDescent="0.25">
      <c r="A677" s="621" t="s">
        <v>351</v>
      </c>
      <c r="B677" s="466" t="s">
        <v>111</v>
      </c>
      <c r="C677" s="631" t="s">
        <v>894</v>
      </c>
      <c r="D677" s="467" t="s">
        <v>869</v>
      </c>
      <c r="E677" s="474" t="s">
        <v>1727</v>
      </c>
      <c r="F677" s="469" t="s">
        <v>117</v>
      </c>
      <c r="G677" s="470" t="s">
        <v>934</v>
      </c>
      <c r="H677" s="622" t="s">
        <v>916</v>
      </c>
      <c r="I677" s="633" t="s">
        <v>116</v>
      </c>
      <c r="J677" s="471" t="s">
        <v>913</v>
      </c>
      <c r="K677" s="469" t="s">
        <v>79</v>
      </c>
      <c r="L677" s="473"/>
      <c r="M677" s="623">
        <v>0</v>
      </c>
      <c r="N677" s="623">
        <v>0</v>
      </c>
      <c r="O677" s="624">
        <v>0</v>
      </c>
      <c r="P677" s="624">
        <v>0</v>
      </c>
      <c r="Q677" s="785" t="e">
        <f t="shared" si="10"/>
        <v>#VALUE!</v>
      </c>
      <c r="R677" s="468" t="s">
        <v>1719</v>
      </c>
      <c r="S677" s="629"/>
    </row>
    <row r="678" spans="1:19" ht="15" x14ac:dyDescent="0.25">
      <c r="A678" s="621" t="s">
        <v>351</v>
      </c>
      <c r="B678" s="466" t="s">
        <v>111</v>
      </c>
      <c r="C678" s="631" t="s">
        <v>99</v>
      </c>
      <c r="D678" s="467" t="s">
        <v>866</v>
      </c>
      <c r="E678" s="474" t="s">
        <v>1720</v>
      </c>
      <c r="F678" s="469" t="s">
        <v>117</v>
      </c>
      <c r="G678" s="470" t="s">
        <v>935</v>
      </c>
      <c r="H678" s="622" t="s">
        <v>916</v>
      </c>
      <c r="I678" s="633" t="s">
        <v>116</v>
      </c>
      <c r="J678" s="471" t="s">
        <v>913</v>
      </c>
      <c r="K678" s="469">
        <v>33</v>
      </c>
      <c r="L678" s="473"/>
      <c r="M678" s="623">
        <v>0</v>
      </c>
      <c r="N678" s="623">
        <v>0</v>
      </c>
      <c r="O678" s="624">
        <v>0</v>
      </c>
      <c r="P678" s="624">
        <v>0</v>
      </c>
      <c r="Q678" s="785" t="e">
        <f t="shared" si="10"/>
        <v>#DIV/0!</v>
      </c>
      <c r="R678" s="468" t="s">
        <v>1719</v>
      </c>
      <c r="S678" s="629"/>
    </row>
    <row r="679" spans="1:19" ht="15" x14ac:dyDescent="0.25">
      <c r="A679" s="621" t="s">
        <v>351</v>
      </c>
      <c r="B679" s="466" t="s">
        <v>111</v>
      </c>
      <c r="C679" s="631" t="s">
        <v>99</v>
      </c>
      <c r="D679" s="467" t="s">
        <v>869</v>
      </c>
      <c r="E679" s="474" t="s">
        <v>1720</v>
      </c>
      <c r="F679" s="469" t="s">
        <v>117</v>
      </c>
      <c r="G679" s="470" t="s">
        <v>935</v>
      </c>
      <c r="H679" s="622" t="s">
        <v>916</v>
      </c>
      <c r="I679" s="633" t="s">
        <v>116</v>
      </c>
      <c r="J679" s="471" t="s">
        <v>913</v>
      </c>
      <c r="K679" s="469">
        <v>33</v>
      </c>
      <c r="L679" s="473"/>
      <c r="M679" s="623">
        <v>14</v>
      </c>
      <c r="N679" s="623">
        <v>2</v>
      </c>
      <c r="O679" s="624">
        <v>0.14285714285714285</v>
      </c>
      <c r="P679" s="624">
        <v>0.14285714285714285</v>
      </c>
      <c r="Q679" s="785">
        <f t="shared" si="10"/>
        <v>0.4329004329004329</v>
      </c>
      <c r="R679" s="468" t="s">
        <v>1718</v>
      </c>
      <c r="S679" s="629"/>
    </row>
    <row r="680" spans="1:19" ht="15" x14ac:dyDescent="0.25">
      <c r="A680" s="621" t="s">
        <v>351</v>
      </c>
      <c r="B680" s="466" t="s">
        <v>111</v>
      </c>
      <c r="C680" s="631" t="s">
        <v>870</v>
      </c>
      <c r="D680" s="467" t="s">
        <v>889</v>
      </c>
      <c r="E680" s="474"/>
      <c r="F680" s="469" t="s">
        <v>117</v>
      </c>
      <c r="G680" s="470" t="s">
        <v>935</v>
      </c>
      <c r="H680" s="622" t="s">
        <v>917</v>
      </c>
      <c r="I680" s="633" t="s">
        <v>116</v>
      </c>
      <c r="J680" s="471" t="s">
        <v>913</v>
      </c>
      <c r="K680" s="469">
        <v>16</v>
      </c>
      <c r="L680" s="473"/>
      <c r="M680" s="623">
        <v>50</v>
      </c>
      <c r="N680" s="623">
        <v>4</v>
      </c>
      <c r="O680" s="624">
        <v>0.08</v>
      </c>
      <c r="P680" s="624">
        <v>0.08</v>
      </c>
      <c r="Q680" s="785">
        <f t="shared" si="10"/>
        <v>0.5</v>
      </c>
      <c r="R680" s="468" t="s">
        <v>1718</v>
      </c>
      <c r="S680" s="629"/>
    </row>
    <row r="681" spans="1:19" ht="15" x14ac:dyDescent="0.25">
      <c r="A681" s="621" t="s">
        <v>351</v>
      </c>
      <c r="B681" s="466" t="s">
        <v>111</v>
      </c>
      <c r="C681" s="631" t="s">
        <v>870</v>
      </c>
      <c r="D681" s="467" t="s">
        <v>881</v>
      </c>
      <c r="E681" s="474"/>
      <c r="F681" s="469" t="s">
        <v>117</v>
      </c>
      <c r="G681" s="470" t="s">
        <v>935</v>
      </c>
      <c r="H681" s="622" t="s">
        <v>916</v>
      </c>
      <c r="I681" s="633" t="s">
        <v>116</v>
      </c>
      <c r="J681" s="471" t="s">
        <v>913</v>
      </c>
      <c r="K681" s="469">
        <v>16</v>
      </c>
      <c r="L681" s="473"/>
      <c r="M681" s="623">
        <v>19</v>
      </c>
      <c r="N681" s="623">
        <v>3</v>
      </c>
      <c r="O681" s="624">
        <v>0.15789473684210525</v>
      </c>
      <c r="P681" s="624">
        <v>0.15789473684210525</v>
      </c>
      <c r="Q681" s="785">
        <f t="shared" si="10"/>
        <v>0.98684210526315785</v>
      </c>
      <c r="R681" s="468" t="s">
        <v>1718</v>
      </c>
      <c r="S681" s="629"/>
    </row>
    <row r="682" spans="1:19" ht="15" x14ac:dyDescent="0.25">
      <c r="A682" s="621" t="s">
        <v>351</v>
      </c>
      <c r="B682" s="466" t="s">
        <v>111</v>
      </c>
      <c r="C682" s="631" t="s">
        <v>870</v>
      </c>
      <c r="D682" s="467" t="s">
        <v>883</v>
      </c>
      <c r="E682" s="474"/>
      <c r="F682" s="469" t="s">
        <v>117</v>
      </c>
      <c r="G682" s="470" t="s">
        <v>935</v>
      </c>
      <c r="H682" s="622" t="s">
        <v>916</v>
      </c>
      <c r="I682" s="633" t="s">
        <v>116</v>
      </c>
      <c r="J682" s="471" t="s">
        <v>913</v>
      </c>
      <c r="K682" s="469">
        <v>6</v>
      </c>
      <c r="L682" s="473"/>
      <c r="M682" s="623">
        <v>39</v>
      </c>
      <c r="N682" s="623">
        <v>9</v>
      </c>
      <c r="O682" s="624">
        <v>0.23076923076923078</v>
      </c>
      <c r="P682" s="624">
        <v>0.23076923076923078</v>
      </c>
      <c r="Q682" s="785">
        <f t="shared" si="10"/>
        <v>3.8461538461538463</v>
      </c>
      <c r="R682" s="468" t="s">
        <v>1718</v>
      </c>
      <c r="S682" s="629"/>
    </row>
    <row r="683" spans="1:19" ht="15" x14ac:dyDescent="0.25">
      <c r="A683" s="621" t="s">
        <v>351</v>
      </c>
      <c r="B683" s="466" t="s">
        <v>111</v>
      </c>
      <c r="C683" s="631" t="s">
        <v>870</v>
      </c>
      <c r="D683" s="467" t="s">
        <v>866</v>
      </c>
      <c r="E683" s="474"/>
      <c r="F683" s="469" t="s">
        <v>117</v>
      </c>
      <c r="G683" s="470" t="s">
        <v>935</v>
      </c>
      <c r="H683" s="622" t="s">
        <v>916</v>
      </c>
      <c r="I683" s="633" t="s">
        <v>116</v>
      </c>
      <c r="J683" s="471" t="s">
        <v>913</v>
      </c>
      <c r="K683" s="469">
        <v>8</v>
      </c>
      <c r="L683" s="473"/>
      <c r="M683" s="623">
        <v>67</v>
      </c>
      <c r="N683" s="623">
        <v>17</v>
      </c>
      <c r="O683" s="624">
        <v>0.2537313432835821</v>
      </c>
      <c r="P683" s="624">
        <v>0.2537313432835821</v>
      </c>
      <c r="Q683" s="785">
        <f t="shared" si="10"/>
        <v>3.1716417910447761</v>
      </c>
      <c r="R683" s="468" t="s">
        <v>1718</v>
      </c>
      <c r="S683" s="629"/>
    </row>
    <row r="684" spans="1:19" ht="15" x14ac:dyDescent="0.25">
      <c r="A684" s="621" t="s">
        <v>351</v>
      </c>
      <c r="B684" s="466" t="s">
        <v>111</v>
      </c>
      <c r="C684" s="631" t="s">
        <v>870</v>
      </c>
      <c r="D684" s="467" t="s">
        <v>869</v>
      </c>
      <c r="E684" s="474"/>
      <c r="F684" s="469" t="s">
        <v>117</v>
      </c>
      <c r="G684" s="470" t="s">
        <v>935</v>
      </c>
      <c r="H684" s="622" t="s">
        <v>916</v>
      </c>
      <c r="I684" s="633" t="s">
        <v>116</v>
      </c>
      <c r="J684" s="471" t="s">
        <v>913</v>
      </c>
      <c r="K684" s="469">
        <v>5</v>
      </c>
      <c r="L684" s="473"/>
      <c r="M684" s="623">
        <v>46</v>
      </c>
      <c r="N684" s="623">
        <v>18</v>
      </c>
      <c r="O684" s="624">
        <v>0.39130434782608697</v>
      </c>
      <c r="P684" s="624">
        <v>0.39130434782608697</v>
      </c>
      <c r="Q684" s="785">
        <f t="shared" si="10"/>
        <v>7.8260869565217401</v>
      </c>
      <c r="R684" s="468" t="s">
        <v>1718</v>
      </c>
      <c r="S684" s="629"/>
    </row>
    <row r="685" spans="1:19" ht="15" x14ac:dyDescent="0.25">
      <c r="A685" s="621" t="s">
        <v>351</v>
      </c>
      <c r="B685" s="466" t="s">
        <v>111</v>
      </c>
      <c r="C685" s="631" t="s">
        <v>738</v>
      </c>
      <c r="D685" s="467" t="s">
        <v>889</v>
      </c>
      <c r="E685" s="474"/>
      <c r="F685" s="469" t="s">
        <v>117</v>
      </c>
      <c r="G685" s="470" t="s">
        <v>935</v>
      </c>
      <c r="H685" s="622" t="s">
        <v>917</v>
      </c>
      <c r="I685" s="633" t="s">
        <v>116</v>
      </c>
      <c r="J685" s="471" t="s">
        <v>913</v>
      </c>
      <c r="K685" s="469">
        <v>29</v>
      </c>
      <c r="L685" s="473"/>
      <c r="M685" s="623">
        <v>156</v>
      </c>
      <c r="N685" s="623">
        <v>7</v>
      </c>
      <c r="O685" s="624">
        <v>4.4871794871794872E-2</v>
      </c>
      <c r="P685" s="624">
        <v>4.4871794871794872E-2</v>
      </c>
      <c r="Q685" s="785">
        <f t="shared" si="10"/>
        <v>0.15473032714412024</v>
      </c>
      <c r="R685" s="468" t="s">
        <v>1718</v>
      </c>
      <c r="S685" s="629"/>
    </row>
    <row r="686" spans="1:19" ht="15" x14ac:dyDescent="0.25">
      <c r="A686" s="621" t="s">
        <v>351</v>
      </c>
      <c r="B686" s="466" t="s">
        <v>111</v>
      </c>
      <c r="C686" s="631" t="s">
        <v>738</v>
      </c>
      <c r="D686" s="467" t="s">
        <v>881</v>
      </c>
      <c r="E686" s="474" t="s">
        <v>1721</v>
      </c>
      <c r="F686" s="469" t="s">
        <v>117</v>
      </c>
      <c r="G686" s="470" t="s">
        <v>935</v>
      </c>
      <c r="H686" s="622" t="s">
        <v>916</v>
      </c>
      <c r="I686" s="633" t="s">
        <v>116</v>
      </c>
      <c r="J686" s="471" t="s">
        <v>913</v>
      </c>
      <c r="K686" s="469">
        <v>8</v>
      </c>
      <c r="L686" s="473"/>
      <c r="M686" s="623">
        <v>54</v>
      </c>
      <c r="N686" s="623">
        <v>6</v>
      </c>
      <c r="O686" s="624">
        <v>0.1111111111111111</v>
      </c>
      <c r="P686" s="624">
        <v>0.1111111111111111</v>
      </c>
      <c r="Q686" s="785">
        <f t="shared" si="10"/>
        <v>1.3888888888888888</v>
      </c>
      <c r="R686" s="468" t="s">
        <v>1718</v>
      </c>
      <c r="S686" s="629"/>
    </row>
    <row r="687" spans="1:19" ht="15" x14ac:dyDescent="0.25">
      <c r="A687" s="621" t="s">
        <v>351</v>
      </c>
      <c r="B687" s="466" t="s">
        <v>111</v>
      </c>
      <c r="C687" s="631" t="s">
        <v>738</v>
      </c>
      <c r="D687" s="467" t="s">
        <v>883</v>
      </c>
      <c r="E687" s="474" t="s">
        <v>1721</v>
      </c>
      <c r="F687" s="469" t="s">
        <v>117</v>
      </c>
      <c r="G687" s="470" t="s">
        <v>935</v>
      </c>
      <c r="H687" s="622" t="s">
        <v>916</v>
      </c>
      <c r="I687" s="633" t="s">
        <v>116</v>
      </c>
      <c r="J687" s="471" t="s">
        <v>913</v>
      </c>
      <c r="K687" s="469">
        <v>8</v>
      </c>
      <c r="L687" s="473"/>
      <c r="M687" s="623">
        <v>0</v>
      </c>
      <c r="N687" s="623">
        <v>0</v>
      </c>
      <c r="O687" s="624">
        <v>0</v>
      </c>
      <c r="P687" s="624">
        <v>0</v>
      </c>
      <c r="Q687" s="785" t="e">
        <f t="shared" si="10"/>
        <v>#DIV/0!</v>
      </c>
      <c r="R687" s="468" t="s">
        <v>1719</v>
      </c>
      <c r="S687" s="629"/>
    </row>
    <row r="688" spans="1:19" ht="15" x14ac:dyDescent="0.25">
      <c r="A688" s="621" t="s">
        <v>351</v>
      </c>
      <c r="B688" s="466" t="s">
        <v>111</v>
      </c>
      <c r="C688" s="631" t="s">
        <v>738</v>
      </c>
      <c r="D688" s="467" t="s">
        <v>866</v>
      </c>
      <c r="E688" s="474" t="s">
        <v>1722</v>
      </c>
      <c r="F688" s="469" t="s">
        <v>117</v>
      </c>
      <c r="G688" s="470" t="s">
        <v>935</v>
      </c>
      <c r="H688" s="622" t="s">
        <v>916</v>
      </c>
      <c r="I688" s="633" t="s">
        <v>116</v>
      </c>
      <c r="J688" s="471" t="s">
        <v>913</v>
      </c>
      <c r="K688" s="469">
        <v>8</v>
      </c>
      <c r="L688" s="473"/>
      <c r="M688" s="623">
        <v>0</v>
      </c>
      <c r="N688" s="623">
        <v>1</v>
      </c>
      <c r="O688" s="624">
        <v>0</v>
      </c>
      <c r="P688" s="624">
        <v>0</v>
      </c>
      <c r="Q688" s="785" t="e">
        <f t="shared" si="10"/>
        <v>#DIV/0!</v>
      </c>
      <c r="R688" s="468" t="s">
        <v>1719</v>
      </c>
      <c r="S688" s="629"/>
    </row>
    <row r="689" spans="1:19" ht="15" x14ac:dyDescent="0.25">
      <c r="A689" s="621" t="s">
        <v>351</v>
      </c>
      <c r="B689" s="466" t="s">
        <v>111</v>
      </c>
      <c r="C689" s="631" t="s">
        <v>738</v>
      </c>
      <c r="D689" s="467" t="s">
        <v>869</v>
      </c>
      <c r="E689" s="474" t="s">
        <v>1722</v>
      </c>
      <c r="F689" s="469" t="s">
        <v>117</v>
      </c>
      <c r="G689" s="470" t="s">
        <v>935</v>
      </c>
      <c r="H689" s="622" t="s">
        <v>916</v>
      </c>
      <c r="I689" s="633" t="s">
        <v>116</v>
      </c>
      <c r="J689" s="471" t="s">
        <v>913</v>
      </c>
      <c r="K689" s="469">
        <v>8</v>
      </c>
      <c r="L689" s="473"/>
      <c r="M689" s="623">
        <v>7</v>
      </c>
      <c r="N689" s="623">
        <v>2</v>
      </c>
      <c r="O689" s="624">
        <v>0.2857142857142857</v>
      </c>
      <c r="P689" s="624">
        <v>0.2857142857142857</v>
      </c>
      <c r="Q689" s="785">
        <f t="shared" si="10"/>
        <v>3.5714285714285712</v>
      </c>
      <c r="R689" s="468" t="s">
        <v>1718</v>
      </c>
      <c r="S689" s="629"/>
    </row>
    <row r="690" spans="1:19" ht="15" x14ac:dyDescent="0.25">
      <c r="A690" s="621" t="s">
        <v>351</v>
      </c>
      <c r="B690" s="466" t="s">
        <v>111</v>
      </c>
      <c r="C690" s="631" t="s">
        <v>101</v>
      </c>
      <c r="D690" s="467" t="s">
        <v>889</v>
      </c>
      <c r="E690" s="474"/>
      <c r="F690" s="469" t="s">
        <v>117</v>
      </c>
      <c r="G690" s="470" t="s">
        <v>935</v>
      </c>
      <c r="H690" s="622" t="s">
        <v>917</v>
      </c>
      <c r="I690" s="633" t="s">
        <v>116</v>
      </c>
      <c r="J690" s="471" t="s">
        <v>913</v>
      </c>
      <c r="K690" s="469">
        <v>17</v>
      </c>
      <c r="L690" s="473"/>
      <c r="M690" s="623">
        <v>112</v>
      </c>
      <c r="N690" s="623">
        <v>19</v>
      </c>
      <c r="O690" s="624">
        <v>0.16964285714285715</v>
      </c>
      <c r="P690" s="624">
        <v>0.16964285714285715</v>
      </c>
      <c r="Q690" s="785">
        <f t="shared" si="10"/>
        <v>0.99789915966386555</v>
      </c>
      <c r="R690" s="468" t="s">
        <v>1718</v>
      </c>
      <c r="S690" s="629"/>
    </row>
    <row r="691" spans="1:19" ht="15" x14ac:dyDescent="0.25">
      <c r="A691" s="621" t="s">
        <v>351</v>
      </c>
      <c r="B691" s="466" t="s">
        <v>111</v>
      </c>
      <c r="C691" s="631" t="s">
        <v>101</v>
      </c>
      <c r="D691" s="467" t="s">
        <v>881</v>
      </c>
      <c r="E691" s="474"/>
      <c r="F691" s="469" t="s">
        <v>117</v>
      </c>
      <c r="G691" s="470" t="s">
        <v>935</v>
      </c>
      <c r="H691" s="622" t="s">
        <v>916</v>
      </c>
      <c r="I691" s="633" t="s">
        <v>116</v>
      </c>
      <c r="J691" s="471" t="s">
        <v>913</v>
      </c>
      <c r="K691" s="469">
        <v>36</v>
      </c>
      <c r="L691" s="473"/>
      <c r="M691" s="623">
        <v>9</v>
      </c>
      <c r="N691" s="623">
        <v>2</v>
      </c>
      <c r="O691" s="624">
        <v>0.22222222222222221</v>
      </c>
      <c r="P691" s="624">
        <v>0.22222222222222221</v>
      </c>
      <c r="Q691" s="785">
        <f t="shared" si="10"/>
        <v>0.61728395061728392</v>
      </c>
      <c r="R691" s="468" t="s">
        <v>1718</v>
      </c>
      <c r="S691" s="629"/>
    </row>
    <row r="692" spans="1:19" ht="15" x14ac:dyDescent="0.25">
      <c r="A692" s="621" t="s">
        <v>351</v>
      </c>
      <c r="B692" s="466" t="s">
        <v>111</v>
      </c>
      <c r="C692" s="631" t="s">
        <v>101</v>
      </c>
      <c r="D692" s="467" t="s">
        <v>883</v>
      </c>
      <c r="E692" s="474" t="s">
        <v>1723</v>
      </c>
      <c r="F692" s="469" t="s">
        <v>117</v>
      </c>
      <c r="G692" s="470" t="s">
        <v>935</v>
      </c>
      <c r="H692" s="622" t="s">
        <v>916</v>
      </c>
      <c r="I692" s="633" t="s">
        <v>116</v>
      </c>
      <c r="J692" s="471" t="s">
        <v>913</v>
      </c>
      <c r="K692" s="469">
        <v>80</v>
      </c>
      <c r="L692" s="473"/>
      <c r="M692" s="623">
        <v>0</v>
      </c>
      <c r="N692" s="623">
        <v>0</v>
      </c>
      <c r="O692" s="624">
        <v>0</v>
      </c>
      <c r="P692" s="624">
        <v>0</v>
      </c>
      <c r="Q692" s="785" t="e">
        <f t="shared" si="10"/>
        <v>#DIV/0!</v>
      </c>
      <c r="R692" s="468" t="s">
        <v>1719</v>
      </c>
      <c r="S692" s="629"/>
    </row>
    <row r="693" spans="1:19" ht="15" x14ac:dyDescent="0.25">
      <c r="A693" s="621" t="s">
        <v>351</v>
      </c>
      <c r="B693" s="466" t="s">
        <v>111</v>
      </c>
      <c r="C693" s="631" t="s">
        <v>101</v>
      </c>
      <c r="D693" s="467" t="s">
        <v>866</v>
      </c>
      <c r="E693" s="474" t="s">
        <v>1723</v>
      </c>
      <c r="F693" s="469" t="s">
        <v>117</v>
      </c>
      <c r="G693" s="470" t="s">
        <v>935</v>
      </c>
      <c r="H693" s="622" t="s">
        <v>916</v>
      </c>
      <c r="I693" s="633" t="s">
        <v>116</v>
      </c>
      <c r="J693" s="471" t="s">
        <v>913</v>
      </c>
      <c r="K693" s="469" t="s">
        <v>79</v>
      </c>
      <c r="L693" s="473"/>
      <c r="M693" s="623">
        <v>13</v>
      </c>
      <c r="N693" s="623">
        <v>2</v>
      </c>
      <c r="O693" s="624">
        <v>0.15384615384615385</v>
      </c>
      <c r="P693" s="624">
        <v>0.15384615384615385</v>
      </c>
      <c r="Q693" s="785" t="e">
        <f t="shared" si="10"/>
        <v>#VALUE!</v>
      </c>
      <c r="R693" s="468" t="s">
        <v>1718</v>
      </c>
      <c r="S693" s="629"/>
    </row>
    <row r="694" spans="1:19" ht="15" x14ac:dyDescent="0.25">
      <c r="A694" s="621" t="s">
        <v>351</v>
      </c>
      <c r="B694" s="466" t="s">
        <v>111</v>
      </c>
      <c r="C694" s="631" t="s">
        <v>101</v>
      </c>
      <c r="D694" s="467" t="s">
        <v>869</v>
      </c>
      <c r="E694" s="474" t="s">
        <v>1723</v>
      </c>
      <c r="F694" s="469" t="s">
        <v>117</v>
      </c>
      <c r="G694" s="470" t="s">
        <v>935</v>
      </c>
      <c r="H694" s="622" t="s">
        <v>916</v>
      </c>
      <c r="I694" s="633" t="s">
        <v>116</v>
      </c>
      <c r="J694" s="471" t="s">
        <v>913</v>
      </c>
      <c r="K694" s="469" t="s">
        <v>79</v>
      </c>
      <c r="L694" s="473"/>
      <c r="M694" s="623">
        <v>0</v>
      </c>
      <c r="N694" s="623">
        <v>0</v>
      </c>
      <c r="O694" s="624">
        <v>0</v>
      </c>
      <c r="P694" s="624">
        <v>0</v>
      </c>
      <c r="Q694" s="785" t="e">
        <f t="shared" si="10"/>
        <v>#VALUE!</v>
      </c>
      <c r="R694" s="468" t="s">
        <v>1719</v>
      </c>
      <c r="S694" s="629"/>
    </row>
    <row r="695" spans="1:19" ht="15" x14ac:dyDescent="0.25">
      <c r="A695" s="621" t="s">
        <v>351</v>
      </c>
      <c r="B695" s="466" t="s">
        <v>111</v>
      </c>
      <c r="C695" s="631" t="s">
        <v>885</v>
      </c>
      <c r="D695" s="467" t="s">
        <v>889</v>
      </c>
      <c r="E695" s="474"/>
      <c r="F695" s="469" t="s">
        <v>117</v>
      </c>
      <c r="G695" s="470" t="s">
        <v>935</v>
      </c>
      <c r="H695" s="622" t="s">
        <v>917</v>
      </c>
      <c r="I695" s="633" t="s">
        <v>116</v>
      </c>
      <c r="J695" s="471" t="s">
        <v>913</v>
      </c>
      <c r="K695" s="469">
        <v>13</v>
      </c>
      <c r="L695" s="473"/>
      <c r="M695" s="623">
        <v>0</v>
      </c>
      <c r="N695" s="623">
        <v>0</v>
      </c>
      <c r="O695" s="624">
        <v>0</v>
      </c>
      <c r="P695" s="624">
        <v>0</v>
      </c>
      <c r="Q695" s="785" t="e">
        <f t="shared" si="10"/>
        <v>#DIV/0!</v>
      </c>
      <c r="R695" s="468" t="s">
        <v>1719</v>
      </c>
      <c r="S695" s="629"/>
    </row>
    <row r="696" spans="1:19" ht="15" x14ac:dyDescent="0.25">
      <c r="A696" s="621" t="s">
        <v>351</v>
      </c>
      <c r="B696" s="466" t="s">
        <v>111</v>
      </c>
      <c r="C696" s="631" t="s">
        <v>885</v>
      </c>
      <c r="D696" s="467" t="s">
        <v>881</v>
      </c>
      <c r="E696" s="474"/>
      <c r="F696" s="469" t="s">
        <v>117</v>
      </c>
      <c r="G696" s="470" t="s">
        <v>935</v>
      </c>
      <c r="H696" s="622" t="s">
        <v>916</v>
      </c>
      <c r="I696" s="633" t="s">
        <v>116</v>
      </c>
      <c r="J696" s="471" t="s">
        <v>913</v>
      </c>
      <c r="K696" s="469">
        <v>13</v>
      </c>
      <c r="L696" s="473"/>
      <c r="M696" s="623">
        <v>5</v>
      </c>
      <c r="N696" s="623">
        <v>0</v>
      </c>
      <c r="O696" s="624">
        <v>0</v>
      </c>
      <c r="P696" s="624">
        <v>0</v>
      </c>
      <c r="Q696" s="785">
        <f t="shared" si="10"/>
        <v>0</v>
      </c>
      <c r="R696" s="468" t="s">
        <v>1719</v>
      </c>
      <c r="S696" s="629"/>
    </row>
    <row r="697" spans="1:19" ht="15" x14ac:dyDescent="0.25">
      <c r="A697" s="621" t="s">
        <v>351</v>
      </c>
      <c r="B697" s="466" t="s">
        <v>111</v>
      </c>
      <c r="C697" s="631" t="s">
        <v>885</v>
      </c>
      <c r="D697" s="467" t="s">
        <v>883</v>
      </c>
      <c r="E697" s="474" t="s">
        <v>1724</v>
      </c>
      <c r="F697" s="469" t="s">
        <v>117</v>
      </c>
      <c r="G697" s="470" t="s">
        <v>935</v>
      </c>
      <c r="H697" s="622" t="s">
        <v>916</v>
      </c>
      <c r="I697" s="633" t="s">
        <v>116</v>
      </c>
      <c r="J697" s="471" t="s">
        <v>913</v>
      </c>
      <c r="K697" s="469" t="s">
        <v>79</v>
      </c>
      <c r="L697" s="473"/>
      <c r="M697" s="623">
        <v>5</v>
      </c>
      <c r="N697" s="623">
        <v>0</v>
      </c>
      <c r="O697" s="624">
        <v>0</v>
      </c>
      <c r="P697" s="624">
        <v>0</v>
      </c>
      <c r="Q697" s="785" t="e">
        <f t="shared" si="10"/>
        <v>#VALUE!</v>
      </c>
      <c r="R697" s="468" t="s">
        <v>1719</v>
      </c>
      <c r="S697" s="629"/>
    </row>
    <row r="698" spans="1:19" ht="15" x14ac:dyDescent="0.25">
      <c r="A698" s="621" t="s">
        <v>351</v>
      </c>
      <c r="B698" s="466" t="s">
        <v>111</v>
      </c>
      <c r="C698" s="631" t="s">
        <v>885</v>
      </c>
      <c r="D698" s="467" t="s">
        <v>866</v>
      </c>
      <c r="E698" s="474" t="s">
        <v>1724</v>
      </c>
      <c r="F698" s="469" t="s">
        <v>117</v>
      </c>
      <c r="G698" s="470" t="s">
        <v>935</v>
      </c>
      <c r="H698" s="622" t="s">
        <v>916</v>
      </c>
      <c r="I698" s="633" t="s">
        <v>116</v>
      </c>
      <c r="J698" s="471" t="s">
        <v>913</v>
      </c>
      <c r="K698" s="469" t="s">
        <v>79</v>
      </c>
      <c r="L698" s="473"/>
      <c r="M698" s="623">
        <v>0</v>
      </c>
      <c r="N698" s="623">
        <v>0</v>
      </c>
      <c r="O698" s="624">
        <v>0</v>
      </c>
      <c r="P698" s="624">
        <v>0</v>
      </c>
      <c r="Q698" s="785" t="e">
        <f t="shared" si="10"/>
        <v>#VALUE!</v>
      </c>
      <c r="R698" s="468" t="s">
        <v>1719</v>
      </c>
      <c r="S698" s="629"/>
    </row>
    <row r="699" spans="1:19" ht="15" x14ac:dyDescent="0.25">
      <c r="A699" s="621" t="s">
        <v>351</v>
      </c>
      <c r="B699" s="466" t="s">
        <v>111</v>
      </c>
      <c r="C699" s="631" t="s">
        <v>885</v>
      </c>
      <c r="D699" s="467" t="s">
        <v>869</v>
      </c>
      <c r="E699" s="474"/>
      <c r="F699" s="469" t="s">
        <v>117</v>
      </c>
      <c r="G699" s="470" t="s">
        <v>935</v>
      </c>
      <c r="H699" s="622" t="s">
        <v>916</v>
      </c>
      <c r="I699" s="633" t="s">
        <v>116</v>
      </c>
      <c r="J699" s="471" t="s">
        <v>913</v>
      </c>
      <c r="K699" s="469">
        <v>25</v>
      </c>
      <c r="L699" s="473"/>
      <c r="M699" s="623">
        <v>12</v>
      </c>
      <c r="N699" s="623">
        <v>5</v>
      </c>
      <c r="O699" s="624">
        <v>0.41666666666666669</v>
      </c>
      <c r="P699" s="624">
        <v>0.41666666666666669</v>
      </c>
      <c r="Q699" s="785">
        <f t="shared" si="10"/>
        <v>1.6666666666666667</v>
      </c>
      <c r="R699" s="468" t="s">
        <v>1718</v>
      </c>
      <c r="S699" s="629"/>
    </row>
    <row r="700" spans="1:19" ht="15" x14ac:dyDescent="0.25">
      <c r="A700" s="621" t="s">
        <v>351</v>
      </c>
      <c r="B700" s="466" t="s">
        <v>111</v>
      </c>
      <c r="C700" s="631" t="s">
        <v>885</v>
      </c>
      <c r="D700" s="467" t="s">
        <v>887</v>
      </c>
      <c r="E700" s="474"/>
      <c r="F700" s="469" t="s">
        <v>117</v>
      </c>
      <c r="G700" s="470" t="s">
        <v>935</v>
      </c>
      <c r="H700" s="622" t="s">
        <v>916</v>
      </c>
      <c r="I700" s="633" t="s">
        <v>116</v>
      </c>
      <c r="J700" s="471" t="s">
        <v>913</v>
      </c>
      <c r="K700" s="469">
        <v>10</v>
      </c>
      <c r="L700" s="473"/>
      <c r="M700" s="623">
        <v>20</v>
      </c>
      <c r="N700" s="623">
        <v>8</v>
      </c>
      <c r="O700" s="624">
        <v>0.4</v>
      </c>
      <c r="P700" s="624">
        <v>0.4</v>
      </c>
      <c r="Q700" s="785">
        <f t="shared" si="10"/>
        <v>4</v>
      </c>
      <c r="R700" s="468" t="s">
        <v>1718</v>
      </c>
      <c r="S700" s="629"/>
    </row>
    <row r="701" spans="1:19" ht="15" x14ac:dyDescent="0.25">
      <c r="A701" s="621" t="s">
        <v>351</v>
      </c>
      <c r="B701" s="466" t="s">
        <v>111</v>
      </c>
      <c r="C701" s="631" t="s">
        <v>904</v>
      </c>
      <c r="D701" s="467" t="s">
        <v>881</v>
      </c>
      <c r="E701" s="474" t="s">
        <v>1718</v>
      </c>
      <c r="F701" s="469" t="s">
        <v>117</v>
      </c>
      <c r="G701" s="470" t="s">
        <v>935</v>
      </c>
      <c r="H701" s="622" t="s">
        <v>916</v>
      </c>
      <c r="I701" s="633" t="s">
        <v>116</v>
      </c>
      <c r="J701" s="471" t="s">
        <v>913</v>
      </c>
      <c r="K701" s="469" t="s">
        <v>79</v>
      </c>
      <c r="L701" s="473"/>
      <c r="M701" s="623">
        <v>0</v>
      </c>
      <c r="N701" s="623">
        <v>0</v>
      </c>
      <c r="O701" s="624">
        <v>0</v>
      </c>
      <c r="P701" s="624">
        <v>0</v>
      </c>
      <c r="Q701" s="785" t="e">
        <f t="shared" si="10"/>
        <v>#VALUE!</v>
      </c>
      <c r="R701" s="468" t="s">
        <v>1719</v>
      </c>
      <c r="S701" s="629"/>
    </row>
    <row r="702" spans="1:19" ht="15" x14ac:dyDescent="0.25">
      <c r="A702" s="621" t="s">
        <v>351</v>
      </c>
      <c r="B702" s="466" t="s">
        <v>111</v>
      </c>
      <c r="C702" s="631" t="s">
        <v>904</v>
      </c>
      <c r="D702" s="467" t="s">
        <v>883</v>
      </c>
      <c r="E702" s="474" t="s">
        <v>1725</v>
      </c>
      <c r="F702" s="469" t="s">
        <v>117</v>
      </c>
      <c r="G702" s="470" t="s">
        <v>935</v>
      </c>
      <c r="H702" s="622" t="s">
        <v>916</v>
      </c>
      <c r="I702" s="633" t="s">
        <v>116</v>
      </c>
      <c r="J702" s="471" t="s">
        <v>913</v>
      </c>
      <c r="K702" s="469" t="s">
        <v>79</v>
      </c>
      <c r="L702" s="473"/>
      <c r="M702" s="623">
        <v>1</v>
      </c>
      <c r="N702" s="623">
        <v>1</v>
      </c>
      <c r="O702" s="624">
        <v>1</v>
      </c>
      <c r="P702" s="624">
        <v>1</v>
      </c>
      <c r="Q702" s="785" t="e">
        <f t="shared" si="10"/>
        <v>#VALUE!</v>
      </c>
      <c r="R702" s="468" t="s">
        <v>1718</v>
      </c>
      <c r="S702" s="629"/>
    </row>
    <row r="703" spans="1:19" ht="15" x14ac:dyDescent="0.25">
      <c r="A703" s="621" t="s">
        <v>351</v>
      </c>
      <c r="B703" s="466" t="s">
        <v>111</v>
      </c>
      <c r="C703" s="631" t="s">
        <v>740</v>
      </c>
      <c r="D703" s="467" t="s">
        <v>889</v>
      </c>
      <c r="E703" s="474"/>
      <c r="F703" s="469" t="s">
        <v>117</v>
      </c>
      <c r="G703" s="470" t="s">
        <v>935</v>
      </c>
      <c r="H703" s="622" t="s">
        <v>917</v>
      </c>
      <c r="I703" s="633" t="s">
        <v>116</v>
      </c>
      <c r="J703" s="471" t="s">
        <v>913</v>
      </c>
      <c r="K703" s="469">
        <v>38</v>
      </c>
      <c r="L703" s="473"/>
      <c r="M703" s="623">
        <v>37</v>
      </c>
      <c r="N703" s="623">
        <v>3</v>
      </c>
      <c r="O703" s="624">
        <v>8.1081081081081086E-2</v>
      </c>
      <c r="P703" s="624">
        <v>8.1081081081081086E-2</v>
      </c>
      <c r="Q703" s="785">
        <f t="shared" si="10"/>
        <v>0.21337126600284495</v>
      </c>
      <c r="R703" s="468" t="s">
        <v>1718</v>
      </c>
      <c r="S703" s="629"/>
    </row>
    <row r="704" spans="1:19" ht="15" x14ac:dyDescent="0.25">
      <c r="A704" s="621" t="s">
        <v>351</v>
      </c>
      <c r="B704" s="466" t="s">
        <v>111</v>
      </c>
      <c r="C704" s="631" t="s">
        <v>740</v>
      </c>
      <c r="D704" s="467" t="s">
        <v>881</v>
      </c>
      <c r="E704" s="474" t="s">
        <v>1726</v>
      </c>
      <c r="F704" s="469" t="s">
        <v>117</v>
      </c>
      <c r="G704" s="470" t="s">
        <v>935</v>
      </c>
      <c r="H704" s="622" t="s">
        <v>916</v>
      </c>
      <c r="I704" s="633" t="s">
        <v>116</v>
      </c>
      <c r="J704" s="471" t="s">
        <v>913</v>
      </c>
      <c r="K704" s="469" t="s">
        <v>79</v>
      </c>
      <c r="L704" s="473"/>
      <c r="M704" s="623">
        <v>4</v>
      </c>
      <c r="N704" s="623">
        <v>0</v>
      </c>
      <c r="O704" s="624">
        <v>0</v>
      </c>
      <c r="P704" s="624">
        <v>0</v>
      </c>
      <c r="Q704" s="785" t="e">
        <f t="shared" si="10"/>
        <v>#VALUE!</v>
      </c>
      <c r="R704" s="468" t="s">
        <v>1719</v>
      </c>
      <c r="S704" s="629"/>
    </row>
    <row r="705" spans="1:19" ht="15" x14ac:dyDescent="0.25">
      <c r="A705" s="621" t="s">
        <v>351</v>
      </c>
      <c r="B705" s="466" t="s">
        <v>111</v>
      </c>
      <c r="C705" s="631" t="s">
        <v>740</v>
      </c>
      <c r="D705" s="467" t="s">
        <v>883</v>
      </c>
      <c r="E705" s="474" t="s">
        <v>1726</v>
      </c>
      <c r="F705" s="469" t="s">
        <v>117</v>
      </c>
      <c r="G705" s="470" t="s">
        <v>935</v>
      </c>
      <c r="H705" s="622" t="s">
        <v>916</v>
      </c>
      <c r="I705" s="633" t="s">
        <v>116</v>
      </c>
      <c r="J705" s="471" t="s">
        <v>913</v>
      </c>
      <c r="K705" s="469" t="s">
        <v>79</v>
      </c>
      <c r="L705" s="473"/>
      <c r="M705" s="623">
        <v>0</v>
      </c>
      <c r="N705" s="623">
        <v>0</v>
      </c>
      <c r="O705" s="624">
        <v>0</v>
      </c>
      <c r="P705" s="624">
        <v>0</v>
      </c>
      <c r="Q705" s="785" t="e">
        <f t="shared" si="10"/>
        <v>#VALUE!</v>
      </c>
      <c r="R705" s="468" t="s">
        <v>1719</v>
      </c>
      <c r="S705" s="629"/>
    </row>
    <row r="706" spans="1:19" ht="15" x14ac:dyDescent="0.25">
      <c r="A706" s="621" t="s">
        <v>351</v>
      </c>
      <c r="B706" s="466" t="s">
        <v>111</v>
      </c>
      <c r="C706" s="631" t="s">
        <v>894</v>
      </c>
      <c r="D706" s="467" t="s">
        <v>889</v>
      </c>
      <c r="E706" s="474"/>
      <c r="F706" s="469" t="s">
        <v>117</v>
      </c>
      <c r="G706" s="470" t="s">
        <v>935</v>
      </c>
      <c r="H706" s="622" t="s">
        <v>917</v>
      </c>
      <c r="I706" s="633" t="s">
        <v>116</v>
      </c>
      <c r="J706" s="471" t="s">
        <v>913</v>
      </c>
      <c r="K706" s="469">
        <v>5</v>
      </c>
      <c r="L706" s="473"/>
      <c r="M706" s="623">
        <v>543</v>
      </c>
      <c r="N706" s="623">
        <v>32</v>
      </c>
      <c r="O706" s="624">
        <v>5.8931860036832415E-2</v>
      </c>
      <c r="P706" s="624">
        <v>5.8931860036832415E-2</v>
      </c>
      <c r="Q706" s="785">
        <f t="shared" si="10"/>
        <v>1.1786372007366483</v>
      </c>
      <c r="R706" s="468" t="s">
        <v>1718</v>
      </c>
      <c r="S706" s="629"/>
    </row>
    <row r="707" spans="1:19" ht="15" x14ac:dyDescent="0.25">
      <c r="A707" s="621" t="s">
        <v>351</v>
      </c>
      <c r="B707" s="466" t="s">
        <v>111</v>
      </c>
      <c r="C707" s="631" t="s">
        <v>894</v>
      </c>
      <c r="D707" s="467" t="s">
        <v>881</v>
      </c>
      <c r="E707" s="474"/>
      <c r="F707" s="469" t="s">
        <v>117</v>
      </c>
      <c r="G707" s="470" t="s">
        <v>935</v>
      </c>
      <c r="H707" s="622" t="s">
        <v>916</v>
      </c>
      <c r="I707" s="633" t="s">
        <v>116</v>
      </c>
      <c r="J707" s="471" t="s">
        <v>913</v>
      </c>
      <c r="K707" s="469">
        <v>32</v>
      </c>
      <c r="L707" s="473"/>
      <c r="M707" s="623">
        <v>78</v>
      </c>
      <c r="N707" s="623">
        <v>28</v>
      </c>
      <c r="O707" s="624">
        <v>0.35897435897435898</v>
      </c>
      <c r="P707" s="624">
        <v>0.35897435897435898</v>
      </c>
      <c r="Q707" s="785">
        <f t="shared" si="10"/>
        <v>1.1217948717948718</v>
      </c>
      <c r="R707" s="468" t="s">
        <v>1718</v>
      </c>
      <c r="S707" s="629"/>
    </row>
    <row r="708" spans="1:19" ht="15" x14ac:dyDescent="0.25">
      <c r="A708" s="621" t="s">
        <v>351</v>
      </c>
      <c r="B708" s="466" t="s">
        <v>111</v>
      </c>
      <c r="C708" s="631" t="s">
        <v>894</v>
      </c>
      <c r="D708" s="467" t="s">
        <v>883</v>
      </c>
      <c r="E708" s="474" t="s">
        <v>1727</v>
      </c>
      <c r="F708" s="469" t="s">
        <v>117</v>
      </c>
      <c r="G708" s="470" t="s">
        <v>935</v>
      </c>
      <c r="H708" s="622" t="s">
        <v>916</v>
      </c>
      <c r="I708" s="633" t="s">
        <v>116</v>
      </c>
      <c r="J708" s="471" t="s">
        <v>913</v>
      </c>
      <c r="K708" s="469">
        <v>33</v>
      </c>
      <c r="L708" s="473"/>
      <c r="M708" s="623">
        <v>25</v>
      </c>
      <c r="N708" s="623">
        <v>9</v>
      </c>
      <c r="O708" s="624">
        <v>0.36</v>
      </c>
      <c r="P708" s="624">
        <v>0.36</v>
      </c>
      <c r="Q708" s="785">
        <f t="shared" si="10"/>
        <v>1.0909090909090908</v>
      </c>
      <c r="R708" s="468" t="s">
        <v>1718</v>
      </c>
      <c r="S708" s="629"/>
    </row>
    <row r="709" spans="1:19" ht="15" x14ac:dyDescent="0.25">
      <c r="A709" s="621" t="s">
        <v>351</v>
      </c>
      <c r="B709" s="466" t="s">
        <v>111</v>
      </c>
      <c r="C709" s="631" t="s">
        <v>894</v>
      </c>
      <c r="D709" s="467" t="s">
        <v>869</v>
      </c>
      <c r="E709" s="474" t="s">
        <v>1727</v>
      </c>
      <c r="F709" s="469" t="s">
        <v>117</v>
      </c>
      <c r="G709" s="470" t="s">
        <v>935</v>
      </c>
      <c r="H709" s="622" t="s">
        <v>916</v>
      </c>
      <c r="I709" s="633" t="s">
        <v>116</v>
      </c>
      <c r="J709" s="471" t="s">
        <v>913</v>
      </c>
      <c r="K709" s="469" t="s">
        <v>79</v>
      </c>
      <c r="L709" s="473"/>
      <c r="M709" s="623">
        <v>0</v>
      </c>
      <c r="N709" s="623">
        <v>0</v>
      </c>
      <c r="O709" s="624">
        <v>0</v>
      </c>
      <c r="P709" s="624">
        <v>0</v>
      </c>
      <c r="Q709" s="785" t="e">
        <f t="shared" si="10"/>
        <v>#VALUE!</v>
      </c>
      <c r="R709" s="468" t="s">
        <v>1719</v>
      </c>
      <c r="S709" s="629"/>
    </row>
    <row r="710" spans="1:19" ht="15" x14ac:dyDescent="0.25">
      <c r="A710" s="621" t="s">
        <v>351</v>
      </c>
      <c r="B710" s="466" t="s">
        <v>111</v>
      </c>
      <c r="C710" s="631" t="s">
        <v>99</v>
      </c>
      <c r="D710" s="467" t="s">
        <v>866</v>
      </c>
      <c r="E710" s="474" t="s">
        <v>1720</v>
      </c>
      <c r="F710" s="469" t="s">
        <v>117</v>
      </c>
      <c r="G710" s="470" t="s">
        <v>936</v>
      </c>
      <c r="H710" s="622" t="s">
        <v>916</v>
      </c>
      <c r="I710" s="633" t="s">
        <v>116</v>
      </c>
      <c r="J710" s="471" t="s">
        <v>913</v>
      </c>
      <c r="K710" s="469">
        <v>33</v>
      </c>
      <c r="L710" s="473"/>
      <c r="M710" s="623">
        <v>0</v>
      </c>
      <c r="N710" s="623">
        <v>0</v>
      </c>
      <c r="O710" s="624">
        <v>0</v>
      </c>
      <c r="P710" s="624">
        <v>0</v>
      </c>
      <c r="Q710" s="785" t="e">
        <f t="shared" ref="Q710:Q773" si="11">N710/(M710*K710/100)</f>
        <v>#DIV/0!</v>
      </c>
      <c r="R710" s="468" t="s">
        <v>1719</v>
      </c>
      <c r="S710" s="629"/>
    </row>
    <row r="711" spans="1:19" ht="15" x14ac:dyDescent="0.25">
      <c r="A711" s="621" t="s">
        <v>351</v>
      </c>
      <c r="B711" s="466" t="s">
        <v>111</v>
      </c>
      <c r="C711" s="631" t="s">
        <v>99</v>
      </c>
      <c r="D711" s="467" t="s">
        <v>869</v>
      </c>
      <c r="E711" s="474" t="s">
        <v>1720</v>
      </c>
      <c r="F711" s="469" t="s">
        <v>117</v>
      </c>
      <c r="G711" s="470" t="s">
        <v>936</v>
      </c>
      <c r="H711" s="622" t="s">
        <v>916</v>
      </c>
      <c r="I711" s="633" t="s">
        <v>116</v>
      </c>
      <c r="J711" s="471" t="s">
        <v>913</v>
      </c>
      <c r="K711" s="469">
        <v>33</v>
      </c>
      <c r="L711" s="473"/>
      <c r="M711" s="623">
        <v>14</v>
      </c>
      <c r="N711" s="623">
        <v>2</v>
      </c>
      <c r="O711" s="624">
        <v>0.14285714285714285</v>
      </c>
      <c r="P711" s="624">
        <v>0.14285714285714285</v>
      </c>
      <c r="Q711" s="785">
        <f t="shared" si="11"/>
        <v>0.4329004329004329</v>
      </c>
      <c r="R711" s="468" t="s">
        <v>1718</v>
      </c>
      <c r="S711" s="629"/>
    </row>
    <row r="712" spans="1:19" ht="15" x14ac:dyDescent="0.25">
      <c r="A712" s="621" t="s">
        <v>351</v>
      </c>
      <c r="B712" s="466" t="s">
        <v>111</v>
      </c>
      <c r="C712" s="631" t="s">
        <v>870</v>
      </c>
      <c r="D712" s="467" t="s">
        <v>889</v>
      </c>
      <c r="E712" s="474"/>
      <c r="F712" s="469" t="s">
        <v>117</v>
      </c>
      <c r="G712" s="470" t="s">
        <v>936</v>
      </c>
      <c r="H712" s="622" t="s">
        <v>917</v>
      </c>
      <c r="I712" s="633" t="s">
        <v>116</v>
      </c>
      <c r="J712" s="471" t="s">
        <v>913</v>
      </c>
      <c r="K712" s="469">
        <v>16</v>
      </c>
      <c r="L712" s="473"/>
      <c r="M712" s="623">
        <v>50</v>
      </c>
      <c r="N712" s="623">
        <v>4</v>
      </c>
      <c r="O712" s="624">
        <v>0.08</v>
      </c>
      <c r="P712" s="624">
        <v>0.08</v>
      </c>
      <c r="Q712" s="785">
        <f t="shared" si="11"/>
        <v>0.5</v>
      </c>
      <c r="R712" s="468" t="s">
        <v>1718</v>
      </c>
      <c r="S712" s="629"/>
    </row>
    <row r="713" spans="1:19" ht="15" x14ac:dyDescent="0.25">
      <c r="A713" s="621" t="s">
        <v>351</v>
      </c>
      <c r="B713" s="466" t="s">
        <v>111</v>
      </c>
      <c r="C713" s="631" t="s">
        <v>870</v>
      </c>
      <c r="D713" s="467" t="s">
        <v>881</v>
      </c>
      <c r="E713" s="474"/>
      <c r="F713" s="469" t="s">
        <v>117</v>
      </c>
      <c r="G713" s="470" t="s">
        <v>936</v>
      </c>
      <c r="H713" s="622" t="s">
        <v>916</v>
      </c>
      <c r="I713" s="633" t="s">
        <v>116</v>
      </c>
      <c r="J713" s="471" t="s">
        <v>913</v>
      </c>
      <c r="K713" s="469">
        <v>16</v>
      </c>
      <c r="L713" s="473"/>
      <c r="M713" s="623">
        <v>19</v>
      </c>
      <c r="N713" s="623">
        <v>3</v>
      </c>
      <c r="O713" s="624">
        <v>0.15789473684210525</v>
      </c>
      <c r="P713" s="624">
        <v>0.15789473684210525</v>
      </c>
      <c r="Q713" s="785">
        <f t="shared" si="11"/>
        <v>0.98684210526315785</v>
      </c>
      <c r="R713" s="468" t="s">
        <v>1718</v>
      </c>
      <c r="S713" s="629"/>
    </row>
    <row r="714" spans="1:19" ht="15" x14ac:dyDescent="0.25">
      <c r="A714" s="621" t="s">
        <v>351</v>
      </c>
      <c r="B714" s="466" t="s">
        <v>111</v>
      </c>
      <c r="C714" s="631" t="s">
        <v>870</v>
      </c>
      <c r="D714" s="467" t="s">
        <v>883</v>
      </c>
      <c r="E714" s="474"/>
      <c r="F714" s="469" t="s">
        <v>117</v>
      </c>
      <c r="G714" s="470" t="s">
        <v>936</v>
      </c>
      <c r="H714" s="622" t="s">
        <v>916</v>
      </c>
      <c r="I714" s="633" t="s">
        <v>116</v>
      </c>
      <c r="J714" s="471" t="s">
        <v>913</v>
      </c>
      <c r="K714" s="469">
        <v>6</v>
      </c>
      <c r="L714" s="473"/>
      <c r="M714" s="623">
        <v>39</v>
      </c>
      <c r="N714" s="623">
        <v>9</v>
      </c>
      <c r="O714" s="624">
        <v>0.23076923076923078</v>
      </c>
      <c r="P714" s="624">
        <v>0.23076923076923078</v>
      </c>
      <c r="Q714" s="785">
        <f t="shared" si="11"/>
        <v>3.8461538461538463</v>
      </c>
      <c r="R714" s="468" t="s">
        <v>1718</v>
      </c>
      <c r="S714" s="629"/>
    </row>
    <row r="715" spans="1:19" ht="15" x14ac:dyDescent="0.25">
      <c r="A715" s="621" t="s">
        <v>351</v>
      </c>
      <c r="B715" s="466" t="s">
        <v>111</v>
      </c>
      <c r="C715" s="631" t="s">
        <v>870</v>
      </c>
      <c r="D715" s="467" t="s">
        <v>866</v>
      </c>
      <c r="E715" s="474"/>
      <c r="F715" s="469" t="s">
        <v>117</v>
      </c>
      <c r="G715" s="470" t="s">
        <v>936</v>
      </c>
      <c r="H715" s="622" t="s">
        <v>916</v>
      </c>
      <c r="I715" s="633" t="s">
        <v>116</v>
      </c>
      <c r="J715" s="471" t="s">
        <v>913</v>
      </c>
      <c r="K715" s="469">
        <v>8</v>
      </c>
      <c r="L715" s="473"/>
      <c r="M715" s="623">
        <v>67</v>
      </c>
      <c r="N715" s="623">
        <v>17</v>
      </c>
      <c r="O715" s="624">
        <v>0.2537313432835821</v>
      </c>
      <c r="P715" s="624">
        <v>0.2537313432835821</v>
      </c>
      <c r="Q715" s="785">
        <f t="shared" si="11"/>
        <v>3.1716417910447761</v>
      </c>
      <c r="R715" s="468" t="s">
        <v>1718</v>
      </c>
      <c r="S715" s="629"/>
    </row>
    <row r="716" spans="1:19" ht="15" x14ac:dyDescent="0.25">
      <c r="A716" s="621" t="s">
        <v>351</v>
      </c>
      <c r="B716" s="466" t="s">
        <v>111</v>
      </c>
      <c r="C716" s="631" t="s">
        <v>870</v>
      </c>
      <c r="D716" s="467" t="s">
        <v>869</v>
      </c>
      <c r="E716" s="474"/>
      <c r="F716" s="469" t="s">
        <v>117</v>
      </c>
      <c r="G716" s="470" t="s">
        <v>936</v>
      </c>
      <c r="H716" s="622" t="s">
        <v>916</v>
      </c>
      <c r="I716" s="633" t="s">
        <v>116</v>
      </c>
      <c r="J716" s="471" t="s">
        <v>913</v>
      </c>
      <c r="K716" s="469">
        <v>5</v>
      </c>
      <c r="L716" s="473"/>
      <c r="M716" s="623">
        <v>46</v>
      </c>
      <c r="N716" s="623">
        <v>18</v>
      </c>
      <c r="O716" s="624">
        <v>0.39130434782608697</v>
      </c>
      <c r="P716" s="624">
        <v>0.39130434782608697</v>
      </c>
      <c r="Q716" s="785">
        <f t="shared" si="11"/>
        <v>7.8260869565217401</v>
      </c>
      <c r="R716" s="468" t="s">
        <v>1718</v>
      </c>
      <c r="S716" s="629"/>
    </row>
    <row r="717" spans="1:19" ht="15" x14ac:dyDescent="0.25">
      <c r="A717" s="621" t="s">
        <v>351</v>
      </c>
      <c r="B717" s="466" t="s">
        <v>111</v>
      </c>
      <c r="C717" s="631" t="s">
        <v>738</v>
      </c>
      <c r="D717" s="467" t="s">
        <v>889</v>
      </c>
      <c r="E717" s="474"/>
      <c r="F717" s="469" t="s">
        <v>117</v>
      </c>
      <c r="G717" s="470" t="s">
        <v>936</v>
      </c>
      <c r="H717" s="622" t="s">
        <v>917</v>
      </c>
      <c r="I717" s="633" t="s">
        <v>116</v>
      </c>
      <c r="J717" s="471" t="s">
        <v>913</v>
      </c>
      <c r="K717" s="469">
        <v>29</v>
      </c>
      <c r="L717" s="473"/>
      <c r="M717" s="623">
        <v>156</v>
      </c>
      <c r="N717" s="623">
        <v>7</v>
      </c>
      <c r="O717" s="624">
        <v>4.4871794871794872E-2</v>
      </c>
      <c r="P717" s="624">
        <v>4.4871794871794872E-2</v>
      </c>
      <c r="Q717" s="785">
        <f t="shared" si="11"/>
        <v>0.15473032714412024</v>
      </c>
      <c r="R717" s="468" t="s">
        <v>1718</v>
      </c>
      <c r="S717" s="629"/>
    </row>
    <row r="718" spans="1:19" ht="15" x14ac:dyDescent="0.25">
      <c r="A718" s="621" t="s">
        <v>351</v>
      </c>
      <c r="B718" s="466" t="s">
        <v>111</v>
      </c>
      <c r="C718" s="631" t="s">
        <v>738</v>
      </c>
      <c r="D718" s="467" t="s">
        <v>881</v>
      </c>
      <c r="E718" s="474" t="s">
        <v>1721</v>
      </c>
      <c r="F718" s="469" t="s">
        <v>117</v>
      </c>
      <c r="G718" s="470" t="s">
        <v>936</v>
      </c>
      <c r="H718" s="622" t="s">
        <v>916</v>
      </c>
      <c r="I718" s="633" t="s">
        <v>116</v>
      </c>
      <c r="J718" s="471" t="s">
        <v>913</v>
      </c>
      <c r="K718" s="469">
        <v>8</v>
      </c>
      <c r="L718" s="473"/>
      <c r="M718" s="623">
        <v>54</v>
      </c>
      <c r="N718" s="623">
        <v>6</v>
      </c>
      <c r="O718" s="624">
        <v>0.1111111111111111</v>
      </c>
      <c r="P718" s="624">
        <v>0.1111111111111111</v>
      </c>
      <c r="Q718" s="785">
        <f t="shared" si="11"/>
        <v>1.3888888888888888</v>
      </c>
      <c r="R718" s="468" t="s">
        <v>1718</v>
      </c>
      <c r="S718" s="629"/>
    </row>
    <row r="719" spans="1:19" ht="15" x14ac:dyDescent="0.25">
      <c r="A719" s="621" t="s">
        <v>351</v>
      </c>
      <c r="B719" s="466" t="s">
        <v>111</v>
      </c>
      <c r="C719" s="631" t="s">
        <v>738</v>
      </c>
      <c r="D719" s="467" t="s">
        <v>883</v>
      </c>
      <c r="E719" s="474" t="s">
        <v>1721</v>
      </c>
      <c r="F719" s="469" t="s">
        <v>117</v>
      </c>
      <c r="G719" s="470" t="s">
        <v>936</v>
      </c>
      <c r="H719" s="622" t="s">
        <v>916</v>
      </c>
      <c r="I719" s="633" t="s">
        <v>116</v>
      </c>
      <c r="J719" s="471" t="s">
        <v>913</v>
      </c>
      <c r="K719" s="469">
        <v>8</v>
      </c>
      <c r="L719" s="473"/>
      <c r="M719" s="623">
        <v>0</v>
      </c>
      <c r="N719" s="623">
        <v>0</v>
      </c>
      <c r="O719" s="624">
        <v>0</v>
      </c>
      <c r="P719" s="624">
        <v>0</v>
      </c>
      <c r="Q719" s="785" t="e">
        <f t="shared" si="11"/>
        <v>#DIV/0!</v>
      </c>
      <c r="R719" s="468" t="s">
        <v>1719</v>
      </c>
      <c r="S719" s="629"/>
    </row>
    <row r="720" spans="1:19" ht="15" x14ac:dyDescent="0.25">
      <c r="A720" s="621" t="s">
        <v>351</v>
      </c>
      <c r="B720" s="466" t="s">
        <v>111</v>
      </c>
      <c r="C720" s="631" t="s">
        <v>738</v>
      </c>
      <c r="D720" s="467" t="s">
        <v>866</v>
      </c>
      <c r="E720" s="474" t="s">
        <v>1722</v>
      </c>
      <c r="F720" s="469" t="s">
        <v>117</v>
      </c>
      <c r="G720" s="470" t="s">
        <v>936</v>
      </c>
      <c r="H720" s="622" t="s">
        <v>916</v>
      </c>
      <c r="I720" s="633" t="s">
        <v>116</v>
      </c>
      <c r="J720" s="471" t="s">
        <v>913</v>
      </c>
      <c r="K720" s="469">
        <v>8</v>
      </c>
      <c r="L720" s="473"/>
      <c r="M720" s="623">
        <v>0</v>
      </c>
      <c r="N720" s="623">
        <v>1</v>
      </c>
      <c r="O720" s="624">
        <v>0</v>
      </c>
      <c r="P720" s="624">
        <v>0</v>
      </c>
      <c r="Q720" s="785" t="e">
        <f t="shared" si="11"/>
        <v>#DIV/0!</v>
      </c>
      <c r="R720" s="468" t="s">
        <v>1719</v>
      </c>
      <c r="S720" s="629"/>
    </row>
    <row r="721" spans="1:19" ht="15" x14ac:dyDescent="0.25">
      <c r="A721" s="621" t="s">
        <v>351</v>
      </c>
      <c r="B721" s="466" t="s">
        <v>111</v>
      </c>
      <c r="C721" s="631" t="s">
        <v>738</v>
      </c>
      <c r="D721" s="467" t="s">
        <v>869</v>
      </c>
      <c r="E721" s="474" t="s">
        <v>1722</v>
      </c>
      <c r="F721" s="469" t="s">
        <v>117</v>
      </c>
      <c r="G721" s="470" t="s">
        <v>936</v>
      </c>
      <c r="H721" s="622" t="s">
        <v>916</v>
      </c>
      <c r="I721" s="633" t="s">
        <v>116</v>
      </c>
      <c r="J721" s="471" t="s">
        <v>913</v>
      </c>
      <c r="K721" s="469">
        <v>8</v>
      </c>
      <c r="L721" s="473"/>
      <c r="M721" s="623">
        <v>7</v>
      </c>
      <c r="N721" s="623">
        <v>2</v>
      </c>
      <c r="O721" s="624">
        <v>0.2857142857142857</v>
      </c>
      <c r="P721" s="624">
        <v>0.2857142857142857</v>
      </c>
      <c r="Q721" s="785">
        <f t="shared" si="11"/>
        <v>3.5714285714285712</v>
      </c>
      <c r="R721" s="468" t="s">
        <v>1718</v>
      </c>
      <c r="S721" s="629"/>
    </row>
    <row r="722" spans="1:19" ht="15" x14ac:dyDescent="0.25">
      <c r="A722" s="621" t="s">
        <v>351</v>
      </c>
      <c r="B722" s="466" t="s">
        <v>111</v>
      </c>
      <c r="C722" s="631" t="s">
        <v>101</v>
      </c>
      <c r="D722" s="467" t="s">
        <v>889</v>
      </c>
      <c r="E722" s="474"/>
      <c r="F722" s="469" t="s">
        <v>117</v>
      </c>
      <c r="G722" s="470" t="s">
        <v>936</v>
      </c>
      <c r="H722" s="622" t="s">
        <v>917</v>
      </c>
      <c r="I722" s="633" t="s">
        <v>116</v>
      </c>
      <c r="J722" s="471" t="s">
        <v>913</v>
      </c>
      <c r="K722" s="469">
        <v>17</v>
      </c>
      <c r="L722" s="473"/>
      <c r="M722" s="623">
        <v>112</v>
      </c>
      <c r="N722" s="623">
        <v>19</v>
      </c>
      <c r="O722" s="624">
        <v>0.16964285714285715</v>
      </c>
      <c r="P722" s="624">
        <v>0.16964285714285715</v>
      </c>
      <c r="Q722" s="785">
        <f t="shared" si="11"/>
        <v>0.99789915966386555</v>
      </c>
      <c r="R722" s="468" t="s">
        <v>1718</v>
      </c>
      <c r="S722" s="629"/>
    </row>
    <row r="723" spans="1:19" ht="15" x14ac:dyDescent="0.25">
      <c r="A723" s="621" t="s">
        <v>351</v>
      </c>
      <c r="B723" s="466" t="s">
        <v>111</v>
      </c>
      <c r="C723" s="631" t="s">
        <v>101</v>
      </c>
      <c r="D723" s="467" t="s">
        <v>881</v>
      </c>
      <c r="E723" s="474"/>
      <c r="F723" s="469" t="s">
        <v>117</v>
      </c>
      <c r="G723" s="470" t="s">
        <v>936</v>
      </c>
      <c r="H723" s="622" t="s">
        <v>916</v>
      </c>
      <c r="I723" s="633" t="s">
        <v>116</v>
      </c>
      <c r="J723" s="471" t="s">
        <v>913</v>
      </c>
      <c r="K723" s="469">
        <v>36</v>
      </c>
      <c r="L723" s="473"/>
      <c r="M723" s="623">
        <v>9</v>
      </c>
      <c r="N723" s="623">
        <v>2</v>
      </c>
      <c r="O723" s="624">
        <v>0.22222222222222221</v>
      </c>
      <c r="P723" s="624">
        <v>0.22222222222222221</v>
      </c>
      <c r="Q723" s="785">
        <f t="shared" si="11"/>
        <v>0.61728395061728392</v>
      </c>
      <c r="R723" s="468" t="s">
        <v>1718</v>
      </c>
      <c r="S723" s="629"/>
    </row>
    <row r="724" spans="1:19" ht="15" x14ac:dyDescent="0.25">
      <c r="A724" s="621" t="s">
        <v>351</v>
      </c>
      <c r="B724" s="466" t="s">
        <v>111</v>
      </c>
      <c r="C724" s="631" t="s">
        <v>101</v>
      </c>
      <c r="D724" s="467" t="s">
        <v>883</v>
      </c>
      <c r="E724" s="474" t="s">
        <v>1723</v>
      </c>
      <c r="F724" s="469" t="s">
        <v>117</v>
      </c>
      <c r="G724" s="470" t="s">
        <v>936</v>
      </c>
      <c r="H724" s="622" t="s">
        <v>916</v>
      </c>
      <c r="I724" s="633" t="s">
        <v>116</v>
      </c>
      <c r="J724" s="471" t="s">
        <v>913</v>
      </c>
      <c r="K724" s="469">
        <v>80</v>
      </c>
      <c r="L724" s="473"/>
      <c r="M724" s="623">
        <v>0</v>
      </c>
      <c r="N724" s="623">
        <v>0</v>
      </c>
      <c r="O724" s="624">
        <v>0</v>
      </c>
      <c r="P724" s="624">
        <v>0</v>
      </c>
      <c r="Q724" s="785" t="e">
        <f t="shared" si="11"/>
        <v>#DIV/0!</v>
      </c>
      <c r="R724" s="468" t="s">
        <v>1719</v>
      </c>
      <c r="S724" s="629"/>
    </row>
    <row r="725" spans="1:19" ht="15" x14ac:dyDescent="0.25">
      <c r="A725" s="621" t="s">
        <v>351</v>
      </c>
      <c r="B725" s="466" t="s">
        <v>111</v>
      </c>
      <c r="C725" s="631" t="s">
        <v>101</v>
      </c>
      <c r="D725" s="467" t="s">
        <v>866</v>
      </c>
      <c r="E725" s="474" t="s">
        <v>1723</v>
      </c>
      <c r="F725" s="469" t="s">
        <v>117</v>
      </c>
      <c r="G725" s="470" t="s">
        <v>936</v>
      </c>
      <c r="H725" s="622" t="s">
        <v>916</v>
      </c>
      <c r="I725" s="633" t="s">
        <v>116</v>
      </c>
      <c r="J725" s="471" t="s">
        <v>913</v>
      </c>
      <c r="K725" s="469" t="s">
        <v>79</v>
      </c>
      <c r="L725" s="473"/>
      <c r="M725" s="623">
        <v>13</v>
      </c>
      <c r="N725" s="623">
        <v>2</v>
      </c>
      <c r="O725" s="624">
        <v>0.15384615384615385</v>
      </c>
      <c r="P725" s="624">
        <v>0.15384615384615385</v>
      </c>
      <c r="Q725" s="785" t="e">
        <f t="shared" si="11"/>
        <v>#VALUE!</v>
      </c>
      <c r="R725" s="468" t="s">
        <v>1718</v>
      </c>
      <c r="S725" s="629"/>
    </row>
    <row r="726" spans="1:19" ht="15" x14ac:dyDescent="0.25">
      <c r="A726" s="621" t="s">
        <v>351</v>
      </c>
      <c r="B726" s="466" t="s">
        <v>111</v>
      </c>
      <c r="C726" s="631" t="s">
        <v>101</v>
      </c>
      <c r="D726" s="467" t="s">
        <v>869</v>
      </c>
      <c r="E726" s="474" t="s">
        <v>1723</v>
      </c>
      <c r="F726" s="469" t="s">
        <v>117</v>
      </c>
      <c r="G726" s="470" t="s">
        <v>936</v>
      </c>
      <c r="H726" s="622" t="s">
        <v>916</v>
      </c>
      <c r="I726" s="633" t="s">
        <v>116</v>
      </c>
      <c r="J726" s="471" t="s">
        <v>913</v>
      </c>
      <c r="K726" s="469" t="s">
        <v>79</v>
      </c>
      <c r="L726" s="473"/>
      <c r="M726" s="623">
        <v>0</v>
      </c>
      <c r="N726" s="623">
        <v>0</v>
      </c>
      <c r="O726" s="624">
        <v>0</v>
      </c>
      <c r="P726" s="624">
        <v>0</v>
      </c>
      <c r="Q726" s="785" t="e">
        <f t="shared" si="11"/>
        <v>#VALUE!</v>
      </c>
      <c r="R726" s="468" t="s">
        <v>1719</v>
      </c>
      <c r="S726" s="629"/>
    </row>
    <row r="727" spans="1:19" ht="15" x14ac:dyDescent="0.25">
      <c r="A727" s="621" t="s">
        <v>351</v>
      </c>
      <c r="B727" s="466" t="s">
        <v>111</v>
      </c>
      <c r="C727" s="631" t="s">
        <v>885</v>
      </c>
      <c r="D727" s="467" t="s">
        <v>889</v>
      </c>
      <c r="E727" s="474"/>
      <c r="F727" s="469" t="s">
        <v>117</v>
      </c>
      <c r="G727" s="470" t="s">
        <v>936</v>
      </c>
      <c r="H727" s="622" t="s">
        <v>917</v>
      </c>
      <c r="I727" s="633" t="s">
        <v>116</v>
      </c>
      <c r="J727" s="471" t="s">
        <v>913</v>
      </c>
      <c r="K727" s="469">
        <v>13</v>
      </c>
      <c r="L727" s="473"/>
      <c r="M727" s="623">
        <v>0</v>
      </c>
      <c r="N727" s="623">
        <v>0</v>
      </c>
      <c r="O727" s="624">
        <v>0</v>
      </c>
      <c r="P727" s="624">
        <v>0</v>
      </c>
      <c r="Q727" s="785" t="e">
        <f t="shared" si="11"/>
        <v>#DIV/0!</v>
      </c>
      <c r="R727" s="468" t="s">
        <v>1719</v>
      </c>
      <c r="S727" s="629"/>
    </row>
    <row r="728" spans="1:19" ht="15" x14ac:dyDescent="0.25">
      <c r="A728" s="621" t="s">
        <v>351</v>
      </c>
      <c r="B728" s="466" t="s">
        <v>111</v>
      </c>
      <c r="C728" s="631" t="s">
        <v>885</v>
      </c>
      <c r="D728" s="467" t="s">
        <v>881</v>
      </c>
      <c r="E728" s="474"/>
      <c r="F728" s="469" t="s">
        <v>117</v>
      </c>
      <c r="G728" s="470" t="s">
        <v>936</v>
      </c>
      <c r="H728" s="622" t="s">
        <v>916</v>
      </c>
      <c r="I728" s="633" t="s">
        <v>116</v>
      </c>
      <c r="J728" s="471" t="s">
        <v>913</v>
      </c>
      <c r="K728" s="469">
        <v>13</v>
      </c>
      <c r="L728" s="473"/>
      <c r="M728" s="623">
        <v>5</v>
      </c>
      <c r="N728" s="623">
        <v>0</v>
      </c>
      <c r="O728" s="624">
        <v>0</v>
      </c>
      <c r="P728" s="624">
        <v>0</v>
      </c>
      <c r="Q728" s="785">
        <f t="shared" si="11"/>
        <v>0</v>
      </c>
      <c r="R728" s="468" t="s">
        <v>1719</v>
      </c>
      <c r="S728" s="629"/>
    </row>
    <row r="729" spans="1:19" ht="15" x14ac:dyDescent="0.25">
      <c r="A729" s="621" t="s">
        <v>351</v>
      </c>
      <c r="B729" s="466" t="s">
        <v>111</v>
      </c>
      <c r="C729" s="631" t="s">
        <v>885</v>
      </c>
      <c r="D729" s="467" t="s">
        <v>883</v>
      </c>
      <c r="E729" s="474" t="s">
        <v>1724</v>
      </c>
      <c r="F729" s="469" t="s">
        <v>117</v>
      </c>
      <c r="G729" s="470" t="s">
        <v>936</v>
      </c>
      <c r="H729" s="622" t="s">
        <v>916</v>
      </c>
      <c r="I729" s="633" t="s">
        <v>116</v>
      </c>
      <c r="J729" s="471" t="s">
        <v>913</v>
      </c>
      <c r="K729" s="469" t="s">
        <v>79</v>
      </c>
      <c r="L729" s="473"/>
      <c r="M729" s="623">
        <v>5</v>
      </c>
      <c r="N729" s="623">
        <v>0</v>
      </c>
      <c r="O729" s="624">
        <v>0</v>
      </c>
      <c r="P729" s="624">
        <v>0</v>
      </c>
      <c r="Q729" s="785" t="e">
        <f t="shared" si="11"/>
        <v>#VALUE!</v>
      </c>
      <c r="R729" s="468" t="s">
        <v>1719</v>
      </c>
      <c r="S729" s="629"/>
    </row>
    <row r="730" spans="1:19" ht="15" x14ac:dyDescent="0.25">
      <c r="A730" s="621" t="s">
        <v>351</v>
      </c>
      <c r="B730" s="466" t="s">
        <v>111</v>
      </c>
      <c r="C730" s="631" t="s">
        <v>885</v>
      </c>
      <c r="D730" s="467" t="s">
        <v>866</v>
      </c>
      <c r="E730" s="474" t="s">
        <v>1724</v>
      </c>
      <c r="F730" s="469" t="s">
        <v>117</v>
      </c>
      <c r="G730" s="470" t="s">
        <v>936</v>
      </c>
      <c r="H730" s="622" t="s">
        <v>916</v>
      </c>
      <c r="I730" s="633" t="s">
        <v>116</v>
      </c>
      <c r="J730" s="471" t="s">
        <v>913</v>
      </c>
      <c r="K730" s="469" t="s">
        <v>79</v>
      </c>
      <c r="L730" s="473"/>
      <c r="M730" s="623">
        <v>0</v>
      </c>
      <c r="N730" s="623">
        <v>0</v>
      </c>
      <c r="O730" s="624">
        <v>0</v>
      </c>
      <c r="P730" s="624">
        <v>0</v>
      </c>
      <c r="Q730" s="785" t="e">
        <f t="shared" si="11"/>
        <v>#VALUE!</v>
      </c>
      <c r="R730" s="468" t="s">
        <v>1719</v>
      </c>
      <c r="S730" s="629"/>
    </row>
    <row r="731" spans="1:19" ht="15" x14ac:dyDescent="0.25">
      <c r="A731" s="621" t="s">
        <v>351</v>
      </c>
      <c r="B731" s="466" t="s">
        <v>111</v>
      </c>
      <c r="C731" s="631" t="s">
        <v>885</v>
      </c>
      <c r="D731" s="467" t="s">
        <v>869</v>
      </c>
      <c r="E731" s="474"/>
      <c r="F731" s="469" t="s">
        <v>117</v>
      </c>
      <c r="G731" s="470" t="s">
        <v>936</v>
      </c>
      <c r="H731" s="622" t="s">
        <v>916</v>
      </c>
      <c r="I731" s="633" t="s">
        <v>116</v>
      </c>
      <c r="J731" s="471" t="s">
        <v>913</v>
      </c>
      <c r="K731" s="469">
        <v>25</v>
      </c>
      <c r="L731" s="473"/>
      <c r="M731" s="623">
        <v>12</v>
      </c>
      <c r="N731" s="623">
        <v>5</v>
      </c>
      <c r="O731" s="624">
        <v>0.41666666666666669</v>
      </c>
      <c r="P731" s="624">
        <v>0.41666666666666669</v>
      </c>
      <c r="Q731" s="785">
        <f t="shared" si="11"/>
        <v>1.6666666666666667</v>
      </c>
      <c r="R731" s="468" t="s">
        <v>1718</v>
      </c>
      <c r="S731" s="629"/>
    </row>
    <row r="732" spans="1:19" ht="15" x14ac:dyDescent="0.25">
      <c r="A732" s="621" t="s">
        <v>351</v>
      </c>
      <c r="B732" s="466" t="s">
        <v>111</v>
      </c>
      <c r="C732" s="631" t="s">
        <v>885</v>
      </c>
      <c r="D732" s="467" t="s">
        <v>887</v>
      </c>
      <c r="E732" s="474"/>
      <c r="F732" s="469" t="s">
        <v>117</v>
      </c>
      <c r="G732" s="470" t="s">
        <v>936</v>
      </c>
      <c r="H732" s="622" t="s">
        <v>916</v>
      </c>
      <c r="I732" s="633" t="s">
        <v>116</v>
      </c>
      <c r="J732" s="471" t="s">
        <v>913</v>
      </c>
      <c r="K732" s="469">
        <v>10</v>
      </c>
      <c r="L732" s="473"/>
      <c r="M732" s="623">
        <v>20</v>
      </c>
      <c r="N732" s="623">
        <v>8</v>
      </c>
      <c r="O732" s="624">
        <v>0.4</v>
      </c>
      <c r="P732" s="624">
        <v>0.4</v>
      </c>
      <c r="Q732" s="785">
        <f t="shared" si="11"/>
        <v>4</v>
      </c>
      <c r="R732" s="468" t="s">
        <v>1718</v>
      </c>
      <c r="S732" s="629"/>
    </row>
    <row r="733" spans="1:19" ht="15" x14ac:dyDescent="0.25">
      <c r="A733" s="621" t="s">
        <v>351</v>
      </c>
      <c r="B733" s="466" t="s">
        <v>111</v>
      </c>
      <c r="C733" s="631" t="s">
        <v>904</v>
      </c>
      <c r="D733" s="467" t="s">
        <v>881</v>
      </c>
      <c r="E733" s="474" t="s">
        <v>1718</v>
      </c>
      <c r="F733" s="469" t="s">
        <v>117</v>
      </c>
      <c r="G733" s="470" t="s">
        <v>936</v>
      </c>
      <c r="H733" s="622" t="s">
        <v>916</v>
      </c>
      <c r="I733" s="633" t="s">
        <v>116</v>
      </c>
      <c r="J733" s="471" t="s">
        <v>913</v>
      </c>
      <c r="K733" s="469" t="s">
        <v>79</v>
      </c>
      <c r="L733" s="473"/>
      <c r="M733" s="623">
        <v>0</v>
      </c>
      <c r="N733" s="623">
        <v>0</v>
      </c>
      <c r="O733" s="624">
        <v>0</v>
      </c>
      <c r="P733" s="624">
        <v>0</v>
      </c>
      <c r="Q733" s="785" t="e">
        <f t="shared" si="11"/>
        <v>#VALUE!</v>
      </c>
      <c r="R733" s="468" t="s">
        <v>1719</v>
      </c>
      <c r="S733" s="629"/>
    </row>
    <row r="734" spans="1:19" ht="15" x14ac:dyDescent="0.25">
      <c r="A734" s="621" t="s">
        <v>351</v>
      </c>
      <c r="B734" s="466" t="s">
        <v>111</v>
      </c>
      <c r="C734" s="631" t="s">
        <v>904</v>
      </c>
      <c r="D734" s="467" t="s">
        <v>883</v>
      </c>
      <c r="E734" s="474" t="s">
        <v>1725</v>
      </c>
      <c r="F734" s="469" t="s">
        <v>117</v>
      </c>
      <c r="G734" s="470" t="s">
        <v>936</v>
      </c>
      <c r="H734" s="622" t="s">
        <v>916</v>
      </c>
      <c r="I734" s="633" t="s">
        <v>116</v>
      </c>
      <c r="J734" s="471" t="s">
        <v>913</v>
      </c>
      <c r="K734" s="469" t="s">
        <v>79</v>
      </c>
      <c r="L734" s="473"/>
      <c r="M734" s="623">
        <v>1</v>
      </c>
      <c r="N734" s="623">
        <v>1</v>
      </c>
      <c r="O734" s="624">
        <v>1</v>
      </c>
      <c r="P734" s="624">
        <v>1</v>
      </c>
      <c r="Q734" s="785" t="e">
        <f t="shared" si="11"/>
        <v>#VALUE!</v>
      </c>
      <c r="R734" s="468" t="s">
        <v>1718</v>
      </c>
      <c r="S734" s="629"/>
    </row>
    <row r="735" spans="1:19" ht="15" x14ac:dyDescent="0.25">
      <c r="A735" s="621" t="s">
        <v>351</v>
      </c>
      <c r="B735" s="466" t="s">
        <v>111</v>
      </c>
      <c r="C735" s="631" t="s">
        <v>740</v>
      </c>
      <c r="D735" s="467" t="s">
        <v>889</v>
      </c>
      <c r="E735" s="474"/>
      <c r="F735" s="469" t="s">
        <v>117</v>
      </c>
      <c r="G735" s="470" t="s">
        <v>936</v>
      </c>
      <c r="H735" s="622" t="s">
        <v>917</v>
      </c>
      <c r="I735" s="633" t="s">
        <v>116</v>
      </c>
      <c r="J735" s="471" t="s">
        <v>913</v>
      </c>
      <c r="K735" s="469">
        <v>38</v>
      </c>
      <c r="L735" s="473"/>
      <c r="M735" s="623">
        <v>37</v>
      </c>
      <c r="N735" s="623">
        <v>3</v>
      </c>
      <c r="O735" s="624">
        <v>8.1081081081081086E-2</v>
      </c>
      <c r="P735" s="624">
        <v>8.1081081081081086E-2</v>
      </c>
      <c r="Q735" s="785">
        <f t="shared" si="11"/>
        <v>0.21337126600284495</v>
      </c>
      <c r="R735" s="468" t="s">
        <v>1718</v>
      </c>
      <c r="S735" s="629"/>
    </row>
    <row r="736" spans="1:19" ht="15" x14ac:dyDescent="0.25">
      <c r="A736" s="621" t="s">
        <v>351</v>
      </c>
      <c r="B736" s="466" t="s">
        <v>111</v>
      </c>
      <c r="C736" s="631" t="s">
        <v>740</v>
      </c>
      <c r="D736" s="467" t="s">
        <v>881</v>
      </c>
      <c r="E736" s="474" t="s">
        <v>1726</v>
      </c>
      <c r="F736" s="469" t="s">
        <v>117</v>
      </c>
      <c r="G736" s="470" t="s">
        <v>936</v>
      </c>
      <c r="H736" s="622" t="s">
        <v>916</v>
      </c>
      <c r="I736" s="633" t="s">
        <v>116</v>
      </c>
      <c r="J736" s="471" t="s">
        <v>913</v>
      </c>
      <c r="K736" s="469" t="s">
        <v>79</v>
      </c>
      <c r="L736" s="473"/>
      <c r="M736" s="623">
        <v>4</v>
      </c>
      <c r="N736" s="623">
        <v>0</v>
      </c>
      <c r="O736" s="624">
        <v>0</v>
      </c>
      <c r="P736" s="624">
        <v>0</v>
      </c>
      <c r="Q736" s="785" t="e">
        <f t="shared" si="11"/>
        <v>#VALUE!</v>
      </c>
      <c r="R736" s="468" t="s">
        <v>1719</v>
      </c>
      <c r="S736" s="629"/>
    </row>
    <row r="737" spans="1:19" ht="15" x14ac:dyDescent="0.25">
      <c r="A737" s="621" t="s">
        <v>351</v>
      </c>
      <c r="B737" s="466" t="s">
        <v>111</v>
      </c>
      <c r="C737" s="631" t="s">
        <v>740</v>
      </c>
      <c r="D737" s="467" t="s">
        <v>883</v>
      </c>
      <c r="E737" s="474" t="s">
        <v>1726</v>
      </c>
      <c r="F737" s="469" t="s">
        <v>117</v>
      </c>
      <c r="G737" s="470" t="s">
        <v>936</v>
      </c>
      <c r="H737" s="622" t="s">
        <v>916</v>
      </c>
      <c r="I737" s="633" t="s">
        <v>116</v>
      </c>
      <c r="J737" s="471" t="s">
        <v>913</v>
      </c>
      <c r="K737" s="469" t="s">
        <v>79</v>
      </c>
      <c r="L737" s="473"/>
      <c r="M737" s="623">
        <v>0</v>
      </c>
      <c r="N737" s="623">
        <v>0</v>
      </c>
      <c r="O737" s="624">
        <v>0</v>
      </c>
      <c r="P737" s="624">
        <v>0</v>
      </c>
      <c r="Q737" s="785" t="e">
        <f t="shared" si="11"/>
        <v>#VALUE!</v>
      </c>
      <c r="R737" s="468" t="s">
        <v>1719</v>
      </c>
      <c r="S737" s="629"/>
    </row>
    <row r="738" spans="1:19" ht="15" x14ac:dyDescent="0.25">
      <c r="A738" s="621" t="s">
        <v>351</v>
      </c>
      <c r="B738" s="466" t="s">
        <v>111</v>
      </c>
      <c r="C738" s="631" t="s">
        <v>894</v>
      </c>
      <c r="D738" s="467" t="s">
        <v>889</v>
      </c>
      <c r="E738" s="474"/>
      <c r="F738" s="469" t="s">
        <v>117</v>
      </c>
      <c r="G738" s="470" t="s">
        <v>936</v>
      </c>
      <c r="H738" s="622" t="s">
        <v>917</v>
      </c>
      <c r="I738" s="633" t="s">
        <v>116</v>
      </c>
      <c r="J738" s="471" t="s">
        <v>913</v>
      </c>
      <c r="K738" s="469">
        <v>5</v>
      </c>
      <c r="L738" s="473"/>
      <c r="M738" s="623">
        <v>543</v>
      </c>
      <c r="N738" s="623">
        <v>32</v>
      </c>
      <c r="O738" s="624">
        <v>5.8931860036832415E-2</v>
      </c>
      <c r="P738" s="624">
        <v>5.8931860036832415E-2</v>
      </c>
      <c r="Q738" s="785">
        <f t="shared" si="11"/>
        <v>1.1786372007366483</v>
      </c>
      <c r="R738" s="468" t="s">
        <v>1718</v>
      </c>
      <c r="S738" s="629"/>
    </row>
    <row r="739" spans="1:19" ht="15" x14ac:dyDescent="0.25">
      <c r="A739" s="621" t="s">
        <v>351</v>
      </c>
      <c r="B739" s="466" t="s">
        <v>111</v>
      </c>
      <c r="C739" s="631" t="s">
        <v>894</v>
      </c>
      <c r="D739" s="467" t="s">
        <v>881</v>
      </c>
      <c r="E739" s="474"/>
      <c r="F739" s="469" t="s">
        <v>117</v>
      </c>
      <c r="G739" s="470" t="s">
        <v>936</v>
      </c>
      <c r="H739" s="622" t="s">
        <v>916</v>
      </c>
      <c r="I739" s="633" t="s">
        <v>116</v>
      </c>
      <c r="J739" s="471" t="s">
        <v>913</v>
      </c>
      <c r="K739" s="469">
        <v>32</v>
      </c>
      <c r="L739" s="473"/>
      <c r="M739" s="623">
        <v>78</v>
      </c>
      <c r="N739" s="623">
        <v>28</v>
      </c>
      <c r="O739" s="624">
        <v>0.35897435897435898</v>
      </c>
      <c r="P739" s="624">
        <v>0.35897435897435898</v>
      </c>
      <c r="Q739" s="785">
        <f t="shared" si="11"/>
        <v>1.1217948717948718</v>
      </c>
      <c r="R739" s="468" t="s">
        <v>1718</v>
      </c>
      <c r="S739" s="629"/>
    </row>
    <row r="740" spans="1:19" ht="15" x14ac:dyDescent="0.25">
      <c r="A740" s="621" t="s">
        <v>351</v>
      </c>
      <c r="B740" s="466" t="s">
        <v>111</v>
      </c>
      <c r="C740" s="631" t="s">
        <v>894</v>
      </c>
      <c r="D740" s="467" t="s">
        <v>883</v>
      </c>
      <c r="E740" s="474" t="s">
        <v>1727</v>
      </c>
      <c r="F740" s="469" t="s">
        <v>117</v>
      </c>
      <c r="G740" s="470" t="s">
        <v>936</v>
      </c>
      <c r="H740" s="622" t="s">
        <v>916</v>
      </c>
      <c r="I740" s="633" t="s">
        <v>116</v>
      </c>
      <c r="J740" s="471" t="s">
        <v>913</v>
      </c>
      <c r="K740" s="469">
        <v>33</v>
      </c>
      <c r="L740" s="473"/>
      <c r="M740" s="623">
        <v>25</v>
      </c>
      <c r="N740" s="623">
        <v>9</v>
      </c>
      <c r="O740" s="624">
        <v>0.36</v>
      </c>
      <c r="P740" s="624">
        <v>0.36</v>
      </c>
      <c r="Q740" s="785">
        <f t="shared" si="11"/>
        <v>1.0909090909090908</v>
      </c>
      <c r="R740" s="468" t="s">
        <v>1718</v>
      </c>
      <c r="S740" s="629"/>
    </row>
    <row r="741" spans="1:19" ht="15" x14ac:dyDescent="0.25">
      <c r="A741" s="621" t="s">
        <v>351</v>
      </c>
      <c r="B741" s="466" t="s">
        <v>111</v>
      </c>
      <c r="C741" s="631" t="s">
        <v>894</v>
      </c>
      <c r="D741" s="467" t="s">
        <v>869</v>
      </c>
      <c r="E741" s="474" t="s">
        <v>1727</v>
      </c>
      <c r="F741" s="469" t="s">
        <v>117</v>
      </c>
      <c r="G741" s="470" t="s">
        <v>936</v>
      </c>
      <c r="H741" s="622" t="s">
        <v>916</v>
      </c>
      <c r="I741" s="633" t="s">
        <v>116</v>
      </c>
      <c r="J741" s="471" t="s">
        <v>913</v>
      </c>
      <c r="K741" s="469" t="s">
        <v>79</v>
      </c>
      <c r="L741" s="473"/>
      <c r="M741" s="623">
        <v>0</v>
      </c>
      <c r="N741" s="623">
        <v>0</v>
      </c>
      <c r="O741" s="624">
        <v>0</v>
      </c>
      <c r="P741" s="624">
        <v>0</v>
      </c>
      <c r="Q741" s="785" t="e">
        <f t="shared" si="11"/>
        <v>#VALUE!</v>
      </c>
      <c r="R741" s="468" t="s">
        <v>1719</v>
      </c>
      <c r="S741" s="629"/>
    </row>
    <row r="742" spans="1:19" ht="15" x14ac:dyDescent="0.25">
      <c r="A742" s="621" t="s">
        <v>351</v>
      </c>
      <c r="B742" s="466" t="s">
        <v>111</v>
      </c>
      <c r="C742" s="631" t="s">
        <v>99</v>
      </c>
      <c r="D742" s="467" t="s">
        <v>866</v>
      </c>
      <c r="E742" s="474" t="s">
        <v>1720</v>
      </c>
      <c r="F742" s="469" t="s">
        <v>117</v>
      </c>
      <c r="G742" s="470" t="s">
        <v>937</v>
      </c>
      <c r="H742" s="622" t="s">
        <v>938</v>
      </c>
      <c r="I742" s="633" t="s">
        <v>116</v>
      </c>
      <c r="J742" s="471" t="s">
        <v>913</v>
      </c>
      <c r="K742" s="469">
        <v>33</v>
      </c>
      <c r="L742" s="473"/>
      <c r="M742" s="623">
        <v>0</v>
      </c>
      <c r="N742" s="623">
        <v>0</v>
      </c>
      <c r="O742" s="624">
        <v>0</v>
      </c>
      <c r="P742" s="624">
        <v>0</v>
      </c>
      <c r="Q742" s="785" t="e">
        <f t="shared" si="11"/>
        <v>#DIV/0!</v>
      </c>
      <c r="R742" s="468" t="s">
        <v>1719</v>
      </c>
      <c r="S742" s="629"/>
    </row>
    <row r="743" spans="1:19" ht="15" x14ac:dyDescent="0.25">
      <c r="A743" s="621" t="s">
        <v>351</v>
      </c>
      <c r="B743" s="466" t="s">
        <v>111</v>
      </c>
      <c r="C743" s="631" t="s">
        <v>99</v>
      </c>
      <c r="D743" s="467" t="s">
        <v>869</v>
      </c>
      <c r="E743" s="474" t="s">
        <v>1720</v>
      </c>
      <c r="F743" s="469" t="s">
        <v>117</v>
      </c>
      <c r="G743" s="470" t="s">
        <v>937</v>
      </c>
      <c r="H743" s="622" t="s">
        <v>938</v>
      </c>
      <c r="I743" s="633" t="s">
        <v>116</v>
      </c>
      <c r="J743" s="471" t="s">
        <v>913</v>
      </c>
      <c r="K743" s="469">
        <v>33</v>
      </c>
      <c r="L743" s="473"/>
      <c r="M743" s="623">
        <v>14</v>
      </c>
      <c r="N743" s="623">
        <v>2</v>
      </c>
      <c r="O743" s="624">
        <v>0.14285714285714285</v>
      </c>
      <c r="P743" s="624">
        <v>0.14285714285714285</v>
      </c>
      <c r="Q743" s="785">
        <f t="shared" si="11"/>
        <v>0.4329004329004329</v>
      </c>
      <c r="R743" s="468" t="s">
        <v>1718</v>
      </c>
      <c r="S743" s="629"/>
    </row>
    <row r="744" spans="1:19" ht="15" x14ac:dyDescent="0.25">
      <c r="A744" s="621" t="s">
        <v>351</v>
      </c>
      <c r="B744" s="466" t="s">
        <v>111</v>
      </c>
      <c r="C744" s="631" t="s">
        <v>870</v>
      </c>
      <c r="D744" s="467" t="s">
        <v>889</v>
      </c>
      <c r="E744" s="474"/>
      <c r="F744" s="469" t="s">
        <v>117</v>
      </c>
      <c r="G744" s="470" t="s">
        <v>937</v>
      </c>
      <c r="H744" s="622" t="s">
        <v>938</v>
      </c>
      <c r="I744" s="633" t="s">
        <v>116</v>
      </c>
      <c r="J744" s="471" t="s">
        <v>913</v>
      </c>
      <c r="K744" s="469">
        <v>16</v>
      </c>
      <c r="L744" s="473"/>
      <c r="M744" s="623">
        <v>50</v>
      </c>
      <c r="N744" s="623">
        <v>4</v>
      </c>
      <c r="O744" s="624">
        <v>0.08</v>
      </c>
      <c r="P744" s="624">
        <v>0.08</v>
      </c>
      <c r="Q744" s="785">
        <f t="shared" si="11"/>
        <v>0.5</v>
      </c>
      <c r="R744" s="468" t="s">
        <v>1718</v>
      </c>
      <c r="S744" s="629"/>
    </row>
    <row r="745" spans="1:19" ht="15" x14ac:dyDescent="0.25">
      <c r="A745" s="621" t="s">
        <v>351</v>
      </c>
      <c r="B745" s="466" t="s">
        <v>111</v>
      </c>
      <c r="C745" s="631" t="s">
        <v>870</v>
      </c>
      <c r="D745" s="467" t="s">
        <v>881</v>
      </c>
      <c r="E745" s="474"/>
      <c r="F745" s="469" t="s">
        <v>117</v>
      </c>
      <c r="G745" s="470" t="s">
        <v>937</v>
      </c>
      <c r="H745" s="622" t="s">
        <v>938</v>
      </c>
      <c r="I745" s="633" t="s">
        <v>116</v>
      </c>
      <c r="J745" s="471" t="s">
        <v>913</v>
      </c>
      <c r="K745" s="469">
        <v>16</v>
      </c>
      <c r="L745" s="473"/>
      <c r="M745" s="623">
        <v>19</v>
      </c>
      <c r="N745" s="623">
        <v>3</v>
      </c>
      <c r="O745" s="624">
        <v>0.15789473684210525</v>
      </c>
      <c r="P745" s="624">
        <v>0.15789473684210525</v>
      </c>
      <c r="Q745" s="785">
        <f t="shared" si="11"/>
        <v>0.98684210526315785</v>
      </c>
      <c r="R745" s="468" t="s">
        <v>1718</v>
      </c>
      <c r="S745" s="629"/>
    </row>
    <row r="746" spans="1:19" ht="15" x14ac:dyDescent="0.25">
      <c r="A746" s="621" t="s">
        <v>351</v>
      </c>
      <c r="B746" s="466" t="s">
        <v>111</v>
      </c>
      <c r="C746" s="631" t="s">
        <v>870</v>
      </c>
      <c r="D746" s="467" t="s">
        <v>883</v>
      </c>
      <c r="E746" s="474"/>
      <c r="F746" s="469" t="s">
        <v>117</v>
      </c>
      <c r="G746" s="470" t="s">
        <v>937</v>
      </c>
      <c r="H746" s="622" t="s">
        <v>938</v>
      </c>
      <c r="I746" s="633" t="s">
        <v>116</v>
      </c>
      <c r="J746" s="471" t="s">
        <v>913</v>
      </c>
      <c r="K746" s="469">
        <v>6</v>
      </c>
      <c r="L746" s="473"/>
      <c r="M746" s="623">
        <v>39</v>
      </c>
      <c r="N746" s="623">
        <v>9</v>
      </c>
      <c r="O746" s="624">
        <v>0.23076923076923078</v>
      </c>
      <c r="P746" s="624">
        <v>0.23076923076923078</v>
      </c>
      <c r="Q746" s="785">
        <f t="shared" si="11"/>
        <v>3.8461538461538463</v>
      </c>
      <c r="R746" s="468" t="s">
        <v>1718</v>
      </c>
      <c r="S746" s="629"/>
    </row>
    <row r="747" spans="1:19" ht="15" x14ac:dyDescent="0.25">
      <c r="A747" s="621" t="s">
        <v>351</v>
      </c>
      <c r="B747" s="466" t="s">
        <v>111</v>
      </c>
      <c r="C747" s="631" t="s">
        <v>870</v>
      </c>
      <c r="D747" s="467" t="s">
        <v>866</v>
      </c>
      <c r="E747" s="474"/>
      <c r="F747" s="469" t="s">
        <v>117</v>
      </c>
      <c r="G747" s="470" t="s">
        <v>937</v>
      </c>
      <c r="H747" s="622" t="s">
        <v>938</v>
      </c>
      <c r="I747" s="633" t="s">
        <v>116</v>
      </c>
      <c r="J747" s="471" t="s">
        <v>913</v>
      </c>
      <c r="K747" s="469">
        <v>8</v>
      </c>
      <c r="L747" s="473"/>
      <c r="M747" s="623">
        <v>67</v>
      </c>
      <c r="N747" s="623">
        <v>17</v>
      </c>
      <c r="O747" s="624">
        <v>0.2537313432835821</v>
      </c>
      <c r="P747" s="624">
        <v>0.2537313432835821</v>
      </c>
      <c r="Q747" s="785">
        <f t="shared" si="11"/>
        <v>3.1716417910447761</v>
      </c>
      <c r="R747" s="468" t="s">
        <v>1718</v>
      </c>
      <c r="S747" s="629"/>
    </row>
    <row r="748" spans="1:19" ht="15" x14ac:dyDescent="0.25">
      <c r="A748" s="621" t="s">
        <v>351</v>
      </c>
      <c r="B748" s="466" t="s">
        <v>111</v>
      </c>
      <c r="C748" s="631" t="s">
        <v>870</v>
      </c>
      <c r="D748" s="467" t="s">
        <v>869</v>
      </c>
      <c r="E748" s="474"/>
      <c r="F748" s="469" t="s">
        <v>117</v>
      </c>
      <c r="G748" s="470" t="s">
        <v>937</v>
      </c>
      <c r="H748" s="622" t="s">
        <v>938</v>
      </c>
      <c r="I748" s="633" t="s">
        <v>116</v>
      </c>
      <c r="J748" s="471" t="s">
        <v>913</v>
      </c>
      <c r="K748" s="469">
        <v>5</v>
      </c>
      <c r="L748" s="473"/>
      <c r="M748" s="623">
        <v>46</v>
      </c>
      <c r="N748" s="623">
        <v>18</v>
      </c>
      <c r="O748" s="624">
        <v>0.39130434782608697</v>
      </c>
      <c r="P748" s="624">
        <v>0.39130434782608697</v>
      </c>
      <c r="Q748" s="785">
        <f t="shared" si="11"/>
        <v>7.8260869565217401</v>
      </c>
      <c r="R748" s="468" t="s">
        <v>1718</v>
      </c>
      <c r="S748" s="629"/>
    </row>
    <row r="749" spans="1:19" ht="15" x14ac:dyDescent="0.25">
      <c r="A749" s="621" t="s">
        <v>351</v>
      </c>
      <c r="B749" s="466" t="s">
        <v>111</v>
      </c>
      <c r="C749" s="631" t="s">
        <v>738</v>
      </c>
      <c r="D749" s="467" t="s">
        <v>889</v>
      </c>
      <c r="E749" s="474"/>
      <c r="F749" s="469" t="s">
        <v>117</v>
      </c>
      <c r="G749" s="470" t="s">
        <v>937</v>
      </c>
      <c r="H749" s="622" t="s">
        <v>938</v>
      </c>
      <c r="I749" s="633" t="s">
        <v>116</v>
      </c>
      <c r="J749" s="471" t="s">
        <v>913</v>
      </c>
      <c r="K749" s="469">
        <v>29</v>
      </c>
      <c r="L749" s="473"/>
      <c r="M749" s="623">
        <v>156</v>
      </c>
      <c r="N749" s="623">
        <v>7</v>
      </c>
      <c r="O749" s="624">
        <v>4.4871794871794872E-2</v>
      </c>
      <c r="P749" s="624">
        <v>4.4871794871794872E-2</v>
      </c>
      <c r="Q749" s="785">
        <f t="shared" si="11"/>
        <v>0.15473032714412024</v>
      </c>
      <c r="R749" s="468" t="s">
        <v>1718</v>
      </c>
      <c r="S749" s="629"/>
    </row>
    <row r="750" spans="1:19" ht="15" x14ac:dyDescent="0.25">
      <c r="A750" s="621" t="s">
        <v>351</v>
      </c>
      <c r="B750" s="466" t="s">
        <v>111</v>
      </c>
      <c r="C750" s="631" t="s">
        <v>738</v>
      </c>
      <c r="D750" s="467" t="s">
        <v>881</v>
      </c>
      <c r="E750" s="474" t="s">
        <v>1721</v>
      </c>
      <c r="F750" s="469" t="s">
        <v>117</v>
      </c>
      <c r="G750" s="470" t="s">
        <v>937</v>
      </c>
      <c r="H750" s="622" t="s">
        <v>938</v>
      </c>
      <c r="I750" s="633" t="s">
        <v>116</v>
      </c>
      <c r="J750" s="471" t="s">
        <v>913</v>
      </c>
      <c r="K750" s="469">
        <v>8</v>
      </c>
      <c r="L750" s="473"/>
      <c r="M750" s="623">
        <v>54</v>
      </c>
      <c r="N750" s="623">
        <v>6</v>
      </c>
      <c r="O750" s="624">
        <v>0.1111111111111111</v>
      </c>
      <c r="P750" s="624">
        <v>0.1111111111111111</v>
      </c>
      <c r="Q750" s="785">
        <f t="shared" si="11"/>
        <v>1.3888888888888888</v>
      </c>
      <c r="R750" s="468" t="s">
        <v>1718</v>
      </c>
      <c r="S750" s="629"/>
    </row>
    <row r="751" spans="1:19" ht="15" x14ac:dyDescent="0.25">
      <c r="A751" s="621" t="s">
        <v>351</v>
      </c>
      <c r="B751" s="466" t="s">
        <v>111</v>
      </c>
      <c r="C751" s="631" t="s">
        <v>738</v>
      </c>
      <c r="D751" s="467" t="s">
        <v>883</v>
      </c>
      <c r="E751" s="474" t="s">
        <v>1721</v>
      </c>
      <c r="F751" s="469" t="s">
        <v>117</v>
      </c>
      <c r="G751" s="470" t="s">
        <v>937</v>
      </c>
      <c r="H751" s="622" t="s">
        <v>938</v>
      </c>
      <c r="I751" s="633" t="s">
        <v>116</v>
      </c>
      <c r="J751" s="471" t="s">
        <v>913</v>
      </c>
      <c r="K751" s="469">
        <v>8</v>
      </c>
      <c r="L751" s="473"/>
      <c r="M751" s="623">
        <v>0</v>
      </c>
      <c r="N751" s="623">
        <v>0</v>
      </c>
      <c r="O751" s="624">
        <v>0</v>
      </c>
      <c r="P751" s="624">
        <v>0</v>
      </c>
      <c r="Q751" s="785" t="e">
        <f t="shared" si="11"/>
        <v>#DIV/0!</v>
      </c>
      <c r="R751" s="468" t="s">
        <v>1719</v>
      </c>
      <c r="S751" s="629"/>
    </row>
    <row r="752" spans="1:19" ht="15" x14ac:dyDescent="0.25">
      <c r="A752" s="621" t="s">
        <v>351</v>
      </c>
      <c r="B752" s="466" t="s">
        <v>111</v>
      </c>
      <c r="C752" s="631" t="s">
        <v>738</v>
      </c>
      <c r="D752" s="467" t="s">
        <v>866</v>
      </c>
      <c r="E752" s="474" t="s">
        <v>1722</v>
      </c>
      <c r="F752" s="469" t="s">
        <v>117</v>
      </c>
      <c r="G752" s="470" t="s">
        <v>937</v>
      </c>
      <c r="H752" s="622" t="s">
        <v>938</v>
      </c>
      <c r="I752" s="633" t="s">
        <v>116</v>
      </c>
      <c r="J752" s="471" t="s">
        <v>913</v>
      </c>
      <c r="K752" s="469">
        <v>8</v>
      </c>
      <c r="L752" s="473"/>
      <c r="M752" s="623">
        <v>0</v>
      </c>
      <c r="N752" s="623">
        <v>1</v>
      </c>
      <c r="O752" s="624">
        <v>0</v>
      </c>
      <c r="P752" s="624">
        <v>0</v>
      </c>
      <c r="Q752" s="785" t="e">
        <f t="shared" si="11"/>
        <v>#DIV/0!</v>
      </c>
      <c r="R752" s="468" t="s">
        <v>1719</v>
      </c>
      <c r="S752" s="629"/>
    </row>
    <row r="753" spans="1:19" ht="15" x14ac:dyDescent="0.25">
      <c r="A753" s="621" t="s">
        <v>351</v>
      </c>
      <c r="B753" s="466" t="s">
        <v>111</v>
      </c>
      <c r="C753" s="631" t="s">
        <v>738</v>
      </c>
      <c r="D753" s="467" t="s">
        <v>869</v>
      </c>
      <c r="E753" s="474" t="s">
        <v>1722</v>
      </c>
      <c r="F753" s="469" t="s">
        <v>117</v>
      </c>
      <c r="G753" s="470" t="s">
        <v>937</v>
      </c>
      <c r="H753" s="622" t="s">
        <v>938</v>
      </c>
      <c r="I753" s="633" t="s">
        <v>116</v>
      </c>
      <c r="J753" s="471" t="s">
        <v>913</v>
      </c>
      <c r="K753" s="469">
        <v>8</v>
      </c>
      <c r="L753" s="473"/>
      <c r="M753" s="623">
        <v>7</v>
      </c>
      <c r="N753" s="623">
        <v>2</v>
      </c>
      <c r="O753" s="624">
        <v>0.2857142857142857</v>
      </c>
      <c r="P753" s="624">
        <v>0.2857142857142857</v>
      </c>
      <c r="Q753" s="785">
        <f t="shared" si="11"/>
        <v>3.5714285714285712</v>
      </c>
      <c r="R753" s="468" t="s">
        <v>1718</v>
      </c>
      <c r="S753" s="629"/>
    </row>
    <row r="754" spans="1:19" ht="15" x14ac:dyDescent="0.25">
      <c r="A754" s="621" t="s">
        <v>351</v>
      </c>
      <c r="B754" s="466" t="s">
        <v>111</v>
      </c>
      <c r="C754" s="631" t="s">
        <v>101</v>
      </c>
      <c r="D754" s="467" t="s">
        <v>889</v>
      </c>
      <c r="E754" s="474"/>
      <c r="F754" s="469" t="s">
        <v>117</v>
      </c>
      <c r="G754" s="470" t="s">
        <v>937</v>
      </c>
      <c r="H754" s="622" t="s">
        <v>938</v>
      </c>
      <c r="I754" s="633" t="s">
        <v>116</v>
      </c>
      <c r="J754" s="471" t="s">
        <v>913</v>
      </c>
      <c r="K754" s="469">
        <v>17</v>
      </c>
      <c r="L754" s="473"/>
      <c r="M754" s="623">
        <v>112</v>
      </c>
      <c r="N754" s="623">
        <v>19</v>
      </c>
      <c r="O754" s="624">
        <v>0.16964285714285715</v>
      </c>
      <c r="P754" s="624">
        <v>0.16964285714285715</v>
      </c>
      <c r="Q754" s="785">
        <f t="shared" si="11"/>
        <v>0.99789915966386555</v>
      </c>
      <c r="R754" s="468" t="s">
        <v>1718</v>
      </c>
      <c r="S754" s="629"/>
    </row>
    <row r="755" spans="1:19" ht="15" x14ac:dyDescent="0.25">
      <c r="A755" s="621" t="s">
        <v>351</v>
      </c>
      <c r="B755" s="466" t="s">
        <v>111</v>
      </c>
      <c r="C755" s="631" t="s">
        <v>101</v>
      </c>
      <c r="D755" s="467" t="s">
        <v>881</v>
      </c>
      <c r="E755" s="474"/>
      <c r="F755" s="469" t="s">
        <v>117</v>
      </c>
      <c r="G755" s="470" t="s">
        <v>937</v>
      </c>
      <c r="H755" s="622" t="s">
        <v>938</v>
      </c>
      <c r="I755" s="633" t="s">
        <v>116</v>
      </c>
      <c r="J755" s="471" t="s">
        <v>913</v>
      </c>
      <c r="K755" s="469">
        <v>36</v>
      </c>
      <c r="L755" s="473"/>
      <c r="M755" s="623">
        <v>9</v>
      </c>
      <c r="N755" s="623">
        <v>2</v>
      </c>
      <c r="O755" s="624">
        <v>0.22222222222222221</v>
      </c>
      <c r="P755" s="624">
        <v>0.22222222222222221</v>
      </c>
      <c r="Q755" s="785">
        <f t="shared" si="11"/>
        <v>0.61728395061728392</v>
      </c>
      <c r="R755" s="468" t="s">
        <v>1718</v>
      </c>
      <c r="S755" s="629"/>
    </row>
    <row r="756" spans="1:19" ht="15" x14ac:dyDescent="0.25">
      <c r="A756" s="621" t="s">
        <v>351</v>
      </c>
      <c r="B756" s="466" t="s">
        <v>111</v>
      </c>
      <c r="C756" s="631" t="s">
        <v>101</v>
      </c>
      <c r="D756" s="467" t="s">
        <v>883</v>
      </c>
      <c r="E756" s="474" t="s">
        <v>1723</v>
      </c>
      <c r="F756" s="469" t="s">
        <v>117</v>
      </c>
      <c r="G756" s="470" t="s">
        <v>937</v>
      </c>
      <c r="H756" s="622" t="s">
        <v>938</v>
      </c>
      <c r="I756" s="633" t="s">
        <v>116</v>
      </c>
      <c r="J756" s="471" t="s">
        <v>913</v>
      </c>
      <c r="K756" s="469">
        <v>80</v>
      </c>
      <c r="L756" s="473"/>
      <c r="M756" s="623">
        <v>0</v>
      </c>
      <c r="N756" s="623">
        <v>0</v>
      </c>
      <c r="O756" s="624">
        <v>0</v>
      </c>
      <c r="P756" s="624">
        <v>0</v>
      </c>
      <c r="Q756" s="785" t="e">
        <f t="shared" si="11"/>
        <v>#DIV/0!</v>
      </c>
      <c r="R756" s="468" t="s">
        <v>1719</v>
      </c>
      <c r="S756" s="629"/>
    </row>
    <row r="757" spans="1:19" ht="15" x14ac:dyDescent="0.25">
      <c r="A757" s="621" t="s">
        <v>351</v>
      </c>
      <c r="B757" s="466" t="s">
        <v>111</v>
      </c>
      <c r="C757" s="631" t="s">
        <v>101</v>
      </c>
      <c r="D757" s="467" t="s">
        <v>866</v>
      </c>
      <c r="E757" s="474" t="s">
        <v>1723</v>
      </c>
      <c r="F757" s="469" t="s">
        <v>117</v>
      </c>
      <c r="G757" s="470" t="s">
        <v>937</v>
      </c>
      <c r="H757" s="622" t="s">
        <v>938</v>
      </c>
      <c r="I757" s="633" t="s">
        <v>116</v>
      </c>
      <c r="J757" s="471" t="s">
        <v>913</v>
      </c>
      <c r="K757" s="469" t="s">
        <v>79</v>
      </c>
      <c r="L757" s="473"/>
      <c r="M757" s="623">
        <v>13</v>
      </c>
      <c r="N757" s="623">
        <v>2</v>
      </c>
      <c r="O757" s="624">
        <v>0.15384615384615385</v>
      </c>
      <c r="P757" s="624">
        <v>0.15384615384615385</v>
      </c>
      <c r="Q757" s="785" t="e">
        <f t="shared" si="11"/>
        <v>#VALUE!</v>
      </c>
      <c r="R757" s="468" t="s">
        <v>1718</v>
      </c>
      <c r="S757" s="629"/>
    </row>
    <row r="758" spans="1:19" ht="15" x14ac:dyDescent="0.25">
      <c r="A758" s="621" t="s">
        <v>351</v>
      </c>
      <c r="B758" s="466" t="s">
        <v>111</v>
      </c>
      <c r="C758" s="631" t="s">
        <v>101</v>
      </c>
      <c r="D758" s="467" t="s">
        <v>869</v>
      </c>
      <c r="E758" s="474" t="s">
        <v>1723</v>
      </c>
      <c r="F758" s="469" t="s">
        <v>117</v>
      </c>
      <c r="G758" s="470" t="s">
        <v>937</v>
      </c>
      <c r="H758" s="622" t="s">
        <v>938</v>
      </c>
      <c r="I758" s="633" t="s">
        <v>116</v>
      </c>
      <c r="J758" s="471" t="s">
        <v>913</v>
      </c>
      <c r="K758" s="469" t="s">
        <v>79</v>
      </c>
      <c r="L758" s="473"/>
      <c r="M758" s="623">
        <v>0</v>
      </c>
      <c r="N758" s="623">
        <v>0</v>
      </c>
      <c r="O758" s="624">
        <v>0</v>
      </c>
      <c r="P758" s="624">
        <v>0</v>
      </c>
      <c r="Q758" s="785" t="e">
        <f t="shared" si="11"/>
        <v>#VALUE!</v>
      </c>
      <c r="R758" s="468" t="s">
        <v>1719</v>
      </c>
      <c r="S758" s="629"/>
    </row>
    <row r="759" spans="1:19" ht="15" x14ac:dyDescent="0.25">
      <c r="A759" s="621" t="s">
        <v>351</v>
      </c>
      <c r="B759" s="466" t="s">
        <v>111</v>
      </c>
      <c r="C759" s="631" t="s">
        <v>885</v>
      </c>
      <c r="D759" s="467" t="s">
        <v>889</v>
      </c>
      <c r="E759" s="474"/>
      <c r="F759" s="469" t="s">
        <v>117</v>
      </c>
      <c r="G759" s="470" t="s">
        <v>937</v>
      </c>
      <c r="H759" s="622" t="s">
        <v>938</v>
      </c>
      <c r="I759" s="633" t="s">
        <v>116</v>
      </c>
      <c r="J759" s="471" t="s">
        <v>913</v>
      </c>
      <c r="K759" s="469">
        <v>13</v>
      </c>
      <c r="L759" s="473"/>
      <c r="M759" s="623">
        <v>0</v>
      </c>
      <c r="N759" s="623">
        <v>0</v>
      </c>
      <c r="O759" s="624">
        <v>0</v>
      </c>
      <c r="P759" s="624">
        <v>0</v>
      </c>
      <c r="Q759" s="785" t="e">
        <f t="shared" si="11"/>
        <v>#DIV/0!</v>
      </c>
      <c r="R759" s="468" t="s">
        <v>1719</v>
      </c>
      <c r="S759" s="629"/>
    </row>
    <row r="760" spans="1:19" ht="15" x14ac:dyDescent="0.25">
      <c r="A760" s="621" t="s">
        <v>351</v>
      </c>
      <c r="B760" s="466" t="s">
        <v>111</v>
      </c>
      <c r="C760" s="631" t="s">
        <v>885</v>
      </c>
      <c r="D760" s="467" t="s">
        <v>881</v>
      </c>
      <c r="E760" s="474"/>
      <c r="F760" s="469" t="s">
        <v>117</v>
      </c>
      <c r="G760" s="470" t="s">
        <v>937</v>
      </c>
      <c r="H760" s="622" t="s">
        <v>938</v>
      </c>
      <c r="I760" s="633" t="s">
        <v>116</v>
      </c>
      <c r="J760" s="471" t="s">
        <v>913</v>
      </c>
      <c r="K760" s="469">
        <v>13</v>
      </c>
      <c r="L760" s="473"/>
      <c r="M760" s="623">
        <v>5</v>
      </c>
      <c r="N760" s="623">
        <v>0</v>
      </c>
      <c r="O760" s="624">
        <v>0</v>
      </c>
      <c r="P760" s="624">
        <v>0</v>
      </c>
      <c r="Q760" s="785">
        <f t="shared" si="11"/>
        <v>0</v>
      </c>
      <c r="R760" s="468" t="s">
        <v>1719</v>
      </c>
      <c r="S760" s="629"/>
    </row>
    <row r="761" spans="1:19" ht="15" x14ac:dyDescent="0.25">
      <c r="A761" s="621" t="s">
        <v>351</v>
      </c>
      <c r="B761" s="466" t="s">
        <v>111</v>
      </c>
      <c r="C761" s="631" t="s">
        <v>885</v>
      </c>
      <c r="D761" s="467" t="s">
        <v>883</v>
      </c>
      <c r="E761" s="474" t="s">
        <v>1724</v>
      </c>
      <c r="F761" s="469" t="s">
        <v>117</v>
      </c>
      <c r="G761" s="470" t="s">
        <v>937</v>
      </c>
      <c r="H761" s="622" t="s">
        <v>938</v>
      </c>
      <c r="I761" s="633" t="s">
        <v>116</v>
      </c>
      <c r="J761" s="471" t="s">
        <v>913</v>
      </c>
      <c r="K761" s="469" t="s">
        <v>79</v>
      </c>
      <c r="L761" s="473"/>
      <c r="M761" s="623">
        <v>5</v>
      </c>
      <c r="N761" s="623">
        <v>0</v>
      </c>
      <c r="O761" s="624">
        <v>0</v>
      </c>
      <c r="P761" s="624">
        <v>0</v>
      </c>
      <c r="Q761" s="785" t="e">
        <f t="shared" si="11"/>
        <v>#VALUE!</v>
      </c>
      <c r="R761" s="468" t="s">
        <v>1719</v>
      </c>
      <c r="S761" s="629"/>
    </row>
    <row r="762" spans="1:19" ht="15" x14ac:dyDescent="0.25">
      <c r="A762" s="621" t="s">
        <v>351</v>
      </c>
      <c r="B762" s="466" t="s">
        <v>111</v>
      </c>
      <c r="C762" s="631" t="s">
        <v>885</v>
      </c>
      <c r="D762" s="467" t="s">
        <v>866</v>
      </c>
      <c r="E762" s="474" t="s">
        <v>1724</v>
      </c>
      <c r="F762" s="469" t="s">
        <v>117</v>
      </c>
      <c r="G762" s="470" t="s">
        <v>937</v>
      </c>
      <c r="H762" s="622" t="s">
        <v>938</v>
      </c>
      <c r="I762" s="633" t="s">
        <v>116</v>
      </c>
      <c r="J762" s="471" t="s">
        <v>913</v>
      </c>
      <c r="K762" s="469" t="s">
        <v>79</v>
      </c>
      <c r="L762" s="473"/>
      <c r="M762" s="623">
        <v>0</v>
      </c>
      <c r="N762" s="623">
        <v>0</v>
      </c>
      <c r="O762" s="624">
        <v>0</v>
      </c>
      <c r="P762" s="624">
        <v>0</v>
      </c>
      <c r="Q762" s="785" t="e">
        <f t="shared" si="11"/>
        <v>#VALUE!</v>
      </c>
      <c r="R762" s="468" t="s">
        <v>1719</v>
      </c>
      <c r="S762" s="629"/>
    </row>
    <row r="763" spans="1:19" ht="15" x14ac:dyDescent="0.25">
      <c r="A763" s="621" t="s">
        <v>351</v>
      </c>
      <c r="B763" s="466" t="s">
        <v>111</v>
      </c>
      <c r="C763" s="631" t="s">
        <v>885</v>
      </c>
      <c r="D763" s="467" t="s">
        <v>869</v>
      </c>
      <c r="E763" s="474"/>
      <c r="F763" s="469" t="s">
        <v>117</v>
      </c>
      <c r="G763" s="470" t="s">
        <v>937</v>
      </c>
      <c r="H763" s="622" t="s">
        <v>938</v>
      </c>
      <c r="I763" s="633" t="s">
        <v>116</v>
      </c>
      <c r="J763" s="471" t="s">
        <v>913</v>
      </c>
      <c r="K763" s="469">
        <v>25</v>
      </c>
      <c r="L763" s="473"/>
      <c r="M763" s="623">
        <v>12</v>
      </c>
      <c r="N763" s="623">
        <v>5</v>
      </c>
      <c r="O763" s="624">
        <v>0.41666666666666669</v>
      </c>
      <c r="P763" s="624">
        <v>0.41666666666666669</v>
      </c>
      <c r="Q763" s="785">
        <f t="shared" si="11"/>
        <v>1.6666666666666667</v>
      </c>
      <c r="R763" s="468" t="s">
        <v>1718</v>
      </c>
      <c r="S763" s="629"/>
    </row>
    <row r="764" spans="1:19" ht="15" x14ac:dyDescent="0.25">
      <c r="A764" s="621" t="s">
        <v>351</v>
      </c>
      <c r="B764" s="466" t="s">
        <v>111</v>
      </c>
      <c r="C764" s="631" t="s">
        <v>885</v>
      </c>
      <c r="D764" s="467" t="s">
        <v>887</v>
      </c>
      <c r="E764" s="474"/>
      <c r="F764" s="469" t="s">
        <v>117</v>
      </c>
      <c r="G764" s="470" t="s">
        <v>937</v>
      </c>
      <c r="H764" s="622" t="s">
        <v>938</v>
      </c>
      <c r="I764" s="633" t="s">
        <v>116</v>
      </c>
      <c r="J764" s="471" t="s">
        <v>913</v>
      </c>
      <c r="K764" s="469">
        <v>10</v>
      </c>
      <c r="L764" s="473"/>
      <c r="M764" s="623">
        <v>20</v>
      </c>
      <c r="N764" s="623">
        <v>8</v>
      </c>
      <c r="O764" s="624">
        <v>0.4</v>
      </c>
      <c r="P764" s="624">
        <v>0.4</v>
      </c>
      <c r="Q764" s="785">
        <f t="shared" si="11"/>
        <v>4</v>
      </c>
      <c r="R764" s="468" t="s">
        <v>1718</v>
      </c>
      <c r="S764" s="629"/>
    </row>
    <row r="765" spans="1:19" ht="15" x14ac:dyDescent="0.25">
      <c r="A765" s="621" t="s">
        <v>351</v>
      </c>
      <c r="B765" s="466" t="s">
        <v>111</v>
      </c>
      <c r="C765" s="631" t="s">
        <v>904</v>
      </c>
      <c r="D765" s="467" t="s">
        <v>881</v>
      </c>
      <c r="E765" s="474" t="s">
        <v>1718</v>
      </c>
      <c r="F765" s="469" t="s">
        <v>117</v>
      </c>
      <c r="G765" s="470" t="s">
        <v>937</v>
      </c>
      <c r="H765" s="622" t="s">
        <v>938</v>
      </c>
      <c r="I765" s="633" t="s">
        <v>116</v>
      </c>
      <c r="J765" s="471" t="s">
        <v>913</v>
      </c>
      <c r="K765" s="469" t="s">
        <v>79</v>
      </c>
      <c r="L765" s="473"/>
      <c r="M765" s="623">
        <v>0</v>
      </c>
      <c r="N765" s="623">
        <v>0</v>
      </c>
      <c r="O765" s="624">
        <v>0</v>
      </c>
      <c r="P765" s="624">
        <v>0</v>
      </c>
      <c r="Q765" s="785" t="e">
        <f t="shared" si="11"/>
        <v>#VALUE!</v>
      </c>
      <c r="R765" s="468" t="s">
        <v>1719</v>
      </c>
      <c r="S765" s="629"/>
    </row>
    <row r="766" spans="1:19" ht="15" x14ac:dyDescent="0.25">
      <c r="A766" s="621" t="s">
        <v>351</v>
      </c>
      <c r="B766" s="466" t="s">
        <v>111</v>
      </c>
      <c r="C766" s="631" t="s">
        <v>904</v>
      </c>
      <c r="D766" s="467" t="s">
        <v>883</v>
      </c>
      <c r="E766" s="474" t="s">
        <v>1725</v>
      </c>
      <c r="F766" s="469" t="s">
        <v>117</v>
      </c>
      <c r="G766" s="470" t="s">
        <v>937</v>
      </c>
      <c r="H766" s="622" t="s">
        <v>938</v>
      </c>
      <c r="I766" s="633" t="s">
        <v>116</v>
      </c>
      <c r="J766" s="471" t="s">
        <v>913</v>
      </c>
      <c r="K766" s="469" t="s">
        <v>79</v>
      </c>
      <c r="L766" s="473"/>
      <c r="M766" s="623">
        <v>1</v>
      </c>
      <c r="N766" s="623">
        <v>1</v>
      </c>
      <c r="O766" s="624">
        <v>1</v>
      </c>
      <c r="P766" s="624">
        <v>1</v>
      </c>
      <c r="Q766" s="785" t="e">
        <f t="shared" si="11"/>
        <v>#VALUE!</v>
      </c>
      <c r="R766" s="468" t="s">
        <v>1718</v>
      </c>
      <c r="S766" s="629"/>
    </row>
    <row r="767" spans="1:19" ht="15" x14ac:dyDescent="0.25">
      <c r="A767" s="621" t="s">
        <v>351</v>
      </c>
      <c r="B767" s="466" t="s">
        <v>111</v>
      </c>
      <c r="C767" s="631" t="s">
        <v>740</v>
      </c>
      <c r="D767" s="467" t="s">
        <v>889</v>
      </c>
      <c r="E767" s="474"/>
      <c r="F767" s="469" t="s">
        <v>117</v>
      </c>
      <c r="G767" s="470" t="s">
        <v>937</v>
      </c>
      <c r="H767" s="622" t="s">
        <v>938</v>
      </c>
      <c r="I767" s="633" t="s">
        <v>116</v>
      </c>
      <c r="J767" s="471" t="s">
        <v>913</v>
      </c>
      <c r="K767" s="469">
        <v>38</v>
      </c>
      <c r="L767" s="473"/>
      <c r="M767" s="623">
        <v>37</v>
      </c>
      <c r="N767" s="623">
        <v>3</v>
      </c>
      <c r="O767" s="624">
        <v>8.1081081081081086E-2</v>
      </c>
      <c r="P767" s="624">
        <v>8.1081081081081086E-2</v>
      </c>
      <c r="Q767" s="785">
        <f t="shared" si="11"/>
        <v>0.21337126600284495</v>
      </c>
      <c r="R767" s="468" t="s">
        <v>1718</v>
      </c>
      <c r="S767" s="629"/>
    </row>
    <row r="768" spans="1:19" ht="15" x14ac:dyDescent="0.25">
      <c r="A768" s="621" t="s">
        <v>351</v>
      </c>
      <c r="B768" s="466" t="s">
        <v>111</v>
      </c>
      <c r="C768" s="631" t="s">
        <v>740</v>
      </c>
      <c r="D768" s="467" t="s">
        <v>881</v>
      </c>
      <c r="E768" s="474" t="s">
        <v>1726</v>
      </c>
      <c r="F768" s="469" t="s">
        <v>117</v>
      </c>
      <c r="G768" s="470" t="s">
        <v>937</v>
      </c>
      <c r="H768" s="622" t="s">
        <v>938</v>
      </c>
      <c r="I768" s="633" t="s">
        <v>116</v>
      </c>
      <c r="J768" s="471" t="s">
        <v>913</v>
      </c>
      <c r="K768" s="469" t="s">
        <v>79</v>
      </c>
      <c r="L768" s="473"/>
      <c r="M768" s="623">
        <v>4</v>
      </c>
      <c r="N768" s="623">
        <v>0</v>
      </c>
      <c r="O768" s="624">
        <v>0</v>
      </c>
      <c r="P768" s="624">
        <v>0</v>
      </c>
      <c r="Q768" s="785" t="e">
        <f t="shared" si="11"/>
        <v>#VALUE!</v>
      </c>
      <c r="R768" s="468" t="s">
        <v>1719</v>
      </c>
      <c r="S768" s="629"/>
    </row>
    <row r="769" spans="1:19" ht="15" x14ac:dyDescent="0.25">
      <c r="A769" s="621" t="s">
        <v>351</v>
      </c>
      <c r="B769" s="466" t="s">
        <v>111</v>
      </c>
      <c r="C769" s="631" t="s">
        <v>740</v>
      </c>
      <c r="D769" s="467" t="s">
        <v>883</v>
      </c>
      <c r="E769" s="474" t="s">
        <v>1726</v>
      </c>
      <c r="F769" s="469" t="s">
        <v>117</v>
      </c>
      <c r="G769" s="470" t="s">
        <v>937</v>
      </c>
      <c r="H769" s="622" t="s">
        <v>938</v>
      </c>
      <c r="I769" s="633" t="s">
        <v>116</v>
      </c>
      <c r="J769" s="471" t="s">
        <v>913</v>
      </c>
      <c r="K769" s="469" t="s">
        <v>79</v>
      </c>
      <c r="L769" s="473"/>
      <c r="M769" s="623">
        <v>0</v>
      </c>
      <c r="N769" s="623">
        <v>0</v>
      </c>
      <c r="O769" s="624">
        <v>0</v>
      </c>
      <c r="P769" s="624">
        <v>0</v>
      </c>
      <c r="Q769" s="785" t="e">
        <f t="shared" si="11"/>
        <v>#VALUE!</v>
      </c>
      <c r="R769" s="468" t="s">
        <v>1719</v>
      </c>
      <c r="S769" s="629"/>
    </row>
    <row r="770" spans="1:19" ht="15" x14ac:dyDescent="0.25">
      <c r="A770" s="621" t="s">
        <v>351</v>
      </c>
      <c r="B770" s="466" t="s">
        <v>111</v>
      </c>
      <c r="C770" s="631" t="s">
        <v>894</v>
      </c>
      <c r="D770" s="467" t="s">
        <v>889</v>
      </c>
      <c r="E770" s="474"/>
      <c r="F770" s="469" t="s">
        <v>117</v>
      </c>
      <c r="G770" s="470" t="s">
        <v>937</v>
      </c>
      <c r="H770" s="622" t="s">
        <v>938</v>
      </c>
      <c r="I770" s="633" t="s">
        <v>116</v>
      </c>
      <c r="J770" s="471" t="s">
        <v>913</v>
      </c>
      <c r="K770" s="469">
        <v>5</v>
      </c>
      <c r="L770" s="473"/>
      <c r="M770" s="623">
        <v>543</v>
      </c>
      <c r="N770" s="623">
        <v>32</v>
      </c>
      <c r="O770" s="624">
        <v>5.8931860036832415E-2</v>
      </c>
      <c r="P770" s="624">
        <v>5.8931860036832415E-2</v>
      </c>
      <c r="Q770" s="785">
        <f t="shared" si="11"/>
        <v>1.1786372007366483</v>
      </c>
      <c r="R770" s="468" t="s">
        <v>1718</v>
      </c>
      <c r="S770" s="629"/>
    </row>
    <row r="771" spans="1:19" ht="15" x14ac:dyDescent="0.25">
      <c r="A771" s="621" t="s">
        <v>351</v>
      </c>
      <c r="B771" s="466" t="s">
        <v>111</v>
      </c>
      <c r="C771" s="631" t="s">
        <v>894</v>
      </c>
      <c r="D771" s="467" t="s">
        <v>881</v>
      </c>
      <c r="E771" s="474"/>
      <c r="F771" s="469" t="s">
        <v>117</v>
      </c>
      <c r="G771" s="470" t="s">
        <v>937</v>
      </c>
      <c r="H771" s="622" t="s">
        <v>938</v>
      </c>
      <c r="I771" s="633" t="s">
        <v>116</v>
      </c>
      <c r="J771" s="471" t="s">
        <v>913</v>
      </c>
      <c r="K771" s="469">
        <v>32</v>
      </c>
      <c r="L771" s="473"/>
      <c r="M771" s="623">
        <v>78</v>
      </c>
      <c r="N771" s="623">
        <v>28</v>
      </c>
      <c r="O771" s="624">
        <v>0.35897435897435898</v>
      </c>
      <c r="P771" s="624">
        <v>0.35897435897435898</v>
      </c>
      <c r="Q771" s="785">
        <f t="shared" si="11"/>
        <v>1.1217948717948718</v>
      </c>
      <c r="R771" s="468" t="s">
        <v>1718</v>
      </c>
      <c r="S771" s="629"/>
    </row>
    <row r="772" spans="1:19" ht="15" x14ac:dyDescent="0.25">
      <c r="A772" s="621" t="s">
        <v>351</v>
      </c>
      <c r="B772" s="466" t="s">
        <v>111</v>
      </c>
      <c r="C772" s="631" t="s">
        <v>894</v>
      </c>
      <c r="D772" s="467" t="s">
        <v>883</v>
      </c>
      <c r="E772" s="474" t="s">
        <v>1727</v>
      </c>
      <c r="F772" s="469" t="s">
        <v>117</v>
      </c>
      <c r="G772" s="470" t="s">
        <v>937</v>
      </c>
      <c r="H772" s="622" t="s">
        <v>938</v>
      </c>
      <c r="I772" s="633" t="s">
        <v>116</v>
      </c>
      <c r="J772" s="471" t="s">
        <v>913</v>
      </c>
      <c r="K772" s="469">
        <v>33</v>
      </c>
      <c r="L772" s="473"/>
      <c r="M772" s="623">
        <v>25</v>
      </c>
      <c r="N772" s="623">
        <v>9</v>
      </c>
      <c r="O772" s="624">
        <v>0.36</v>
      </c>
      <c r="P772" s="624">
        <v>0.36</v>
      </c>
      <c r="Q772" s="785">
        <f t="shared" si="11"/>
        <v>1.0909090909090908</v>
      </c>
      <c r="R772" s="468" t="s">
        <v>1718</v>
      </c>
      <c r="S772" s="629"/>
    </row>
    <row r="773" spans="1:19" ht="15" x14ac:dyDescent="0.25">
      <c r="A773" s="621" t="s">
        <v>351</v>
      </c>
      <c r="B773" s="466" t="s">
        <v>111</v>
      </c>
      <c r="C773" s="631" t="s">
        <v>894</v>
      </c>
      <c r="D773" s="467" t="s">
        <v>869</v>
      </c>
      <c r="E773" s="474" t="s">
        <v>1727</v>
      </c>
      <c r="F773" s="469" t="s">
        <v>117</v>
      </c>
      <c r="G773" s="470" t="s">
        <v>937</v>
      </c>
      <c r="H773" s="622" t="s">
        <v>938</v>
      </c>
      <c r="I773" s="633" t="s">
        <v>116</v>
      </c>
      <c r="J773" s="471" t="s">
        <v>913</v>
      </c>
      <c r="K773" s="469" t="s">
        <v>79</v>
      </c>
      <c r="L773" s="473"/>
      <c r="M773" s="623">
        <v>0</v>
      </c>
      <c r="N773" s="623">
        <v>0</v>
      </c>
      <c r="O773" s="624">
        <v>0</v>
      </c>
      <c r="P773" s="624">
        <v>0</v>
      </c>
      <c r="Q773" s="785" t="e">
        <f t="shared" si="11"/>
        <v>#VALUE!</v>
      </c>
      <c r="R773" s="468" t="s">
        <v>1719</v>
      </c>
      <c r="S773" s="629"/>
    </row>
    <row r="774" spans="1:19" ht="15" x14ac:dyDescent="0.25">
      <c r="A774" s="621" t="s">
        <v>351</v>
      </c>
      <c r="B774" s="466" t="s">
        <v>111</v>
      </c>
      <c r="C774" s="631" t="s">
        <v>99</v>
      </c>
      <c r="D774" s="467" t="s">
        <v>866</v>
      </c>
      <c r="E774" s="474" t="s">
        <v>1720</v>
      </c>
      <c r="F774" s="469" t="s">
        <v>117</v>
      </c>
      <c r="G774" s="470" t="s">
        <v>939</v>
      </c>
      <c r="H774" s="622" t="s">
        <v>916</v>
      </c>
      <c r="I774" s="633" t="s">
        <v>116</v>
      </c>
      <c r="J774" s="471" t="s">
        <v>913</v>
      </c>
      <c r="K774" s="469">
        <v>33</v>
      </c>
      <c r="L774" s="473"/>
      <c r="M774" s="623">
        <v>0</v>
      </c>
      <c r="N774" s="623">
        <v>0</v>
      </c>
      <c r="O774" s="624">
        <v>0</v>
      </c>
      <c r="P774" s="624">
        <v>0</v>
      </c>
      <c r="Q774" s="785" t="e">
        <f t="shared" ref="Q774:Q837" si="12">N774/(M774*K774/100)</f>
        <v>#DIV/0!</v>
      </c>
      <c r="R774" s="468" t="s">
        <v>1719</v>
      </c>
      <c r="S774" s="629"/>
    </row>
    <row r="775" spans="1:19" ht="15" x14ac:dyDescent="0.25">
      <c r="A775" s="621" t="s">
        <v>351</v>
      </c>
      <c r="B775" s="466" t="s">
        <v>111</v>
      </c>
      <c r="C775" s="631" t="s">
        <v>99</v>
      </c>
      <c r="D775" s="467" t="s">
        <v>869</v>
      </c>
      <c r="E775" s="474" t="s">
        <v>1720</v>
      </c>
      <c r="F775" s="469" t="s">
        <v>117</v>
      </c>
      <c r="G775" s="470" t="s">
        <v>939</v>
      </c>
      <c r="H775" s="622" t="s">
        <v>916</v>
      </c>
      <c r="I775" s="633" t="s">
        <v>116</v>
      </c>
      <c r="J775" s="471" t="s">
        <v>913</v>
      </c>
      <c r="K775" s="469">
        <v>33</v>
      </c>
      <c r="L775" s="473"/>
      <c r="M775" s="623">
        <v>14</v>
      </c>
      <c r="N775" s="623">
        <v>2</v>
      </c>
      <c r="O775" s="624">
        <v>0.14285714285714285</v>
      </c>
      <c r="P775" s="624">
        <v>0.14285714285714285</v>
      </c>
      <c r="Q775" s="785">
        <f t="shared" si="12"/>
        <v>0.4329004329004329</v>
      </c>
      <c r="R775" s="468" t="s">
        <v>1718</v>
      </c>
      <c r="S775" s="629"/>
    </row>
    <row r="776" spans="1:19" ht="15" x14ac:dyDescent="0.25">
      <c r="A776" s="621" t="s">
        <v>351</v>
      </c>
      <c r="B776" s="466" t="s">
        <v>111</v>
      </c>
      <c r="C776" s="631" t="s">
        <v>870</v>
      </c>
      <c r="D776" s="467" t="s">
        <v>889</v>
      </c>
      <c r="E776" s="474"/>
      <c r="F776" s="469" t="s">
        <v>117</v>
      </c>
      <c r="G776" s="470" t="s">
        <v>939</v>
      </c>
      <c r="H776" s="622" t="s">
        <v>917</v>
      </c>
      <c r="I776" s="633" t="s">
        <v>116</v>
      </c>
      <c r="J776" s="471" t="s">
        <v>913</v>
      </c>
      <c r="K776" s="469">
        <v>16</v>
      </c>
      <c r="L776" s="473"/>
      <c r="M776" s="623">
        <v>50</v>
      </c>
      <c r="N776" s="623">
        <v>4</v>
      </c>
      <c r="O776" s="624">
        <v>0.08</v>
      </c>
      <c r="P776" s="624">
        <v>0.08</v>
      </c>
      <c r="Q776" s="785">
        <f t="shared" si="12"/>
        <v>0.5</v>
      </c>
      <c r="R776" s="468" t="s">
        <v>1718</v>
      </c>
      <c r="S776" s="629"/>
    </row>
    <row r="777" spans="1:19" ht="15" x14ac:dyDescent="0.25">
      <c r="A777" s="621" t="s">
        <v>351</v>
      </c>
      <c r="B777" s="466" t="s">
        <v>111</v>
      </c>
      <c r="C777" s="631" t="s">
        <v>870</v>
      </c>
      <c r="D777" s="467" t="s">
        <v>881</v>
      </c>
      <c r="E777" s="474"/>
      <c r="F777" s="469" t="s">
        <v>117</v>
      </c>
      <c r="G777" s="470" t="s">
        <v>939</v>
      </c>
      <c r="H777" s="622" t="s">
        <v>916</v>
      </c>
      <c r="I777" s="633" t="s">
        <v>116</v>
      </c>
      <c r="J777" s="471" t="s">
        <v>913</v>
      </c>
      <c r="K777" s="469">
        <v>16</v>
      </c>
      <c r="L777" s="473"/>
      <c r="M777" s="623">
        <v>19</v>
      </c>
      <c r="N777" s="623">
        <v>3</v>
      </c>
      <c r="O777" s="624">
        <v>0.15789473684210525</v>
      </c>
      <c r="P777" s="624">
        <v>0.15789473684210525</v>
      </c>
      <c r="Q777" s="785">
        <f t="shared" si="12"/>
        <v>0.98684210526315785</v>
      </c>
      <c r="R777" s="468" t="s">
        <v>1718</v>
      </c>
      <c r="S777" s="629"/>
    </row>
    <row r="778" spans="1:19" ht="15" x14ac:dyDescent="0.25">
      <c r="A778" s="621" t="s">
        <v>351</v>
      </c>
      <c r="B778" s="466" t="s">
        <v>111</v>
      </c>
      <c r="C778" s="631" t="s">
        <v>870</v>
      </c>
      <c r="D778" s="467" t="s">
        <v>883</v>
      </c>
      <c r="E778" s="474"/>
      <c r="F778" s="469" t="s">
        <v>117</v>
      </c>
      <c r="G778" s="470" t="s">
        <v>939</v>
      </c>
      <c r="H778" s="622" t="s">
        <v>916</v>
      </c>
      <c r="I778" s="633" t="s">
        <v>116</v>
      </c>
      <c r="J778" s="471" t="s">
        <v>913</v>
      </c>
      <c r="K778" s="469">
        <v>6</v>
      </c>
      <c r="L778" s="473"/>
      <c r="M778" s="623">
        <v>39</v>
      </c>
      <c r="N778" s="623">
        <v>9</v>
      </c>
      <c r="O778" s="624">
        <v>0.23076923076923078</v>
      </c>
      <c r="P778" s="624">
        <v>0.23076923076923078</v>
      </c>
      <c r="Q778" s="785">
        <f t="shared" si="12"/>
        <v>3.8461538461538463</v>
      </c>
      <c r="R778" s="468" t="s">
        <v>1718</v>
      </c>
      <c r="S778" s="629"/>
    </row>
    <row r="779" spans="1:19" ht="15" x14ac:dyDescent="0.25">
      <c r="A779" s="621" t="s">
        <v>351</v>
      </c>
      <c r="B779" s="466" t="s">
        <v>111</v>
      </c>
      <c r="C779" s="631" t="s">
        <v>870</v>
      </c>
      <c r="D779" s="467" t="s">
        <v>866</v>
      </c>
      <c r="E779" s="474"/>
      <c r="F779" s="469" t="s">
        <v>117</v>
      </c>
      <c r="G779" s="470" t="s">
        <v>939</v>
      </c>
      <c r="H779" s="622" t="s">
        <v>916</v>
      </c>
      <c r="I779" s="633" t="s">
        <v>116</v>
      </c>
      <c r="J779" s="471" t="s">
        <v>913</v>
      </c>
      <c r="K779" s="469">
        <v>8</v>
      </c>
      <c r="L779" s="473"/>
      <c r="M779" s="623">
        <v>67</v>
      </c>
      <c r="N779" s="623">
        <v>17</v>
      </c>
      <c r="O779" s="624">
        <v>0.2537313432835821</v>
      </c>
      <c r="P779" s="624">
        <v>0.2537313432835821</v>
      </c>
      <c r="Q779" s="785">
        <f t="shared" si="12"/>
        <v>3.1716417910447761</v>
      </c>
      <c r="R779" s="468" t="s">
        <v>1718</v>
      </c>
      <c r="S779" s="629"/>
    </row>
    <row r="780" spans="1:19" ht="15" x14ac:dyDescent="0.25">
      <c r="A780" s="621" t="s">
        <v>351</v>
      </c>
      <c r="B780" s="466" t="s">
        <v>111</v>
      </c>
      <c r="C780" s="631" t="s">
        <v>870</v>
      </c>
      <c r="D780" s="467" t="s">
        <v>869</v>
      </c>
      <c r="E780" s="474"/>
      <c r="F780" s="469" t="s">
        <v>117</v>
      </c>
      <c r="G780" s="470" t="s">
        <v>939</v>
      </c>
      <c r="H780" s="622" t="s">
        <v>916</v>
      </c>
      <c r="I780" s="633" t="s">
        <v>116</v>
      </c>
      <c r="J780" s="471" t="s">
        <v>913</v>
      </c>
      <c r="K780" s="469">
        <v>5</v>
      </c>
      <c r="L780" s="473"/>
      <c r="M780" s="623">
        <v>46</v>
      </c>
      <c r="N780" s="623">
        <v>18</v>
      </c>
      <c r="O780" s="624">
        <v>0.39130434782608697</v>
      </c>
      <c r="P780" s="624">
        <v>0.39130434782608697</v>
      </c>
      <c r="Q780" s="785">
        <f t="shared" si="12"/>
        <v>7.8260869565217401</v>
      </c>
      <c r="R780" s="468" t="s">
        <v>1718</v>
      </c>
      <c r="S780" s="629"/>
    </row>
    <row r="781" spans="1:19" ht="15" x14ac:dyDescent="0.25">
      <c r="A781" s="621" t="s">
        <v>351</v>
      </c>
      <c r="B781" s="466" t="s">
        <v>111</v>
      </c>
      <c r="C781" s="631" t="s">
        <v>738</v>
      </c>
      <c r="D781" s="467" t="s">
        <v>889</v>
      </c>
      <c r="E781" s="474"/>
      <c r="F781" s="469" t="s">
        <v>117</v>
      </c>
      <c r="G781" s="470" t="s">
        <v>939</v>
      </c>
      <c r="H781" s="622" t="s">
        <v>917</v>
      </c>
      <c r="I781" s="633" t="s">
        <v>116</v>
      </c>
      <c r="J781" s="471" t="s">
        <v>913</v>
      </c>
      <c r="K781" s="469">
        <v>29</v>
      </c>
      <c r="L781" s="473"/>
      <c r="M781" s="623">
        <v>156</v>
      </c>
      <c r="N781" s="623">
        <v>7</v>
      </c>
      <c r="O781" s="624">
        <v>4.4871794871794872E-2</v>
      </c>
      <c r="P781" s="624">
        <v>4.4871794871794872E-2</v>
      </c>
      <c r="Q781" s="785">
        <f t="shared" si="12"/>
        <v>0.15473032714412024</v>
      </c>
      <c r="R781" s="468" t="s">
        <v>1718</v>
      </c>
      <c r="S781" s="629"/>
    </row>
    <row r="782" spans="1:19" ht="15" x14ac:dyDescent="0.25">
      <c r="A782" s="621" t="s">
        <v>351</v>
      </c>
      <c r="B782" s="466" t="s">
        <v>111</v>
      </c>
      <c r="C782" s="631" t="s">
        <v>738</v>
      </c>
      <c r="D782" s="467" t="s">
        <v>881</v>
      </c>
      <c r="E782" s="474" t="s">
        <v>1721</v>
      </c>
      <c r="F782" s="469" t="s">
        <v>117</v>
      </c>
      <c r="G782" s="470" t="s">
        <v>939</v>
      </c>
      <c r="H782" s="622" t="s">
        <v>916</v>
      </c>
      <c r="I782" s="633" t="s">
        <v>116</v>
      </c>
      <c r="J782" s="471" t="s">
        <v>913</v>
      </c>
      <c r="K782" s="469">
        <v>8</v>
      </c>
      <c r="L782" s="473"/>
      <c r="M782" s="623">
        <v>54</v>
      </c>
      <c r="N782" s="623">
        <v>6</v>
      </c>
      <c r="O782" s="624">
        <v>0.1111111111111111</v>
      </c>
      <c r="P782" s="624">
        <v>0.1111111111111111</v>
      </c>
      <c r="Q782" s="785">
        <f t="shared" si="12"/>
        <v>1.3888888888888888</v>
      </c>
      <c r="R782" s="468" t="s">
        <v>1718</v>
      </c>
      <c r="S782" s="629"/>
    </row>
    <row r="783" spans="1:19" ht="15" x14ac:dyDescent="0.25">
      <c r="A783" s="621" t="s">
        <v>351</v>
      </c>
      <c r="B783" s="466" t="s">
        <v>111</v>
      </c>
      <c r="C783" s="631" t="s">
        <v>738</v>
      </c>
      <c r="D783" s="467" t="s">
        <v>883</v>
      </c>
      <c r="E783" s="474" t="s">
        <v>1721</v>
      </c>
      <c r="F783" s="469" t="s">
        <v>117</v>
      </c>
      <c r="G783" s="470" t="s">
        <v>939</v>
      </c>
      <c r="H783" s="622" t="s">
        <v>916</v>
      </c>
      <c r="I783" s="633" t="s">
        <v>116</v>
      </c>
      <c r="J783" s="471" t="s">
        <v>913</v>
      </c>
      <c r="K783" s="469">
        <v>8</v>
      </c>
      <c r="L783" s="473"/>
      <c r="M783" s="623">
        <v>0</v>
      </c>
      <c r="N783" s="623">
        <v>0</v>
      </c>
      <c r="O783" s="624">
        <v>0</v>
      </c>
      <c r="P783" s="624">
        <v>0</v>
      </c>
      <c r="Q783" s="785" t="e">
        <f t="shared" si="12"/>
        <v>#DIV/0!</v>
      </c>
      <c r="R783" s="468" t="s">
        <v>1719</v>
      </c>
      <c r="S783" s="629"/>
    </row>
    <row r="784" spans="1:19" ht="15" x14ac:dyDescent="0.25">
      <c r="A784" s="621" t="s">
        <v>351</v>
      </c>
      <c r="B784" s="466" t="s">
        <v>111</v>
      </c>
      <c r="C784" s="631" t="s">
        <v>738</v>
      </c>
      <c r="D784" s="467" t="s">
        <v>866</v>
      </c>
      <c r="E784" s="474" t="s">
        <v>1722</v>
      </c>
      <c r="F784" s="469" t="s">
        <v>117</v>
      </c>
      <c r="G784" s="470" t="s">
        <v>939</v>
      </c>
      <c r="H784" s="622" t="s">
        <v>916</v>
      </c>
      <c r="I784" s="633" t="s">
        <v>116</v>
      </c>
      <c r="J784" s="471" t="s">
        <v>913</v>
      </c>
      <c r="K784" s="469">
        <v>8</v>
      </c>
      <c r="L784" s="473"/>
      <c r="M784" s="623">
        <v>0</v>
      </c>
      <c r="N784" s="623">
        <v>1</v>
      </c>
      <c r="O784" s="624">
        <v>0</v>
      </c>
      <c r="P784" s="624">
        <v>0</v>
      </c>
      <c r="Q784" s="785" t="e">
        <f t="shared" si="12"/>
        <v>#DIV/0!</v>
      </c>
      <c r="R784" s="468" t="s">
        <v>1719</v>
      </c>
      <c r="S784" s="629"/>
    </row>
    <row r="785" spans="1:19" ht="15" x14ac:dyDescent="0.25">
      <c r="A785" s="621" t="s">
        <v>351</v>
      </c>
      <c r="B785" s="466" t="s">
        <v>111</v>
      </c>
      <c r="C785" s="631" t="s">
        <v>738</v>
      </c>
      <c r="D785" s="467" t="s">
        <v>869</v>
      </c>
      <c r="E785" s="474" t="s">
        <v>1722</v>
      </c>
      <c r="F785" s="469" t="s">
        <v>117</v>
      </c>
      <c r="G785" s="470" t="s">
        <v>939</v>
      </c>
      <c r="H785" s="622" t="s">
        <v>916</v>
      </c>
      <c r="I785" s="633" t="s">
        <v>116</v>
      </c>
      <c r="J785" s="471" t="s">
        <v>913</v>
      </c>
      <c r="K785" s="469">
        <v>8</v>
      </c>
      <c r="L785" s="473"/>
      <c r="M785" s="623">
        <v>7</v>
      </c>
      <c r="N785" s="623">
        <v>2</v>
      </c>
      <c r="O785" s="624">
        <v>0.2857142857142857</v>
      </c>
      <c r="P785" s="624">
        <v>0.2857142857142857</v>
      </c>
      <c r="Q785" s="785">
        <f t="shared" si="12"/>
        <v>3.5714285714285712</v>
      </c>
      <c r="R785" s="468" t="s">
        <v>1718</v>
      </c>
      <c r="S785" s="629"/>
    </row>
    <row r="786" spans="1:19" ht="15" x14ac:dyDescent="0.25">
      <c r="A786" s="621" t="s">
        <v>351</v>
      </c>
      <c r="B786" s="466" t="s">
        <v>111</v>
      </c>
      <c r="C786" s="631" t="s">
        <v>101</v>
      </c>
      <c r="D786" s="467" t="s">
        <v>889</v>
      </c>
      <c r="E786" s="474"/>
      <c r="F786" s="469" t="s">
        <v>117</v>
      </c>
      <c r="G786" s="470" t="s">
        <v>939</v>
      </c>
      <c r="H786" s="622" t="s">
        <v>917</v>
      </c>
      <c r="I786" s="633" t="s">
        <v>116</v>
      </c>
      <c r="J786" s="471" t="s">
        <v>913</v>
      </c>
      <c r="K786" s="469">
        <v>17</v>
      </c>
      <c r="L786" s="473"/>
      <c r="M786" s="623">
        <v>112</v>
      </c>
      <c r="N786" s="623">
        <v>19</v>
      </c>
      <c r="O786" s="624">
        <v>0.16964285714285715</v>
      </c>
      <c r="P786" s="624">
        <v>0.16964285714285715</v>
      </c>
      <c r="Q786" s="785">
        <f t="shared" si="12"/>
        <v>0.99789915966386555</v>
      </c>
      <c r="R786" s="468" t="s">
        <v>1718</v>
      </c>
      <c r="S786" s="629"/>
    </row>
    <row r="787" spans="1:19" ht="15" x14ac:dyDescent="0.25">
      <c r="A787" s="621" t="s">
        <v>351</v>
      </c>
      <c r="B787" s="466" t="s">
        <v>111</v>
      </c>
      <c r="C787" s="631" t="s">
        <v>101</v>
      </c>
      <c r="D787" s="467" t="s">
        <v>881</v>
      </c>
      <c r="E787" s="474"/>
      <c r="F787" s="469" t="s">
        <v>117</v>
      </c>
      <c r="G787" s="470" t="s">
        <v>939</v>
      </c>
      <c r="H787" s="622" t="s">
        <v>916</v>
      </c>
      <c r="I787" s="633" t="s">
        <v>116</v>
      </c>
      <c r="J787" s="471" t="s">
        <v>913</v>
      </c>
      <c r="K787" s="469">
        <v>36</v>
      </c>
      <c r="L787" s="473"/>
      <c r="M787" s="623">
        <v>9</v>
      </c>
      <c r="N787" s="623">
        <v>2</v>
      </c>
      <c r="O787" s="624">
        <v>0.22222222222222221</v>
      </c>
      <c r="P787" s="624">
        <v>0.22222222222222221</v>
      </c>
      <c r="Q787" s="785">
        <f t="shared" si="12"/>
        <v>0.61728395061728392</v>
      </c>
      <c r="R787" s="468" t="s">
        <v>1718</v>
      </c>
      <c r="S787" s="629"/>
    </row>
    <row r="788" spans="1:19" ht="15" x14ac:dyDescent="0.25">
      <c r="A788" s="621" t="s">
        <v>351</v>
      </c>
      <c r="B788" s="466" t="s">
        <v>111</v>
      </c>
      <c r="C788" s="631" t="s">
        <v>101</v>
      </c>
      <c r="D788" s="467" t="s">
        <v>883</v>
      </c>
      <c r="E788" s="474" t="s">
        <v>1723</v>
      </c>
      <c r="F788" s="469" t="s">
        <v>117</v>
      </c>
      <c r="G788" s="470" t="s">
        <v>939</v>
      </c>
      <c r="H788" s="622" t="s">
        <v>916</v>
      </c>
      <c r="I788" s="633" t="s">
        <v>116</v>
      </c>
      <c r="J788" s="471" t="s">
        <v>913</v>
      </c>
      <c r="K788" s="469">
        <v>80</v>
      </c>
      <c r="L788" s="473"/>
      <c r="M788" s="623">
        <v>0</v>
      </c>
      <c r="N788" s="623">
        <v>0</v>
      </c>
      <c r="O788" s="624">
        <v>0</v>
      </c>
      <c r="P788" s="624">
        <v>0</v>
      </c>
      <c r="Q788" s="785" t="e">
        <f t="shared" si="12"/>
        <v>#DIV/0!</v>
      </c>
      <c r="R788" s="468" t="s">
        <v>1719</v>
      </c>
      <c r="S788" s="629"/>
    </row>
    <row r="789" spans="1:19" ht="15" x14ac:dyDescent="0.25">
      <c r="A789" s="621" t="s">
        <v>351</v>
      </c>
      <c r="B789" s="466" t="s">
        <v>111</v>
      </c>
      <c r="C789" s="631" t="s">
        <v>101</v>
      </c>
      <c r="D789" s="467" t="s">
        <v>866</v>
      </c>
      <c r="E789" s="474" t="s">
        <v>1723</v>
      </c>
      <c r="F789" s="469" t="s">
        <v>117</v>
      </c>
      <c r="G789" s="470" t="s">
        <v>939</v>
      </c>
      <c r="H789" s="622" t="s">
        <v>916</v>
      </c>
      <c r="I789" s="633" t="s">
        <v>116</v>
      </c>
      <c r="J789" s="471" t="s">
        <v>913</v>
      </c>
      <c r="K789" s="469" t="s">
        <v>79</v>
      </c>
      <c r="L789" s="473"/>
      <c r="M789" s="623">
        <v>13</v>
      </c>
      <c r="N789" s="623">
        <v>2</v>
      </c>
      <c r="O789" s="624">
        <v>0.15384615384615385</v>
      </c>
      <c r="P789" s="624">
        <v>0.15384615384615385</v>
      </c>
      <c r="Q789" s="785" t="e">
        <f t="shared" si="12"/>
        <v>#VALUE!</v>
      </c>
      <c r="R789" s="468" t="s">
        <v>1718</v>
      </c>
      <c r="S789" s="629"/>
    </row>
    <row r="790" spans="1:19" ht="15" x14ac:dyDescent="0.25">
      <c r="A790" s="621" t="s">
        <v>351</v>
      </c>
      <c r="B790" s="466" t="s">
        <v>111</v>
      </c>
      <c r="C790" s="631" t="s">
        <v>101</v>
      </c>
      <c r="D790" s="467" t="s">
        <v>869</v>
      </c>
      <c r="E790" s="474" t="s">
        <v>1723</v>
      </c>
      <c r="F790" s="469" t="s">
        <v>117</v>
      </c>
      <c r="G790" s="470" t="s">
        <v>939</v>
      </c>
      <c r="H790" s="622" t="s">
        <v>916</v>
      </c>
      <c r="I790" s="633" t="s">
        <v>116</v>
      </c>
      <c r="J790" s="471" t="s">
        <v>913</v>
      </c>
      <c r="K790" s="469" t="s">
        <v>79</v>
      </c>
      <c r="L790" s="473"/>
      <c r="M790" s="623">
        <v>0</v>
      </c>
      <c r="N790" s="623">
        <v>0</v>
      </c>
      <c r="O790" s="624">
        <v>0</v>
      </c>
      <c r="P790" s="624">
        <v>0</v>
      </c>
      <c r="Q790" s="785" t="e">
        <f t="shared" si="12"/>
        <v>#VALUE!</v>
      </c>
      <c r="R790" s="468" t="s">
        <v>1719</v>
      </c>
      <c r="S790" s="629"/>
    </row>
    <row r="791" spans="1:19" ht="15" x14ac:dyDescent="0.25">
      <c r="A791" s="621" t="s">
        <v>351</v>
      </c>
      <c r="B791" s="466" t="s">
        <v>111</v>
      </c>
      <c r="C791" s="631" t="s">
        <v>885</v>
      </c>
      <c r="D791" s="467" t="s">
        <v>889</v>
      </c>
      <c r="E791" s="474"/>
      <c r="F791" s="469" t="s">
        <v>117</v>
      </c>
      <c r="G791" s="470" t="s">
        <v>939</v>
      </c>
      <c r="H791" s="622" t="s">
        <v>917</v>
      </c>
      <c r="I791" s="633" t="s">
        <v>116</v>
      </c>
      <c r="J791" s="471" t="s">
        <v>913</v>
      </c>
      <c r="K791" s="469">
        <v>13</v>
      </c>
      <c r="L791" s="473"/>
      <c r="M791" s="623">
        <v>0</v>
      </c>
      <c r="N791" s="623">
        <v>0</v>
      </c>
      <c r="O791" s="624">
        <v>0</v>
      </c>
      <c r="P791" s="624">
        <v>0</v>
      </c>
      <c r="Q791" s="785" t="e">
        <f t="shared" si="12"/>
        <v>#DIV/0!</v>
      </c>
      <c r="R791" s="468" t="s">
        <v>1719</v>
      </c>
      <c r="S791" s="629"/>
    </row>
    <row r="792" spans="1:19" ht="15" x14ac:dyDescent="0.25">
      <c r="A792" s="621" t="s">
        <v>351</v>
      </c>
      <c r="B792" s="466" t="s">
        <v>111</v>
      </c>
      <c r="C792" s="631" t="s">
        <v>885</v>
      </c>
      <c r="D792" s="467" t="s">
        <v>881</v>
      </c>
      <c r="E792" s="474"/>
      <c r="F792" s="469" t="s">
        <v>117</v>
      </c>
      <c r="G792" s="470" t="s">
        <v>939</v>
      </c>
      <c r="H792" s="622" t="s">
        <v>916</v>
      </c>
      <c r="I792" s="633" t="s">
        <v>116</v>
      </c>
      <c r="J792" s="471" t="s">
        <v>913</v>
      </c>
      <c r="K792" s="469">
        <v>13</v>
      </c>
      <c r="L792" s="473"/>
      <c r="M792" s="623">
        <v>5</v>
      </c>
      <c r="N792" s="623">
        <v>0</v>
      </c>
      <c r="O792" s="624">
        <v>0</v>
      </c>
      <c r="P792" s="624">
        <v>0</v>
      </c>
      <c r="Q792" s="785">
        <f t="shared" si="12"/>
        <v>0</v>
      </c>
      <c r="R792" s="468" t="s">
        <v>1719</v>
      </c>
      <c r="S792" s="629"/>
    </row>
    <row r="793" spans="1:19" ht="15" x14ac:dyDescent="0.25">
      <c r="A793" s="621" t="s">
        <v>351</v>
      </c>
      <c r="B793" s="466" t="s">
        <v>111</v>
      </c>
      <c r="C793" s="631" t="s">
        <v>885</v>
      </c>
      <c r="D793" s="467" t="s">
        <v>883</v>
      </c>
      <c r="E793" s="474" t="s">
        <v>1724</v>
      </c>
      <c r="F793" s="469" t="s">
        <v>117</v>
      </c>
      <c r="G793" s="470" t="s">
        <v>939</v>
      </c>
      <c r="H793" s="622" t="s">
        <v>916</v>
      </c>
      <c r="I793" s="633" t="s">
        <v>116</v>
      </c>
      <c r="J793" s="471" t="s">
        <v>913</v>
      </c>
      <c r="K793" s="469" t="s">
        <v>79</v>
      </c>
      <c r="L793" s="473"/>
      <c r="M793" s="623">
        <v>5</v>
      </c>
      <c r="N793" s="623">
        <v>0</v>
      </c>
      <c r="O793" s="624">
        <v>0</v>
      </c>
      <c r="P793" s="624">
        <v>0</v>
      </c>
      <c r="Q793" s="785" t="e">
        <f t="shared" si="12"/>
        <v>#VALUE!</v>
      </c>
      <c r="R793" s="468" t="s">
        <v>1719</v>
      </c>
      <c r="S793" s="629"/>
    </row>
    <row r="794" spans="1:19" ht="15" x14ac:dyDescent="0.25">
      <c r="A794" s="621" t="s">
        <v>351</v>
      </c>
      <c r="B794" s="466" t="s">
        <v>111</v>
      </c>
      <c r="C794" s="631" t="s">
        <v>885</v>
      </c>
      <c r="D794" s="467" t="s">
        <v>866</v>
      </c>
      <c r="E794" s="474" t="s">
        <v>1724</v>
      </c>
      <c r="F794" s="469" t="s">
        <v>117</v>
      </c>
      <c r="G794" s="470" t="s">
        <v>939</v>
      </c>
      <c r="H794" s="622" t="s">
        <v>916</v>
      </c>
      <c r="I794" s="633" t="s">
        <v>116</v>
      </c>
      <c r="J794" s="471" t="s">
        <v>913</v>
      </c>
      <c r="K794" s="469" t="s">
        <v>79</v>
      </c>
      <c r="L794" s="473"/>
      <c r="M794" s="623">
        <v>0</v>
      </c>
      <c r="N794" s="623">
        <v>0</v>
      </c>
      <c r="O794" s="624">
        <v>0</v>
      </c>
      <c r="P794" s="624">
        <v>0</v>
      </c>
      <c r="Q794" s="785" t="e">
        <f t="shared" si="12"/>
        <v>#VALUE!</v>
      </c>
      <c r="R794" s="468" t="s">
        <v>1719</v>
      </c>
      <c r="S794" s="629"/>
    </row>
    <row r="795" spans="1:19" ht="15" x14ac:dyDescent="0.25">
      <c r="A795" s="621" t="s">
        <v>351</v>
      </c>
      <c r="B795" s="466" t="s">
        <v>111</v>
      </c>
      <c r="C795" s="631" t="s">
        <v>885</v>
      </c>
      <c r="D795" s="467" t="s">
        <v>869</v>
      </c>
      <c r="E795" s="474"/>
      <c r="F795" s="469" t="s">
        <v>117</v>
      </c>
      <c r="G795" s="470" t="s">
        <v>939</v>
      </c>
      <c r="H795" s="622" t="s">
        <v>916</v>
      </c>
      <c r="I795" s="633" t="s">
        <v>116</v>
      </c>
      <c r="J795" s="471" t="s">
        <v>913</v>
      </c>
      <c r="K795" s="469">
        <v>25</v>
      </c>
      <c r="L795" s="473"/>
      <c r="M795" s="623">
        <v>12</v>
      </c>
      <c r="N795" s="623">
        <v>5</v>
      </c>
      <c r="O795" s="624">
        <v>0.41666666666666669</v>
      </c>
      <c r="P795" s="624">
        <v>0.41666666666666669</v>
      </c>
      <c r="Q795" s="785">
        <f t="shared" si="12"/>
        <v>1.6666666666666667</v>
      </c>
      <c r="R795" s="468" t="s">
        <v>1718</v>
      </c>
      <c r="S795" s="629"/>
    </row>
    <row r="796" spans="1:19" ht="15" x14ac:dyDescent="0.25">
      <c r="A796" s="621" t="s">
        <v>351</v>
      </c>
      <c r="B796" s="466" t="s">
        <v>111</v>
      </c>
      <c r="C796" s="631" t="s">
        <v>885</v>
      </c>
      <c r="D796" s="467" t="s">
        <v>887</v>
      </c>
      <c r="E796" s="474"/>
      <c r="F796" s="469" t="s">
        <v>117</v>
      </c>
      <c r="G796" s="470" t="s">
        <v>939</v>
      </c>
      <c r="H796" s="622" t="s">
        <v>916</v>
      </c>
      <c r="I796" s="633" t="s">
        <v>116</v>
      </c>
      <c r="J796" s="471" t="s">
        <v>913</v>
      </c>
      <c r="K796" s="469">
        <v>10</v>
      </c>
      <c r="L796" s="473"/>
      <c r="M796" s="623">
        <v>20</v>
      </c>
      <c r="N796" s="623">
        <v>8</v>
      </c>
      <c r="O796" s="624">
        <v>0.4</v>
      </c>
      <c r="P796" s="624">
        <v>0.4</v>
      </c>
      <c r="Q796" s="785">
        <f t="shared" si="12"/>
        <v>4</v>
      </c>
      <c r="R796" s="468" t="s">
        <v>1718</v>
      </c>
      <c r="S796" s="629"/>
    </row>
    <row r="797" spans="1:19" ht="15" x14ac:dyDescent="0.25">
      <c r="A797" s="621" t="s">
        <v>351</v>
      </c>
      <c r="B797" s="466" t="s">
        <v>111</v>
      </c>
      <c r="C797" s="631" t="s">
        <v>904</v>
      </c>
      <c r="D797" s="467" t="s">
        <v>881</v>
      </c>
      <c r="E797" s="474" t="s">
        <v>1718</v>
      </c>
      <c r="F797" s="469" t="s">
        <v>117</v>
      </c>
      <c r="G797" s="470" t="s">
        <v>939</v>
      </c>
      <c r="H797" s="622" t="s">
        <v>916</v>
      </c>
      <c r="I797" s="633" t="s">
        <v>116</v>
      </c>
      <c r="J797" s="471" t="s">
        <v>913</v>
      </c>
      <c r="K797" s="469" t="s">
        <v>79</v>
      </c>
      <c r="L797" s="473"/>
      <c r="M797" s="623">
        <v>0</v>
      </c>
      <c r="N797" s="623">
        <v>0</v>
      </c>
      <c r="O797" s="624">
        <v>0</v>
      </c>
      <c r="P797" s="624">
        <v>0</v>
      </c>
      <c r="Q797" s="785" t="e">
        <f t="shared" si="12"/>
        <v>#VALUE!</v>
      </c>
      <c r="R797" s="468" t="s">
        <v>1719</v>
      </c>
      <c r="S797" s="629"/>
    </row>
    <row r="798" spans="1:19" ht="15" x14ac:dyDescent="0.25">
      <c r="A798" s="621" t="s">
        <v>351</v>
      </c>
      <c r="B798" s="466" t="s">
        <v>111</v>
      </c>
      <c r="C798" s="631" t="s">
        <v>904</v>
      </c>
      <c r="D798" s="467" t="s">
        <v>883</v>
      </c>
      <c r="E798" s="474" t="s">
        <v>1725</v>
      </c>
      <c r="F798" s="469" t="s">
        <v>117</v>
      </c>
      <c r="G798" s="470" t="s">
        <v>939</v>
      </c>
      <c r="H798" s="622" t="s">
        <v>916</v>
      </c>
      <c r="I798" s="633" t="s">
        <v>116</v>
      </c>
      <c r="J798" s="471" t="s">
        <v>913</v>
      </c>
      <c r="K798" s="469" t="s">
        <v>79</v>
      </c>
      <c r="L798" s="473"/>
      <c r="M798" s="623">
        <v>1</v>
      </c>
      <c r="N798" s="623">
        <v>1</v>
      </c>
      <c r="O798" s="624">
        <v>1</v>
      </c>
      <c r="P798" s="624">
        <v>1</v>
      </c>
      <c r="Q798" s="785" t="e">
        <f t="shared" si="12"/>
        <v>#VALUE!</v>
      </c>
      <c r="R798" s="468" t="s">
        <v>1718</v>
      </c>
      <c r="S798" s="629"/>
    </row>
    <row r="799" spans="1:19" ht="15" x14ac:dyDescent="0.25">
      <c r="A799" s="621" t="s">
        <v>351</v>
      </c>
      <c r="B799" s="466" t="s">
        <v>111</v>
      </c>
      <c r="C799" s="631" t="s">
        <v>740</v>
      </c>
      <c r="D799" s="467" t="s">
        <v>889</v>
      </c>
      <c r="E799" s="474"/>
      <c r="F799" s="469" t="s">
        <v>117</v>
      </c>
      <c r="G799" s="470" t="s">
        <v>939</v>
      </c>
      <c r="H799" s="622" t="s">
        <v>917</v>
      </c>
      <c r="I799" s="633" t="s">
        <v>116</v>
      </c>
      <c r="J799" s="471" t="s">
        <v>913</v>
      </c>
      <c r="K799" s="469">
        <v>38</v>
      </c>
      <c r="L799" s="473"/>
      <c r="M799" s="623">
        <v>37</v>
      </c>
      <c r="N799" s="623">
        <v>3</v>
      </c>
      <c r="O799" s="624">
        <v>8.1081081081081086E-2</v>
      </c>
      <c r="P799" s="624">
        <v>8.1081081081081086E-2</v>
      </c>
      <c r="Q799" s="785">
        <f t="shared" si="12"/>
        <v>0.21337126600284495</v>
      </c>
      <c r="R799" s="468" t="s">
        <v>1718</v>
      </c>
      <c r="S799" s="629"/>
    </row>
    <row r="800" spans="1:19" ht="15" x14ac:dyDescent="0.25">
      <c r="A800" s="621" t="s">
        <v>351</v>
      </c>
      <c r="B800" s="466" t="s">
        <v>111</v>
      </c>
      <c r="C800" s="631" t="s">
        <v>740</v>
      </c>
      <c r="D800" s="467" t="s">
        <v>881</v>
      </c>
      <c r="E800" s="474" t="s">
        <v>1726</v>
      </c>
      <c r="F800" s="469" t="s">
        <v>117</v>
      </c>
      <c r="G800" s="470" t="s">
        <v>939</v>
      </c>
      <c r="H800" s="622" t="s">
        <v>916</v>
      </c>
      <c r="I800" s="633" t="s">
        <v>116</v>
      </c>
      <c r="J800" s="471" t="s">
        <v>913</v>
      </c>
      <c r="K800" s="469" t="s">
        <v>79</v>
      </c>
      <c r="L800" s="473"/>
      <c r="M800" s="623">
        <v>4</v>
      </c>
      <c r="N800" s="623">
        <v>0</v>
      </c>
      <c r="O800" s="624">
        <v>0</v>
      </c>
      <c r="P800" s="624">
        <v>0</v>
      </c>
      <c r="Q800" s="785" t="e">
        <f t="shared" si="12"/>
        <v>#VALUE!</v>
      </c>
      <c r="R800" s="468" t="s">
        <v>1719</v>
      </c>
      <c r="S800" s="629"/>
    </row>
    <row r="801" spans="1:19" ht="15" x14ac:dyDescent="0.25">
      <c r="A801" s="621" t="s">
        <v>351</v>
      </c>
      <c r="B801" s="466" t="s">
        <v>111</v>
      </c>
      <c r="C801" s="631" t="s">
        <v>740</v>
      </c>
      <c r="D801" s="467" t="s">
        <v>883</v>
      </c>
      <c r="E801" s="474" t="s">
        <v>1726</v>
      </c>
      <c r="F801" s="469" t="s">
        <v>117</v>
      </c>
      <c r="G801" s="470" t="s">
        <v>939</v>
      </c>
      <c r="H801" s="622" t="s">
        <v>916</v>
      </c>
      <c r="I801" s="633" t="s">
        <v>116</v>
      </c>
      <c r="J801" s="471" t="s">
        <v>913</v>
      </c>
      <c r="K801" s="469" t="s">
        <v>79</v>
      </c>
      <c r="L801" s="473"/>
      <c r="M801" s="623">
        <v>0</v>
      </c>
      <c r="N801" s="623">
        <v>0</v>
      </c>
      <c r="O801" s="624">
        <v>0</v>
      </c>
      <c r="P801" s="624">
        <v>0</v>
      </c>
      <c r="Q801" s="785" t="e">
        <f t="shared" si="12"/>
        <v>#VALUE!</v>
      </c>
      <c r="R801" s="468" t="s">
        <v>1719</v>
      </c>
      <c r="S801" s="629"/>
    </row>
    <row r="802" spans="1:19" ht="15" x14ac:dyDescent="0.25">
      <c r="A802" s="621" t="s">
        <v>351</v>
      </c>
      <c r="B802" s="466" t="s">
        <v>111</v>
      </c>
      <c r="C802" s="631" t="s">
        <v>894</v>
      </c>
      <c r="D802" s="467" t="s">
        <v>889</v>
      </c>
      <c r="E802" s="474"/>
      <c r="F802" s="469" t="s">
        <v>117</v>
      </c>
      <c r="G802" s="470" t="s">
        <v>939</v>
      </c>
      <c r="H802" s="622" t="s">
        <v>917</v>
      </c>
      <c r="I802" s="633" t="s">
        <v>116</v>
      </c>
      <c r="J802" s="471" t="s">
        <v>913</v>
      </c>
      <c r="K802" s="469">
        <v>5</v>
      </c>
      <c r="L802" s="473"/>
      <c r="M802" s="623">
        <v>543</v>
      </c>
      <c r="N802" s="623">
        <v>32</v>
      </c>
      <c r="O802" s="624">
        <v>5.8931860036832415E-2</v>
      </c>
      <c r="P802" s="624">
        <v>5.8931860036832415E-2</v>
      </c>
      <c r="Q802" s="785">
        <f t="shared" si="12"/>
        <v>1.1786372007366483</v>
      </c>
      <c r="R802" s="468" t="s">
        <v>1718</v>
      </c>
      <c r="S802" s="629"/>
    </row>
    <row r="803" spans="1:19" ht="15" x14ac:dyDescent="0.25">
      <c r="A803" s="621" t="s">
        <v>351</v>
      </c>
      <c r="B803" s="466" t="s">
        <v>111</v>
      </c>
      <c r="C803" s="631" t="s">
        <v>894</v>
      </c>
      <c r="D803" s="467" t="s">
        <v>881</v>
      </c>
      <c r="E803" s="474"/>
      <c r="F803" s="469" t="s">
        <v>117</v>
      </c>
      <c r="G803" s="470" t="s">
        <v>939</v>
      </c>
      <c r="H803" s="622" t="s">
        <v>916</v>
      </c>
      <c r="I803" s="633" t="s">
        <v>116</v>
      </c>
      <c r="J803" s="471" t="s">
        <v>913</v>
      </c>
      <c r="K803" s="469">
        <v>32</v>
      </c>
      <c r="L803" s="473"/>
      <c r="M803" s="623">
        <v>78</v>
      </c>
      <c r="N803" s="623">
        <v>28</v>
      </c>
      <c r="O803" s="624">
        <v>0.35897435897435898</v>
      </c>
      <c r="P803" s="624">
        <v>0.35897435897435898</v>
      </c>
      <c r="Q803" s="785">
        <f t="shared" si="12"/>
        <v>1.1217948717948718</v>
      </c>
      <c r="R803" s="468" t="s">
        <v>1718</v>
      </c>
      <c r="S803" s="629"/>
    </row>
    <row r="804" spans="1:19" ht="15" x14ac:dyDescent="0.25">
      <c r="A804" s="621" t="s">
        <v>351</v>
      </c>
      <c r="B804" s="466" t="s">
        <v>111</v>
      </c>
      <c r="C804" s="631" t="s">
        <v>894</v>
      </c>
      <c r="D804" s="467" t="s">
        <v>883</v>
      </c>
      <c r="E804" s="474" t="s">
        <v>1727</v>
      </c>
      <c r="F804" s="469" t="s">
        <v>117</v>
      </c>
      <c r="G804" s="470" t="s">
        <v>939</v>
      </c>
      <c r="H804" s="622" t="s">
        <v>916</v>
      </c>
      <c r="I804" s="633" t="s">
        <v>116</v>
      </c>
      <c r="J804" s="471" t="s">
        <v>913</v>
      </c>
      <c r="K804" s="469">
        <v>33</v>
      </c>
      <c r="L804" s="473"/>
      <c r="M804" s="623">
        <v>25</v>
      </c>
      <c r="N804" s="623">
        <v>9</v>
      </c>
      <c r="O804" s="624">
        <v>0.36</v>
      </c>
      <c r="P804" s="624">
        <v>0.36</v>
      </c>
      <c r="Q804" s="785">
        <f t="shared" si="12"/>
        <v>1.0909090909090908</v>
      </c>
      <c r="R804" s="468" t="s">
        <v>1718</v>
      </c>
      <c r="S804" s="629"/>
    </row>
    <row r="805" spans="1:19" ht="15" x14ac:dyDescent="0.25">
      <c r="A805" s="621" t="s">
        <v>351</v>
      </c>
      <c r="B805" s="466" t="s">
        <v>111</v>
      </c>
      <c r="C805" s="631" t="s">
        <v>894</v>
      </c>
      <c r="D805" s="467" t="s">
        <v>869</v>
      </c>
      <c r="E805" s="474" t="s">
        <v>1727</v>
      </c>
      <c r="F805" s="469" t="s">
        <v>117</v>
      </c>
      <c r="G805" s="470" t="s">
        <v>939</v>
      </c>
      <c r="H805" s="622" t="s">
        <v>916</v>
      </c>
      <c r="I805" s="633" t="s">
        <v>116</v>
      </c>
      <c r="J805" s="471" t="s">
        <v>913</v>
      </c>
      <c r="K805" s="469" t="s">
        <v>79</v>
      </c>
      <c r="L805" s="473"/>
      <c r="M805" s="623">
        <v>0</v>
      </c>
      <c r="N805" s="623">
        <v>0</v>
      </c>
      <c r="O805" s="624">
        <v>0</v>
      </c>
      <c r="P805" s="624">
        <v>0</v>
      </c>
      <c r="Q805" s="785" t="e">
        <f t="shared" si="12"/>
        <v>#VALUE!</v>
      </c>
      <c r="R805" s="468" t="s">
        <v>1719</v>
      </c>
      <c r="S805" s="629"/>
    </row>
    <row r="806" spans="1:19" ht="15" x14ac:dyDescent="0.25">
      <c r="A806" s="621" t="s">
        <v>351</v>
      </c>
      <c r="B806" s="466" t="s">
        <v>111</v>
      </c>
      <c r="C806" s="631" t="s">
        <v>99</v>
      </c>
      <c r="D806" s="467" t="s">
        <v>866</v>
      </c>
      <c r="E806" s="474" t="s">
        <v>1720</v>
      </c>
      <c r="F806" s="469" t="s">
        <v>117</v>
      </c>
      <c r="G806" s="470" t="s">
        <v>940</v>
      </c>
      <c r="H806" s="622" t="s">
        <v>916</v>
      </c>
      <c r="I806" s="633" t="s">
        <v>116</v>
      </c>
      <c r="J806" s="471" t="s">
        <v>913</v>
      </c>
      <c r="K806" s="469">
        <v>33</v>
      </c>
      <c r="L806" s="473"/>
      <c r="M806" s="623">
        <v>0</v>
      </c>
      <c r="N806" s="623">
        <v>0</v>
      </c>
      <c r="O806" s="624">
        <v>0</v>
      </c>
      <c r="P806" s="624">
        <v>0</v>
      </c>
      <c r="Q806" s="785" t="e">
        <f t="shared" si="12"/>
        <v>#DIV/0!</v>
      </c>
      <c r="R806" s="468" t="s">
        <v>1719</v>
      </c>
      <c r="S806" s="629"/>
    </row>
    <row r="807" spans="1:19" ht="15" x14ac:dyDescent="0.25">
      <c r="A807" s="621" t="s">
        <v>351</v>
      </c>
      <c r="B807" s="466" t="s">
        <v>111</v>
      </c>
      <c r="C807" s="631" t="s">
        <v>99</v>
      </c>
      <c r="D807" s="467" t="s">
        <v>869</v>
      </c>
      <c r="E807" s="474" t="s">
        <v>1720</v>
      </c>
      <c r="F807" s="469" t="s">
        <v>117</v>
      </c>
      <c r="G807" s="470" t="s">
        <v>940</v>
      </c>
      <c r="H807" s="622" t="s">
        <v>916</v>
      </c>
      <c r="I807" s="633" t="s">
        <v>116</v>
      </c>
      <c r="J807" s="471" t="s">
        <v>913</v>
      </c>
      <c r="K807" s="469">
        <v>33</v>
      </c>
      <c r="L807" s="473"/>
      <c r="M807" s="623">
        <v>14</v>
      </c>
      <c r="N807" s="623">
        <v>2</v>
      </c>
      <c r="O807" s="624">
        <v>0.14285714285714285</v>
      </c>
      <c r="P807" s="624">
        <v>0.14285714285714285</v>
      </c>
      <c r="Q807" s="785">
        <f t="shared" si="12"/>
        <v>0.4329004329004329</v>
      </c>
      <c r="R807" s="468" t="s">
        <v>1718</v>
      </c>
      <c r="S807" s="629"/>
    </row>
    <row r="808" spans="1:19" ht="15" x14ac:dyDescent="0.25">
      <c r="A808" s="621" t="s">
        <v>351</v>
      </c>
      <c r="B808" s="466" t="s">
        <v>111</v>
      </c>
      <c r="C808" s="631" t="s">
        <v>870</v>
      </c>
      <c r="D808" s="467" t="s">
        <v>889</v>
      </c>
      <c r="E808" s="474"/>
      <c r="F808" s="469" t="s">
        <v>117</v>
      </c>
      <c r="G808" s="470" t="s">
        <v>940</v>
      </c>
      <c r="H808" s="622" t="s">
        <v>917</v>
      </c>
      <c r="I808" s="633" t="s">
        <v>116</v>
      </c>
      <c r="J808" s="471" t="s">
        <v>913</v>
      </c>
      <c r="K808" s="469">
        <v>16</v>
      </c>
      <c r="L808" s="473"/>
      <c r="M808" s="623">
        <v>50</v>
      </c>
      <c r="N808" s="623">
        <v>4</v>
      </c>
      <c r="O808" s="624">
        <v>0.08</v>
      </c>
      <c r="P808" s="624">
        <v>0.08</v>
      </c>
      <c r="Q808" s="785">
        <f t="shared" si="12"/>
        <v>0.5</v>
      </c>
      <c r="R808" s="468" t="s">
        <v>1718</v>
      </c>
      <c r="S808" s="629"/>
    </row>
    <row r="809" spans="1:19" ht="15" x14ac:dyDescent="0.25">
      <c r="A809" s="621" t="s">
        <v>351</v>
      </c>
      <c r="B809" s="466" t="s">
        <v>111</v>
      </c>
      <c r="C809" s="631" t="s">
        <v>870</v>
      </c>
      <c r="D809" s="467" t="s">
        <v>881</v>
      </c>
      <c r="E809" s="474"/>
      <c r="F809" s="469" t="s">
        <v>117</v>
      </c>
      <c r="G809" s="470" t="s">
        <v>940</v>
      </c>
      <c r="H809" s="622" t="s">
        <v>916</v>
      </c>
      <c r="I809" s="633" t="s">
        <v>116</v>
      </c>
      <c r="J809" s="471" t="s">
        <v>913</v>
      </c>
      <c r="K809" s="469">
        <v>16</v>
      </c>
      <c r="L809" s="473"/>
      <c r="M809" s="623">
        <v>19</v>
      </c>
      <c r="N809" s="623">
        <v>3</v>
      </c>
      <c r="O809" s="624">
        <v>0.15789473684210525</v>
      </c>
      <c r="P809" s="624">
        <v>0.15789473684210525</v>
      </c>
      <c r="Q809" s="785">
        <f t="shared" si="12"/>
        <v>0.98684210526315785</v>
      </c>
      <c r="R809" s="468" t="s">
        <v>1718</v>
      </c>
      <c r="S809" s="629"/>
    </row>
    <row r="810" spans="1:19" ht="15" x14ac:dyDescent="0.25">
      <c r="A810" s="621" t="s">
        <v>351</v>
      </c>
      <c r="B810" s="466" t="s">
        <v>111</v>
      </c>
      <c r="C810" s="631" t="s">
        <v>870</v>
      </c>
      <c r="D810" s="467" t="s">
        <v>883</v>
      </c>
      <c r="E810" s="474"/>
      <c r="F810" s="469" t="s">
        <v>117</v>
      </c>
      <c r="G810" s="470" t="s">
        <v>940</v>
      </c>
      <c r="H810" s="622" t="s">
        <v>916</v>
      </c>
      <c r="I810" s="633" t="s">
        <v>116</v>
      </c>
      <c r="J810" s="471" t="s">
        <v>913</v>
      </c>
      <c r="K810" s="469">
        <v>6</v>
      </c>
      <c r="L810" s="473"/>
      <c r="M810" s="623">
        <v>39</v>
      </c>
      <c r="N810" s="623">
        <v>9</v>
      </c>
      <c r="O810" s="624">
        <v>0.23076923076923078</v>
      </c>
      <c r="P810" s="624">
        <v>0.23076923076923078</v>
      </c>
      <c r="Q810" s="785">
        <f t="shared" si="12"/>
        <v>3.8461538461538463</v>
      </c>
      <c r="R810" s="468" t="s">
        <v>1718</v>
      </c>
      <c r="S810" s="629"/>
    </row>
    <row r="811" spans="1:19" ht="15" x14ac:dyDescent="0.25">
      <c r="A811" s="621" t="s">
        <v>351</v>
      </c>
      <c r="B811" s="466" t="s">
        <v>111</v>
      </c>
      <c r="C811" s="631" t="s">
        <v>870</v>
      </c>
      <c r="D811" s="467" t="s">
        <v>866</v>
      </c>
      <c r="E811" s="474"/>
      <c r="F811" s="469" t="s">
        <v>117</v>
      </c>
      <c r="G811" s="470" t="s">
        <v>940</v>
      </c>
      <c r="H811" s="622" t="s">
        <v>916</v>
      </c>
      <c r="I811" s="633" t="s">
        <v>116</v>
      </c>
      <c r="J811" s="471" t="s">
        <v>913</v>
      </c>
      <c r="K811" s="469">
        <v>8</v>
      </c>
      <c r="L811" s="473"/>
      <c r="M811" s="623">
        <v>67</v>
      </c>
      <c r="N811" s="623">
        <v>17</v>
      </c>
      <c r="O811" s="624">
        <v>0.2537313432835821</v>
      </c>
      <c r="P811" s="624">
        <v>0.2537313432835821</v>
      </c>
      <c r="Q811" s="785">
        <f t="shared" si="12"/>
        <v>3.1716417910447761</v>
      </c>
      <c r="R811" s="468" t="s">
        <v>1718</v>
      </c>
      <c r="S811" s="629"/>
    </row>
    <row r="812" spans="1:19" ht="15" x14ac:dyDescent="0.25">
      <c r="A812" s="621" t="s">
        <v>351</v>
      </c>
      <c r="B812" s="466" t="s">
        <v>111</v>
      </c>
      <c r="C812" s="631" t="s">
        <v>870</v>
      </c>
      <c r="D812" s="467" t="s">
        <v>869</v>
      </c>
      <c r="E812" s="474"/>
      <c r="F812" s="469" t="s">
        <v>117</v>
      </c>
      <c r="G812" s="470" t="s">
        <v>940</v>
      </c>
      <c r="H812" s="622" t="s">
        <v>916</v>
      </c>
      <c r="I812" s="633" t="s">
        <v>116</v>
      </c>
      <c r="J812" s="471" t="s">
        <v>913</v>
      </c>
      <c r="K812" s="469">
        <v>5</v>
      </c>
      <c r="L812" s="473"/>
      <c r="M812" s="623">
        <v>46</v>
      </c>
      <c r="N812" s="623">
        <v>18</v>
      </c>
      <c r="O812" s="624">
        <v>0.39130434782608697</v>
      </c>
      <c r="P812" s="624">
        <v>0.39130434782608697</v>
      </c>
      <c r="Q812" s="785">
        <f t="shared" si="12"/>
        <v>7.8260869565217401</v>
      </c>
      <c r="R812" s="468" t="s">
        <v>1718</v>
      </c>
      <c r="S812" s="629"/>
    </row>
    <row r="813" spans="1:19" ht="15" x14ac:dyDescent="0.25">
      <c r="A813" s="621" t="s">
        <v>351</v>
      </c>
      <c r="B813" s="466" t="s">
        <v>111</v>
      </c>
      <c r="C813" s="631" t="s">
        <v>738</v>
      </c>
      <c r="D813" s="467" t="s">
        <v>889</v>
      </c>
      <c r="E813" s="474"/>
      <c r="F813" s="469" t="s">
        <v>117</v>
      </c>
      <c r="G813" s="470" t="s">
        <v>940</v>
      </c>
      <c r="H813" s="622" t="s">
        <v>917</v>
      </c>
      <c r="I813" s="633" t="s">
        <v>116</v>
      </c>
      <c r="J813" s="471" t="s">
        <v>913</v>
      </c>
      <c r="K813" s="469">
        <v>29</v>
      </c>
      <c r="L813" s="473"/>
      <c r="M813" s="623">
        <v>156</v>
      </c>
      <c r="N813" s="623">
        <v>7</v>
      </c>
      <c r="O813" s="624">
        <v>4.4871794871794872E-2</v>
      </c>
      <c r="P813" s="624">
        <v>4.4871794871794872E-2</v>
      </c>
      <c r="Q813" s="785">
        <f t="shared" si="12"/>
        <v>0.15473032714412024</v>
      </c>
      <c r="R813" s="468" t="s">
        <v>1718</v>
      </c>
      <c r="S813" s="629"/>
    </row>
    <row r="814" spans="1:19" ht="15" x14ac:dyDescent="0.25">
      <c r="A814" s="621" t="s">
        <v>351</v>
      </c>
      <c r="B814" s="466" t="s">
        <v>111</v>
      </c>
      <c r="C814" s="631" t="s">
        <v>738</v>
      </c>
      <c r="D814" s="467" t="s">
        <v>881</v>
      </c>
      <c r="E814" s="474" t="s">
        <v>1721</v>
      </c>
      <c r="F814" s="469" t="s">
        <v>117</v>
      </c>
      <c r="G814" s="470" t="s">
        <v>940</v>
      </c>
      <c r="H814" s="622" t="s">
        <v>916</v>
      </c>
      <c r="I814" s="633" t="s">
        <v>116</v>
      </c>
      <c r="J814" s="471" t="s">
        <v>913</v>
      </c>
      <c r="K814" s="469">
        <v>8</v>
      </c>
      <c r="L814" s="473"/>
      <c r="M814" s="623">
        <v>54</v>
      </c>
      <c r="N814" s="623">
        <v>6</v>
      </c>
      <c r="O814" s="624">
        <v>0.1111111111111111</v>
      </c>
      <c r="P814" s="624">
        <v>0.1111111111111111</v>
      </c>
      <c r="Q814" s="785">
        <f t="shared" si="12"/>
        <v>1.3888888888888888</v>
      </c>
      <c r="R814" s="468" t="s">
        <v>1718</v>
      </c>
      <c r="S814" s="629"/>
    </row>
    <row r="815" spans="1:19" ht="15" x14ac:dyDescent="0.25">
      <c r="A815" s="621" t="s">
        <v>351</v>
      </c>
      <c r="B815" s="466" t="s">
        <v>111</v>
      </c>
      <c r="C815" s="631" t="s">
        <v>738</v>
      </c>
      <c r="D815" s="467" t="s">
        <v>883</v>
      </c>
      <c r="E815" s="474" t="s">
        <v>1721</v>
      </c>
      <c r="F815" s="469" t="s">
        <v>117</v>
      </c>
      <c r="G815" s="470" t="s">
        <v>940</v>
      </c>
      <c r="H815" s="622" t="s">
        <v>916</v>
      </c>
      <c r="I815" s="633" t="s">
        <v>116</v>
      </c>
      <c r="J815" s="471" t="s">
        <v>913</v>
      </c>
      <c r="K815" s="469">
        <v>8</v>
      </c>
      <c r="L815" s="473"/>
      <c r="M815" s="623">
        <v>0</v>
      </c>
      <c r="N815" s="623">
        <v>0</v>
      </c>
      <c r="O815" s="624">
        <v>0</v>
      </c>
      <c r="P815" s="624">
        <v>0</v>
      </c>
      <c r="Q815" s="785" t="e">
        <f t="shared" si="12"/>
        <v>#DIV/0!</v>
      </c>
      <c r="R815" s="468" t="s">
        <v>1719</v>
      </c>
      <c r="S815" s="629"/>
    </row>
    <row r="816" spans="1:19" ht="15" x14ac:dyDescent="0.25">
      <c r="A816" s="621" t="s">
        <v>351</v>
      </c>
      <c r="B816" s="466" t="s">
        <v>111</v>
      </c>
      <c r="C816" s="631" t="s">
        <v>738</v>
      </c>
      <c r="D816" s="467" t="s">
        <v>866</v>
      </c>
      <c r="E816" s="474" t="s">
        <v>1722</v>
      </c>
      <c r="F816" s="469" t="s">
        <v>117</v>
      </c>
      <c r="G816" s="470" t="s">
        <v>940</v>
      </c>
      <c r="H816" s="622" t="s">
        <v>916</v>
      </c>
      <c r="I816" s="633" t="s">
        <v>116</v>
      </c>
      <c r="J816" s="471" t="s">
        <v>913</v>
      </c>
      <c r="K816" s="469">
        <v>8</v>
      </c>
      <c r="L816" s="473"/>
      <c r="M816" s="623">
        <v>0</v>
      </c>
      <c r="N816" s="623">
        <v>1</v>
      </c>
      <c r="O816" s="624">
        <v>0</v>
      </c>
      <c r="P816" s="624">
        <v>0</v>
      </c>
      <c r="Q816" s="785" t="e">
        <f t="shared" si="12"/>
        <v>#DIV/0!</v>
      </c>
      <c r="R816" s="468" t="s">
        <v>1719</v>
      </c>
      <c r="S816" s="629"/>
    </row>
    <row r="817" spans="1:19" ht="15" x14ac:dyDescent="0.25">
      <c r="A817" s="621" t="s">
        <v>351</v>
      </c>
      <c r="B817" s="466" t="s">
        <v>111</v>
      </c>
      <c r="C817" s="631" t="s">
        <v>738</v>
      </c>
      <c r="D817" s="467" t="s">
        <v>869</v>
      </c>
      <c r="E817" s="474" t="s">
        <v>1722</v>
      </c>
      <c r="F817" s="469" t="s">
        <v>117</v>
      </c>
      <c r="G817" s="470" t="s">
        <v>940</v>
      </c>
      <c r="H817" s="622" t="s">
        <v>916</v>
      </c>
      <c r="I817" s="633" t="s">
        <v>116</v>
      </c>
      <c r="J817" s="471" t="s">
        <v>913</v>
      </c>
      <c r="K817" s="469">
        <v>8</v>
      </c>
      <c r="L817" s="473"/>
      <c r="M817" s="623">
        <v>7</v>
      </c>
      <c r="N817" s="623">
        <v>2</v>
      </c>
      <c r="O817" s="624">
        <v>0.2857142857142857</v>
      </c>
      <c r="P817" s="624">
        <v>0.2857142857142857</v>
      </c>
      <c r="Q817" s="785">
        <f t="shared" si="12"/>
        <v>3.5714285714285712</v>
      </c>
      <c r="R817" s="468" t="s">
        <v>1718</v>
      </c>
      <c r="S817" s="629"/>
    </row>
    <row r="818" spans="1:19" ht="15" x14ac:dyDescent="0.25">
      <c r="A818" s="621" t="s">
        <v>351</v>
      </c>
      <c r="B818" s="466" t="s">
        <v>111</v>
      </c>
      <c r="C818" s="631" t="s">
        <v>101</v>
      </c>
      <c r="D818" s="467" t="s">
        <v>889</v>
      </c>
      <c r="E818" s="474"/>
      <c r="F818" s="469" t="s">
        <v>117</v>
      </c>
      <c r="G818" s="470" t="s">
        <v>940</v>
      </c>
      <c r="H818" s="622" t="s">
        <v>917</v>
      </c>
      <c r="I818" s="633" t="s">
        <v>116</v>
      </c>
      <c r="J818" s="471" t="s">
        <v>913</v>
      </c>
      <c r="K818" s="469">
        <v>17</v>
      </c>
      <c r="L818" s="473"/>
      <c r="M818" s="623">
        <v>112</v>
      </c>
      <c r="N818" s="623">
        <v>19</v>
      </c>
      <c r="O818" s="624">
        <v>0.16964285714285715</v>
      </c>
      <c r="P818" s="624">
        <v>0.16964285714285715</v>
      </c>
      <c r="Q818" s="785">
        <f t="shared" si="12"/>
        <v>0.99789915966386555</v>
      </c>
      <c r="R818" s="468" t="s">
        <v>1718</v>
      </c>
      <c r="S818" s="629"/>
    </row>
    <row r="819" spans="1:19" ht="15" x14ac:dyDescent="0.25">
      <c r="A819" s="621" t="s">
        <v>351</v>
      </c>
      <c r="B819" s="466" t="s">
        <v>111</v>
      </c>
      <c r="C819" s="631" t="s">
        <v>101</v>
      </c>
      <c r="D819" s="467" t="s">
        <v>881</v>
      </c>
      <c r="E819" s="474"/>
      <c r="F819" s="469" t="s">
        <v>117</v>
      </c>
      <c r="G819" s="470" t="s">
        <v>940</v>
      </c>
      <c r="H819" s="622" t="s">
        <v>916</v>
      </c>
      <c r="I819" s="633" t="s">
        <v>116</v>
      </c>
      <c r="J819" s="471" t="s">
        <v>913</v>
      </c>
      <c r="K819" s="469">
        <v>36</v>
      </c>
      <c r="L819" s="473"/>
      <c r="M819" s="623">
        <v>9</v>
      </c>
      <c r="N819" s="623">
        <v>2</v>
      </c>
      <c r="O819" s="624">
        <v>0.22222222222222221</v>
      </c>
      <c r="P819" s="624">
        <v>0.22222222222222221</v>
      </c>
      <c r="Q819" s="785">
        <f t="shared" si="12"/>
        <v>0.61728395061728392</v>
      </c>
      <c r="R819" s="468" t="s">
        <v>1718</v>
      </c>
      <c r="S819" s="629"/>
    </row>
    <row r="820" spans="1:19" ht="15" x14ac:dyDescent="0.25">
      <c r="A820" s="621" t="s">
        <v>351</v>
      </c>
      <c r="B820" s="466" t="s">
        <v>111</v>
      </c>
      <c r="C820" s="631" t="s">
        <v>101</v>
      </c>
      <c r="D820" s="467" t="s">
        <v>883</v>
      </c>
      <c r="E820" s="474" t="s">
        <v>1723</v>
      </c>
      <c r="F820" s="469" t="s">
        <v>117</v>
      </c>
      <c r="G820" s="470" t="s">
        <v>940</v>
      </c>
      <c r="H820" s="622" t="s">
        <v>916</v>
      </c>
      <c r="I820" s="633" t="s">
        <v>116</v>
      </c>
      <c r="J820" s="471" t="s">
        <v>913</v>
      </c>
      <c r="K820" s="469">
        <v>80</v>
      </c>
      <c r="L820" s="473"/>
      <c r="M820" s="623">
        <v>0</v>
      </c>
      <c r="N820" s="623">
        <v>0</v>
      </c>
      <c r="O820" s="624">
        <v>0</v>
      </c>
      <c r="P820" s="624">
        <v>0</v>
      </c>
      <c r="Q820" s="785" t="e">
        <f t="shared" si="12"/>
        <v>#DIV/0!</v>
      </c>
      <c r="R820" s="468" t="s">
        <v>1719</v>
      </c>
      <c r="S820" s="629"/>
    </row>
    <row r="821" spans="1:19" ht="15" x14ac:dyDescent="0.25">
      <c r="A821" s="621" t="s">
        <v>351</v>
      </c>
      <c r="B821" s="466" t="s">
        <v>111</v>
      </c>
      <c r="C821" s="631" t="s">
        <v>101</v>
      </c>
      <c r="D821" s="467" t="s">
        <v>866</v>
      </c>
      <c r="E821" s="474" t="s">
        <v>1723</v>
      </c>
      <c r="F821" s="469" t="s">
        <v>117</v>
      </c>
      <c r="G821" s="470" t="s">
        <v>940</v>
      </c>
      <c r="H821" s="622" t="s">
        <v>916</v>
      </c>
      <c r="I821" s="633" t="s">
        <v>116</v>
      </c>
      <c r="J821" s="471" t="s">
        <v>913</v>
      </c>
      <c r="K821" s="469" t="s">
        <v>79</v>
      </c>
      <c r="L821" s="473"/>
      <c r="M821" s="623">
        <v>13</v>
      </c>
      <c r="N821" s="623">
        <v>2</v>
      </c>
      <c r="O821" s="624">
        <v>0.15384615384615385</v>
      </c>
      <c r="P821" s="624">
        <v>0.15384615384615385</v>
      </c>
      <c r="Q821" s="785" t="e">
        <f t="shared" si="12"/>
        <v>#VALUE!</v>
      </c>
      <c r="R821" s="468" t="s">
        <v>1718</v>
      </c>
      <c r="S821" s="629"/>
    </row>
    <row r="822" spans="1:19" ht="15" x14ac:dyDescent="0.25">
      <c r="A822" s="621" t="s">
        <v>351</v>
      </c>
      <c r="B822" s="466" t="s">
        <v>111</v>
      </c>
      <c r="C822" s="631" t="s">
        <v>101</v>
      </c>
      <c r="D822" s="467" t="s">
        <v>869</v>
      </c>
      <c r="E822" s="474" t="s">
        <v>1723</v>
      </c>
      <c r="F822" s="469" t="s">
        <v>117</v>
      </c>
      <c r="G822" s="470" t="s">
        <v>940</v>
      </c>
      <c r="H822" s="622" t="s">
        <v>916</v>
      </c>
      <c r="I822" s="633" t="s">
        <v>116</v>
      </c>
      <c r="J822" s="471" t="s">
        <v>913</v>
      </c>
      <c r="K822" s="469" t="s">
        <v>79</v>
      </c>
      <c r="L822" s="473"/>
      <c r="M822" s="623">
        <v>0</v>
      </c>
      <c r="N822" s="623">
        <v>0</v>
      </c>
      <c r="O822" s="624">
        <v>0</v>
      </c>
      <c r="P822" s="624">
        <v>0</v>
      </c>
      <c r="Q822" s="785" t="e">
        <f t="shared" si="12"/>
        <v>#VALUE!</v>
      </c>
      <c r="R822" s="468" t="s">
        <v>1719</v>
      </c>
      <c r="S822" s="629"/>
    </row>
    <row r="823" spans="1:19" ht="15" x14ac:dyDescent="0.25">
      <c r="A823" s="621" t="s">
        <v>351</v>
      </c>
      <c r="B823" s="466" t="s">
        <v>111</v>
      </c>
      <c r="C823" s="631" t="s">
        <v>885</v>
      </c>
      <c r="D823" s="467" t="s">
        <v>889</v>
      </c>
      <c r="E823" s="474"/>
      <c r="F823" s="469" t="s">
        <v>117</v>
      </c>
      <c r="G823" s="470" t="s">
        <v>940</v>
      </c>
      <c r="H823" s="622" t="s">
        <v>917</v>
      </c>
      <c r="I823" s="633" t="s">
        <v>116</v>
      </c>
      <c r="J823" s="471" t="s">
        <v>913</v>
      </c>
      <c r="K823" s="469">
        <v>13</v>
      </c>
      <c r="L823" s="473"/>
      <c r="M823" s="623">
        <v>0</v>
      </c>
      <c r="N823" s="623">
        <v>0</v>
      </c>
      <c r="O823" s="624">
        <v>0</v>
      </c>
      <c r="P823" s="624">
        <v>0</v>
      </c>
      <c r="Q823" s="785" t="e">
        <f t="shared" si="12"/>
        <v>#DIV/0!</v>
      </c>
      <c r="R823" s="468" t="s">
        <v>1719</v>
      </c>
      <c r="S823" s="629"/>
    </row>
    <row r="824" spans="1:19" ht="15" x14ac:dyDescent="0.25">
      <c r="A824" s="621" t="s">
        <v>351</v>
      </c>
      <c r="B824" s="466" t="s">
        <v>111</v>
      </c>
      <c r="C824" s="631" t="s">
        <v>885</v>
      </c>
      <c r="D824" s="467" t="s">
        <v>881</v>
      </c>
      <c r="E824" s="474"/>
      <c r="F824" s="469" t="s">
        <v>117</v>
      </c>
      <c r="G824" s="470" t="s">
        <v>940</v>
      </c>
      <c r="H824" s="622" t="s">
        <v>916</v>
      </c>
      <c r="I824" s="633" t="s">
        <v>116</v>
      </c>
      <c r="J824" s="471" t="s">
        <v>913</v>
      </c>
      <c r="K824" s="469">
        <v>13</v>
      </c>
      <c r="L824" s="473"/>
      <c r="M824" s="623">
        <v>5</v>
      </c>
      <c r="N824" s="623">
        <v>0</v>
      </c>
      <c r="O824" s="624">
        <v>0</v>
      </c>
      <c r="P824" s="624">
        <v>0</v>
      </c>
      <c r="Q824" s="785">
        <f t="shared" si="12"/>
        <v>0</v>
      </c>
      <c r="R824" s="468" t="s">
        <v>1719</v>
      </c>
      <c r="S824" s="629"/>
    </row>
    <row r="825" spans="1:19" ht="15" x14ac:dyDescent="0.25">
      <c r="A825" s="621" t="s">
        <v>351</v>
      </c>
      <c r="B825" s="466" t="s">
        <v>111</v>
      </c>
      <c r="C825" s="631" t="s">
        <v>885</v>
      </c>
      <c r="D825" s="467" t="s">
        <v>883</v>
      </c>
      <c r="E825" s="474" t="s">
        <v>1724</v>
      </c>
      <c r="F825" s="469" t="s">
        <v>117</v>
      </c>
      <c r="G825" s="470" t="s">
        <v>940</v>
      </c>
      <c r="H825" s="622" t="s">
        <v>916</v>
      </c>
      <c r="I825" s="633" t="s">
        <v>116</v>
      </c>
      <c r="J825" s="471" t="s">
        <v>913</v>
      </c>
      <c r="K825" s="469" t="s">
        <v>79</v>
      </c>
      <c r="L825" s="473"/>
      <c r="M825" s="623">
        <v>5</v>
      </c>
      <c r="N825" s="623">
        <v>0</v>
      </c>
      <c r="O825" s="624">
        <v>0</v>
      </c>
      <c r="P825" s="624">
        <v>0</v>
      </c>
      <c r="Q825" s="785" t="e">
        <f t="shared" si="12"/>
        <v>#VALUE!</v>
      </c>
      <c r="R825" s="468" t="s">
        <v>1719</v>
      </c>
      <c r="S825" s="629"/>
    </row>
    <row r="826" spans="1:19" ht="15" x14ac:dyDescent="0.25">
      <c r="A826" s="621" t="s">
        <v>351</v>
      </c>
      <c r="B826" s="466" t="s">
        <v>111</v>
      </c>
      <c r="C826" s="631" t="s">
        <v>885</v>
      </c>
      <c r="D826" s="467" t="s">
        <v>866</v>
      </c>
      <c r="E826" s="474" t="s">
        <v>1724</v>
      </c>
      <c r="F826" s="469" t="s">
        <v>117</v>
      </c>
      <c r="G826" s="470" t="s">
        <v>940</v>
      </c>
      <c r="H826" s="622" t="s">
        <v>916</v>
      </c>
      <c r="I826" s="633" t="s">
        <v>116</v>
      </c>
      <c r="J826" s="471" t="s">
        <v>913</v>
      </c>
      <c r="K826" s="469" t="s">
        <v>79</v>
      </c>
      <c r="L826" s="473"/>
      <c r="M826" s="623">
        <v>0</v>
      </c>
      <c r="N826" s="623">
        <v>0</v>
      </c>
      <c r="O826" s="624">
        <v>0</v>
      </c>
      <c r="P826" s="624">
        <v>0</v>
      </c>
      <c r="Q826" s="785" t="e">
        <f t="shared" si="12"/>
        <v>#VALUE!</v>
      </c>
      <c r="R826" s="468" t="s">
        <v>1719</v>
      </c>
      <c r="S826" s="629"/>
    </row>
    <row r="827" spans="1:19" ht="15" x14ac:dyDescent="0.25">
      <c r="A827" s="621" t="s">
        <v>351</v>
      </c>
      <c r="B827" s="466" t="s">
        <v>111</v>
      </c>
      <c r="C827" s="631" t="s">
        <v>885</v>
      </c>
      <c r="D827" s="467" t="s">
        <v>869</v>
      </c>
      <c r="E827" s="474"/>
      <c r="F827" s="469" t="s">
        <v>117</v>
      </c>
      <c r="G827" s="470" t="s">
        <v>940</v>
      </c>
      <c r="H827" s="622" t="s">
        <v>916</v>
      </c>
      <c r="I827" s="633" t="s">
        <v>116</v>
      </c>
      <c r="J827" s="471" t="s">
        <v>913</v>
      </c>
      <c r="K827" s="469">
        <v>25</v>
      </c>
      <c r="L827" s="473"/>
      <c r="M827" s="623">
        <v>12</v>
      </c>
      <c r="N827" s="623">
        <v>5</v>
      </c>
      <c r="O827" s="624">
        <v>0.41666666666666669</v>
      </c>
      <c r="P827" s="624">
        <v>0.41666666666666669</v>
      </c>
      <c r="Q827" s="785">
        <f t="shared" si="12"/>
        <v>1.6666666666666667</v>
      </c>
      <c r="R827" s="468" t="s">
        <v>1718</v>
      </c>
      <c r="S827" s="629"/>
    </row>
    <row r="828" spans="1:19" ht="15" x14ac:dyDescent="0.25">
      <c r="A828" s="621" t="s">
        <v>351</v>
      </c>
      <c r="B828" s="466" t="s">
        <v>111</v>
      </c>
      <c r="C828" s="631" t="s">
        <v>885</v>
      </c>
      <c r="D828" s="467" t="s">
        <v>887</v>
      </c>
      <c r="E828" s="474"/>
      <c r="F828" s="469" t="s">
        <v>117</v>
      </c>
      <c r="G828" s="470" t="s">
        <v>940</v>
      </c>
      <c r="H828" s="622" t="s">
        <v>916</v>
      </c>
      <c r="I828" s="633" t="s">
        <v>116</v>
      </c>
      <c r="J828" s="471" t="s">
        <v>913</v>
      </c>
      <c r="K828" s="469">
        <v>10</v>
      </c>
      <c r="L828" s="473"/>
      <c r="M828" s="623">
        <v>20</v>
      </c>
      <c r="N828" s="623">
        <v>8</v>
      </c>
      <c r="O828" s="624">
        <v>0.4</v>
      </c>
      <c r="P828" s="624">
        <v>0.4</v>
      </c>
      <c r="Q828" s="785">
        <f t="shared" si="12"/>
        <v>4</v>
      </c>
      <c r="R828" s="468" t="s">
        <v>1718</v>
      </c>
      <c r="S828" s="629"/>
    </row>
    <row r="829" spans="1:19" ht="15" x14ac:dyDescent="0.25">
      <c r="A829" s="621" t="s">
        <v>351</v>
      </c>
      <c r="B829" s="466" t="s">
        <v>111</v>
      </c>
      <c r="C829" s="631" t="s">
        <v>904</v>
      </c>
      <c r="D829" s="467" t="s">
        <v>881</v>
      </c>
      <c r="E829" s="474" t="s">
        <v>1718</v>
      </c>
      <c r="F829" s="469" t="s">
        <v>117</v>
      </c>
      <c r="G829" s="470" t="s">
        <v>940</v>
      </c>
      <c r="H829" s="622" t="s">
        <v>916</v>
      </c>
      <c r="I829" s="633" t="s">
        <v>116</v>
      </c>
      <c r="J829" s="471" t="s">
        <v>913</v>
      </c>
      <c r="K829" s="469" t="s">
        <v>79</v>
      </c>
      <c r="L829" s="473"/>
      <c r="M829" s="623">
        <v>0</v>
      </c>
      <c r="N829" s="623">
        <v>0</v>
      </c>
      <c r="O829" s="624">
        <v>0</v>
      </c>
      <c r="P829" s="624">
        <v>0</v>
      </c>
      <c r="Q829" s="785" t="e">
        <f t="shared" si="12"/>
        <v>#VALUE!</v>
      </c>
      <c r="R829" s="468" t="s">
        <v>1719</v>
      </c>
      <c r="S829" s="629"/>
    </row>
    <row r="830" spans="1:19" ht="15" x14ac:dyDescent="0.25">
      <c r="A830" s="621" t="s">
        <v>351</v>
      </c>
      <c r="B830" s="466" t="s">
        <v>111</v>
      </c>
      <c r="C830" s="631" t="s">
        <v>904</v>
      </c>
      <c r="D830" s="467" t="s">
        <v>883</v>
      </c>
      <c r="E830" s="474" t="s">
        <v>1725</v>
      </c>
      <c r="F830" s="469" t="s">
        <v>117</v>
      </c>
      <c r="G830" s="470" t="s">
        <v>940</v>
      </c>
      <c r="H830" s="622" t="s">
        <v>916</v>
      </c>
      <c r="I830" s="633" t="s">
        <v>116</v>
      </c>
      <c r="J830" s="471" t="s">
        <v>913</v>
      </c>
      <c r="K830" s="469" t="s">
        <v>79</v>
      </c>
      <c r="L830" s="473"/>
      <c r="M830" s="623">
        <v>1</v>
      </c>
      <c r="N830" s="623">
        <v>1</v>
      </c>
      <c r="O830" s="624">
        <v>1</v>
      </c>
      <c r="P830" s="624">
        <v>1</v>
      </c>
      <c r="Q830" s="785" t="e">
        <f t="shared" si="12"/>
        <v>#VALUE!</v>
      </c>
      <c r="R830" s="468" t="s">
        <v>1718</v>
      </c>
      <c r="S830" s="629"/>
    </row>
    <row r="831" spans="1:19" ht="15" x14ac:dyDescent="0.25">
      <c r="A831" s="621" t="s">
        <v>351</v>
      </c>
      <c r="B831" s="466" t="s">
        <v>111</v>
      </c>
      <c r="C831" s="631" t="s">
        <v>740</v>
      </c>
      <c r="D831" s="467" t="s">
        <v>889</v>
      </c>
      <c r="E831" s="474"/>
      <c r="F831" s="469" t="s">
        <v>117</v>
      </c>
      <c r="G831" s="470" t="s">
        <v>940</v>
      </c>
      <c r="H831" s="622" t="s">
        <v>917</v>
      </c>
      <c r="I831" s="633" t="s">
        <v>116</v>
      </c>
      <c r="J831" s="471" t="s">
        <v>913</v>
      </c>
      <c r="K831" s="469">
        <v>38</v>
      </c>
      <c r="L831" s="473"/>
      <c r="M831" s="623">
        <v>37</v>
      </c>
      <c r="N831" s="623">
        <v>3</v>
      </c>
      <c r="O831" s="624">
        <v>8.1081081081081086E-2</v>
      </c>
      <c r="P831" s="624">
        <v>8.1081081081081086E-2</v>
      </c>
      <c r="Q831" s="785">
        <f t="shared" si="12"/>
        <v>0.21337126600284495</v>
      </c>
      <c r="R831" s="468" t="s">
        <v>1718</v>
      </c>
      <c r="S831" s="629"/>
    </row>
    <row r="832" spans="1:19" ht="15" x14ac:dyDescent="0.25">
      <c r="A832" s="621" t="s">
        <v>351</v>
      </c>
      <c r="B832" s="466" t="s">
        <v>111</v>
      </c>
      <c r="C832" s="631" t="s">
        <v>740</v>
      </c>
      <c r="D832" s="467" t="s">
        <v>881</v>
      </c>
      <c r="E832" s="474" t="s">
        <v>1726</v>
      </c>
      <c r="F832" s="469" t="s">
        <v>117</v>
      </c>
      <c r="G832" s="470" t="s">
        <v>940</v>
      </c>
      <c r="H832" s="622" t="s">
        <v>916</v>
      </c>
      <c r="I832" s="633" t="s">
        <v>116</v>
      </c>
      <c r="J832" s="471" t="s">
        <v>913</v>
      </c>
      <c r="K832" s="469" t="s">
        <v>79</v>
      </c>
      <c r="L832" s="473"/>
      <c r="M832" s="623">
        <v>4</v>
      </c>
      <c r="N832" s="623">
        <v>0</v>
      </c>
      <c r="O832" s="624">
        <v>0</v>
      </c>
      <c r="P832" s="624">
        <v>0</v>
      </c>
      <c r="Q832" s="785" t="e">
        <f t="shared" si="12"/>
        <v>#VALUE!</v>
      </c>
      <c r="R832" s="468" t="s">
        <v>1719</v>
      </c>
      <c r="S832" s="629"/>
    </row>
    <row r="833" spans="1:19" ht="15" x14ac:dyDescent="0.25">
      <c r="A833" s="621" t="s">
        <v>351</v>
      </c>
      <c r="B833" s="466" t="s">
        <v>111</v>
      </c>
      <c r="C833" s="631" t="s">
        <v>740</v>
      </c>
      <c r="D833" s="467" t="s">
        <v>883</v>
      </c>
      <c r="E833" s="474" t="s">
        <v>1726</v>
      </c>
      <c r="F833" s="469" t="s">
        <v>117</v>
      </c>
      <c r="G833" s="470" t="s">
        <v>940</v>
      </c>
      <c r="H833" s="622" t="s">
        <v>916</v>
      </c>
      <c r="I833" s="633" t="s">
        <v>116</v>
      </c>
      <c r="J833" s="471" t="s">
        <v>913</v>
      </c>
      <c r="K833" s="469" t="s">
        <v>79</v>
      </c>
      <c r="L833" s="473"/>
      <c r="M833" s="623">
        <v>0</v>
      </c>
      <c r="N833" s="623">
        <v>0</v>
      </c>
      <c r="O833" s="624">
        <v>0</v>
      </c>
      <c r="P833" s="624">
        <v>0</v>
      </c>
      <c r="Q833" s="785" t="e">
        <f t="shared" si="12"/>
        <v>#VALUE!</v>
      </c>
      <c r="R833" s="468" t="s">
        <v>1719</v>
      </c>
      <c r="S833" s="629"/>
    </row>
    <row r="834" spans="1:19" ht="15" x14ac:dyDescent="0.25">
      <c r="A834" s="621" t="s">
        <v>351</v>
      </c>
      <c r="B834" s="466" t="s">
        <v>111</v>
      </c>
      <c r="C834" s="631" t="s">
        <v>894</v>
      </c>
      <c r="D834" s="467" t="s">
        <v>889</v>
      </c>
      <c r="E834" s="474"/>
      <c r="F834" s="469" t="s">
        <v>117</v>
      </c>
      <c r="G834" s="470" t="s">
        <v>940</v>
      </c>
      <c r="H834" s="622" t="s">
        <v>917</v>
      </c>
      <c r="I834" s="633" t="s">
        <v>116</v>
      </c>
      <c r="J834" s="471" t="s">
        <v>913</v>
      </c>
      <c r="K834" s="469">
        <v>5</v>
      </c>
      <c r="L834" s="473"/>
      <c r="M834" s="623">
        <v>543</v>
      </c>
      <c r="N834" s="623">
        <v>32</v>
      </c>
      <c r="O834" s="624">
        <v>5.8931860036832415E-2</v>
      </c>
      <c r="P834" s="624">
        <v>5.8931860036832415E-2</v>
      </c>
      <c r="Q834" s="785">
        <f t="shared" si="12"/>
        <v>1.1786372007366483</v>
      </c>
      <c r="R834" s="468" t="s">
        <v>1718</v>
      </c>
      <c r="S834" s="629"/>
    </row>
    <row r="835" spans="1:19" ht="15" x14ac:dyDescent="0.25">
      <c r="A835" s="621" t="s">
        <v>351</v>
      </c>
      <c r="B835" s="466" t="s">
        <v>111</v>
      </c>
      <c r="C835" s="631" t="s">
        <v>894</v>
      </c>
      <c r="D835" s="467" t="s">
        <v>881</v>
      </c>
      <c r="E835" s="474"/>
      <c r="F835" s="469" t="s">
        <v>117</v>
      </c>
      <c r="G835" s="470" t="s">
        <v>940</v>
      </c>
      <c r="H835" s="622" t="s">
        <v>916</v>
      </c>
      <c r="I835" s="633" t="s">
        <v>116</v>
      </c>
      <c r="J835" s="471" t="s">
        <v>913</v>
      </c>
      <c r="K835" s="469">
        <v>32</v>
      </c>
      <c r="L835" s="473"/>
      <c r="M835" s="623">
        <v>78</v>
      </c>
      <c r="N835" s="623">
        <v>28</v>
      </c>
      <c r="O835" s="624">
        <v>0.35897435897435898</v>
      </c>
      <c r="P835" s="624">
        <v>0.35897435897435898</v>
      </c>
      <c r="Q835" s="785">
        <f t="shared" si="12"/>
        <v>1.1217948717948718</v>
      </c>
      <c r="R835" s="468" t="s">
        <v>1718</v>
      </c>
      <c r="S835" s="629"/>
    </row>
    <row r="836" spans="1:19" ht="15" x14ac:dyDescent="0.25">
      <c r="A836" s="621" t="s">
        <v>351</v>
      </c>
      <c r="B836" s="466" t="s">
        <v>111</v>
      </c>
      <c r="C836" s="631" t="s">
        <v>894</v>
      </c>
      <c r="D836" s="467" t="s">
        <v>883</v>
      </c>
      <c r="E836" s="474" t="s">
        <v>1727</v>
      </c>
      <c r="F836" s="469" t="s">
        <v>117</v>
      </c>
      <c r="G836" s="470" t="s">
        <v>940</v>
      </c>
      <c r="H836" s="622" t="s">
        <v>916</v>
      </c>
      <c r="I836" s="633" t="s">
        <v>116</v>
      </c>
      <c r="J836" s="471" t="s">
        <v>913</v>
      </c>
      <c r="K836" s="469">
        <v>33</v>
      </c>
      <c r="L836" s="473"/>
      <c r="M836" s="623">
        <v>25</v>
      </c>
      <c r="N836" s="623">
        <v>9</v>
      </c>
      <c r="O836" s="624">
        <v>0.36</v>
      </c>
      <c r="P836" s="624">
        <v>0.36</v>
      </c>
      <c r="Q836" s="785">
        <f t="shared" si="12"/>
        <v>1.0909090909090908</v>
      </c>
      <c r="R836" s="468" t="s">
        <v>1718</v>
      </c>
      <c r="S836" s="629"/>
    </row>
    <row r="837" spans="1:19" ht="15" x14ac:dyDescent="0.25">
      <c r="A837" s="621" t="s">
        <v>351</v>
      </c>
      <c r="B837" s="466" t="s">
        <v>111</v>
      </c>
      <c r="C837" s="631" t="s">
        <v>894</v>
      </c>
      <c r="D837" s="467" t="s">
        <v>869</v>
      </c>
      <c r="E837" s="474" t="s">
        <v>1727</v>
      </c>
      <c r="F837" s="469" t="s">
        <v>117</v>
      </c>
      <c r="G837" s="470" t="s">
        <v>940</v>
      </c>
      <c r="H837" s="622" t="s">
        <v>916</v>
      </c>
      <c r="I837" s="633" t="s">
        <v>116</v>
      </c>
      <c r="J837" s="471" t="s">
        <v>913</v>
      </c>
      <c r="K837" s="469" t="s">
        <v>79</v>
      </c>
      <c r="L837" s="473"/>
      <c r="M837" s="623">
        <v>0</v>
      </c>
      <c r="N837" s="623">
        <v>0</v>
      </c>
      <c r="O837" s="624">
        <v>0</v>
      </c>
      <c r="P837" s="624">
        <v>0</v>
      </c>
      <c r="Q837" s="785" t="e">
        <f t="shared" si="12"/>
        <v>#VALUE!</v>
      </c>
      <c r="R837" s="468" t="s">
        <v>1719</v>
      </c>
      <c r="S837" s="629"/>
    </row>
    <row r="838" spans="1:19" ht="15" x14ac:dyDescent="0.25">
      <c r="A838" s="621" t="s">
        <v>351</v>
      </c>
      <c r="B838" s="466" t="s">
        <v>111</v>
      </c>
      <c r="C838" s="631" t="s">
        <v>99</v>
      </c>
      <c r="D838" s="467" t="s">
        <v>866</v>
      </c>
      <c r="E838" s="474" t="s">
        <v>1720</v>
      </c>
      <c r="F838" s="469" t="s">
        <v>112</v>
      </c>
      <c r="G838" s="470" t="s">
        <v>941</v>
      </c>
      <c r="H838" s="622" t="s">
        <v>916</v>
      </c>
      <c r="I838" s="633" t="s">
        <v>116</v>
      </c>
      <c r="J838" s="471" t="s">
        <v>913</v>
      </c>
      <c r="K838" s="469">
        <v>33</v>
      </c>
      <c r="L838" s="473"/>
      <c r="M838" s="623">
        <v>0</v>
      </c>
      <c r="N838" s="623">
        <v>0</v>
      </c>
      <c r="O838" s="624">
        <v>0</v>
      </c>
      <c r="P838" s="624">
        <v>0</v>
      </c>
      <c r="Q838" s="785" t="e">
        <f t="shared" ref="Q838:Q901" si="13">N838/(M838*K838/100)</f>
        <v>#DIV/0!</v>
      </c>
      <c r="R838" s="468" t="s">
        <v>1719</v>
      </c>
      <c r="S838" s="629"/>
    </row>
    <row r="839" spans="1:19" ht="15" x14ac:dyDescent="0.25">
      <c r="A839" s="621" t="s">
        <v>351</v>
      </c>
      <c r="B839" s="466" t="s">
        <v>111</v>
      </c>
      <c r="C839" s="631" t="s">
        <v>99</v>
      </c>
      <c r="D839" s="467" t="s">
        <v>869</v>
      </c>
      <c r="E839" s="474" t="s">
        <v>1720</v>
      </c>
      <c r="F839" s="469" t="s">
        <v>112</v>
      </c>
      <c r="G839" s="470" t="s">
        <v>941</v>
      </c>
      <c r="H839" s="622" t="s">
        <v>916</v>
      </c>
      <c r="I839" s="633" t="s">
        <v>116</v>
      </c>
      <c r="J839" s="471" t="s">
        <v>913</v>
      </c>
      <c r="K839" s="469">
        <v>33</v>
      </c>
      <c r="L839" s="473"/>
      <c r="M839" s="623">
        <v>14</v>
      </c>
      <c r="N839" s="623">
        <v>2</v>
      </c>
      <c r="O839" s="624">
        <v>0.14285714285714285</v>
      </c>
      <c r="P839" s="624">
        <v>0.14285714285714285</v>
      </c>
      <c r="Q839" s="785">
        <f t="shared" si="13"/>
        <v>0.4329004329004329</v>
      </c>
      <c r="R839" s="468" t="s">
        <v>1718</v>
      </c>
      <c r="S839" s="629"/>
    </row>
    <row r="840" spans="1:19" ht="15" x14ac:dyDescent="0.25">
      <c r="A840" s="621" t="s">
        <v>351</v>
      </c>
      <c r="B840" s="466" t="s">
        <v>111</v>
      </c>
      <c r="C840" s="631" t="s">
        <v>870</v>
      </c>
      <c r="D840" s="467" t="s">
        <v>889</v>
      </c>
      <c r="E840" s="474"/>
      <c r="F840" s="469" t="s">
        <v>112</v>
      </c>
      <c r="G840" s="470" t="s">
        <v>941</v>
      </c>
      <c r="H840" s="622" t="s">
        <v>917</v>
      </c>
      <c r="I840" s="633" t="s">
        <v>116</v>
      </c>
      <c r="J840" s="471" t="s">
        <v>913</v>
      </c>
      <c r="K840" s="469">
        <v>16</v>
      </c>
      <c r="L840" s="473"/>
      <c r="M840" s="623">
        <v>50</v>
      </c>
      <c r="N840" s="623">
        <v>4</v>
      </c>
      <c r="O840" s="624">
        <v>0.08</v>
      </c>
      <c r="P840" s="624">
        <v>0.08</v>
      </c>
      <c r="Q840" s="785">
        <f t="shared" si="13"/>
        <v>0.5</v>
      </c>
      <c r="R840" s="468" t="s">
        <v>1718</v>
      </c>
      <c r="S840" s="629"/>
    </row>
    <row r="841" spans="1:19" ht="15" x14ac:dyDescent="0.25">
      <c r="A841" s="621" t="s">
        <v>351</v>
      </c>
      <c r="B841" s="466" t="s">
        <v>111</v>
      </c>
      <c r="C841" s="631" t="s">
        <v>870</v>
      </c>
      <c r="D841" s="467" t="s">
        <v>881</v>
      </c>
      <c r="E841" s="474"/>
      <c r="F841" s="469" t="s">
        <v>112</v>
      </c>
      <c r="G841" s="470" t="s">
        <v>941</v>
      </c>
      <c r="H841" s="622" t="s">
        <v>916</v>
      </c>
      <c r="I841" s="633" t="s">
        <v>116</v>
      </c>
      <c r="J841" s="471" t="s">
        <v>913</v>
      </c>
      <c r="K841" s="469">
        <v>16</v>
      </c>
      <c r="L841" s="473"/>
      <c r="M841" s="623">
        <v>19</v>
      </c>
      <c r="N841" s="623">
        <v>3</v>
      </c>
      <c r="O841" s="624">
        <v>0.15789473684210525</v>
      </c>
      <c r="P841" s="624">
        <v>0.15789473684210525</v>
      </c>
      <c r="Q841" s="785">
        <f t="shared" si="13"/>
        <v>0.98684210526315785</v>
      </c>
      <c r="R841" s="468" t="s">
        <v>1718</v>
      </c>
      <c r="S841" s="629"/>
    </row>
    <row r="842" spans="1:19" ht="15" x14ac:dyDescent="0.25">
      <c r="A842" s="621" t="s">
        <v>351</v>
      </c>
      <c r="B842" s="466" t="s">
        <v>111</v>
      </c>
      <c r="C842" s="631" t="s">
        <v>870</v>
      </c>
      <c r="D842" s="467" t="s">
        <v>883</v>
      </c>
      <c r="E842" s="474"/>
      <c r="F842" s="469" t="s">
        <v>112</v>
      </c>
      <c r="G842" s="470" t="s">
        <v>941</v>
      </c>
      <c r="H842" s="622" t="s">
        <v>916</v>
      </c>
      <c r="I842" s="633" t="s">
        <v>116</v>
      </c>
      <c r="J842" s="471" t="s">
        <v>913</v>
      </c>
      <c r="K842" s="469">
        <v>6</v>
      </c>
      <c r="L842" s="473"/>
      <c r="M842" s="623">
        <v>39</v>
      </c>
      <c r="N842" s="623">
        <v>9</v>
      </c>
      <c r="O842" s="624">
        <v>0.23076923076923078</v>
      </c>
      <c r="P842" s="624">
        <v>0.23076923076923078</v>
      </c>
      <c r="Q842" s="785">
        <f t="shared" si="13"/>
        <v>3.8461538461538463</v>
      </c>
      <c r="R842" s="468" t="s">
        <v>1718</v>
      </c>
      <c r="S842" s="629"/>
    </row>
    <row r="843" spans="1:19" ht="15" x14ac:dyDescent="0.25">
      <c r="A843" s="621" t="s">
        <v>351</v>
      </c>
      <c r="B843" s="466" t="s">
        <v>111</v>
      </c>
      <c r="C843" s="631" t="s">
        <v>870</v>
      </c>
      <c r="D843" s="467" t="s">
        <v>866</v>
      </c>
      <c r="E843" s="474"/>
      <c r="F843" s="469" t="s">
        <v>112</v>
      </c>
      <c r="G843" s="470" t="s">
        <v>941</v>
      </c>
      <c r="H843" s="622" t="s">
        <v>916</v>
      </c>
      <c r="I843" s="633" t="s">
        <v>116</v>
      </c>
      <c r="J843" s="471" t="s">
        <v>913</v>
      </c>
      <c r="K843" s="469">
        <v>8</v>
      </c>
      <c r="L843" s="473"/>
      <c r="M843" s="623">
        <v>67</v>
      </c>
      <c r="N843" s="623">
        <v>17</v>
      </c>
      <c r="O843" s="624">
        <v>0.2537313432835821</v>
      </c>
      <c r="P843" s="624">
        <v>0.2537313432835821</v>
      </c>
      <c r="Q843" s="785">
        <f t="shared" si="13"/>
        <v>3.1716417910447761</v>
      </c>
      <c r="R843" s="468" t="s">
        <v>1718</v>
      </c>
      <c r="S843" s="629"/>
    </row>
    <row r="844" spans="1:19" ht="15" x14ac:dyDescent="0.25">
      <c r="A844" s="621" t="s">
        <v>351</v>
      </c>
      <c r="B844" s="466" t="s">
        <v>111</v>
      </c>
      <c r="C844" s="631" t="s">
        <v>870</v>
      </c>
      <c r="D844" s="467" t="s">
        <v>869</v>
      </c>
      <c r="E844" s="474"/>
      <c r="F844" s="469" t="s">
        <v>112</v>
      </c>
      <c r="G844" s="470" t="s">
        <v>941</v>
      </c>
      <c r="H844" s="622" t="s">
        <v>916</v>
      </c>
      <c r="I844" s="633" t="s">
        <v>116</v>
      </c>
      <c r="J844" s="471" t="s">
        <v>913</v>
      </c>
      <c r="K844" s="469">
        <v>5</v>
      </c>
      <c r="L844" s="473"/>
      <c r="M844" s="623">
        <v>46</v>
      </c>
      <c r="N844" s="623">
        <v>18</v>
      </c>
      <c r="O844" s="624">
        <v>0.39130434782608697</v>
      </c>
      <c r="P844" s="624">
        <v>0.39130434782608697</v>
      </c>
      <c r="Q844" s="785">
        <f t="shared" si="13"/>
        <v>7.8260869565217401</v>
      </c>
      <c r="R844" s="468" t="s">
        <v>1718</v>
      </c>
      <c r="S844" s="629"/>
    </row>
    <row r="845" spans="1:19" ht="15" x14ac:dyDescent="0.25">
      <c r="A845" s="621" t="s">
        <v>351</v>
      </c>
      <c r="B845" s="466" t="s">
        <v>111</v>
      </c>
      <c r="C845" s="631" t="s">
        <v>738</v>
      </c>
      <c r="D845" s="467" t="s">
        <v>889</v>
      </c>
      <c r="E845" s="474"/>
      <c r="F845" s="469" t="s">
        <v>112</v>
      </c>
      <c r="G845" s="470" t="s">
        <v>941</v>
      </c>
      <c r="H845" s="622" t="s">
        <v>917</v>
      </c>
      <c r="I845" s="633" t="s">
        <v>116</v>
      </c>
      <c r="J845" s="471" t="s">
        <v>913</v>
      </c>
      <c r="K845" s="469">
        <v>29</v>
      </c>
      <c r="L845" s="473"/>
      <c r="M845" s="623">
        <v>156</v>
      </c>
      <c r="N845" s="623">
        <v>7</v>
      </c>
      <c r="O845" s="624">
        <v>4.4871794871794872E-2</v>
      </c>
      <c r="P845" s="624">
        <v>4.4871794871794872E-2</v>
      </c>
      <c r="Q845" s="785">
        <f t="shared" si="13"/>
        <v>0.15473032714412024</v>
      </c>
      <c r="R845" s="468" t="s">
        <v>1718</v>
      </c>
      <c r="S845" s="629"/>
    </row>
    <row r="846" spans="1:19" ht="15" x14ac:dyDescent="0.25">
      <c r="A846" s="621" t="s">
        <v>351</v>
      </c>
      <c r="B846" s="466" t="s">
        <v>111</v>
      </c>
      <c r="C846" s="631" t="s">
        <v>738</v>
      </c>
      <c r="D846" s="467" t="s">
        <v>881</v>
      </c>
      <c r="E846" s="474" t="s">
        <v>1721</v>
      </c>
      <c r="F846" s="469" t="s">
        <v>112</v>
      </c>
      <c r="G846" s="470" t="s">
        <v>941</v>
      </c>
      <c r="H846" s="622" t="s">
        <v>916</v>
      </c>
      <c r="I846" s="633" t="s">
        <v>116</v>
      </c>
      <c r="J846" s="471" t="s">
        <v>913</v>
      </c>
      <c r="K846" s="469">
        <v>8</v>
      </c>
      <c r="L846" s="473"/>
      <c r="M846" s="623">
        <v>54</v>
      </c>
      <c r="N846" s="623">
        <v>6</v>
      </c>
      <c r="O846" s="624">
        <v>0.1111111111111111</v>
      </c>
      <c r="P846" s="624">
        <v>0.1111111111111111</v>
      </c>
      <c r="Q846" s="785">
        <f t="shared" si="13"/>
        <v>1.3888888888888888</v>
      </c>
      <c r="R846" s="468" t="s">
        <v>1718</v>
      </c>
      <c r="S846" s="629"/>
    </row>
    <row r="847" spans="1:19" ht="15" x14ac:dyDescent="0.25">
      <c r="A847" s="621" t="s">
        <v>351</v>
      </c>
      <c r="B847" s="466" t="s">
        <v>111</v>
      </c>
      <c r="C847" s="631" t="s">
        <v>738</v>
      </c>
      <c r="D847" s="467" t="s">
        <v>883</v>
      </c>
      <c r="E847" s="474" t="s">
        <v>1721</v>
      </c>
      <c r="F847" s="469" t="s">
        <v>112</v>
      </c>
      <c r="G847" s="470" t="s">
        <v>941</v>
      </c>
      <c r="H847" s="622" t="s">
        <v>916</v>
      </c>
      <c r="I847" s="633" t="s">
        <v>116</v>
      </c>
      <c r="J847" s="471" t="s">
        <v>913</v>
      </c>
      <c r="K847" s="469">
        <v>8</v>
      </c>
      <c r="L847" s="473"/>
      <c r="M847" s="623">
        <v>0</v>
      </c>
      <c r="N847" s="623">
        <v>0</v>
      </c>
      <c r="O847" s="624">
        <v>0</v>
      </c>
      <c r="P847" s="624">
        <v>0</v>
      </c>
      <c r="Q847" s="785" t="e">
        <f t="shared" si="13"/>
        <v>#DIV/0!</v>
      </c>
      <c r="R847" s="468" t="s">
        <v>1719</v>
      </c>
      <c r="S847" s="629"/>
    </row>
    <row r="848" spans="1:19" ht="15" x14ac:dyDescent="0.25">
      <c r="A848" s="621" t="s">
        <v>351</v>
      </c>
      <c r="B848" s="466" t="s">
        <v>111</v>
      </c>
      <c r="C848" s="631" t="s">
        <v>738</v>
      </c>
      <c r="D848" s="467" t="s">
        <v>866</v>
      </c>
      <c r="E848" s="474" t="s">
        <v>1722</v>
      </c>
      <c r="F848" s="469" t="s">
        <v>112</v>
      </c>
      <c r="G848" s="470" t="s">
        <v>941</v>
      </c>
      <c r="H848" s="622" t="s">
        <v>916</v>
      </c>
      <c r="I848" s="633" t="s">
        <v>116</v>
      </c>
      <c r="J848" s="471" t="s">
        <v>913</v>
      </c>
      <c r="K848" s="469">
        <v>8</v>
      </c>
      <c r="L848" s="473"/>
      <c r="M848" s="623">
        <v>0</v>
      </c>
      <c r="N848" s="623">
        <v>1</v>
      </c>
      <c r="O848" s="624">
        <v>0</v>
      </c>
      <c r="P848" s="624">
        <v>0</v>
      </c>
      <c r="Q848" s="785" t="e">
        <f t="shared" si="13"/>
        <v>#DIV/0!</v>
      </c>
      <c r="R848" s="468" t="s">
        <v>1719</v>
      </c>
      <c r="S848" s="629"/>
    </row>
    <row r="849" spans="1:19" ht="15" x14ac:dyDescent="0.25">
      <c r="A849" s="621" t="s">
        <v>351</v>
      </c>
      <c r="B849" s="466" t="s">
        <v>111</v>
      </c>
      <c r="C849" s="631" t="s">
        <v>738</v>
      </c>
      <c r="D849" s="467" t="s">
        <v>869</v>
      </c>
      <c r="E849" s="474" t="s">
        <v>1722</v>
      </c>
      <c r="F849" s="469" t="s">
        <v>112</v>
      </c>
      <c r="G849" s="470" t="s">
        <v>941</v>
      </c>
      <c r="H849" s="622" t="s">
        <v>916</v>
      </c>
      <c r="I849" s="633" t="s">
        <v>116</v>
      </c>
      <c r="J849" s="471" t="s">
        <v>913</v>
      </c>
      <c r="K849" s="469">
        <v>8</v>
      </c>
      <c r="L849" s="473"/>
      <c r="M849" s="623">
        <v>7</v>
      </c>
      <c r="N849" s="623">
        <v>2</v>
      </c>
      <c r="O849" s="624">
        <v>0.2857142857142857</v>
      </c>
      <c r="P849" s="624">
        <v>0.2857142857142857</v>
      </c>
      <c r="Q849" s="785">
        <f t="shared" si="13"/>
        <v>3.5714285714285712</v>
      </c>
      <c r="R849" s="468" t="s">
        <v>1718</v>
      </c>
      <c r="S849" s="629"/>
    </row>
    <row r="850" spans="1:19" ht="15" x14ac:dyDescent="0.25">
      <c r="A850" s="621" t="s">
        <v>351</v>
      </c>
      <c r="B850" s="466" t="s">
        <v>111</v>
      </c>
      <c r="C850" s="631" t="s">
        <v>101</v>
      </c>
      <c r="D850" s="467" t="s">
        <v>889</v>
      </c>
      <c r="E850" s="474"/>
      <c r="F850" s="469" t="s">
        <v>112</v>
      </c>
      <c r="G850" s="470" t="s">
        <v>941</v>
      </c>
      <c r="H850" s="622" t="s">
        <v>917</v>
      </c>
      <c r="I850" s="633" t="s">
        <v>116</v>
      </c>
      <c r="J850" s="471" t="s">
        <v>913</v>
      </c>
      <c r="K850" s="469">
        <v>17</v>
      </c>
      <c r="L850" s="473"/>
      <c r="M850" s="623">
        <v>112</v>
      </c>
      <c r="N850" s="623">
        <v>19</v>
      </c>
      <c r="O850" s="624">
        <v>0.16964285714285715</v>
      </c>
      <c r="P850" s="624">
        <v>0.16964285714285715</v>
      </c>
      <c r="Q850" s="785">
        <f t="shared" si="13"/>
        <v>0.99789915966386555</v>
      </c>
      <c r="R850" s="468" t="s">
        <v>1718</v>
      </c>
      <c r="S850" s="629"/>
    </row>
    <row r="851" spans="1:19" ht="15" x14ac:dyDescent="0.25">
      <c r="A851" s="621" t="s">
        <v>351</v>
      </c>
      <c r="B851" s="466" t="s">
        <v>111</v>
      </c>
      <c r="C851" s="631" t="s">
        <v>101</v>
      </c>
      <c r="D851" s="467" t="s">
        <v>881</v>
      </c>
      <c r="E851" s="474"/>
      <c r="F851" s="469" t="s">
        <v>112</v>
      </c>
      <c r="G851" s="470" t="s">
        <v>941</v>
      </c>
      <c r="H851" s="622" t="s">
        <v>916</v>
      </c>
      <c r="I851" s="633" t="s">
        <v>116</v>
      </c>
      <c r="J851" s="471" t="s">
        <v>913</v>
      </c>
      <c r="K851" s="469">
        <v>36</v>
      </c>
      <c r="L851" s="473"/>
      <c r="M851" s="623">
        <v>9</v>
      </c>
      <c r="N851" s="623">
        <v>2</v>
      </c>
      <c r="O851" s="624">
        <v>0.22222222222222221</v>
      </c>
      <c r="P851" s="624">
        <v>0.22222222222222221</v>
      </c>
      <c r="Q851" s="785">
        <f t="shared" si="13"/>
        <v>0.61728395061728392</v>
      </c>
      <c r="R851" s="468" t="s">
        <v>1718</v>
      </c>
      <c r="S851" s="629"/>
    </row>
    <row r="852" spans="1:19" ht="15" x14ac:dyDescent="0.25">
      <c r="A852" s="621" t="s">
        <v>351</v>
      </c>
      <c r="B852" s="466" t="s">
        <v>111</v>
      </c>
      <c r="C852" s="631" t="s">
        <v>101</v>
      </c>
      <c r="D852" s="467" t="s">
        <v>883</v>
      </c>
      <c r="E852" s="474" t="s">
        <v>1723</v>
      </c>
      <c r="F852" s="469" t="s">
        <v>112</v>
      </c>
      <c r="G852" s="470" t="s">
        <v>941</v>
      </c>
      <c r="H852" s="622" t="s">
        <v>916</v>
      </c>
      <c r="I852" s="633" t="s">
        <v>116</v>
      </c>
      <c r="J852" s="471" t="s">
        <v>913</v>
      </c>
      <c r="K852" s="469">
        <v>80</v>
      </c>
      <c r="L852" s="473"/>
      <c r="M852" s="623">
        <v>0</v>
      </c>
      <c r="N852" s="623">
        <v>0</v>
      </c>
      <c r="O852" s="624">
        <v>0</v>
      </c>
      <c r="P852" s="624">
        <v>0</v>
      </c>
      <c r="Q852" s="785" t="e">
        <f t="shared" si="13"/>
        <v>#DIV/0!</v>
      </c>
      <c r="R852" s="468" t="s">
        <v>1719</v>
      </c>
      <c r="S852" s="629"/>
    </row>
    <row r="853" spans="1:19" ht="15" x14ac:dyDescent="0.25">
      <c r="A853" s="621" t="s">
        <v>351</v>
      </c>
      <c r="B853" s="466" t="s">
        <v>111</v>
      </c>
      <c r="C853" s="631" t="s">
        <v>101</v>
      </c>
      <c r="D853" s="467" t="s">
        <v>866</v>
      </c>
      <c r="E853" s="474" t="s">
        <v>1723</v>
      </c>
      <c r="F853" s="469" t="s">
        <v>112</v>
      </c>
      <c r="G853" s="470" t="s">
        <v>941</v>
      </c>
      <c r="H853" s="622" t="s">
        <v>916</v>
      </c>
      <c r="I853" s="633" t="s">
        <v>116</v>
      </c>
      <c r="J853" s="471" t="s">
        <v>913</v>
      </c>
      <c r="K853" s="469" t="s">
        <v>79</v>
      </c>
      <c r="L853" s="473"/>
      <c r="M853" s="623">
        <v>13</v>
      </c>
      <c r="N853" s="623">
        <v>2</v>
      </c>
      <c r="O853" s="624">
        <v>0.15384615384615385</v>
      </c>
      <c r="P853" s="624">
        <v>0.15384615384615385</v>
      </c>
      <c r="Q853" s="785" t="e">
        <f t="shared" si="13"/>
        <v>#VALUE!</v>
      </c>
      <c r="R853" s="468" t="s">
        <v>1718</v>
      </c>
      <c r="S853" s="629"/>
    </row>
    <row r="854" spans="1:19" ht="15" x14ac:dyDescent="0.25">
      <c r="A854" s="621" t="s">
        <v>351</v>
      </c>
      <c r="B854" s="466" t="s">
        <v>111</v>
      </c>
      <c r="C854" s="631" t="s">
        <v>101</v>
      </c>
      <c r="D854" s="467" t="s">
        <v>869</v>
      </c>
      <c r="E854" s="474" t="s">
        <v>1723</v>
      </c>
      <c r="F854" s="469" t="s">
        <v>112</v>
      </c>
      <c r="G854" s="470" t="s">
        <v>941</v>
      </c>
      <c r="H854" s="622" t="s">
        <v>916</v>
      </c>
      <c r="I854" s="633" t="s">
        <v>116</v>
      </c>
      <c r="J854" s="471" t="s">
        <v>913</v>
      </c>
      <c r="K854" s="469" t="s">
        <v>79</v>
      </c>
      <c r="L854" s="473"/>
      <c r="M854" s="623">
        <v>0</v>
      </c>
      <c r="N854" s="623">
        <v>0</v>
      </c>
      <c r="O854" s="624">
        <v>0</v>
      </c>
      <c r="P854" s="624">
        <v>0</v>
      </c>
      <c r="Q854" s="785" t="e">
        <f t="shared" si="13"/>
        <v>#VALUE!</v>
      </c>
      <c r="R854" s="468" t="s">
        <v>1719</v>
      </c>
      <c r="S854" s="629"/>
    </row>
    <row r="855" spans="1:19" ht="15" x14ac:dyDescent="0.25">
      <c r="A855" s="621" t="s">
        <v>351</v>
      </c>
      <c r="B855" s="466" t="s">
        <v>111</v>
      </c>
      <c r="C855" s="631" t="s">
        <v>885</v>
      </c>
      <c r="D855" s="467" t="s">
        <v>889</v>
      </c>
      <c r="E855" s="474"/>
      <c r="F855" s="469" t="s">
        <v>112</v>
      </c>
      <c r="G855" s="470" t="s">
        <v>941</v>
      </c>
      <c r="H855" s="622" t="s">
        <v>917</v>
      </c>
      <c r="I855" s="633" t="s">
        <v>116</v>
      </c>
      <c r="J855" s="471" t="s">
        <v>913</v>
      </c>
      <c r="K855" s="469">
        <v>13</v>
      </c>
      <c r="L855" s="473"/>
      <c r="M855" s="623">
        <v>0</v>
      </c>
      <c r="N855" s="623">
        <v>0</v>
      </c>
      <c r="O855" s="624">
        <v>0</v>
      </c>
      <c r="P855" s="624">
        <v>0</v>
      </c>
      <c r="Q855" s="785" t="e">
        <f t="shared" si="13"/>
        <v>#DIV/0!</v>
      </c>
      <c r="R855" s="468" t="s">
        <v>1719</v>
      </c>
      <c r="S855" s="629"/>
    </row>
    <row r="856" spans="1:19" ht="15" x14ac:dyDescent="0.25">
      <c r="A856" s="621" t="s">
        <v>351</v>
      </c>
      <c r="B856" s="466" t="s">
        <v>111</v>
      </c>
      <c r="C856" s="631" t="s">
        <v>885</v>
      </c>
      <c r="D856" s="467" t="s">
        <v>881</v>
      </c>
      <c r="E856" s="474"/>
      <c r="F856" s="469" t="s">
        <v>112</v>
      </c>
      <c r="G856" s="470" t="s">
        <v>941</v>
      </c>
      <c r="H856" s="622" t="s">
        <v>916</v>
      </c>
      <c r="I856" s="633" t="s">
        <v>116</v>
      </c>
      <c r="J856" s="471" t="s">
        <v>913</v>
      </c>
      <c r="K856" s="469">
        <v>13</v>
      </c>
      <c r="L856" s="473"/>
      <c r="M856" s="623">
        <v>5</v>
      </c>
      <c r="N856" s="623">
        <v>0</v>
      </c>
      <c r="O856" s="624">
        <v>0</v>
      </c>
      <c r="P856" s="624">
        <v>0</v>
      </c>
      <c r="Q856" s="785">
        <f t="shared" si="13"/>
        <v>0</v>
      </c>
      <c r="R856" s="468" t="s">
        <v>1719</v>
      </c>
      <c r="S856" s="629"/>
    </row>
    <row r="857" spans="1:19" ht="15" x14ac:dyDescent="0.25">
      <c r="A857" s="621" t="s">
        <v>351</v>
      </c>
      <c r="B857" s="466" t="s">
        <v>111</v>
      </c>
      <c r="C857" s="631" t="s">
        <v>885</v>
      </c>
      <c r="D857" s="467" t="s">
        <v>883</v>
      </c>
      <c r="E857" s="474" t="s">
        <v>1724</v>
      </c>
      <c r="F857" s="469" t="s">
        <v>112</v>
      </c>
      <c r="G857" s="470" t="s">
        <v>941</v>
      </c>
      <c r="H857" s="622" t="s">
        <v>916</v>
      </c>
      <c r="I857" s="633" t="s">
        <v>116</v>
      </c>
      <c r="J857" s="471" t="s">
        <v>913</v>
      </c>
      <c r="K857" s="469" t="s">
        <v>79</v>
      </c>
      <c r="L857" s="473"/>
      <c r="M857" s="623">
        <v>5</v>
      </c>
      <c r="N857" s="623">
        <v>0</v>
      </c>
      <c r="O857" s="624">
        <v>0</v>
      </c>
      <c r="P857" s="624">
        <v>0</v>
      </c>
      <c r="Q857" s="785" t="e">
        <f t="shared" si="13"/>
        <v>#VALUE!</v>
      </c>
      <c r="R857" s="468" t="s">
        <v>1719</v>
      </c>
      <c r="S857" s="629"/>
    </row>
    <row r="858" spans="1:19" ht="15" x14ac:dyDescent="0.25">
      <c r="A858" s="621" t="s">
        <v>351</v>
      </c>
      <c r="B858" s="466" t="s">
        <v>111</v>
      </c>
      <c r="C858" s="631" t="s">
        <v>885</v>
      </c>
      <c r="D858" s="467" t="s">
        <v>866</v>
      </c>
      <c r="E858" s="474" t="s">
        <v>1724</v>
      </c>
      <c r="F858" s="469" t="s">
        <v>112</v>
      </c>
      <c r="G858" s="470" t="s">
        <v>941</v>
      </c>
      <c r="H858" s="622" t="s">
        <v>916</v>
      </c>
      <c r="I858" s="633" t="s">
        <v>116</v>
      </c>
      <c r="J858" s="471" t="s">
        <v>913</v>
      </c>
      <c r="K858" s="469" t="s">
        <v>79</v>
      </c>
      <c r="L858" s="473"/>
      <c r="M858" s="623">
        <v>0</v>
      </c>
      <c r="N858" s="623">
        <v>0</v>
      </c>
      <c r="O858" s="624">
        <v>0</v>
      </c>
      <c r="P858" s="624">
        <v>0</v>
      </c>
      <c r="Q858" s="785" t="e">
        <f t="shared" si="13"/>
        <v>#VALUE!</v>
      </c>
      <c r="R858" s="468" t="s">
        <v>1719</v>
      </c>
      <c r="S858" s="629"/>
    </row>
    <row r="859" spans="1:19" ht="15" x14ac:dyDescent="0.25">
      <c r="A859" s="621" t="s">
        <v>351</v>
      </c>
      <c r="B859" s="466" t="s">
        <v>111</v>
      </c>
      <c r="C859" s="631" t="s">
        <v>885</v>
      </c>
      <c r="D859" s="467" t="s">
        <v>869</v>
      </c>
      <c r="E859" s="474"/>
      <c r="F859" s="469" t="s">
        <v>112</v>
      </c>
      <c r="G859" s="470" t="s">
        <v>941</v>
      </c>
      <c r="H859" s="622" t="s">
        <v>916</v>
      </c>
      <c r="I859" s="633" t="s">
        <v>116</v>
      </c>
      <c r="J859" s="471" t="s">
        <v>913</v>
      </c>
      <c r="K859" s="469">
        <v>25</v>
      </c>
      <c r="L859" s="473"/>
      <c r="M859" s="623">
        <v>12</v>
      </c>
      <c r="N859" s="623">
        <v>5</v>
      </c>
      <c r="O859" s="624">
        <v>0.41666666666666669</v>
      </c>
      <c r="P859" s="624">
        <v>0.41666666666666669</v>
      </c>
      <c r="Q859" s="785">
        <f t="shared" si="13"/>
        <v>1.6666666666666667</v>
      </c>
      <c r="R859" s="468" t="s">
        <v>1718</v>
      </c>
      <c r="S859" s="629"/>
    </row>
    <row r="860" spans="1:19" ht="15" x14ac:dyDescent="0.25">
      <c r="A860" s="621" t="s">
        <v>351</v>
      </c>
      <c r="B860" s="466" t="s">
        <v>111</v>
      </c>
      <c r="C860" s="631" t="s">
        <v>885</v>
      </c>
      <c r="D860" s="467" t="s">
        <v>887</v>
      </c>
      <c r="E860" s="474"/>
      <c r="F860" s="469" t="s">
        <v>112</v>
      </c>
      <c r="G860" s="470" t="s">
        <v>941</v>
      </c>
      <c r="H860" s="622" t="s">
        <v>916</v>
      </c>
      <c r="I860" s="633" t="s">
        <v>116</v>
      </c>
      <c r="J860" s="471" t="s">
        <v>913</v>
      </c>
      <c r="K860" s="469">
        <v>10</v>
      </c>
      <c r="L860" s="473"/>
      <c r="M860" s="623">
        <v>20</v>
      </c>
      <c r="N860" s="623">
        <v>8</v>
      </c>
      <c r="O860" s="624">
        <v>0.4</v>
      </c>
      <c r="P860" s="624">
        <v>0.4</v>
      </c>
      <c r="Q860" s="785">
        <f t="shared" si="13"/>
        <v>4</v>
      </c>
      <c r="R860" s="468" t="s">
        <v>1718</v>
      </c>
      <c r="S860" s="629"/>
    </row>
    <row r="861" spans="1:19" ht="15" x14ac:dyDescent="0.25">
      <c r="A861" s="621" t="s">
        <v>351</v>
      </c>
      <c r="B861" s="466" t="s">
        <v>111</v>
      </c>
      <c r="C861" s="631" t="s">
        <v>904</v>
      </c>
      <c r="D861" s="467" t="s">
        <v>881</v>
      </c>
      <c r="E861" s="474" t="s">
        <v>1718</v>
      </c>
      <c r="F861" s="469" t="s">
        <v>112</v>
      </c>
      <c r="G861" s="470" t="s">
        <v>941</v>
      </c>
      <c r="H861" s="622" t="s">
        <v>916</v>
      </c>
      <c r="I861" s="633" t="s">
        <v>116</v>
      </c>
      <c r="J861" s="471" t="s">
        <v>913</v>
      </c>
      <c r="K861" s="469" t="s">
        <v>79</v>
      </c>
      <c r="L861" s="473"/>
      <c r="M861" s="623">
        <v>0</v>
      </c>
      <c r="N861" s="623">
        <v>0</v>
      </c>
      <c r="O861" s="624">
        <v>0</v>
      </c>
      <c r="P861" s="624">
        <v>0</v>
      </c>
      <c r="Q861" s="785" t="e">
        <f t="shared" si="13"/>
        <v>#VALUE!</v>
      </c>
      <c r="R861" s="468" t="s">
        <v>1719</v>
      </c>
      <c r="S861" s="629"/>
    </row>
    <row r="862" spans="1:19" ht="15" x14ac:dyDescent="0.25">
      <c r="A862" s="621" t="s">
        <v>351</v>
      </c>
      <c r="B862" s="466" t="s">
        <v>111</v>
      </c>
      <c r="C862" s="631" t="s">
        <v>904</v>
      </c>
      <c r="D862" s="467" t="s">
        <v>883</v>
      </c>
      <c r="E862" s="474" t="s">
        <v>1725</v>
      </c>
      <c r="F862" s="469" t="s">
        <v>112</v>
      </c>
      <c r="G862" s="470" t="s">
        <v>941</v>
      </c>
      <c r="H862" s="622" t="s">
        <v>916</v>
      </c>
      <c r="I862" s="633" t="s">
        <v>116</v>
      </c>
      <c r="J862" s="471" t="s">
        <v>913</v>
      </c>
      <c r="K862" s="469" t="s">
        <v>79</v>
      </c>
      <c r="L862" s="473"/>
      <c r="M862" s="623">
        <v>1</v>
      </c>
      <c r="N862" s="623">
        <v>1</v>
      </c>
      <c r="O862" s="624">
        <v>1</v>
      </c>
      <c r="P862" s="624">
        <v>1</v>
      </c>
      <c r="Q862" s="785" t="e">
        <f t="shared" si="13"/>
        <v>#VALUE!</v>
      </c>
      <c r="R862" s="468" t="s">
        <v>1718</v>
      </c>
      <c r="S862" s="629"/>
    </row>
    <row r="863" spans="1:19" ht="15" x14ac:dyDescent="0.25">
      <c r="A863" s="621" t="s">
        <v>351</v>
      </c>
      <c r="B863" s="466" t="s">
        <v>111</v>
      </c>
      <c r="C863" s="631" t="s">
        <v>740</v>
      </c>
      <c r="D863" s="467" t="s">
        <v>889</v>
      </c>
      <c r="E863" s="474"/>
      <c r="F863" s="469" t="s">
        <v>112</v>
      </c>
      <c r="G863" s="470" t="s">
        <v>941</v>
      </c>
      <c r="H863" s="622" t="s">
        <v>917</v>
      </c>
      <c r="I863" s="633" t="s">
        <v>116</v>
      </c>
      <c r="J863" s="471" t="s">
        <v>913</v>
      </c>
      <c r="K863" s="469">
        <v>38</v>
      </c>
      <c r="L863" s="473"/>
      <c r="M863" s="623">
        <v>37</v>
      </c>
      <c r="N863" s="623">
        <v>3</v>
      </c>
      <c r="O863" s="624">
        <v>8.1081081081081086E-2</v>
      </c>
      <c r="P863" s="624">
        <v>8.1081081081081086E-2</v>
      </c>
      <c r="Q863" s="785">
        <f t="shared" si="13"/>
        <v>0.21337126600284495</v>
      </c>
      <c r="R863" s="468" t="s">
        <v>1718</v>
      </c>
      <c r="S863" s="629"/>
    </row>
    <row r="864" spans="1:19" ht="15" x14ac:dyDescent="0.25">
      <c r="A864" s="621" t="s">
        <v>351</v>
      </c>
      <c r="B864" s="466" t="s">
        <v>111</v>
      </c>
      <c r="C864" s="631" t="s">
        <v>740</v>
      </c>
      <c r="D864" s="467" t="s">
        <v>881</v>
      </c>
      <c r="E864" s="474" t="s">
        <v>1726</v>
      </c>
      <c r="F864" s="469" t="s">
        <v>112</v>
      </c>
      <c r="G864" s="470" t="s">
        <v>941</v>
      </c>
      <c r="H864" s="622" t="s">
        <v>916</v>
      </c>
      <c r="I864" s="633" t="s">
        <v>116</v>
      </c>
      <c r="J864" s="471" t="s">
        <v>913</v>
      </c>
      <c r="K864" s="469" t="s">
        <v>79</v>
      </c>
      <c r="L864" s="473"/>
      <c r="M864" s="623">
        <v>4</v>
      </c>
      <c r="N864" s="623">
        <v>0</v>
      </c>
      <c r="O864" s="624">
        <v>0</v>
      </c>
      <c r="P864" s="624">
        <v>0</v>
      </c>
      <c r="Q864" s="785" t="e">
        <f t="shared" si="13"/>
        <v>#VALUE!</v>
      </c>
      <c r="R864" s="468" t="s">
        <v>1719</v>
      </c>
      <c r="S864" s="629"/>
    </row>
    <row r="865" spans="1:19" ht="15" x14ac:dyDescent="0.25">
      <c r="A865" s="621" t="s">
        <v>351</v>
      </c>
      <c r="B865" s="466" t="s">
        <v>111</v>
      </c>
      <c r="C865" s="631" t="s">
        <v>740</v>
      </c>
      <c r="D865" s="467" t="s">
        <v>883</v>
      </c>
      <c r="E865" s="474" t="s">
        <v>1726</v>
      </c>
      <c r="F865" s="469" t="s">
        <v>112</v>
      </c>
      <c r="G865" s="470" t="s">
        <v>941</v>
      </c>
      <c r="H865" s="622" t="s">
        <v>916</v>
      </c>
      <c r="I865" s="633" t="s">
        <v>116</v>
      </c>
      <c r="J865" s="471" t="s">
        <v>913</v>
      </c>
      <c r="K865" s="469" t="s">
        <v>79</v>
      </c>
      <c r="L865" s="473"/>
      <c r="M865" s="623">
        <v>0</v>
      </c>
      <c r="N865" s="623">
        <v>0</v>
      </c>
      <c r="O865" s="624">
        <v>0</v>
      </c>
      <c r="P865" s="624">
        <v>0</v>
      </c>
      <c r="Q865" s="785" t="e">
        <f t="shared" si="13"/>
        <v>#VALUE!</v>
      </c>
      <c r="R865" s="468" t="s">
        <v>1719</v>
      </c>
      <c r="S865" s="629"/>
    </row>
    <row r="866" spans="1:19" ht="15" x14ac:dyDescent="0.25">
      <c r="A866" s="621" t="s">
        <v>351</v>
      </c>
      <c r="B866" s="466" t="s">
        <v>111</v>
      </c>
      <c r="C866" s="631" t="s">
        <v>894</v>
      </c>
      <c r="D866" s="467" t="s">
        <v>889</v>
      </c>
      <c r="E866" s="474"/>
      <c r="F866" s="469" t="s">
        <v>112</v>
      </c>
      <c r="G866" s="470" t="s">
        <v>941</v>
      </c>
      <c r="H866" s="622" t="s">
        <v>917</v>
      </c>
      <c r="I866" s="633" t="s">
        <v>116</v>
      </c>
      <c r="J866" s="471" t="s">
        <v>913</v>
      </c>
      <c r="K866" s="469">
        <v>5</v>
      </c>
      <c r="L866" s="473"/>
      <c r="M866" s="623">
        <v>543</v>
      </c>
      <c r="N866" s="623">
        <v>32</v>
      </c>
      <c r="O866" s="624">
        <v>5.8931860036832415E-2</v>
      </c>
      <c r="P866" s="624">
        <v>5.8931860036832415E-2</v>
      </c>
      <c r="Q866" s="785">
        <f t="shared" si="13"/>
        <v>1.1786372007366483</v>
      </c>
      <c r="R866" s="468" t="s">
        <v>1718</v>
      </c>
      <c r="S866" s="629"/>
    </row>
    <row r="867" spans="1:19" ht="15" x14ac:dyDescent="0.25">
      <c r="A867" s="621" t="s">
        <v>351</v>
      </c>
      <c r="B867" s="466" t="s">
        <v>111</v>
      </c>
      <c r="C867" s="631" t="s">
        <v>894</v>
      </c>
      <c r="D867" s="467" t="s">
        <v>881</v>
      </c>
      <c r="E867" s="474"/>
      <c r="F867" s="469" t="s">
        <v>112</v>
      </c>
      <c r="G867" s="470" t="s">
        <v>941</v>
      </c>
      <c r="H867" s="622" t="s">
        <v>916</v>
      </c>
      <c r="I867" s="633" t="s">
        <v>116</v>
      </c>
      <c r="J867" s="471" t="s">
        <v>913</v>
      </c>
      <c r="K867" s="469">
        <v>32</v>
      </c>
      <c r="L867" s="473"/>
      <c r="M867" s="623">
        <v>78</v>
      </c>
      <c r="N867" s="623">
        <v>28</v>
      </c>
      <c r="O867" s="624">
        <v>0.35897435897435898</v>
      </c>
      <c r="P867" s="624">
        <v>0.35897435897435898</v>
      </c>
      <c r="Q867" s="785">
        <f t="shared" si="13"/>
        <v>1.1217948717948718</v>
      </c>
      <c r="R867" s="468" t="s">
        <v>1718</v>
      </c>
      <c r="S867" s="629"/>
    </row>
    <row r="868" spans="1:19" ht="15" x14ac:dyDescent="0.25">
      <c r="A868" s="621" t="s">
        <v>351</v>
      </c>
      <c r="B868" s="466" t="s">
        <v>111</v>
      </c>
      <c r="C868" s="631" t="s">
        <v>894</v>
      </c>
      <c r="D868" s="467" t="s">
        <v>883</v>
      </c>
      <c r="E868" s="474" t="s">
        <v>1727</v>
      </c>
      <c r="F868" s="469" t="s">
        <v>112</v>
      </c>
      <c r="G868" s="470" t="s">
        <v>941</v>
      </c>
      <c r="H868" s="622" t="s">
        <v>916</v>
      </c>
      <c r="I868" s="633" t="s">
        <v>116</v>
      </c>
      <c r="J868" s="471" t="s">
        <v>913</v>
      </c>
      <c r="K868" s="469">
        <v>33</v>
      </c>
      <c r="L868" s="473"/>
      <c r="M868" s="623">
        <v>25</v>
      </c>
      <c r="N868" s="623">
        <v>9</v>
      </c>
      <c r="O868" s="624">
        <v>0.36</v>
      </c>
      <c r="P868" s="624">
        <v>0.36</v>
      </c>
      <c r="Q868" s="785">
        <f t="shared" si="13"/>
        <v>1.0909090909090908</v>
      </c>
      <c r="R868" s="468" t="s">
        <v>1718</v>
      </c>
      <c r="S868" s="629"/>
    </row>
    <row r="869" spans="1:19" ht="15" x14ac:dyDescent="0.25">
      <c r="A869" s="621" t="s">
        <v>351</v>
      </c>
      <c r="B869" s="466" t="s">
        <v>111</v>
      </c>
      <c r="C869" s="631" t="s">
        <v>894</v>
      </c>
      <c r="D869" s="467" t="s">
        <v>869</v>
      </c>
      <c r="E869" s="474" t="s">
        <v>1727</v>
      </c>
      <c r="F869" s="469" t="s">
        <v>112</v>
      </c>
      <c r="G869" s="470" t="s">
        <v>941</v>
      </c>
      <c r="H869" s="622" t="s">
        <v>916</v>
      </c>
      <c r="I869" s="633" t="s">
        <v>116</v>
      </c>
      <c r="J869" s="471" t="s">
        <v>913</v>
      </c>
      <c r="K869" s="469" t="s">
        <v>79</v>
      </c>
      <c r="L869" s="473"/>
      <c r="M869" s="623">
        <v>0</v>
      </c>
      <c r="N869" s="623">
        <v>0</v>
      </c>
      <c r="O869" s="624">
        <v>0</v>
      </c>
      <c r="P869" s="624">
        <v>0</v>
      </c>
      <c r="Q869" s="785" t="e">
        <f t="shared" si="13"/>
        <v>#VALUE!</v>
      </c>
      <c r="R869" s="468" t="s">
        <v>1719</v>
      </c>
      <c r="S869" s="629"/>
    </row>
    <row r="870" spans="1:19" ht="15" x14ac:dyDescent="0.25">
      <c r="A870" s="621" t="s">
        <v>351</v>
      </c>
      <c r="B870" s="466" t="s">
        <v>111</v>
      </c>
      <c r="C870" s="631" t="s">
        <v>99</v>
      </c>
      <c r="D870" s="467" t="s">
        <v>866</v>
      </c>
      <c r="E870" s="474" t="s">
        <v>1720</v>
      </c>
      <c r="F870" s="469" t="s">
        <v>112</v>
      </c>
      <c r="G870" s="470" t="s">
        <v>942</v>
      </c>
      <c r="H870" s="622" t="s">
        <v>916</v>
      </c>
      <c r="I870" s="633" t="s">
        <v>116</v>
      </c>
      <c r="J870" s="471" t="s">
        <v>913</v>
      </c>
      <c r="K870" s="469">
        <v>33</v>
      </c>
      <c r="L870" s="473"/>
      <c r="M870" s="623">
        <v>0</v>
      </c>
      <c r="N870" s="623">
        <v>0</v>
      </c>
      <c r="O870" s="624">
        <v>0</v>
      </c>
      <c r="P870" s="624">
        <v>0</v>
      </c>
      <c r="Q870" s="785" t="e">
        <f t="shared" si="13"/>
        <v>#DIV/0!</v>
      </c>
      <c r="R870" s="468" t="s">
        <v>1719</v>
      </c>
      <c r="S870" s="629"/>
    </row>
    <row r="871" spans="1:19" ht="15" x14ac:dyDescent="0.25">
      <c r="A871" s="621" t="s">
        <v>351</v>
      </c>
      <c r="B871" s="466" t="s">
        <v>111</v>
      </c>
      <c r="C871" s="631" t="s">
        <v>99</v>
      </c>
      <c r="D871" s="467" t="s">
        <v>869</v>
      </c>
      <c r="E871" s="474" t="s">
        <v>1720</v>
      </c>
      <c r="F871" s="469" t="s">
        <v>112</v>
      </c>
      <c r="G871" s="470" t="s">
        <v>942</v>
      </c>
      <c r="H871" s="622" t="s">
        <v>916</v>
      </c>
      <c r="I871" s="633" t="s">
        <v>116</v>
      </c>
      <c r="J871" s="471" t="s">
        <v>913</v>
      </c>
      <c r="K871" s="469">
        <v>33</v>
      </c>
      <c r="L871" s="473"/>
      <c r="M871" s="623">
        <v>14</v>
      </c>
      <c r="N871" s="623">
        <v>2</v>
      </c>
      <c r="O871" s="624">
        <v>0.14285714285714285</v>
      </c>
      <c r="P871" s="624">
        <v>0.14285714285714285</v>
      </c>
      <c r="Q871" s="785">
        <f t="shared" si="13"/>
        <v>0.4329004329004329</v>
      </c>
      <c r="R871" s="468" t="s">
        <v>1718</v>
      </c>
      <c r="S871" s="629"/>
    </row>
    <row r="872" spans="1:19" ht="15" x14ac:dyDescent="0.25">
      <c r="A872" s="621" t="s">
        <v>351</v>
      </c>
      <c r="B872" s="466" t="s">
        <v>111</v>
      </c>
      <c r="C872" s="631" t="s">
        <v>870</v>
      </c>
      <c r="D872" s="467" t="s">
        <v>889</v>
      </c>
      <c r="E872" s="474"/>
      <c r="F872" s="469" t="s">
        <v>112</v>
      </c>
      <c r="G872" s="470" t="s">
        <v>942</v>
      </c>
      <c r="H872" s="622" t="s">
        <v>917</v>
      </c>
      <c r="I872" s="633" t="s">
        <v>116</v>
      </c>
      <c r="J872" s="471" t="s">
        <v>913</v>
      </c>
      <c r="K872" s="469">
        <v>16</v>
      </c>
      <c r="L872" s="473"/>
      <c r="M872" s="623">
        <v>50</v>
      </c>
      <c r="N872" s="623">
        <v>4</v>
      </c>
      <c r="O872" s="624">
        <v>0.08</v>
      </c>
      <c r="P872" s="624">
        <v>0.08</v>
      </c>
      <c r="Q872" s="785">
        <f t="shared" si="13"/>
        <v>0.5</v>
      </c>
      <c r="R872" s="468" t="s">
        <v>1718</v>
      </c>
      <c r="S872" s="629"/>
    </row>
    <row r="873" spans="1:19" ht="15" x14ac:dyDescent="0.25">
      <c r="A873" s="621" t="s">
        <v>351</v>
      </c>
      <c r="B873" s="466" t="s">
        <v>111</v>
      </c>
      <c r="C873" s="631" t="s">
        <v>870</v>
      </c>
      <c r="D873" s="467" t="s">
        <v>881</v>
      </c>
      <c r="E873" s="474"/>
      <c r="F873" s="469" t="s">
        <v>112</v>
      </c>
      <c r="G873" s="470" t="s">
        <v>942</v>
      </c>
      <c r="H873" s="622" t="s">
        <v>916</v>
      </c>
      <c r="I873" s="633" t="s">
        <v>116</v>
      </c>
      <c r="J873" s="471" t="s">
        <v>913</v>
      </c>
      <c r="K873" s="469">
        <v>16</v>
      </c>
      <c r="L873" s="473"/>
      <c r="M873" s="623">
        <v>19</v>
      </c>
      <c r="N873" s="623">
        <v>3</v>
      </c>
      <c r="O873" s="624">
        <v>0.15789473684210525</v>
      </c>
      <c r="P873" s="624">
        <v>0.15789473684210525</v>
      </c>
      <c r="Q873" s="785">
        <f t="shared" si="13"/>
        <v>0.98684210526315785</v>
      </c>
      <c r="R873" s="468" t="s">
        <v>1718</v>
      </c>
      <c r="S873" s="629"/>
    </row>
    <row r="874" spans="1:19" ht="15" x14ac:dyDescent="0.25">
      <c r="A874" s="621" t="s">
        <v>351</v>
      </c>
      <c r="B874" s="466" t="s">
        <v>111</v>
      </c>
      <c r="C874" s="631" t="s">
        <v>870</v>
      </c>
      <c r="D874" s="467" t="s">
        <v>883</v>
      </c>
      <c r="E874" s="474"/>
      <c r="F874" s="469" t="s">
        <v>112</v>
      </c>
      <c r="G874" s="470" t="s">
        <v>942</v>
      </c>
      <c r="H874" s="622" t="s">
        <v>916</v>
      </c>
      <c r="I874" s="633" t="s">
        <v>116</v>
      </c>
      <c r="J874" s="471" t="s">
        <v>913</v>
      </c>
      <c r="K874" s="469">
        <v>6</v>
      </c>
      <c r="L874" s="473"/>
      <c r="M874" s="623">
        <v>39</v>
      </c>
      <c r="N874" s="623">
        <v>9</v>
      </c>
      <c r="O874" s="624">
        <v>0.23076923076923078</v>
      </c>
      <c r="P874" s="624">
        <v>0.23076923076923078</v>
      </c>
      <c r="Q874" s="785">
        <f t="shared" si="13"/>
        <v>3.8461538461538463</v>
      </c>
      <c r="R874" s="468" t="s">
        <v>1718</v>
      </c>
      <c r="S874" s="629"/>
    </row>
    <row r="875" spans="1:19" ht="15" x14ac:dyDescent="0.25">
      <c r="A875" s="621" t="s">
        <v>351</v>
      </c>
      <c r="B875" s="466" t="s">
        <v>111</v>
      </c>
      <c r="C875" s="631" t="s">
        <v>870</v>
      </c>
      <c r="D875" s="467" t="s">
        <v>866</v>
      </c>
      <c r="E875" s="474"/>
      <c r="F875" s="469" t="s">
        <v>112</v>
      </c>
      <c r="G875" s="470" t="s">
        <v>942</v>
      </c>
      <c r="H875" s="622" t="s">
        <v>916</v>
      </c>
      <c r="I875" s="633" t="s">
        <v>116</v>
      </c>
      <c r="J875" s="471" t="s">
        <v>913</v>
      </c>
      <c r="K875" s="469">
        <v>8</v>
      </c>
      <c r="L875" s="473"/>
      <c r="M875" s="623">
        <v>67</v>
      </c>
      <c r="N875" s="623">
        <v>17</v>
      </c>
      <c r="O875" s="624">
        <v>0.2537313432835821</v>
      </c>
      <c r="P875" s="624">
        <v>0.2537313432835821</v>
      </c>
      <c r="Q875" s="785">
        <f t="shared" si="13"/>
        <v>3.1716417910447761</v>
      </c>
      <c r="R875" s="468" t="s">
        <v>1718</v>
      </c>
      <c r="S875" s="629"/>
    </row>
    <row r="876" spans="1:19" ht="15" x14ac:dyDescent="0.25">
      <c r="A876" s="621" t="s">
        <v>351</v>
      </c>
      <c r="B876" s="466" t="s">
        <v>111</v>
      </c>
      <c r="C876" s="631" t="s">
        <v>870</v>
      </c>
      <c r="D876" s="467" t="s">
        <v>869</v>
      </c>
      <c r="E876" s="474"/>
      <c r="F876" s="469" t="s">
        <v>112</v>
      </c>
      <c r="G876" s="470" t="s">
        <v>942</v>
      </c>
      <c r="H876" s="622" t="s">
        <v>916</v>
      </c>
      <c r="I876" s="633" t="s">
        <v>116</v>
      </c>
      <c r="J876" s="471" t="s">
        <v>913</v>
      </c>
      <c r="K876" s="469">
        <v>5</v>
      </c>
      <c r="L876" s="473"/>
      <c r="M876" s="623">
        <v>46</v>
      </c>
      <c r="N876" s="623">
        <v>18</v>
      </c>
      <c r="O876" s="624">
        <v>0.39130434782608697</v>
      </c>
      <c r="P876" s="624">
        <v>0.39130434782608697</v>
      </c>
      <c r="Q876" s="785">
        <f t="shared" si="13"/>
        <v>7.8260869565217401</v>
      </c>
      <c r="R876" s="468" t="s">
        <v>1718</v>
      </c>
      <c r="S876" s="629"/>
    </row>
    <row r="877" spans="1:19" ht="15" x14ac:dyDescent="0.25">
      <c r="A877" s="621" t="s">
        <v>351</v>
      </c>
      <c r="B877" s="466" t="s">
        <v>111</v>
      </c>
      <c r="C877" s="631" t="s">
        <v>738</v>
      </c>
      <c r="D877" s="467" t="s">
        <v>889</v>
      </c>
      <c r="E877" s="474"/>
      <c r="F877" s="469" t="s">
        <v>112</v>
      </c>
      <c r="G877" s="470" t="s">
        <v>942</v>
      </c>
      <c r="H877" s="622" t="s">
        <v>917</v>
      </c>
      <c r="I877" s="633" t="s">
        <v>116</v>
      </c>
      <c r="J877" s="471" t="s">
        <v>913</v>
      </c>
      <c r="K877" s="469">
        <v>29</v>
      </c>
      <c r="L877" s="473"/>
      <c r="M877" s="623">
        <v>156</v>
      </c>
      <c r="N877" s="623">
        <v>7</v>
      </c>
      <c r="O877" s="624">
        <v>4.4871794871794872E-2</v>
      </c>
      <c r="P877" s="624">
        <v>4.4871794871794872E-2</v>
      </c>
      <c r="Q877" s="785">
        <f t="shared" si="13"/>
        <v>0.15473032714412024</v>
      </c>
      <c r="R877" s="468" t="s">
        <v>1718</v>
      </c>
      <c r="S877" s="629"/>
    </row>
    <row r="878" spans="1:19" ht="15" x14ac:dyDescent="0.25">
      <c r="A878" s="621" t="s">
        <v>351</v>
      </c>
      <c r="B878" s="466" t="s">
        <v>111</v>
      </c>
      <c r="C878" s="631" t="s">
        <v>738</v>
      </c>
      <c r="D878" s="467" t="s">
        <v>881</v>
      </c>
      <c r="E878" s="474" t="s">
        <v>1721</v>
      </c>
      <c r="F878" s="469" t="s">
        <v>112</v>
      </c>
      <c r="G878" s="470" t="s">
        <v>942</v>
      </c>
      <c r="H878" s="622" t="s">
        <v>916</v>
      </c>
      <c r="I878" s="633" t="s">
        <v>116</v>
      </c>
      <c r="J878" s="471" t="s">
        <v>913</v>
      </c>
      <c r="K878" s="469">
        <v>8</v>
      </c>
      <c r="L878" s="473"/>
      <c r="M878" s="623">
        <v>54</v>
      </c>
      <c r="N878" s="623">
        <v>6</v>
      </c>
      <c r="O878" s="624">
        <v>0.1111111111111111</v>
      </c>
      <c r="P878" s="624">
        <v>0.1111111111111111</v>
      </c>
      <c r="Q878" s="785">
        <f t="shared" si="13"/>
        <v>1.3888888888888888</v>
      </c>
      <c r="R878" s="468" t="s">
        <v>1718</v>
      </c>
      <c r="S878" s="629"/>
    </row>
    <row r="879" spans="1:19" ht="15" x14ac:dyDescent="0.25">
      <c r="A879" s="621" t="s">
        <v>351</v>
      </c>
      <c r="B879" s="466" t="s">
        <v>111</v>
      </c>
      <c r="C879" s="631" t="s">
        <v>738</v>
      </c>
      <c r="D879" s="467" t="s">
        <v>883</v>
      </c>
      <c r="E879" s="474" t="s">
        <v>1721</v>
      </c>
      <c r="F879" s="469" t="s">
        <v>112</v>
      </c>
      <c r="G879" s="470" t="s">
        <v>942</v>
      </c>
      <c r="H879" s="622" t="s">
        <v>916</v>
      </c>
      <c r="I879" s="633" t="s">
        <v>116</v>
      </c>
      <c r="J879" s="471" t="s">
        <v>913</v>
      </c>
      <c r="K879" s="469">
        <v>8</v>
      </c>
      <c r="L879" s="473"/>
      <c r="M879" s="623">
        <v>0</v>
      </c>
      <c r="N879" s="623">
        <v>0</v>
      </c>
      <c r="O879" s="624">
        <v>0</v>
      </c>
      <c r="P879" s="624">
        <v>0</v>
      </c>
      <c r="Q879" s="785" t="e">
        <f t="shared" si="13"/>
        <v>#DIV/0!</v>
      </c>
      <c r="R879" s="468" t="s">
        <v>1719</v>
      </c>
      <c r="S879" s="629"/>
    </row>
    <row r="880" spans="1:19" ht="15" x14ac:dyDescent="0.25">
      <c r="A880" s="621" t="s">
        <v>351</v>
      </c>
      <c r="B880" s="466" t="s">
        <v>111</v>
      </c>
      <c r="C880" s="631" t="s">
        <v>738</v>
      </c>
      <c r="D880" s="467" t="s">
        <v>866</v>
      </c>
      <c r="E880" s="474" t="s">
        <v>1722</v>
      </c>
      <c r="F880" s="469" t="s">
        <v>112</v>
      </c>
      <c r="G880" s="470" t="s">
        <v>942</v>
      </c>
      <c r="H880" s="622" t="s">
        <v>916</v>
      </c>
      <c r="I880" s="633" t="s">
        <v>116</v>
      </c>
      <c r="J880" s="471" t="s">
        <v>913</v>
      </c>
      <c r="K880" s="469">
        <v>8</v>
      </c>
      <c r="L880" s="473"/>
      <c r="M880" s="623">
        <v>0</v>
      </c>
      <c r="N880" s="623">
        <v>1</v>
      </c>
      <c r="O880" s="624">
        <v>0</v>
      </c>
      <c r="P880" s="624">
        <v>0</v>
      </c>
      <c r="Q880" s="785" t="e">
        <f t="shared" si="13"/>
        <v>#DIV/0!</v>
      </c>
      <c r="R880" s="468" t="s">
        <v>1719</v>
      </c>
      <c r="S880" s="629"/>
    </row>
    <row r="881" spans="1:19" ht="15" x14ac:dyDescent="0.25">
      <c r="A881" s="621" t="s">
        <v>351</v>
      </c>
      <c r="B881" s="466" t="s">
        <v>111</v>
      </c>
      <c r="C881" s="631" t="s">
        <v>738</v>
      </c>
      <c r="D881" s="467" t="s">
        <v>869</v>
      </c>
      <c r="E881" s="474" t="s">
        <v>1722</v>
      </c>
      <c r="F881" s="469" t="s">
        <v>112</v>
      </c>
      <c r="G881" s="470" t="s">
        <v>942</v>
      </c>
      <c r="H881" s="622" t="s">
        <v>916</v>
      </c>
      <c r="I881" s="633" t="s">
        <v>116</v>
      </c>
      <c r="J881" s="471" t="s">
        <v>913</v>
      </c>
      <c r="K881" s="469">
        <v>8</v>
      </c>
      <c r="L881" s="473"/>
      <c r="M881" s="623">
        <v>7</v>
      </c>
      <c r="N881" s="623">
        <v>2</v>
      </c>
      <c r="O881" s="624">
        <v>0.2857142857142857</v>
      </c>
      <c r="P881" s="624">
        <v>0.2857142857142857</v>
      </c>
      <c r="Q881" s="785">
        <f t="shared" si="13"/>
        <v>3.5714285714285712</v>
      </c>
      <c r="R881" s="468" t="s">
        <v>1718</v>
      </c>
      <c r="S881" s="629"/>
    </row>
    <row r="882" spans="1:19" ht="15" x14ac:dyDescent="0.25">
      <c r="A882" s="621" t="s">
        <v>351</v>
      </c>
      <c r="B882" s="466" t="s">
        <v>111</v>
      </c>
      <c r="C882" s="631" t="s">
        <v>101</v>
      </c>
      <c r="D882" s="467" t="s">
        <v>889</v>
      </c>
      <c r="E882" s="474"/>
      <c r="F882" s="469" t="s">
        <v>112</v>
      </c>
      <c r="G882" s="470" t="s">
        <v>942</v>
      </c>
      <c r="H882" s="622" t="s">
        <v>917</v>
      </c>
      <c r="I882" s="633" t="s">
        <v>116</v>
      </c>
      <c r="J882" s="471" t="s">
        <v>913</v>
      </c>
      <c r="K882" s="469">
        <v>17</v>
      </c>
      <c r="L882" s="473"/>
      <c r="M882" s="623">
        <v>112</v>
      </c>
      <c r="N882" s="623">
        <v>19</v>
      </c>
      <c r="O882" s="624">
        <v>0.16964285714285715</v>
      </c>
      <c r="P882" s="624">
        <v>0.16964285714285715</v>
      </c>
      <c r="Q882" s="785">
        <f t="shared" si="13"/>
        <v>0.99789915966386555</v>
      </c>
      <c r="R882" s="468" t="s">
        <v>1718</v>
      </c>
      <c r="S882" s="629"/>
    </row>
    <row r="883" spans="1:19" ht="15" x14ac:dyDescent="0.25">
      <c r="A883" s="621" t="s">
        <v>351</v>
      </c>
      <c r="B883" s="466" t="s">
        <v>111</v>
      </c>
      <c r="C883" s="631" t="s">
        <v>101</v>
      </c>
      <c r="D883" s="467" t="s">
        <v>881</v>
      </c>
      <c r="E883" s="474"/>
      <c r="F883" s="469" t="s">
        <v>112</v>
      </c>
      <c r="G883" s="470" t="s">
        <v>942</v>
      </c>
      <c r="H883" s="622" t="s">
        <v>916</v>
      </c>
      <c r="I883" s="633" t="s">
        <v>116</v>
      </c>
      <c r="J883" s="471" t="s">
        <v>913</v>
      </c>
      <c r="K883" s="469">
        <v>36</v>
      </c>
      <c r="L883" s="473"/>
      <c r="M883" s="623">
        <v>9</v>
      </c>
      <c r="N883" s="623">
        <v>2</v>
      </c>
      <c r="O883" s="624">
        <v>0.22222222222222221</v>
      </c>
      <c r="P883" s="624">
        <v>0.22222222222222221</v>
      </c>
      <c r="Q883" s="785">
        <f t="shared" si="13"/>
        <v>0.61728395061728392</v>
      </c>
      <c r="R883" s="468" t="s">
        <v>1718</v>
      </c>
      <c r="S883" s="629"/>
    </row>
    <row r="884" spans="1:19" ht="15" x14ac:dyDescent="0.25">
      <c r="A884" s="621" t="s">
        <v>351</v>
      </c>
      <c r="B884" s="466" t="s">
        <v>111</v>
      </c>
      <c r="C884" s="631" t="s">
        <v>101</v>
      </c>
      <c r="D884" s="467" t="s">
        <v>883</v>
      </c>
      <c r="E884" s="474" t="s">
        <v>1723</v>
      </c>
      <c r="F884" s="469" t="s">
        <v>112</v>
      </c>
      <c r="G884" s="470" t="s">
        <v>942</v>
      </c>
      <c r="H884" s="622" t="s">
        <v>916</v>
      </c>
      <c r="I884" s="633" t="s">
        <v>116</v>
      </c>
      <c r="J884" s="471" t="s">
        <v>913</v>
      </c>
      <c r="K884" s="469">
        <v>80</v>
      </c>
      <c r="L884" s="473"/>
      <c r="M884" s="623">
        <v>0</v>
      </c>
      <c r="N884" s="623">
        <v>0</v>
      </c>
      <c r="O884" s="624">
        <v>0</v>
      </c>
      <c r="P884" s="624">
        <v>0</v>
      </c>
      <c r="Q884" s="785" t="e">
        <f t="shared" si="13"/>
        <v>#DIV/0!</v>
      </c>
      <c r="R884" s="468" t="s">
        <v>1719</v>
      </c>
      <c r="S884" s="629"/>
    </row>
    <row r="885" spans="1:19" ht="15" x14ac:dyDescent="0.25">
      <c r="A885" s="621" t="s">
        <v>351</v>
      </c>
      <c r="B885" s="466" t="s">
        <v>111</v>
      </c>
      <c r="C885" s="631" t="s">
        <v>101</v>
      </c>
      <c r="D885" s="467" t="s">
        <v>866</v>
      </c>
      <c r="E885" s="474" t="s">
        <v>1723</v>
      </c>
      <c r="F885" s="469" t="s">
        <v>112</v>
      </c>
      <c r="G885" s="470" t="s">
        <v>942</v>
      </c>
      <c r="H885" s="622" t="s">
        <v>916</v>
      </c>
      <c r="I885" s="633" t="s">
        <v>116</v>
      </c>
      <c r="J885" s="471" t="s">
        <v>913</v>
      </c>
      <c r="K885" s="469" t="s">
        <v>79</v>
      </c>
      <c r="L885" s="473"/>
      <c r="M885" s="623">
        <v>13</v>
      </c>
      <c r="N885" s="623">
        <v>2</v>
      </c>
      <c r="O885" s="624">
        <v>0.15384615384615385</v>
      </c>
      <c r="P885" s="624">
        <v>0.15384615384615385</v>
      </c>
      <c r="Q885" s="785" t="e">
        <f t="shared" si="13"/>
        <v>#VALUE!</v>
      </c>
      <c r="R885" s="468" t="s">
        <v>1718</v>
      </c>
      <c r="S885" s="629"/>
    </row>
    <row r="886" spans="1:19" ht="15" x14ac:dyDescent="0.25">
      <c r="A886" s="621" t="s">
        <v>351</v>
      </c>
      <c r="B886" s="466" t="s">
        <v>111</v>
      </c>
      <c r="C886" s="631" t="s">
        <v>101</v>
      </c>
      <c r="D886" s="467" t="s">
        <v>869</v>
      </c>
      <c r="E886" s="474" t="s">
        <v>1723</v>
      </c>
      <c r="F886" s="469" t="s">
        <v>112</v>
      </c>
      <c r="G886" s="470" t="s">
        <v>942</v>
      </c>
      <c r="H886" s="622" t="s">
        <v>916</v>
      </c>
      <c r="I886" s="633" t="s">
        <v>116</v>
      </c>
      <c r="J886" s="471" t="s">
        <v>913</v>
      </c>
      <c r="K886" s="469" t="s">
        <v>79</v>
      </c>
      <c r="L886" s="473"/>
      <c r="M886" s="623">
        <v>0</v>
      </c>
      <c r="N886" s="623">
        <v>0</v>
      </c>
      <c r="O886" s="624">
        <v>0</v>
      </c>
      <c r="P886" s="624">
        <v>0</v>
      </c>
      <c r="Q886" s="785" t="e">
        <f t="shared" si="13"/>
        <v>#VALUE!</v>
      </c>
      <c r="R886" s="468" t="s">
        <v>1719</v>
      </c>
      <c r="S886" s="629"/>
    </row>
    <row r="887" spans="1:19" ht="15" x14ac:dyDescent="0.25">
      <c r="A887" s="621" t="s">
        <v>351</v>
      </c>
      <c r="B887" s="466" t="s">
        <v>111</v>
      </c>
      <c r="C887" s="631" t="s">
        <v>885</v>
      </c>
      <c r="D887" s="467" t="s">
        <v>889</v>
      </c>
      <c r="E887" s="474"/>
      <c r="F887" s="469" t="s">
        <v>112</v>
      </c>
      <c r="G887" s="470" t="s">
        <v>942</v>
      </c>
      <c r="H887" s="622" t="s">
        <v>917</v>
      </c>
      <c r="I887" s="633" t="s">
        <v>116</v>
      </c>
      <c r="J887" s="471" t="s">
        <v>913</v>
      </c>
      <c r="K887" s="469">
        <v>13</v>
      </c>
      <c r="L887" s="473"/>
      <c r="M887" s="623">
        <v>0</v>
      </c>
      <c r="N887" s="623">
        <v>0</v>
      </c>
      <c r="O887" s="624">
        <v>0</v>
      </c>
      <c r="P887" s="624">
        <v>0</v>
      </c>
      <c r="Q887" s="785" t="e">
        <f t="shared" si="13"/>
        <v>#DIV/0!</v>
      </c>
      <c r="R887" s="468" t="s">
        <v>1719</v>
      </c>
      <c r="S887" s="629"/>
    </row>
    <row r="888" spans="1:19" ht="15" x14ac:dyDescent="0.25">
      <c r="A888" s="621" t="s">
        <v>351</v>
      </c>
      <c r="B888" s="466" t="s">
        <v>111</v>
      </c>
      <c r="C888" s="631" t="s">
        <v>885</v>
      </c>
      <c r="D888" s="467" t="s">
        <v>881</v>
      </c>
      <c r="E888" s="474"/>
      <c r="F888" s="469" t="s">
        <v>112</v>
      </c>
      <c r="G888" s="470" t="s">
        <v>942</v>
      </c>
      <c r="H888" s="622" t="s">
        <v>916</v>
      </c>
      <c r="I888" s="633" t="s">
        <v>116</v>
      </c>
      <c r="J888" s="471" t="s">
        <v>913</v>
      </c>
      <c r="K888" s="469">
        <v>13</v>
      </c>
      <c r="L888" s="473"/>
      <c r="M888" s="623">
        <v>5</v>
      </c>
      <c r="N888" s="623">
        <v>0</v>
      </c>
      <c r="O888" s="624">
        <v>0</v>
      </c>
      <c r="P888" s="624">
        <v>0</v>
      </c>
      <c r="Q888" s="785">
        <f t="shared" si="13"/>
        <v>0</v>
      </c>
      <c r="R888" s="468" t="s">
        <v>1719</v>
      </c>
      <c r="S888" s="629"/>
    </row>
    <row r="889" spans="1:19" ht="15" x14ac:dyDescent="0.25">
      <c r="A889" s="621" t="s">
        <v>351</v>
      </c>
      <c r="B889" s="466" t="s">
        <v>111</v>
      </c>
      <c r="C889" s="631" t="s">
        <v>885</v>
      </c>
      <c r="D889" s="467" t="s">
        <v>883</v>
      </c>
      <c r="E889" s="474" t="s">
        <v>1724</v>
      </c>
      <c r="F889" s="469" t="s">
        <v>112</v>
      </c>
      <c r="G889" s="470" t="s">
        <v>942</v>
      </c>
      <c r="H889" s="622" t="s">
        <v>916</v>
      </c>
      <c r="I889" s="633" t="s">
        <v>116</v>
      </c>
      <c r="J889" s="471" t="s">
        <v>913</v>
      </c>
      <c r="K889" s="469" t="s">
        <v>79</v>
      </c>
      <c r="L889" s="473"/>
      <c r="M889" s="623">
        <v>5</v>
      </c>
      <c r="N889" s="623">
        <v>0</v>
      </c>
      <c r="O889" s="624">
        <v>0</v>
      </c>
      <c r="P889" s="624">
        <v>0</v>
      </c>
      <c r="Q889" s="785" t="e">
        <f t="shared" si="13"/>
        <v>#VALUE!</v>
      </c>
      <c r="R889" s="468" t="s">
        <v>1719</v>
      </c>
      <c r="S889" s="629"/>
    </row>
    <row r="890" spans="1:19" ht="15" x14ac:dyDescent="0.25">
      <c r="A890" s="621" t="s">
        <v>351</v>
      </c>
      <c r="B890" s="466" t="s">
        <v>111</v>
      </c>
      <c r="C890" s="631" t="s">
        <v>885</v>
      </c>
      <c r="D890" s="467" t="s">
        <v>866</v>
      </c>
      <c r="E890" s="474" t="s">
        <v>1724</v>
      </c>
      <c r="F890" s="469" t="s">
        <v>112</v>
      </c>
      <c r="G890" s="470" t="s">
        <v>942</v>
      </c>
      <c r="H890" s="622" t="s">
        <v>916</v>
      </c>
      <c r="I890" s="633" t="s">
        <v>116</v>
      </c>
      <c r="J890" s="471" t="s">
        <v>913</v>
      </c>
      <c r="K890" s="469" t="s">
        <v>79</v>
      </c>
      <c r="L890" s="473"/>
      <c r="M890" s="623">
        <v>0</v>
      </c>
      <c r="N890" s="623">
        <v>0</v>
      </c>
      <c r="O890" s="624">
        <v>0</v>
      </c>
      <c r="P890" s="624">
        <v>0</v>
      </c>
      <c r="Q890" s="785" t="e">
        <f t="shared" si="13"/>
        <v>#VALUE!</v>
      </c>
      <c r="R890" s="468" t="s">
        <v>1719</v>
      </c>
      <c r="S890" s="629"/>
    </row>
    <row r="891" spans="1:19" ht="15" x14ac:dyDescent="0.25">
      <c r="A891" s="621" t="s">
        <v>351</v>
      </c>
      <c r="B891" s="466" t="s">
        <v>111</v>
      </c>
      <c r="C891" s="631" t="s">
        <v>885</v>
      </c>
      <c r="D891" s="467" t="s">
        <v>869</v>
      </c>
      <c r="E891" s="474"/>
      <c r="F891" s="469" t="s">
        <v>112</v>
      </c>
      <c r="G891" s="470" t="s">
        <v>942</v>
      </c>
      <c r="H891" s="622" t="s">
        <v>916</v>
      </c>
      <c r="I891" s="633" t="s">
        <v>116</v>
      </c>
      <c r="J891" s="471" t="s">
        <v>913</v>
      </c>
      <c r="K891" s="469">
        <v>25</v>
      </c>
      <c r="L891" s="473"/>
      <c r="M891" s="623">
        <v>12</v>
      </c>
      <c r="N891" s="623">
        <v>5</v>
      </c>
      <c r="O891" s="624">
        <v>0.41666666666666669</v>
      </c>
      <c r="P891" s="624">
        <v>0.41666666666666669</v>
      </c>
      <c r="Q891" s="785">
        <f t="shared" si="13"/>
        <v>1.6666666666666667</v>
      </c>
      <c r="R891" s="468" t="s">
        <v>1718</v>
      </c>
      <c r="S891" s="629"/>
    </row>
    <row r="892" spans="1:19" ht="15" x14ac:dyDescent="0.25">
      <c r="A892" s="621" t="s">
        <v>351</v>
      </c>
      <c r="B892" s="466" t="s">
        <v>111</v>
      </c>
      <c r="C892" s="631" t="s">
        <v>885</v>
      </c>
      <c r="D892" s="467" t="s">
        <v>887</v>
      </c>
      <c r="E892" s="474"/>
      <c r="F892" s="469" t="s">
        <v>112</v>
      </c>
      <c r="G892" s="470" t="s">
        <v>942</v>
      </c>
      <c r="H892" s="622" t="s">
        <v>916</v>
      </c>
      <c r="I892" s="633" t="s">
        <v>116</v>
      </c>
      <c r="J892" s="471" t="s">
        <v>913</v>
      </c>
      <c r="K892" s="469">
        <v>10</v>
      </c>
      <c r="L892" s="473"/>
      <c r="M892" s="623">
        <v>20</v>
      </c>
      <c r="N892" s="623">
        <v>8</v>
      </c>
      <c r="O892" s="624">
        <v>0.4</v>
      </c>
      <c r="P892" s="624">
        <v>0.4</v>
      </c>
      <c r="Q892" s="785">
        <f t="shared" si="13"/>
        <v>4</v>
      </c>
      <c r="R892" s="468" t="s">
        <v>1718</v>
      </c>
      <c r="S892" s="629"/>
    </row>
    <row r="893" spans="1:19" ht="15" x14ac:dyDescent="0.25">
      <c r="A893" s="621" t="s">
        <v>351</v>
      </c>
      <c r="B893" s="466" t="s">
        <v>111</v>
      </c>
      <c r="C893" s="631" t="s">
        <v>904</v>
      </c>
      <c r="D893" s="467" t="s">
        <v>881</v>
      </c>
      <c r="E893" s="474" t="s">
        <v>1718</v>
      </c>
      <c r="F893" s="469" t="s">
        <v>112</v>
      </c>
      <c r="G893" s="470" t="s">
        <v>942</v>
      </c>
      <c r="H893" s="622" t="s">
        <v>916</v>
      </c>
      <c r="I893" s="633" t="s">
        <v>116</v>
      </c>
      <c r="J893" s="471" t="s">
        <v>913</v>
      </c>
      <c r="K893" s="469" t="s">
        <v>79</v>
      </c>
      <c r="L893" s="473"/>
      <c r="M893" s="623">
        <v>0</v>
      </c>
      <c r="N893" s="623">
        <v>0</v>
      </c>
      <c r="O893" s="624">
        <v>0</v>
      </c>
      <c r="P893" s="624">
        <v>0</v>
      </c>
      <c r="Q893" s="785" t="e">
        <f t="shared" si="13"/>
        <v>#VALUE!</v>
      </c>
      <c r="R893" s="468" t="s">
        <v>1719</v>
      </c>
      <c r="S893" s="629"/>
    </row>
    <row r="894" spans="1:19" ht="15" x14ac:dyDescent="0.25">
      <c r="A894" s="621" t="s">
        <v>351</v>
      </c>
      <c r="B894" s="466" t="s">
        <v>111</v>
      </c>
      <c r="C894" s="631" t="s">
        <v>904</v>
      </c>
      <c r="D894" s="467" t="s">
        <v>883</v>
      </c>
      <c r="E894" s="474" t="s">
        <v>1725</v>
      </c>
      <c r="F894" s="469" t="s">
        <v>112</v>
      </c>
      <c r="G894" s="470" t="s">
        <v>942</v>
      </c>
      <c r="H894" s="622" t="s">
        <v>916</v>
      </c>
      <c r="I894" s="633" t="s">
        <v>116</v>
      </c>
      <c r="J894" s="471" t="s">
        <v>913</v>
      </c>
      <c r="K894" s="469" t="s">
        <v>79</v>
      </c>
      <c r="L894" s="473"/>
      <c r="M894" s="623">
        <v>1</v>
      </c>
      <c r="N894" s="623">
        <v>1</v>
      </c>
      <c r="O894" s="624">
        <v>1</v>
      </c>
      <c r="P894" s="624">
        <v>1</v>
      </c>
      <c r="Q894" s="785" t="e">
        <f t="shared" si="13"/>
        <v>#VALUE!</v>
      </c>
      <c r="R894" s="468" t="s">
        <v>1718</v>
      </c>
      <c r="S894" s="629"/>
    </row>
    <row r="895" spans="1:19" ht="15" x14ac:dyDescent="0.25">
      <c r="A895" s="621" t="s">
        <v>351</v>
      </c>
      <c r="B895" s="466" t="s">
        <v>111</v>
      </c>
      <c r="C895" s="631" t="s">
        <v>740</v>
      </c>
      <c r="D895" s="467" t="s">
        <v>889</v>
      </c>
      <c r="E895" s="474"/>
      <c r="F895" s="469" t="s">
        <v>112</v>
      </c>
      <c r="G895" s="470" t="s">
        <v>942</v>
      </c>
      <c r="H895" s="622" t="s">
        <v>917</v>
      </c>
      <c r="I895" s="633" t="s">
        <v>116</v>
      </c>
      <c r="J895" s="471" t="s">
        <v>913</v>
      </c>
      <c r="K895" s="469">
        <v>38</v>
      </c>
      <c r="L895" s="473"/>
      <c r="M895" s="623">
        <v>37</v>
      </c>
      <c r="N895" s="623">
        <v>3</v>
      </c>
      <c r="O895" s="624">
        <v>8.1081081081081086E-2</v>
      </c>
      <c r="P895" s="624">
        <v>8.1081081081081086E-2</v>
      </c>
      <c r="Q895" s="785">
        <f t="shared" si="13"/>
        <v>0.21337126600284495</v>
      </c>
      <c r="R895" s="468" t="s">
        <v>1718</v>
      </c>
      <c r="S895" s="629"/>
    </row>
    <row r="896" spans="1:19" ht="15" x14ac:dyDescent="0.25">
      <c r="A896" s="621" t="s">
        <v>351</v>
      </c>
      <c r="B896" s="466" t="s">
        <v>111</v>
      </c>
      <c r="C896" s="631" t="s">
        <v>740</v>
      </c>
      <c r="D896" s="467" t="s">
        <v>881</v>
      </c>
      <c r="E896" s="474" t="s">
        <v>1726</v>
      </c>
      <c r="F896" s="469" t="s">
        <v>112</v>
      </c>
      <c r="G896" s="470" t="s">
        <v>942</v>
      </c>
      <c r="H896" s="622" t="s">
        <v>916</v>
      </c>
      <c r="I896" s="633" t="s">
        <v>116</v>
      </c>
      <c r="J896" s="471" t="s">
        <v>913</v>
      </c>
      <c r="K896" s="469" t="s">
        <v>79</v>
      </c>
      <c r="L896" s="473"/>
      <c r="M896" s="623">
        <v>4</v>
      </c>
      <c r="N896" s="623">
        <v>0</v>
      </c>
      <c r="O896" s="624">
        <v>0</v>
      </c>
      <c r="P896" s="624">
        <v>0</v>
      </c>
      <c r="Q896" s="785" t="e">
        <f t="shared" si="13"/>
        <v>#VALUE!</v>
      </c>
      <c r="R896" s="468" t="s">
        <v>1719</v>
      </c>
      <c r="S896" s="629"/>
    </row>
    <row r="897" spans="1:19" ht="15" x14ac:dyDescent="0.25">
      <c r="A897" s="621" t="s">
        <v>351</v>
      </c>
      <c r="B897" s="466" t="s">
        <v>111</v>
      </c>
      <c r="C897" s="631" t="s">
        <v>740</v>
      </c>
      <c r="D897" s="467" t="s">
        <v>883</v>
      </c>
      <c r="E897" s="474" t="s">
        <v>1726</v>
      </c>
      <c r="F897" s="469" t="s">
        <v>112</v>
      </c>
      <c r="G897" s="470" t="s">
        <v>942</v>
      </c>
      <c r="H897" s="622" t="s">
        <v>916</v>
      </c>
      <c r="I897" s="633" t="s">
        <v>116</v>
      </c>
      <c r="J897" s="471" t="s">
        <v>913</v>
      </c>
      <c r="K897" s="469" t="s">
        <v>79</v>
      </c>
      <c r="L897" s="473"/>
      <c r="M897" s="623">
        <v>0</v>
      </c>
      <c r="N897" s="623">
        <v>0</v>
      </c>
      <c r="O897" s="624">
        <v>0</v>
      </c>
      <c r="P897" s="624">
        <v>0</v>
      </c>
      <c r="Q897" s="785" t="e">
        <f t="shared" si="13"/>
        <v>#VALUE!</v>
      </c>
      <c r="R897" s="468" t="s">
        <v>1719</v>
      </c>
      <c r="S897" s="629"/>
    </row>
    <row r="898" spans="1:19" ht="15" x14ac:dyDescent="0.25">
      <c r="A898" s="621" t="s">
        <v>351</v>
      </c>
      <c r="B898" s="466" t="s">
        <v>111</v>
      </c>
      <c r="C898" s="631" t="s">
        <v>894</v>
      </c>
      <c r="D898" s="467" t="s">
        <v>889</v>
      </c>
      <c r="E898" s="474"/>
      <c r="F898" s="469" t="s">
        <v>112</v>
      </c>
      <c r="G898" s="470" t="s">
        <v>942</v>
      </c>
      <c r="H898" s="622" t="s">
        <v>917</v>
      </c>
      <c r="I898" s="633" t="s">
        <v>116</v>
      </c>
      <c r="J898" s="471" t="s">
        <v>913</v>
      </c>
      <c r="K898" s="469">
        <v>5</v>
      </c>
      <c r="L898" s="473"/>
      <c r="M898" s="623">
        <v>543</v>
      </c>
      <c r="N898" s="623">
        <v>32</v>
      </c>
      <c r="O898" s="624">
        <v>5.8931860036832415E-2</v>
      </c>
      <c r="P898" s="624">
        <v>5.8931860036832415E-2</v>
      </c>
      <c r="Q898" s="785">
        <f t="shared" si="13"/>
        <v>1.1786372007366483</v>
      </c>
      <c r="R898" s="468" t="s">
        <v>1718</v>
      </c>
      <c r="S898" s="629"/>
    </row>
    <row r="899" spans="1:19" ht="15" x14ac:dyDescent="0.25">
      <c r="A899" s="621" t="s">
        <v>351</v>
      </c>
      <c r="B899" s="466" t="s">
        <v>111</v>
      </c>
      <c r="C899" s="631" t="s">
        <v>894</v>
      </c>
      <c r="D899" s="467" t="s">
        <v>881</v>
      </c>
      <c r="E899" s="474"/>
      <c r="F899" s="469" t="s">
        <v>112</v>
      </c>
      <c r="G899" s="470" t="s">
        <v>942</v>
      </c>
      <c r="H899" s="622" t="s">
        <v>916</v>
      </c>
      <c r="I899" s="633" t="s">
        <v>116</v>
      </c>
      <c r="J899" s="471" t="s">
        <v>913</v>
      </c>
      <c r="K899" s="469">
        <v>32</v>
      </c>
      <c r="L899" s="473"/>
      <c r="M899" s="623">
        <v>78</v>
      </c>
      <c r="N899" s="623">
        <v>28</v>
      </c>
      <c r="O899" s="624">
        <v>0.35897435897435898</v>
      </c>
      <c r="P899" s="624">
        <v>0.35897435897435898</v>
      </c>
      <c r="Q899" s="785">
        <f t="shared" si="13"/>
        <v>1.1217948717948718</v>
      </c>
      <c r="R899" s="468" t="s">
        <v>1718</v>
      </c>
      <c r="S899" s="629"/>
    </row>
    <row r="900" spans="1:19" ht="15" x14ac:dyDescent="0.25">
      <c r="A900" s="621" t="s">
        <v>351</v>
      </c>
      <c r="B900" s="466" t="s">
        <v>111</v>
      </c>
      <c r="C900" s="631" t="s">
        <v>894</v>
      </c>
      <c r="D900" s="467" t="s">
        <v>883</v>
      </c>
      <c r="E900" s="474" t="s">
        <v>1727</v>
      </c>
      <c r="F900" s="469" t="s">
        <v>112</v>
      </c>
      <c r="G900" s="470" t="s">
        <v>942</v>
      </c>
      <c r="H900" s="622" t="s">
        <v>916</v>
      </c>
      <c r="I900" s="633" t="s">
        <v>116</v>
      </c>
      <c r="J900" s="471" t="s">
        <v>913</v>
      </c>
      <c r="K900" s="469">
        <v>33</v>
      </c>
      <c r="L900" s="473"/>
      <c r="M900" s="623">
        <v>25</v>
      </c>
      <c r="N900" s="623">
        <v>9</v>
      </c>
      <c r="O900" s="624">
        <v>0.36</v>
      </c>
      <c r="P900" s="624">
        <v>0.36</v>
      </c>
      <c r="Q900" s="785">
        <f t="shared" si="13"/>
        <v>1.0909090909090908</v>
      </c>
      <c r="R900" s="468" t="s">
        <v>1718</v>
      </c>
      <c r="S900" s="629"/>
    </row>
    <row r="901" spans="1:19" ht="15" x14ac:dyDescent="0.25">
      <c r="A901" s="621" t="s">
        <v>351</v>
      </c>
      <c r="B901" s="466" t="s">
        <v>111</v>
      </c>
      <c r="C901" s="631" t="s">
        <v>894</v>
      </c>
      <c r="D901" s="467" t="s">
        <v>869</v>
      </c>
      <c r="E901" s="474" t="s">
        <v>1727</v>
      </c>
      <c r="F901" s="469" t="s">
        <v>112</v>
      </c>
      <c r="G901" s="470" t="s">
        <v>942</v>
      </c>
      <c r="H901" s="622" t="s">
        <v>916</v>
      </c>
      <c r="I901" s="633" t="s">
        <v>116</v>
      </c>
      <c r="J901" s="471" t="s">
        <v>913</v>
      </c>
      <c r="K901" s="469" t="s">
        <v>79</v>
      </c>
      <c r="L901" s="473"/>
      <c r="M901" s="623">
        <v>0</v>
      </c>
      <c r="N901" s="623">
        <v>0</v>
      </c>
      <c r="O901" s="624">
        <v>0</v>
      </c>
      <c r="P901" s="624">
        <v>0</v>
      </c>
      <c r="Q901" s="785" t="e">
        <f t="shared" si="13"/>
        <v>#VALUE!</v>
      </c>
      <c r="R901" s="468" t="s">
        <v>1719</v>
      </c>
      <c r="S901" s="629"/>
    </row>
    <row r="902" spans="1:19" ht="15" x14ac:dyDescent="0.25">
      <c r="A902" s="621" t="s">
        <v>351</v>
      </c>
      <c r="B902" s="466" t="s">
        <v>111</v>
      </c>
      <c r="C902" s="634" t="s">
        <v>1793</v>
      </c>
      <c r="D902" s="634" t="s">
        <v>889</v>
      </c>
      <c r="E902" s="474"/>
      <c r="F902" s="469" t="s">
        <v>112</v>
      </c>
      <c r="G902" s="470" t="s">
        <v>926</v>
      </c>
      <c r="H902" s="622" t="s">
        <v>916</v>
      </c>
      <c r="I902" s="633" t="s">
        <v>116</v>
      </c>
      <c r="J902" s="471" t="s">
        <v>913</v>
      </c>
      <c r="K902" s="469">
        <v>10</v>
      </c>
      <c r="L902" s="450"/>
      <c r="M902" s="623">
        <v>557</v>
      </c>
      <c r="N902" s="635">
        <v>12</v>
      </c>
      <c r="O902" s="636">
        <f t="shared" ref="O902:O906" si="14">N902/M902</f>
        <v>2.1543985637342909E-2</v>
      </c>
      <c r="P902" s="636">
        <v>0.1</v>
      </c>
      <c r="Q902" s="785">
        <f t="shared" ref="Q902:Q965" si="15">N902/(M902*K902/100)</f>
        <v>0.21543985637342908</v>
      </c>
      <c r="R902" s="468" t="s">
        <v>1718</v>
      </c>
      <c r="S902" s="615"/>
    </row>
    <row r="903" spans="1:19" ht="15" x14ac:dyDescent="0.25">
      <c r="A903" s="621" t="s">
        <v>351</v>
      </c>
      <c r="B903" s="466" t="s">
        <v>111</v>
      </c>
      <c r="C903" s="634" t="s">
        <v>1793</v>
      </c>
      <c r="D903" s="634" t="s">
        <v>881</v>
      </c>
      <c r="E903" s="474"/>
      <c r="F903" s="469" t="s">
        <v>112</v>
      </c>
      <c r="G903" s="470" t="s">
        <v>926</v>
      </c>
      <c r="H903" s="622" t="s">
        <v>916</v>
      </c>
      <c r="I903" s="633" t="s">
        <v>116</v>
      </c>
      <c r="J903" s="471" t="s">
        <v>913</v>
      </c>
      <c r="K903" s="469">
        <v>10</v>
      </c>
      <c r="M903" s="623">
        <v>80</v>
      </c>
      <c r="N903" s="635">
        <v>6</v>
      </c>
      <c r="O903" s="636">
        <f t="shared" si="14"/>
        <v>7.4999999999999997E-2</v>
      </c>
      <c r="P903" s="636"/>
      <c r="Q903" s="785">
        <f t="shared" si="15"/>
        <v>0.75</v>
      </c>
      <c r="R903" s="468" t="s">
        <v>1718</v>
      </c>
    </row>
    <row r="904" spans="1:19" ht="15" x14ac:dyDescent="0.25">
      <c r="A904" s="621" t="s">
        <v>351</v>
      </c>
      <c r="B904" s="466" t="s">
        <v>111</v>
      </c>
      <c r="C904" s="634" t="s">
        <v>1793</v>
      </c>
      <c r="D904" s="634" t="s">
        <v>883</v>
      </c>
      <c r="E904" s="474"/>
      <c r="F904" s="469" t="s">
        <v>112</v>
      </c>
      <c r="G904" s="470" t="s">
        <v>926</v>
      </c>
      <c r="H904" s="622" t="s">
        <v>916</v>
      </c>
      <c r="I904" s="633" t="s">
        <v>116</v>
      </c>
      <c r="J904" s="471" t="s">
        <v>913</v>
      </c>
      <c r="K904" s="469">
        <v>10</v>
      </c>
      <c r="M904" s="623">
        <v>10</v>
      </c>
      <c r="N904" s="635">
        <v>2</v>
      </c>
      <c r="O904" s="636">
        <f t="shared" si="14"/>
        <v>0.2</v>
      </c>
      <c r="P904" s="636"/>
      <c r="Q904" s="785">
        <f t="shared" si="15"/>
        <v>2</v>
      </c>
      <c r="R904" s="468" t="s">
        <v>1718</v>
      </c>
    </row>
    <row r="905" spans="1:19" ht="15" x14ac:dyDescent="0.25">
      <c r="A905" s="621" t="s">
        <v>351</v>
      </c>
      <c r="B905" s="466" t="s">
        <v>111</v>
      </c>
      <c r="C905" s="634" t="s">
        <v>1793</v>
      </c>
      <c r="D905" s="634" t="s">
        <v>866</v>
      </c>
      <c r="E905" s="474"/>
      <c r="F905" s="469" t="s">
        <v>112</v>
      </c>
      <c r="G905" s="470" t="s">
        <v>926</v>
      </c>
      <c r="H905" s="622" t="s">
        <v>916</v>
      </c>
      <c r="I905" s="633" t="s">
        <v>116</v>
      </c>
      <c r="J905" s="471" t="s">
        <v>913</v>
      </c>
      <c r="K905" s="469">
        <v>10</v>
      </c>
      <c r="M905" s="623">
        <v>2</v>
      </c>
      <c r="N905" s="635">
        <v>1</v>
      </c>
      <c r="O905" s="636">
        <f t="shared" si="14"/>
        <v>0.5</v>
      </c>
      <c r="P905" s="636"/>
      <c r="Q905" s="785">
        <f t="shared" si="15"/>
        <v>5</v>
      </c>
      <c r="R905" s="468" t="s">
        <v>1718</v>
      </c>
    </row>
    <row r="906" spans="1:19" ht="15" x14ac:dyDescent="0.25">
      <c r="A906" s="621" t="s">
        <v>351</v>
      </c>
      <c r="B906" s="466" t="s">
        <v>111</v>
      </c>
      <c r="C906" s="634" t="s">
        <v>1793</v>
      </c>
      <c r="D906" s="634" t="s">
        <v>869</v>
      </c>
      <c r="E906" s="474"/>
      <c r="F906" s="469" t="s">
        <v>112</v>
      </c>
      <c r="G906" s="470" t="s">
        <v>926</v>
      </c>
      <c r="H906" s="622" t="s">
        <v>916</v>
      </c>
      <c r="I906" s="633" t="s">
        <v>116</v>
      </c>
      <c r="J906" s="471" t="s">
        <v>913</v>
      </c>
      <c r="K906" s="469">
        <v>10</v>
      </c>
      <c r="M906" s="623">
        <v>3</v>
      </c>
      <c r="N906" s="635">
        <v>1</v>
      </c>
      <c r="O906" s="636">
        <f t="shared" si="14"/>
        <v>0.33333333333333331</v>
      </c>
      <c r="P906" s="636"/>
      <c r="Q906" s="785">
        <f t="shared" si="15"/>
        <v>3.3333333333333335</v>
      </c>
      <c r="R906" s="468" t="s">
        <v>1718</v>
      </c>
    </row>
    <row r="907" spans="1:19" ht="15" x14ac:dyDescent="0.25">
      <c r="A907" s="621" t="s">
        <v>351</v>
      </c>
      <c r="B907" s="466" t="s">
        <v>111</v>
      </c>
      <c r="C907" s="634" t="s">
        <v>1793</v>
      </c>
      <c r="D907" s="634" t="s">
        <v>887</v>
      </c>
      <c r="E907" s="474"/>
      <c r="F907" s="469" t="s">
        <v>112</v>
      </c>
      <c r="G907" s="470" t="s">
        <v>926</v>
      </c>
      <c r="H907" s="622" t="s">
        <v>916</v>
      </c>
      <c r="I907" s="633" t="s">
        <v>116</v>
      </c>
      <c r="J907" s="471" t="s">
        <v>913</v>
      </c>
      <c r="K907" s="469">
        <v>0</v>
      </c>
      <c r="M907" s="623">
        <v>0</v>
      </c>
      <c r="N907" s="635">
        <v>0</v>
      </c>
      <c r="O907" s="635">
        <v>0</v>
      </c>
      <c r="P907" s="635">
        <v>0</v>
      </c>
      <c r="Q907" s="785" t="e">
        <f t="shared" si="15"/>
        <v>#DIV/0!</v>
      </c>
      <c r="R907" s="468" t="s">
        <v>1718</v>
      </c>
    </row>
    <row r="908" spans="1:19" ht="15" x14ac:dyDescent="0.25">
      <c r="A908" s="621" t="s">
        <v>351</v>
      </c>
      <c r="B908" s="466" t="s">
        <v>111</v>
      </c>
      <c r="C908" s="634" t="s">
        <v>1793</v>
      </c>
      <c r="D908" s="634" t="s">
        <v>889</v>
      </c>
      <c r="E908" s="474"/>
      <c r="F908" s="469" t="s">
        <v>112</v>
      </c>
      <c r="G908" s="637" t="s">
        <v>7</v>
      </c>
      <c r="H908" s="637" t="s">
        <v>7</v>
      </c>
      <c r="I908" s="637" t="s">
        <v>7</v>
      </c>
      <c r="J908" s="637" t="s">
        <v>7</v>
      </c>
      <c r="K908" s="469">
        <v>0</v>
      </c>
      <c r="M908" s="623">
        <v>557</v>
      </c>
      <c r="N908" s="623">
        <v>0</v>
      </c>
      <c r="O908" s="624">
        <v>0</v>
      </c>
      <c r="P908" s="624">
        <v>0</v>
      </c>
      <c r="Q908" s="785" t="e">
        <f t="shared" si="15"/>
        <v>#DIV/0!</v>
      </c>
      <c r="R908" s="468" t="s">
        <v>1718</v>
      </c>
    </row>
    <row r="909" spans="1:19" ht="15" x14ac:dyDescent="0.25">
      <c r="A909" s="621" t="s">
        <v>351</v>
      </c>
      <c r="B909" s="466" t="s">
        <v>111</v>
      </c>
      <c r="C909" s="634" t="s">
        <v>1793</v>
      </c>
      <c r="D909" s="634" t="s">
        <v>881</v>
      </c>
      <c r="E909" s="474"/>
      <c r="F909" s="469" t="s">
        <v>112</v>
      </c>
      <c r="G909" s="637" t="s">
        <v>7</v>
      </c>
      <c r="H909" s="637" t="s">
        <v>7</v>
      </c>
      <c r="I909" s="637" t="s">
        <v>7</v>
      </c>
      <c r="J909" s="637" t="s">
        <v>7</v>
      </c>
      <c r="K909" s="469">
        <v>0</v>
      </c>
      <c r="M909" s="623">
        <v>80</v>
      </c>
      <c r="N909" s="623">
        <v>0</v>
      </c>
      <c r="O909" s="624">
        <v>0</v>
      </c>
      <c r="P909" s="624">
        <v>0</v>
      </c>
      <c r="Q909" s="785" t="e">
        <f t="shared" si="15"/>
        <v>#DIV/0!</v>
      </c>
      <c r="R909" s="468" t="s">
        <v>1718</v>
      </c>
    </row>
    <row r="910" spans="1:19" ht="15" x14ac:dyDescent="0.25">
      <c r="A910" s="621" t="s">
        <v>351</v>
      </c>
      <c r="B910" s="466" t="s">
        <v>111</v>
      </c>
      <c r="C910" s="634" t="s">
        <v>1793</v>
      </c>
      <c r="D910" s="634" t="s">
        <v>883</v>
      </c>
      <c r="E910" s="474"/>
      <c r="F910" s="469" t="s">
        <v>112</v>
      </c>
      <c r="G910" s="637" t="s">
        <v>7</v>
      </c>
      <c r="H910" s="637" t="s">
        <v>7</v>
      </c>
      <c r="I910" s="637" t="s">
        <v>7</v>
      </c>
      <c r="J910" s="637" t="s">
        <v>7</v>
      </c>
      <c r="K910" s="469">
        <v>0</v>
      </c>
      <c r="M910" s="623">
        <v>10</v>
      </c>
      <c r="N910" s="623">
        <v>0</v>
      </c>
      <c r="O910" s="624">
        <v>0</v>
      </c>
      <c r="P910" s="624">
        <v>0</v>
      </c>
      <c r="Q910" s="785" t="e">
        <f t="shared" si="15"/>
        <v>#DIV/0!</v>
      </c>
      <c r="R910" s="468" t="s">
        <v>1718</v>
      </c>
    </row>
    <row r="911" spans="1:19" ht="15" x14ac:dyDescent="0.25">
      <c r="A911" s="621" t="s">
        <v>351</v>
      </c>
      <c r="B911" s="466" t="s">
        <v>111</v>
      </c>
      <c r="C911" s="634" t="s">
        <v>1793</v>
      </c>
      <c r="D911" s="634" t="s">
        <v>866</v>
      </c>
      <c r="E911" s="474"/>
      <c r="F911" s="469" t="s">
        <v>112</v>
      </c>
      <c r="G911" s="637" t="s">
        <v>7</v>
      </c>
      <c r="H911" s="637" t="s">
        <v>7</v>
      </c>
      <c r="I911" s="637" t="s">
        <v>7</v>
      </c>
      <c r="J911" s="637" t="s">
        <v>7</v>
      </c>
      <c r="K911" s="469">
        <v>0</v>
      </c>
      <c r="M911" s="623">
        <v>2</v>
      </c>
      <c r="N911" s="623">
        <v>0</v>
      </c>
      <c r="O911" s="624">
        <v>0</v>
      </c>
      <c r="P911" s="624">
        <v>0</v>
      </c>
      <c r="Q911" s="785" t="e">
        <f t="shared" si="15"/>
        <v>#DIV/0!</v>
      </c>
      <c r="R911" s="468" t="s">
        <v>1718</v>
      </c>
    </row>
    <row r="912" spans="1:19" ht="15" x14ac:dyDescent="0.25">
      <c r="A912" s="621" t="s">
        <v>351</v>
      </c>
      <c r="B912" s="466" t="s">
        <v>111</v>
      </c>
      <c r="C912" s="634" t="s">
        <v>1793</v>
      </c>
      <c r="D912" s="634" t="s">
        <v>869</v>
      </c>
      <c r="E912" s="474"/>
      <c r="F912" s="469" t="s">
        <v>112</v>
      </c>
      <c r="G912" s="637" t="s">
        <v>7</v>
      </c>
      <c r="H912" s="637" t="s">
        <v>7</v>
      </c>
      <c r="I912" s="637" t="s">
        <v>7</v>
      </c>
      <c r="J912" s="637" t="s">
        <v>7</v>
      </c>
      <c r="K912" s="469">
        <v>0</v>
      </c>
      <c r="M912" s="623">
        <v>3</v>
      </c>
      <c r="N912" s="623">
        <v>0</v>
      </c>
      <c r="O912" s="624">
        <v>0</v>
      </c>
      <c r="P912" s="624">
        <v>0</v>
      </c>
      <c r="Q912" s="785" t="e">
        <f t="shared" si="15"/>
        <v>#DIV/0!</v>
      </c>
      <c r="R912" s="468" t="s">
        <v>1718</v>
      </c>
    </row>
    <row r="913" spans="1:19" ht="15" x14ac:dyDescent="0.25">
      <c r="A913" s="621" t="s">
        <v>351</v>
      </c>
      <c r="B913" s="466" t="s">
        <v>111</v>
      </c>
      <c r="C913" s="634" t="s">
        <v>1793</v>
      </c>
      <c r="D913" s="634" t="s">
        <v>887</v>
      </c>
      <c r="E913" s="474"/>
      <c r="F913" s="469" t="s">
        <v>112</v>
      </c>
      <c r="G913" s="637" t="s">
        <v>7</v>
      </c>
      <c r="H913" s="637" t="s">
        <v>7</v>
      </c>
      <c r="I913" s="637" t="s">
        <v>7</v>
      </c>
      <c r="J913" s="637" t="s">
        <v>7</v>
      </c>
      <c r="K913" s="469">
        <v>0</v>
      </c>
      <c r="M913" s="623">
        <v>0</v>
      </c>
      <c r="N913" s="623">
        <v>0</v>
      </c>
      <c r="O913" s="624">
        <v>0</v>
      </c>
      <c r="P913" s="624">
        <v>0</v>
      </c>
      <c r="Q913" s="785" t="e">
        <f t="shared" si="15"/>
        <v>#DIV/0!</v>
      </c>
      <c r="R913" s="468" t="s">
        <v>1718</v>
      </c>
    </row>
    <row r="914" spans="1:19" ht="15" x14ac:dyDescent="0.25">
      <c r="A914" s="621" t="s">
        <v>351</v>
      </c>
      <c r="B914" s="466" t="s">
        <v>111</v>
      </c>
      <c r="C914" s="631" t="s">
        <v>99</v>
      </c>
      <c r="D914" s="467" t="s">
        <v>866</v>
      </c>
      <c r="E914" s="474" t="s">
        <v>1720</v>
      </c>
      <c r="F914" s="469" t="s">
        <v>117</v>
      </c>
      <c r="G914" s="470" t="s">
        <v>1794</v>
      </c>
      <c r="H914" s="622" t="s">
        <v>916</v>
      </c>
      <c r="I914" s="633" t="s">
        <v>116</v>
      </c>
      <c r="J914" s="471" t="s">
        <v>913</v>
      </c>
      <c r="K914" s="469">
        <v>33</v>
      </c>
      <c r="L914" s="473"/>
      <c r="M914" s="623">
        <v>0</v>
      </c>
      <c r="N914" s="623">
        <v>0</v>
      </c>
      <c r="O914" s="624">
        <v>0</v>
      </c>
      <c r="P914" s="624">
        <v>0</v>
      </c>
      <c r="Q914" s="785" t="e">
        <f t="shared" si="15"/>
        <v>#DIV/0!</v>
      </c>
      <c r="R914" s="468" t="s">
        <v>1719</v>
      </c>
      <c r="S914" s="629"/>
    </row>
    <row r="915" spans="1:19" ht="15" x14ac:dyDescent="0.25">
      <c r="A915" s="621" t="s">
        <v>351</v>
      </c>
      <c r="B915" s="466" t="s">
        <v>111</v>
      </c>
      <c r="C915" s="631" t="s">
        <v>99</v>
      </c>
      <c r="D915" s="467" t="s">
        <v>869</v>
      </c>
      <c r="E915" s="474" t="s">
        <v>1720</v>
      </c>
      <c r="F915" s="469" t="s">
        <v>117</v>
      </c>
      <c r="G915" s="470" t="s">
        <v>1794</v>
      </c>
      <c r="H915" s="622" t="s">
        <v>916</v>
      </c>
      <c r="I915" s="633" t="s">
        <v>116</v>
      </c>
      <c r="J915" s="471" t="s">
        <v>913</v>
      </c>
      <c r="K915" s="469">
        <v>33</v>
      </c>
      <c r="L915" s="473"/>
      <c r="M915" s="623">
        <v>14</v>
      </c>
      <c r="N915" s="623">
        <v>2</v>
      </c>
      <c r="O915" s="624">
        <v>0.14285714285714285</v>
      </c>
      <c r="P915" s="624">
        <v>0.14285714285714285</v>
      </c>
      <c r="Q915" s="785">
        <f t="shared" si="15"/>
        <v>0.4329004329004329</v>
      </c>
      <c r="R915" s="468" t="s">
        <v>1718</v>
      </c>
      <c r="S915" s="629"/>
    </row>
    <row r="916" spans="1:19" ht="15" x14ac:dyDescent="0.25">
      <c r="A916" s="621" t="s">
        <v>351</v>
      </c>
      <c r="B916" s="466" t="s">
        <v>111</v>
      </c>
      <c r="C916" s="631" t="s">
        <v>870</v>
      </c>
      <c r="D916" s="467" t="s">
        <v>889</v>
      </c>
      <c r="E916" s="474"/>
      <c r="F916" s="469" t="s">
        <v>117</v>
      </c>
      <c r="G916" s="470" t="s">
        <v>1794</v>
      </c>
      <c r="H916" s="622" t="s">
        <v>917</v>
      </c>
      <c r="I916" s="633" t="s">
        <v>116</v>
      </c>
      <c r="J916" s="471" t="s">
        <v>913</v>
      </c>
      <c r="K916" s="469">
        <v>16</v>
      </c>
      <c r="L916" s="473"/>
      <c r="M916" s="623">
        <v>50</v>
      </c>
      <c r="N916" s="623">
        <v>4</v>
      </c>
      <c r="O916" s="624">
        <v>0.08</v>
      </c>
      <c r="P916" s="624">
        <v>0.08</v>
      </c>
      <c r="Q916" s="785">
        <f t="shared" si="15"/>
        <v>0.5</v>
      </c>
      <c r="R916" s="468" t="s">
        <v>1718</v>
      </c>
      <c r="S916" s="629"/>
    </row>
    <row r="917" spans="1:19" ht="15" x14ac:dyDescent="0.25">
      <c r="A917" s="621" t="s">
        <v>351</v>
      </c>
      <c r="B917" s="466" t="s">
        <v>111</v>
      </c>
      <c r="C917" s="631" t="s">
        <v>870</v>
      </c>
      <c r="D917" s="467" t="s">
        <v>881</v>
      </c>
      <c r="E917" s="474"/>
      <c r="F917" s="469" t="s">
        <v>117</v>
      </c>
      <c r="G917" s="470" t="s">
        <v>1794</v>
      </c>
      <c r="H917" s="622" t="s">
        <v>916</v>
      </c>
      <c r="I917" s="633" t="s">
        <v>116</v>
      </c>
      <c r="J917" s="471" t="s">
        <v>913</v>
      </c>
      <c r="K917" s="469">
        <v>16</v>
      </c>
      <c r="L917" s="473"/>
      <c r="M917" s="623">
        <v>19</v>
      </c>
      <c r="N917" s="623">
        <v>3</v>
      </c>
      <c r="O917" s="624">
        <v>0.15789473684210525</v>
      </c>
      <c r="P917" s="624">
        <v>0.15789473684210525</v>
      </c>
      <c r="Q917" s="785">
        <f t="shared" si="15"/>
        <v>0.98684210526315785</v>
      </c>
      <c r="R917" s="468" t="s">
        <v>1718</v>
      </c>
      <c r="S917" s="629"/>
    </row>
    <row r="918" spans="1:19" ht="15" x14ac:dyDescent="0.25">
      <c r="A918" s="621" t="s">
        <v>351</v>
      </c>
      <c r="B918" s="466" t="s">
        <v>111</v>
      </c>
      <c r="C918" s="631" t="s">
        <v>870</v>
      </c>
      <c r="D918" s="467" t="s">
        <v>883</v>
      </c>
      <c r="E918" s="474"/>
      <c r="F918" s="469" t="s">
        <v>117</v>
      </c>
      <c r="G918" s="470" t="s">
        <v>1794</v>
      </c>
      <c r="H918" s="622" t="s">
        <v>916</v>
      </c>
      <c r="I918" s="633" t="s">
        <v>116</v>
      </c>
      <c r="J918" s="471" t="s">
        <v>913</v>
      </c>
      <c r="K918" s="469">
        <v>6</v>
      </c>
      <c r="L918" s="473"/>
      <c r="M918" s="623">
        <v>39</v>
      </c>
      <c r="N918" s="623">
        <v>9</v>
      </c>
      <c r="O918" s="624">
        <v>0.23076923076923078</v>
      </c>
      <c r="P918" s="624">
        <v>0.23076923076923078</v>
      </c>
      <c r="Q918" s="785">
        <f t="shared" si="15"/>
        <v>3.8461538461538463</v>
      </c>
      <c r="R918" s="468" t="s">
        <v>1718</v>
      </c>
      <c r="S918" s="629"/>
    </row>
    <row r="919" spans="1:19" ht="15" x14ac:dyDescent="0.25">
      <c r="A919" s="621" t="s">
        <v>351</v>
      </c>
      <c r="B919" s="466" t="s">
        <v>111</v>
      </c>
      <c r="C919" s="631" t="s">
        <v>870</v>
      </c>
      <c r="D919" s="467" t="s">
        <v>866</v>
      </c>
      <c r="E919" s="474"/>
      <c r="F919" s="469" t="s">
        <v>117</v>
      </c>
      <c r="G919" s="470" t="s">
        <v>1794</v>
      </c>
      <c r="H919" s="622" t="s">
        <v>916</v>
      </c>
      <c r="I919" s="633" t="s">
        <v>116</v>
      </c>
      <c r="J919" s="471" t="s">
        <v>913</v>
      </c>
      <c r="K919" s="469">
        <v>8</v>
      </c>
      <c r="L919" s="473"/>
      <c r="M919" s="623">
        <v>67</v>
      </c>
      <c r="N919" s="623">
        <v>17</v>
      </c>
      <c r="O919" s="624">
        <v>0.2537313432835821</v>
      </c>
      <c r="P919" s="624">
        <v>0.2537313432835821</v>
      </c>
      <c r="Q919" s="785">
        <f t="shared" si="15"/>
        <v>3.1716417910447761</v>
      </c>
      <c r="R919" s="468" t="s">
        <v>1718</v>
      </c>
      <c r="S919" s="629"/>
    </row>
    <row r="920" spans="1:19" ht="15" x14ac:dyDescent="0.25">
      <c r="A920" s="621" t="s">
        <v>351</v>
      </c>
      <c r="B920" s="466" t="s">
        <v>111</v>
      </c>
      <c r="C920" s="631" t="s">
        <v>870</v>
      </c>
      <c r="D920" s="467" t="s">
        <v>869</v>
      </c>
      <c r="E920" s="474"/>
      <c r="F920" s="469" t="s">
        <v>117</v>
      </c>
      <c r="G920" s="470" t="s">
        <v>1794</v>
      </c>
      <c r="H920" s="622" t="s">
        <v>916</v>
      </c>
      <c r="I920" s="633" t="s">
        <v>116</v>
      </c>
      <c r="J920" s="471" t="s">
        <v>913</v>
      </c>
      <c r="K920" s="469">
        <v>5</v>
      </c>
      <c r="L920" s="473"/>
      <c r="M920" s="623">
        <v>46</v>
      </c>
      <c r="N920" s="623">
        <v>18</v>
      </c>
      <c r="O920" s="624">
        <v>0.39130434782608697</v>
      </c>
      <c r="P920" s="624">
        <v>0.39130434782608697</v>
      </c>
      <c r="Q920" s="785">
        <f t="shared" si="15"/>
        <v>7.8260869565217401</v>
      </c>
      <c r="R920" s="468" t="s">
        <v>1718</v>
      </c>
      <c r="S920" s="629"/>
    </row>
    <row r="921" spans="1:19" ht="15" x14ac:dyDescent="0.25">
      <c r="A921" s="621" t="s">
        <v>351</v>
      </c>
      <c r="B921" s="466" t="s">
        <v>111</v>
      </c>
      <c r="C921" s="631" t="s">
        <v>738</v>
      </c>
      <c r="D921" s="467" t="s">
        <v>889</v>
      </c>
      <c r="E921" s="474"/>
      <c r="F921" s="469" t="s">
        <v>117</v>
      </c>
      <c r="G921" s="470" t="s">
        <v>1794</v>
      </c>
      <c r="H921" s="622" t="s">
        <v>917</v>
      </c>
      <c r="I921" s="633" t="s">
        <v>116</v>
      </c>
      <c r="J921" s="471" t="s">
        <v>913</v>
      </c>
      <c r="K921" s="469">
        <v>29</v>
      </c>
      <c r="L921" s="473"/>
      <c r="M921" s="623">
        <v>156</v>
      </c>
      <c r="N921" s="623">
        <v>7</v>
      </c>
      <c r="O921" s="624">
        <v>4.4871794871794872E-2</v>
      </c>
      <c r="P921" s="624">
        <v>4.4871794871794872E-2</v>
      </c>
      <c r="Q921" s="785">
        <f t="shared" si="15"/>
        <v>0.15473032714412024</v>
      </c>
      <c r="R921" s="468" t="s">
        <v>1718</v>
      </c>
      <c r="S921" s="629"/>
    </row>
    <row r="922" spans="1:19" ht="15" x14ac:dyDescent="0.25">
      <c r="A922" s="621" t="s">
        <v>351</v>
      </c>
      <c r="B922" s="466" t="s">
        <v>111</v>
      </c>
      <c r="C922" s="631" t="s">
        <v>738</v>
      </c>
      <c r="D922" s="467" t="s">
        <v>881</v>
      </c>
      <c r="E922" s="474" t="s">
        <v>1721</v>
      </c>
      <c r="F922" s="469" t="s">
        <v>117</v>
      </c>
      <c r="G922" s="470" t="s">
        <v>1794</v>
      </c>
      <c r="H922" s="622" t="s">
        <v>916</v>
      </c>
      <c r="I922" s="633" t="s">
        <v>116</v>
      </c>
      <c r="J922" s="471" t="s">
        <v>913</v>
      </c>
      <c r="K922" s="469">
        <v>8</v>
      </c>
      <c r="L922" s="473"/>
      <c r="M922" s="623">
        <v>54</v>
      </c>
      <c r="N922" s="623">
        <v>6</v>
      </c>
      <c r="O922" s="624">
        <v>0.1111111111111111</v>
      </c>
      <c r="P922" s="624">
        <v>0.1111111111111111</v>
      </c>
      <c r="Q922" s="785">
        <f t="shared" si="15"/>
        <v>1.3888888888888888</v>
      </c>
      <c r="R922" s="468" t="s">
        <v>1718</v>
      </c>
      <c r="S922" s="629"/>
    </row>
    <row r="923" spans="1:19" ht="15" x14ac:dyDescent="0.25">
      <c r="A923" s="621" t="s">
        <v>351</v>
      </c>
      <c r="B923" s="466" t="s">
        <v>111</v>
      </c>
      <c r="C923" s="631" t="s">
        <v>738</v>
      </c>
      <c r="D923" s="467" t="s">
        <v>883</v>
      </c>
      <c r="E923" s="474" t="s">
        <v>1721</v>
      </c>
      <c r="F923" s="469" t="s">
        <v>117</v>
      </c>
      <c r="G923" s="470" t="s">
        <v>1794</v>
      </c>
      <c r="H923" s="622" t="s">
        <v>916</v>
      </c>
      <c r="I923" s="633" t="s">
        <v>116</v>
      </c>
      <c r="J923" s="471" t="s">
        <v>913</v>
      </c>
      <c r="K923" s="469">
        <v>8</v>
      </c>
      <c r="L923" s="473"/>
      <c r="M923" s="623">
        <v>0</v>
      </c>
      <c r="N923" s="623">
        <v>0</v>
      </c>
      <c r="O923" s="624">
        <v>0</v>
      </c>
      <c r="P923" s="624">
        <v>0</v>
      </c>
      <c r="Q923" s="785" t="e">
        <f t="shared" si="15"/>
        <v>#DIV/0!</v>
      </c>
      <c r="R923" s="468" t="s">
        <v>1719</v>
      </c>
      <c r="S923" s="629"/>
    </row>
    <row r="924" spans="1:19" ht="15" x14ac:dyDescent="0.25">
      <c r="A924" s="621" t="s">
        <v>351</v>
      </c>
      <c r="B924" s="466" t="s">
        <v>111</v>
      </c>
      <c r="C924" s="631" t="s">
        <v>738</v>
      </c>
      <c r="D924" s="467" t="s">
        <v>866</v>
      </c>
      <c r="E924" s="474" t="s">
        <v>1722</v>
      </c>
      <c r="F924" s="469" t="s">
        <v>117</v>
      </c>
      <c r="G924" s="470" t="s">
        <v>1794</v>
      </c>
      <c r="H924" s="622" t="s">
        <v>916</v>
      </c>
      <c r="I924" s="633" t="s">
        <v>116</v>
      </c>
      <c r="J924" s="471" t="s">
        <v>913</v>
      </c>
      <c r="K924" s="469">
        <v>8</v>
      </c>
      <c r="L924" s="473"/>
      <c r="M924" s="623">
        <v>0</v>
      </c>
      <c r="N924" s="623">
        <v>1</v>
      </c>
      <c r="O924" s="624">
        <v>0</v>
      </c>
      <c r="P924" s="624">
        <v>0</v>
      </c>
      <c r="Q924" s="785" t="e">
        <f t="shared" si="15"/>
        <v>#DIV/0!</v>
      </c>
      <c r="R924" s="468" t="s">
        <v>1719</v>
      </c>
      <c r="S924" s="629"/>
    </row>
    <row r="925" spans="1:19" ht="15" x14ac:dyDescent="0.25">
      <c r="A925" s="621" t="s">
        <v>351</v>
      </c>
      <c r="B925" s="466" t="s">
        <v>111</v>
      </c>
      <c r="C925" s="631" t="s">
        <v>738</v>
      </c>
      <c r="D925" s="467" t="s">
        <v>869</v>
      </c>
      <c r="E925" s="474" t="s">
        <v>1722</v>
      </c>
      <c r="F925" s="469" t="s">
        <v>117</v>
      </c>
      <c r="G925" s="470" t="s">
        <v>1794</v>
      </c>
      <c r="H925" s="622" t="s">
        <v>916</v>
      </c>
      <c r="I925" s="633" t="s">
        <v>116</v>
      </c>
      <c r="J925" s="471" t="s">
        <v>913</v>
      </c>
      <c r="K925" s="469">
        <v>8</v>
      </c>
      <c r="L925" s="473"/>
      <c r="M925" s="623">
        <v>7</v>
      </c>
      <c r="N925" s="623">
        <v>2</v>
      </c>
      <c r="O925" s="624">
        <v>0.2857142857142857</v>
      </c>
      <c r="P925" s="624">
        <v>0.2857142857142857</v>
      </c>
      <c r="Q925" s="785">
        <f t="shared" si="15"/>
        <v>3.5714285714285712</v>
      </c>
      <c r="R925" s="468" t="s">
        <v>1718</v>
      </c>
      <c r="S925" s="629"/>
    </row>
    <row r="926" spans="1:19" ht="15" x14ac:dyDescent="0.25">
      <c r="A926" s="621" t="s">
        <v>351</v>
      </c>
      <c r="B926" s="466" t="s">
        <v>111</v>
      </c>
      <c r="C926" s="631" t="s">
        <v>101</v>
      </c>
      <c r="D926" s="467" t="s">
        <v>889</v>
      </c>
      <c r="E926" s="474"/>
      <c r="F926" s="469" t="s">
        <v>117</v>
      </c>
      <c r="G926" s="470" t="s">
        <v>1794</v>
      </c>
      <c r="H926" s="622" t="s">
        <v>917</v>
      </c>
      <c r="I926" s="633" t="s">
        <v>116</v>
      </c>
      <c r="J926" s="471" t="s">
        <v>913</v>
      </c>
      <c r="K926" s="469">
        <v>17</v>
      </c>
      <c r="L926" s="473"/>
      <c r="M926" s="623">
        <v>112</v>
      </c>
      <c r="N926" s="623">
        <v>19</v>
      </c>
      <c r="O926" s="624">
        <v>0.16964285714285715</v>
      </c>
      <c r="P926" s="624">
        <v>0.16964285714285715</v>
      </c>
      <c r="Q926" s="785">
        <f t="shared" si="15"/>
        <v>0.99789915966386555</v>
      </c>
      <c r="R926" s="468" t="s">
        <v>1718</v>
      </c>
      <c r="S926" s="629"/>
    </row>
    <row r="927" spans="1:19" ht="15" x14ac:dyDescent="0.25">
      <c r="A927" s="621" t="s">
        <v>351</v>
      </c>
      <c r="B927" s="466" t="s">
        <v>111</v>
      </c>
      <c r="C927" s="631" t="s">
        <v>101</v>
      </c>
      <c r="D927" s="467" t="s">
        <v>881</v>
      </c>
      <c r="E927" s="474"/>
      <c r="F927" s="469" t="s">
        <v>117</v>
      </c>
      <c r="G927" s="470" t="s">
        <v>1794</v>
      </c>
      <c r="H927" s="622" t="s">
        <v>916</v>
      </c>
      <c r="I927" s="633" t="s">
        <v>116</v>
      </c>
      <c r="J927" s="471" t="s">
        <v>913</v>
      </c>
      <c r="K927" s="469">
        <v>36</v>
      </c>
      <c r="L927" s="473"/>
      <c r="M927" s="623">
        <v>9</v>
      </c>
      <c r="N927" s="623">
        <v>2</v>
      </c>
      <c r="O927" s="624">
        <v>0.22222222222222221</v>
      </c>
      <c r="P927" s="624">
        <v>0.22222222222222221</v>
      </c>
      <c r="Q927" s="785">
        <f t="shared" si="15"/>
        <v>0.61728395061728392</v>
      </c>
      <c r="R927" s="468" t="s">
        <v>1718</v>
      </c>
      <c r="S927" s="629"/>
    </row>
    <row r="928" spans="1:19" ht="15" x14ac:dyDescent="0.25">
      <c r="A928" s="621" t="s">
        <v>351</v>
      </c>
      <c r="B928" s="466" t="s">
        <v>111</v>
      </c>
      <c r="C928" s="631" t="s">
        <v>101</v>
      </c>
      <c r="D928" s="467" t="s">
        <v>883</v>
      </c>
      <c r="E928" s="474" t="s">
        <v>1723</v>
      </c>
      <c r="F928" s="469" t="s">
        <v>117</v>
      </c>
      <c r="G928" s="470" t="s">
        <v>1794</v>
      </c>
      <c r="H928" s="622" t="s">
        <v>916</v>
      </c>
      <c r="I928" s="633" t="s">
        <v>116</v>
      </c>
      <c r="J928" s="471" t="s">
        <v>913</v>
      </c>
      <c r="K928" s="469">
        <v>80</v>
      </c>
      <c r="L928" s="473"/>
      <c r="M928" s="623">
        <v>0</v>
      </c>
      <c r="N928" s="623">
        <v>0</v>
      </c>
      <c r="O928" s="624">
        <v>0</v>
      </c>
      <c r="P928" s="624">
        <v>0</v>
      </c>
      <c r="Q928" s="785" t="e">
        <f t="shared" si="15"/>
        <v>#DIV/0!</v>
      </c>
      <c r="R928" s="468" t="s">
        <v>1719</v>
      </c>
      <c r="S928" s="629"/>
    </row>
    <row r="929" spans="1:19" ht="15" x14ac:dyDescent="0.25">
      <c r="A929" s="621" t="s">
        <v>351</v>
      </c>
      <c r="B929" s="466" t="s">
        <v>111</v>
      </c>
      <c r="C929" s="631" t="s">
        <v>101</v>
      </c>
      <c r="D929" s="467" t="s">
        <v>866</v>
      </c>
      <c r="E929" s="474" t="s">
        <v>1723</v>
      </c>
      <c r="F929" s="469" t="s">
        <v>117</v>
      </c>
      <c r="G929" s="470" t="s">
        <v>1794</v>
      </c>
      <c r="H929" s="622" t="s">
        <v>916</v>
      </c>
      <c r="I929" s="633" t="s">
        <v>116</v>
      </c>
      <c r="J929" s="471" t="s">
        <v>913</v>
      </c>
      <c r="K929" s="469" t="s">
        <v>79</v>
      </c>
      <c r="L929" s="473"/>
      <c r="M929" s="623">
        <v>13</v>
      </c>
      <c r="N929" s="623">
        <v>2</v>
      </c>
      <c r="O929" s="624">
        <v>0.15384615384615385</v>
      </c>
      <c r="P929" s="624">
        <v>0.15384615384615385</v>
      </c>
      <c r="Q929" s="785" t="e">
        <f t="shared" si="15"/>
        <v>#VALUE!</v>
      </c>
      <c r="R929" s="468" t="s">
        <v>1718</v>
      </c>
      <c r="S929" s="629"/>
    </row>
    <row r="930" spans="1:19" ht="15" x14ac:dyDescent="0.25">
      <c r="A930" s="621" t="s">
        <v>351</v>
      </c>
      <c r="B930" s="466" t="s">
        <v>111</v>
      </c>
      <c r="C930" s="631" t="s">
        <v>101</v>
      </c>
      <c r="D930" s="467" t="s">
        <v>869</v>
      </c>
      <c r="E930" s="474" t="s">
        <v>1723</v>
      </c>
      <c r="F930" s="469" t="s">
        <v>117</v>
      </c>
      <c r="G930" s="470" t="s">
        <v>1794</v>
      </c>
      <c r="H930" s="622" t="s">
        <v>916</v>
      </c>
      <c r="I930" s="633" t="s">
        <v>116</v>
      </c>
      <c r="J930" s="471" t="s">
        <v>913</v>
      </c>
      <c r="K930" s="469" t="s">
        <v>79</v>
      </c>
      <c r="L930" s="473"/>
      <c r="M930" s="623">
        <v>0</v>
      </c>
      <c r="N930" s="623">
        <v>0</v>
      </c>
      <c r="O930" s="624">
        <v>0</v>
      </c>
      <c r="P930" s="624">
        <v>0</v>
      </c>
      <c r="Q930" s="785" t="e">
        <f t="shared" si="15"/>
        <v>#VALUE!</v>
      </c>
      <c r="R930" s="468" t="s">
        <v>1719</v>
      </c>
      <c r="S930" s="629"/>
    </row>
    <row r="931" spans="1:19" ht="15" x14ac:dyDescent="0.25">
      <c r="A931" s="621" t="s">
        <v>351</v>
      </c>
      <c r="B931" s="466" t="s">
        <v>111</v>
      </c>
      <c r="C931" s="631" t="s">
        <v>885</v>
      </c>
      <c r="D931" s="467" t="s">
        <v>889</v>
      </c>
      <c r="E931" s="474"/>
      <c r="F931" s="469" t="s">
        <v>117</v>
      </c>
      <c r="G931" s="470" t="s">
        <v>1794</v>
      </c>
      <c r="H931" s="622" t="s">
        <v>917</v>
      </c>
      <c r="I931" s="633" t="s">
        <v>116</v>
      </c>
      <c r="J931" s="471" t="s">
        <v>913</v>
      </c>
      <c r="K931" s="469">
        <v>13</v>
      </c>
      <c r="L931" s="473"/>
      <c r="M931" s="623">
        <v>0</v>
      </c>
      <c r="N931" s="623">
        <v>0</v>
      </c>
      <c r="O931" s="624">
        <v>0</v>
      </c>
      <c r="P931" s="624">
        <v>0</v>
      </c>
      <c r="Q931" s="785" t="e">
        <f t="shared" si="15"/>
        <v>#DIV/0!</v>
      </c>
      <c r="R931" s="468" t="s">
        <v>1719</v>
      </c>
      <c r="S931" s="629"/>
    </row>
    <row r="932" spans="1:19" ht="15" x14ac:dyDescent="0.25">
      <c r="A932" s="621" t="s">
        <v>351</v>
      </c>
      <c r="B932" s="466" t="s">
        <v>111</v>
      </c>
      <c r="C932" s="631" t="s">
        <v>885</v>
      </c>
      <c r="D932" s="467" t="s">
        <v>881</v>
      </c>
      <c r="E932" s="474"/>
      <c r="F932" s="469" t="s">
        <v>117</v>
      </c>
      <c r="G932" s="470" t="s">
        <v>1794</v>
      </c>
      <c r="H932" s="622" t="s">
        <v>916</v>
      </c>
      <c r="I932" s="633" t="s">
        <v>116</v>
      </c>
      <c r="J932" s="471" t="s">
        <v>913</v>
      </c>
      <c r="K932" s="469">
        <v>13</v>
      </c>
      <c r="L932" s="473"/>
      <c r="M932" s="623">
        <v>5</v>
      </c>
      <c r="N932" s="623">
        <v>0</v>
      </c>
      <c r="O932" s="624">
        <v>0</v>
      </c>
      <c r="P932" s="624">
        <v>0</v>
      </c>
      <c r="Q932" s="785">
        <f t="shared" si="15"/>
        <v>0</v>
      </c>
      <c r="R932" s="468" t="s">
        <v>1719</v>
      </c>
      <c r="S932" s="629"/>
    </row>
    <row r="933" spans="1:19" ht="15" x14ac:dyDescent="0.25">
      <c r="A933" s="621" t="s">
        <v>351</v>
      </c>
      <c r="B933" s="466" t="s">
        <v>111</v>
      </c>
      <c r="C933" s="631" t="s">
        <v>885</v>
      </c>
      <c r="D933" s="467" t="s">
        <v>883</v>
      </c>
      <c r="E933" s="474" t="s">
        <v>1724</v>
      </c>
      <c r="F933" s="469" t="s">
        <v>117</v>
      </c>
      <c r="G933" s="470" t="s">
        <v>1794</v>
      </c>
      <c r="H933" s="622" t="s">
        <v>916</v>
      </c>
      <c r="I933" s="633" t="s">
        <v>116</v>
      </c>
      <c r="J933" s="471" t="s">
        <v>913</v>
      </c>
      <c r="K933" s="469" t="s">
        <v>79</v>
      </c>
      <c r="L933" s="473"/>
      <c r="M933" s="623">
        <v>5</v>
      </c>
      <c r="N933" s="623">
        <v>0</v>
      </c>
      <c r="O933" s="624">
        <v>0</v>
      </c>
      <c r="P933" s="624">
        <v>0</v>
      </c>
      <c r="Q933" s="785" t="e">
        <f t="shared" si="15"/>
        <v>#VALUE!</v>
      </c>
      <c r="R933" s="468" t="s">
        <v>1719</v>
      </c>
      <c r="S933" s="629"/>
    </row>
    <row r="934" spans="1:19" ht="15" x14ac:dyDescent="0.25">
      <c r="A934" s="621" t="s">
        <v>351</v>
      </c>
      <c r="B934" s="466" t="s">
        <v>111</v>
      </c>
      <c r="C934" s="631" t="s">
        <v>885</v>
      </c>
      <c r="D934" s="467" t="s">
        <v>866</v>
      </c>
      <c r="E934" s="474" t="s">
        <v>1724</v>
      </c>
      <c r="F934" s="469" t="s">
        <v>117</v>
      </c>
      <c r="G934" s="470" t="s">
        <v>1794</v>
      </c>
      <c r="H934" s="622" t="s">
        <v>916</v>
      </c>
      <c r="I934" s="633" t="s">
        <v>116</v>
      </c>
      <c r="J934" s="471" t="s">
        <v>913</v>
      </c>
      <c r="K934" s="469" t="s">
        <v>79</v>
      </c>
      <c r="L934" s="473"/>
      <c r="M934" s="623">
        <v>0</v>
      </c>
      <c r="N934" s="623">
        <v>0</v>
      </c>
      <c r="O934" s="624">
        <v>0</v>
      </c>
      <c r="P934" s="624">
        <v>0</v>
      </c>
      <c r="Q934" s="785" t="e">
        <f t="shared" si="15"/>
        <v>#VALUE!</v>
      </c>
      <c r="R934" s="468" t="s">
        <v>1719</v>
      </c>
      <c r="S934" s="629"/>
    </row>
    <row r="935" spans="1:19" ht="15" x14ac:dyDescent="0.25">
      <c r="A935" s="621" t="s">
        <v>351</v>
      </c>
      <c r="B935" s="466" t="s">
        <v>111</v>
      </c>
      <c r="C935" s="631" t="s">
        <v>885</v>
      </c>
      <c r="D935" s="467" t="s">
        <v>869</v>
      </c>
      <c r="E935" s="474"/>
      <c r="F935" s="469" t="s">
        <v>117</v>
      </c>
      <c r="G935" s="470" t="s">
        <v>1794</v>
      </c>
      <c r="H935" s="622" t="s">
        <v>916</v>
      </c>
      <c r="I935" s="633" t="s">
        <v>116</v>
      </c>
      <c r="J935" s="471" t="s">
        <v>913</v>
      </c>
      <c r="K935" s="469">
        <v>25</v>
      </c>
      <c r="L935" s="473"/>
      <c r="M935" s="623">
        <v>12</v>
      </c>
      <c r="N935" s="623">
        <v>5</v>
      </c>
      <c r="O935" s="624">
        <v>0.41666666666666669</v>
      </c>
      <c r="P935" s="624">
        <v>0.41666666666666669</v>
      </c>
      <c r="Q935" s="785">
        <f t="shared" si="15"/>
        <v>1.6666666666666667</v>
      </c>
      <c r="R935" s="468" t="s">
        <v>1718</v>
      </c>
      <c r="S935" s="629"/>
    </row>
    <row r="936" spans="1:19" ht="15" x14ac:dyDescent="0.25">
      <c r="A936" s="621" t="s">
        <v>351</v>
      </c>
      <c r="B936" s="466" t="s">
        <v>111</v>
      </c>
      <c r="C936" s="631" t="s">
        <v>885</v>
      </c>
      <c r="D936" s="467" t="s">
        <v>887</v>
      </c>
      <c r="E936" s="474"/>
      <c r="F936" s="469" t="s">
        <v>117</v>
      </c>
      <c r="G936" s="470" t="s">
        <v>1794</v>
      </c>
      <c r="H936" s="622" t="s">
        <v>916</v>
      </c>
      <c r="I936" s="633" t="s">
        <v>116</v>
      </c>
      <c r="J936" s="471" t="s">
        <v>913</v>
      </c>
      <c r="K936" s="469">
        <v>10</v>
      </c>
      <c r="L936" s="473"/>
      <c r="M936" s="623">
        <v>20</v>
      </c>
      <c r="N936" s="623">
        <v>8</v>
      </c>
      <c r="O936" s="624">
        <v>0.4</v>
      </c>
      <c r="P936" s="624">
        <v>0.4</v>
      </c>
      <c r="Q936" s="785">
        <f t="shared" si="15"/>
        <v>4</v>
      </c>
      <c r="R936" s="468" t="s">
        <v>1718</v>
      </c>
      <c r="S936" s="629"/>
    </row>
    <row r="937" spans="1:19" ht="15" x14ac:dyDescent="0.25">
      <c r="A937" s="621" t="s">
        <v>351</v>
      </c>
      <c r="B937" s="466" t="s">
        <v>111</v>
      </c>
      <c r="C937" s="631" t="s">
        <v>904</v>
      </c>
      <c r="D937" s="467" t="s">
        <v>881</v>
      </c>
      <c r="E937" s="474" t="s">
        <v>1718</v>
      </c>
      <c r="F937" s="469" t="s">
        <v>117</v>
      </c>
      <c r="G937" s="470" t="s">
        <v>1794</v>
      </c>
      <c r="H937" s="622" t="s">
        <v>916</v>
      </c>
      <c r="I937" s="633" t="s">
        <v>116</v>
      </c>
      <c r="J937" s="471" t="s">
        <v>913</v>
      </c>
      <c r="K937" s="469" t="s">
        <v>79</v>
      </c>
      <c r="L937" s="473"/>
      <c r="M937" s="623">
        <v>0</v>
      </c>
      <c r="N937" s="623">
        <v>0</v>
      </c>
      <c r="O937" s="624">
        <v>0</v>
      </c>
      <c r="P937" s="624">
        <v>0</v>
      </c>
      <c r="Q937" s="785" t="e">
        <f t="shared" si="15"/>
        <v>#VALUE!</v>
      </c>
      <c r="R937" s="468" t="s">
        <v>1719</v>
      </c>
      <c r="S937" s="629"/>
    </row>
    <row r="938" spans="1:19" ht="15" x14ac:dyDescent="0.25">
      <c r="A938" s="621" t="s">
        <v>351</v>
      </c>
      <c r="B938" s="466" t="s">
        <v>111</v>
      </c>
      <c r="C938" s="631" t="s">
        <v>904</v>
      </c>
      <c r="D938" s="467" t="s">
        <v>883</v>
      </c>
      <c r="E938" s="474" t="s">
        <v>1725</v>
      </c>
      <c r="F938" s="469" t="s">
        <v>117</v>
      </c>
      <c r="G938" s="470" t="s">
        <v>1794</v>
      </c>
      <c r="H938" s="622" t="s">
        <v>916</v>
      </c>
      <c r="I938" s="633" t="s">
        <v>116</v>
      </c>
      <c r="J938" s="471" t="s">
        <v>913</v>
      </c>
      <c r="K938" s="469" t="s">
        <v>79</v>
      </c>
      <c r="L938" s="473"/>
      <c r="M938" s="623">
        <v>1</v>
      </c>
      <c r="N938" s="623">
        <v>1</v>
      </c>
      <c r="O938" s="624">
        <v>1</v>
      </c>
      <c r="P938" s="624">
        <v>1</v>
      </c>
      <c r="Q938" s="785" t="e">
        <f t="shared" si="15"/>
        <v>#VALUE!</v>
      </c>
      <c r="R938" s="468" t="s">
        <v>1718</v>
      </c>
      <c r="S938" s="629"/>
    </row>
    <row r="939" spans="1:19" ht="15" x14ac:dyDescent="0.25">
      <c r="A939" s="621" t="s">
        <v>351</v>
      </c>
      <c r="B939" s="466" t="s">
        <v>111</v>
      </c>
      <c r="C939" s="631" t="s">
        <v>740</v>
      </c>
      <c r="D939" s="467" t="s">
        <v>889</v>
      </c>
      <c r="E939" s="474"/>
      <c r="F939" s="469" t="s">
        <v>117</v>
      </c>
      <c r="G939" s="470" t="s">
        <v>1794</v>
      </c>
      <c r="H939" s="622" t="s">
        <v>917</v>
      </c>
      <c r="I939" s="633" t="s">
        <v>116</v>
      </c>
      <c r="J939" s="471" t="s">
        <v>913</v>
      </c>
      <c r="K939" s="469">
        <v>38</v>
      </c>
      <c r="L939" s="473"/>
      <c r="M939" s="623">
        <v>37</v>
      </c>
      <c r="N939" s="623">
        <v>3</v>
      </c>
      <c r="O939" s="624">
        <v>8.1081081081081086E-2</v>
      </c>
      <c r="P939" s="624">
        <v>8.1081081081081086E-2</v>
      </c>
      <c r="Q939" s="785">
        <f t="shared" si="15"/>
        <v>0.21337126600284495</v>
      </c>
      <c r="R939" s="468" t="s">
        <v>1718</v>
      </c>
      <c r="S939" s="629"/>
    </row>
    <row r="940" spans="1:19" ht="15" x14ac:dyDescent="0.25">
      <c r="A940" s="621" t="s">
        <v>351</v>
      </c>
      <c r="B940" s="466" t="s">
        <v>111</v>
      </c>
      <c r="C940" s="631" t="s">
        <v>740</v>
      </c>
      <c r="D940" s="467" t="s">
        <v>881</v>
      </c>
      <c r="E940" s="474" t="s">
        <v>1726</v>
      </c>
      <c r="F940" s="469" t="s">
        <v>117</v>
      </c>
      <c r="G940" s="470" t="s">
        <v>1794</v>
      </c>
      <c r="H940" s="622" t="s">
        <v>916</v>
      </c>
      <c r="I940" s="633" t="s">
        <v>116</v>
      </c>
      <c r="J940" s="471" t="s">
        <v>913</v>
      </c>
      <c r="K940" s="469" t="s">
        <v>79</v>
      </c>
      <c r="L940" s="473"/>
      <c r="M940" s="623">
        <v>4</v>
      </c>
      <c r="N940" s="623">
        <v>0</v>
      </c>
      <c r="O940" s="624">
        <v>0</v>
      </c>
      <c r="P940" s="624">
        <v>0</v>
      </c>
      <c r="Q940" s="785" t="e">
        <f t="shared" si="15"/>
        <v>#VALUE!</v>
      </c>
      <c r="R940" s="468" t="s">
        <v>1719</v>
      </c>
      <c r="S940" s="629"/>
    </row>
    <row r="941" spans="1:19" ht="15" x14ac:dyDescent="0.25">
      <c r="A941" s="621" t="s">
        <v>351</v>
      </c>
      <c r="B941" s="466" t="s">
        <v>111</v>
      </c>
      <c r="C941" s="631" t="s">
        <v>740</v>
      </c>
      <c r="D941" s="467" t="s">
        <v>883</v>
      </c>
      <c r="E941" s="474" t="s">
        <v>1726</v>
      </c>
      <c r="F941" s="469" t="s">
        <v>117</v>
      </c>
      <c r="G941" s="470" t="s">
        <v>1794</v>
      </c>
      <c r="H941" s="622" t="s">
        <v>916</v>
      </c>
      <c r="I941" s="633" t="s">
        <v>116</v>
      </c>
      <c r="J941" s="471" t="s">
        <v>913</v>
      </c>
      <c r="K941" s="469" t="s">
        <v>79</v>
      </c>
      <c r="L941" s="473"/>
      <c r="M941" s="623">
        <v>0</v>
      </c>
      <c r="N941" s="623">
        <v>0</v>
      </c>
      <c r="O941" s="624">
        <v>0</v>
      </c>
      <c r="P941" s="624">
        <v>0</v>
      </c>
      <c r="Q941" s="785" t="e">
        <f t="shared" si="15"/>
        <v>#VALUE!</v>
      </c>
      <c r="R941" s="468" t="s">
        <v>1719</v>
      </c>
      <c r="S941" s="629"/>
    </row>
    <row r="942" spans="1:19" ht="15" x14ac:dyDescent="0.25">
      <c r="A942" s="621" t="s">
        <v>351</v>
      </c>
      <c r="B942" s="466" t="s">
        <v>111</v>
      </c>
      <c r="C942" s="631" t="s">
        <v>894</v>
      </c>
      <c r="D942" s="467" t="s">
        <v>889</v>
      </c>
      <c r="E942" s="474"/>
      <c r="F942" s="469" t="s">
        <v>117</v>
      </c>
      <c r="G942" s="470" t="s">
        <v>1794</v>
      </c>
      <c r="H942" s="622" t="s">
        <v>917</v>
      </c>
      <c r="I942" s="633" t="s">
        <v>116</v>
      </c>
      <c r="J942" s="471" t="s">
        <v>913</v>
      </c>
      <c r="K942" s="469">
        <v>5</v>
      </c>
      <c r="L942" s="473"/>
      <c r="M942" s="623">
        <v>543</v>
      </c>
      <c r="N942" s="623">
        <v>32</v>
      </c>
      <c r="O942" s="624">
        <v>5.8931860036832415E-2</v>
      </c>
      <c r="P942" s="624">
        <v>5.8931860036832415E-2</v>
      </c>
      <c r="Q942" s="785">
        <f t="shared" si="15"/>
        <v>1.1786372007366483</v>
      </c>
      <c r="R942" s="468" t="s">
        <v>1718</v>
      </c>
      <c r="S942" s="629"/>
    </row>
    <row r="943" spans="1:19" ht="15" x14ac:dyDescent="0.25">
      <c r="A943" s="621" t="s">
        <v>351</v>
      </c>
      <c r="B943" s="466" t="s">
        <v>111</v>
      </c>
      <c r="C943" s="631" t="s">
        <v>894</v>
      </c>
      <c r="D943" s="467" t="s">
        <v>881</v>
      </c>
      <c r="E943" s="474"/>
      <c r="F943" s="469" t="s">
        <v>117</v>
      </c>
      <c r="G943" s="470" t="s">
        <v>1794</v>
      </c>
      <c r="H943" s="622" t="s">
        <v>916</v>
      </c>
      <c r="I943" s="633" t="s">
        <v>116</v>
      </c>
      <c r="J943" s="471" t="s">
        <v>913</v>
      </c>
      <c r="K943" s="469">
        <v>32</v>
      </c>
      <c r="L943" s="473"/>
      <c r="M943" s="623">
        <v>78</v>
      </c>
      <c r="N943" s="623">
        <v>28</v>
      </c>
      <c r="O943" s="624">
        <v>0.35897435897435898</v>
      </c>
      <c r="P943" s="624">
        <v>0.35897435897435898</v>
      </c>
      <c r="Q943" s="785">
        <f t="shared" si="15"/>
        <v>1.1217948717948718</v>
      </c>
      <c r="R943" s="468" t="s">
        <v>1718</v>
      </c>
      <c r="S943" s="629"/>
    </row>
    <row r="944" spans="1:19" ht="15" x14ac:dyDescent="0.25">
      <c r="A944" s="621" t="s">
        <v>351</v>
      </c>
      <c r="B944" s="466" t="s">
        <v>111</v>
      </c>
      <c r="C944" s="631" t="s">
        <v>894</v>
      </c>
      <c r="D944" s="467" t="s">
        <v>883</v>
      </c>
      <c r="E944" s="474" t="s">
        <v>1727</v>
      </c>
      <c r="F944" s="469" t="s">
        <v>117</v>
      </c>
      <c r="G944" s="470" t="s">
        <v>1794</v>
      </c>
      <c r="H944" s="622" t="s">
        <v>916</v>
      </c>
      <c r="I944" s="633" t="s">
        <v>116</v>
      </c>
      <c r="J944" s="471" t="s">
        <v>913</v>
      </c>
      <c r="K944" s="469">
        <v>33</v>
      </c>
      <c r="L944" s="473"/>
      <c r="M944" s="623">
        <v>25</v>
      </c>
      <c r="N944" s="623">
        <v>9</v>
      </c>
      <c r="O944" s="624">
        <v>0.36</v>
      </c>
      <c r="P944" s="624">
        <v>0.36</v>
      </c>
      <c r="Q944" s="785">
        <f t="shared" si="15"/>
        <v>1.0909090909090908</v>
      </c>
      <c r="R944" s="468" t="s">
        <v>1718</v>
      </c>
      <c r="S944" s="629"/>
    </row>
    <row r="945" spans="1:19" ht="15" x14ac:dyDescent="0.25">
      <c r="A945" s="621" t="s">
        <v>351</v>
      </c>
      <c r="B945" s="466" t="s">
        <v>111</v>
      </c>
      <c r="C945" s="631" t="s">
        <v>894</v>
      </c>
      <c r="D945" s="467" t="s">
        <v>869</v>
      </c>
      <c r="E945" s="474" t="s">
        <v>1727</v>
      </c>
      <c r="F945" s="469" t="s">
        <v>117</v>
      </c>
      <c r="G945" s="470" t="s">
        <v>1794</v>
      </c>
      <c r="H945" s="622" t="s">
        <v>916</v>
      </c>
      <c r="I945" s="633" t="s">
        <v>116</v>
      </c>
      <c r="J945" s="471" t="s">
        <v>913</v>
      </c>
      <c r="K945" s="469" t="s">
        <v>79</v>
      </c>
      <c r="L945" s="473"/>
      <c r="M945" s="623">
        <v>0</v>
      </c>
      <c r="N945" s="623">
        <v>0</v>
      </c>
      <c r="O945" s="624">
        <v>0</v>
      </c>
      <c r="P945" s="624">
        <v>0</v>
      </c>
      <c r="Q945" s="785" t="e">
        <f t="shared" si="15"/>
        <v>#VALUE!</v>
      </c>
      <c r="R945" s="468" t="s">
        <v>1719</v>
      </c>
      <c r="S945" s="629"/>
    </row>
    <row r="946" spans="1:19" ht="30" x14ac:dyDescent="0.25">
      <c r="A946" s="621" t="s">
        <v>351</v>
      </c>
      <c r="B946" s="466" t="s">
        <v>111</v>
      </c>
      <c r="C946" s="466" t="s">
        <v>99</v>
      </c>
      <c r="D946" s="467" t="s">
        <v>866</v>
      </c>
      <c r="E946" s="474"/>
      <c r="F946" s="469" t="s">
        <v>112</v>
      </c>
      <c r="G946" s="470" t="s">
        <v>1795</v>
      </c>
      <c r="H946" s="622" t="s">
        <v>912</v>
      </c>
      <c r="I946" s="471" t="s">
        <v>114</v>
      </c>
      <c r="J946" s="471" t="s">
        <v>913</v>
      </c>
      <c r="K946" s="469">
        <v>100</v>
      </c>
      <c r="L946" s="473"/>
      <c r="M946" s="623">
        <v>0</v>
      </c>
      <c r="N946" s="623">
        <v>0</v>
      </c>
      <c r="O946" s="624">
        <v>0</v>
      </c>
      <c r="P946" s="624">
        <v>0</v>
      </c>
      <c r="Q946" s="785" t="e">
        <f t="shared" si="15"/>
        <v>#DIV/0!</v>
      </c>
      <c r="R946" s="625" t="s">
        <v>1719</v>
      </c>
      <c r="S946" s="638"/>
    </row>
    <row r="947" spans="1:19" ht="15" x14ac:dyDescent="0.25">
      <c r="A947" s="621" t="s">
        <v>351</v>
      </c>
      <c r="B947" s="466" t="s">
        <v>111</v>
      </c>
      <c r="C947" s="630" t="s">
        <v>99</v>
      </c>
      <c r="D947" s="628" t="s">
        <v>869</v>
      </c>
      <c r="E947" s="474"/>
      <c r="F947" s="469" t="s">
        <v>112</v>
      </c>
      <c r="G947" s="470" t="s">
        <v>1795</v>
      </c>
      <c r="H947" s="622" t="s">
        <v>912</v>
      </c>
      <c r="I947" s="471" t="s">
        <v>114</v>
      </c>
      <c r="J947" s="471" t="s">
        <v>913</v>
      </c>
      <c r="K947" s="469">
        <v>100</v>
      </c>
      <c r="L947" s="473"/>
      <c r="M947" s="623">
        <v>14</v>
      </c>
      <c r="N947" s="623">
        <v>14</v>
      </c>
      <c r="O947" s="624">
        <v>1</v>
      </c>
      <c r="P947" s="624">
        <v>1</v>
      </c>
      <c r="Q947" s="785">
        <f t="shared" si="15"/>
        <v>1</v>
      </c>
      <c r="R947" s="468" t="s">
        <v>1718</v>
      </c>
      <c r="S947" s="629"/>
    </row>
    <row r="948" spans="1:19" ht="15" x14ac:dyDescent="0.25">
      <c r="A948" s="621" t="s">
        <v>351</v>
      </c>
      <c r="B948" s="466" t="s">
        <v>111</v>
      </c>
      <c r="C948" s="630" t="s">
        <v>870</v>
      </c>
      <c r="D948" s="628" t="s">
        <v>889</v>
      </c>
      <c r="E948" s="474"/>
      <c r="F948" s="469" t="s">
        <v>112</v>
      </c>
      <c r="G948" s="470" t="s">
        <v>1795</v>
      </c>
      <c r="H948" s="622" t="s">
        <v>914</v>
      </c>
      <c r="I948" s="471" t="s">
        <v>114</v>
      </c>
      <c r="J948" s="471" t="s">
        <v>913</v>
      </c>
      <c r="K948" s="469">
        <v>100</v>
      </c>
      <c r="L948" s="473"/>
      <c r="M948" s="623">
        <v>50</v>
      </c>
      <c r="N948" s="623">
        <v>50</v>
      </c>
      <c r="O948" s="624">
        <v>1</v>
      </c>
      <c r="P948" s="624">
        <v>1</v>
      </c>
      <c r="Q948" s="785">
        <f t="shared" si="15"/>
        <v>1</v>
      </c>
      <c r="R948" s="468" t="s">
        <v>1718</v>
      </c>
      <c r="S948" s="629"/>
    </row>
    <row r="949" spans="1:19" ht="15" x14ac:dyDescent="0.25">
      <c r="A949" s="621" t="s">
        <v>351</v>
      </c>
      <c r="B949" s="466" t="s">
        <v>111</v>
      </c>
      <c r="C949" s="631" t="s">
        <v>870</v>
      </c>
      <c r="D949" s="628" t="s">
        <v>881</v>
      </c>
      <c r="E949" s="474"/>
      <c r="F949" s="469" t="s">
        <v>112</v>
      </c>
      <c r="G949" s="470" t="s">
        <v>1795</v>
      </c>
      <c r="H949" s="622" t="s">
        <v>912</v>
      </c>
      <c r="I949" s="471" t="s">
        <v>114</v>
      </c>
      <c r="J949" s="471" t="s">
        <v>913</v>
      </c>
      <c r="K949" s="469">
        <v>100</v>
      </c>
      <c r="L949" s="473"/>
      <c r="M949" s="623">
        <v>19</v>
      </c>
      <c r="N949" s="623">
        <v>19</v>
      </c>
      <c r="O949" s="624">
        <v>1</v>
      </c>
      <c r="P949" s="624">
        <v>1</v>
      </c>
      <c r="Q949" s="785">
        <f t="shared" si="15"/>
        <v>1</v>
      </c>
      <c r="R949" s="468" t="s">
        <v>1718</v>
      </c>
      <c r="S949" s="629"/>
    </row>
    <row r="950" spans="1:19" ht="15" x14ac:dyDescent="0.25">
      <c r="A950" s="621" t="s">
        <v>351</v>
      </c>
      <c r="B950" s="466" t="s">
        <v>111</v>
      </c>
      <c r="C950" s="631" t="s">
        <v>870</v>
      </c>
      <c r="D950" s="628" t="s">
        <v>883</v>
      </c>
      <c r="E950" s="474"/>
      <c r="F950" s="469" t="s">
        <v>112</v>
      </c>
      <c r="G950" s="470" t="s">
        <v>1795</v>
      </c>
      <c r="H950" s="622" t="s">
        <v>912</v>
      </c>
      <c r="I950" s="471" t="s">
        <v>114</v>
      </c>
      <c r="J950" s="471" t="s">
        <v>913</v>
      </c>
      <c r="K950" s="469">
        <v>100</v>
      </c>
      <c r="L950" s="473"/>
      <c r="M950" s="623">
        <v>39</v>
      </c>
      <c r="N950" s="623">
        <v>39</v>
      </c>
      <c r="O950" s="624">
        <v>1</v>
      </c>
      <c r="P950" s="624">
        <v>1</v>
      </c>
      <c r="Q950" s="785">
        <f t="shared" si="15"/>
        <v>1</v>
      </c>
      <c r="R950" s="468" t="s">
        <v>1718</v>
      </c>
      <c r="S950" s="629"/>
    </row>
    <row r="951" spans="1:19" ht="15" x14ac:dyDescent="0.25">
      <c r="A951" s="621" t="s">
        <v>351</v>
      </c>
      <c r="B951" s="466" t="s">
        <v>111</v>
      </c>
      <c r="C951" s="631" t="s">
        <v>870</v>
      </c>
      <c r="D951" s="632" t="s">
        <v>866</v>
      </c>
      <c r="E951" s="474"/>
      <c r="F951" s="469" t="s">
        <v>112</v>
      </c>
      <c r="G951" s="470" t="s">
        <v>1795</v>
      </c>
      <c r="H951" s="622" t="s">
        <v>912</v>
      </c>
      <c r="I951" s="471" t="s">
        <v>114</v>
      </c>
      <c r="J951" s="471" t="s">
        <v>913</v>
      </c>
      <c r="K951" s="469">
        <v>100</v>
      </c>
      <c r="L951" s="473"/>
      <c r="M951" s="623">
        <v>67</v>
      </c>
      <c r="N951" s="623">
        <v>67</v>
      </c>
      <c r="O951" s="624">
        <v>1</v>
      </c>
      <c r="P951" s="624">
        <v>1</v>
      </c>
      <c r="Q951" s="785">
        <f t="shared" si="15"/>
        <v>1</v>
      </c>
      <c r="R951" s="468" t="s">
        <v>1718</v>
      </c>
      <c r="S951" s="629"/>
    </row>
    <row r="952" spans="1:19" ht="15" x14ac:dyDescent="0.25">
      <c r="A952" s="621" t="s">
        <v>351</v>
      </c>
      <c r="B952" s="466" t="s">
        <v>111</v>
      </c>
      <c r="C952" s="631" t="s">
        <v>870</v>
      </c>
      <c r="D952" s="632" t="s">
        <v>869</v>
      </c>
      <c r="E952" s="474"/>
      <c r="F952" s="469" t="s">
        <v>112</v>
      </c>
      <c r="G952" s="470" t="s">
        <v>1795</v>
      </c>
      <c r="H952" s="622" t="s">
        <v>912</v>
      </c>
      <c r="I952" s="471" t="s">
        <v>114</v>
      </c>
      <c r="J952" s="471" t="s">
        <v>913</v>
      </c>
      <c r="K952" s="469">
        <v>100</v>
      </c>
      <c r="L952" s="473"/>
      <c r="M952" s="623">
        <v>46</v>
      </c>
      <c r="N952" s="623">
        <v>46</v>
      </c>
      <c r="O952" s="624">
        <v>1</v>
      </c>
      <c r="P952" s="624">
        <v>1</v>
      </c>
      <c r="Q952" s="785">
        <f t="shared" si="15"/>
        <v>1</v>
      </c>
      <c r="R952" s="468" t="s">
        <v>1718</v>
      </c>
      <c r="S952" s="629"/>
    </row>
    <row r="953" spans="1:19" ht="15" x14ac:dyDescent="0.25">
      <c r="A953" s="621" t="s">
        <v>351</v>
      </c>
      <c r="B953" s="466" t="s">
        <v>111</v>
      </c>
      <c r="C953" s="631" t="s">
        <v>738</v>
      </c>
      <c r="D953" s="632" t="s">
        <v>889</v>
      </c>
      <c r="E953" s="474"/>
      <c r="F953" s="469" t="s">
        <v>112</v>
      </c>
      <c r="G953" s="470" t="s">
        <v>1795</v>
      </c>
      <c r="H953" s="622" t="s">
        <v>914</v>
      </c>
      <c r="I953" s="471" t="s">
        <v>114</v>
      </c>
      <c r="J953" s="471" t="s">
        <v>913</v>
      </c>
      <c r="K953" s="469">
        <v>100</v>
      </c>
      <c r="L953" s="473"/>
      <c r="M953" s="623">
        <v>156</v>
      </c>
      <c r="N953" s="623">
        <v>156</v>
      </c>
      <c r="O953" s="624">
        <v>1</v>
      </c>
      <c r="P953" s="624">
        <v>1</v>
      </c>
      <c r="Q953" s="785">
        <f t="shared" si="15"/>
        <v>1</v>
      </c>
      <c r="R953" s="468" t="s">
        <v>1718</v>
      </c>
      <c r="S953" s="629"/>
    </row>
    <row r="954" spans="1:19" ht="15" x14ac:dyDescent="0.25">
      <c r="A954" s="621" t="s">
        <v>351</v>
      </c>
      <c r="B954" s="466" t="s">
        <v>111</v>
      </c>
      <c r="C954" s="631" t="s">
        <v>738</v>
      </c>
      <c r="D954" s="632" t="s">
        <v>881</v>
      </c>
      <c r="E954" s="474"/>
      <c r="F954" s="469" t="s">
        <v>112</v>
      </c>
      <c r="G954" s="470" t="s">
        <v>1795</v>
      </c>
      <c r="H954" s="622" t="s">
        <v>912</v>
      </c>
      <c r="I954" s="471" t="s">
        <v>114</v>
      </c>
      <c r="J954" s="471" t="s">
        <v>913</v>
      </c>
      <c r="K954" s="469">
        <v>100</v>
      </c>
      <c r="L954" s="473"/>
      <c r="M954" s="623">
        <v>54</v>
      </c>
      <c r="N954" s="623">
        <v>54</v>
      </c>
      <c r="O954" s="624">
        <v>1</v>
      </c>
      <c r="P954" s="624">
        <v>1</v>
      </c>
      <c r="Q954" s="785">
        <f t="shared" si="15"/>
        <v>1</v>
      </c>
      <c r="R954" s="468" t="s">
        <v>1718</v>
      </c>
      <c r="S954" s="629"/>
    </row>
    <row r="955" spans="1:19" ht="15" x14ac:dyDescent="0.25">
      <c r="A955" s="621" t="s">
        <v>351</v>
      </c>
      <c r="B955" s="466" t="s">
        <v>111</v>
      </c>
      <c r="C955" s="631" t="s">
        <v>738</v>
      </c>
      <c r="D955" s="632" t="s">
        <v>883</v>
      </c>
      <c r="E955" s="474"/>
      <c r="F955" s="469" t="s">
        <v>112</v>
      </c>
      <c r="G955" s="470" t="s">
        <v>1795</v>
      </c>
      <c r="H955" s="622" t="s">
        <v>912</v>
      </c>
      <c r="I955" s="471" t="s">
        <v>114</v>
      </c>
      <c r="J955" s="471" t="s">
        <v>913</v>
      </c>
      <c r="K955" s="469">
        <v>100</v>
      </c>
      <c r="L955" s="473"/>
      <c r="M955" s="623">
        <v>0</v>
      </c>
      <c r="N955" s="623">
        <v>0</v>
      </c>
      <c r="O955" s="624">
        <v>0</v>
      </c>
      <c r="P955" s="624">
        <v>0</v>
      </c>
      <c r="Q955" s="785" t="e">
        <f t="shared" si="15"/>
        <v>#DIV/0!</v>
      </c>
      <c r="R955" s="468" t="s">
        <v>1719</v>
      </c>
      <c r="S955" s="629"/>
    </row>
    <row r="956" spans="1:19" ht="15" x14ac:dyDescent="0.25">
      <c r="A956" s="621" t="s">
        <v>351</v>
      </c>
      <c r="B956" s="466" t="s">
        <v>111</v>
      </c>
      <c r="C956" s="631" t="s">
        <v>738</v>
      </c>
      <c r="D956" s="632" t="s">
        <v>866</v>
      </c>
      <c r="E956" s="474"/>
      <c r="F956" s="469" t="s">
        <v>112</v>
      </c>
      <c r="G956" s="470" t="s">
        <v>1795</v>
      </c>
      <c r="H956" s="622" t="s">
        <v>912</v>
      </c>
      <c r="I956" s="471" t="s">
        <v>114</v>
      </c>
      <c r="J956" s="471" t="s">
        <v>913</v>
      </c>
      <c r="K956" s="469">
        <v>100</v>
      </c>
      <c r="L956" s="473"/>
      <c r="M956" s="623">
        <v>0</v>
      </c>
      <c r="N956" s="623">
        <v>0</v>
      </c>
      <c r="O956" s="624">
        <v>0</v>
      </c>
      <c r="P956" s="624">
        <v>0</v>
      </c>
      <c r="Q956" s="785" t="e">
        <f t="shared" si="15"/>
        <v>#DIV/0!</v>
      </c>
      <c r="R956" s="468" t="s">
        <v>1719</v>
      </c>
      <c r="S956" s="629"/>
    </row>
    <row r="957" spans="1:19" ht="15" x14ac:dyDescent="0.25">
      <c r="A957" s="621" t="s">
        <v>351</v>
      </c>
      <c r="B957" s="466" t="s">
        <v>111</v>
      </c>
      <c r="C957" s="631" t="s">
        <v>738</v>
      </c>
      <c r="D957" s="632" t="s">
        <v>869</v>
      </c>
      <c r="E957" s="474"/>
      <c r="F957" s="469" t="s">
        <v>112</v>
      </c>
      <c r="G957" s="470" t="s">
        <v>1795</v>
      </c>
      <c r="H957" s="622" t="s">
        <v>912</v>
      </c>
      <c r="I957" s="471" t="s">
        <v>114</v>
      </c>
      <c r="J957" s="471" t="s">
        <v>913</v>
      </c>
      <c r="K957" s="469">
        <v>100</v>
      </c>
      <c r="L957" s="473"/>
      <c r="M957" s="623">
        <v>7</v>
      </c>
      <c r="N957" s="623">
        <v>7</v>
      </c>
      <c r="O957" s="624">
        <v>1</v>
      </c>
      <c r="P957" s="624">
        <v>1</v>
      </c>
      <c r="Q957" s="785">
        <f t="shared" si="15"/>
        <v>1</v>
      </c>
      <c r="R957" s="468" t="s">
        <v>1718</v>
      </c>
      <c r="S957" s="629"/>
    </row>
    <row r="958" spans="1:19" ht="15" x14ac:dyDescent="0.25">
      <c r="A958" s="621" t="s">
        <v>351</v>
      </c>
      <c r="B958" s="466" t="s">
        <v>111</v>
      </c>
      <c r="C958" s="631" t="s">
        <v>101</v>
      </c>
      <c r="D958" s="632" t="s">
        <v>889</v>
      </c>
      <c r="E958" s="474"/>
      <c r="F958" s="469" t="s">
        <v>112</v>
      </c>
      <c r="G958" s="470" t="s">
        <v>1795</v>
      </c>
      <c r="H958" s="622" t="s">
        <v>914</v>
      </c>
      <c r="I958" s="471" t="s">
        <v>114</v>
      </c>
      <c r="J958" s="471" t="s">
        <v>913</v>
      </c>
      <c r="K958" s="469">
        <v>100</v>
      </c>
      <c r="L958" s="473"/>
      <c r="M958" s="623">
        <v>112</v>
      </c>
      <c r="N958" s="623">
        <v>112</v>
      </c>
      <c r="O958" s="624">
        <v>1</v>
      </c>
      <c r="P958" s="624">
        <v>1</v>
      </c>
      <c r="Q958" s="785">
        <f t="shared" si="15"/>
        <v>1</v>
      </c>
      <c r="R958" s="468" t="s">
        <v>1718</v>
      </c>
      <c r="S958" s="629"/>
    </row>
    <row r="959" spans="1:19" ht="15" x14ac:dyDescent="0.25">
      <c r="A959" s="621" t="s">
        <v>351</v>
      </c>
      <c r="B959" s="466" t="s">
        <v>111</v>
      </c>
      <c r="C959" s="631" t="s">
        <v>101</v>
      </c>
      <c r="D959" s="632" t="s">
        <v>881</v>
      </c>
      <c r="E959" s="474"/>
      <c r="F959" s="469" t="s">
        <v>112</v>
      </c>
      <c r="G959" s="470" t="s">
        <v>1795</v>
      </c>
      <c r="H959" s="622" t="s">
        <v>912</v>
      </c>
      <c r="I959" s="471" t="s">
        <v>114</v>
      </c>
      <c r="J959" s="471" t="s">
        <v>913</v>
      </c>
      <c r="K959" s="469">
        <v>100</v>
      </c>
      <c r="L959" s="473"/>
      <c r="M959" s="623">
        <v>9</v>
      </c>
      <c r="N959" s="623">
        <v>9</v>
      </c>
      <c r="O959" s="624">
        <v>1</v>
      </c>
      <c r="P959" s="624">
        <v>1</v>
      </c>
      <c r="Q959" s="785">
        <f t="shared" si="15"/>
        <v>1</v>
      </c>
      <c r="R959" s="468" t="s">
        <v>1718</v>
      </c>
      <c r="S959" s="629"/>
    </row>
    <row r="960" spans="1:19" ht="15" x14ac:dyDescent="0.25">
      <c r="A960" s="621" t="s">
        <v>351</v>
      </c>
      <c r="B960" s="466" t="s">
        <v>111</v>
      </c>
      <c r="C960" s="631" t="s">
        <v>101</v>
      </c>
      <c r="D960" s="632" t="s">
        <v>883</v>
      </c>
      <c r="E960" s="474"/>
      <c r="F960" s="469" t="s">
        <v>112</v>
      </c>
      <c r="G960" s="470" t="s">
        <v>1795</v>
      </c>
      <c r="H960" s="622" t="s">
        <v>912</v>
      </c>
      <c r="I960" s="471" t="s">
        <v>114</v>
      </c>
      <c r="J960" s="471" t="s">
        <v>913</v>
      </c>
      <c r="K960" s="469">
        <v>100</v>
      </c>
      <c r="L960" s="473"/>
      <c r="M960" s="623">
        <v>0</v>
      </c>
      <c r="N960" s="623">
        <v>0</v>
      </c>
      <c r="O960" s="624">
        <v>0</v>
      </c>
      <c r="P960" s="624">
        <v>0</v>
      </c>
      <c r="Q960" s="785" t="e">
        <f t="shared" si="15"/>
        <v>#DIV/0!</v>
      </c>
      <c r="R960" s="468" t="s">
        <v>1719</v>
      </c>
      <c r="S960" s="629"/>
    </row>
    <row r="961" spans="1:19" ht="15" x14ac:dyDescent="0.25">
      <c r="A961" s="621" t="s">
        <v>351</v>
      </c>
      <c r="B961" s="466" t="s">
        <v>111</v>
      </c>
      <c r="C961" s="631" t="s">
        <v>101</v>
      </c>
      <c r="D961" s="632" t="s">
        <v>866</v>
      </c>
      <c r="E961" s="474"/>
      <c r="F961" s="469" t="s">
        <v>112</v>
      </c>
      <c r="G961" s="470" t="s">
        <v>1795</v>
      </c>
      <c r="H961" s="622" t="s">
        <v>912</v>
      </c>
      <c r="I961" s="471" t="s">
        <v>114</v>
      </c>
      <c r="J961" s="471" t="s">
        <v>913</v>
      </c>
      <c r="K961" s="469">
        <v>100</v>
      </c>
      <c r="L961" s="473"/>
      <c r="M961" s="623">
        <v>13</v>
      </c>
      <c r="N961" s="623">
        <v>13</v>
      </c>
      <c r="O961" s="624">
        <v>1</v>
      </c>
      <c r="P961" s="624">
        <v>1</v>
      </c>
      <c r="Q961" s="785">
        <f t="shared" si="15"/>
        <v>1</v>
      </c>
      <c r="R961" s="468" t="s">
        <v>1718</v>
      </c>
      <c r="S961" s="629"/>
    </row>
    <row r="962" spans="1:19" ht="15" x14ac:dyDescent="0.25">
      <c r="A962" s="621" t="s">
        <v>351</v>
      </c>
      <c r="B962" s="466" t="s">
        <v>111</v>
      </c>
      <c r="C962" s="631" t="s">
        <v>101</v>
      </c>
      <c r="D962" s="632" t="s">
        <v>869</v>
      </c>
      <c r="E962" s="474"/>
      <c r="F962" s="469" t="s">
        <v>112</v>
      </c>
      <c r="G962" s="470" t="s">
        <v>1795</v>
      </c>
      <c r="H962" s="622" t="s">
        <v>912</v>
      </c>
      <c r="I962" s="471" t="s">
        <v>114</v>
      </c>
      <c r="J962" s="471" t="s">
        <v>913</v>
      </c>
      <c r="K962" s="469">
        <v>100</v>
      </c>
      <c r="L962" s="473"/>
      <c r="M962" s="623">
        <v>0</v>
      </c>
      <c r="N962" s="623">
        <v>0</v>
      </c>
      <c r="O962" s="624">
        <v>0</v>
      </c>
      <c r="P962" s="624">
        <v>0</v>
      </c>
      <c r="Q962" s="785" t="e">
        <f t="shared" si="15"/>
        <v>#DIV/0!</v>
      </c>
      <c r="R962" s="468" t="s">
        <v>1719</v>
      </c>
      <c r="S962" s="629"/>
    </row>
    <row r="963" spans="1:19" ht="15" x14ac:dyDescent="0.25">
      <c r="A963" s="621" t="s">
        <v>351</v>
      </c>
      <c r="B963" s="466" t="s">
        <v>111</v>
      </c>
      <c r="C963" s="631" t="s">
        <v>885</v>
      </c>
      <c r="D963" s="632" t="s">
        <v>889</v>
      </c>
      <c r="E963" s="474"/>
      <c r="F963" s="469" t="s">
        <v>112</v>
      </c>
      <c r="G963" s="470" t="s">
        <v>1795</v>
      </c>
      <c r="H963" s="622" t="s">
        <v>914</v>
      </c>
      <c r="I963" s="471" t="s">
        <v>114</v>
      </c>
      <c r="J963" s="471" t="s">
        <v>913</v>
      </c>
      <c r="K963" s="469">
        <v>100</v>
      </c>
      <c r="L963" s="473"/>
      <c r="M963" s="623">
        <v>0</v>
      </c>
      <c r="N963" s="623">
        <v>0</v>
      </c>
      <c r="O963" s="624">
        <v>0</v>
      </c>
      <c r="P963" s="624">
        <v>0</v>
      </c>
      <c r="Q963" s="785" t="e">
        <f t="shared" si="15"/>
        <v>#DIV/0!</v>
      </c>
      <c r="R963" s="468" t="s">
        <v>1719</v>
      </c>
      <c r="S963" s="629"/>
    </row>
    <row r="964" spans="1:19" ht="15" x14ac:dyDescent="0.25">
      <c r="A964" s="621" t="s">
        <v>351</v>
      </c>
      <c r="B964" s="466" t="s">
        <v>111</v>
      </c>
      <c r="C964" s="631" t="s">
        <v>885</v>
      </c>
      <c r="D964" s="632" t="s">
        <v>881</v>
      </c>
      <c r="E964" s="474"/>
      <c r="F964" s="469" t="s">
        <v>112</v>
      </c>
      <c r="G964" s="470" t="s">
        <v>1795</v>
      </c>
      <c r="H964" s="622" t="s">
        <v>912</v>
      </c>
      <c r="I964" s="471" t="s">
        <v>114</v>
      </c>
      <c r="J964" s="471" t="s">
        <v>913</v>
      </c>
      <c r="K964" s="469">
        <v>100</v>
      </c>
      <c r="L964" s="473"/>
      <c r="M964" s="623">
        <v>5</v>
      </c>
      <c r="N964" s="623">
        <v>5</v>
      </c>
      <c r="O964" s="624">
        <v>1</v>
      </c>
      <c r="P964" s="624">
        <v>1</v>
      </c>
      <c r="Q964" s="785">
        <f t="shared" si="15"/>
        <v>1</v>
      </c>
      <c r="R964" s="468" t="s">
        <v>1718</v>
      </c>
      <c r="S964" s="629"/>
    </row>
    <row r="965" spans="1:19" ht="15" x14ac:dyDescent="0.25">
      <c r="A965" s="621" t="s">
        <v>351</v>
      </c>
      <c r="B965" s="466" t="s">
        <v>111</v>
      </c>
      <c r="C965" s="631" t="s">
        <v>885</v>
      </c>
      <c r="D965" s="632" t="s">
        <v>883</v>
      </c>
      <c r="E965" s="474"/>
      <c r="F965" s="469" t="s">
        <v>112</v>
      </c>
      <c r="G965" s="470" t="s">
        <v>1795</v>
      </c>
      <c r="H965" s="622" t="s">
        <v>912</v>
      </c>
      <c r="I965" s="471" t="s">
        <v>114</v>
      </c>
      <c r="J965" s="471" t="s">
        <v>913</v>
      </c>
      <c r="K965" s="469">
        <v>100</v>
      </c>
      <c r="L965" s="473"/>
      <c r="M965" s="623">
        <v>5</v>
      </c>
      <c r="N965" s="623">
        <v>5</v>
      </c>
      <c r="O965" s="624">
        <v>1</v>
      </c>
      <c r="P965" s="624">
        <v>1</v>
      </c>
      <c r="Q965" s="785">
        <f t="shared" si="15"/>
        <v>1</v>
      </c>
      <c r="R965" s="468" t="s">
        <v>1718</v>
      </c>
      <c r="S965" s="629"/>
    </row>
    <row r="966" spans="1:19" ht="15" x14ac:dyDescent="0.25">
      <c r="A966" s="621" t="s">
        <v>351</v>
      </c>
      <c r="B966" s="466" t="s">
        <v>111</v>
      </c>
      <c r="C966" s="631" t="s">
        <v>885</v>
      </c>
      <c r="D966" s="632" t="s">
        <v>866</v>
      </c>
      <c r="E966" s="474"/>
      <c r="F966" s="469" t="s">
        <v>112</v>
      </c>
      <c r="G966" s="470" t="s">
        <v>1795</v>
      </c>
      <c r="H966" s="622" t="s">
        <v>912</v>
      </c>
      <c r="I966" s="471" t="s">
        <v>114</v>
      </c>
      <c r="J966" s="471" t="s">
        <v>913</v>
      </c>
      <c r="K966" s="469">
        <v>100</v>
      </c>
      <c r="L966" s="473"/>
      <c r="M966" s="623">
        <v>0</v>
      </c>
      <c r="N966" s="623">
        <v>0</v>
      </c>
      <c r="O966" s="624">
        <v>0</v>
      </c>
      <c r="P966" s="624">
        <v>0</v>
      </c>
      <c r="Q966" s="785" t="e">
        <f t="shared" ref="Q966:Q1029" si="16">N966/(M966*K966/100)</f>
        <v>#DIV/0!</v>
      </c>
      <c r="R966" s="468" t="s">
        <v>1719</v>
      </c>
      <c r="S966" s="629"/>
    </row>
    <row r="967" spans="1:19" ht="15" x14ac:dyDescent="0.25">
      <c r="A967" s="621" t="s">
        <v>351</v>
      </c>
      <c r="B967" s="466" t="s">
        <v>111</v>
      </c>
      <c r="C967" s="631" t="s">
        <v>885</v>
      </c>
      <c r="D967" s="632" t="s">
        <v>869</v>
      </c>
      <c r="E967" s="474"/>
      <c r="F967" s="469" t="s">
        <v>112</v>
      </c>
      <c r="G967" s="470" t="s">
        <v>1795</v>
      </c>
      <c r="H967" s="622" t="s">
        <v>912</v>
      </c>
      <c r="I967" s="471" t="s">
        <v>114</v>
      </c>
      <c r="J967" s="471" t="s">
        <v>913</v>
      </c>
      <c r="K967" s="469">
        <v>100</v>
      </c>
      <c r="L967" s="473"/>
      <c r="M967" s="623">
        <v>12</v>
      </c>
      <c r="N967" s="623">
        <v>12</v>
      </c>
      <c r="O967" s="624">
        <v>1</v>
      </c>
      <c r="P967" s="624">
        <v>1</v>
      </c>
      <c r="Q967" s="785">
        <f t="shared" si="16"/>
        <v>1</v>
      </c>
      <c r="R967" s="468" t="s">
        <v>1718</v>
      </c>
      <c r="S967" s="629"/>
    </row>
    <row r="968" spans="1:19" ht="15" x14ac:dyDescent="0.25">
      <c r="A968" s="621" t="s">
        <v>351</v>
      </c>
      <c r="B968" s="466" t="s">
        <v>111</v>
      </c>
      <c r="C968" s="631" t="s">
        <v>885</v>
      </c>
      <c r="D968" s="632" t="s">
        <v>887</v>
      </c>
      <c r="E968" s="474"/>
      <c r="F968" s="469" t="s">
        <v>112</v>
      </c>
      <c r="G968" s="470" t="s">
        <v>1795</v>
      </c>
      <c r="H968" s="622" t="s">
        <v>912</v>
      </c>
      <c r="I968" s="471" t="s">
        <v>114</v>
      </c>
      <c r="J968" s="471" t="s">
        <v>913</v>
      </c>
      <c r="K968" s="469">
        <v>100</v>
      </c>
      <c r="L968" s="473"/>
      <c r="M968" s="623">
        <v>20</v>
      </c>
      <c r="N968" s="623">
        <v>20</v>
      </c>
      <c r="O968" s="624">
        <v>1</v>
      </c>
      <c r="P968" s="624">
        <v>1</v>
      </c>
      <c r="Q968" s="785">
        <f t="shared" si="16"/>
        <v>1</v>
      </c>
      <c r="R968" s="468" t="s">
        <v>1718</v>
      </c>
      <c r="S968" s="629"/>
    </row>
    <row r="969" spans="1:19" ht="15" x14ac:dyDescent="0.25">
      <c r="A969" s="621" t="s">
        <v>351</v>
      </c>
      <c r="B969" s="466" t="s">
        <v>111</v>
      </c>
      <c r="C969" s="631" t="s">
        <v>904</v>
      </c>
      <c r="D969" s="632" t="s">
        <v>881</v>
      </c>
      <c r="E969" s="474"/>
      <c r="F969" s="469" t="s">
        <v>112</v>
      </c>
      <c r="G969" s="470" t="s">
        <v>1795</v>
      </c>
      <c r="H969" s="622" t="s">
        <v>912</v>
      </c>
      <c r="I969" s="471" t="s">
        <v>114</v>
      </c>
      <c r="J969" s="471" t="s">
        <v>913</v>
      </c>
      <c r="K969" s="469">
        <v>100</v>
      </c>
      <c r="L969" s="473"/>
      <c r="M969" s="623">
        <v>0</v>
      </c>
      <c r="N969" s="623">
        <v>0</v>
      </c>
      <c r="O969" s="624">
        <v>0</v>
      </c>
      <c r="P969" s="624">
        <v>0</v>
      </c>
      <c r="Q969" s="785" t="e">
        <f t="shared" si="16"/>
        <v>#DIV/0!</v>
      </c>
      <c r="R969" s="468" t="s">
        <v>1719</v>
      </c>
      <c r="S969" s="629"/>
    </row>
    <row r="970" spans="1:19" ht="15" x14ac:dyDescent="0.25">
      <c r="A970" s="621" t="s">
        <v>351</v>
      </c>
      <c r="B970" s="466" t="s">
        <v>111</v>
      </c>
      <c r="C970" s="631" t="s">
        <v>904</v>
      </c>
      <c r="D970" s="632" t="s">
        <v>883</v>
      </c>
      <c r="E970" s="474"/>
      <c r="F970" s="469" t="s">
        <v>112</v>
      </c>
      <c r="G970" s="470" t="s">
        <v>1795</v>
      </c>
      <c r="H970" s="622" t="s">
        <v>912</v>
      </c>
      <c r="I970" s="471" t="s">
        <v>114</v>
      </c>
      <c r="J970" s="471" t="s">
        <v>913</v>
      </c>
      <c r="K970" s="469">
        <v>100</v>
      </c>
      <c r="L970" s="473"/>
      <c r="M970" s="623">
        <v>1</v>
      </c>
      <c r="N970" s="623">
        <v>1</v>
      </c>
      <c r="O970" s="624">
        <v>1</v>
      </c>
      <c r="P970" s="624">
        <v>1</v>
      </c>
      <c r="Q970" s="785">
        <f t="shared" si="16"/>
        <v>1</v>
      </c>
      <c r="R970" s="468" t="s">
        <v>1718</v>
      </c>
      <c r="S970" s="629"/>
    </row>
    <row r="971" spans="1:19" ht="15" x14ac:dyDescent="0.25">
      <c r="A971" s="621" t="s">
        <v>351</v>
      </c>
      <c r="B971" s="466" t="s">
        <v>111</v>
      </c>
      <c r="C971" s="631" t="s">
        <v>740</v>
      </c>
      <c r="D971" s="632" t="s">
        <v>889</v>
      </c>
      <c r="E971" s="474"/>
      <c r="F971" s="469" t="s">
        <v>112</v>
      </c>
      <c r="G971" s="470" t="s">
        <v>1795</v>
      </c>
      <c r="H971" s="622" t="s">
        <v>914</v>
      </c>
      <c r="I971" s="471" t="s">
        <v>114</v>
      </c>
      <c r="J971" s="471" t="s">
        <v>913</v>
      </c>
      <c r="K971" s="469">
        <v>100</v>
      </c>
      <c r="L971" s="473"/>
      <c r="M971" s="623">
        <v>37</v>
      </c>
      <c r="N971" s="623">
        <v>37</v>
      </c>
      <c r="O971" s="624">
        <v>1</v>
      </c>
      <c r="P971" s="624">
        <v>1</v>
      </c>
      <c r="Q971" s="785">
        <f t="shared" si="16"/>
        <v>1</v>
      </c>
      <c r="R971" s="468" t="s">
        <v>1718</v>
      </c>
      <c r="S971" s="629"/>
    </row>
    <row r="972" spans="1:19" ht="15" x14ac:dyDescent="0.25">
      <c r="A972" s="621" t="s">
        <v>351</v>
      </c>
      <c r="B972" s="466" t="s">
        <v>111</v>
      </c>
      <c r="C972" s="631" t="s">
        <v>740</v>
      </c>
      <c r="D972" s="632" t="s">
        <v>881</v>
      </c>
      <c r="E972" s="474"/>
      <c r="F972" s="469" t="s">
        <v>112</v>
      </c>
      <c r="G972" s="470" t="s">
        <v>1795</v>
      </c>
      <c r="H972" s="622" t="s">
        <v>912</v>
      </c>
      <c r="I972" s="471" t="s">
        <v>114</v>
      </c>
      <c r="J972" s="471" t="s">
        <v>913</v>
      </c>
      <c r="K972" s="469">
        <v>100</v>
      </c>
      <c r="L972" s="473"/>
      <c r="M972" s="623">
        <v>4</v>
      </c>
      <c r="N972" s="623">
        <v>4</v>
      </c>
      <c r="O972" s="624">
        <v>1</v>
      </c>
      <c r="P972" s="624">
        <v>1</v>
      </c>
      <c r="Q972" s="785">
        <f t="shared" si="16"/>
        <v>1</v>
      </c>
      <c r="R972" s="468" t="s">
        <v>1718</v>
      </c>
      <c r="S972" s="629"/>
    </row>
    <row r="973" spans="1:19" ht="15" x14ac:dyDescent="0.25">
      <c r="A973" s="621" t="s">
        <v>351</v>
      </c>
      <c r="B973" s="466" t="s">
        <v>111</v>
      </c>
      <c r="C973" s="631" t="s">
        <v>740</v>
      </c>
      <c r="D973" s="632" t="s">
        <v>883</v>
      </c>
      <c r="E973" s="474"/>
      <c r="F973" s="469" t="s">
        <v>112</v>
      </c>
      <c r="G973" s="470" t="s">
        <v>1795</v>
      </c>
      <c r="H973" s="622" t="s">
        <v>912</v>
      </c>
      <c r="I973" s="471" t="s">
        <v>114</v>
      </c>
      <c r="J973" s="471" t="s">
        <v>913</v>
      </c>
      <c r="K973" s="469">
        <v>100</v>
      </c>
      <c r="L973" s="473"/>
      <c r="M973" s="623">
        <v>0</v>
      </c>
      <c r="N973" s="623">
        <v>0</v>
      </c>
      <c r="O973" s="624">
        <v>0</v>
      </c>
      <c r="P973" s="624">
        <v>0</v>
      </c>
      <c r="Q973" s="785" t="e">
        <f t="shared" si="16"/>
        <v>#DIV/0!</v>
      </c>
      <c r="R973" s="468" t="s">
        <v>1719</v>
      </c>
      <c r="S973" s="629"/>
    </row>
    <row r="974" spans="1:19" ht="15" x14ac:dyDescent="0.25">
      <c r="A974" s="621" t="s">
        <v>351</v>
      </c>
      <c r="B974" s="466" t="s">
        <v>111</v>
      </c>
      <c r="C974" s="631" t="s">
        <v>894</v>
      </c>
      <c r="D974" s="632" t="s">
        <v>889</v>
      </c>
      <c r="E974" s="474"/>
      <c r="F974" s="469" t="s">
        <v>112</v>
      </c>
      <c r="G974" s="470" t="s">
        <v>1795</v>
      </c>
      <c r="H974" s="622" t="s">
        <v>914</v>
      </c>
      <c r="I974" s="471" t="s">
        <v>114</v>
      </c>
      <c r="J974" s="471" t="s">
        <v>913</v>
      </c>
      <c r="K974" s="469">
        <v>100</v>
      </c>
      <c r="L974" s="473"/>
      <c r="M974" s="623">
        <v>543</v>
      </c>
      <c r="N974" s="623">
        <v>543</v>
      </c>
      <c r="O974" s="624">
        <v>1</v>
      </c>
      <c r="P974" s="624">
        <v>1</v>
      </c>
      <c r="Q974" s="785">
        <f t="shared" si="16"/>
        <v>1</v>
      </c>
      <c r="R974" s="468" t="s">
        <v>1718</v>
      </c>
      <c r="S974" s="629"/>
    </row>
    <row r="975" spans="1:19" ht="15" x14ac:dyDescent="0.25">
      <c r="A975" s="621" t="s">
        <v>351</v>
      </c>
      <c r="B975" s="466" t="s">
        <v>111</v>
      </c>
      <c r="C975" s="631" t="s">
        <v>894</v>
      </c>
      <c r="D975" s="632" t="s">
        <v>881</v>
      </c>
      <c r="E975" s="474"/>
      <c r="F975" s="469" t="s">
        <v>112</v>
      </c>
      <c r="G975" s="470" t="s">
        <v>1795</v>
      </c>
      <c r="H975" s="622" t="s">
        <v>912</v>
      </c>
      <c r="I975" s="471" t="s">
        <v>114</v>
      </c>
      <c r="J975" s="471" t="s">
        <v>913</v>
      </c>
      <c r="K975" s="469">
        <v>100</v>
      </c>
      <c r="L975" s="473"/>
      <c r="M975" s="623">
        <v>78</v>
      </c>
      <c r="N975" s="623">
        <v>78</v>
      </c>
      <c r="O975" s="624">
        <v>1</v>
      </c>
      <c r="P975" s="624">
        <v>1</v>
      </c>
      <c r="Q975" s="785">
        <f t="shared" si="16"/>
        <v>1</v>
      </c>
      <c r="R975" s="468" t="s">
        <v>1718</v>
      </c>
      <c r="S975" s="629"/>
    </row>
    <row r="976" spans="1:19" ht="15" x14ac:dyDescent="0.25">
      <c r="A976" s="621" t="s">
        <v>351</v>
      </c>
      <c r="B976" s="466" t="s">
        <v>111</v>
      </c>
      <c r="C976" s="631" t="s">
        <v>894</v>
      </c>
      <c r="D976" s="632" t="s">
        <v>883</v>
      </c>
      <c r="E976" s="474"/>
      <c r="F976" s="469" t="s">
        <v>112</v>
      </c>
      <c r="G976" s="470" t="s">
        <v>1795</v>
      </c>
      <c r="H976" s="622" t="s">
        <v>912</v>
      </c>
      <c r="I976" s="471" t="s">
        <v>114</v>
      </c>
      <c r="J976" s="471" t="s">
        <v>913</v>
      </c>
      <c r="K976" s="469">
        <v>100</v>
      </c>
      <c r="L976" s="473"/>
      <c r="M976" s="623">
        <v>25</v>
      </c>
      <c r="N976" s="623">
        <v>25</v>
      </c>
      <c r="O976" s="624">
        <v>1</v>
      </c>
      <c r="P976" s="624">
        <v>1</v>
      </c>
      <c r="Q976" s="785">
        <f t="shared" si="16"/>
        <v>1</v>
      </c>
      <c r="R976" s="468" t="s">
        <v>1718</v>
      </c>
      <c r="S976" s="629"/>
    </row>
    <row r="977" spans="1:19" ht="15" x14ac:dyDescent="0.25">
      <c r="A977" s="621" t="s">
        <v>351</v>
      </c>
      <c r="B977" s="466" t="s">
        <v>111</v>
      </c>
      <c r="C977" s="631" t="s">
        <v>894</v>
      </c>
      <c r="D977" s="632" t="s">
        <v>869</v>
      </c>
      <c r="E977" s="474"/>
      <c r="F977" s="469" t="s">
        <v>112</v>
      </c>
      <c r="G977" s="470" t="s">
        <v>1795</v>
      </c>
      <c r="H977" s="622" t="s">
        <v>912</v>
      </c>
      <c r="I977" s="471" t="s">
        <v>114</v>
      </c>
      <c r="J977" s="471" t="s">
        <v>913</v>
      </c>
      <c r="K977" s="469">
        <v>100</v>
      </c>
      <c r="L977" s="473"/>
      <c r="M977" s="623">
        <v>0</v>
      </c>
      <c r="N977" s="623">
        <v>0</v>
      </c>
      <c r="O977" s="624">
        <v>0</v>
      </c>
      <c r="P977" s="624">
        <v>0</v>
      </c>
      <c r="Q977" s="785" t="e">
        <f t="shared" si="16"/>
        <v>#DIV/0!</v>
      </c>
      <c r="R977" s="468" t="s">
        <v>1719</v>
      </c>
      <c r="S977" s="629"/>
    </row>
    <row r="978" spans="1:19" ht="18" customHeight="1" x14ac:dyDescent="0.25">
      <c r="A978" s="621" t="s">
        <v>351</v>
      </c>
      <c r="B978" s="466" t="s">
        <v>111</v>
      </c>
      <c r="C978" s="466" t="s">
        <v>99</v>
      </c>
      <c r="D978" s="467" t="s">
        <v>866</v>
      </c>
      <c r="E978" s="474"/>
      <c r="F978" s="469" t="s">
        <v>112</v>
      </c>
      <c r="G978" s="470" t="s">
        <v>1796</v>
      </c>
      <c r="H978" s="622" t="s">
        <v>912</v>
      </c>
      <c r="I978" s="471" t="s">
        <v>114</v>
      </c>
      <c r="J978" s="471" t="s">
        <v>913</v>
      </c>
      <c r="K978" s="469">
        <v>100</v>
      </c>
      <c r="L978" s="473"/>
      <c r="M978" s="623">
        <v>0</v>
      </c>
      <c r="N978" s="623">
        <v>0</v>
      </c>
      <c r="O978" s="624">
        <v>0</v>
      </c>
      <c r="P978" s="624">
        <v>0</v>
      </c>
      <c r="Q978" s="785" t="e">
        <f t="shared" si="16"/>
        <v>#DIV/0!</v>
      </c>
      <c r="R978" s="625" t="s">
        <v>1719</v>
      </c>
      <c r="S978" s="638"/>
    </row>
    <row r="979" spans="1:19" ht="15" x14ac:dyDescent="0.25">
      <c r="A979" s="621" t="s">
        <v>351</v>
      </c>
      <c r="B979" s="466" t="s">
        <v>111</v>
      </c>
      <c r="C979" s="630" t="s">
        <v>99</v>
      </c>
      <c r="D979" s="628" t="s">
        <v>869</v>
      </c>
      <c r="E979" s="474"/>
      <c r="F979" s="469" t="s">
        <v>112</v>
      </c>
      <c r="G979" s="470" t="s">
        <v>1796</v>
      </c>
      <c r="H979" s="622" t="s">
        <v>912</v>
      </c>
      <c r="I979" s="471" t="s">
        <v>114</v>
      </c>
      <c r="J979" s="471" t="s">
        <v>913</v>
      </c>
      <c r="K979" s="469">
        <v>100</v>
      </c>
      <c r="L979" s="473"/>
      <c r="M979" s="623">
        <v>14</v>
      </c>
      <c r="N979" s="623">
        <v>14</v>
      </c>
      <c r="O979" s="624">
        <v>1</v>
      </c>
      <c r="P979" s="624">
        <v>1</v>
      </c>
      <c r="Q979" s="785">
        <f t="shared" si="16"/>
        <v>1</v>
      </c>
      <c r="R979" s="468" t="s">
        <v>1718</v>
      </c>
      <c r="S979" s="629"/>
    </row>
    <row r="980" spans="1:19" ht="15" x14ac:dyDescent="0.25">
      <c r="A980" s="621" t="s">
        <v>351</v>
      </c>
      <c r="B980" s="466" t="s">
        <v>111</v>
      </c>
      <c r="C980" s="630" t="s">
        <v>870</v>
      </c>
      <c r="D980" s="628" t="s">
        <v>889</v>
      </c>
      <c r="E980" s="474"/>
      <c r="F980" s="469" t="s">
        <v>112</v>
      </c>
      <c r="G980" s="470" t="s">
        <v>1796</v>
      </c>
      <c r="H980" s="622" t="s">
        <v>914</v>
      </c>
      <c r="I980" s="471" t="s">
        <v>114</v>
      </c>
      <c r="J980" s="471" t="s">
        <v>913</v>
      </c>
      <c r="K980" s="469">
        <v>100</v>
      </c>
      <c r="L980" s="473"/>
      <c r="M980" s="623">
        <v>50</v>
      </c>
      <c r="N980" s="623">
        <v>50</v>
      </c>
      <c r="O980" s="624">
        <v>1</v>
      </c>
      <c r="P980" s="624">
        <v>1</v>
      </c>
      <c r="Q980" s="785">
        <f t="shared" si="16"/>
        <v>1</v>
      </c>
      <c r="R980" s="468" t="s">
        <v>1718</v>
      </c>
      <c r="S980" s="629"/>
    </row>
    <row r="981" spans="1:19" ht="15" x14ac:dyDescent="0.25">
      <c r="A981" s="621" t="s">
        <v>351</v>
      </c>
      <c r="B981" s="466" t="s">
        <v>111</v>
      </c>
      <c r="C981" s="631" t="s">
        <v>870</v>
      </c>
      <c r="D981" s="628" t="s">
        <v>881</v>
      </c>
      <c r="E981" s="474"/>
      <c r="F981" s="469" t="s">
        <v>112</v>
      </c>
      <c r="G981" s="470" t="s">
        <v>1796</v>
      </c>
      <c r="H981" s="622" t="s">
        <v>912</v>
      </c>
      <c r="I981" s="471" t="s">
        <v>114</v>
      </c>
      <c r="J981" s="471" t="s">
        <v>913</v>
      </c>
      <c r="K981" s="469">
        <v>100</v>
      </c>
      <c r="L981" s="473"/>
      <c r="M981" s="623">
        <v>19</v>
      </c>
      <c r="N981" s="623">
        <v>19</v>
      </c>
      <c r="O981" s="624">
        <v>1</v>
      </c>
      <c r="P981" s="624">
        <v>1</v>
      </c>
      <c r="Q981" s="785">
        <f t="shared" si="16"/>
        <v>1</v>
      </c>
      <c r="R981" s="468" t="s">
        <v>1718</v>
      </c>
      <c r="S981" s="629"/>
    </row>
    <row r="982" spans="1:19" ht="15" x14ac:dyDescent="0.25">
      <c r="A982" s="621" t="s">
        <v>351</v>
      </c>
      <c r="B982" s="466" t="s">
        <v>111</v>
      </c>
      <c r="C982" s="631" t="s">
        <v>870</v>
      </c>
      <c r="D982" s="628" t="s">
        <v>883</v>
      </c>
      <c r="E982" s="474"/>
      <c r="F982" s="469" t="s">
        <v>112</v>
      </c>
      <c r="G982" s="470" t="s">
        <v>1796</v>
      </c>
      <c r="H982" s="622" t="s">
        <v>912</v>
      </c>
      <c r="I982" s="471" t="s">
        <v>114</v>
      </c>
      <c r="J982" s="471" t="s">
        <v>913</v>
      </c>
      <c r="K982" s="469">
        <v>100</v>
      </c>
      <c r="L982" s="473"/>
      <c r="M982" s="623">
        <v>39</v>
      </c>
      <c r="N982" s="623">
        <v>39</v>
      </c>
      <c r="O982" s="624">
        <v>1</v>
      </c>
      <c r="P982" s="624">
        <v>1</v>
      </c>
      <c r="Q982" s="785">
        <f t="shared" si="16"/>
        <v>1</v>
      </c>
      <c r="R982" s="468" t="s">
        <v>1718</v>
      </c>
      <c r="S982" s="629"/>
    </row>
    <row r="983" spans="1:19" ht="15" x14ac:dyDescent="0.25">
      <c r="A983" s="621" t="s">
        <v>351</v>
      </c>
      <c r="B983" s="466" t="s">
        <v>111</v>
      </c>
      <c r="C983" s="631" t="s">
        <v>870</v>
      </c>
      <c r="D983" s="632" t="s">
        <v>866</v>
      </c>
      <c r="E983" s="474"/>
      <c r="F983" s="469" t="s">
        <v>112</v>
      </c>
      <c r="G983" s="470" t="s">
        <v>1796</v>
      </c>
      <c r="H983" s="622" t="s">
        <v>912</v>
      </c>
      <c r="I983" s="471" t="s">
        <v>114</v>
      </c>
      <c r="J983" s="471" t="s">
        <v>913</v>
      </c>
      <c r="K983" s="469">
        <v>100</v>
      </c>
      <c r="L983" s="473"/>
      <c r="M983" s="623">
        <v>67</v>
      </c>
      <c r="N983" s="623">
        <v>67</v>
      </c>
      <c r="O983" s="624">
        <v>1</v>
      </c>
      <c r="P983" s="624">
        <v>1</v>
      </c>
      <c r="Q983" s="785">
        <f t="shared" si="16"/>
        <v>1</v>
      </c>
      <c r="R983" s="468" t="s">
        <v>1718</v>
      </c>
      <c r="S983" s="629"/>
    </row>
    <row r="984" spans="1:19" ht="15" x14ac:dyDescent="0.25">
      <c r="A984" s="621" t="s">
        <v>351</v>
      </c>
      <c r="B984" s="466" t="s">
        <v>111</v>
      </c>
      <c r="C984" s="631" t="s">
        <v>870</v>
      </c>
      <c r="D984" s="632" t="s">
        <v>869</v>
      </c>
      <c r="E984" s="474"/>
      <c r="F984" s="469" t="s">
        <v>112</v>
      </c>
      <c r="G984" s="470" t="s">
        <v>1796</v>
      </c>
      <c r="H984" s="622" t="s">
        <v>912</v>
      </c>
      <c r="I984" s="471" t="s">
        <v>114</v>
      </c>
      <c r="J984" s="471" t="s">
        <v>913</v>
      </c>
      <c r="K984" s="469">
        <v>100</v>
      </c>
      <c r="L984" s="473"/>
      <c r="M984" s="623">
        <v>46</v>
      </c>
      <c r="N984" s="623">
        <v>46</v>
      </c>
      <c r="O984" s="624">
        <v>1</v>
      </c>
      <c r="P984" s="624">
        <v>1</v>
      </c>
      <c r="Q984" s="785">
        <f t="shared" si="16"/>
        <v>1</v>
      </c>
      <c r="R984" s="468" t="s">
        <v>1718</v>
      </c>
      <c r="S984" s="629"/>
    </row>
    <row r="985" spans="1:19" ht="15" x14ac:dyDescent="0.25">
      <c r="A985" s="621" t="s">
        <v>351</v>
      </c>
      <c r="B985" s="466" t="s">
        <v>111</v>
      </c>
      <c r="C985" s="631" t="s">
        <v>738</v>
      </c>
      <c r="D985" s="632" t="s">
        <v>889</v>
      </c>
      <c r="E985" s="474"/>
      <c r="F985" s="469" t="s">
        <v>112</v>
      </c>
      <c r="G985" s="470" t="s">
        <v>1796</v>
      </c>
      <c r="H985" s="622" t="s">
        <v>914</v>
      </c>
      <c r="I985" s="471" t="s">
        <v>114</v>
      </c>
      <c r="J985" s="471" t="s">
        <v>913</v>
      </c>
      <c r="K985" s="469">
        <v>100</v>
      </c>
      <c r="L985" s="473"/>
      <c r="M985" s="623">
        <v>156</v>
      </c>
      <c r="N985" s="623">
        <v>156</v>
      </c>
      <c r="O985" s="624">
        <v>1</v>
      </c>
      <c r="P985" s="624">
        <v>1</v>
      </c>
      <c r="Q985" s="785">
        <f t="shared" si="16"/>
        <v>1</v>
      </c>
      <c r="R985" s="468" t="s">
        <v>1718</v>
      </c>
      <c r="S985" s="629"/>
    </row>
    <row r="986" spans="1:19" ht="15" x14ac:dyDescent="0.25">
      <c r="A986" s="621" t="s">
        <v>351</v>
      </c>
      <c r="B986" s="466" t="s">
        <v>111</v>
      </c>
      <c r="C986" s="631" t="s">
        <v>738</v>
      </c>
      <c r="D986" s="632" t="s">
        <v>881</v>
      </c>
      <c r="E986" s="474"/>
      <c r="F986" s="469" t="s">
        <v>112</v>
      </c>
      <c r="G986" s="470" t="s">
        <v>1796</v>
      </c>
      <c r="H986" s="622" t="s">
        <v>912</v>
      </c>
      <c r="I986" s="471" t="s">
        <v>114</v>
      </c>
      <c r="J986" s="471" t="s">
        <v>913</v>
      </c>
      <c r="K986" s="469">
        <v>100</v>
      </c>
      <c r="L986" s="473"/>
      <c r="M986" s="623">
        <v>54</v>
      </c>
      <c r="N986" s="623">
        <v>54</v>
      </c>
      <c r="O986" s="624">
        <v>1</v>
      </c>
      <c r="P986" s="624">
        <v>1</v>
      </c>
      <c r="Q986" s="785">
        <f t="shared" si="16"/>
        <v>1</v>
      </c>
      <c r="R986" s="468" t="s">
        <v>1718</v>
      </c>
      <c r="S986" s="629"/>
    </row>
    <row r="987" spans="1:19" ht="15" x14ac:dyDescent="0.25">
      <c r="A987" s="621" t="s">
        <v>351</v>
      </c>
      <c r="B987" s="466" t="s">
        <v>111</v>
      </c>
      <c r="C987" s="631" t="s">
        <v>738</v>
      </c>
      <c r="D987" s="632" t="s">
        <v>883</v>
      </c>
      <c r="E987" s="474"/>
      <c r="F987" s="469" t="s">
        <v>112</v>
      </c>
      <c r="G987" s="470" t="s">
        <v>1796</v>
      </c>
      <c r="H987" s="622" t="s">
        <v>912</v>
      </c>
      <c r="I987" s="471" t="s">
        <v>114</v>
      </c>
      <c r="J987" s="471" t="s">
        <v>913</v>
      </c>
      <c r="K987" s="469">
        <v>100</v>
      </c>
      <c r="L987" s="473"/>
      <c r="M987" s="623">
        <v>0</v>
      </c>
      <c r="N987" s="623">
        <v>0</v>
      </c>
      <c r="O987" s="624">
        <v>0</v>
      </c>
      <c r="P987" s="624">
        <v>0</v>
      </c>
      <c r="Q987" s="785" t="e">
        <f t="shared" si="16"/>
        <v>#DIV/0!</v>
      </c>
      <c r="R987" s="468" t="s">
        <v>1719</v>
      </c>
      <c r="S987" s="629"/>
    </row>
    <row r="988" spans="1:19" ht="15" x14ac:dyDescent="0.25">
      <c r="A988" s="621" t="s">
        <v>351</v>
      </c>
      <c r="B988" s="466" t="s">
        <v>111</v>
      </c>
      <c r="C988" s="631" t="s">
        <v>738</v>
      </c>
      <c r="D988" s="632" t="s">
        <v>866</v>
      </c>
      <c r="E988" s="474"/>
      <c r="F988" s="469" t="s">
        <v>112</v>
      </c>
      <c r="G988" s="470" t="s">
        <v>1796</v>
      </c>
      <c r="H988" s="622" t="s">
        <v>912</v>
      </c>
      <c r="I988" s="471" t="s">
        <v>114</v>
      </c>
      <c r="J988" s="471" t="s">
        <v>913</v>
      </c>
      <c r="K988" s="469">
        <v>100</v>
      </c>
      <c r="L988" s="473"/>
      <c r="M988" s="623">
        <v>0</v>
      </c>
      <c r="N988" s="623">
        <v>0</v>
      </c>
      <c r="O988" s="624">
        <v>0</v>
      </c>
      <c r="P988" s="624">
        <v>0</v>
      </c>
      <c r="Q988" s="785" t="e">
        <f t="shared" si="16"/>
        <v>#DIV/0!</v>
      </c>
      <c r="R988" s="468" t="s">
        <v>1719</v>
      </c>
      <c r="S988" s="629"/>
    </row>
    <row r="989" spans="1:19" ht="15" x14ac:dyDescent="0.25">
      <c r="A989" s="621" t="s">
        <v>351</v>
      </c>
      <c r="B989" s="466" t="s">
        <v>111</v>
      </c>
      <c r="C989" s="631" t="s">
        <v>738</v>
      </c>
      <c r="D989" s="632" t="s">
        <v>869</v>
      </c>
      <c r="E989" s="474"/>
      <c r="F989" s="469" t="s">
        <v>112</v>
      </c>
      <c r="G989" s="470" t="s">
        <v>1796</v>
      </c>
      <c r="H989" s="622" t="s">
        <v>912</v>
      </c>
      <c r="I989" s="471" t="s">
        <v>114</v>
      </c>
      <c r="J989" s="471" t="s">
        <v>913</v>
      </c>
      <c r="K989" s="469">
        <v>100</v>
      </c>
      <c r="L989" s="473"/>
      <c r="M989" s="623">
        <v>7</v>
      </c>
      <c r="N989" s="623">
        <v>7</v>
      </c>
      <c r="O989" s="624">
        <v>1</v>
      </c>
      <c r="P989" s="624">
        <v>1</v>
      </c>
      <c r="Q989" s="785">
        <f t="shared" si="16"/>
        <v>1</v>
      </c>
      <c r="R989" s="468" t="s">
        <v>1718</v>
      </c>
      <c r="S989" s="629"/>
    </row>
    <row r="990" spans="1:19" ht="15" x14ac:dyDescent="0.25">
      <c r="A990" s="621" t="s">
        <v>351</v>
      </c>
      <c r="B990" s="466" t="s">
        <v>111</v>
      </c>
      <c r="C990" s="631" t="s">
        <v>101</v>
      </c>
      <c r="D990" s="632" t="s">
        <v>889</v>
      </c>
      <c r="E990" s="474"/>
      <c r="F990" s="469" t="s">
        <v>112</v>
      </c>
      <c r="G990" s="470" t="s">
        <v>1796</v>
      </c>
      <c r="H990" s="622" t="s">
        <v>914</v>
      </c>
      <c r="I990" s="471" t="s">
        <v>114</v>
      </c>
      <c r="J990" s="471" t="s">
        <v>913</v>
      </c>
      <c r="K990" s="469">
        <v>100</v>
      </c>
      <c r="L990" s="473"/>
      <c r="M990" s="623">
        <v>112</v>
      </c>
      <c r="N990" s="623">
        <v>112</v>
      </c>
      <c r="O990" s="624">
        <v>1</v>
      </c>
      <c r="P990" s="624">
        <v>1</v>
      </c>
      <c r="Q990" s="785">
        <f t="shared" si="16"/>
        <v>1</v>
      </c>
      <c r="R990" s="468" t="s">
        <v>1718</v>
      </c>
      <c r="S990" s="629"/>
    </row>
    <row r="991" spans="1:19" ht="15" x14ac:dyDescent="0.25">
      <c r="A991" s="621" t="s">
        <v>351</v>
      </c>
      <c r="B991" s="466" t="s">
        <v>111</v>
      </c>
      <c r="C991" s="631" t="s">
        <v>101</v>
      </c>
      <c r="D991" s="632" t="s">
        <v>881</v>
      </c>
      <c r="E991" s="474"/>
      <c r="F991" s="469" t="s">
        <v>112</v>
      </c>
      <c r="G991" s="470" t="s">
        <v>1796</v>
      </c>
      <c r="H991" s="622" t="s">
        <v>912</v>
      </c>
      <c r="I991" s="471" t="s">
        <v>114</v>
      </c>
      <c r="J991" s="471" t="s">
        <v>913</v>
      </c>
      <c r="K991" s="469">
        <v>100</v>
      </c>
      <c r="L991" s="473"/>
      <c r="M991" s="623">
        <v>9</v>
      </c>
      <c r="N991" s="623">
        <v>9</v>
      </c>
      <c r="O991" s="624">
        <v>1</v>
      </c>
      <c r="P991" s="624">
        <v>1</v>
      </c>
      <c r="Q991" s="785">
        <f t="shared" si="16"/>
        <v>1</v>
      </c>
      <c r="R991" s="468" t="s">
        <v>1718</v>
      </c>
      <c r="S991" s="629"/>
    </row>
    <row r="992" spans="1:19" ht="15" x14ac:dyDescent="0.25">
      <c r="A992" s="621" t="s">
        <v>351</v>
      </c>
      <c r="B992" s="466" t="s">
        <v>111</v>
      </c>
      <c r="C992" s="631" t="s">
        <v>101</v>
      </c>
      <c r="D992" s="632" t="s">
        <v>883</v>
      </c>
      <c r="E992" s="474"/>
      <c r="F992" s="469" t="s">
        <v>112</v>
      </c>
      <c r="G992" s="470" t="s">
        <v>1796</v>
      </c>
      <c r="H992" s="622" t="s">
        <v>912</v>
      </c>
      <c r="I992" s="471" t="s">
        <v>114</v>
      </c>
      <c r="J992" s="471" t="s">
        <v>913</v>
      </c>
      <c r="K992" s="469">
        <v>100</v>
      </c>
      <c r="L992" s="473"/>
      <c r="M992" s="623">
        <v>0</v>
      </c>
      <c r="N992" s="623">
        <v>0</v>
      </c>
      <c r="O992" s="624">
        <v>0</v>
      </c>
      <c r="P992" s="624">
        <v>0</v>
      </c>
      <c r="Q992" s="785" t="e">
        <f t="shared" si="16"/>
        <v>#DIV/0!</v>
      </c>
      <c r="R992" s="468" t="s">
        <v>1719</v>
      </c>
      <c r="S992" s="629"/>
    </row>
    <row r="993" spans="1:19" ht="15" x14ac:dyDescent="0.25">
      <c r="A993" s="621" t="s">
        <v>351</v>
      </c>
      <c r="B993" s="466" t="s">
        <v>111</v>
      </c>
      <c r="C993" s="631" t="s">
        <v>101</v>
      </c>
      <c r="D993" s="632" t="s">
        <v>866</v>
      </c>
      <c r="E993" s="474"/>
      <c r="F993" s="469" t="s">
        <v>112</v>
      </c>
      <c r="G993" s="470" t="s">
        <v>1796</v>
      </c>
      <c r="H993" s="622" t="s">
        <v>912</v>
      </c>
      <c r="I993" s="471" t="s">
        <v>114</v>
      </c>
      <c r="J993" s="471" t="s">
        <v>913</v>
      </c>
      <c r="K993" s="469">
        <v>100</v>
      </c>
      <c r="L993" s="473"/>
      <c r="M993" s="623">
        <v>13</v>
      </c>
      <c r="N993" s="623">
        <v>13</v>
      </c>
      <c r="O993" s="624">
        <v>1</v>
      </c>
      <c r="P993" s="624">
        <v>1</v>
      </c>
      <c r="Q993" s="785">
        <f t="shared" si="16"/>
        <v>1</v>
      </c>
      <c r="R993" s="468" t="s">
        <v>1718</v>
      </c>
      <c r="S993" s="629"/>
    </row>
    <row r="994" spans="1:19" ht="15" x14ac:dyDescent="0.25">
      <c r="A994" s="621" t="s">
        <v>351</v>
      </c>
      <c r="B994" s="466" t="s">
        <v>111</v>
      </c>
      <c r="C994" s="631" t="s">
        <v>101</v>
      </c>
      <c r="D994" s="632" t="s">
        <v>869</v>
      </c>
      <c r="E994" s="474"/>
      <c r="F994" s="469" t="s">
        <v>112</v>
      </c>
      <c r="G994" s="470" t="s">
        <v>1796</v>
      </c>
      <c r="H994" s="622" t="s">
        <v>912</v>
      </c>
      <c r="I994" s="471" t="s">
        <v>114</v>
      </c>
      <c r="J994" s="471" t="s">
        <v>913</v>
      </c>
      <c r="K994" s="469">
        <v>100</v>
      </c>
      <c r="L994" s="473"/>
      <c r="M994" s="623">
        <v>0</v>
      </c>
      <c r="N994" s="623">
        <v>0</v>
      </c>
      <c r="O994" s="624">
        <v>0</v>
      </c>
      <c r="P994" s="624">
        <v>0</v>
      </c>
      <c r="Q994" s="785" t="e">
        <f t="shared" si="16"/>
        <v>#DIV/0!</v>
      </c>
      <c r="R994" s="468" t="s">
        <v>1719</v>
      </c>
      <c r="S994" s="629"/>
    </row>
    <row r="995" spans="1:19" ht="15" x14ac:dyDescent="0.25">
      <c r="A995" s="621" t="s">
        <v>351</v>
      </c>
      <c r="B995" s="466" t="s">
        <v>111</v>
      </c>
      <c r="C995" s="631" t="s">
        <v>885</v>
      </c>
      <c r="D995" s="632" t="s">
        <v>889</v>
      </c>
      <c r="E995" s="474"/>
      <c r="F995" s="469" t="s">
        <v>112</v>
      </c>
      <c r="G995" s="470" t="s">
        <v>1796</v>
      </c>
      <c r="H995" s="622" t="s">
        <v>914</v>
      </c>
      <c r="I995" s="471" t="s">
        <v>114</v>
      </c>
      <c r="J995" s="471" t="s">
        <v>913</v>
      </c>
      <c r="K995" s="469">
        <v>100</v>
      </c>
      <c r="L995" s="473"/>
      <c r="M995" s="623">
        <v>0</v>
      </c>
      <c r="N995" s="623">
        <v>0</v>
      </c>
      <c r="O995" s="624">
        <v>0</v>
      </c>
      <c r="P995" s="624">
        <v>0</v>
      </c>
      <c r="Q995" s="785" t="e">
        <f t="shared" si="16"/>
        <v>#DIV/0!</v>
      </c>
      <c r="R995" s="468" t="s">
        <v>1719</v>
      </c>
      <c r="S995" s="629"/>
    </row>
    <row r="996" spans="1:19" ht="15" x14ac:dyDescent="0.25">
      <c r="A996" s="621" t="s">
        <v>351</v>
      </c>
      <c r="B996" s="466" t="s">
        <v>111</v>
      </c>
      <c r="C996" s="631" t="s">
        <v>885</v>
      </c>
      <c r="D996" s="632" t="s">
        <v>881</v>
      </c>
      <c r="E996" s="474"/>
      <c r="F996" s="469" t="s">
        <v>112</v>
      </c>
      <c r="G996" s="470" t="s">
        <v>1796</v>
      </c>
      <c r="H996" s="622" t="s">
        <v>912</v>
      </c>
      <c r="I996" s="471" t="s">
        <v>114</v>
      </c>
      <c r="J996" s="471" t="s">
        <v>913</v>
      </c>
      <c r="K996" s="469">
        <v>100</v>
      </c>
      <c r="L996" s="473"/>
      <c r="M996" s="623">
        <v>5</v>
      </c>
      <c r="N996" s="623">
        <v>5</v>
      </c>
      <c r="O996" s="624">
        <v>1</v>
      </c>
      <c r="P996" s="624">
        <v>1</v>
      </c>
      <c r="Q996" s="785">
        <f t="shared" si="16"/>
        <v>1</v>
      </c>
      <c r="R996" s="468" t="s">
        <v>1718</v>
      </c>
      <c r="S996" s="629"/>
    </row>
    <row r="997" spans="1:19" ht="15" x14ac:dyDescent="0.25">
      <c r="A997" s="621" t="s">
        <v>351</v>
      </c>
      <c r="B997" s="466" t="s">
        <v>111</v>
      </c>
      <c r="C997" s="631" t="s">
        <v>885</v>
      </c>
      <c r="D997" s="632" t="s">
        <v>883</v>
      </c>
      <c r="E997" s="474"/>
      <c r="F997" s="469" t="s">
        <v>112</v>
      </c>
      <c r="G997" s="470" t="s">
        <v>1796</v>
      </c>
      <c r="H997" s="622" t="s">
        <v>912</v>
      </c>
      <c r="I997" s="471" t="s">
        <v>114</v>
      </c>
      <c r="J997" s="471" t="s">
        <v>913</v>
      </c>
      <c r="K997" s="469">
        <v>100</v>
      </c>
      <c r="L997" s="473"/>
      <c r="M997" s="623">
        <v>5</v>
      </c>
      <c r="N997" s="623">
        <v>5</v>
      </c>
      <c r="O997" s="624">
        <v>1</v>
      </c>
      <c r="P997" s="624">
        <v>1</v>
      </c>
      <c r="Q997" s="785">
        <f t="shared" si="16"/>
        <v>1</v>
      </c>
      <c r="R997" s="468" t="s">
        <v>1718</v>
      </c>
      <c r="S997" s="629"/>
    </row>
    <row r="998" spans="1:19" ht="15" x14ac:dyDescent="0.25">
      <c r="A998" s="621" t="s">
        <v>351</v>
      </c>
      <c r="B998" s="466" t="s">
        <v>111</v>
      </c>
      <c r="C998" s="631" t="s">
        <v>885</v>
      </c>
      <c r="D998" s="632" t="s">
        <v>866</v>
      </c>
      <c r="E998" s="474"/>
      <c r="F998" s="469" t="s">
        <v>112</v>
      </c>
      <c r="G998" s="470" t="s">
        <v>1796</v>
      </c>
      <c r="H998" s="622" t="s">
        <v>912</v>
      </c>
      <c r="I998" s="471" t="s">
        <v>114</v>
      </c>
      <c r="J998" s="471" t="s">
        <v>913</v>
      </c>
      <c r="K998" s="469">
        <v>100</v>
      </c>
      <c r="L998" s="473"/>
      <c r="M998" s="623">
        <v>0</v>
      </c>
      <c r="N998" s="623">
        <v>0</v>
      </c>
      <c r="O998" s="624">
        <v>0</v>
      </c>
      <c r="P998" s="624">
        <v>0</v>
      </c>
      <c r="Q998" s="785" t="e">
        <f t="shared" si="16"/>
        <v>#DIV/0!</v>
      </c>
      <c r="R998" s="468" t="s">
        <v>1719</v>
      </c>
      <c r="S998" s="629"/>
    </row>
    <row r="999" spans="1:19" ht="15" x14ac:dyDescent="0.25">
      <c r="A999" s="621" t="s">
        <v>351</v>
      </c>
      <c r="B999" s="466" t="s">
        <v>111</v>
      </c>
      <c r="C999" s="631" t="s">
        <v>885</v>
      </c>
      <c r="D999" s="632" t="s">
        <v>869</v>
      </c>
      <c r="E999" s="474"/>
      <c r="F999" s="469" t="s">
        <v>112</v>
      </c>
      <c r="G999" s="470" t="s">
        <v>1796</v>
      </c>
      <c r="H999" s="622" t="s">
        <v>912</v>
      </c>
      <c r="I999" s="471" t="s">
        <v>114</v>
      </c>
      <c r="J999" s="471" t="s">
        <v>913</v>
      </c>
      <c r="K999" s="469">
        <v>100</v>
      </c>
      <c r="L999" s="473"/>
      <c r="M999" s="623">
        <v>12</v>
      </c>
      <c r="N999" s="623">
        <v>12</v>
      </c>
      <c r="O999" s="624">
        <v>1</v>
      </c>
      <c r="P999" s="624">
        <v>1</v>
      </c>
      <c r="Q999" s="785">
        <f t="shared" si="16"/>
        <v>1</v>
      </c>
      <c r="R999" s="468" t="s">
        <v>1718</v>
      </c>
      <c r="S999" s="629"/>
    </row>
    <row r="1000" spans="1:19" ht="15" x14ac:dyDescent="0.25">
      <c r="A1000" s="621" t="s">
        <v>351</v>
      </c>
      <c r="B1000" s="466" t="s">
        <v>111</v>
      </c>
      <c r="C1000" s="631" t="s">
        <v>885</v>
      </c>
      <c r="D1000" s="632" t="s">
        <v>887</v>
      </c>
      <c r="E1000" s="474"/>
      <c r="F1000" s="469" t="s">
        <v>112</v>
      </c>
      <c r="G1000" s="470" t="s">
        <v>1796</v>
      </c>
      <c r="H1000" s="622" t="s">
        <v>912</v>
      </c>
      <c r="I1000" s="471" t="s">
        <v>114</v>
      </c>
      <c r="J1000" s="471" t="s">
        <v>913</v>
      </c>
      <c r="K1000" s="469">
        <v>100</v>
      </c>
      <c r="L1000" s="473"/>
      <c r="M1000" s="623">
        <v>20</v>
      </c>
      <c r="N1000" s="623">
        <v>20</v>
      </c>
      <c r="O1000" s="624">
        <v>1</v>
      </c>
      <c r="P1000" s="624">
        <v>1</v>
      </c>
      <c r="Q1000" s="785">
        <f t="shared" si="16"/>
        <v>1</v>
      </c>
      <c r="R1000" s="468" t="s">
        <v>1718</v>
      </c>
      <c r="S1000" s="629"/>
    </row>
    <row r="1001" spans="1:19" ht="15" x14ac:dyDescent="0.25">
      <c r="A1001" s="621" t="s">
        <v>351</v>
      </c>
      <c r="B1001" s="466" t="s">
        <v>111</v>
      </c>
      <c r="C1001" s="631" t="s">
        <v>904</v>
      </c>
      <c r="D1001" s="632" t="s">
        <v>881</v>
      </c>
      <c r="E1001" s="474"/>
      <c r="F1001" s="469" t="s">
        <v>112</v>
      </c>
      <c r="G1001" s="470" t="s">
        <v>1796</v>
      </c>
      <c r="H1001" s="622" t="s">
        <v>912</v>
      </c>
      <c r="I1001" s="471" t="s">
        <v>114</v>
      </c>
      <c r="J1001" s="471" t="s">
        <v>913</v>
      </c>
      <c r="K1001" s="469">
        <v>100</v>
      </c>
      <c r="L1001" s="473"/>
      <c r="M1001" s="623">
        <v>0</v>
      </c>
      <c r="N1001" s="623">
        <v>0</v>
      </c>
      <c r="O1001" s="624">
        <v>0</v>
      </c>
      <c r="P1001" s="624">
        <v>0</v>
      </c>
      <c r="Q1001" s="785" t="e">
        <f t="shared" si="16"/>
        <v>#DIV/0!</v>
      </c>
      <c r="R1001" s="468" t="s">
        <v>1719</v>
      </c>
      <c r="S1001" s="629"/>
    </row>
    <row r="1002" spans="1:19" ht="15" x14ac:dyDescent="0.25">
      <c r="A1002" s="621" t="s">
        <v>351</v>
      </c>
      <c r="B1002" s="466" t="s">
        <v>111</v>
      </c>
      <c r="C1002" s="631" t="s">
        <v>904</v>
      </c>
      <c r="D1002" s="632" t="s">
        <v>883</v>
      </c>
      <c r="E1002" s="474"/>
      <c r="F1002" s="469" t="s">
        <v>112</v>
      </c>
      <c r="G1002" s="470" t="s">
        <v>1796</v>
      </c>
      <c r="H1002" s="622" t="s">
        <v>912</v>
      </c>
      <c r="I1002" s="471" t="s">
        <v>114</v>
      </c>
      <c r="J1002" s="471" t="s">
        <v>913</v>
      </c>
      <c r="K1002" s="469">
        <v>100</v>
      </c>
      <c r="L1002" s="473"/>
      <c r="M1002" s="623">
        <v>1</v>
      </c>
      <c r="N1002" s="623">
        <v>1</v>
      </c>
      <c r="O1002" s="624">
        <v>1</v>
      </c>
      <c r="P1002" s="624">
        <v>1</v>
      </c>
      <c r="Q1002" s="785">
        <f t="shared" si="16"/>
        <v>1</v>
      </c>
      <c r="R1002" s="468" t="s">
        <v>1718</v>
      </c>
      <c r="S1002" s="629"/>
    </row>
    <row r="1003" spans="1:19" ht="15" x14ac:dyDescent="0.25">
      <c r="A1003" s="621" t="s">
        <v>351</v>
      </c>
      <c r="B1003" s="466" t="s">
        <v>111</v>
      </c>
      <c r="C1003" s="631" t="s">
        <v>740</v>
      </c>
      <c r="D1003" s="632" t="s">
        <v>889</v>
      </c>
      <c r="E1003" s="474"/>
      <c r="F1003" s="469" t="s">
        <v>112</v>
      </c>
      <c r="G1003" s="470" t="s">
        <v>1796</v>
      </c>
      <c r="H1003" s="622" t="s">
        <v>914</v>
      </c>
      <c r="I1003" s="471" t="s">
        <v>114</v>
      </c>
      <c r="J1003" s="471" t="s">
        <v>913</v>
      </c>
      <c r="K1003" s="469">
        <v>100</v>
      </c>
      <c r="L1003" s="473"/>
      <c r="M1003" s="623">
        <v>37</v>
      </c>
      <c r="N1003" s="623">
        <v>37</v>
      </c>
      <c r="O1003" s="624">
        <v>1</v>
      </c>
      <c r="P1003" s="624">
        <v>1</v>
      </c>
      <c r="Q1003" s="785">
        <f t="shared" si="16"/>
        <v>1</v>
      </c>
      <c r="R1003" s="468" t="s">
        <v>1718</v>
      </c>
      <c r="S1003" s="629"/>
    </row>
    <row r="1004" spans="1:19" ht="15" x14ac:dyDescent="0.25">
      <c r="A1004" s="621" t="s">
        <v>351</v>
      </c>
      <c r="B1004" s="466" t="s">
        <v>111</v>
      </c>
      <c r="C1004" s="631" t="s">
        <v>740</v>
      </c>
      <c r="D1004" s="632" t="s">
        <v>881</v>
      </c>
      <c r="E1004" s="474"/>
      <c r="F1004" s="469" t="s">
        <v>112</v>
      </c>
      <c r="G1004" s="470" t="s">
        <v>1796</v>
      </c>
      <c r="H1004" s="622" t="s">
        <v>912</v>
      </c>
      <c r="I1004" s="471" t="s">
        <v>114</v>
      </c>
      <c r="J1004" s="471" t="s">
        <v>913</v>
      </c>
      <c r="K1004" s="469">
        <v>100</v>
      </c>
      <c r="L1004" s="473"/>
      <c r="M1004" s="623">
        <v>4</v>
      </c>
      <c r="N1004" s="623">
        <v>4</v>
      </c>
      <c r="O1004" s="624">
        <v>1</v>
      </c>
      <c r="P1004" s="624">
        <v>1</v>
      </c>
      <c r="Q1004" s="785">
        <f t="shared" si="16"/>
        <v>1</v>
      </c>
      <c r="R1004" s="468" t="s">
        <v>1718</v>
      </c>
      <c r="S1004" s="629"/>
    </row>
    <row r="1005" spans="1:19" ht="15" x14ac:dyDescent="0.25">
      <c r="A1005" s="621" t="s">
        <v>351</v>
      </c>
      <c r="B1005" s="466" t="s">
        <v>111</v>
      </c>
      <c r="C1005" s="631" t="s">
        <v>740</v>
      </c>
      <c r="D1005" s="632" t="s">
        <v>883</v>
      </c>
      <c r="E1005" s="474"/>
      <c r="F1005" s="469" t="s">
        <v>112</v>
      </c>
      <c r="G1005" s="470" t="s">
        <v>1796</v>
      </c>
      <c r="H1005" s="622" t="s">
        <v>912</v>
      </c>
      <c r="I1005" s="471" t="s">
        <v>114</v>
      </c>
      <c r="J1005" s="471" t="s">
        <v>913</v>
      </c>
      <c r="K1005" s="469">
        <v>100</v>
      </c>
      <c r="L1005" s="473"/>
      <c r="M1005" s="623">
        <v>0</v>
      </c>
      <c r="N1005" s="623">
        <v>0</v>
      </c>
      <c r="O1005" s="624">
        <v>0</v>
      </c>
      <c r="P1005" s="624">
        <v>0</v>
      </c>
      <c r="Q1005" s="785" t="e">
        <f t="shared" si="16"/>
        <v>#DIV/0!</v>
      </c>
      <c r="R1005" s="468" t="s">
        <v>1719</v>
      </c>
      <c r="S1005" s="629"/>
    </row>
    <row r="1006" spans="1:19" ht="15" x14ac:dyDescent="0.25">
      <c r="A1006" s="621" t="s">
        <v>351</v>
      </c>
      <c r="B1006" s="466" t="s">
        <v>111</v>
      </c>
      <c r="C1006" s="631" t="s">
        <v>894</v>
      </c>
      <c r="D1006" s="632" t="s">
        <v>889</v>
      </c>
      <c r="E1006" s="474"/>
      <c r="F1006" s="469" t="s">
        <v>112</v>
      </c>
      <c r="G1006" s="470" t="s">
        <v>1796</v>
      </c>
      <c r="H1006" s="622" t="s">
        <v>914</v>
      </c>
      <c r="I1006" s="471" t="s">
        <v>114</v>
      </c>
      <c r="J1006" s="471" t="s">
        <v>913</v>
      </c>
      <c r="K1006" s="469">
        <v>100</v>
      </c>
      <c r="L1006" s="473"/>
      <c r="M1006" s="623">
        <v>543</v>
      </c>
      <c r="N1006" s="623">
        <v>543</v>
      </c>
      <c r="O1006" s="624">
        <v>1</v>
      </c>
      <c r="P1006" s="624">
        <v>1</v>
      </c>
      <c r="Q1006" s="785">
        <f t="shared" si="16"/>
        <v>1</v>
      </c>
      <c r="R1006" s="468" t="s">
        <v>1718</v>
      </c>
      <c r="S1006" s="629"/>
    </row>
    <row r="1007" spans="1:19" ht="15" x14ac:dyDescent="0.25">
      <c r="A1007" s="621" t="s">
        <v>351</v>
      </c>
      <c r="B1007" s="466" t="s">
        <v>111</v>
      </c>
      <c r="C1007" s="631" t="s">
        <v>894</v>
      </c>
      <c r="D1007" s="632" t="s">
        <v>881</v>
      </c>
      <c r="E1007" s="474"/>
      <c r="F1007" s="469" t="s">
        <v>112</v>
      </c>
      <c r="G1007" s="470" t="s">
        <v>1796</v>
      </c>
      <c r="H1007" s="622" t="s">
        <v>912</v>
      </c>
      <c r="I1007" s="471" t="s">
        <v>114</v>
      </c>
      <c r="J1007" s="471" t="s">
        <v>913</v>
      </c>
      <c r="K1007" s="469">
        <v>100</v>
      </c>
      <c r="L1007" s="473"/>
      <c r="M1007" s="623">
        <v>78</v>
      </c>
      <c r="N1007" s="623">
        <v>78</v>
      </c>
      <c r="O1007" s="624">
        <v>1</v>
      </c>
      <c r="P1007" s="624">
        <v>1</v>
      </c>
      <c r="Q1007" s="785">
        <f t="shared" si="16"/>
        <v>1</v>
      </c>
      <c r="R1007" s="468" t="s">
        <v>1718</v>
      </c>
      <c r="S1007" s="629"/>
    </row>
    <row r="1008" spans="1:19" ht="15" x14ac:dyDescent="0.25">
      <c r="A1008" s="621" t="s">
        <v>351</v>
      </c>
      <c r="B1008" s="466" t="s">
        <v>111</v>
      </c>
      <c r="C1008" s="631" t="s">
        <v>894</v>
      </c>
      <c r="D1008" s="632" t="s">
        <v>883</v>
      </c>
      <c r="E1008" s="474"/>
      <c r="F1008" s="469" t="s">
        <v>112</v>
      </c>
      <c r="G1008" s="470" t="s">
        <v>1796</v>
      </c>
      <c r="H1008" s="622" t="s">
        <v>912</v>
      </c>
      <c r="I1008" s="471" t="s">
        <v>114</v>
      </c>
      <c r="J1008" s="471" t="s">
        <v>913</v>
      </c>
      <c r="K1008" s="469">
        <v>100</v>
      </c>
      <c r="L1008" s="473"/>
      <c r="M1008" s="623">
        <v>25</v>
      </c>
      <c r="N1008" s="623">
        <v>25</v>
      </c>
      <c r="O1008" s="624">
        <v>1</v>
      </c>
      <c r="P1008" s="624">
        <v>1</v>
      </c>
      <c r="Q1008" s="785">
        <f t="shared" si="16"/>
        <v>1</v>
      </c>
      <c r="R1008" s="468" t="s">
        <v>1718</v>
      </c>
      <c r="S1008" s="629"/>
    </row>
    <row r="1009" spans="1:19" ht="15" x14ac:dyDescent="0.25">
      <c r="A1009" s="621" t="s">
        <v>351</v>
      </c>
      <c r="B1009" s="466" t="s">
        <v>111</v>
      </c>
      <c r="C1009" s="631" t="s">
        <v>894</v>
      </c>
      <c r="D1009" s="632" t="s">
        <v>869</v>
      </c>
      <c r="E1009" s="474"/>
      <c r="F1009" s="469" t="s">
        <v>112</v>
      </c>
      <c r="G1009" s="470" t="s">
        <v>1796</v>
      </c>
      <c r="H1009" s="622" t="s">
        <v>912</v>
      </c>
      <c r="I1009" s="471" t="s">
        <v>114</v>
      </c>
      <c r="J1009" s="471" t="s">
        <v>913</v>
      </c>
      <c r="K1009" s="469">
        <v>100</v>
      </c>
      <c r="L1009" s="473"/>
      <c r="M1009" s="623">
        <v>0</v>
      </c>
      <c r="N1009" s="623">
        <v>0</v>
      </c>
      <c r="O1009" s="624">
        <v>0</v>
      </c>
      <c r="P1009" s="624">
        <v>0</v>
      </c>
      <c r="Q1009" s="785" t="e">
        <f t="shared" si="16"/>
        <v>#DIV/0!</v>
      </c>
      <c r="R1009" s="468" t="s">
        <v>1719</v>
      </c>
      <c r="S1009" s="629"/>
    </row>
    <row r="1010" spans="1:19" ht="18.75" customHeight="1" x14ac:dyDescent="0.25">
      <c r="A1010" s="621" t="s">
        <v>351</v>
      </c>
      <c r="B1010" s="466" t="s">
        <v>111</v>
      </c>
      <c r="C1010" s="466" t="s">
        <v>99</v>
      </c>
      <c r="D1010" s="467" t="s">
        <v>866</v>
      </c>
      <c r="E1010" s="474"/>
      <c r="F1010" s="469" t="s">
        <v>112</v>
      </c>
      <c r="G1010" s="470" t="s">
        <v>290</v>
      </c>
      <c r="H1010" s="637" t="s">
        <v>1797</v>
      </c>
      <c r="I1010" s="471" t="s">
        <v>114</v>
      </c>
      <c r="J1010" s="471" t="s">
        <v>913</v>
      </c>
      <c r="K1010" s="469">
        <v>100</v>
      </c>
      <c r="L1010" s="473"/>
      <c r="M1010" s="623">
        <v>0</v>
      </c>
      <c r="N1010" s="623">
        <v>0</v>
      </c>
      <c r="O1010" s="624">
        <v>0</v>
      </c>
      <c r="P1010" s="624">
        <v>0</v>
      </c>
      <c r="Q1010" s="785" t="e">
        <f t="shared" si="16"/>
        <v>#DIV/0!</v>
      </c>
      <c r="R1010" s="625" t="s">
        <v>1719</v>
      </c>
      <c r="S1010" s="638"/>
    </row>
    <row r="1011" spans="1:19" ht="15" x14ac:dyDescent="0.25">
      <c r="A1011" s="621" t="s">
        <v>351</v>
      </c>
      <c r="B1011" s="466" t="s">
        <v>111</v>
      </c>
      <c r="C1011" s="630" t="s">
        <v>99</v>
      </c>
      <c r="D1011" s="628" t="s">
        <v>869</v>
      </c>
      <c r="E1011" s="474"/>
      <c r="F1011" s="469" t="s">
        <v>112</v>
      </c>
      <c r="G1011" s="470" t="s">
        <v>290</v>
      </c>
      <c r="H1011" s="637" t="s">
        <v>1797</v>
      </c>
      <c r="I1011" s="471" t="s">
        <v>114</v>
      </c>
      <c r="J1011" s="471" t="s">
        <v>913</v>
      </c>
      <c r="K1011" s="469">
        <v>100</v>
      </c>
      <c r="L1011" s="473"/>
      <c r="M1011" s="623">
        <v>14</v>
      </c>
      <c r="N1011" s="623">
        <v>14</v>
      </c>
      <c r="O1011" s="624">
        <v>1</v>
      </c>
      <c r="P1011" s="624">
        <v>1</v>
      </c>
      <c r="Q1011" s="785">
        <f t="shared" si="16"/>
        <v>1</v>
      </c>
      <c r="R1011" s="468" t="s">
        <v>1718</v>
      </c>
      <c r="S1011" s="629"/>
    </row>
    <row r="1012" spans="1:19" ht="15" x14ac:dyDescent="0.25">
      <c r="A1012" s="621" t="s">
        <v>351</v>
      </c>
      <c r="B1012" s="466" t="s">
        <v>111</v>
      </c>
      <c r="C1012" s="630" t="s">
        <v>870</v>
      </c>
      <c r="D1012" s="628" t="s">
        <v>889</v>
      </c>
      <c r="E1012" s="474"/>
      <c r="F1012" s="469" t="s">
        <v>112</v>
      </c>
      <c r="G1012" s="470" t="s">
        <v>290</v>
      </c>
      <c r="H1012" s="637" t="s">
        <v>1797</v>
      </c>
      <c r="I1012" s="471" t="s">
        <v>114</v>
      </c>
      <c r="J1012" s="471" t="s">
        <v>913</v>
      </c>
      <c r="K1012" s="469">
        <v>100</v>
      </c>
      <c r="L1012" s="473"/>
      <c r="M1012" s="623">
        <v>50</v>
      </c>
      <c r="N1012" s="623">
        <v>50</v>
      </c>
      <c r="O1012" s="624">
        <v>1</v>
      </c>
      <c r="P1012" s="624">
        <v>1</v>
      </c>
      <c r="Q1012" s="785">
        <f t="shared" si="16"/>
        <v>1</v>
      </c>
      <c r="R1012" s="468" t="s">
        <v>1718</v>
      </c>
      <c r="S1012" s="629"/>
    </row>
    <row r="1013" spans="1:19" ht="15" x14ac:dyDescent="0.25">
      <c r="A1013" s="621" t="s">
        <v>351</v>
      </c>
      <c r="B1013" s="466" t="s">
        <v>111</v>
      </c>
      <c r="C1013" s="631" t="s">
        <v>870</v>
      </c>
      <c r="D1013" s="628" t="s">
        <v>881</v>
      </c>
      <c r="E1013" s="474"/>
      <c r="F1013" s="469" t="s">
        <v>112</v>
      </c>
      <c r="G1013" s="470" t="s">
        <v>290</v>
      </c>
      <c r="H1013" s="637" t="s">
        <v>1797</v>
      </c>
      <c r="I1013" s="471" t="s">
        <v>114</v>
      </c>
      <c r="J1013" s="471" t="s">
        <v>913</v>
      </c>
      <c r="K1013" s="469">
        <v>100</v>
      </c>
      <c r="L1013" s="473"/>
      <c r="M1013" s="623">
        <v>19</v>
      </c>
      <c r="N1013" s="623">
        <v>19</v>
      </c>
      <c r="O1013" s="624">
        <v>1</v>
      </c>
      <c r="P1013" s="624">
        <v>1</v>
      </c>
      <c r="Q1013" s="785">
        <f t="shared" si="16"/>
        <v>1</v>
      </c>
      <c r="R1013" s="468" t="s">
        <v>1718</v>
      </c>
      <c r="S1013" s="629"/>
    </row>
    <row r="1014" spans="1:19" ht="15" x14ac:dyDescent="0.25">
      <c r="A1014" s="621" t="s">
        <v>351</v>
      </c>
      <c r="B1014" s="466" t="s">
        <v>111</v>
      </c>
      <c r="C1014" s="631" t="s">
        <v>870</v>
      </c>
      <c r="D1014" s="628" t="s">
        <v>883</v>
      </c>
      <c r="E1014" s="474"/>
      <c r="F1014" s="469" t="s">
        <v>112</v>
      </c>
      <c r="G1014" s="470" t="s">
        <v>290</v>
      </c>
      <c r="H1014" s="637" t="s">
        <v>1797</v>
      </c>
      <c r="I1014" s="471" t="s">
        <v>114</v>
      </c>
      <c r="J1014" s="471" t="s">
        <v>913</v>
      </c>
      <c r="K1014" s="469">
        <v>100</v>
      </c>
      <c r="L1014" s="473"/>
      <c r="M1014" s="623">
        <v>39</v>
      </c>
      <c r="N1014" s="623">
        <v>39</v>
      </c>
      <c r="O1014" s="624">
        <v>1</v>
      </c>
      <c r="P1014" s="624">
        <v>1</v>
      </c>
      <c r="Q1014" s="785">
        <f t="shared" si="16"/>
        <v>1</v>
      </c>
      <c r="R1014" s="468" t="s">
        <v>1718</v>
      </c>
      <c r="S1014" s="629"/>
    </row>
    <row r="1015" spans="1:19" ht="15" x14ac:dyDescent="0.25">
      <c r="A1015" s="621" t="s">
        <v>351</v>
      </c>
      <c r="B1015" s="466" t="s">
        <v>111</v>
      </c>
      <c r="C1015" s="631" t="s">
        <v>870</v>
      </c>
      <c r="D1015" s="632" t="s">
        <v>866</v>
      </c>
      <c r="E1015" s="474"/>
      <c r="F1015" s="469" t="s">
        <v>112</v>
      </c>
      <c r="G1015" s="470" t="s">
        <v>290</v>
      </c>
      <c r="H1015" s="637" t="s">
        <v>1797</v>
      </c>
      <c r="I1015" s="471" t="s">
        <v>114</v>
      </c>
      <c r="J1015" s="471" t="s">
        <v>913</v>
      </c>
      <c r="K1015" s="469">
        <v>100</v>
      </c>
      <c r="L1015" s="473"/>
      <c r="M1015" s="623">
        <v>67</v>
      </c>
      <c r="N1015" s="623">
        <v>67</v>
      </c>
      <c r="O1015" s="624">
        <v>1</v>
      </c>
      <c r="P1015" s="624">
        <v>1</v>
      </c>
      <c r="Q1015" s="785">
        <f t="shared" si="16"/>
        <v>1</v>
      </c>
      <c r="R1015" s="468" t="s">
        <v>1718</v>
      </c>
      <c r="S1015" s="629"/>
    </row>
    <row r="1016" spans="1:19" ht="15" x14ac:dyDescent="0.25">
      <c r="A1016" s="621" t="s">
        <v>351</v>
      </c>
      <c r="B1016" s="466" t="s">
        <v>111</v>
      </c>
      <c r="C1016" s="631" t="s">
        <v>870</v>
      </c>
      <c r="D1016" s="632" t="s">
        <v>869</v>
      </c>
      <c r="E1016" s="474"/>
      <c r="F1016" s="469" t="s">
        <v>112</v>
      </c>
      <c r="G1016" s="470" t="s">
        <v>290</v>
      </c>
      <c r="H1016" s="637" t="s">
        <v>1797</v>
      </c>
      <c r="I1016" s="471" t="s">
        <v>114</v>
      </c>
      <c r="J1016" s="471" t="s">
        <v>913</v>
      </c>
      <c r="K1016" s="469">
        <v>100</v>
      </c>
      <c r="L1016" s="473"/>
      <c r="M1016" s="623">
        <v>46</v>
      </c>
      <c r="N1016" s="623">
        <v>46</v>
      </c>
      <c r="O1016" s="624">
        <v>1</v>
      </c>
      <c r="P1016" s="624">
        <v>1</v>
      </c>
      <c r="Q1016" s="785">
        <f t="shared" si="16"/>
        <v>1</v>
      </c>
      <c r="R1016" s="468" t="s">
        <v>1718</v>
      </c>
      <c r="S1016" s="629"/>
    </row>
    <row r="1017" spans="1:19" ht="15" x14ac:dyDescent="0.25">
      <c r="A1017" s="621" t="s">
        <v>351</v>
      </c>
      <c r="B1017" s="466" t="s">
        <v>111</v>
      </c>
      <c r="C1017" s="631" t="s">
        <v>738</v>
      </c>
      <c r="D1017" s="632" t="s">
        <v>889</v>
      </c>
      <c r="E1017" s="474"/>
      <c r="F1017" s="469" t="s">
        <v>112</v>
      </c>
      <c r="G1017" s="470" t="s">
        <v>290</v>
      </c>
      <c r="H1017" s="637" t="s">
        <v>1797</v>
      </c>
      <c r="I1017" s="471" t="s">
        <v>114</v>
      </c>
      <c r="J1017" s="471" t="s">
        <v>913</v>
      </c>
      <c r="K1017" s="469">
        <v>100</v>
      </c>
      <c r="L1017" s="473"/>
      <c r="M1017" s="623">
        <v>156</v>
      </c>
      <c r="N1017" s="623">
        <v>156</v>
      </c>
      <c r="O1017" s="624">
        <v>1</v>
      </c>
      <c r="P1017" s="624">
        <v>1</v>
      </c>
      <c r="Q1017" s="785">
        <f t="shared" si="16"/>
        <v>1</v>
      </c>
      <c r="R1017" s="468" t="s">
        <v>1718</v>
      </c>
      <c r="S1017" s="629"/>
    </row>
    <row r="1018" spans="1:19" ht="15" x14ac:dyDescent="0.25">
      <c r="A1018" s="621" t="s">
        <v>351</v>
      </c>
      <c r="B1018" s="466" t="s">
        <v>111</v>
      </c>
      <c r="C1018" s="631" t="s">
        <v>738</v>
      </c>
      <c r="D1018" s="632" t="s">
        <v>881</v>
      </c>
      <c r="E1018" s="474"/>
      <c r="F1018" s="469" t="s">
        <v>112</v>
      </c>
      <c r="G1018" s="470" t="s">
        <v>290</v>
      </c>
      <c r="H1018" s="637" t="s">
        <v>1797</v>
      </c>
      <c r="I1018" s="471" t="s">
        <v>114</v>
      </c>
      <c r="J1018" s="471" t="s">
        <v>913</v>
      </c>
      <c r="K1018" s="469">
        <v>100</v>
      </c>
      <c r="L1018" s="473"/>
      <c r="M1018" s="623">
        <v>54</v>
      </c>
      <c r="N1018" s="623">
        <v>54</v>
      </c>
      <c r="O1018" s="624">
        <v>1</v>
      </c>
      <c r="P1018" s="624">
        <v>1</v>
      </c>
      <c r="Q1018" s="785">
        <f t="shared" si="16"/>
        <v>1</v>
      </c>
      <c r="R1018" s="468" t="s">
        <v>1718</v>
      </c>
      <c r="S1018" s="629"/>
    </row>
    <row r="1019" spans="1:19" ht="15" x14ac:dyDescent="0.25">
      <c r="A1019" s="621" t="s">
        <v>351</v>
      </c>
      <c r="B1019" s="466" t="s">
        <v>111</v>
      </c>
      <c r="C1019" s="631" t="s">
        <v>738</v>
      </c>
      <c r="D1019" s="632" t="s">
        <v>883</v>
      </c>
      <c r="E1019" s="474"/>
      <c r="F1019" s="469" t="s">
        <v>112</v>
      </c>
      <c r="G1019" s="470" t="s">
        <v>290</v>
      </c>
      <c r="H1019" s="637" t="s">
        <v>1797</v>
      </c>
      <c r="I1019" s="471" t="s">
        <v>114</v>
      </c>
      <c r="J1019" s="471" t="s">
        <v>913</v>
      </c>
      <c r="K1019" s="469">
        <v>100</v>
      </c>
      <c r="L1019" s="473"/>
      <c r="M1019" s="623">
        <v>0</v>
      </c>
      <c r="N1019" s="623">
        <v>0</v>
      </c>
      <c r="O1019" s="624">
        <v>0</v>
      </c>
      <c r="P1019" s="624">
        <v>0</v>
      </c>
      <c r="Q1019" s="785" t="e">
        <f t="shared" si="16"/>
        <v>#DIV/0!</v>
      </c>
      <c r="R1019" s="468" t="s">
        <v>1719</v>
      </c>
      <c r="S1019" s="629"/>
    </row>
    <row r="1020" spans="1:19" ht="15" x14ac:dyDescent="0.25">
      <c r="A1020" s="621" t="s">
        <v>351</v>
      </c>
      <c r="B1020" s="466" t="s">
        <v>111</v>
      </c>
      <c r="C1020" s="631" t="s">
        <v>738</v>
      </c>
      <c r="D1020" s="632" t="s">
        <v>866</v>
      </c>
      <c r="E1020" s="474"/>
      <c r="F1020" s="469" t="s">
        <v>112</v>
      </c>
      <c r="G1020" s="470" t="s">
        <v>290</v>
      </c>
      <c r="H1020" s="637" t="s">
        <v>1797</v>
      </c>
      <c r="I1020" s="471" t="s">
        <v>114</v>
      </c>
      <c r="J1020" s="471" t="s">
        <v>913</v>
      </c>
      <c r="K1020" s="469">
        <v>100</v>
      </c>
      <c r="L1020" s="473"/>
      <c r="M1020" s="623">
        <v>0</v>
      </c>
      <c r="N1020" s="623">
        <v>0</v>
      </c>
      <c r="O1020" s="624">
        <v>0</v>
      </c>
      <c r="P1020" s="624">
        <v>0</v>
      </c>
      <c r="Q1020" s="785" t="e">
        <f t="shared" si="16"/>
        <v>#DIV/0!</v>
      </c>
      <c r="R1020" s="468" t="s">
        <v>1719</v>
      </c>
      <c r="S1020" s="629"/>
    </row>
    <row r="1021" spans="1:19" ht="15" x14ac:dyDescent="0.25">
      <c r="A1021" s="621" t="s">
        <v>351</v>
      </c>
      <c r="B1021" s="466" t="s">
        <v>111</v>
      </c>
      <c r="C1021" s="631" t="s">
        <v>738</v>
      </c>
      <c r="D1021" s="632" t="s">
        <v>869</v>
      </c>
      <c r="E1021" s="474"/>
      <c r="F1021" s="469" t="s">
        <v>112</v>
      </c>
      <c r="G1021" s="470" t="s">
        <v>290</v>
      </c>
      <c r="H1021" s="637" t="s">
        <v>1797</v>
      </c>
      <c r="I1021" s="471" t="s">
        <v>114</v>
      </c>
      <c r="J1021" s="471" t="s">
        <v>913</v>
      </c>
      <c r="K1021" s="469">
        <v>100</v>
      </c>
      <c r="L1021" s="473"/>
      <c r="M1021" s="623">
        <v>7</v>
      </c>
      <c r="N1021" s="623">
        <v>7</v>
      </c>
      <c r="O1021" s="624">
        <v>1</v>
      </c>
      <c r="P1021" s="624">
        <v>1</v>
      </c>
      <c r="Q1021" s="785">
        <f t="shared" si="16"/>
        <v>1</v>
      </c>
      <c r="R1021" s="468" t="s">
        <v>1718</v>
      </c>
      <c r="S1021" s="629"/>
    </row>
    <row r="1022" spans="1:19" ht="15" x14ac:dyDescent="0.25">
      <c r="A1022" s="621" t="s">
        <v>351</v>
      </c>
      <c r="B1022" s="466" t="s">
        <v>111</v>
      </c>
      <c r="C1022" s="631" t="s">
        <v>101</v>
      </c>
      <c r="D1022" s="632" t="s">
        <v>889</v>
      </c>
      <c r="E1022" s="474"/>
      <c r="F1022" s="469" t="s">
        <v>112</v>
      </c>
      <c r="G1022" s="470" t="s">
        <v>290</v>
      </c>
      <c r="H1022" s="637" t="s">
        <v>1797</v>
      </c>
      <c r="I1022" s="471" t="s">
        <v>114</v>
      </c>
      <c r="J1022" s="471" t="s">
        <v>913</v>
      </c>
      <c r="K1022" s="469">
        <v>100</v>
      </c>
      <c r="L1022" s="473"/>
      <c r="M1022" s="623">
        <v>112</v>
      </c>
      <c r="N1022" s="623">
        <v>112</v>
      </c>
      <c r="O1022" s="624">
        <v>1</v>
      </c>
      <c r="P1022" s="624">
        <v>1</v>
      </c>
      <c r="Q1022" s="785">
        <f t="shared" si="16"/>
        <v>1</v>
      </c>
      <c r="R1022" s="468" t="s">
        <v>1718</v>
      </c>
      <c r="S1022" s="629"/>
    </row>
    <row r="1023" spans="1:19" ht="15" x14ac:dyDescent="0.25">
      <c r="A1023" s="621" t="s">
        <v>351</v>
      </c>
      <c r="B1023" s="466" t="s">
        <v>111</v>
      </c>
      <c r="C1023" s="631" t="s">
        <v>101</v>
      </c>
      <c r="D1023" s="632" t="s">
        <v>881</v>
      </c>
      <c r="E1023" s="474"/>
      <c r="F1023" s="469" t="s">
        <v>112</v>
      </c>
      <c r="G1023" s="470" t="s">
        <v>290</v>
      </c>
      <c r="H1023" s="637" t="s">
        <v>1797</v>
      </c>
      <c r="I1023" s="471" t="s">
        <v>114</v>
      </c>
      <c r="J1023" s="471" t="s">
        <v>913</v>
      </c>
      <c r="K1023" s="469">
        <v>100</v>
      </c>
      <c r="L1023" s="473"/>
      <c r="M1023" s="623">
        <v>9</v>
      </c>
      <c r="N1023" s="623">
        <v>9</v>
      </c>
      <c r="O1023" s="624">
        <v>1</v>
      </c>
      <c r="P1023" s="624">
        <v>1</v>
      </c>
      <c r="Q1023" s="785">
        <f t="shared" si="16"/>
        <v>1</v>
      </c>
      <c r="R1023" s="468" t="s">
        <v>1718</v>
      </c>
      <c r="S1023" s="629"/>
    </row>
    <row r="1024" spans="1:19" ht="15" x14ac:dyDescent="0.25">
      <c r="A1024" s="621" t="s">
        <v>351</v>
      </c>
      <c r="B1024" s="466" t="s">
        <v>111</v>
      </c>
      <c r="C1024" s="631" t="s">
        <v>101</v>
      </c>
      <c r="D1024" s="632" t="s">
        <v>883</v>
      </c>
      <c r="E1024" s="474"/>
      <c r="F1024" s="469" t="s">
        <v>112</v>
      </c>
      <c r="G1024" s="470" t="s">
        <v>290</v>
      </c>
      <c r="H1024" s="637" t="s">
        <v>1797</v>
      </c>
      <c r="I1024" s="471" t="s">
        <v>114</v>
      </c>
      <c r="J1024" s="471" t="s">
        <v>913</v>
      </c>
      <c r="K1024" s="469">
        <v>100</v>
      </c>
      <c r="L1024" s="473"/>
      <c r="M1024" s="623">
        <v>0</v>
      </c>
      <c r="N1024" s="623">
        <v>0</v>
      </c>
      <c r="O1024" s="624">
        <v>0</v>
      </c>
      <c r="P1024" s="624">
        <v>0</v>
      </c>
      <c r="Q1024" s="785" t="e">
        <f t="shared" si="16"/>
        <v>#DIV/0!</v>
      </c>
      <c r="R1024" s="468" t="s">
        <v>1719</v>
      </c>
      <c r="S1024" s="629"/>
    </row>
    <row r="1025" spans="1:19" ht="15" x14ac:dyDescent="0.25">
      <c r="A1025" s="621" t="s">
        <v>351</v>
      </c>
      <c r="B1025" s="466" t="s">
        <v>111</v>
      </c>
      <c r="C1025" s="631" t="s">
        <v>101</v>
      </c>
      <c r="D1025" s="632" t="s">
        <v>866</v>
      </c>
      <c r="E1025" s="474"/>
      <c r="F1025" s="469" t="s">
        <v>112</v>
      </c>
      <c r="G1025" s="470" t="s">
        <v>290</v>
      </c>
      <c r="H1025" s="637" t="s">
        <v>1797</v>
      </c>
      <c r="I1025" s="471" t="s">
        <v>114</v>
      </c>
      <c r="J1025" s="471" t="s">
        <v>913</v>
      </c>
      <c r="K1025" s="469">
        <v>100</v>
      </c>
      <c r="L1025" s="473"/>
      <c r="M1025" s="623">
        <v>13</v>
      </c>
      <c r="N1025" s="623">
        <v>13</v>
      </c>
      <c r="O1025" s="624">
        <v>1</v>
      </c>
      <c r="P1025" s="624">
        <v>1</v>
      </c>
      <c r="Q1025" s="785">
        <f t="shared" si="16"/>
        <v>1</v>
      </c>
      <c r="R1025" s="468" t="s">
        <v>1718</v>
      </c>
      <c r="S1025" s="629"/>
    </row>
    <row r="1026" spans="1:19" ht="15" x14ac:dyDescent="0.25">
      <c r="A1026" s="621" t="s">
        <v>351</v>
      </c>
      <c r="B1026" s="466" t="s">
        <v>111</v>
      </c>
      <c r="C1026" s="631" t="s">
        <v>101</v>
      </c>
      <c r="D1026" s="632" t="s">
        <v>869</v>
      </c>
      <c r="E1026" s="474"/>
      <c r="F1026" s="469" t="s">
        <v>112</v>
      </c>
      <c r="G1026" s="470" t="s">
        <v>290</v>
      </c>
      <c r="H1026" s="637" t="s">
        <v>1797</v>
      </c>
      <c r="I1026" s="471" t="s">
        <v>114</v>
      </c>
      <c r="J1026" s="471" t="s">
        <v>913</v>
      </c>
      <c r="K1026" s="469">
        <v>100</v>
      </c>
      <c r="L1026" s="473"/>
      <c r="M1026" s="623">
        <v>0</v>
      </c>
      <c r="N1026" s="623">
        <v>0</v>
      </c>
      <c r="O1026" s="624">
        <v>0</v>
      </c>
      <c r="P1026" s="624">
        <v>0</v>
      </c>
      <c r="Q1026" s="785" t="e">
        <f t="shared" si="16"/>
        <v>#DIV/0!</v>
      </c>
      <c r="R1026" s="468" t="s">
        <v>1719</v>
      </c>
      <c r="S1026" s="629"/>
    </row>
    <row r="1027" spans="1:19" ht="15" x14ac:dyDescent="0.25">
      <c r="A1027" s="621" t="s">
        <v>351</v>
      </c>
      <c r="B1027" s="466" t="s">
        <v>111</v>
      </c>
      <c r="C1027" s="631" t="s">
        <v>885</v>
      </c>
      <c r="D1027" s="632" t="s">
        <v>889</v>
      </c>
      <c r="E1027" s="474"/>
      <c r="F1027" s="469" t="s">
        <v>112</v>
      </c>
      <c r="G1027" s="470" t="s">
        <v>290</v>
      </c>
      <c r="H1027" s="637" t="s">
        <v>1797</v>
      </c>
      <c r="I1027" s="471" t="s">
        <v>114</v>
      </c>
      <c r="J1027" s="471" t="s">
        <v>913</v>
      </c>
      <c r="K1027" s="469">
        <v>100</v>
      </c>
      <c r="L1027" s="473"/>
      <c r="M1027" s="623">
        <v>0</v>
      </c>
      <c r="N1027" s="623">
        <v>0</v>
      </c>
      <c r="O1027" s="624">
        <v>0</v>
      </c>
      <c r="P1027" s="624">
        <v>0</v>
      </c>
      <c r="Q1027" s="785" t="e">
        <f t="shared" si="16"/>
        <v>#DIV/0!</v>
      </c>
      <c r="R1027" s="468" t="s">
        <v>1719</v>
      </c>
      <c r="S1027" s="629"/>
    </row>
    <row r="1028" spans="1:19" ht="15" x14ac:dyDescent="0.25">
      <c r="A1028" s="621" t="s">
        <v>351</v>
      </c>
      <c r="B1028" s="466" t="s">
        <v>111</v>
      </c>
      <c r="C1028" s="631" t="s">
        <v>885</v>
      </c>
      <c r="D1028" s="632" t="s">
        <v>881</v>
      </c>
      <c r="E1028" s="474"/>
      <c r="F1028" s="469" t="s">
        <v>112</v>
      </c>
      <c r="G1028" s="470" t="s">
        <v>290</v>
      </c>
      <c r="H1028" s="637" t="s">
        <v>1797</v>
      </c>
      <c r="I1028" s="471" t="s">
        <v>114</v>
      </c>
      <c r="J1028" s="471" t="s">
        <v>913</v>
      </c>
      <c r="K1028" s="469">
        <v>100</v>
      </c>
      <c r="L1028" s="473"/>
      <c r="M1028" s="623">
        <v>5</v>
      </c>
      <c r="N1028" s="623">
        <v>5</v>
      </c>
      <c r="O1028" s="624">
        <v>1</v>
      </c>
      <c r="P1028" s="624">
        <v>1</v>
      </c>
      <c r="Q1028" s="785">
        <f t="shared" si="16"/>
        <v>1</v>
      </c>
      <c r="R1028" s="468" t="s">
        <v>1718</v>
      </c>
      <c r="S1028" s="629"/>
    </row>
    <row r="1029" spans="1:19" ht="15" x14ac:dyDescent="0.25">
      <c r="A1029" s="621" t="s">
        <v>351</v>
      </c>
      <c r="B1029" s="466" t="s">
        <v>111</v>
      </c>
      <c r="C1029" s="631" t="s">
        <v>885</v>
      </c>
      <c r="D1029" s="632" t="s">
        <v>883</v>
      </c>
      <c r="E1029" s="474"/>
      <c r="F1029" s="469" t="s">
        <v>112</v>
      </c>
      <c r="G1029" s="470" t="s">
        <v>290</v>
      </c>
      <c r="H1029" s="637" t="s">
        <v>1797</v>
      </c>
      <c r="I1029" s="471" t="s">
        <v>114</v>
      </c>
      <c r="J1029" s="471" t="s">
        <v>913</v>
      </c>
      <c r="K1029" s="469">
        <v>100</v>
      </c>
      <c r="L1029" s="473"/>
      <c r="M1029" s="623">
        <v>5</v>
      </c>
      <c r="N1029" s="623">
        <v>5</v>
      </c>
      <c r="O1029" s="624">
        <v>1</v>
      </c>
      <c r="P1029" s="624">
        <v>1</v>
      </c>
      <c r="Q1029" s="785">
        <f t="shared" si="16"/>
        <v>1</v>
      </c>
      <c r="R1029" s="468" t="s">
        <v>1718</v>
      </c>
      <c r="S1029" s="629"/>
    </row>
    <row r="1030" spans="1:19" ht="15" x14ac:dyDescent="0.25">
      <c r="A1030" s="621" t="s">
        <v>351</v>
      </c>
      <c r="B1030" s="466" t="s">
        <v>111</v>
      </c>
      <c r="C1030" s="631" t="s">
        <v>885</v>
      </c>
      <c r="D1030" s="632" t="s">
        <v>866</v>
      </c>
      <c r="E1030" s="474"/>
      <c r="F1030" s="469" t="s">
        <v>112</v>
      </c>
      <c r="G1030" s="470" t="s">
        <v>290</v>
      </c>
      <c r="H1030" s="637" t="s">
        <v>1797</v>
      </c>
      <c r="I1030" s="471" t="s">
        <v>114</v>
      </c>
      <c r="J1030" s="471" t="s">
        <v>913</v>
      </c>
      <c r="K1030" s="469">
        <v>100</v>
      </c>
      <c r="L1030" s="473"/>
      <c r="M1030" s="623">
        <v>0</v>
      </c>
      <c r="N1030" s="623">
        <v>0</v>
      </c>
      <c r="O1030" s="624">
        <v>0</v>
      </c>
      <c r="P1030" s="624">
        <v>0</v>
      </c>
      <c r="Q1030" s="785" t="e">
        <f t="shared" ref="Q1030:Q1093" si="17">N1030/(M1030*K1030/100)</f>
        <v>#DIV/0!</v>
      </c>
      <c r="R1030" s="468" t="s">
        <v>1719</v>
      </c>
      <c r="S1030" s="629"/>
    </row>
    <row r="1031" spans="1:19" ht="15" x14ac:dyDescent="0.25">
      <c r="A1031" s="621" t="s">
        <v>351</v>
      </c>
      <c r="B1031" s="466" t="s">
        <v>111</v>
      </c>
      <c r="C1031" s="631" t="s">
        <v>885</v>
      </c>
      <c r="D1031" s="632" t="s">
        <v>869</v>
      </c>
      <c r="E1031" s="474"/>
      <c r="F1031" s="469" t="s">
        <v>112</v>
      </c>
      <c r="G1031" s="470" t="s">
        <v>290</v>
      </c>
      <c r="H1031" s="637" t="s">
        <v>1797</v>
      </c>
      <c r="I1031" s="471" t="s">
        <v>114</v>
      </c>
      <c r="J1031" s="471" t="s">
        <v>913</v>
      </c>
      <c r="K1031" s="469">
        <v>100</v>
      </c>
      <c r="L1031" s="473"/>
      <c r="M1031" s="623">
        <v>12</v>
      </c>
      <c r="N1031" s="623">
        <v>12</v>
      </c>
      <c r="O1031" s="624">
        <v>1</v>
      </c>
      <c r="P1031" s="624">
        <v>1</v>
      </c>
      <c r="Q1031" s="785">
        <f t="shared" si="17"/>
        <v>1</v>
      </c>
      <c r="R1031" s="468" t="s">
        <v>1718</v>
      </c>
      <c r="S1031" s="629"/>
    </row>
    <row r="1032" spans="1:19" ht="15" x14ac:dyDescent="0.25">
      <c r="A1032" s="621" t="s">
        <v>351</v>
      </c>
      <c r="B1032" s="466" t="s">
        <v>111</v>
      </c>
      <c r="C1032" s="631" t="s">
        <v>885</v>
      </c>
      <c r="D1032" s="632" t="s">
        <v>887</v>
      </c>
      <c r="E1032" s="474"/>
      <c r="F1032" s="469" t="s">
        <v>112</v>
      </c>
      <c r="G1032" s="470" t="s">
        <v>290</v>
      </c>
      <c r="H1032" s="637" t="s">
        <v>1797</v>
      </c>
      <c r="I1032" s="471" t="s">
        <v>114</v>
      </c>
      <c r="J1032" s="471" t="s">
        <v>913</v>
      </c>
      <c r="K1032" s="469">
        <v>100</v>
      </c>
      <c r="L1032" s="473"/>
      <c r="M1032" s="623">
        <v>20</v>
      </c>
      <c r="N1032" s="623">
        <v>20</v>
      </c>
      <c r="O1032" s="624">
        <v>1</v>
      </c>
      <c r="P1032" s="624">
        <v>1</v>
      </c>
      <c r="Q1032" s="785">
        <f t="shared" si="17"/>
        <v>1</v>
      </c>
      <c r="R1032" s="468" t="s">
        <v>1718</v>
      </c>
      <c r="S1032" s="629"/>
    </row>
    <row r="1033" spans="1:19" ht="15" x14ac:dyDescent="0.25">
      <c r="A1033" s="621" t="s">
        <v>351</v>
      </c>
      <c r="B1033" s="466" t="s">
        <v>111</v>
      </c>
      <c r="C1033" s="631" t="s">
        <v>904</v>
      </c>
      <c r="D1033" s="632" t="s">
        <v>881</v>
      </c>
      <c r="E1033" s="474"/>
      <c r="F1033" s="469" t="s">
        <v>112</v>
      </c>
      <c r="G1033" s="470" t="s">
        <v>290</v>
      </c>
      <c r="H1033" s="637" t="s">
        <v>1797</v>
      </c>
      <c r="I1033" s="471" t="s">
        <v>114</v>
      </c>
      <c r="J1033" s="471" t="s">
        <v>913</v>
      </c>
      <c r="K1033" s="469">
        <v>100</v>
      </c>
      <c r="L1033" s="473"/>
      <c r="M1033" s="623">
        <v>0</v>
      </c>
      <c r="N1033" s="623">
        <v>0</v>
      </c>
      <c r="O1033" s="624">
        <v>0</v>
      </c>
      <c r="P1033" s="624">
        <v>0</v>
      </c>
      <c r="Q1033" s="785" t="e">
        <f t="shared" si="17"/>
        <v>#DIV/0!</v>
      </c>
      <c r="R1033" s="468" t="s">
        <v>1719</v>
      </c>
      <c r="S1033" s="629"/>
    </row>
    <row r="1034" spans="1:19" ht="15" x14ac:dyDescent="0.25">
      <c r="A1034" s="621" t="s">
        <v>351</v>
      </c>
      <c r="B1034" s="466" t="s">
        <v>111</v>
      </c>
      <c r="C1034" s="631" t="s">
        <v>904</v>
      </c>
      <c r="D1034" s="632" t="s">
        <v>883</v>
      </c>
      <c r="E1034" s="474"/>
      <c r="F1034" s="469" t="s">
        <v>112</v>
      </c>
      <c r="G1034" s="470" t="s">
        <v>290</v>
      </c>
      <c r="H1034" s="637" t="s">
        <v>1797</v>
      </c>
      <c r="I1034" s="471" t="s">
        <v>114</v>
      </c>
      <c r="J1034" s="471" t="s">
        <v>913</v>
      </c>
      <c r="K1034" s="469">
        <v>100</v>
      </c>
      <c r="L1034" s="473"/>
      <c r="M1034" s="623">
        <v>1</v>
      </c>
      <c r="N1034" s="623">
        <v>1</v>
      </c>
      <c r="O1034" s="624">
        <v>1</v>
      </c>
      <c r="P1034" s="624">
        <v>1</v>
      </c>
      <c r="Q1034" s="785">
        <f t="shared" si="17"/>
        <v>1</v>
      </c>
      <c r="R1034" s="468" t="s">
        <v>1718</v>
      </c>
      <c r="S1034" s="629"/>
    </row>
    <row r="1035" spans="1:19" ht="15" x14ac:dyDescent="0.25">
      <c r="A1035" s="621" t="s">
        <v>351</v>
      </c>
      <c r="B1035" s="466" t="s">
        <v>111</v>
      </c>
      <c r="C1035" s="631" t="s">
        <v>740</v>
      </c>
      <c r="D1035" s="632" t="s">
        <v>889</v>
      </c>
      <c r="E1035" s="474"/>
      <c r="F1035" s="469" t="s">
        <v>112</v>
      </c>
      <c r="G1035" s="470" t="s">
        <v>290</v>
      </c>
      <c r="H1035" s="637" t="s">
        <v>1797</v>
      </c>
      <c r="I1035" s="471" t="s">
        <v>114</v>
      </c>
      <c r="J1035" s="471" t="s">
        <v>913</v>
      </c>
      <c r="K1035" s="469">
        <v>100</v>
      </c>
      <c r="L1035" s="473"/>
      <c r="M1035" s="623">
        <v>37</v>
      </c>
      <c r="N1035" s="623">
        <v>37</v>
      </c>
      <c r="O1035" s="624">
        <v>1</v>
      </c>
      <c r="P1035" s="624">
        <v>1</v>
      </c>
      <c r="Q1035" s="785">
        <f t="shared" si="17"/>
        <v>1</v>
      </c>
      <c r="R1035" s="468" t="s">
        <v>1718</v>
      </c>
      <c r="S1035" s="629"/>
    </row>
    <row r="1036" spans="1:19" ht="15" x14ac:dyDescent="0.25">
      <c r="A1036" s="621" t="s">
        <v>351</v>
      </c>
      <c r="B1036" s="466" t="s">
        <v>111</v>
      </c>
      <c r="C1036" s="631" t="s">
        <v>740</v>
      </c>
      <c r="D1036" s="632" t="s">
        <v>881</v>
      </c>
      <c r="E1036" s="474"/>
      <c r="F1036" s="469" t="s">
        <v>112</v>
      </c>
      <c r="G1036" s="470" t="s">
        <v>290</v>
      </c>
      <c r="H1036" s="637" t="s">
        <v>1797</v>
      </c>
      <c r="I1036" s="471" t="s">
        <v>114</v>
      </c>
      <c r="J1036" s="471" t="s">
        <v>913</v>
      </c>
      <c r="K1036" s="469">
        <v>100</v>
      </c>
      <c r="L1036" s="473"/>
      <c r="M1036" s="623">
        <v>4</v>
      </c>
      <c r="N1036" s="623">
        <v>4</v>
      </c>
      <c r="O1036" s="624">
        <v>1</v>
      </c>
      <c r="P1036" s="624">
        <v>1</v>
      </c>
      <c r="Q1036" s="785">
        <f t="shared" si="17"/>
        <v>1</v>
      </c>
      <c r="R1036" s="468" t="s">
        <v>1718</v>
      </c>
      <c r="S1036" s="629"/>
    </row>
    <row r="1037" spans="1:19" ht="15" x14ac:dyDescent="0.25">
      <c r="A1037" s="621" t="s">
        <v>351</v>
      </c>
      <c r="B1037" s="466" t="s">
        <v>111</v>
      </c>
      <c r="C1037" s="631" t="s">
        <v>740</v>
      </c>
      <c r="D1037" s="632" t="s">
        <v>883</v>
      </c>
      <c r="E1037" s="474"/>
      <c r="F1037" s="469" t="s">
        <v>112</v>
      </c>
      <c r="G1037" s="470" t="s">
        <v>290</v>
      </c>
      <c r="H1037" s="637" t="s">
        <v>1797</v>
      </c>
      <c r="I1037" s="471" t="s">
        <v>114</v>
      </c>
      <c r="J1037" s="471" t="s">
        <v>913</v>
      </c>
      <c r="K1037" s="469">
        <v>100</v>
      </c>
      <c r="L1037" s="473"/>
      <c r="M1037" s="623">
        <v>0</v>
      </c>
      <c r="N1037" s="623">
        <v>0</v>
      </c>
      <c r="O1037" s="624">
        <v>0</v>
      </c>
      <c r="P1037" s="624">
        <v>0</v>
      </c>
      <c r="Q1037" s="785" t="e">
        <f t="shared" si="17"/>
        <v>#DIV/0!</v>
      </c>
      <c r="R1037" s="468" t="s">
        <v>1719</v>
      </c>
      <c r="S1037" s="629"/>
    </row>
    <row r="1038" spans="1:19" ht="15" x14ac:dyDescent="0.25">
      <c r="A1038" s="621" t="s">
        <v>351</v>
      </c>
      <c r="B1038" s="466" t="s">
        <v>111</v>
      </c>
      <c r="C1038" s="631" t="s">
        <v>894</v>
      </c>
      <c r="D1038" s="632" t="s">
        <v>889</v>
      </c>
      <c r="E1038" s="474"/>
      <c r="F1038" s="469" t="s">
        <v>112</v>
      </c>
      <c r="G1038" s="470" t="s">
        <v>290</v>
      </c>
      <c r="H1038" s="637" t="s">
        <v>1797</v>
      </c>
      <c r="I1038" s="471" t="s">
        <v>114</v>
      </c>
      <c r="J1038" s="471" t="s">
        <v>913</v>
      </c>
      <c r="K1038" s="469">
        <v>100</v>
      </c>
      <c r="L1038" s="473"/>
      <c r="M1038" s="623">
        <v>543</v>
      </c>
      <c r="N1038" s="623">
        <v>543</v>
      </c>
      <c r="O1038" s="624">
        <v>1</v>
      </c>
      <c r="P1038" s="624">
        <v>1</v>
      </c>
      <c r="Q1038" s="785">
        <f t="shared" si="17"/>
        <v>1</v>
      </c>
      <c r="R1038" s="468" t="s">
        <v>1718</v>
      </c>
      <c r="S1038" s="629"/>
    </row>
    <row r="1039" spans="1:19" ht="15" x14ac:dyDescent="0.25">
      <c r="A1039" s="621" t="s">
        <v>351</v>
      </c>
      <c r="B1039" s="466" t="s">
        <v>111</v>
      </c>
      <c r="C1039" s="631" t="s">
        <v>894</v>
      </c>
      <c r="D1039" s="632" t="s">
        <v>881</v>
      </c>
      <c r="E1039" s="474"/>
      <c r="F1039" s="469" t="s">
        <v>112</v>
      </c>
      <c r="G1039" s="470" t="s">
        <v>290</v>
      </c>
      <c r="H1039" s="637" t="s">
        <v>1797</v>
      </c>
      <c r="I1039" s="471" t="s">
        <v>114</v>
      </c>
      <c r="J1039" s="471" t="s">
        <v>913</v>
      </c>
      <c r="K1039" s="469">
        <v>100</v>
      </c>
      <c r="L1039" s="473"/>
      <c r="M1039" s="623">
        <v>78</v>
      </c>
      <c r="N1039" s="623">
        <v>78</v>
      </c>
      <c r="O1039" s="624">
        <v>1</v>
      </c>
      <c r="P1039" s="624">
        <v>1</v>
      </c>
      <c r="Q1039" s="785">
        <f t="shared" si="17"/>
        <v>1</v>
      </c>
      <c r="R1039" s="468" t="s">
        <v>1718</v>
      </c>
      <c r="S1039" s="629"/>
    </row>
    <row r="1040" spans="1:19" ht="15" x14ac:dyDescent="0.25">
      <c r="A1040" s="621" t="s">
        <v>351</v>
      </c>
      <c r="B1040" s="466" t="s">
        <v>111</v>
      </c>
      <c r="C1040" s="631" t="s">
        <v>894</v>
      </c>
      <c r="D1040" s="632" t="s">
        <v>883</v>
      </c>
      <c r="E1040" s="474"/>
      <c r="F1040" s="469" t="s">
        <v>112</v>
      </c>
      <c r="G1040" s="470" t="s">
        <v>290</v>
      </c>
      <c r="H1040" s="637" t="s">
        <v>1797</v>
      </c>
      <c r="I1040" s="471" t="s">
        <v>114</v>
      </c>
      <c r="J1040" s="471" t="s">
        <v>913</v>
      </c>
      <c r="K1040" s="469">
        <v>100</v>
      </c>
      <c r="L1040" s="473"/>
      <c r="M1040" s="623">
        <v>25</v>
      </c>
      <c r="N1040" s="623">
        <v>25</v>
      </c>
      <c r="O1040" s="624">
        <v>1</v>
      </c>
      <c r="P1040" s="624">
        <v>1</v>
      </c>
      <c r="Q1040" s="785">
        <f t="shared" si="17"/>
        <v>1</v>
      </c>
      <c r="R1040" s="468" t="s">
        <v>1718</v>
      </c>
      <c r="S1040" s="629"/>
    </row>
    <row r="1041" spans="1:19" ht="15" x14ac:dyDescent="0.25">
      <c r="A1041" s="621" t="s">
        <v>351</v>
      </c>
      <c r="B1041" s="466" t="s">
        <v>111</v>
      </c>
      <c r="C1041" s="631" t="s">
        <v>894</v>
      </c>
      <c r="D1041" s="632" t="s">
        <v>869</v>
      </c>
      <c r="E1041" s="474"/>
      <c r="F1041" s="469" t="s">
        <v>112</v>
      </c>
      <c r="G1041" s="470" t="s">
        <v>290</v>
      </c>
      <c r="H1041" s="637" t="s">
        <v>1797</v>
      </c>
      <c r="I1041" s="471" t="s">
        <v>114</v>
      </c>
      <c r="J1041" s="471" t="s">
        <v>913</v>
      </c>
      <c r="K1041" s="469">
        <v>100</v>
      </c>
      <c r="L1041" s="473"/>
      <c r="M1041" s="623">
        <v>0</v>
      </c>
      <c r="N1041" s="623">
        <v>0</v>
      </c>
      <c r="O1041" s="624">
        <v>0</v>
      </c>
      <c r="P1041" s="624">
        <v>0</v>
      </c>
      <c r="Q1041" s="785" t="e">
        <f t="shared" si="17"/>
        <v>#DIV/0!</v>
      </c>
      <c r="R1041" s="468" t="s">
        <v>1719</v>
      </c>
      <c r="S1041" s="629"/>
    </row>
    <row r="1042" spans="1:19" ht="16.5" customHeight="1" x14ac:dyDescent="0.25">
      <c r="A1042" s="621" t="s">
        <v>351</v>
      </c>
      <c r="B1042" s="466" t="s">
        <v>111</v>
      </c>
      <c r="C1042" s="466" t="s">
        <v>99</v>
      </c>
      <c r="D1042" s="467" t="s">
        <v>866</v>
      </c>
      <c r="E1042" s="474"/>
      <c r="F1042" s="469" t="s">
        <v>112</v>
      </c>
      <c r="G1042" s="470" t="s">
        <v>1798</v>
      </c>
      <c r="H1042" s="637" t="s">
        <v>1797</v>
      </c>
      <c r="I1042" s="471" t="s">
        <v>114</v>
      </c>
      <c r="J1042" s="471" t="s">
        <v>913</v>
      </c>
      <c r="K1042" s="469">
        <v>100</v>
      </c>
      <c r="L1042" s="473"/>
      <c r="M1042" s="623">
        <v>0</v>
      </c>
      <c r="N1042" s="623">
        <v>0</v>
      </c>
      <c r="O1042" s="624">
        <v>0</v>
      </c>
      <c r="P1042" s="624">
        <v>0</v>
      </c>
      <c r="Q1042" s="785" t="e">
        <f t="shared" si="17"/>
        <v>#DIV/0!</v>
      </c>
      <c r="R1042" s="625" t="s">
        <v>1719</v>
      </c>
      <c r="S1042" s="638"/>
    </row>
    <row r="1043" spans="1:19" ht="15" x14ac:dyDescent="0.25">
      <c r="A1043" s="621" t="s">
        <v>351</v>
      </c>
      <c r="B1043" s="466" t="s">
        <v>111</v>
      </c>
      <c r="C1043" s="630" t="s">
        <v>99</v>
      </c>
      <c r="D1043" s="628" t="s">
        <v>869</v>
      </c>
      <c r="E1043" s="474"/>
      <c r="F1043" s="469" t="s">
        <v>112</v>
      </c>
      <c r="G1043" s="470" t="s">
        <v>1798</v>
      </c>
      <c r="H1043" s="637" t="s">
        <v>1797</v>
      </c>
      <c r="I1043" s="471" t="s">
        <v>114</v>
      </c>
      <c r="J1043" s="471" t="s">
        <v>913</v>
      </c>
      <c r="K1043" s="469">
        <v>100</v>
      </c>
      <c r="L1043" s="473"/>
      <c r="M1043" s="623">
        <v>14</v>
      </c>
      <c r="N1043" s="623">
        <v>14</v>
      </c>
      <c r="O1043" s="624">
        <v>1</v>
      </c>
      <c r="P1043" s="624">
        <v>1</v>
      </c>
      <c r="Q1043" s="785">
        <f t="shared" si="17"/>
        <v>1</v>
      </c>
      <c r="R1043" s="468" t="s">
        <v>1718</v>
      </c>
      <c r="S1043" s="629"/>
    </row>
    <row r="1044" spans="1:19" ht="15" x14ac:dyDescent="0.25">
      <c r="A1044" s="621" t="s">
        <v>351</v>
      </c>
      <c r="B1044" s="466" t="s">
        <v>111</v>
      </c>
      <c r="C1044" s="630" t="s">
        <v>870</v>
      </c>
      <c r="D1044" s="628" t="s">
        <v>889</v>
      </c>
      <c r="E1044" s="474"/>
      <c r="F1044" s="469" t="s">
        <v>112</v>
      </c>
      <c r="G1044" s="470" t="s">
        <v>1798</v>
      </c>
      <c r="H1044" s="637" t="s">
        <v>1797</v>
      </c>
      <c r="I1044" s="471" t="s">
        <v>114</v>
      </c>
      <c r="J1044" s="471" t="s">
        <v>913</v>
      </c>
      <c r="K1044" s="469">
        <v>100</v>
      </c>
      <c r="L1044" s="473"/>
      <c r="M1044" s="623">
        <v>50</v>
      </c>
      <c r="N1044" s="623">
        <v>50</v>
      </c>
      <c r="O1044" s="624">
        <v>1</v>
      </c>
      <c r="P1044" s="624">
        <v>1</v>
      </c>
      <c r="Q1044" s="785">
        <f t="shared" si="17"/>
        <v>1</v>
      </c>
      <c r="R1044" s="468" t="s">
        <v>1718</v>
      </c>
      <c r="S1044" s="629"/>
    </row>
    <row r="1045" spans="1:19" ht="15" x14ac:dyDescent="0.25">
      <c r="A1045" s="621" t="s">
        <v>351</v>
      </c>
      <c r="B1045" s="466" t="s">
        <v>111</v>
      </c>
      <c r="C1045" s="631" t="s">
        <v>870</v>
      </c>
      <c r="D1045" s="628" t="s">
        <v>881</v>
      </c>
      <c r="E1045" s="474"/>
      <c r="F1045" s="469" t="s">
        <v>112</v>
      </c>
      <c r="G1045" s="470" t="s">
        <v>1798</v>
      </c>
      <c r="H1045" s="637" t="s">
        <v>1797</v>
      </c>
      <c r="I1045" s="471" t="s">
        <v>114</v>
      </c>
      <c r="J1045" s="471" t="s">
        <v>913</v>
      </c>
      <c r="K1045" s="469">
        <v>100</v>
      </c>
      <c r="L1045" s="473"/>
      <c r="M1045" s="623">
        <v>19</v>
      </c>
      <c r="N1045" s="623">
        <v>19</v>
      </c>
      <c r="O1045" s="624">
        <v>1</v>
      </c>
      <c r="P1045" s="624">
        <v>1</v>
      </c>
      <c r="Q1045" s="785">
        <f t="shared" si="17"/>
        <v>1</v>
      </c>
      <c r="R1045" s="468" t="s">
        <v>1718</v>
      </c>
      <c r="S1045" s="629"/>
    </row>
    <row r="1046" spans="1:19" ht="15" x14ac:dyDescent="0.25">
      <c r="A1046" s="621" t="s">
        <v>351</v>
      </c>
      <c r="B1046" s="466" t="s">
        <v>111</v>
      </c>
      <c r="C1046" s="631" t="s">
        <v>870</v>
      </c>
      <c r="D1046" s="628" t="s">
        <v>883</v>
      </c>
      <c r="E1046" s="474"/>
      <c r="F1046" s="469" t="s">
        <v>112</v>
      </c>
      <c r="G1046" s="470" t="s">
        <v>1798</v>
      </c>
      <c r="H1046" s="637" t="s">
        <v>1797</v>
      </c>
      <c r="I1046" s="471" t="s">
        <v>114</v>
      </c>
      <c r="J1046" s="471" t="s">
        <v>913</v>
      </c>
      <c r="K1046" s="469">
        <v>100</v>
      </c>
      <c r="L1046" s="473"/>
      <c r="M1046" s="623">
        <v>39</v>
      </c>
      <c r="N1046" s="623">
        <v>39</v>
      </c>
      <c r="O1046" s="624">
        <v>1</v>
      </c>
      <c r="P1046" s="624">
        <v>1</v>
      </c>
      <c r="Q1046" s="785">
        <f t="shared" si="17"/>
        <v>1</v>
      </c>
      <c r="R1046" s="468" t="s">
        <v>1718</v>
      </c>
      <c r="S1046" s="629"/>
    </row>
    <row r="1047" spans="1:19" ht="15" x14ac:dyDescent="0.25">
      <c r="A1047" s="621" t="s">
        <v>351</v>
      </c>
      <c r="B1047" s="466" t="s">
        <v>111</v>
      </c>
      <c r="C1047" s="631" t="s">
        <v>870</v>
      </c>
      <c r="D1047" s="632" t="s">
        <v>866</v>
      </c>
      <c r="E1047" s="474"/>
      <c r="F1047" s="469" t="s">
        <v>112</v>
      </c>
      <c r="G1047" s="470" t="s">
        <v>1798</v>
      </c>
      <c r="H1047" s="637" t="s">
        <v>1797</v>
      </c>
      <c r="I1047" s="471" t="s">
        <v>114</v>
      </c>
      <c r="J1047" s="471" t="s">
        <v>913</v>
      </c>
      <c r="K1047" s="469">
        <v>100</v>
      </c>
      <c r="L1047" s="473"/>
      <c r="M1047" s="623">
        <v>67</v>
      </c>
      <c r="N1047" s="623">
        <v>67</v>
      </c>
      <c r="O1047" s="624">
        <v>1</v>
      </c>
      <c r="P1047" s="624">
        <v>1</v>
      </c>
      <c r="Q1047" s="785">
        <f t="shared" si="17"/>
        <v>1</v>
      </c>
      <c r="R1047" s="468" t="s">
        <v>1718</v>
      </c>
      <c r="S1047" s="629"/>
    </row>
    <row r="1048" spans="1:19" ht="15" x14ac:dyDescent="0.25">
      <c r="A1048" s="621" t="s">
        <v>351</v>
      </c>
      <c r="B1048" s="466" t="s">
        <v>111</v>
      </c>
      <c r="C1048" s="631" t="s">
        <v>870</v>
      </c>
      <c r="D1048" s="632" t="s">
        <v>869</v>
      </c>
      <c r="E1048" s="474"/>
      <c r="F1048" s="469" t="s">
        <v>112</v>
      </c>
      <c r="G1048" s="470" t="s">
        <v>1798</v>
      </c>
      <c r="H1048" s="637" t="s">
        <v>1797</v>
      </c>
      <c r="I1048" s="471" t="s">
        <v>114</v>
      </c>
      <c r="J1048" s="471" t="s">
        <v>913</v>
      </c>
      <c r="K1048" s="469">
        <v>100</v>
      </c>
      <c r="L1048" s="473"/>
      <c r="M1048" s="623">
        <v>46</v>
      </c>
      <c r="N1048" s="623">
        <v>46</v>
      </c>
      <c r="O1048" s="624">
        <v>1</v>
      </c>
      <c r="P1048" s="624">
        <v>1</v>
      </c>
      <c r="Q1048" s="785">
        <f t="shared" si="17"/>
        <v>1</v>
      </c>
      <c r="R1048" s="468" t="s">
        <v>1718</v>
      </c>
      <c r="S1048" s="629"/>
    </row>
    <row r="1049" spans="1:19" ht="15" x14ac:dyDescent="0.25">
      <c r="A1049" s="621" t="s">
        <v>351</v>
      </c>
      <c r="B1049" s="466" t="s">
        <v>111</v>
      </c>
      <c r="C1049" s="631" t="s">
        <v>738</v>
      </c>
      <c r="D1049" s="632" t="s">
        <v>889</v>
      </c>
      <c r="E1049" s="474"/>
      <c r="F1049" s="469" t="s">
        <v>112</v>
      </c>
      <c r="G1049" s="470" t="s">
        <v>1798</v>
      </c>
      <c r="H1049" s="637" t="s">
        <v>1797</v>
      </c>
      <c r="I1049" s="471" t="s">
        <v>114</v>
      </c>
      <c r="J1049" s="471" t="s">
        <v>913</v>
      </c>
      <c r="K1049" s="469">
        <v>100</v>
      </c>
      <c r="L1049" s="473"/>
      <c r="M1049" s="623">
        <v>156</v>
      </c>
      <c r="N1049" s="623">
        <v>156</v>
      </c>
      <c r="O1049" s="624">
        <v>1</v>
      </c>
      <c r="P1049" s="624">
        <v>1</v>
      </c>
      <c r="Q1049" s="785">
        <f t="shared" si="17"/>
        <v>1</v>
      </c>
      <c r="R1049" s="468" t="s">
        <v>1718</v>
      </c>
      <c r="S1049" s="629"/>
    </row>
    <row r="1050" spans="1:19" ht="15" x14ac:dyDescent="0.25">
      <c r="A1050" s="621" t="s">
        <v>351</v>
      </c>
      <c r="B1050" s="466" t="s">
        <v>111</v>
      </c>
      <c r="C1050" s="631" t="s">
        <v>738</v>
      </c>
      <c r="D1050" s="632" t="s">
        <v>881</v>
      </c>
      <c r="E1050" s="474"/>
      <c r="F1050" s="469" t="s">
        <v>112</v>
      </c>
      <c r="G1050" s="470" t="s">
        <v>1798</v>
      </c>
      <c r="H1050" s="637" t="s">
        <v>1797</v>
      </c>
      <c r="I1050" s="471" t="s">
        <v>114</v>
      </c>
      <c r="J1050" s="471" t="s">
        <v>913</v>
      </c>
      <c r="K1050" s="469">
        <v>100</v>
      </c>
      <c r="L1050" s="473"/>
      <c r="M1050" s="623">
        <v>54</v>
      </c>
      <c r="N1050" s="623">
        <v>54</v>
      </c>
      <c r="O1050" s="624">
        <v>1</v>
      </c>
      <c r="P1050" s="624">
        <v>1</v>
      </c>
      <c r="Q1050" s="785">
        <f t="shared" si="17"/>
        <v>1</v>
      </c>
      <c r="R1050" s="468" t="s">
        <v>1718</v>
      </c>
      <c r="S1050" s="629"/>
    </row>
    <row r="1051" spans="1:19" ht="15" x14ac:dyDescent="0.25">
      <c r="A1051" s="621" t="s">
        <v>351</v>
      </c>
      <c r="B1051" s="466" t="s">
        <v>111</v>
      </c>
      <c r="C1051" s="631" t="s">
        <v>738</v>
      </c>
      <c r="D1051" s="632" t="s">
        <v>883</v>
      </c>
      <c r="E1051" s="474"/>
      <c r="F1051" s="469" t="s">
        <v>112</v>
      </c>
      <c r="G1051" s="470" t="s">
        <v>1798</v>
      </c>
      <c r="H1051" s="637" t="s">
        <v>1797</v>
      </c>
      <c r="I1051" s="471" t="s">
        <v>114</v>
      </c>
      <c r="J1051" s="471" t="s">
        <v>913</v>
      </c>
      <c r="K1051" s="469">
        <v>100</v>
      </c>
      <c r="L1051" s="473"/>
      <c r="M1051" s="623">
        <v>0</v>
      </c>
      <c r="N1051" s="623">
        <v>0</v>
      </c>
      <c r="O1051" s="624">
        <v>0</v>
      </c>
      <c r="P1051" s="624">
        <v>0</v>
      </c>
      <c r="Q1051" s="785" t="e">
        <f t="shared" si="17"/>
        <v>#DIV/0!</v>
      </c>
      <c r="R1051" s="468" t="s">
        <v>1719</v>
      </c>
      <c r="S1051" s="629"/>
    </row>
    <row r="1052" spans="1:19" ht="15" x14ac:dyDescent="0.25">
      <c r="A1052" s="621" t="s">
        <v>351</v>
      </c>
      <c r="B1052" s="466" t="s">
        <v>111</v>
      </c>
      <c r="C1052" s="631" t="s">
        <v>738</v>
      </c>
      <c r="D1052" s="632" t="s">
        <v>866</v>
      </c>
      <c r="E1052" s="474"/>
      <c r="F1052" s="469" t="s">
        <v>112</v>
      </c>
      <c r="G1052" s="470" t="s">
        <v>1798</v>
      </c>
      <c r="H1052" s="637" t="s">
        <v>1797</v>
      </c>
      <c r="I1052" s="471" t="s">
        <v>114</v>
      </c>
      <c r="J1052" s="471" t="s">
        <v>913</v>
      </c>
      <c r="K1052" s="469">
        <v>100</v>
      </c>
      <c r="L1052" s="473"/>
      <c r="M1052" s="623">
        <v>0</v>
      </c>
      <c r="N1052" s="623">
        <v>0</v>
      </c>
      <c r="O1052" s="624">
        <v>0</v>
      </c>
      <c r="P1052" s="624">
        <v>0</v>
      </c>
      <c r="Q1052" s="785" t="e">
        <f t="shared" si="17"/>
        <v>#DIV/0!</v>
      </c>
      <c r="R1052" s="468" t="s">
        <v>1719</v>
      </c>
      <c r="S1052" s="629"/>
    </row>
    <row r="1053" spans="1:19" ht="15" x14ac:dyDescent="0.25">
      <c r="A1053" s="621" t="s">
        <v>351</v>
      </c>
      <c r="B1053" s="466" t="s">
        <v>111</v>
      </c>
      <c r="C1053" s="631" t="s">
        <v>738</v>
      </c>
      <c r="D1053" s="632" t="s">
        <v>869</v>
      </c>
      <c r="E1053" s="474"/>
      <c r="F1053" s="469" t="s">
        <v>112</v>
      </c>
      <c r="G1053" s="470" t="s">
        <v>1798</v>
      </c>
      <c r="H1053" s="637" t="s">
        <v>1797</v>
      </c>
      <c r="I1053" s="471" t="s">
        <v>114</v>
      </c>
      <c r="J1053" s="471" t="s">
        <v>913</v>
      </c>
      <c r="K1053" s="469">
        <v>100</v>
      </c>
      <c r="L1053" s="473"/>
      <c r="M1053" s="623">
        <v>7</v>
      </c>
      <c r="N1053" s="623">
        <v>7</v>
      </c>
      <c r="O1053" s="624">
        <v>1</v>
      </c>
      <c r="P1053" s="624">
        <v>1</v>
      </c>
      <c r="Q1053" s="785">
        <f t="shared" si="17"/>
        <v>1</v>
      </c>
      <c r="R1053" s="468" t="s">
        <v>1718</v>
      </c>
      <c r="S1053" s="629"/>
    </row>
    <row r="1054" spans="1:19" ht="15" x14ac:dyDescent="0.25">
      <c r="A1054" s="621" t="s">
        <v>351</v>
      </c>
      <c r="B1054" s="466" t="s">
        <v>111</v>
      </c>
      <c r="C1054" s="631" t="s">
        <v>101</v>
      </c>
      <c r="D1054" s="632" t="s">
        <v>889</v>
      </c>
      <c r="E1054" s="474"/>
      <c r="F1054" s="469" t="s">
        <v>112</v>
      </c>
      <c r="G1054" s="470" t="s">
        <v>1798</v>
      </c>
      <c r="H1054" s="637" t="s">
        <v>1797</v>
      </c>
      <c r="I1054" s="471" t="s">
        <v>114</v>
      </c>
      <c r="J1054" s="471" t="s">
        <v>913</v>
      </c>
      <c r="K1054" s="469">
        <v>100</v>
      </c>
      <c r="L1054" s="473"/>
      <c r="M1054" s="623">
        <v>112</v>
      </c>
      <c r="N1054" s="623">
        <v>112</v>
      </c>
      <c r="O1054" s="624">
        <v>1</v>
      </c>
      <c r="P1054" s="624">
        <v>1</v>
      </c>
      <c r="Q1054" s="785">
        <f t="shared" si="17"/>
        <v>1</v>
      </c>
      <c r="R1054" s="468" t="s">
        <v>1718</v>
      </c>
      <c r="S1054" s="629"/>
    </row>
    <row r="1055" spans="1:19" ht="15" x14ac:dyDescent="0.25">
      <c r="A1055" s="621" t="s">
        <v>351</v>
      </c>
      <c r="B1055" s="466" t="s">
        <v>111</v>
      </c>
      <c r="C1055" s="631" t="s">
        <v>101</v>
      </c>
      <c r="D1055" s="632" t="s">
        <v>881</v>
      </c>
      <c r="E1055" s="474"/>
      <c r="F1055" s="469" t="s">
        <v>112</v>
      </c>
      <c r="G1055" s="470" t="s">
        <v>1798</v>
      </c>
      <c r="H1055" s="637" t="s">
        <v>1797</v>
      </c>
      <c r="I1055" s="471" t="s">
        <v>114</v>
      </c>
      <c r="J1055" s="471" t="s">
        <v>913</v>
      </c>
      <c r="K1055" s="469">
        <v>100</v>
      </c>
      <c r="L1055" s="473"/>
      <c r="M1055" s="623">
        <v>9</v>
      </c>
      <c r="N1055" s="623">
        <v>9</v>
      </c>
      <c r="O1055" s="624">
        <v>1</v>
      </c>
      <c r="P1055" s="624">
        <v>1</v>
      </c>
      <c r="Q1055" s="785">
        <f t="shared" si="17"/>
        <v>1</v>
      </c>
      <c r="R1055" s="468" t="s">
        <v>1718</v>
      </c>
      <c r="S1055" s="629"/>
    </row>
    <row r="1056" spans="1:19" ht="15" x14ac:dyDescent="0.25">
      <c r="A1056" s="621" t="s">
        <v>351</v>
      </c>
      <c r="B1056" s="466" t="s">
        <v>111</v>
      </c>
      <c r="C1056" s="631" t="s">
        <v>101</v>
      </c>
      <c r="D1056" s="632" t="s">
        <v>883</v>
      </c>
      <c r="E1056" s="474"/>
      <c r="F1056" s="469" t="s">
        <v>112</v>
      </c>
      <c r="G1056" s="470" t="s">
        <v>1798</v>
      </c>
      <c r="H1056" s="637" t="s">
        <v>1797</v>
      </c>
      <c r="I1056" s="471" t="s">
        <v>114</v>
      </c>
      <c r="J1056" s="471" t="s">
        <v>913</v>
      </c>
      <c r="K1056" s="469">
        <v>100</v>
      </c>
      <c r="L1056" s="473"/>
      <c r="M1056" s="623">
        <v>0</v>
      </c>
      <c r="N1056" s="623">
        <v>0</v>
      </c>
      <c r="O1056" s="624">
        <v>0</v>
      </c>
      <c r="P1056" s="624">
        <v>0</v>
      </c>
      <c r="Q1056" s="785" t="e">
        <f t="shared" si="17"/>
        <v>#DIV/0!</v>
      </c>
      <c r="R1056" s="468" t="s">
        <v>1719</v>
      </c>
      <c r="S1056" s="629"/>
    </row>
    <row r="1057" spans="1:19" ht="15" x14ac:dyDescent="0.25">
      <c r="A1057" s="621" t="s">
        <v>351</v>
      </c>
      <c r="B1057" s="466" t="s">
        <v>111</v>
      </c>
      <c r="C1057" s="631" t="s">
        <v>101</v>
      </c>
      <c r="D1057" s="632" t="s">
        <v>866</v>
      </c>
      <c r="E1057" s="474"/>
      <c r="F1057" s="469" t="s">
        <v>112</v>
      </c>
      <c r="G1057" s="470" t="s">
        <v>1798</v>
      </c>
      <c r="H1057" s="637" t="s">
        <v>1797</v>
      </c>
      <c r="I1057" s="471" t="s">
        <v>114</v>
      </c>
      <c r="J1057" s="471" t="s">
        <v>913</v>
      </c>
      <c r="K1057" s="469">
        <v>100</v>
      </c>
      <c r="L1057" s="473"/>
      <c r="M1057" s="623">
        <v>13</v>
      </c>
      <c r="N1057" s="623">
        <v>13</v>
      </c>
      <c r="O1057" s="624">
        <v>1</v>
      </c>
      <c r="P1057" s="624">
        <v>1</v>
      </c>
      <c r="Q1057" s="785">
        <f t="shared" si="17"/>
        <v>1</v>
      </c>
      <c r="R1057" s="468" t="s">
        <v>1718</v>
      </c>
      <c r="S1057" s="629"/>
    </row>
    <row r="1058" spans="1:19" ht="15" x14ac:dyDescent="0.25">
      <c r="A1058" s="621" t="s">
        <v>351</v>
      </c>
      <c r="B1058" s="466" t="s">
        <v>111</v>
      </c>
      <c r="C1058" s="631" t="s">
        <v>101</v>
      </c>
      <c r="D1058" s="632" t="s">
        <v>869</v>
      </c>
      <c r="E1058" s="474"/>
      <c r="F1058" s="469" t="s">
        <v>112</v>
      </c>
      <c r="G1058" s="470" t="s">
        <v>1798</v>
      </c>
      <c r="H1058" s="637" t="s">
        <v>1797</v>
      </c>
      <c r="I1058" s="471" t="s">
        <v>114</v>
      </c>
      <c r="J1058" s="471" t="s">
        <v>913</v>
      </c>
      <c r="K1058" s="469">
        <v>100</v>
      </c>
      <c r="L1058" s="473"/>
      <c r="M1058" s="623">
        <v>0</v>
      </c>
      <c r="N1058" s="623">
        <v>0</v>
      </c>
      <c r="O1058" s="624">
        <v>0</v>
      </c>
      <c r="P1058" s="624">
        <v>0</v>
      </c>
      <c r="Q1058" s="785" t="e">
        <f t="shared" si="17"/>
        <v>#DIV/0!</v>
      </c>
      <c r="R1058" s="468" t="s">
        <v>1719</v>
      </c>
      <c r="S1058" s="629"/>
    </row>
    <row r="1059" spans="1:19" ht="15" x14ac:dyDescent="0.25">
      <c r="A1059" s="621" t="s">
        <v>351</v>
      </c>
      <c r="B1059" s="466" t="s">
        <v>111</v>
      </c>
      <c r="C1059" s="631" t="s">
        <v>885</v>
      </c>
      <c r="D1059" s="632" t="s">
        <v>889</v>
      </c>
      <c r="E1059" s="474"/>
      <c r="F1059" s="469" t="s">
        <v>112</v>
      </c>
      <c r="G1059" s="470" t="s">
        <v>1798</v>
      </c>
      <c r="H1059" s="637" t="s">
        <v>1797</v>
      </c>
      <c r="I1059" s="471" t="s">
        <v>114</v>
      </c>
      <c r="J1059" s="471" t="s">
        <v>913</v>
      </c>
      <c r="K1059" s="469">
        <v>100</v>
      </c>
      <c r="L1059" s="473"/>
      <c r="M1059" s="623">
        <v>0</v>
      </c>
      <c r="N1059" s="623">
        <v>0</v>
      </c>
      <c r="O1059" s="624">
        <v>0</v>
      </c>
      <c r="P1059" s="624">
        <v>0</v>
      </c>
      <c r="Q1059" s="785" t="e">
        <f t="shared" si="17"/>
        <v>#DIV/0!</v>
      </c>
      <c r="R1059" s="468" t="s">
        <v>1719</v>
      </c>
      <c r="S1059" s="629"/>
    </row>
    <row r="1060" spans="1:19" ht="15" x14ac:dyDescent="0.25">
      <c r="A1060" s="621" t="s">
        <v>351</v>
      </c>
      <c r="B1060" s="466" t="s">
        <v>111</v>
      </c>
      <c r="C1060" s="631" t="s">
        <v>885</v>
      </c>
      <c r="D1060" s="632" t="s">
        <v>881</v>
      </c>
      <c r="E1060" s="474"/>
      <c r="F1060" s="469" t="s">
        <v>112</v>
      </c>
      <c r="G1060" s="470" t="s">
        <v>1798</v>
      </c>
      <c r="H1060" s="637" t="s">
        <v>1797</v>
      </c>
      <c r="I1060" s="471" t="s">
        <v>114</v>
      </c>
      <c r="J1060" s="471" t="s">
        <v>913</v>
      </c>
      <c r="K1060" s="469">
        <v>100</v>
      </c>
      <c r="L1060" s="473"/>
      <c r="M1060" s="623">
        <v>5</v>
      </c>
      <c r="N1060" s="623">
        <v>5</v>
      </c>
      <c r="O1060" s="624">
        <v>1</v>
      </c>
      <c r="P1060" s="624">
        <v>1</v>
      </c>
      <c r="Q1060" s="785">
        <f t="shared" si="17"/>
        <v>1</v>
      </c>
      <c r="R1060" s="468" t="s">
        <v>1718</v>
      </c>
      <c r="S1060" s="629"/>
    </row>
    <row r="1061" spans="1:19" ht="15" x14ac:dyDescent="0.25">
      <c r="A1061" s="621" t="s">
        <v>351</v>
      </c>
      <c r="B1061" s="466" t="s">
        <v>111</v>
      </c>
      <c r="C1061" s="631" t="s">
        <v>885</v>
      </c>
      <c r="D1061" s="632" t="s">
        <v>883</v>
      </c>
      <c r="E1061" s="474"/>
      <c r="F1061" s="469" t="s">
        <v>112</v>
      </c>
      <c r="G1061" s="470" t="s">
        <v>1798</v>
      </c>
      <c r="H1061" s="637" t="s">
        <v>1797</v>
      </c>
      <c r="I1061" s="471" t="s">
        <v>114</v>
      </c>
      <c r="J1061" s="471" t="s">
        <v>913</v>
      </c>
      <c r="K1061" s="469">
        <v>100</v>
      </c>
      <c r="L1061" s="473"/>
      <c r="M1061" s="623">
        <v>5</v>
      </c>
      <c r="N1061" s="623">
        <v>5</v>
      </c>
      <c r="O1061" s="624">
        <v>1</v>
      </c>
      <c r="P1061" s="624">
        <v>1</v>
      </c>
      <c r="Q1061" s="785">
        <f t="shared" si="17"/>
        <v>1</v>
      </c>
      <c r="R1061" s="468" t="s">
        <v>1718</v>
      </c>
      <c r="S1061" s="629"/>
    </row>
    <row r="1062" spans="1:19" ht="15" x14ac:dyDescent="0.25">
      <c r="A1062" s="621" t="s">
        <v>351</v>
      </c>
      <c r="B1062" s="466" t="s">
        <v>111</v>
      </c>
      <c r="C1062" s="631" t="s">
        <v>885</v>
      </c>
      <c r="D1062" s="632" t="s">
        <v>866</v>
      </c>
      <c r="E1062" s="474"/>
      <c r="F1062" s="469" t="s">
        <v>112</v>
      </c>
      <c r="G1062" s="470" t="s">
        <v>1798</v>
      </c>
      <c r="H1062" s="637" t="s">
        <v>1797</v>
      </c>
      <c r="I1062" s="471" t="s">
        <v>114</v>
      </c>
      <c r="J1062" s="471" t="s">
        <v>913</v>
      </c>
      <c r="K1062" s="469">
        <v>100</v>
      </c>
      <c r="L1062" s="473"/>
      <c r="M1062" s="623">
        <v>0</v>
      </c>
      <c r="N1062" s="623">
        <v>0</v>
      </c>
      <c r="O1062" s="624">
        <v>0</v>
      </c>
      <c r="P1062" s="624">
        <v>0</v>
      </c>
      <c r="Q1062" s="785" t="e">
        <f t="shared" si="17"/>
        <v>#DIV/0!</v>
      </c>
      <c r="R1062" s="468" t="s">
        <v>1719</v>
      </c>
      <c r="S1062" s="629"/>
    </row>
    <row r="1063" spans="1:19" ht="15" x14ac:dyDescent="0.25">
      <c r="A1063" s="621" t="s">
        <v>351</v>
      </c>
      <c r="B1063" s="466" t="s">
        <v>111</v>
      </c>
      <c r="C1063" s="631" t="s">
        <v>885</v>
      </c>
      <c r="D1063" s="632" t="s">
        <v>869</v>
      </c>
      <c r="E1063" s="474"/>
      <c r="F1063" s="469" t="s">
        <v>112</v>
      </c>
      <c r="G1063" s="470" t="s">
        <v>1798</v>
      </c>
      <c r="H1063" s="637" t="s">
        <v>1797</v>
      </c>
      <c r="I1063" s="471" t="s">
        <v>114</v>
      </c>
      <c r="J1063" s="471" t="s">
        <v>913</v>
      </c>
      <c r="K1063" s="469">
        <v>100</v>
      </c>
      <c r="L1063" s="473"/>
      <c r="M1063" s="623">
        <v>12</v>
      </c>
      <c r="N1063" s="623">
        <v>12</v>
      </c>
      <c r="O1063" s="624">
        <v>1</v>
      </c>
      <c r="P1063" s="624">
        <v>1</v>
      </c>
      <c r="Q1063" s="785">
        <f t="shared" si="17"/>
        <v>1</v>
      </c>
      <c r="R1063" s="468" t="s">
        <v>1718</v>
      </c>
      <c r="S1063" s="629"/>
    </row>
    <row r="1064" spans="1:19" ht="15" x14ac:dyDescent="0.25">
      <c r="A1064" s="621" t="s">
        <v>351</v>
      </c>
      <c r="B1064" s="466" t="s">
        <v>111</v>
      </c>
      <c r="C1064" s="631" t="s">
        <v>885</v>
      </c>
      <c r="D1064" s="632" t="s">
        <v>887</v>
      </c>
      <c r="E1064" s="474"/>
      <c r="F1064" s="469" t="s">
        <v>112</v>
      </c>
      <c r="G1064" s="470" t="s">
        <v>1798</v>
      </c>
      <c r="H1064" s="637" t="s">
        <v>1797</v>
      </c>
      <c r="I1064" s="471" t="s">
        <v>114</v>
      </c>
      <c r="J1064" s="471" t="s">
        <v>913</v>
      </c>
      <c r="K1064" s="469">
        <v>100</v>
      </c>
      <c r="L1064" s="473"/>
      <c r="M1064" s="623">
        <v>20</v>
      </c>
      <c r="N1064" s="623">
        <v>20</v>
      </c>
      <c r="O1064" s="624">
        <v>1</v>
      </c>
      <c r="P1064" s="624">
        <v>1</v>
      </c>
      <c r="Q1064" s="785">
        <f t="shared" si="17"/>
        <v>1</v>
      </c>
      <c r="R1064" s="468" t="s">
        <v>1718</v>
      </c>
      <c r="S1064" s="629"/>
    </row>
    <row r="1065" spans="1:19" ht="15" x14ac:dyDescent="0.25">
      <c r="A1065" s="621" t="s">
        <v>351</v>
      </c>
      <c r="B1065" s="466" t="s">
        <v>111</v>
      </c>
      <c r="C1065" s="631" t="s">
        <v>904</v>
      </c>
      <c r="D1065" s="632" t="s">
        <v>881</v>
      </c>
      <c r="E1065" s="474"/>
      <c r="F1065" s="469" t="s">
        <v>112</v>
      </c>
      <c r="G1065" s="470" t="s">
        <v>1798</v>
      </c>
      <c r="H1065" s="637" t="s">
        <v>1797</v>
      </c>
      <c r="I1065" s="471" t="s">
        <v>114</v>
      </c>
      <c r="J1065" s="471" t="s">
        <v>913</v>
      </c>
      <c r="K1065" s="469">
        <v>100</v>
      </c>
      <c r="L1065" s="473"/>
      <c r="M1065" s="623">
        <v>0</v>
      </c>
      <c r="N1065" s="623">
        <v>0</v>
      </c>
      <c r="O1065" s="624">
        <v>0</v>
      </c>
      <c r="P1065" s="624">
        <v>0</v>
      </c>
      <c r="Q1065" s="785" t="e">
        <f t="shared" si="17"/>
        <v>#DIV/0!</v>
      </c>
      <c r="R1065" s="468" t="s">
        <v>1719</v>
      </c>
      <c r="S1065" s="629"/>
    </row>
    <row r="1066" spans="1:19" ht="15" x14ac:dyDescent="0.25">
      <c r="A1066" s="621" t="s">
        <v>351</v>
      </c>
      <c r="B1066" s="466" t="s">
        <v>111</v>
      </c>
      <c r="C1066" s="631" t="s">
        <v>904</v>
      </c>
      <c r="D1066" s="632" t="s">
        <v>883</v>
      </c>
      <c r="E1066" s="474"/>
      <c r="F1066" s="469" t="s">
        <v>112</v>
      </c>
      <c r="G1066" s="470" t="s">
        <v>1798</v>
      </c>
      <c r="H1066" s="637" t="s">
        <v>1797</v>
      </c>
      <c r="I1066" s="471" t="s">
        <v>114</v>
      </c>
      <c r="J1066" s="471" t="s">
        <v>913</v>
      </c>
      <c r="K1066" s="469">
        <v>100</v>
      </c>
      <c r="L1066" s="473"/>
      <c r="M1066" s="623">
        <v>1</v>
      </c>
      <c r="N1066" s="623">
        <v>1</v>
      </c>
      <c r="O1066" s="624">
        <v>1</v>
      </c>
      <c r="P1066" s="624">
        <v>1</v>
      </c>
      <c r="Q1066" s="785">
        <f t="shared" si="17"/>
        <v>1</v>
      </c>
      <c r="R1066" s="468" t="s">
        <v>1718</v>
      </c>
      <c r="S1066" s="629"/>
    </row>
    <row r="1067" spans="1:19" ht="15" x14ac:dyDescent="0.25">
      <c r="A1067" s="621" t="s">
        <v>351</v>
      </c>
      <c r="B1067" s="466" t="s">
        <v>111</v>
      </c>
      <c r="C1067" s="631" t="s">
        <v>740</v>
      </c>
      <c r="D1067" s="632" t="s">
        <v>889</v>
      </c>
      <c r="E1067" s="474"/>
      <c r="F1067" s="469" t="s">
        <v>112</v>
      </c>
      <c r="G1067" s="470" t="s">
        <v>1798</v>
      </c>
      <c r="H1067" s="637" t="s">
        <v>1797</v>
      </c>
      <c r="I1067" s="471" t="s">
        <v>114</v>
      </c>
      <c r="J1067" s="471" t="s">
        <v>913</v>
      </c>
      <c r="K1067" s="469">
        <v>100</v>
      </c>
      <c r="L1067" s="473"/>
      <c r="M1067" s="623">
        <v>37</v>
      </c>
      <c r="N1067" s="623">
        <v>37</v>
      </c>
      <c r="O1067" s="624">
        <v>1</v>
      </c>
      <c r="P1067" s="624">
        <v>1</v>
      </c>
      <c r="Q1067" s="785">
        <f t="shared" si="17"/>
        <v>1</v>
      </c>
      <c r="R1067" s="468" t="s">
        <v>1718</v>
      </c>
      <c r="S1067" s="629"/>
    </row>
    <row r="1068" spans="1:19" ht="15" x14ac:dyDescent="0.25">
      <c r="A1068" s="621" t="s">
        <v>351</v>
      </c>
      <c r="B1068" s="466" t="s">
        <v>111</v>
      </c>
      <c r="C1068" s="631" t="s">
        <v>740</v>
      </c>
      <c r="D1068" s="632" t="s">
        <v>881</v>
      </c>
      <c r="E1068" s="474"/>
      <c r="F1068" s="469" t="s">
        <v>112</v>
      </c>
      <c r="G1068" s="470" t="s">
        <v>1798</v>
      </c>
      <c r="H1068" s="637" t="s">
        <v>1797</v>
      </c>
      <c r="I1068" s="471" t="s">
        <v>114</v>
      </c>
      <c r="J1068" s="471" t="s">
        <v>913</v>
      </c>
      <c r="K1068" s="469">
        <v>100</v>
      </c>
      <c r="L1068" s="473"/>
      <c r="M1068" s="623">
        <v>4</v>
      </c>
      <c r="N1068" s="623">
        <v>4</v>
      </c>
      <c r="O1068" s="624">
        <v>1</v>
      </c>
      <c r="P1068" s="624">
        <v>1</v>
      </c>
      <c r="Q1068" s="785">
        <f t="shared" si="17"/>
        <v>1</v>
      </c>
      <c r="R1068" s="468" t="s">
        <v>1718</v>
      </c>
      <c r="S1068" s="629"/>
    </row>
    <row r="1069" spans="1:19" ht="15" x14ac:dyDescent="0.25">
      <c r="A1069" s="621" t="s">
        <v>351</v>
      </c>
      <c r="B1069" s="466" t="s">
        <v>111</v>
      </c>
      <c r="C1069" s="631" t="s">
        <v>740</v>
      </c>
      <c r="D1069" s="632" t="s">
        <v>883</v>
      </c>
      <c r="E1069" s="474"/>
      <c r="F1069" s="469" t="s">
        <v>112</v>
      </c>
      <c r="G1069" s="470" t="s">
        <v>1798</v>
      </c>
      <c r="H1069" s="637" t="s">
        <v>1797</v>
      </c>
      <c r="I1069" s="471" t="s">
        <v>114</v>
      </c>
      <c r="J1069" s="471" t="s">
        <v>913</v>
      </c>
      <c r="K1069" s="469">
        <v>100</v>
      </c>
      <c r="L1069" s="473"/>
      <c r="M1069" s="623">
        <v>0</v>
      </c>
      <c r="N1069" s="623">
        <v>0</v>
      </c>
      <c r="O1069" s="624">
        <v>0</v>
      </c>
      <c r="P1069" s="624">
        <v>0</v>
      </c>
      <c r="Q1069" s="785" t="e">
        <f t="shared" si="17"/>
        <v>#DIV/0!</v>
      </c>
      <c r="R1069" s="468" t="s">
        <v>1719</v>
      </c>
      <c r="S1069" s="629"/>
    </row>
    <row r="1070" spans="1:19" ht="15" x14ac:dyDescent="0.25">
      <c r="A1070" s="621" t="s">
        <v>351</v>
      </c>
      <c r="B1070" s="466" t="s">
        <v>111</v>
      </c>
      <c r="C1070" s="631" t="s">
        <v>894</v>
      </c>
      <c r="D1070" s="632" t="s">
        <v>889</v>
      </c>
      <c r="E1070" s="474"/>
      <c r="F1070" s="469" t="s">
        <v>112</v>
      </c>
      <c r="G1070" s="470" t="s">
        <v>1798</v>
      </c>
      <c r="H1070" s="637" t="s">
        <v>1797</v>
      </c>
      <c r="I1070" s="471" t="s">
        <v>114</v>
      </c>
      <c r="J1070" s="471" t="s">
        <v>913</v>
      </c>
      <c r="K1070" s="469">
        <v>100</v>
      </c>
      <c r="L1070" s="473"/>
      <c r="M1070" s="623">
        <v>543</v>
      </c>
      <c r="N1070" s="623">
        <v>543</v>
      </c>
      <c r="O1070" s="624">
        <v>1</v>
      </c>
      <c r="P1070" s="624">
        <v>1</v>
      </c>
      <c r="Q1070" s="785">
        <f t="shared" si="17"/>
        <v>1</v>
      </c>
      <c r="R1070" s="468" t="s">
        <v>1718</v>
      </c>
      <c r="S1070" s="629"/>
    </row>
    <row r="1071" spans="1:19" ht="15" x14ac:dyDescent="0.25">
      <c r="A1071" s="621" t="s">
        <v>351</v>
      </c>
      <c r="B1071" s="466" t="s">
        <v>111</v>
      </c>
      <c r="C1071" s="631" t="s">
        <v>894</v>
      </c>
      <c r="D1071" s="632" t="s">
        <v>881</v>
      </c>
      <c r="E1071" s="474"/>
      <c r="F1071" s="469" t="s">
        <v>112</v>
      </c>
      <c r="G1071" s="470" t="s">
        <v>1798</v>
      </c>
      <c r="H1071" s="637" t="s">
        <v>1797</v>
      </c>
      <c r="I1071" s="471" t="s">
        <v>114</v>
      </c>
      <c r="J1071" s="471" t="s">
        <v>913</v>
      </c>
      <c r="K1071" s="469">
        <v>100</v>
      </c>
      <c r="L1071" s="473"/>
      <c r="M1071" s="623">
        <v>78</v>
      </c>
      <c r="N1071" s="623">
        <v>78</v>
      </c>
      <c r="O1071" s="624">
        <v>1</v>
      </c>
      <c r="P1071" s="624">
        <v>1</v>
      </c>
      <c r="Q1071" s="785">
        <f t="shared" si="17"/>
        <v>1</v>
      </c>
      <c r="R1071" s="468" t="s">
        <v>1718</v>
      </c>
      <c r="S1071" s="629"/>
    </row>
    <row r="1072" spans="1:19" ht="15" x14ac:dyDescent="0.25">
      <c r="A1072" s="621" t="s">
        <v>351</v>
      </c>
      <c r="B1072" s="466" t="s">
        <v>111</v>
      </c>
      <c r="C1072" s="631" t="s">
        <v>894</v>
      </c>
      <c r="D1072" s="632" t="s">
        <v>883</v>
      </c>
      <c r="E1072" s="474"/>
      <c r="F1072" s="469" t="s">
        <v>112</v>
      </c>
      <c r="G1072" s="470" t="s">
        <v>1798</v>
      </c>
      <c r="H1072" s="637" t="s">
        <v>1797</v>
      </c>
      <c r="I1072" s="471" t="s">
        <v>114</v>
      </c>
      <c r="J1072" s="471" t="s">
        <v>913</v>
      </c>
      <c r="K1072" s="469">
        <v>100</v>
      </c>
      <c r="L1072" s="473"/>
      <c r="M1072" s="623">
        <v>25</v>
      </c>
      <c r="N1072" s="623">
        <v>25</v>
      </c>
      <c r="O1072" s="624">
        <v>1</v>
      </c>
      <c r="P1072" s="624">
        <v>1</v>
      </c>
      <c r="Q1072" s="785">
        <f t="shared" si="17"/>
        <v>1</v>
      </c>
      <c r="R1072" s="468" t="s">
        <v>1718</v>
      </c>
      <c r="S1072" s="629"/>
    </row>
    <row r="1073" spans="1:19" ht="15" x14ac:dyDescent="0.25">
      <c r="A1073" s="621" t="s">
        <v>351</v>
      </c>
      <c r="B1073" s="466" t="s">
        <v>111</v>
      </c>
      <c r="C1073" s="631" t="s">
        <v>894</v>
      </c>
      <c r="D1073" s="632" t="s">
        <v>869</v>
      </c>
      <c r="E1073" s="474"/>
      <c r="F1073" s="469" t="s">
        <v>112</v>
      </c>
      <c r="G1073" s="470" t="s">
        <v>1798</v>
      </c>
      <c r="H1073" s="637" t="s">
        <v>1797</v>
      </c>
      <c r="I1073" s="471" t="s">
        <v>114</v>
      </c>
      <c r="J1073" s="471" t="s">
        <v>913</v>
      </c>
      <c r="K1073" s="469">
        <v>100</v>
      </c>
      <c r="L1073" s="473"/>
      <c r="M1073" s="623">
        <v>0</v>
      </c>
      <c r="N1073" s="623">
        <v>0</v>
      </c>
      <c r="O1073" s="624">
        <v>0</v>
      </c>
      <c r="P1073" s="624">
        <v>0</v>
      </c>
      <c r="Q1073" s="785" t="e">
        <f t="shared" si="17"/>
        <v>#DIV/0!</v>
      </c>
      <c r="R1073" s="468" t="s">
        <v>1719</v>
      </c>
      <c r="S1073" s="629"/>
    </row>
    <row r="1074" spans="1:19" ht="19.5" customHeight="1" x14ac:dyDescent="0.25">
      <c r="A1074" s="621" t="s">
        <v>351</v>
      </c>
      <c r="B1074" s="466" t="s">
        <v>111</v>
      </c>
      <c r="C1074" s="466" t="s">
        <v>99</v>
      </c>
      <c r="D1074" s="467" t="s">
        <v>866</v>
      </c>
      <c r="E1074" s="474"/>
      <c r="F1074" s="469" t="s">
        <v>112</v>
      </c>
      <c r="G1074" s="470" t="s">
        <v>1799</v>
      </c>
      <c r="H1074" s="637" t="s">
        <v>1797</v>
      </c>
      <c r="I1074" s="471" t="s">
        <v>114</v>
      </c>
      <c r="J1074" s="471" t="s">
        <v>913</v>
      </c>
      <c r="K1074" s="469">
        <v>100</v>
      </c>
      <c r="L1074" s="473"/>
      <c r="M1074" s="623">
        <v>0</v>
      </c>
      <c r="N1074" s="623">
        <v>0</v>
      </c>
      <c r="O1074" s="624">
        <v>0</v>
      </c>
      <c r="P1074" s="624">
        <v>0</v>
      </c>
      <c r="Q1074" s="785" t="e">
        <f t="shared" si="17"/>
        <v>#DIV/0!</v>
      </c>
      <c r="R1074" s="625" t="s">
        <v>1719</v>
      </c>
      <c r="S1074" s="638"/>
    </row>
    <row r="1075" spans="1:19" ht="15" x14ac:dyDescent="0.25">
      <c r="A1075" s="621" t="s">
        <v>351</v>
      </c>
      <c r="B1075" s="466" t="s">
        <v>111</v>
      </c>
      <c r="C1075" s="630" t="s">
        <v>99</v>
      </c>
      <c r="D1075" s="628" t="s">
        <v>869</v>
      </c>
      <c r="E1075" s="474"/>
      <c r="F1075" s="469" t="s">
        <v>112</v>
      </c>
      <c r="G1075" s="470" t="s">
        <v>1799</v>
      </c>
      <c r="H1075" s="637" t="s">
        <v>1797</v>
      </c>
      <c r="I1075" s="471" t="s">
        <v>114</v>
      </c>
      <c r="J1075" s="471" t="s">
        <v>913</v>
      </c>
      <c r="K1075" s="469">
        <v>100</v>
      </c>
      <c r="L1075" s="473"/>
      <c r="M1075" s="623">
        <v>14</v>
      </c>
      <c r="N1075" s="623">
        <v>14</v>
      </c>
      <c r="O1075" s="624">
        <v>1</v>
      </c>
      <c r="P1075" s="624">
        <v>1</v>
      </c>
      <c r="Q1075" s="785">
        <f t="shared" si="17"/>
        <v>1</v>
      </c>
      <c r="R1075" s="468" t="s">
        <v>1718</v>
      </c>
      <c r="S1075" s="629"/>
    </row>
    <row r="1076" spans="1:19" ht="15" x14ac:dyDescent="0.25">
      <c r="A1076" s="621" t="s">
        <v>351</v>
      </c>
      <c r="B1076" s="466" t="s">
        <v>111</v>
      </c>
      <c r="C1076" s="630" t="s">
        <v>870</v>
      </c>
      <c r="D1076" s="628" t="s">
        <v>889</v>
      </c>
      <c r="E1076" s="474"/>
      <c r="F1076" s="469" t="s">
        <v>112</v>
      </c>
      <c r="G1076" s="470" t="s">
        <v>1799</v>
      </c>
      <c r="H1076" s="637" t="s">
        <v>1797</v>
      </c>
      <c r="I1076" s="471" t="s">
        <v>114</v>
      </c>
      <c r="J1076" s="471" t="s">
        <v>913</v>
      </c>
      <c r="K1076" s="469">
        <v>100</v>
      </c>
      <c r="L1076" s="473"/>
      <c r="M1076" s="623">
        <v>50</v>
      </c>
      <c r="N1076" s="623">
        <v>50</v>
      </c>
      <c r="O1076" s="624">
        <v>1</v>
      </c>
      <c r="P1076" s="624">
        <v>1</v>
      </c>
      <c r="Q1076" s="785">
        <f t="shared" si="17"/>
        <v>1</v>
      </c>
      <c r="R1076" s="468" t="s">
        <v>1718</v>
      </c>
      <c r="S1076" s="629"/>
    </row>
    <row r="1077" spans="1:19" ht="15" x14ac:dyDescent="0.25">
      <c r="A1077" s="621" t="s">
        <v>351</v>
      </c>
      <c r="B1077" s="466" t="s">
        <v>111</v>
      </c>
      <c r="C1077" s="631" t="s">
        <v>870</v>
      </c>
      <c r="D1077" s="628" t="s">
        <v>881</v>
      </c>
      <c r="E1077" s="474"/>
      <c r="F1077" s="469" t="s">
        <v>112</v>
      </c>
      <c r="G1077" s="470" t="s">
        <v>1799</v>
      </c>
      <c r="H1077" s="637" t="s">
        <v>1797</v>
      </c>
      <c r="I1077" s="471" t="s">
        <v>114</v>
      </c>
      <c r="J1077" s="471" t="s">
        <v>913</v>
      </c>
      <c r="K1077" s="469">
        <v>100</v>
      </c>
      <c r="L1077" s="473"/>
      <c r="M1077" s="623">
        <v>19</v>
      </c>
      <c r="N1077" s="623">
        <v>19</v>
      </c>
      <c r="O1077" s="624">
        <v>1</v>
      </c>
      <c r="P1077" s="624">
        <v>1</v>
      </c>
      <c r="Q1077" s="785">
        <f t="shared" si="17"/>
        <v>1</v>
      </c>
      <c r="R1077" s="468" t="s">
        <v>1718</v>
      </c>
      <c r="S1077" s="629"/>
    </row>
    <row r="1078" spans="1:19" ht="15" x14ac:dyDescent="0.25">
      <c r="A1078" s="621" t="s">
        <v>351</v>
      </c>
      <c r="B1078" s="466" t="s">
        <v>111</v>
      </c>
      <c r="C1078" s="631" t="s">
        <v>870</v>
      </c>
      <c r="D1078" s="628" t="s">
        <v>883</v>
      </c>
      <c r="E1078" s="474"/>
      <c r="F1078" s="469" t="s">
        <v>112</v>
      </c>
      <c r="G1078" s="470" t="s">
        <v>1799</v>
      </c>
      <c r="H1078" s="637" t="s">
        <v>1797</v>
      </c>
      <c r="I1078" s="471" t="s">
        <v>114</v>
      </c>
      <c r="J1078" s="471" t="s">
        <v>913</v>
      </c>
      <c r="K1078" s="469">
        <v>100</v>
      </c>
      <c r="L1078" s="473"/>
      <c r="M1078" s="623">
        <v>39</v>
      </c>
      <c r="N1078" s="623">
        <v>39</v>
      </c>
      <c r="O1078" s="624">
        <v>1</v>
      </c>
      <c r="P1078" s="624">
        <v>1</v>
      </c>
      <c r="Q1078" s="785">
        <f t="shared" si="17"/>
        <v>1</v>
      </c>
      <c r="R1078" s="468" t="s">
        <v>1718</v>
      </c>
      <c r="S1078" s="629"/>
    </row>
    <row r="1079" spans="1:19" ht="15" x14ac:dyDescent="0.25">
      <c r="A1079" s="621" t="s">
        <v>351</v>
      </c>
      <c r="B1079" s="466" t="s">
        <v>111</v>
      </c>
      <c r="C1079" s="631" t="s">
        <v>870</v>
      </c>
      <c r="D1079" s="632" t="s">
        <v>866</v>
      </c>
      <c r="E1079" s="474"/>
      <c r="F1079" s="469" t="s">
        <v>112</v>
      </c>
      <c r="G1079" s="470" t="s">
        <v>1799</v>
      </c>
      <c r="H1079" s="637" t="s">
        <v>1797</v>
      </c>
      <c r="I1079" s="471" t="s">
        <v>114</v>
      </c>
      <c r="J1079" s="471" t="s">
        <v>913</v>
      </c>
      <c r="K1079" s="469">
        <v>100</v>
      </c>
      <c r="L1079" s="473"/>
      <c r="M1079" s="623">
        <v>67</v>
      </c>
      <c r="N1079" s="623">
        <v>67</v>
      </c>
      <c r="O1079" s="624">
        <v>1</v>
      </c>
      <c r="P1079" s="624">
        <v>1</v>
      </c>
      <c r="Q1079" s="785">
        <f t="shared" si="17"/>
        <v>1</v>
      </c>
      <c r="R1079" s="468" t="s">
        <v>1718</v>
      </c>
      <c r="S1079" s="629"/>
    </row>
    <row r="1080" spans="1:19" ht="15" x14ac:dyDescent="0.25">
      <c r="A1080" s="621" t="s">
        <v>351</v>
      </c>
      <c r="B1080" s="466" t="s">
        <v>111</v>
      </c>
      <c r="C1080" s="631" t="s">
        <v>870</v>
      </c>
      <c r="D1080" s="632" t="s">
        <v>869</v>
      </c>
      <c r="E1080" s="474"/>
      <c r="F1080" s="469" t="s">
        <v>112</v>
      </c>
      <c r="G1080" s="470" t="s">
        <v>1799</v>
      </c>
      <c r="H1080" s="637" t="s">
        <v>1797</v>
      </c>
      <c r="I1080" s="471" t="s">
        <v>114</v>
      </c>
      <c r="J1080" s="471" t="s">
        <v>913</v>
      </c>
      <c r="K1080" s="469">
        <v>100</v>
      </c>
      <c r="L1080" s="473"/>
      <c r="M1080" s="623">
        <v>46</v>
      </c>
      <c r="N1080" s="623">
        <v>46</v>
      </c>
      <c r="O1080" s="624">
        <v>1</v>
      </c>
      <c r="P1080" s="624">
        <v>1</v>
      </c>
      <c r="Q1080" s="785">
        <f t="shared" si="17"/>
        <v>1</v>
      </c>
      <c r="R1080" s="468" t="s">
        <v>1718</v>
      </c>
      <c r="S1080" s="629"/>
    </row>
    <row r="1081" spans="1:19" ht="15" x14ac:dyDescent="0.25">
      <c r="A1081" s="621" t="s">
        <v>351</v>
      </c>
      <c r="B1081" s="466" t="s">
        <v>111</v>
      </c>
      <c r="C1081" s="631" t="s">
        <v>738</v>
      </c>
      <c r="D1081" s="632" t="s">
        <v>889</v>
      </c>
      <c r="E1081" s="474"/>
      <c r="F1081" s="469" t="s">
        <v>112</v>
      </c>
      <c r="G1081" s="470" t="s">
        <v>1799</v>
      </c>
      <c r="H1081" s="637" t="s">
        <v>1797</v>
      </c>
      <c r="I1081" s="471" t="s">
        <v>114</v>
      </c>
      <c r="J1081" s="471" t="s">
        <v>913</v>
      </c>
      <c r="K1081" s="469">
        <v>100</v>
      </c>
      <c r="L1081" s="473"/>
      <c r="M1081" s="623">
        <v>156</v>
      </c>
      <c r="N1081" s="623">
        <v>156</v>
      </c>
      <c r="O1081" s="624">
        <v>1</v>
      </c>
      <c r="P1081" s="624">
        <v>1</v>
      </c>
      <c r="Q1081" s="785">
        <f t="shared" si="17"/>
        <v>1</v>
      </c>
      <c r="R1081" s="468" t="s">
        <v>1718</v>
      </c>
      <c r="S1081" s="629"/>
    </row>
    <row r="1082" spans="1:19" ht="15" x14ac:dyDescent="0.25">
      <c r="A1082" s="621" t="s">
        <v>351</v>
      </c>
      <c r="B1082" s="466" t="s">
        <v>111</v>
      </c>
      <c r="C1082" s="631" t="s">
        <v>738</v>
      </c>
      <c r="D1082" s="632" t="s">
        <v>881</v>
      </c>
      <c r="E1082" s="474"/>
      <c r="F1082" s="469" t="s">
        <v>112</v>
      </c>
      <c r="G1082" s="470" t="s">
        <v>1799</v>
      </c>
      <c r="H1082" s="637" t="s">
        <v>1797</v>
      </c>
      <c r="I1082" s="471" t="s">
        <v>114</v>
      </c>
      <c r="J1082" s="471" t="s">
        <v>913</v>
      </c>
      <c r="K1082" s="469">
        <v>100</v>
      </c>
      <c r="L1082" s="473"/>
      <c r="M1082" s="623">
        <v>54</v>
      </c>
      <c r="N1082" s="623">
        <v>54</v>
      </c>
      <c r="O1082" s="624">
        <v>1</v>
      </c>
      <c r="P1082" s="624">
        <v>1</v>
      </c>
      <c r="Q1082" s="785">
        <f t="shared" si="17"/>
        <v>1</v>
      </c>
      <c r="R1082" s="468" t="s">
        <v>1718</v>
      </c>
      <c r="S1082" s="629"/>
    </row>
    <row r="1083" spans="1:19" ht="15" x14ac:dyDescent="0.25">
      <c r="A1083" s="621" t="s">
        <v>351</v>
      </c>
      <c r="B1083" s="466" t="s">
        <v>111</v>
      </c>
      <c r="C1083" s="631" t="s">
        <v>738</v>
      </c>
      <c r="D1083" s="632" t="s">
        <v>883</v>
      </c>
      <c r="E1083" s="474"/>
      <c r="F1083" s="469" t="s">
        <v>112</v>
      </c>
      <c r="G1083" s="470" t="s">
        <v>1799</v>
      </c>
      <c r="H1083" s="637" t="s">
        <v>1797</v>
      </c>
      <c r="I1083" s="471" t="s">
        <v>114</v>
      </c>
      <c r="J1083" s="471" t="s">
        <v>913</v>
      </c>
      <c r="K1083" s="469">
        <v>100</v>
      </c>
      <c r="L1083" s="473"/>
      <c r="M1083" s="623">
        <v>0</v>
      </c>
      <c r="N1083" s="623">
        <v>0</v>
      </c>
      <c r="O1083" s="624">
        <v>0</v>
      </c>
      <c r="P1083" s="624">
        <v>0</v>
      </c>
      <c r="Q1083" s="785" t="e">
        <f t="shared" si="17"/>
        <v>#DIV/0!</v>
      </c>
      <c r="R1083" s="468" t="s">
        <v>1719</v>
      </c>
      <c r="S1083" s="629"/>
    </row>
    <row r="1084" spans="1:19" ht="15" x14ac:dyDescent="0.25">
      <c r="A1084" s="621" t="s">
        <v>351</v>
      </c>
      <c r="B1084" s="466" t="s">
        <v>111</v>
      </c>
      <c r="C1084" s="631" t="s">
        <v>738</v>
      </c>
      <c r="D1084" s="632" t="s">
        <v>866</v>
      </c>
      <c r="E1084" s="474"/>
      <c r="F1084" s="469" t="s">
        <v>112</v>
      </c>
      <c r="G1084" s="470" t="s">
        <v>1799</v>
      </c>
      <c r="H1084" s="637" t="s">
        <v>1797</v>
      </c>
      <c r="I1084" s="471" t="s">
        <v>114</v>
      </c>
      <c r="J1084" s="471" t="s">
        <v>913</v>
      </c>
      <c r="K1084" s="469">
        <v>100</v>
      </c>
      <c r="L1084" s="473"/>
      <c r="M1084" s="623">
        <v>0</v>
      </c>
      <c r="N1084" s="623">
        <v>0</v>
      </c>
      <c r="O1084" s="624">
        <v>0</v>
      </c>
      <c r="P1084" s="624">
        <v>0</v>
      </c>
      <c r="Q1084" s="785" t="e">
        <f t="shared" si="17"/>
        <v>#DIV/0!</v>
      </c>
      <c r="R1084" s="468" t="s">
        <v>1719</v>
      </c>
      <c r="S1084" s="629"/>
    </row>
    <row r="1085" spans="1:19" ht="15" x14ac:dyDescent="0.25">
      <c r="A1085" s="621" t="s">
        <v>351</v>
      </c>
      <c r="B1085" s="466" t="s">
        <v>111</v>
      </c>
      <c r="C1085" s="631" t="s">
        <v>738</v>
      </c>
      <c r="D1085" s="632" t="s">
        <v>869</v>
      </c>
      <c r="E1085" s="474"/>
      <c r="F1085" s="469" t="s">
        <v>112</v>
      </c>
      <c r="G1085" s="470" t="s">
        <v>1799</v>
      </c>
      <c r="H1085" s="637" t="s">
        <v>1797</v>
      </c>
      <c r="I1085" s="471" t="s">
        <v>114</v>
      </c>
      <c r="J1085" s="471" t="s">
        <v>913</v>
      </c>
      <c r="K1085" s="469">
        <v>100</v>
      </c>
      <c r="L1085" s="473"/>
      <c r="M1085" s="623">
        <v>7</v>
      </c>
      <c r="N1085" s="623">
        <v>7</v>
      </c>
      <c r="O1085" s="624">
        <v>1</v>
      </c>
      <c r="P1085" s="624">
        <v>1</v>
      </c>
      <c r="Q1085" s="785">
        <f t="shared" si="17"/>
        <v>1</v>
      </c>
      <c r="R1085" s="468" t="s">
        <v>1718</v>
      </c>
      <c r="S1085" s="629"/>
    </row>
    <row r="1086" spans="1:19" ht="15" x14ac:dyDescent="0.25">
      <c r="A1086" s="621" t="s">
        <v>351</v>
      </c>
      <c r="B1086" s="466" t="s">
        <v>111</v>
      </c>
      <c r="C1086" s="631" t="s">
        <v>101</v>
      </c>
      <c r="D1086" s="632" t="s">
        <v>889</v>
      </c>
      <c r="E1086" s="474"/>
      <c r="F1086" s="469" t="s">
        <v>112</v>
      </c>
      <c r="G1086" s="470" t="s">
        <v>1799</v>
      </c>
      <c r="H1086" s="637" t="s">
        <v>1797</v>
      </c>
      <c r="I1086" s="471" t="s">
        <v>114</v>
      </c>
      <c r="J1086" s="471" t="s">
        <v>913</v>
      </c>
      <c r="K1086" s="469">
        <v>100</v>
      </c>
      <c r="L1086" s="473"/>
      <c r="M1086" s="623">
        <v>112</v>
      </c>
      <c r="N1086" s="623">
        <v>112</v>
      </c>
      <c r="O1086" s="624">
        <v>1</v>
      </c>
      <c r="P1086" s="624">
        <v>1</v>
      </c>
      <c r="Q1086" s="785">
        <f t="shared" si="17"/>
        <v>1</v>
      </c>
      <c r="R1086" s="468" t="s">
        <v>1718</v>
      </c>
      <c r="S1086" s="629"/>
    </row>
    <row r="1087" spans="1:19" ht="15" x14ac:dyDescent="0.25">
      <c r="A1087" s="621" t="s">
        <v>351</v>
      </c>
      <c r="B1087" s="466" t="s">
        <v>111</v>
      </c>
      <c r="C1087" s="631" t="s">
        <v>101</v>
      </c>
      <c r="D1087" s="632" t="s">
        <v>881</v>
      </c>
      <c r="E1087" s="474"/>
      <c r="F1087" s="469" t="s">
        <v>112</v>
      </c>
      <c r="G1087" s="470" t="s">
        <v>1799</v>
      </c>
      <c r="H1087" s="637" t="s">
        <v>1797</v>
      </c>
      <c r="I1087" s="471" t="s">
        <v>114</v>
      </c>
      <c r="J1087" s="471" t="s">
        <v>913</v>
      </c>
      <c r="K1087" s="469">
        <v>100</v>
      </c>
      <c r="L1087" s="473"/>
      <c r="M1087" s="623">
        <v>9</v>
      </c>
      <c r="N1087" s="623">
        <v>9</v>
      </c>
      <c r="O1087" s="624">
        <v>1</v>
      </c>
      <c r="P1087" s="624">
        <v>1</v>
      </c>
      <c r="Q1087" s="785">
        <f t="shared" si="17"/>
        <v>1</v>
      </c>
      <c r="R1087" s="468" t="s">
        <v>1718</v>
      </c>
      <c r="S1087" s="629"/>
    </row>
    <row r="1088" spans="1:19" ht="15" x14ac:dyDescent="0.25">
      <c r="A1088" s="621" t="s">
        <v>351</v>
      </c>
      <c r="B1088" s="466" t="s">
        <v>111</v>
      </c>
      <c r="C1088" s="631" t="s">
        <v>101</v>
      </c>
      <c r="D1088" s="632" t="s">
        <v>883</v>
      </c>
      <c r="E1088" s="474"/>
      <c r="F1088" s="469" t="s">
        <v>112</v>
      </c>
      <c r="G1088" s="470" t="s">
        <v>1799</v>
      </c>
      <c r="H1088" s="637" t="s">
        <v>1797</v>
      </c>
      <c r="I1088" s="471" t="s">
        <v>114</v>
      </c>
      <c r="J1088" s="471" t="s">
        <v>913</v>
      </c>
      <c r="K1088" s="469">
        <v>100</v>
      </c>
      <c r="L1088" s="473"/>
      <c r="M1088" s="623">
        <v>0</v>
      </c>
      <c r="N1088" s="623">
        <v>0</v>
      </c>
      <c r="O1088" s="624">
        <v>0</v>
      </c>
      <c r="P1088" s="624">
        <v>0</v>
      </c>
      <c r="Q1088" s="785" t="e">
        <f t="shared" si="17"/>
        <v>#DIV/0!</v>
      </c>
      <c r="R1088" s="468" t="s">
        <v>1719</v>
      </c>
      <c r="S1088" s="629"/>
    </row>
    <row r="1089" spans="1:19" ht="15" x14ac:dyDescent="0.25">
      <c r="A1089" s="621" t="s">
        <v>351</v>
      </c>
      <c r="B1089" s="466" t="s">
        <v>111</v>
      </c>
      <c r="C1089" s="631" t="s">
        <v>101</v>
      </c>
      <c r="D1089" s="632" t="s">
        <v>866</v>
      </c>
      <c r="E1089" s="474"/>
      <c r="F1089" s="469" t="s">
        <v>112</v>
      </c>
      <c r="G1089" s="470" t="s">
        <v>1799</v>
      </c>
      <c r="H1089" s="637" t="s">
        <v>1797</v>
      </c>
      <c r="I1089" s="471" t="s">
        <v>114</v>
      </c>
      <c r="J1089" s="471" t="s">
        <v>913</v>
      </c>
      <c r="K1089" s="469">
        <v>100</v>
      </c>
      <c r="L1089" s="473"/>
      <c r="M1089" s="623">
        <v>13</v>
      </c>
      <c r="N1089" s="623">
        <v>13</v>
      </c>
      <c r="O1089" s="624">
        <v>1</v>
      </c>
      <c r="P1089" s="624">
        <v>1</v>
      </c>
      <c r="Q1089" s="785">
        <f t="shared" si="17"/>
        <v>1</v>
      </c>
      <c r="R1089" s="468" t="s">
        <v>1718</v>
      </c>
      <c r="S1089" s="629"/>
    </row>
    <row r="1090" spans="1:19" ht="15" x14ac:dyDescent="0.25">
      <c r="A1090" s="621" t="s">
        <v>351</v>
      </c>
      <c r="B1090" s="466" t="s">
        <v>111</v>
      </c>
      <c r="C1090" s="631" t="s">
        <v>101</v>
      </c>
      <c r="D1090" s="632" t="s">
        <v>869</v>
      </c>
      <c r="E1090" s="474"/>
      <c r="F1090" s="469" t="s">
        <v>112</v>
      </c>
      <c r="G1090" s="470" t="s">
        <v>1799</v>
      </c>
      <c r="H1090" s="637" t="s">
        <v>1797</v>
      </c>
      <c r="I1090" s="471" t="s">
        <v>114</v>
      </c>
      <c r="J1090" s="471" t="s">
        <v>913</v>
      </c>
      <c r="K1090" s="469">
        <v>100</v>
      </c>
      <c r="L1090" s="473"/>
      <c r="M1090" s="623">
        <v>0</v>
      </c>
      <c r="N1090" s="623">
        <v>0</v>
      </c>
      <c r="O1090" s="624">
        <v>0</v>
      </c>
      <c r="P1090" s="624">
        <v>0</v>
      </c>
      <c r="Q1090" s="785" t="e">
        <f t="shared" si="17"/>
        <v>#DIV/0!</v>
      </c>
      <c r="R1090" s="468" t="s">
        <v>1719</v>
      </c>
      <c r="S1090" s="629"/>
    </row>
    <row r="1091" spans="1:19" ht="15" x14ac:dyDescent="0.25">
      <c r="A1091" s="621" t="s">
        <v>351</v>
      </c>
      <c r="B1091" s="466" t="s">
        <v>111</v>
      </c>
      <c r="C1091" s="631" t="s">
        <v>885</v>
      </c>
      <c r="D1091" s="632" t="s">
        <v>889</v>
      </c>
      <c r="E1091" s="474"/>
      <c r="F1091" s="469" t="s">
        <v>112</v>
      </c>
      <c r="G1091" s="470" t="s">
        <v>1799</v>
      </c>
      <c r="H1091" s="637" t="s">
        <v>1797</v>
      </c>
      <c r="I1091" s="471" t="s">
        <v>114</v>
      </c>
      <c r="J1091" s="471" t="s">
        <v>913</v>
      </c>
      <c r="K1091" s="469">
        <v>100</v>
      </c>
      <c r="L1091" s="473"/>
      <c r="M1091" s="623">
        <v>0</v>
      </c>
      <c r="N1091" s="623">
        <v>0</v>
      </c>
      <c r="O1091" s="624">
        <v>0</v>
      </c>
      <c r="P1091" s="624">
        <v>0</v>
      </c>
      <c r="Q1091" s="785" t="e">
        <f t="shared" si="17"/>
        <v>#DIV/0!</v>
      </c>
      <c r="R1091" s="468" t="s">
        <v>1719</v>
      </c>
      <c r="S1091" s="629"/>
    </row>
    <row r="1092" spans="1:19" ht="15" x14ac:dyDescent="0.25">
      <c r="A1092" s="621" t="s">
        <v>351</v>
      </c>
      <c r="B1092" s="466" t="s">
        <v>111</v>
      </c>
      <c r="C1092" s="631" t="s">
        <v>885</v>
      </c>
      <c r="D1092" s="632" t="s">
        <v>881</v>
      </c>
      <c r="E1092" s="474"/>
      <c r="F1092" s="469" t="s">
        <v>112</v>
      </c>
      <c r="G1092" s="470" t="s">
        <v>1799</v>
      </c>
      <c r="H1092" s="637" t="s">
        <v>1797</v>
      </c>
      <c r="I1092" s="471" t="s">
        <v>114</v>
      </c>
      <c r="J1092" s="471" t="s">
        <v>913</v>
      </c>
      <c r="K1092" s="469">
        <v>100</v>
      </c>
      <c r="L1092" s="473"/>
      <c r="M1092" s="623">
        <v>5</v>
      </c>
      <c r="N1092" s="623">
        <v>5</v>
      </c>
      <c r="O1092" s="624">
        <v>1</v>
      </c>
      <c r="P1092" s="624">
        <v>1</v>
      </c>
      <c r="Q1092" s="785">
        <f t="shared" si="17"/>
        <v>1</v>
      </c>
      <c r="R1092" s="468" t="s">
        <v>1718</v>
      </c>
      <c r="S1092" s="629"/>
    </row>
    <row r="1093" spans="1:19" ht="15" x14ac:dyDescent="0.25">
      <c r="A1093" s="621" t="s">
        <v>351</v>
      </c>
      <c r="B1093" s="466" t="s">
        <v>111</v>
      </c>
      <c r="C1093" s="631" t="s">
        <v>885</v>
      </c>
      <c r="D1093" s="632" t="s">
        <v>883</v>
      </c>
      <c r="E1093" s="474"/>
      <c r="F1093" s="469" t="s">
        <v>112</v>
      </c>
      <c r="G1093" s="470" t="s">
        <v>1799</v>
      </c>
      <c r="H1093" s="637" t="s">
        <v>1797</v>
      </c>
      <c r="I1093" s="471" t="s">
        <v>114</v>
      </c>
      <c r="J1093" s="471" t="s">
        <v>913</v>
      </c>
      <c r="K1093" s="469">
        <v>100</v>
      </c>
      <c r="L1093" s="473"/>
      <c r="M1093" s="623">
        <v>5</v>
      </c>
      <c r="N1093" s="623">
        <v>5</v>
      </c>
      <c r="O1093" s="624">
        <v>1</v>
      </c>
      <c r="P1093" s="624">
        <v>1</v>
      </c>
      <c r="Q1093" s="785">
        <f t="shared" si="17"/>
        <v>1</v>
      </c>
      <c r="R1093" s="468" t="s">
        <v>1718</v>
      </c>
      <c r="S1093" s="629"/>
    </row>
    <row r="1094" spans="1:19" ht="15" x14ac:dyDescent="0.25">
      <c r="A1094" s="621" t="s">
        <v>351</v>
      </c>
      <c r="B1094" s="466" t="s">
        <v>111</v>
      </c>
      <c r="C1094" s="631" t="s">
        <v>885</v>
      </c>
      <c r="D1094" s="632" t="s">
        <v>866</v>
      </c>
      <c r="E1094" s="474"/>
      <c r="F1094" s="469" t="s">
        <v>112</v>
      </c>
      <c r="G1094" s="470" t="s">
        <v>1799</v>
      </c>
      <c r="H1094" s="637" t="s">
        <v>1797</v>
      </c>
      <c r="I1094" s="471" t="s">
        <v>114</v>
      </c>
      <c r="J1094" s="471" t="s">
        <v>913</v>
      </c>
      <c r="K1094" s="469">
        <v>100</v>
      </c>
      <c r="L1094" s="473"/>
      <c r="M1094" s="623">
        <v>0</v>
      </c>
      <c r="N1094" s="623">
        <v>0</v>
      </c>
      <c r="O1094" s="624">
        <v>0</v>
      </c>
      <c r="P1094" s="624">
        <v>0</v>
      </c>
      <c r="Q1094" s="785" t="e">
        <f t="shared" ref="Q1094:Q1157" si="18">N1094/(M1094*K1094/100)</f>
        <v>#DIV/0!</v>
      </c>
      <c r="R1094" s="468" t="s">
        <v>1719</v>
      </c>
      <c r="S1094" s="629"/>
    </row>
    <row r="1095" spans="1:19" ht="15" x14ac:dyDescent="0.25">
      <c r="A1095" s="621" t="s">
        <v>351</v>
      </c>
      <c r="B1095" s="466" t="s">
        <v>111</v>
      </c>
      <c r="C1095" s="631" t="s">
        <v>885</v>
      </c>
      <c r="D1095" s="632" t="s">
        <v>869</v>
      </c>
      <c r="E1095" s="474"/>
      <c r="F1095" s="469" t="s">
        <v>112</v>
      </c>
      <c r="G1095" s="470" t="s">
        <v>1799</v>
      </c>
      <c r="H1095" s="637" t="s">
        <v>1797</v>
      </c>
      <c r="I1095" s="471" t="s">
        <v>114</v>
      </c>
      <c r="J1095" s="471" t="s">
        <v>913</v>
      </c>
      <c r="K1095" s="469">
        <v>100</v>
      </c>
      <c r="L1095" s="473"/>
      <c r="M1095" s="623">
        <v>12</v>
      </c>
      <c r="N1095" s="623">
        <v>12</v>
      </c>
      <c r="O1095" s="624">
        <v>1</v>
      </c>
      <c r="P1095" s="624">
        <v>1</v>
      </c>
      <c r="Q1095" s="785">
        <f t="shared" si="18"/>
        <v>1</v>
      </c>
      <c r="R1095" s="468" t="s">
        <v>1718</v>
      </c>
      <c r="S1095" s="629"/>
    </row>
    <row r="1096" spans="1:19" ht="15" x14ac:dyDescent="0.25">
      <c r="A1096" s="621" t="s">
        <v>351</v>
      </c>
      <c r="B1096" s="466" t="s">
        <v>111</v>
      </c>
      <c r="C1096" s="631" t="s">
        <v>885</v>
      </c>
      <c r="D1096" s="632" t="s">
        <v>887</v>
      </c>
      <c r="E1096" s="474"/>
      <c r="F1096" s="469" t="s">
        <v>112</v>
      </c>
      <c r="G1096" s="470" t="s">
        <v>1799</v>
      </c>
      <c r="H1096" s="637" t="s">
        <v>1797</v>
      </c>
      <c r="I1096" s="471" t="s">
        <v>114</v>
      </c>
      <c r="J1096" s="471" t="s">
        <v>913</v>
      </c>
      <c r="K1096" s="469">
        <v>100</v>
      </c>
      <c r="L1096" s="473"/>
      <c r="M1096" s="623">
        <v>20</v>
      </c>
      <c r="N1096" s="623">
        <v>20</v>
      </c>
      <c r="O1096" s="624">
        <v>1</v>
      </c>
      <c r="P1096" s="624">
        <v>1</v>
      </c>
      <c r="Q1096" s="785">
        <f t="shared" si="18"/>
        <v>1</v>
      </c>
      <c r="R1096" s="468" t="s">
        <v>1718</v>
      </c>
      <c r="S1096" s="629"/>
    </row>
    <row r="1097" spans="1:19" ht="15" x14ac:dyDescent="0.25">
      <c r="A1097" s="621" t="s">
        <v>351</v>
      </c>
      <c r="B1097" s="466" t="s">
        <v>111</v>
      </c>
      <c r="C1097" s="631" t="s">
        <v>904</v>
      </c>
      <c r="D1097" s="632" t="s">
        <v>881</v>
      </c>
      <c r="E1097" s="474"/>
      <c r="F1097" s="469" t="s">
        <v>112</v>
      </c>
      <c r="G1097" s="470" t="s">
        <v>1799</v>
      </c>
      <c r="H1097" s="637" t="s">
        <v>1797</v>
      </c>
      <c r="I1097" s="471" t="s">
        <v>114</v>
      </c>
      <c r="J1097" s="471" t="s">
        <v>913</v>
      </c>
      <c r="K1097" s="469">
        <v>100</v>
      </c>
      <c r="L1097" s="473"/>
      <c r="M1097" s="623">
        <v>0</v>
      </c>
      <c r="N1097" s="623">
        <v>0</v>
      </c>
      <c r="O1097" s="624">
        <v>0</v>
      </c>
      <c r="P1097" s="624">
        <v>0</v>
      </c>
      <c r="Q1097" s="785" t="e">
        <f t="shared" si="18"/>
        <v>#DIV/0!</v>
      </c>
      <c r="R1097" s="468" t="s">
        <v>1719</v>
      </c>
      <c r="S1097" s="629"/>
    </row>
    <row r="1098" spans="1:19" ht="15" x14ac:dyDescent="0.25">
      <c r="A1098" s="621" t="s">
        <v>351</v>
      </c>
      <c r="B1098" s="466" t="s">
        <v>111</v>
      </c>
      <c r="C1098" s="631" t="s">
        <v>904</v>
      </c>
      <c r="D1098" s="632" t="s">
        <v>883</v>
      </c>
      <c r="E1098" s="474"/>
      <c r="F1098" s="469" t="s">
        <v>112</v>
      </c>
      <c r="G1098" s="470" t="s">
        <v>1799</v>
      </c>
      <c r="H1098" s="637" t="s">
        <v>1797</v>
      </c>
      <c r="I1098" s="471" t="s">
        <v>114</v>
      </c>
      <c r="J1098" s="471" t="s">
        <v>913</v>
      </c>
      <c r="K1098" s="469">
        <v>100</v>
      </c>
      <c r="L1098" s="473"/>
      <c r="M1098" s="623">
        <v>1</v>
      </c>
      <c r="N1098" s="623">
        <v>1</v>
      </c>
      <c r="O1098" s="624">
        <v>1</v>
      </c>
      <c r="P1098" s="624">
        <v>1</v>
      </c>
      <c r="Q1098" s="785">
        <f t="shared" si="18"/>
        <v>1</v>
      </c>
      <c r="R1098" s="468" t="s">
        <v>1718</v>
      </c>
      <c r="S1098" s="629"/>
    </row>
    <row r="1099" spans="1:19" ht="15" x14ac:dyDescent="0.25">
      <c r="A1099" s="621" t="s">
        <v>351</v>
      </c>
      <c r="B1099" s="466" t="s">
        <v>111</v>
      </c>
      <c r="C1099" s="631" t="s">
        <v>740</v>
      </c>
      <c r="D1099" s="632" t="s">
        <v>889</v>
      </c>
      <c r="E1099" s="474"/>
      <c r="F1099" s="469" t="s">
        <v>112</v>
      </c>
      <c r="G1099" s="470" t="s">
        <v>1799</v>
      </c>
      <c r="H1099" s="637" t="s">
        <v>1797</v>
      </c>
      <c r="I1099" s="471" t="s">
        <v>114</v>
      </c>
      <c r="J1099" s="471" t="s">
        <v>913</v>
      </c>
      <c r="K1099" s="469">
        <v>100</v>
      </c>
      <c r="L1099" s="473"/>
      <c r="M1099" s="623">
        <v>37</v>
      </c>
      <c r="N1099" s="623">
        <v>37</v>
      </c>
      <c r="O1099" s="624">
        <v>1</v>
      </c>
      <c r="P1099" s="624">
        <v>1</v>
      </c>
      <c r="Q1099" s="785">
        <f t="shared" si="18"/>
        <v>1</v>
      </c>
      <c r="R1099" s="468" t="s">
        <v>1718</v>
      </c>
      <c r="S1099" s="629"/>
    </row>
    <row r="1100" spans="1:19" ht="15" x14ac:dyDescent="0.25">
      <c r="A1100" s="621" t="s">
        <v>351</v>
      </c>
      <c r="B1100" s="466" t="s">
        <v>111</v>
      </c>
      <c r="C1100" s="631" t="s">
        <v>740</v>
      </c>
      <c r="D1100" s="632" t="s">
        <v>881</v>
      </c>
      <c r="E1100" s="474"/>
      <c r="F1100" s="469" t="s">
        <v>112</v>
      </c>
      <c r="G1100" s="470" t="s">
        <v>1799</v>
      </c>
      <c r="H1100" s="637" t="s">
        <v>1797</v>
      </c>
      <c r="I1100" s="471" t="s">
        <v>114</v>
      </c>
      <c r="J1100" s="471" t="s">
        <v>913</v>
      </c>
      <c r="K1100" s="469">
        <v>100</v>
      </c>
      <c r="L1100" s="473"/>
      <c r="M1100" s="623">
        <v>4</v>
      </c>
      <c r="N1100" s="623">
        <v>4</v>
      </c>
      <c r="O1100" s="624">
        <v>1</v>
      </c>
      <c r="P1100" s="624">
        <v>1</v>
      </c>
      <c r="Q1100" s="785">
        <f t="shared" si="18"/>
        <v>1</v>
      </c>
      <c r="R1100" s="468" t="s">
        <v>1718</v>
      </c>
      <c r="S1100" s="629"/>
    </row>
    <row r="1101" spans="1:19" ht="15" x14ac:dyDescent="0.25">
      <c r="A1101" s="621" t="s">
        <v>351</v>
      </c>
      <c r="B1101" s="466" t="s">
        <v>111</v>
      </c>
      <c r="C1101" s="631" t="s">
        <v>740</v>
      </c>
      <c r="D1101" s="632" t="s">
        <v>883</v>
      </c>
      <c r="E1101" s="474"/>
      <c r="F1101" s="469" t="s">
        <v>112</v>
      </c>
      <c r="G1101" s="470" t="s">
        <v>1799</v>
      </c>
      <c r="H1101" s="637" t="s">
        <v>1797</v>
      </c>
      <c r="I1101" s="471" t="s">
        <v>114</v>
      </c>
      <c r="J1101" s="471" t="s">
        <v>913</v>
      </c>
      <c r="K1101" s="469">
        <v>100</v>
      </c>
      <c r="L1101" s="473"/>
      <c r="M1101" s="623">
        <v>0</v>
      </c>
      <c r="N1101" s="623">
        <v>0</v>
      </c>
      <c r="O1101" s="624">
        <v>0</v>
      </c>
      <c r="P1101" s="624">
        <v>0</v>
      </c>
      <c r="Q1101" s="785" t="e">
        <f t="shared" si="18"/>
        <v>#DIV/0!</v>
      </c>
      <c r="R1101" s="468" t="s">
        <v>1719</v>
      </c>
      <c r="S1101" s="629"/>
    </row>
    <row r="1102" spans="1:19" ht="15" x14ac:dyDescent="0.25">
      <c r="A1102" s="621" t="s">
        <v>351</v>
      </c>
      <c r="B1102" s="466" t="s">
        <v>111</v>
      </c>
      <c r="C1102" s="631" t="s">
        <v>894</v>
      </c>
      <c r="D1102" s="632" t="s">
        <v>889</v>
      </c>
      <c r="E1102" s="474"/>
      <c r="F1102" s="469" t="s">
        <v>112</v>
      </c>
      <c r="G1102" s="470" t="s">
        <v>1799</v>
      </c>
      <c r="H1102" s="637" t="s">
        <v>1797</v>
      </c>
      <c r="I1102" s="471" t="s">
        <v>114</v>
      </c>
      <c r="J1102" s="471" t="s">
        <v>913</v>
      </c>
      <c r="K1102" s="469">
        <v>100</v>
      </c>
      <c r="L1102" s="473"/>
      <c r="M1102" s="623">
        <v>543</v>
      </c>
      <c r="N1102" s="623">
        <v>543</v>
      </c>
      <c r="O1102" s="624">
        <v>1</v>
      </c>
      <c r="P1102" s="624">
        <v>1</v>
      </c>
      <c r="Q1102" s="785">
        <f t="shared" si="18"/>
        <v>1</v>
      </c>
      <c r="R1102" s="468" t="s">
        <v>1718</v>
      </c>
      <c r="S1102" s="629"/>
    </row>
    <row r="1103" spans="1:19" ht="15" x14ac:dyDescent="0.25">
      <c r="A1103" s="621" t="s">
        <v>351</v>
      </c>
      <c r="B1103" s="466" t="s">
        <v>111</v>
      </c>
      <c r="C1103" s="631" t="s">
        <v>894</v>
      </c>
      <c r="D1103" s="632" t="s">
        <v>881</v>
      </c>
      <c r="E1103" s="474"/>
      <c r="F1103" s="469" t="s">
        <v>112</v>
      </c>
      <c r="G1103" s="470" t="s">
        <v>1799</v>
      </c>
      <c r="H1103" s="637" t="s">
        <v>1797</v>
      </c>
      <c r="I1103" s="471" t="s">
        <v>114</v>
      </c>
      <c r="J1103" s="471" t="s">
        <v>913</v>
      </c>
      <c r="K1103" s="469">
        <v>100</v>
      </c>
      <c r="L1103" s="473"/>
      <c r="M1103" s="623">
        <v>78</v>
      </c>
      <c r="N1103" s="623">
        <v>78</v>
      </c>
      <c r="O1103" s="624">
        <v>1</v>
      </c>
      <c r="P1103" s="624">
        <v>1</v>
      </c>
      <c r="Q1103" s="785">
        <f t="shared" si="18"/>
        <v>1</v>
      </c>
      <c r="R1103" s="468" t="s">
        <v>1718</v>
      </c>
      <c r="S1103" s="629"/>
    </row>
    <row r="1104" spans="1:19" ht="15" x14ac:dyDescent="0.25">
      <c r="A1104" s="621" t="s">
        <v>351</v>
      </c>
      <c r="B1104" s="466" t="s">
        <v>111</v>
      </c>
      <c r="C1104" s="631" t="s">
        <v>894</v>
      </c>
      <c r="D1104" s="632" t="s">
        <v>883</v>
      </c>
      <c r="E1104" s="474"/>
      <c r="F1104" s="469" t="s">
        <v>112</v>
      </c>
      <c r="G1104" s="470" t="s">
        <v>1799</v>
      </c>
      <c r="H1104" s="637" t="s">
        <v>1797</v>
      </c>
      <c r="I1104" s="471" t="s">
        <v>114</v>
      </c>
      <c r="J1104" s="471" t="s">
        <v>913</v>
      </c>
      <c r="K1104" s="469">
        <v>100</v>
      </c>
      <c r="L1104" s="473"/>
      <c r="M1104" s="623">
        <v>25</v>
      </c>
      <c r="N1104" s="623">
        <v>25</v>
      </c>
      <c r="O1104" s="624">
        <v>1</v>
      </c>
      <c r="P1104" s="624">
        <v>1</v>
      </c>
      <c r="Q1104" s="785">
        <f t="shared" si="18"/>
        <v>1</v>
      </c>
      <c r="R1104" s="468" t="s">
        <v>1718</v>
      </c>
      <c r="S1104" s="629"/>
    </row>
    <row r="1105" spans="1:19" ht="15" x14ac:dyDescent="0.25">
      <c r="A1105" s="621" t="s">
        <v>351</v>
      </c>
      <c r="B1105" s="466" t="s">
        <v>111</v>
      </c>
      <c r="C1105" s="631" t="s">
        <v>894</v>
      </c>
      <c r="D1105" s="632" t="s">
        <v>869</v>
      </c>
      <c r="E1105" s="474"/>
      <c r="F1105" s="469" t="s">
        <v>112</v>
      </c>
      <c r="G1105" s="470" t="s">
        <v>1799</v>
      </c>
      <c r="H1105" s="637" t="s">
        <v>1797</v>
      </c>
      <c r="I1105" s="471" t="s">
        <v>114</v>
      </c>
      <c r="J1105" s="471" t="s">
        <v>913</v>
      </c>
      <c r="K1105" s="469">
        <v>100</v>
      </c>
      <c r="L1105" s="473"/>
      <c r="M1105" s="623">
        <v>0</v>
      </c>
      <c r="N1105" s="623">
        <v>0</v>
      </c>
      <c r="O1105" s="624">
        <v>0</v>
      </c>
      <c r="P1105" s="624">
        <v>0</v>
      </c>
      <c r="Q1105" s="785" t="e">
        <f t="shared" si="18"/>
        <v>#DIV/0!</v>
      </c>
      <c r="R1105" s="468" t="s">
        <v>1719</v>
      </c>
      <c r="S1105" s="629"/>
    </row>
    <row r="1106" spans="1:19" ht="18.75" customHeight="1" x14ac:dyDescent="0.25">
      <c r="A1106" s="621" t="s">
        <v>351</v>
      </c>
      <c r="B1106" s="466" t="s">
        <v>111</v>
      </c>
      <c r="C1106" s="466" t="s">
        <v>99</v>
      </c>
      <c r="D1106" s="467" t="s">
        <v>866</v>
      </c>
      <c r="E1106" s="474"/>
      <c r="F1106" s="469" t="s">
        <v>112</v>
      </c>
      <c r="G1106" s="470" t="s">
        <v>1800</v>
      </c>
      <c r="H1106" s="637" t="s">
        <v>1797</v>
      </c>
      <c r="I1106" s="471" t="s">
        <v>114</v>
      </c>
      <c r="J1106" s="471" t="s">
        <v>913</v>
      </c>
      <c r="K1106" s="469">
        <v>100</v>
      </c>
      <c r="L1106" s="473"/>
      <c r="M1106" s="623">
        <v>0</v>
      </c>
      <c r="N1106" s="623">
        <v>0</v>
      </c>
      <c r="O1106" s="624">
        <v>0</v>
      </c>
      <c r="P1106" s="624">
        <v>0</v>
      </c>
      <c r="Q1106" s="785" t="e">
        <f t="shared" si="18"/>
        <v>#DIV/0!</v>
      </c>
      <c r="R1106" s="625" t="s">
        <v>1719</v>
      </c>
      <c r="S1106" s="638"/>
    </row>
    <row r="1107" spans="1:19" ht="15" x14ac:dyDescent="0.25">
      <c r="A1107" s="621" t="s">
        <v>351</v>
      </c>
      <c r="B1107" s="466" t="s">
        <v>111</v>
      </c>
      <c r="C1107" s="630" t="s">
        <v>99</v>
      </c>
      <c r="D1107" s="628" t="s">
        <v>869</v>
      </c>
      <c r="E1107" s="474"/>
      <c r="F1107" s="469" t="s">
        <v>112</v>
      </c>
      <c r="G1107" s="470" t="s">
        <v>1800</v>
      </c>
      <c r="H1107" s="637" t="s">
        <v>1797</v>
      </c>
      <c r="I1107" s="471" t="s">
        <v>114</v>
      </c>
      <c r="J1107" s="471" t="s">
        <v>913</v>
      </c>
      <c r="K1107" s="469">
        <v>100</v>
      </c>
      <c r="L1107" s="473"/>
      <c r="M1107" s="623">
        <v>14</v>
      </c>
      <c r="N1107" s="623">
        <v>14</v>
      </c>
      <c r="O1107" s="624">
        <v>1</v>
      </c>
      <c r="P1107" s="624">
        <v>1</v>
      </c>
      <c r="Q1107" s="785">
        <f t="shared" si="18"/>
        <v>1</v>
      </c>
      <c r="R1107" s="468" t="s">
        <v>1718</v>
      </c>
      <c r="S1107" s="629"/>
    </row>
    <row r="1108" spans="1:19" ht="15" x14ac:dyDescent="0.25">
      <c r="A1108" s="621" t="s">
        <v>351</v>
      </c>
      <c r="B1108" s="466" t="s">
        <v>111</v>
      </c>
      <c r="C1108" s="630" t="s">
        <v>870</v>
      </c>
      <c r="D1108" s="628" t="s">
        <v>889</v>
      </c>
      <c r="E1108" s="474"/>
      <c r="F1108" s="469" t="s">
        <v>112</v>
      </c>
      <c r="G1108" s="470" t="s">
        <v>1800</v>
      </c>
      <c r="H1108" s="637" t="s">
        <v>1797</v>
      </c>
      <c r="I1108" s="471" t="s">
        <v>114</v>
      </c>
      <c r="J1108" s="471" t="s">
        <v>913</v>
      </c>
      <c r="K1108" s="469">
        <v>100</v>
      </c>
      <c r="L1108" s="473"/>
      <c r="M1108" s="623">
        <v>50</v>
      </c>
      <c r="N1108" s="623">
        <v>50</v>
      </c>
      <c r="O1108" s="624">
        <v>1</v>
      </c>
      <c r="P1108" s="624">
        <v>1</v>
      </c>
      <c r="Q1108" s="785">
        <f t="shared" si="18"/>
        <v>1</v>
      </c>
      <c r="R1108" s="468" t="s">
        <v>1718</v>
      </c>
      <c r="S1108" s="629"/>
    </row>
    <row r="1109" spans="1:19" ht="15" x14ac:dyDescent="0.25">
      <c r="A1109" s="621" t="s">
        <v>351</v>
      </c>
      <c r="B1109" s="466" t="s">
        <v>111</v>
      </c>
      <c r="C1109" s="631" t="s">
        <v>870</v>
      </c>
      <c r="D1109" s="628" t="s">
        <v>881</v>
      </c>
      <c r="E1109" s="474"/>
      <c r="F1109" s="469" t="s">
        <v>112</v>
      </c>
      <c r="G1109" s="470" t="s">
        <v>1800</v>
      </c>
      <c r="H1109" s="637" t="s">
        <v>1797</v>
      </c>
      <c r="I1109" s="471" t="s">
        <v>114</v>
      </c>
      <c r="J1109" s="471" t="s">
        <v>913</v>
      </c>
      <c r="K1109" s="469">
        <v>100</v>
      </c>
      <c r="L1109" s="473"/>
      <c r="M1109" s="623">
        <v>19</v>
      </c>
      <c r="N1109" s="623">
        <v>19</v>
      </c>
      <c r="O1109" s="624">
        <v>1</v>
      </c>
      <c r="P1109" s="624">
        <v>1</v>
      </c>
      <c r="Q1109" s="785">
        <f t="shared" si="18"/>
        <v>1</v>
      </c>
      <c r="R1109" s="468" t="s">
        <v>1718</v>
      </c>
      <c r="S1109" s="629"/>
    </row>
    <row r="1110" spans="1:19" ht="15" x14ac:dyDescent="0.25">
      <c r="A1110" s="621" t="s">
        <v>351</v>
      </c>
      <c r="B1110" s="466" t="s">
        <v>111</v>
      </c>
      <c r="C1110" s="631" t="s">
        <v>870</v>
      </c>
      <c r="D1110" s="628" t="s">
        <v>883</v>
      </c>
      <c r="E1110" s="474"/>
      <c r="F1110" s="469" t="s">
        <v>112</v>
      </c>
      <c r="G1110" s="470" t="s">
        <v>1800</v>
      </c>
      <c r="H1110" s="637" t="s">
        <v>1797</v>
      </c>
      <c r="I1110" s="471" t="s">
        <v>114</v>
      </c>
      <c r="J1110" s="471" t="s">
        <v>913</v>
      </c>
      <c r="K1110" s="469">
        <v>100</v>
      </c>
      <c r="L1110" s="473"/>
      <c r="M1110" s="623">
        <v>39</v>
      </c>
      <c r="N1110" s="623">
        <v>39</v>
      </c>
      <c r="O1110" s="624">
        <v>1</v>
      </c>
      <c r="P1110" s="624">
        <v>1</v>
      </c>
      <c r="Q1110" s="785">
        <f t="shared" si="18"/>
        <v>1</v>
      </c>
      <c r="R1110" s="468" t="s">
        <v>1718</v>
      </c>
      <c r="S1110" s="629"/>
    </row>
    <row r="1111" spans="1:19" ht="15" x14ac:dyDescent="0.25">
      <c r="A1111" s="621" t="s">
        <v>351</v>
      </c>
      <c r="B1111" s="466" t="s">
        <v>111</v>
      </c>
      <c r="C1111" s="631" t="s">
        <v>870</v>
      </c>
      <c r="D1111" s="632" t="s">
        <v>866</v>
      </c>
      <c r="E1111" s="474"/>
      <c r="F1111" s="469" t="s">
        <v>112</v>
      </c>
      <c r="G1111" s="470" t="s">
        <v>1800</v>
      </c>
      <c r="H1111" s="637" t="s">
        <v>1797</v>
      </c>
      <c r="I1111" s="471" t="s">
        <v>114</v>
      </c>
      <c r="J1111" s="471" t="s">
        <v>913</v>
      </c>
      <c r="K1111" s="469">
        <v>100</v>
      </c>
      <c r="L1111" s="473"/>
      <c r="M1111" s="623">
        <v>67</v>
      </c>
      <c r="N1111" s="623">
        <v>67</v>
      </c>
      <c r="O1111" s="624">
        <v>1</v>
      </c>
      <c r="P1111" s="624">
        <v>1</v>
      </c>
      <c r="Q1111" s="785">
        <f t="shared" si="18"/>
        <v>1</v>
      </c>
      <c r="R1111" s="468" t="s">
        <v>1718</v>
      </c>
      <c r="S1111" s="629"/>
    </row>
    <row r="1112" spans="1:19" ht="15" x14ac:dyDescent="0.25">
      <c r="A1112" s="621" t="s">
        <v>351</v>
      </c>
      <c r="B1112" s="466" t="s">
        <v>111</v>
      </c>
      <c r="C1112" s="631" t="s">
        <v>870</v>
      </c>
      <c r="D1112" s="632" t="s">
        <v>869</v>
      </c>
      <c r="E1112" s="474"/>
      <c r="F1112" s="469" t="s">
        <v>112</v>
      </c>
      <c r="G1112" s="470" t="s">
        <v>1800</v>
      </c>
      <c r="H1112" s="637" t="s">
        <v>1797</v>
      </c>
      <c r="I1112" s="471" t="s">
        <v>114</v>
      </c>
      <c r="J1112" s="471" t="s">
        <v>913</v>
      </c>
      <c r="K1112" s="469">
        <v>100</v>
      </c>
      <c r="L1112" s="473"/>
      <c r="M1112" s="623">
        <v>46</v>
      </c>
      <c r="N1112" s="623">
        <v>46</v>
      </c>
      <c r="O1112" s="624">
        <v>1</v>
      </c>
      <c r="P1112" s="624">
        <v>1</v>
      </c>
      <c r="Q1112" s="785">
        <f t="shared" si="18"/>
        <v>1</v>
      </c>
      <c r="R1112" s="468" t="s">
        <v>1718</v>
      </c>
      <c r="S1112" s="629"/>
    </row>
    <row r="1113" spans="1:19" ht="15" x14ac:dyDescent="0.25">
      <c r="A1113" s="621" t="s">
        <v>351</v>
      </c>
      <c r="B1113" s="466" t="s">
        <v>111</v>
      </c>
      <c r="C1113" s="631" t="s">
        <v>738</v>
      </c>
      <c r="D1113" s="632" t="s">
        <v>889</v>
      </c>
      <c r="E1113" s="474"/>
      <c r="F1113" s="469" t="s">
        <v>112</v>
      </c>
      <c r="G1113" s="470" t="s">
        <v>1800</v>
      </c>
      <c r="H1113" s="637" t="s">
        <v>1797</v>
      </c>
      <c r="I1113" s="471" t="s">
        <v>114</v>
      </c>
      <c r="J1113" s="471" t="s">
        <v>913</v>
      </c>
      <c r="K1113" s="469">
        <v>100</v>
      </c>
      <c r="L1113" s="473"/>
      <c r="M1113" s="623">
        <v>156</v>
      </c>
      <c r="N1113" s="623">
        <v>156</v>
      </c>
      <c r="O1113" s="624">
        <v>1</v>
      </c>
      <c r="P1113" s="624">
        <v>1</v>
      </c>
      <c r="Q1113" s="785">
        <f t="shared" si="18"/>
        <v>1</v>
      </c>
      <c r="R1113" s="468" t="s">
        <v>1718</v>
      </c>
      <c r="S1113" s="629"/>
    </row>
    <row r="1114" spans="1:19" ht="15" x14ac:dyDescent="0.25">
      <c r="A1114" s="621" t="s">
        <v>351</v>
      </c>
      <c r="B1114" s="466" t="s">
        <v>111</v>
      </c>
      <c r="C1114" s="631" t="s">
        <v>738</v>
      </c>
      <c r="D1114" s="632" t="s">
        <v>881</v>
      </c>
      <c r="E1114" s="474"/>
      <c r="F1114" s="469" t="s">
        <v>112</v>
      </c>
      <c r="G1114" s="470" t="s">
        <v>1800</v>
      </c>
      <c r="H1114" s="637" t="s">
        <v>1797</v>
      </c>
      <c r="I1114" s="471" t="s">
        <v>114</v>
      </c>
      <c r="J1114" s="471" t="s">
        <v>913</v>
      </c>
      <c r="K1114" s="469">
        <v>100</v>
      </c>
      <c r="L1114" s="473"/>
      <c r="M1114" s="623">
        <v>54</v>
      </c>
      <c r="N1114" s="623">
        <v>54</v>
      </c>
      <c r="O1114" s="624">
        <v>1</v>
      </c>
      <c r="P1114" s="624">
        <v>1</v>
      </c>
      <c r="Q1114" s="785">
        <f t="shared" si="18"/>
        <v>1</v>
      </c>
      <c r="R1114" s="468" t="s">
        <v>1718</v>
      </c>
      <c r="S1114" s="629"/>
    </row>
    <row r="1115" spans="1:19" ht="15" x14ac:dyDescent="0.25">
      <c r="A1115" s="621" t="s">
        <v>351</v>
      </c>
      <c r="B1115" s="466" t="s">
        <v>111</v>
      </c>
      <c r="C1115" s="631" t="s">
        <v>738</v>
      </c>
      <c r="D1115" s="632" t="s">
        <v>883</v>
      </c>
      <c r="E1115" s="474"/>
      <c r="F1115" s="469" t="s">
        <v>112</v>
      </c>
      <c r="G1115" s="470" t="s">
        <v>1800</v>
      </c>
      <c r="H1115" s="637" t="s">
        <v>1797</v>
      </c>
      <c r="I1115" s="471" t="s">
        <v>114</v>
      </c>
      <c r="J1115" s="471" t="s">
        <v>913</v>
      </c>
      <c r="K1115" s="469">
        <v>100</v>
      </c>
      <c r="L1115" s="473"/>
      <c r="M1115" s="623">
        <v>0</v>
      </c>
      <c r="N1115" s="623">
        <v>0</v>
      </c>
      <c r="O1115" s="624">
        <v>0</v>
      </c>
      <c r="P1115" s="624">
        <v>0</v>
      </c>
      <c r="Q1115" s="785" t="e">
        <f t="shared" si="18"/>
        <v>#DIV/0!</v>
      </c>
      <c r="R1115" s="468" t="s">
        <v>1719</v>
      </c>
      <c r="S1115" s="629"/>
    </row>
    <row r="1116" spans="1:19" ht="15" x14ac:dyDescent="0.25">
      <c r="A1116" s="621" t="s">
        <v>351</v>
      </c>
      <c r="B1116" s="466" t="s">
        <v>111</v>
      </c>
      <c r="C1116" s="631" t="s">
        <v>738</v>
      </c>
      <c r="D1116" s="632" t="s">
        <v>866</v>
      </c>
      <c r="E1116" s="474"/>
      <c r="F1116" s="469" t="s">
        <v>112</v>
      </c>
      <c r="G1116" s="470" t="s">
        <v>1800</v>
      </c>
      <c r="H1116" s="637" t="s">
        <v>1797</v>
      </c>
      <c r="I1116" s="471" t="s">
        <v>114</v>
      </c>
      <c r="J1116" s="471" t="s">
        <v>913</v>
      </c>
      <c r="K1116" s="469">
        <v>100</v>
      </c>
      <c r="L1116" s="473"/>
      <c r="M1116" s="623">
        <v>0</v>
      </c>
      <c r="N1116" s="623">
        <v>0</v>
      </c>
      <c r="O1116" s="624">
        <v>0</v>
      </c>
      <c r="P1116" s="624">
        <v>0</v>
      </c>
      <c r="Q1116" s="785" t="e">
        <f t="shared" si="18"/>
        <v>#DIV/0!</v>
      </c>
      <c r="R1116" s="468" t="s">
        <v>1719</v>
      </c>
      <c r="S1116" s="629"/>
    </row>
    <row r="1117" spans="1:19" ht="15" x14ac:dyDescent="0.25">
      <c r="A1117" s="621" t="s">
        <v>351</v>
      </c>
      <c r="B1117" s="466" t="s">
        <v>111</v>
      </c>
      <c r="C1117" s="631" t="s">
        <v>738</v>
      </c>
      <c r="D1117" s="632" t="s">
        <v>869</v>
      </c>
      <c r="E1117" s="474"/>
      <c r="F1117" s="469" t="s">
        <v>112</v>
      </c>
      <c r="G1117" s="470" t="s">
        <v>1800</v>
      </c>
      <c r="H1117" s="637" t="s">
        <v>1797</v>
      </c>
      <c r="I1117" s="471" t="s">
        <v>114</v>
      </c>
      <c r="J1117" s="471" t="s">
        <v>913</v>
      </c>
      <c r="K1117" s="469">
        <v>100</v>
      </c>
      <c r="L1117" s="473"/>
      <c r="M1117" s="623">
        <v>7</v>
      </c>
      <c r="N1117" s="623">
        <v>7</v>
      </c>
      <c r="O1117" s="624">
        <v>1</v>
      </c>
      <c r="P1117" s="624">
        <v>1</v>
      </c>
      <c r="Q1117" s="785">
        <f t="shared" si="18"/>
        <v>1</v>
      </c>
      <c r="R1117" s="468" t="s">
        <v>1718</v>
      </c>
      <c r="S1117" s="629"/>
    </row>
    <row r="1118" spans="1:19" ht="15" x14ac:dyDescent="0.25">
      <c r="A1118" s="621" t="s">
        <v>351</v>
      </c>
      <c r="B1118" s="466" t="s">
        <v>111</v>
      </c>
      <c r="C1118" s="631" t="s">
        <v>101</v>
      </c>
      <c r="D1118" s="632" t="s">
        <v>889</v>
      </c>
      <c r="E1118" s="474"/>
      <c r="F1118" s="469" t="s">
        <v>112</v>
      </c>
      <c r="G1118" s="470" t="s">
        <v>1800</v>
      </c>
      <c r="H1118" s="637" t="s">
        <v>1797</v>
      </c>
      <c r="I1118" s="471" t="s">
        <v>114</v>
      </c>
      <c r="J1118" s="471" t="s">
        <v>913</v>
      </c>
      <c r="K1118" s="469">
        <v>100</v>
      </c>
      <c r="L1118" s="473"/>
      <c r="M1118" s="623">
        <v>112</v>
      </c>
      <c r="N1118" s="623">
        <v>112</v>
      </c>
      <c r="O1118" s="624">
        <v>1</v>
      </c>
      <c r="P1118" s="624">
        <v>1</v>
      </c>
      <c r="Q1118" s="785">
        <f t="shared" si="18"/>
        <v>1</v>
      </c>
      <c r="R1118" s="468" t="s">
        <v>1718</v>
      </c>
      <c r="S1118" s="629"/>
    </row>
    <row r="1119" spans="1:19" ht="15" x14ac:dyDescent="0.25">
      <c r="A1119" s="621" t="s">
        <v>351</v>
      </c>
      <c r="B1119" s="466" t="s">
        <v>111</v>
      </c>
      <c r="C1119" s="631" t="s">
        <v>101</v>
      </c>
      <c r="D1119" s="632" t="s">
        <v>881</v>
      </c>
      <c r="E1119" s="474"/>
      <c r="F1119" s="469" t="s">
        <v>112</v>
      </c>
      <c r="G1119" s="470" t="s">
        <v>1800</v>
      </c>
      <c r="H1119" s="637" t="s">
        <v>1797</v>
      </c>
      <c r="I1119" s="471" t="s">
        <v>114</v>
      </c>
      <c r="J1119" s="471" t="s">
        <v>913</v>
      </c>
      <c r="K1119" s="469">
        <v>100</v>
      </c>
      <c r="L1119" s="473"/>
      <c r="M1119" s="623">
        <v>9</v>
      </c>
      <c r="N1119" s="623">
        <v>9</v>
      </c>
      <c r="O1119" s="624">
        <v>1</v>
      </c>
      <c r="P1119" s="624">
        <v>1</v>
      </c>
      <c r="Q1119" s="785">
        <f t="shared" si="18"/>
        <v>1</v>
      </c>
      <c r="R1119" s="468" t="s">
        <v>1718</v>
      </c>
      <c r="S1119" s="629"/>
    </row>
    <row r="1120" spans="1:19" ht="15" x14ac:dyDescent="0.25">
      <c r="A1120" s="621" t="s">
        <v>351</v>
      </c>
      <c r="B1120" s="466" t="s">
        <v>111</v>
      </c>
      <c r="C1120" s="631" t="s">
        <v>101</v>
      </c>
      <c r="D1120" s="632" t="s">
        <v>883</v>
      </c>
      <c r="E1120" s="474"/>
      <c r="F1120" s="469" t="s">
        <v>112</v>
      </c>
      <c r="G1120" s="470" t="s">
        <v>1800</v>
      </c>
      <c r="H1120" s="637" t="s">
        <v>1797</v>
      </c>
      <c r="I1120" s="471" t="s">
        <v>114</v>
      </c>
      <c r="J1120" s="471" t="s">
        <v>913</v>
      </c>
      <c r="K1120" s="469">
        <v>100</v>
      </c>
      <c r="L1120" s="473"/>
      <c r="M1120" s="623">
        <v>0</v>
      </c>
      <c r="N1120" s="623">
        <v>0</v>
      </c>
      <c r="O1120" s="624">
        <v>0</v>
      </c>
      <c r="P1120" s="624">
        <v>0</v>
      </c>
      <c r="Q1120" s="785" t="e">
        <f t="shared" si="18"/>
        <v>#DIV/0!</v>
      </c>
      <c r="R1120" s="468" t="s">
        <v>1719</v>
      </c>
      <c r="S1120" s="629"/>
    </row>
    <row r="1121" spans="1:19" ht="15" x14ac:dyDescent="0.25">
      <c r="A1121" s="621" t="s">
        <v>351</v>
      </c>
      <c r="B1121" s="466" t="s">
        <v>111</v>
      </c>
      <c r="C1121" s="631" t="s">
        <v>101</v>
      </c>
      <c r="D1121" s="632" t="s">
        <v>866</v>
      </c>
      <c r="E1121" s="474"/>
      <c r="F1121" s="469" t="s">
        <v>112</v>
      </c>
      <c r="G1121" s="470" t="s">
        <v>1800</v>
      </c>
      <c r="H1121" s="637" t="s">
        <v>1797</v>
      </c>
      <c r="I1121" s="471" t="s">
        <v>114</v>
      </c>
      <c r="J1121" s="471" t="s">
        <v>913</v>
      </c>
      <c r="K1121" s="469">
        <v>100</v>
      </c>
      <c r="L1121" s="473"/>
      <c r="M1121" s="623">
        <v>13</v>
      </c>
      <c r="N1121" s="623">
        <v>13</v>
      </c>
      <c r="O1121" s="624">
        <v>1</v>
      </c>
      <c r="P1121" s="624">
        <v>1</v>
      </c>
      <c r="Q1121" s="785">
        <f t="shared" si="18"/>
        <v>1</v>
      </c>
      <c r="R1121" s="468" t="s">
        <v>1718</v>
      </c>
      <c r="S1121" s="629"/>
    </row>
    <row r="1122" spans="1:19" ht="15" x14ac:dyDescent="0.25">
      <c r="A1122" s="621" t="s">
        <v>351</v>
      </c>
      <c r="B1122" s="466" t="s">
        <v>111</v>
      </c>
      <c r="C1122" s="631" t="s">
        <v>101</v>
      </c>
      <c r="D1122" s="632" t="s">
        <v>869</v>
      </c>
      <c r="E1122" s="474"/>
      <c r="F1122" s="469" t="s">
        <v>112</v>
      </c>
      <c r="G1122" s="470" t="s">
        <v>1800</v>
      </c>
      <c r="H1122" s="637" t="s">
        <v>1797</v>
      </c>
      <c r="I1122" s="471" t="s">
        <v>114</v>
      </c>
      <c r="J1122" s="471" t="s">
        <v>913</v>
      </c>
      <c r="K1122" s="469">
        <v>100</v>
      </c>
      <c r="L1122" s="473"/>
      <c r="M1122" s="623">
        <v>0</v>
      </c>
      <c r="N1122" s="623">
        <v>0</v>
      </c>
      <c r="O1122" s="624">
        <v>0</v>
      </c>
      <c r="P1122" s="624">
        <v>0</v>
      </c>
      <c r="Q1122" s="785" t="e">
        <f t="shared" si="18"/>
        <v>#DIV/0!</v>
      </c>
      <c r="R1122" s="468" t="s">
        <v>1719</v>
      </c>
      <c r="S1122" s="629"/>
    </row>
    <row r="1123" spans="1:19" ht="15" x14ac:dyDescent="0.25">
      <c r="A1123" s="621" t="s">
        <v>351</v>
      </c>
      <c r="B1123" s="466" t="s">
        <v>111</v>
      </c>
      <c r="C1123" s="631" t="s">
        <v>885</v>
      </c>
      <c r="D1123" s="632" t="s">
        <v>889</v>
      </c>
      <c r="E1123" s="474"/>
      <c r="F1123" s="469" t="s">
        <v>112</v>
      </c>
      <c r="G1123" s="470" t="s">
        <v>1800</v>
      </c>
      <c r="H1123" s="637" t="s">
        <v>1797</v>
      </c>
      <c r="I1123" s="471" t="s">
        <v>114</v>
      </c>
      <c r="J1123" s="471" t="s">
        <v>913</v>
      </c>
      <c r="K1123" s="469">
        <v>100</v>
      </c>
      <c r="L1123" s="473"/>
      <c r="M1123" s="623">
        <v>0</v>
      </c>
      <c r="N1123" s="623">
        <v>0</v>
      </c>
      <c r="O1123" s="624">
        <v>0</v>
      </c>
      <c r="P1123" s="624">
        <v>0</v>
      </c>
      <c r="Q1123" s="785" t="e">
        <f t="shared" si="18"/>
        <v>#DIV/0!</v>
      </c>
      <c r="R1123" s="468" t="s">
        <v>1719</v>
      </c>
      <c r="S1123" s="629"/>
    </row>
    <row r="1124" spans="1:19" ht="15" x14ac:dyDescent="0.25">
      <c r="A1124" s="621" t="s">
        <v>351</v>
      </c>
      <c r="B1124" s="466" t="s">
        <v>111</v>
      </c>
      <c r="C1124" s="631" t="s">
        <v>885</v>
      </c>
      <c r="D1124" s="632" t="s">
        <v>881</v>
      </c>
      <c r="E1124" s="474"/>
      <c r="F1124" s="469" t="s">
        <v>112</v>
      </c>
      <c r="G1124" s="470" t="s">
        <v>1800</v>
      </c>
      <c r="H1124" s="637" t="s">
        <v>1797</v>
      </c>
      <c r="I1124" s="471" t="s">
        <v>114</v>
      </c>
      <c r="J1124" s="471" t="s">
        <v>913</v>
      </c>
      <c r="K1124" s="469">
        <v>100</v>
      </c>
      <c r="L1124" s="473"/>
      <c r="M1124" s="623">
        <v>5</v>
      </c>
      <c r="N1124" s="623">
        <v>5</v>
      </c>
      <c r="O1124" s="624">
        <v>1</v>
      </c>
      <c r="P1124" s="624">
        <v>1</v>
      </c>
      <c r="Q1124" s="785">
        <f t="shared" si="18"/>
        <v>1</v>
      </c>
      <c r="R1124" s="468" t="s">
        <v>1718</v>
      </c>
      <c r="S1124" s="629"/>
    </row>
    <row r="1125" spans="1:19" ht="15" x14ac:dyDescent="0.25">
      <c r="A1125" s="621" t="s">
        <v>351</v>
      </c>
      <c r="B1125" s="466" t="s">
        <v>111</v>
      </c>
      <c r="C1125" s="631" t="s">
        <v>885</v>
      </c>
      <c r="D1125" s="632" t="s">
        <v>883</v>
      </c>
      <c r="E1125" s="474"/>
      <c r="F1125" s="469" t="s">
        <v>112</v>
      </c>
      <c r="G1125" s="470" t="s">
        <v>1800</v>
      </c>
      <c r="H1125" s="637" t="s">
        <v>1797</v>
      </c>
      <c r="I1125" s="471" t="s">
        <v>114</v>
      </c>
      <c r="J1125" s="471" t="s">
        <v>913</v>
      </c>
      <c r="K1125" s="469">
        <v>100</v>
      </c>
      <c r="L1125" s="473"/>
      <c r="M1125" s="623">
        <v>5</v>
      </c>
      <c r="N1125" s="623">
        <v>5</v>
      </c>
      <c r="O1125" s="624">
        <v>1</v>
      </c>
      <c r="P1125" s="624">
        <v>1</v>
      </c>
      <c r="Q1125" s="785">
        <f t="shared" si="18"/>
        <v>1</v>
      </c>
      <c r="R1125" s="468" t="s">
        <v>1718</v>
      </c>
      <c r="S1125" s="629"/>
    </row>
    <row r="1126" spans="1:19" ht="15" x14ac:dyDescent="0.25">
      <c r="A1126" s="621" t="s">
        <v>351</v>
      </c>
      <c r="B1126" s="466" t="s">
        <v>111</v>
      </c>
      <c r="C1126" s="631" t="s">
        <v>885</v>
      </c>
      <c r="D1126" s="632" t="s">
        <v>866</v>
      </c>
      <c r="E1126" s="474"/>
      <c r="F1126" s="469" t="s">
        <v>112</v>
      </c>
      <c r="G1126" s="470" t="s">
        <v>1800</v>
      </c>
      <c r="H1126" s="637" t="s">
        <v>1797</v>
      </c>
      <c r="I1126" s="471" t="s">
        <v>114</v>
      </c>
      <c r="J1126" s="471" t="s">
        <v>913</v>
      </c>
      <c r="K1126" s="469">
        <v>100</v>
      </c>
      <c r="L1126" s="473"/>
      <c r="M1126" s="623">
        <v>0</v>
      </c>
      <c r="N1126" s="623">
        <v>0</v>
      </c>
      <c r="O1126" s="624">
        <v>0</v>
      </c>
      <c r="P1126" s="624">
        <v>0</v>
      </c>
      <c r="Q1126" s="785" t="e">
        <f t="shared" si="18"/>
        <v>#DIV/0!</v>
      </c>
      <c r="R1126" s="468" t="s">
        <v>1719</v>
      </c>
      <c r="S1126" s="629"/>
    </row>
    <row r="1127" spans="1:19" ht="15" x14ac:dyDescent="0.25">
      <c r="A1127" s="621" t="s">
        <v>351</v>
      </c>
      <c r="B1127" s="466" t="s">
        <v>111</v>
      </c>
      <c r="C1127" s="631" t="s">
        <v>885</v>
      </c>
      <c r="D1127" s="632" t="s">
        <v>869</v>
      </c>
      <c r="E1127" s="474"/>
      <c r="F1127" s="469" t="s">
        <v>112</v>
      </c>
      <c r="G1127" s="470" t="s">
        <v>1800</v>
      </c>
      <c r="H1127" s="637" t="s">
        <v>1797</v>
      </c>
      <c r="I1127" s="471" t="s">
        <v>114</v>
      </c>
      <c r="J1127" s="471" t="s">
        <v>913</v>
      </c>
      <c r="K1127" s="469">
        <v>100</v>
      </c>
      <c r="L1127" s="473"/>
      <c r="M1127" s="623">
        <v>12</v>
      </c>
      <c r="N1127" s="623">
        <v>12</v>
      </c>
      <c r="O1127" s="624">
        <v>1</v>
      </c>
      <c r="P1127" s="624">
        <v>1</v>
      </c>
      <c r="Q1127" s="785">
        <f t="shared" si="18"/>
        <v>1</v>
      </c>
      <c r="R1127" s="468" t="s">
        <v>1718</v>
      </c>
      <c r="S1127" s="629"/>
    </row>
    <row r="1128" spans="1:19" ht="15" x14ac:dyDescent="0.25">
      <c r="A1128" s="621" t="s">
        <v>351</v>
      </c>
      <c r="B1128" s="466" t="s">
        <v>111</v>
      </c>
      <c r="C1128" s="631" t="s">
        <v>885</v>
      </c>
      <c r="D1128" s="632" t="s">
        <v>887</v>
      </c>
      <c r="E1128" s="474"/>
      <c r="F1128" s="469" t="s">
        <v>112</v>
      </c>
      <c r="G1128" s="470" t="s">
        <v>1800</v>
      </c>
      <c r="H1128" s="637" t="s">
        <v>1797</v>
      </c>
      <c r="I1128" s="471" t="s">
        <v>114</v>
      </c>
      <c r="J1128" s="471" t="s">
        <v>913</v>
      </c>
      <c r="K1128" s="469">
        <v>100</v>
      </c>
      <c r="L1128" s="473"/>
      <c r="M1128" s="623">
        <v>20</v>
      </c>
      <c r="N1128" s="623">
        <v>20</v>
      </c>
      <c r="O1128" s="624">
        <v>1</v>
      </c>
      <c r="P1128" s="624">
        <v>1</v>
      </c>
      <c r="Q1128" s="785">
        <f t="shared" si="18"/>
        <v>1</v>
      </c>
      <c r="R1128" s="468" t="s">
        <v>1718</v>
      </c>
      <c r="S1128" s="629"/>
    </row>
    <row r="1129" spans="1:19" ht="15" x14ac:dyDescent="0.25">
      <c r="A1129" s="621" t="s">
        <v>351</v>
      </c>
      <c r="B1129" s="466" t="s">
        <v>111</v>
      </c>
      <c r="C1129" s="631" t="s">
        <v>904</v>
      </c>
      <c r="D1129" s="632" t="s">
        <v>881</v>
      </c>
      <c r="E1129" s="474"/>
      <c r="F1129" s="469" t="s">
        <v>112</v>
      </c>
      <c r="G1129" s="470" t="s">
        <v>1800</v>
      </c>
      <c r="H1129" s="637" t="s">
        <v>1797</v>
      </c>
      <c r="I1129" s="471" t="s">
        <v>114</v>
      </c>
      <c r="J1129" s="471" t="s">
        <v>913</v>
      </c>
      <c r="K1129" s="469">
        <v>100</v>
      </c>
      <c r="L1129" s="473"/>
      <c r="M1129" s="623">
        <v>0</v>
      </c>
      <c r="N1129" s="623">
        <v>0</v>
      </c>
      <c r="O1129" s="624">
        <v>0</v>
      </c>
      <c r="P1129" s="624">
        <v>0</v>
      </c>
      <c r="Q1129" s="785" t="e">
        <f t="shared" si="18"/>
        <v>#DIV/0!</v>
      </c>
      <c r="R1129" s="468" t="s">
        <v>1719</v>
      </c>
      <c r="S1129" s="629"/>
    </row>
    <row r="1130" spans="1:19" ht="15" x14ac:dyDescent="0.25">
      <c r="A1130" s="621" t="s">
        <v>351</v>
      </c>
      <c r="B1130" s="466" t="s">
        <v>111</v>
      </c>
      <c r="C1130" s="631" t="s">
        <v>904</v>
      </c>
      <c r="D1130" s="632" t="s">
        <v>883</v>
      </c>
      <c r="E1130" s="474"/>
      <c r="F1130" s="469" t="s">
        <v>112</v>
      </c>
      <c r="G1130" s="470" t="s">
        <v>1800</v>
      </c>
      <c r="H1130" s="637" t="s">
        <v>1797</v>
      </c>
      <c r="I1130" s="471" t="s">
        <v>114</v>
      </c>
      <c r="J1130" s="471" t="s">
        <v>913</v>
      </c>
      <c r="K1130" s="469">
        <v>100</v>
      </c>
      <c r="L1130" s="473"/>
      <c r="M1130" s="623">
        <v>1</v>
      </c>
      <c r="N1130" s="623">
        <v>1</v>
      </c>
      <c r="O1130" s="624">
        <v>1</v>
      </c>
      <c r="P1130" s="624">
        <v>1</v>
      </c>
      <c r="Q1130" s="785">
        <f t="shared" si="18"/>
        <v>1</v>
      </c>
      <c r="R1130" s="468" t="s">
        <v>1718</v>
      </c>
      <c r="S1130" s="629"/>
    </row>
    <row r="1131" spans="1:19" ht="15" x14ac:dyDescent="0.25">
      <c r="A1131" s="621" t="s">
        <v>351</v>
      </c>
      <c r="B1131" s="466" t="s">
        <v>111</v>
      </c>
      <c r="C1131" s="631" t="s">
        <v>740</v>
      </c>
      <c r="D1131" s="632" t="s">
        <v>889</v>
      </c>
      <c r="E1131" s="474"/>
      <c r="F1131" s="469" t="s">
        <v>112</v>
      </c>
      <c r="G1131" s="470" t="s">
        <v>1800</v>
      </c>
      <c r="H1131" s="637" t="s">
        <v>1797</v>
      </c>
      <c r="I1131" s="471" t="s">
        <v>114</v>
      </c>
      <c r="J1131" s="471" t="s">
        <v>913</v>
      </c>
      <c r="K1131" s="469">
        <v>100</v>
      </c>
      <c r="L1131" s="473"/>
      <c r="M1131" s="623">
        <v>37</v>
      </c>
      <c r="N1131" s="623">
        <v>37</v>
      </c>
      <c r="O1131" s="624">
        <v>1</v>
      </c>
      <c r="P1131" s="624">
        <v>1</v>
      </c>
      <c r="Q1131" s="785">
        <f t="shared" si="18"/>
        <v>1</v>
      </c>
      <c r="R1131" s="468" t="s">
        <v>1718</v>
      </c>
      <c r="S1131" s="629"/>
    </row>
    <row r="1132" spans="1:19" ht="15" x14ac:dyDescent="0.25">
      <c r="A1132" s="621" t="s">
        <v>351</v>
      </c>
      <c r="B1132" s="466" t="s">
        <v>111</v>
      </c>
      <c r="C1132" s="631" t="s">
        <v>740</v>
      </c>
      <c r="D1132" s="632" t="s">
        <v>881</v>
      </c>
      <c r="E1132" s="474"/>
      <c r="F1132" s="469" t="s">
        <v>112</v>
      </c>
      <c r="G1132" s="470" t="s">
        <v>1800</v>
      </c>
      <c r="H1132" s="637" t="s">
        <v>1797</v>
      </c>
      <c r="I1132" s="471" t="s">
        <v>114</v>
      </c>
      <c r="J1132" s="471" t="s">
        <v>913</v>
      </c>
      <c r="K1132" s="469">
        <v>100</v>
      </c>
      <c r="L1132" s="473"/>
      <c r="M1132" s="623">
        <v>4</v>
      </c>
      <c r="N1132" s="623">
        <v>4</v>
      </c>
      <c r="O1132" s="624">
        <v>1</v>
      </c>
      <c r="P1132" s="624">
        <v>1</v>
      </c>
      <c r="Q1132" s="785">
        <f t="shared" si="18"/>
        <v>1</v>
      </c>
      <c r="R1132" s="468" t="s">
        <v>1718</v>
      </c>
      <c r="S1132" s="629"/>
    </row>
    <row r="1133" spans="1:19" ht="15" x14ac:dyDescent="0.25">
      <c r="A1133" s="621" t="s">
        <v>351</v>
      </c>
      <c r="B1133" s="466" t="s">
        <v>111</v>
      </c>
      <c r="C1133" s="631" t="s">
        <v>740</v>
      </c>
      <c r="D1133" s="632" t="s">
        <v>883</v>
      </c>
      <c r="E1133" s="474"/>
      <c r="F1133" s="469" t="s">
        <v>112</v>
      </c>
      <c r="G1133" s="470" t="s">
        <v>1800</v>
      </c>
      <c r="H1133" s="637" t="s">
        <v>1797</v>
      </c>
      <c r="I1133" s="471" t="s">
        <v>114</v>
      </c>
      <c r="J1133" s="471" t="s">
        <v>913</v>
      </c>
      <c r="K1133" s="469">
        <v>100</v>
      </c>
      <c r="L1133" s="473"/>
      <c r="M1133" s="623">
        <v>0</v>
      </c>
      <c r="N1133" s="623">
        <v>0</v>
      </c>
      <c r="O1133" s="624">
        <v>0</v>
      </c>
      <c r="P1133" s="624">
        <v>0</v>
      </c>
      <c r="Q1133" s="785" t="e">
        <f t="shared" si="18"/>
        <v>#DIV/0!</v>
      </c>
      <c r="R1133" s="468" t="s">
        <v>1719</v>
      </c>
      <c r="S1133" s="629"/>
    </row>
    <row r="1134" spans="1:19" ht="15" x14ac:dyDescent="0.25">
      <c r="A1134" s="621" t="s">
        <v>351</v>
      </c>
      <c r="B1134" s="466" t="s">
        <v>111</v>
      </c>
      <c r="C1134" s="631" t="s">
        <v>894</v>
      </c>
      <c r="D1134" s="632" t="s">
        <v>889</v>
      </c>
      <c r="E1134" s="474"/>
      <c r="F1134" s="469" t="s">
        <v>112</v>
      </c>
      <c r="G1134" s="470" t="s">
        <v>1800</v>
      </c>
      <c r="H1134" s="637" t="s">
        <v>1797</v>
      </c>
      <c r="I1134" s="471" t="s">
        <v>114</v>
      </c>
      <c r="J1134" s="471" t="s">
        <v>913</v>
      </c>
      <c r="K1134" s="469">
        <v>100</v>
      </c>
      <c r="L1134" s="473"/>
      <c r="M1134" s="623">
        <v>543</v>
      </c>
      <c r="N1134" s="623">
        <v>543</v>
      </c>
      <c r="O1134" s="624">
        <v>1</v>
      </c>
      <c r="P1134" s="624">
        <v>1</v>
      </c>
      <c r="Q1134" s="785">
        <f t="shared" si="18"/>
        <v>1</v>
      </c>
      <c r="R1134" s="468" t="s">
        <v>1718</v>
      </c>
      <c r="S1134" s="629"/>
    </row>
    <row r="1135" spans="1:19" ht="15" x14ac:dyDescent="0.25">
      <c r="A1135" s="621" t="s">
        <v>351</v>
      </c>
      <c r="B1135" s="466" t="s">
        <v>111</v>
      </c>
      <c r="C1135" s="631" t="s">
        <v>894</v>
      </c>
      <c r="D1135" s="632" t="s">
        <v>881</v>
      </c>
      <c r="E1135" s="474"/>
      <c r="F1135" s="469" t="s">
        <v>112</v>
      </c>
      <c r="G1135" s="470" t="s">
        <v>1800</v>
      </c>
      <c r="H1135" s="637" t="s">
        <v>1797</v>
      </c>
      <c r="I1135" s="471" t="s">
        <v>114</v>
      </c>
      <c r="J1135" s="471" t="s">
        <v>913</v>
      </c>
      <c r="K1135" s="469">
        <v>100</v>
      </c>
      <c r="L1135" s="473"/>
      <c r="M1135" s="623">
        <v>78</v>
      </c>
      <c r="N1135" s="623">
        <v>78</v>
      </c>
      <c r="O1135" s="624">
        <v>1</v>
      </c>
      <c r="P1135" s="624">
        <v>1</v>
      </c>
      <c r="Q1135" s="785">
        <f t="shared" si="18"/>
        <v>1</v>
      </c>
      <c r="R1135" s="468" t="s">
        <v>1718</v>
      </c>
      <c r="S1135" s="629"/>
    </row>
    <row r="1136" spans="1:19" ht="15" x14ac:dyDescent="0.25">
      <c r="A1136" s="621" t="s">
        <v>351</v>
      </c>
      <c r="B1136" s="466" t="s">
        <v>111</v>
      </c>
      <c r="C1136" s="631" t="s">
        <v>894</v>
      </c>
      <c r="D1136" s="632" t="s">
        <v>883</v>
      </c>
      <c r="E1136" s="474"/>
      <c r="F1136" s="469" t="s">
        <v>112</v>
      </c>
      <c r="G1136" s="470" t="s">
        <v>1800</v>
      </c>
      <c r="H1136" s="637" t="s">
        <v>1797</v>
      </c>
      <c r="I1136" s="471" t="s">
        <v>114</v>
      </c>
      <c r="J1136" s="471" t="s">
        <v>913</v>
      </c>
      <c r="K1136" s="469">
        <v>100</v>
      </c>
      <c r="L1136" s="473"/>
      <c r="M1136" s="623">
        <v>25</v>
      </c>
      <c r="N1136" s="623">
        <v>25</v>
      </c>
      <c r="O1136" s="624">
        <v>1</v>
      </c>
      <c r="P1136" s="624">
        <v>1</v>
      </c>
      <c r="Q1136" s="785">
        <f t="shared" si="18"/>
        <v>1</v>
      </c>
      <c r="R1136" s="468" t="s">
        <v>1718</v>
      </c>
      <c r="S1136" s="629"/>
    </row>
    <row r="1137" spans="1:19" ht="15" x14ac:dyDescent="0.25">
      <c r="A1137" s="621" t="s">
        <v>351</v>
      </c>
      <c r="B1137" s="466" t="s">
        <v>111</v>
      </c>
      <c r="C1137" s="631" t="s">
        <v>894</v>
      </c>
      <c r="D1137" s="632" t="s">
        <v>869</v>
      </c>
      <c r="E1137" s="474"/>
      <c r="F1137" s="469" t="s">
        <v>112</v>
      </c>
      <c r="G1137" s="470" t="s">
        <v>1800</v>
      </c>
      <c r="H1137" s="637" t="s">
        <v>1797</v>
      </c>
      <c r="I1137" s="471" t="s">
        <v>114</v>
      </c>
      <c r="J1137" s="471" t="s">
        <v>913</v>
      </c>
      <c r="K1137" s="469">
        <v>100</v>
      </c>
      <c r="L1137" s="473"/>
      <c r="M1137" s="623">
        <v>0</v>
      </c>
      <c r="N1137" s="623">
        <v>0</v>
      </c>
      <c r="O1137" s="624">
        <v>0</v>
      </c>
      <c r="P1137" s="624">
        <v>0</v>
      </c>
      <c r="Q1137" s="785" t="e">
        <f t="shared" si="18"/>
        <v>#DIV/0!</v>
      </c>
      <c r="R1137" s="468" t="s">
        <v>1719</v>
      </c>
      <c r="S1137" s="629"/>
    </row>
    <row r="1138" spans="1:19" ht="17.25" customHeight="1" x14ac:dyDescent="0.25">
      <c r="A1138" s="621" t="s">
        <v>351</v>
      </c>
      <c r="B1138" s="466" t="s">
        <v>111</v>
      </c>
      <c r="C1138" s="466" t="s">
        <v>99</v>
      </c>
      <c r="D1138" s="467" t="s">
        <v>866</v>
      </c>
      <c r="E1138" s="474"/>
      <c r="F1138" s="469" t="s">
        <v>112</v>
      </c>
      <c r="G1138" s="470" t="s">
        <v>1801</v>
      </c>
      <c r="H1138" s="637" t="s">
        <v>1797</v>
      </c>
      <c r="I1138" s="471" t="s">
        <v>114</v>
      </c>
      <c r="J1138" s="471" t="s">
        <v>913</v>
      </c>
      <c r="K1138" s="469">
        <v>100</v>
      </c>
      <c r="L1138" s="473"/>
      <c r="M1138" s="623">
        <v>0</v>
      </c>
      <c r="N1138" s="623">
        <v>0</v>
      </c>
      <c r="O1138" s="624">
        <v>0</v>
      </c>
      <c r="P1138" s="624">
        <v>0</v>
      </c>
      <c r="Q1138" s="785" t="e">
        <f t="shared" si="18"/>
        <v>#DIV/0!</v>
      </c>
      <c r="R1138" s="625" t="s">
        <v>1719</v>
      </c>
      <c r="S1138" s="638"/>
    </row>
    <row r="1139" spans="1:19" ht="15" x14ac:dyDescent="0.25">
      <c r="A1139" s="621" t="s">
        <v>351</v>
      </c>
      <c r="B1139" s="466" t="s">
        <v>111</v>
      </c>
      <c r="C1139" s="630" t="s">
        <v>99</v>
      </c>
      <c r="D1139" s="628" t="s">
        <v>869</v>
      </c>
      <c r="E1139" s="474"/>
      <c r="F1139" s="469" t="s">
        <v>112</v>
      </c>
      <c r="G1139" s="470" t="s">
        <v>1801</v>
      </c>
      <c r="H1139" s="637" t="s">
        <v>1797</v>
      </c>
      <c r="I1139" s="471" t="s">
        <v>114</v>
      </c>
      <c r="J1139" s="471" t="s">
        <v>913</v>
      </c>
      <c r="K1139" s="469">
        <v>100</v>
      </c>
      <c r="L1139" s="473"/>
      <c r="M1139" s="623">
        <v>14</v>
      </c>
      <c r="N1139" s="623">
        <v>14</v>
      </c>
      <c r="O1139" s="624">
        <v>1</v>
      </c>
      <c r="P1139" s="624">
        <v>1</v>
      </c>
      <c r="Q1139" s="785">
        <f t="shared" si="18"/>
        <v>1</v>
      </c>
      <c r="R1139" s="468" t="s">
        <v>1718</v>
      </c>
      <c r="S1139" s="629"/>
    </row>
    <row r="1140" spans="1:19" ht="15" x14ac:dyDescent="0.25">
      <c r="A1140" s="621" t="s">
        <v>351</v>
      </c>
      <c r="B1140" s="466" t="s">
        <v>111</v>
      </c>
      <c r="C1140" s="630" t="s">
        <v>870</v>
      </c>
      <c r="D1140" s="628" t="s">
        <v>889</v>
      </c>
      <c r="E1140" s="474"/>
      <c r="F1140" s="469" t="s">
        <v>112</v>
      </c>
      <c r="G1140" s="470" t="s">
        <v>1801</v>
      </c>
      <c r="H1140" s="637" t="s">
        <v>1797</v>
      </c>
      <c r="I1140" s="471" t="s">
        <v>114</v>
      </c>
      <c r="J1140" s="471" t="s">
        <v>913</v>
      </c>
      <c r="K1140" s="469">
        <v>100</v>
      </c>
      <c r="L1140" s="473"/>
      <c r="M1140" s="623">
        <v>50</v>
      </c>
      <c r="N1140" s="623">
        <v>50</v>
      </c>
      <c r="O1140" s="624">
        <v>1</v>
      </c>
      <c r="P1140" s="624">
        <v>1</v>
      </c>
      <c r="Q1140" s="785">
        <f t="shared" si="18"/>
        <v>1</v>
      </c>
      <c r="R1140" s="468" t="s">
        <v>1718</v>
      </c>
      <c r="S1140" s="629"/>
    </row>
    <row r="1141" spans="1:19" ht="15" x14ac:dyDescent="0.25">
      <c r="A1141" s="621" t="s">
        <v>351</v>
      </c>
      <c r="B1141" s="466" t="s">
        <v>111</v>
      </c>
      <c r="C1141" s="631" t="s">
        <v>870</v>
      </c>
      <c r="D1141" s="628" t="s">
        <v>881</v>
      </c>
      <c r="E1141" s="474"/>
      <c r="F1141" s="469" t="s">
        <v>112</v>
      </c>
      <c r="G1141" s="470" t="s">
        <v>1801</v>
      </c>
      <c r="H1141" s="637" t="s">
        <v>1797</v>
      </c>
      <c r="I1141" s="471" t="s">
        <v>114</v>
      </c>
      <c r="J1141" s="471" t="s">
        <v>913</v>
      </c>
      <c r="K1141" s="469">
        <v>100</v>
      </c>
      <c r="L1141" s="473"/>
      <c r="M1141" s="623">
        <v>19</v>
      </c>
      <c r="N1141" s="623">
        <v>19</v>
      </c>
      <c r="O1141" s="624">
        <v>1</v>
      </c>
      <c r="P1141" s="624">
        <v>1</v>
      </c>
      <c r="Q1141" s="785">
        <f t="shared" si="18"/>
        <v>1</v>
      </c>
      <c r="R1141" s="468" t="s">
        <v>1718</v>
      </c>
      <c r="S1141" s="629"/>
    </row>
    <row r="1142" spans="1:19" ht="15" x14ac:dyDescent="0.25">
      <c r="A1142" s="621" t="s">
        <v>351</v>
      </c>
      <c r="B1142" s="466" t="s">
        <v>111</v>
      </c>
      <c r="C1142" s="631" t="s">
        <v>870</v>
      </c>
      <c r="D1142" s="628" t="s">
        <v>883</v>
      </c>
      <c r="E1142" s="474"/>
      <c r="F1142" s="469" t="s">
        <v>112</v>
      </c>
      <c r="G1142" s="470" t="s">
        <v>1801</v>
      </c>
      <c r="H1142" s="637" t="s">
        <v>1797</v>
      </c>
      <c r="I1142" s="471" t="s">
        <v>114</v>
      </c>
      <c r="J1142" s="471" t="s">
        <v>913</v>
      </c>
      <c r="K1142" s="469">
        <v>100</v>
      </c>
      <c r="L1142" s="473"/>
      <c r="M1142" s="623">
        <v>39</v>
      </c>
      <c r="N1142" s="623">
        <v>39</v>
      </c>
      <c r="O1142" s="624">
        <v>1</v>
      </c>
      <c r="P1142" s="624">
        <v>1</v>
      </c>
      <c r="Q1142" s="785">
        <f t="shared" si="18"/>
        <v>1</v>
      </c>
      <c r="R1142" s="468" t="s">
        <v>1718</v>
      </c>
      <c r="S1142" s="629"/>
    </row>
    <row r="1143" spans="1:19" ht="15" x14ac:dyDescent="0.25">
      <c r="A1143" s="621" t="s">
        <v>351</v>
      </c>
      <c r="B1143" s="466" t="s">
        <v>111</v>
      </c>
      <c r="C1143" s="631" t="s">
        <v>870</v>
      </c>
      <c r="D1143" s="632" t="s">
        <v>866</v>
      </c>
      <c r="E1143" s="474"/>
      <c r="F1143" s="469" t="s">
        <v>112</v>
      </c>
      <c r="G1143" s="470" t="s">
        <v>1801</v>
      </c>
      <c r="H1143" s="637" t="s">
        <v>1797</v>
      </c>
      <c r="I1143" s="471" t="s">
        <v>114</v>
      </c>
      <c r="J1143" s="471" t="s">
        <v>913</v>
      </c>
      <c r="K1143" s="469">
        <v>100</v>
      </c>
      <c r="L1143" s="473"/>
      <c r="M1143" s="623">
        <v>67</v>
      </c>
      <c r="N1143" s="623">
        <v>67</v>
      </c>
      <c r="O1143" s="624">
        <v>1</v>
      </c>
      <c r="P1143" s="624">
        <v>1</v>
      </c>
      <c r="Q1143" s="785">
        <f t="shared" si="18"/>
        <v>1</v>
      </c>
      <c r="R1143" s="468" t="s">
        <v>1718</v>
      </c>
      <c r="S1143" s="629"/>
    </row>
    <row r="1144" spans="1:19" ht="15" x14ac:dyDescent="0.25">
      <c r="A1144" s="621" t="s">
        <v>351</v>
      </c>
      <c r="B1144" s="466" t="s">
        <v>111</v>
      </c>
      <c r="C1144" s="631" t="s">
        <v>870</v>
      </c>
      <c r="D1144" s="632" t="s">
        <v>869</v>
      </c>
      <c r="E1144" s="474"/>
      <c r="F1144" s="469" t="s">
        <v>112</v>
      </c>
      <c r="G1144" s="470" t="s">
        <v>1801</v>
      </c>
      <c r="H1144" s="637" t="s">
        <v>1797</v>
      </c>
      <c r="I1144" s="471" t="s">
        <v>114</v>
      </c>
      <c r="J1144" s="471" t="s">
        <v>913</v>
      </c>
      <c r="K1144" s="469">
        <v>100</v>
      </c>
      <c r="L1144" s="473"/>
      <c r="M1144" s="623">
        <v>46</v>
      </c>
      <c r="N1144" s="623">
        <v>46</v>
      </c>
      <c r="O1144" s="624">
        <v>1</v>
      </c>
      <c r="P1144" s="624">
        <v>1</v>
      </c>
      <c r="Q1144" s="785">
        <f t="shared" si="18"/>
        <v>1</v>
      </c>
      <c r="R1144" s="468" t="s">
        <v>1718</v>
      </c>
      <c r="S1144" s="629"/>
    </row>
    <row r="1145" spans="1:19" ht="15" x14ac:dyDescent="0.25">
      <c r="A1145" s="621" t="s">
        <v>351</v>
      </c>
      <c r="B1145" s="466" t="s">
        <v>111</v>
      </c>
      <c r="C1145" s="631" t="s">
        <v>738</v>
      </c>
      <c r="D1145" s="632" t="s">
        <v>889</v>
      </c>
      <c r="E1145" s="474"/>
      <c r="F1145" s="469" t="s">
        <v>112</v>
      </c>
      <c r="G1145" s="470" t="s">
        <v>1801</v>
      </c>
      <c r="H1145" s="637" t="s">
        <v>1797</v>
      </c>
      <c r="I1145" s="471" t="s">
        <v>114</v>
      </c>
      <c r="J1145" s="471" t="s">
        <v>913</v>
      </c>
      <c r="K1145" s="469">
        <v>100</v>
      </c>
      <c r="L1145" s="473"/>
      <c r="M1145" s="623">
        <v>156</v>
      </c>
      <c r="N1145" s="623">
        <v>156</v>
      </c>
      <c r="O1145" s="624">
        <v>1</v>
      </c>
      <c r="P1145" s="624">
        <v>1</v>
      </c>
      <c r="Q1145" s="785">
        <f t="shared" si="18"/>
        <v>1</v>
      </c>
      <c r="R1145" s="468" t="s">
        <v>1718</v>
      </c>
      <c r="S1145" s="629"/>
    </row>
    <row r="1146" spans="1:19" ht="15" x14ac:dyDescent="0.25">
      <c r="A1146" s="621" t="s">
        <v>351</v>
      </c>
      <c r="B1146" s="466" t="s">
        <v>111</v>
      </c>
      <c r="C1146" s="631" t="s">
        <v>738</v>
      </c>
      <c r="D1146" s="632" t="s">
        <v>881</v>
      </c>
      <c r="E1146" s="474"/>
      <c r="F1146" s="469" t="s">
        <v>112</v>
      </c>
      <c r="G1146" s="470" t="s">
        <v>1801</v>
      </c>
      <c r="H1146" s="637" t="s">
        <v>1797</v>
      </c>
      <c r="I1146" s="471" t="s">
        <v>114</v>
      </c>
      <c r="J1146" s="471" t="s">
        <v>913</v>
      </c>
      <c r="K1146" s="469">
        <v>100</v>
      </c>
      <c r="L1146" s="473"/>
      <c r="M1146" s="623">
        <v>54</v>
      </c>
      <c r="N1146" s="623">
        <v>54</v>
      </c>
      <c r="O1146" s="624">
        <v>1</v>
      </c>
      <c r="P1146" s="624">
        <v>1</v>
      </c>
      <c r="Q1146" s="785">
        <f t="shared" si="18"/>
        <v>1</v>
      </c>
      <c r="R1146" s="468" t="s">
        <v>1718</v>
      </c>
      <c r="S1146" s="629"/>
    </row>
    <row r="1147" spans="1:19" ht="15" x14ac:dyDescent="0.25">
      <c r="A1147" s="621" t="s">
        <v>351</v>
      </c>
      <c r="B1147" s="466" t="s">
        <v>111</v>
      </c>
      <c r="C1147" s="631" t="s">
        <v>738</v>
      </c>
      <c r="D1147" s="632" t="s">
        <v>883</v>
      </c>
      <c r="E1147" s="474"/>
      <c r="F1147" s="469" t="s">
        <v>112</v>
      </c>
      <c r="G1147" s="470" t="s">
        <v>1801</v>
      </c>
      <c r="H1147" s="637" t="s">
        <v>1797</v>
      </c>
      <c r="I1147" s="471" t="s">
        <v>114</v>
      </c>
      <c r="J1147" s="471" t="s">
        <v>913</v>
      </c>
      <c r="K1147" s="469">
        <v>100</v>
      </c>
      <c r="L1147" s="473"/>
      <c r="M1147" s="623">
        <v>0</v>
      </c>
      <c r="N1147" s="623">
        <v>0</v>
      </c>
      <c r="O1147" s="624">
        <v>0</v>
      </c>
      <c r="P1147" s="624">
        <v>0</v>
      </c>
      <c r="Q1147" s="785" t="e">
        <f t="shared" si="18"/>
        <v>#DIV/0!</v>
      </c>
      <c r="R1147" s="468" t="s">
        <v>1719</v>
      </c>
      <c r="S1147" s="629"/>
    </row>
    <row r="1148" spans="1:19" ht="15" x14ac:dyDescent="0.25">
      <c r="A1148" s="621" t="s">
        <v>351</v>
      </c>
      <c r="B1148" s="466" t="s">
        <v>111</v>
      </c>
      <c r="C1148" s="631" t="s">
        <v>738</v>
      </c>
      <c r="D1148" s="632" t="s">
        <v>866</v>
      </c>
      <c r="E1148" s="474"/>
      <c r="F1148" s="469" t="s">
        <v>112</v>
      </c>
      <c r="G1148" s="470" t="s">
        <v>1801</v>
      </c>
      <c r="H1148" s="637" t="s">
        <v>1797</v>
      </c>
      <c r="I1148" s="471" t="s">
        <v>114</v>
      </c>
      <c r="J1148" s="471" t="s">
        <v>913</v>
      </c>
      <c r="K1148" s="469">
        <v>100</v>
      </c>
      <c r="L1148" s="473"/>
      <c r="M1148" s="623">
        <v>0</v>
      </c>
      <c r="N1148" s="623">
        <v>0</v>
      </c>
      <c r="O1148" s="624">
        <v>0</v>
      </c>
      <c r="P1148" s="624">
        <v>0</v>
      </c>
      <c r="Q1148" s="785" t="e">
        <f t="shared" si="18"/>
        <v>#DIV/0!</v>
      </c>
      <c r="R1148" s="468" t="s">
        <v>1719</v>
      </c>
      <c r="S1148" s="629"/>
    </row>
    <row r="1149" spans="1:19" ht="15" x14ac:dyDescent="0.25">
      <c r="A1149" s="621" t="s">
        <v>351</v>
      </c>
      <c r="B1149" s="466" t="s">
        <v>111</v>
      </c>
      <c r="C1149" s="631" t="s">
        <v>738</v>
      </c>
      <c r="D1149" s="632" t="s">
        <v>869</v>
      </c>
      <c r="E1149" s="474"/>
      <c r="F1149" s="469" t="s">
        <v>112</v>
      </c>
      <c r="G1149" s="470" t="s">
        <v>1801</v>
      </c>
      <c r="H1149" s="637" t="s">
        <v>1797</v>
      </c>
      <c r="I1149" s="471" t="s">
        <v>114</v>
      </c>
      <c r="J1149" s="471" t="s">
        <v>913</v>
      </c>
      <c r="K1149" s="469">
        <v>100</v>
      </c>
      <c r="L1149" s="473"/>
      <c r="M1149" s="623">
        <v>7</v>
      </c>
      <c r="N1149" s="623">
        <v>7</v>
      </c>
      <c r="O1149" s="624">
        <v>1</v>
      </c>
      <c r="P1149" s="624">
        <v>1</v>
      </c>
      <c r="Q1149" s="785">
        <f t="shared" si="18"/>
        <v>1</v>
      </c>
      <c r="R1149" s="468" t="s">
        <v>1718</v>
      </c>
      <c r="S1149" s="629"/>
    </row>
    <row r="1150" spans="1:19" ht="15" x14ac:dyDescent="0.25">
      <c r="A1150" s="621" t="s">
        <v>351</v>
      </c>
      <c r="B1150" s="466" t="s">
        <v>111</v>
      </c>
      <c r="C1150" s="631" t="s">
        <v>101</v>
      </c>
      <c r="D1150" s="632" t="s">
        <v>889</v>
      </c>
      <c r="E1150" s="474"/>
      <c r="F1150" s="469" t="s">
        <v>112</v>
      </c>
      <c r="G1150" s="470" t="s">
        <v>1801</v>
      </c>
      <c r="H1150" s="637" t="s">
        <v>1797</v>
      </c>
      <c r="I1150" s="471" t="s">
        <v>114</v>
      </c>
      <c r="J1150" s="471" t="s">
        <v>913</v>
      </c>
      <c r="K1150" s="469">
        <v>100</v>
      </c>
      <c r="L1150" s="473"/>
      <c r="M1150" s="623">
        <v>112</v>
      </c>
      <c r="N1150" s="623">
        <v>112</v>
      </c>
      <c r="O1150" s="624">
        <v>1</v>
      </c>
      <c r="P1150" s="624">
        <v>1</v>
      </c>
      <c r="Q1150" s="785">
        <f t="shared" si="18"/>
        <v>1</v>
      </c>
      <c r="R1150" s="468" t="s">
        <v>1718</v>
      </c>
      <c r="S1150" s="629"/>
    </row>
    <row r="1151" spans="1:19" ht="15" x14ac:dyDescent="0.25">
      <c r="A1151" s="621" t="s">
        <v>351</v>
      </c>
      <c r="B1151" s="466" t="s">
        <v>111</v>
      </c>
      <c r="C1151" s="631" t="s">
        <v>101</v>
      </c>
      <c r="D1151" s="632" t="s">
        <v>881</v>
      </c>
      <c r="E1151" s="474"/>
      <c r="F1151" s="469" t="s">
        <v>112</v>
      </c>
      <c r="G1151" s="470" t="s">
        <v>1801</v>
      </c>
      <c r="H1151" s="637" t="s">
        <v>1797</v>
      </c>
      <c r="I1151" s="471" t="s">
        <v>114</v>
      </c>
      <c r="J1151" s="471" t="s">
        <v>913</v>
      </c>
      <c r="K1151" s="469">
        <v>100</v>
      </c>
      <c r="L1151" s="473"/>
      <c r="M1151" s="623">
        <v>9</v>
      </c>
      <c r="N1151" s="623">
        <v>9</v>
      </c>
      <c r="O1151" s="624">
        <v>1</v>
      </c>
      <c r="P1151" s="624">
        <v>1</v>
      </c>
      <c r="Q1151" s="785">
        <f t="shared" si="18"/>
        <v>1</v>
      </c>
      <c r="R1151" s="468" t="s">
        <v>1718</v>
      </c>
      <c r="S1151" s="629"/>
    </row>
    <row r="1152" spans="1:19" ht="15" x14ac:dyDescent="0.25">
      <c r="A1152" s="621" t="s">
        <v>351</v>
      </c>
      <c r="B1152" s="466" t="s">
        <v>111</v>
      </c>
      <c r="C1152" s="631" t="s">
        <v>101</v>
      </c>
      <c r="D1152" s="632" t="s">
        <v>883</v>
      </c>
      <c r="E1152" s="474"/>
      <c r="F1152" s="469" t="s">
        <v>112</v>
      </c>
      <c r="G1152" s="470" t="s">
        <v>1801</v>
      </c>
      <c r="H1152" s="637" t="s">
        <v>1797</v>
      </c>
      <c r="I1152" s="471" t="s">
        <v>114</v>
      </c>
      <c r="J1152" s="471" t="s">
        <v>913</v>
      </c>
      <c r="K1152" s="469">
        <v>100</v>
      </c>
      <c r="L1152" s="473"/>
      <c r="M1152" s="623">
        <v>0</v>
      </c>
      <c r="N1152" s="623">
        <v>0</v>
      </c>
      <c r="O1152" s="624">
        <v>0</v>
      </c>
      <c r="P1152" s="624">
        <v>0</v>
      </c>
      <c r="Q1152" s="785" t="e">
        <f t="shared" si="18"/>
        <v>#DIV/0!</v>
      </c>
      <c r="R1152" s="468" t="s">
        <v>1719</v>
      </c>
      <c r="S1152" s="629"/>
    </row>
    <row r="1153" spans="1:19" ht="15" x14ac:dyDescent="0.25">
      <c r="A1153" s="621" t="s">
        <v>351</v>
      </c>
      <c r="B1153" s="466" t="s">
        <v>111</v>
      </c>
      <c r="C1153" s="631" t="s">
        <v>101</v>
      </c>
      <c r="D1153" s="632" t="s">
        <v>866</v>
      </c>
      <c r="E1153" s="474"/>
      <c r="F1153" s="469" t="s">
        <v>112</v>
      </c>
      <c r="G1153" s="470" t="s">
        <v>1801</v>
      </c>
      <c r="H1153" s="637" t="s">
        <v>1797</v>
      </c>
      <c r="I1153" s="471" t="s">
        <v>114</v>
      </c>
      <c r="J1153" s="471" t="s">
        <v>913</v>
      </c>
      <c r="K1153" s="469">
        <v>100</v>
      </c>
      <c r="L1153" s="473"/>
      <c r="M1153" s="623">
        <v>13</v>
      </c>
      <c r="N1153" s="623">
        <v>13</v>
      </c>
      <c r="O1153" s="624">
        <v>1</v>
      </c>
      <c r="P1153" s="624">
        <v>1</v>
      </c>
      <c r="Q1153" s="785">
        <f t="shared" si="18"/>
        <v>1</v>
      </c>
      <c r="R1153" s="468" t="s">
        <v>1718</v>
      </c>
      <c r="S1153" s="629"/>
    </row>
    <row r="1154" spans="1:19" ht="15" x14ac:dyDescent="0.25">
      <c r="A1154" s="621" t="s">
        <v>351</v>
      </c>
      <c r="B1154" s="466" t="s">
        <v>111</v>
      </c>
      <c r="C1154" s="631" t="s">
        <v>101</v>
      </c>
      <c r="D1154" s="632" t="s">
        <v>869</v>
      </c>
      <c r="E1154" s="474"/>
      <c r="F1154" s="469" t="s">
        <v>112</v>
      </c>
      <c r="G1154" s="470" t="s">
        <v>1801</v>
      </c>
      <c r="H1154" s="637" t="s">
        <v>1797</v>
      </c>
      <c r="I1154" s="471" t="s">
        <v>114</v>
      </c>
      <c r="J1154" s="471" t="s">
        <v>913</v>
      </c>
      <c r="K1154" s="469">
        <v>100</v>
      </c>
      <c r="L1154" s="473"/>
      <c r="M1154" s="623">
        <v>0</v>
      </c>
      <c r="N1154" s="623">
        <v>0</v>
      </c>
      <c r="O1154" s="624">
        <v>0</v>
      </c>
      <c r="P1154" s="624">
        <v>0</v>
      </c>
      <c r="Q1154" s="785" t="e">
        <f t="shared" si="18"/>
        <v>#DIV/0!</v>
      </c>
      <c r="R1154" s="468" t="s">
        <v>1719</v>
      </c>
      <c r="S1154" s="629"/>
    </row>
    <row r="1155" spans="1:19" ht="15" x14ac:dyDescent="0.25">
      <c r="A1155" s="621" t="s">
        <v>351</v>
      </c>
      <c r="B1155" s="466" t="s">
        <v>111</v>
      </c>
      <c r="C1155" s="631" t="s">
        <v>885</v>
      </c>
      <c r="D1155" s="632" t="s">
        <v>889</v>
      </c>
      <c r="E1155" s="474"/>
      <c r="F1155" s="469" t="s">
        <v>112</v>
      </c>
      <c r="G1155" s="470" t="s">
        <v>1801</v>
      </c>
      <c r="H1155" s="637" t="s">
        <v>1797</v>
      </c>
      <c r="I1155" s="471" t="s">
        <v>114</v>
      </c>
      <c r="J1155" s="471" t="s">
        <v>913</v>
      </c>
      <c r="K1155" s="469">
        <v>100</v>
      </c>
      <c r="L1155" s="473"/>
      <c r="M1155" s="623">
        <v>0</v>
      </c>
      <c r="N1155" s="623">
        <v>0</v>
      </c>
      <c r="O1155" s="624">
        <v>0</v>
      </c>
      <c r="P1155" s="624">
        <v>0</v>
      </c>
      <c r="Q1155" s="785" t="e">
        <f t="shared" si="18"/>
        <v>#DIV/0!</v>
      </c>
      <c r="R1155" s="468" t="s">
        <v>1719</v>
      </c>
      <c r="S1155" s="629"/>
    </row>
    <row r="1156" spans="1:19" ht="15" x14ac:dyDescent="0.25">
      <c r="A1156" s="621" t="s">
        <v>351</v>
      </c>
      <c r="B1156" s="466" t="s">
        <v>111</v>
      </c>
      <c r="C1156" s="631" t="s">
        <v>885</v>
      </c>
      <c r="D1156" s="632" t="s">
        <v>881</v>
      </c>
      <c r="E1156" s="474"/>
      <c r="F1156" s="469" t="s">
        <v>112</v>
      </c>
      <c r="G1156" s="470" t="s">
        <v>1801</v>
      </c>
      <c r="H1156" s="637" t="s">
        <v>1797</v>
      </c>
      <c r="I1156" s="471" t="s">
        <v>114</v>
      </c>
      <c r="J1156" s="471" t="s">
        <v>913</v>
      </c>
      <c r="K1156" s="469">
        <v>100</v>
      </c>
      <c r="L1156" s="473"/>
      <c r="M1156" s="623">
        <v>5</v>
      </c>
      <c r="N1156" s="623">
        <v>5</v>
      </c>
      <c r="O1156" s="624">
        <v>1</v>
      </c>
      <c r="P1156" s="624">
        <v>1</v>
      </c>
      <c r="Q1156" s="785">
        <f t="shared" si="18"/>
        <v>1</v>
      </c>
      <c r="R1156" s="468" t="s">
        <v>1718</v>
      </c>
      <c r="S1156" s="629"/>
    </row>
    <row r="1157" spans="1:19" ht="15" x14ac:dyDescent="0.25">
      <c r="A1157" s="621" t="s">
        <v>351</v>
      </c>
      <c r="B1157" s="466" t="s">
        <v>111</v>
      </c>
      <c r="C1157" s="631" t="s">
        <v>885</v>
      </c>
      <c r="D1157" s="632" t="s">
        <v>883</v>
      </c>
      <c r="E1157" s="474"/>
      <c r="F1157" s="469" t="s">
        <v>112</v>
      </c>
      <c r="G1157" s="470" t="s">
        <v>1801</v>
      </c>
      <c r="H1157" s="637" t="s">
        <v>1797</v>
      </c>
      <c r="I1157" s="471" t="s">
        <v>114</v>
      </c>
      <c r="J1157" s="471" t="s">
        <v>913</v>
      </c>
      <c r="K1157" s="469">
        <v>100</v>
      </c>
      <c r="L1157" s="473"/>
      <c r="M1157" s="623">
        <v>5</v>
      </c>
      <c r="N1157" s="623">
        <v>5</v>
      </c>
      <c r="O1157" s="624">
        <v>1</v>
      </c>
      <c r="P1157" s="624">
        <v>1</v>
      </c>
      <c r="Q1157" s="785">
        <f t="shared" si="18"/>
        <v>1</v>
      </c>
      <c r="R1157" s="468" t="s">
        <v>1718</v>
      </c>
      <c r="S1157" s="629"/>
    </row>
    <row r="1158" spans="1:19" ht="15" x14ac:dyDescent="0.25">
      <c r="A1158" s="621" t="s">
        <v>351</v>
      </c>
      <c r="B1158" s="466" t="s">
        <v>111</v>
      </c>
      <c r="C1158" s="631" t="s">
        <v>885</v>
      </c>
      <c r="D1158" s="632" t="s">
        <v>866</v>
      </c>
      <c r="E1158" s="474"/>
      <c r="F1158" s="469" t="s">
        <v>112</v>
      </c>
      <c r="G1158" s="470" t="s">
        <v>1801</v>
      </c>
      <c r="H1158" s="637" t="s">
        <v>1797</v>
      </c>
      <c r="I1158" s="471" t="s">
        <v>114</v>
      </c>
      <c r="J1158" s="471" t="s">
        <v>913</v>
      </c>
      <c r="K1158" s="469">
        <v>100</v>
      </c>
      <c r="L1158" s="473"/>
      <c r="M1158" s="623">
        <v>0</v>
      </c>
      <c r="N1158" s="623">
        <v>0</v>
      </c>
      <c r="O1158" s="624">
        <v>0</v>
      </c>
      <c r="P1158" s="624">
        <v>0</v>
      </c>
      <c r="Q1158" s="785" t="e">
        <f t="shared" ref="Q1158:Q1201" si="19">N1158/(M1158*K1158/100)</f>
        <v>#DIV/0!</v>
      </c>
      <c r="R1158" s="468" t="s">
        <v>1719</v>
      </c>
      <c r="S1158" s="629"/>
    </row>
    <row r="1159" spans="1:19" ht="15" x14ac:dyDescent="0.25">
      <c r="A1159" s="621" t="s">
        <v>351</v>
      </c>
      <c r="B1159" s="466" t="s">
        <v>111</v>
      </c>
      <c r="C1159" s="631" t="s">
        <v>885</v>
      </c>
      <c r="D1159" s="632" t="s">
        <v>869</v>
      </c>
      <c r="E1159" s="474"/>
      <c r="F1159" s="469" t="s">
        <v>112</v>
      </c>
      <c r="G1159" s="470" t="s">
        <v>1801</v>
      </c>
      <c r="H1159" s="637" t="s">
        <v>1797</v>
      </c>
      <c r="I1159" s="471" t="s">
        <v>114</v>
      </c>
      <c r="J1159" s="471" t="s">
        <v>913</v>
      </c>
      <c r="K1159" s="469">
        <v>100</v>
      </c>
      <c r="L1159" s="473"/>
      <c r="M1159" s="623">
        <v>12</v>
      </c>
      <c r="N1159" s="623">
        <v>12</v>
      </c>
      <c r="O1159" s="624">
        <v>1</v>
      </c>
      <c r="P1159" s="624">
        <v>1</v>
      </c>
      <c r="Q1159" s="785">
        <f t="shared" si="19"/>
        <v>1</v>
      </c>
      <c r="R1159" s="468" t="s">
        <v>1718</v>
      </c>
      <c r="S1159" s="629"/>
    </row>
    <row r="1160" spans="1:19" ht="15" x14ac:dyDescent="0.25">
      <c r="A1160" s="621" t="s">
        <v>351</v>
      </c>
      <c r="B1160" s="466" t="s">
        <v>111</v>
      </c>
      <c r="C1160" s="631" t="s">
        <v>885</v>
      </c>
      <c r="D1160" s="632" t="s">
        <v>887</v>
      </c>
      <c r="E1160" s="474"/>
      <c r="F1160" s="469" t="s">
        <v>112</v>
      </c>
      <c r="G1160" s="470" t="s">
        <v>1801</v>
      </c>
      <c r="H1160" s="637" t="s">
        <v>1797</v>
      </c>
      <c r="I1160" s="471" t="s">
        <v>114</v>
      </c>
      <c r="J1160" s="471" t="s">
        <v>913</v>
      </c>
      <c r="K1160" s="469">
        <v>100</v>
      </c>
      <c r="L1160" s="473"/>
      <c r="M1160" s="623">
        <v>20</v>
      </c>
      <c r="N1160" s="623">
        <v>20</v>
      </c>
      <c r="O1160" s="624">
        <v>1</v>
      </c>
      <c r="P1160" s="624">
        <v>1</v>
      </c>
      <c r="Q1160" s="785">
        <f t="shared" si="19"/>
        <v>1</v>
      </c>
      <c r="R1160" s="468" t="s">
        <v>1718</v>
      </c>
      <c r="S1160" s="629"/>
    </row>
    <row r="1161" spans="1:19" ht="15" x14ac:dyDescent="0.25">
      <c r="A1161" s="621" t="s">
        <v>351</v>
      </c>
      <c r="B1161" s="466" t="s">
        <v>111</v>
      </c>
      <c r="C1161" s="631" t="s">
        <v>904</v>
      </c>
      <c r="D1161" s="632" t="s">
        <v>881</v>
      </c>
      <c r="E1161" s="474"/>
      <c r="F1161" s="469" t="s">
        <v>112</v>
      </c>
      <c r="G1161" s="470" t="s">
        <v>1801</v>
      </c>
      <c r="H1161" s="637" t="s">
        <v>1797</v>
      </c>
      <c r="I1161" s="471" t="s">
        <v>114</v>
      </c>
      <c r="J1161" s="471" t="s">
        <v>913</v>
      </c>
      <c r="K1161" s="469">
        <v>100</v>
      </c>
      <c r="L1161" s="473"/>
      <c r="M1161" s="623">
        <v>0</v>
      </c>
      <c r="N1161" s="623">
        <v>0</v>
      </c>
      <c r="O1161" s="624">
        <v>0</v>
      </c>
      <c r="P1161" s="624">
        <v>0</v>
      </c>
      <c r="Q1161" s="785" t="e">
        <f t="shared" si="19"/>
        <v>#DIV/0!</v>
      </c>
      <c r="R1161" s="468" t="s">
        <v>1719</v>
      </c>
      <c r="S1161" s="629"/>
    </row>
    <row r="1162" spans="1:19" ht="15" x14ac:dyDescent="0.25">
      <c r="A1162" s="621" t="s">
        <v>351</v>
      </c>
      <c r="B1162" s="466" t="s">
        <v>111</v>
      </c>
      <c r="C1162" s="631" t="s">
        <v>904</v>
      </c>
      <c r="D1162" s="632" t="s">
        <v>883</v>
      </c>
      <c r="E1162" s="474"/>
      <c r="F1162" s="469" t="s">
        <v>112</v>
      </c>
      <c r="G1162" s="470" t="s">
        <v>1801</v>
      </c>
      <c r="H1162" s="637" t="s">
        <v>1797</v>
      </c>
      <c r="I1162" s="471" t="s">
        <v>114</v>
      </c>
      <c r="J1162" s="471" t="s">
        <v>913</v>
      </c>
      <c r="K1162" s="469">
        <v>100</v>
      </c>
      <c r="L1162" s="473"/>
      <c r="M1162" s="623">
        <v>1</v>
      </c>
      <c r="N1162" s="623">
        <v>1</v>
      </c>
      <c r="O1162" s="624">
        <v>1</v>
      </c>
      <c r="P1162" s="624">
        <v>1</v>
      </c>
      <c r="Q1162" s="785">
        <f t="shared" si="19"/>
        <v>1</v>
      </c>
      <c r="R1162" s="468" t="s">
        <v>1718</v>
      </c>
      <c r="S1162" s="629"/>
    </row>
    <row r="1163" spans="1:19" ht="15" x14ac:dyDescent="0.25">
      <c r="A1163" s="621" t="s">
        <v>351</v>
      </c>
      <c r="B1163" s="466" t="s">
        <v>111</v>
      </c>
      <c r="C1163" s="631" t="s">
        <v>740</v>
      </c>
      <c r="D1163" s="632" t="s">
        <v>889</v>
      </c>
      <c r="E1163" s="474"/>
      <c r="F1163" s="469" t="s">
        <v>112</v>
      </c>
      <c r="G1163" s="470" t="s">
        <v>1801</v>
      </c>
      <c r="H1163" s="637" t="s">
        <v>1797</v>
      </c>
      <c r="I1163" s="471" t="s">
        <v>114</v>
      </c>
      <c r="J1163" s="471" t="s">
        <v>913</v>
      </c>
      <c r="K1163" s="469">
        <v>100</v>
      </c>
      <c r="L1163" s="473"/>
      <c r="M1163" s="623">
        <v>37</v>
      </c>
      <c r="N1163" s="623">
        <v>37</v>
      </c>
      <c r="O1163" s="624">
        <v>1</v>
      </c>
      <c r="P1163" s="624">
        <v>1</v>
      </c>
      <c r="Q1163" s="785">
        <f t="shared" si="19"/>
        <v>1</v>
      </c>
      <c r="R1163" s="468" t="s">
        <v>1718</v>
      </c>
      <c r="S1163" s="629"/>
    </row>
    <row r="1164" spans="1:19" ht="15" x14ac:dyDescent="0.25">
      <c r="A1164" s="621" t="s">
        <v>351</v>
      </c>
      <c r="B1164" s="466" t="s">
        <v>111</v>
      </c>
      <c r="C1164" s="631" t="s">
        <v>740</v>
      </c>
      <c r="D1164" s="632" t="s">
        <v>881</v>
      </c>
      <c r="E1164" s="474"/>
      <c r="F1164" s="469" t="s">
        <v>112</v>
      </c>
      <c r="G1164" s="470" t="s">
        <v>1801</v>
      </c>
      <c r="H1164" s="637" t="s">
        <v>1797</v>
      </c>
      <c r="I1164" s="471" t="s">
        <v>114</v>
      </c>
      <c r="J1164" s="471" t="s">
        <v>913</v>
      </c>
      <c r="K1164" s="469">
        <v>100</v>
      </c>
      <c r="L1164" s="473"/>
      <c r="M1164" s="623">
        <v>4</v>
      </c>
      <c r="N1164" s="623">
        <v>4</v>
      </c>
      <c r="O1164" s="624">
        <v>1</v>
      </c>
      <c r="P1164" s="624">
        <v>1</v>
      </c>
      <c r="Q1164" s="785">
        <f t="shared" si="19"/>
        <v>1</v>
      </c>
      <c r="R1164" s="468" t="s">
        <v>1718</v>
      </c>
      <c r="S1164" s="629"/>
    </row>
    <row r="1165" spans="1:19" ht="15" x14ac:dyDescent="0.25">
      <c r="A1165" s="621" t="s">
        <v>351</v>
      </c>
      <c r="B1165" s="466" t="s">
        <v>111</v>
      </c>
      <c r="C1165" s="631" t="s">
        <v>740</v>
      </c>
      <c r="D1165" s="632" t="s">
        <v>883</v>
      </c>
      <c r="E1165" s="474"/>
      <c r="F1165" s="469" t="s">
        <v>112</v>
      </c>
      <c r="G1165" s="470" t="s">
        <v>1801</v>
      </c>
      <c r="H1165" s="637" t="s">
        <v>1797</v>
      </c>
      <c r="I1165" s="471" t="s">
        <v>114</v>
      </c>
      <c r="J1165" s="471" t="s">
        <v>913</v>
      </c>
      <c r="K1165" s="469">
        <v>100</v>
      </c>
      <c r="L1165" s="473"/>
      <c r="M1165" s="623">
        <v>0</v>
      </c>
      <c r="N1165" s="623">
        <v>0</v>
      </c>
      <c r="O1165" s="624">
        <v>0</v>
      </c>
      <c r="P1165" s="624">
        <v>0</v>
      </c>
      <c r="Q1165" s="785" t="e">
        <f t="shared" si="19"/>
        <v>#DIV/0!</v>
      </c>
      <c r="R1165" s="468" t="s">
        <v>1719</v>
      </c>
      <c r="S1165" s="629"/>
    </row>
    <row r="1166" spans="1:19" ht="15" x14ac:dyDescent="0.25">
      <c r="A1166" s="621" t="s">
        <v>351</v>
      </c>
      <c r="B1166" s="466" t="s">
        <v>111</v>
      </c>
      <c r="C1166" s="631" t="s">
        <v>894</v>
      </c>
      <c r="D1166" s="632" t="s">
        <v>889</v>
      </c>
      <c r="E1166" s="474"/>
      <c r="F1166" s="469" t="s">
        <v>112</v>
      </c>
      <c r="G1166" s="470" t="s">
        <v>1801</v>
      </c>
      <c r="H1166" s="637" t="s">
        <v>1797</v>
      </c>
      <c r="I1166" s="471" t="s">
        <v>114</v>
      </c>
      <c r="J1166" s="471" t="s">
        <v>913</v>
      </c>
      <c r="K1166" s="469">
        <v>100</v>
      </c>
      <c r="L1166" s="473"/>
      <c r="M1166" s="623">
        <v>543</v>
      </c>
      <c r="N1166" s="623">
        <v>543</v>
      </c>
      <c r="O1166" s="624">
        <v>1</v>
      </c>
      <c r="P1166" s="624">
        <v>1</v>
      </c>
      <c r="Q1166" s="785">
        <f t="shared" si="19"/>
        <v>1</v>
      </c>
      <c r="R1166" s="468" t="s">
        <v>1718</v>
      </c>
      <c r="S1166" s="629"/>
    </row>
    <row r="1167" spans="1:19" ht="15" x14ac:dyDescent="0.25">
      <c r="A1167" s="621" t="s">
        <v>351</v>
      </c>
      <c r="B1167" s="466" t="s">
        <v>111</v>
      </c>
      <c r="C1167" s="631" t="s">
        <v>894</v>
      </c>
      <c r="D1167" s="632" t="s">
        <v>881</v>
      </c>
      <c r="E1167" s="474"/>
      <c r="F1167" s="469" t="s">
        <v>112</v>
      </c>
      <c r="G1167" s="470" t="s">
        <v>1801</v>
      </c>
      <c r="H1167" s="637" t="s">
        <v>1797</v>
      </c>
      <c r="I1167" s="471" t="s">
        <v>114</v>
      </c>
      <c r="J1167" s="471" t="s">
        <v>913</v>
      </c>
      <c r="K1167" s="469">
        <v>100</v>
      </c>
      <c r="L1167" s="473"/>
      <c r="M1167" s="623">
        <v>78</v>
      </c>
      <c r="N1167" s="623">
        <v>78</v>
      </c>
      <c r="O1167" s="624">
        <v>1</v>
      </c>
      <c r="P1167" s="624">
        <v>1</v>
      </c>
      <c r="Q1167" s="785">
        <f t="shared" si="19"/>
        <v>1</v>
      </c>
      <c r="R1167" s="468" t="s">
        <v>1718</v>
      </c>
      <c r="S1167" s="629"/>
    </row>
    <row r="1168" spans="1:19" ht="15" x14ac:dyDescent="0.25">
      <c r="A1168" s="621" t="s">
        <v>351</v>
      </c>
      <c r="B1168" s="466" t="s">
        <v>111</v>
      </c>
      <c r="C1168" s="631" t="s">
        <v>894</v>
      </c>
      <c r="D1168" s="632" t="s">
        <v>883</v>
      </c>
      <c r="E1168" s="474"/>
      <c r="F1168" s="469" t="s">
        <v>112</v>
      </c>
      <c r="G1168" s="470" t="s">
        <v>1801</v>
      </c>
      <c r="H1168" s="637" t="s">
        <v>1797</v>
      </c>
      <c r="I1168" s="471" t="s">
        <v>114</v>
      </c>
      <c r="J1168" s="471" t="s">
        <v>913</v>
      </c>
      <c r="K1168" s="469">
        <v>100</v>
      </c>
      <c r="L1168" s="473"/>
      <c r="M1168" s="623">
        <v>25</v>
      </c>
      <c r="N1168" s="623">
        <v>25</v>
      </c>
      <c r="O1168" s="624">
        <v>1</v>
      </c>
      <c r="P1168" s="624">
        <v>1</v>
      </c>
      <c r="Q1168" s="785">
        <f t="shared" si="19"/>
        <v>1</v>
      </c>
      <c r="R1168" s="468" t="s">
        <v>1718</v>
      </c>
      <c r="S1168" s="629"/>
    </row>
    <row r="1169" spans="1:19" ht="15" x14ac:dyDescent="0.25">
      <c r="A1169" s="621" t="s">
        <v>351</v>
      </c>
      <c r="B1169" s="466" t="s">
        <v>111</v>
      </c>
      <c r="C1169" s="631" t="s">
        <v>894</v>
      </c>
      <c r="D1169" s="632" t="s">
        <v>869</v>
      </c>
      <c r="E1169" s="474"/>
      <c r="F1169" s="469" t="s">
        <v>112</v>
      </c>
      <c r="G1169" s="470" t="s">
        <v>1801</v>
      </c>
      <c r="H1169" s="637" t="s">
        <v>1797</v>
      </c>
      <c r="I1169" s="471" t="s">
        <v>114</v>
      </c>
      <c r="J1169" s="471" t="s">
        <v>913</v>
      </c>
      <c r="K1169" s="469">
        <v>100</v>
      </c>
      <c r="L1169" s="473"/>
      <c r="M1169" s="623">
        <v>0</v>
      </c>
      <c r="N1169" s="623">
        <v>0</v>
      </c>
      <c r="O1169" s="624">
        <v>0</v>
      </c>
      <c r="P1169" s="624">
        <v>0</v>
      </c>
      <c r="Q1169" s="785" t="e">
        <f t="shared" si="19"/>
        <v>#DIV/0!</v>
      </c>
      <c r="R1169" s="468" t="s">
        <v>1719</v>
      </c>
      <c r="S1169" s="629"/>
    </row>
    <row r="1170" spans="1:19" ht="15" customHeight="1" x14ac:dyDescent="0.25">
      <c r="A1170" s="621" t="s">
        <v>351</v>
      </c>
      <c r="B1170" s="466" t="s">
        <v>111</v>
      </c>
      <c r="C1170" s="466" t="s">
        <v>99</v>
      </c>
      <c r="D1170" s="467" t="s">
        <v>866</v>
      </c>
      <c r="E1170" s="474"/>
      <c r="F1170" s="469" t="s">
        <v>112</v>
      </c>
      <c r="G1170" s="470" t="s">
        <v>1802</v>
      </c>
      <c r="H1170" s="637" t="s">
        <v>1797</v>
      </c>
      <c r="I1170" s="471" t="s">
        <v>114</v>
      </c>
      <c r="J1170" s="471" t="s">
        <v>913</v>
      </c>
      <c r="K1170" s="469">
        <v>100</v>
      </c>
      <c r="L1170" s="473"/>
      <c r="M1170" s="623">
        <v>0</v>
      </c>
      <c r="N1170" s="623">
        <v>0</v>
      </c>
      <c r="O1170" s="624">
        <v>0</v>
      </c>
      <c r="P1170" s="624">
        <v>0</v>
      </c>
      <c r="Q1170" s="785" t="e">
        <f t="shared" si="19"/>
        <v>#DIV/0!</v>
      </c>
      <c r="R1170" s="625" t="s">
        <v>1719</v>
      </c>
      <c r="S1170" s="638"/>
    </row>
    <row r="1171" spans="1:19" ht="15" x14ac:dyDescent="0.25">
      <c r="A1171" s="621" t="s">
        <v>351</v>
      </c>
      <c r="B1171" s="466" t="s">
        <v>111</v>
      </c>
      <c r="C1171" s="630" t="s">
        <v>99</v>
      </c>
      <c r="D1171" s="628" t="s">
        <v>869</v>
      </c>
      <c r="E1171" s="474"/>
      <c r="F1171" s="469" t="s">
        <v>112</v>
      </c>
      <c r="G1171" s="470" t="s">
        <v>1802</v>
      </c>
      <c r="H1171" s="637" t="s">
        <v>1797</v>
      </c>
      <c r="I1171" s="471" t="s">
        <v>114</v>
      </c>
      <c r="J1171" s="471" t="s">
        <v>913</v>
      </c>
      <c r="K1171" s="469">
        <v>100</v>
      </c>
      <c r="L1171" s="473"/>
      <c r="M1171" s="623">
        <v>14</v>
      </c>
      <c r="N1171" s="623">
        <v>14</v>
      </c>
      <c r="O1171" s="624">
        <v>1</v>
      </c>
      <c r="P1171" s="624">
        <v>1</v>
      </c>
      <c r="Q1171" s="785">
        <f t="shared" si="19"/>
        <v>1</v>
      </c>
      <c r="R1171" s="468" t="s">
        <v>1718</v>
      </c>
      <c r="S1171" s="629"/>
    </row>
    <row r="1172" spans="1:19" ht="15" x14ac:dyDescent="0.25">
      <c r="A1172" s="621" t="s">
        <v>351</v>
      </c>
      <c r="B1172" s="466" t="s">
        <v>111</v>
      </c>
      <c r="C1172" s="630" t="s">
        <v>870</v>
      </c>
      <c r="D1172" s="628" t="s">
        <v>889</v>
      </c>
      <c r="E1172" s="474"/>
      <c r="F1172" s="469" t="s">
        <v>112</v>
      </c>
      <c r="G1172" s="470" t="s">
        <v>1802</v>
      </c>
      <c r="H1172" s="637" t="s">
        <v>1797</v>
      </c>
      <c r="I1172" s="471" t="s">
        <v>114</v>
      </c>
      <c r="J1172" s="471" t="s">
        <v>913</v>
      </c>
      <c r="K1172" s="469">
        <v>100</v>
      </c>
      <c r="L1172" s="473"/>
      <c r="M1172" s="623">
        <v>50</v>
      </c>
      <c r="N1172" s="623">
        <v>50</v>
      </c>
      <c r="O1172" s="624">
        <v>1</v>
      </c>
      <c r="P1172" s="624">
        <v>1</v>
      </c>
      <c r="Q1172" s="785">
        <f t="shared" si="19"/>
        <v>1</v>
      </c>
      <c r="R1172" s="468" t="s">
        <v>1718</v>
      </c>
      <c r="S1172" s="629"/>
    </row>
    <row r="1173" spans="1:19" ht="15" x14ac:dyDescent="0.25">
      <c r="A1173" s="621" t="s">
        <v>351</v>
      </c>
      <c r="B1173" s="466" t="s">
        <v>111</v>
      </c>
      <c r="C1173" s="631" t="s">
        <v>870</v>
      </c>
      <c r="D1173" s="628" t="s">
        <v>881</v>
      </c>
      <c r="E1173" s="474"/>
      <c r="F1173" s="469" t="s">
        <v>112</v>
      </c>
      <c r="G1173" s="470" t="s">
        <v>1802</v>
      </c>
      <c r="H1173" s="637" t="s">
        <v>1797</v>
      </c>
      <c r="I1173" s="471" t="s">
        <v>114</v>
      </c>
      <c r="J1173" s="471" t="s">
        <v>913</v>
      </c>
      <c r="K1173" s="469">
        <v>100</v>
      </c>
      <c r="L1173" s="473"/>
      <c r="M1173" s="623">
        <v>19</v>
      </c>
      <c r="N1173" s="623">
        <v>19</v>
      </c>
      <c r="O1173" s="624">
        <v>1</v>
      </c>
      <c r="P1173" s="624">
        <v>1</v>
      </c>
      <c r="Q1173" s="785">
        <f t="shared" si="19"/>
        <v>1</v>
      </c>
      <c r="R1173" s="468" t="s">
        <v>1718</v>
      </c>
      <c r="S1173" s="629"/>
    </row>
    <row r="1174" spans="1:19" ht="15" x14ac:dyDescent="0.25">
      <c r="A1174" s="621" t="s">
        <v>351</v>
      </c>
      <c r="B1174" s="466" t="s">
        <v>111</v>
      </c>
      <c r="C1174" s="631" t="s">
        <v>870</v>
      </c>
      <c r="D1174" s="628" t="s">
        <v>883</v>
      </c>
      <c r="E1174" s="474"/>
      <c r="F1174" s="469" t="s">
        <v>112</v>
      </c>
      <c r="G1174" s="470" t="s">
        <v>1802</v>
      </c>
      <c r="H1174" s="637" t="s">
        <v>1797</v>
      </c>
      <c r="I1174" s="471" t="s">
        <v>114</v>
      </c>
      <c r="J1174" s="471" t="s">
        <v>913</v>
      </c>
      <c r="K1174" s="469">
        <v>100</v>
      </c>
      <c r="L1174" s="473"/>
      <c r="M1174" s="623">
        <v>39</v>
      </c>
      <c r="N1174" s="623">
        <v>39</v>
      </c>
      <c r="O1174" s="624">
        <v>1</v>
      </c>
      <c r="P1174" s="624">
        <v>1</v>
      </c>
      <c r="Q1174" s="785">
        <f t="shared" si="19"/>
        <v>1</v>
      </c>
      <c r="R1174" s="468" t="s">
        <v>1718</v>
      </c>
      <c r="S1174" s="629"/>
    </row>
    <row r="1175" spans="1:19" ht="15" x14ac:dyDescent="0.25">
      <c r="A1175" s="621" t="s">
        <v>351</v>
      </c>
      <c r="B1175" s="466" t="s">
        <v>111</v>
      </c>
      <c r="C1175" s="631" t="s">
        <v>870</v>
      </c>
      <c r="D1175" s="632" t="s">
        <v>866</v>
      </c>
      <c r="E1175" s="474"/>
      <c r="F1175" s="469" t="s">
        <v>112</v>
      </c>
      <c r="G1175" s="470" t="s">
        <v>1802</v>
      </c>
      <c r="H1175" s="637" t="s">
        <v>1797</v>
      </c>
      <c r="I1175" s="471" t="s">
        <v>114</v>
      </c>
      <c r="J1175" s="471" t="s">
        <v>913</v>
      </c>
      <c r="K1175" s="469">
        <v>100</v>
      </c>
      <c r="L1175" s="473"/>
      <c r="M1175" s="623">
        <v>67</v>
      </c>
      <c r="N1175" s="623">
        <v>67</v>
      </c>
      <c r="O1175" s="624">
        <v>1</v>
      </c>
      <c r="P1175" s="624">
        <v>1</v>
      </c>
      <c r="Q1175" s="785">
        <f t="shared" si="19"/>
        <v>1</v>
      </c>
      <c r="R1175" s="468" t="s">
        <v>1718</v>
      </c>
      <c r="S1175" s="629"/>
    </row>
    <row r="1176" spans="1:19" ht="15" x14ac:dyDescent="0.25">
      <c r="A1176" s="621" t="s">
        <v>351</v>
      </c>
      <c r="B1176" s="466" t="s">
        <v>111</v>
      </c>
      <c r="C1176" s="631" t="s">
        <v>870</v>
      </c>
      <c r="D1176" s="632" t="s">
        <v>869</v>
      </c>
      <c r="E1176" s="474"/>
      <c r="F1176" s="469" t="s">
        <v>112</v>
      </c>
      <c r="G1176" s="470" t="s">
        <v>1802</v>
      </c>
      <c r="H1176" s="637" t="s">
        <v>1797</v>
      </c>
      <c r="I1176" s="471" t="s">
        <v>114</v>
      </c>
      <c r="J1176" s="471" t="s">
        <v>913</v>
      </c>
      <c r="K1176" s="469">
        <v>100</v>
      </c>
      <c r="L1176" s="473"/>
      <c r="M1176" s="623">
        <v>46</v>
      </c>
      <c r="N1176" s="623">
        <v>46</v>
      </c>
      <c r="O1176" s="624">
        <v>1</v>
      </c>
      <c r="P1176" s="624">
        <v>1</v>
      </c>
      <c r="Q1176" s="785">
        <f t="shared" si="19"/>
        <v>1</v>
      </c>
      <c r="R1176" s="468" t="s">
        <v>1718</v>
      </c>
      <c r="S1176" s="629"/>
    </row>
    <row r="1177" spans="1:19" ht="15" x14ac:dyDescent="0.25">
      <c r="A1177" s="621" t="s">
        <v>351</v>
      </c>
      <c r="B1177" s="466" t="s">
        <v>111</v>
      </c>
      <c r="C1177" s="631" t="s">
        <v>738</v>
      </c>
      <c r="D1177" s="632" t="s">
        <v>889</v>
      </c>
      <c r="E1177" s="474"/>
      <c r="F1177" s="469" t="s">
        <v>112</v>
      </c>
      <c r="G1177" s="470" t="s">
        <v>1802</v>
      </c>
      <c r="H1177" s="637" t="s">
        <v>1797</v>
      </c>
      <c r="I1177" s="471" t="s">
        <v>114</v>
      </c>
      <c r="J1177" s="471" t="s">
        <v>913</v>
      </c>
      <c r="K1177" s="469">
        <v>100</v>
      </c>
      <c r="L1177" s="473"/>
      <c r="M1177" s="623">
        <v>156</v>
      </c>
      <c r="N1177" s="623">
        <v>156</v>
      </c>
      <c r="O1177" s="624">
        <v>1</v>
      </c>
      <c r="P1177" s="624">
        <v>1</v>
      </c>
      <c r="Q1177" s="785">
        <f t="shared" si="19"/>
        <v>1</v>
      </c>
      <c r="R1177" s="468" t="s">
        <v>1718</v>
      </c>
      <c r="S1177" s="629"/>
    </row>
    <row r="1178" spans="1:19" ht="15" x14ac:dyDescent="0.25">
      <c r="A1178" s="621" t="s">
        <v>351</v>
      </c>
      <c r="B1178" s="466" t="s">
        <v>111</v>
      </c>
      <c r="C1178" s="631" t="s">
        <v>738</v>
      </c>
      <c r="D1178" s="632" t="s">
        <v>881</v>
      </c>
      <c r="E1178" s="474"/>
      <c r="F1178" s="469" t="s">
        <v>112</v>
      </c>
      <c r="G1178" s="470" t="s">
        <v>1802</v>
      </c>
      <c r="H1178" s="637" t="s">
        <v>1797</v>
      </c>
      <c r="I1178" s="471" t="s">
        <v>114</v>
      </c>
      <c r="J1178" s="471" t="s">
        <v>913</v>
      </c>
      <c r="K1178" s="469">
        <v>100</v>
      </c>
      <c r="L1178" s="473"/>
      <c r="M1178" s="623">
        <v>54</v>
      </c>
      <c r="N1178" s="623">
        <v>54</v>
      </c>
      <c r="O1178" s="624">
        <v>1</v>
      </c>
      <c r="P1178" s="624">
        <v>1</v>
      </c>
      <c r="Q1178" s="785">
        <f t="shared" si="19"/>
        <v>1</v>
      </c>
      <c r="R1178" s="468" t="s">
        <v>1718</v>
      </c>
      <c r="S1178" s="629"/>
    </row>
    <row r="1179" spans="1:19" ht="15" x14ac:dyDescent="0.25">
      <c r="A1179" s="621" t="s">
        <v>351</v>
      </c>
      <c r="B1179" s="466" t="s">
        <v>111</v>
      </c>
      <c r="C1179" s="631" t="s">
        <v>738</v>
      </c>
      <c r="D1179" s="632" t="s">
        <v>883</v>
      </c>
      <c r="E1179" s="474"/>
      <c r="F1179" s="469" t="s">
        <v>112</v>
      </c>
      <c r="G1179" s="470" t="s">
        <v>1802</v>
      </c>
      <c r="H1179" s="637" t="s">
        <v>1797</v>
      </c>
      <c r="I1179" s="471" t="s">
        <v>114</v>
      </c>
      <c r="J1179" s="471" t="s">
        <v>913</v>
      </c>
      <c r="K1179" s="469">
        <v>100</v>
      </c>
      <c r="L1179" s="473"/>
      <c r="M1179" s="623">
        <v>0</v>
      </c>
      <c r="N1179" s="623">
        <v>0</v>
      </c>
      <c r="O1179" s="624">
        <v>0</v>
      </c>
      <c r="P1179" s="624">
        <v>0</v>
      </c>
      <c r="Q1179" s="785" t="e">
        <f t="shared" si="19"/>
        <v>#DIV/0!</v>
      </c>
      <c r="R1179" s="468" t="s">
        <v>1719</v>
      </c>
      <c r="S1179" s="629"/>
    </row>
    <row r="1180" spans="1:19" ht="15" x14ac:dyDescent="0.25">
      <c r="A1180" s="621" t="s">
        <v>351</v>
      </c>
      <c r="B1180" s="466" t="s">
        <v>111</v>
      </c>
      <c r="C1180" s="631" t="s">
        <v>738</v>
      </c>
      <c r="D1180" s="632" t="s">
        <v>866</v>
      </c>
      <c r="E1180" s="474"/>
      <c r="F1180" s="469" t="s">
        <v>112</v>
      </c>
      <c r="G1180" s="470" t="s">
        <v>1802</v>
      </c>
      <c r="H1180" s="637" t="s">
        <v>1797</v>
      </c>
      <c r="I1180" s="471" t="s">
        <v>114</v>
      </c>
      <c r="J1180" s="471" t="s">
        <v>913</v>
      </c>
      <c r="K1180" s="469">
        <v>100</v>
      </c>
      <c r="L1180" s="473"/>
      <c r="M1180" s="623">
        <v>0</v>
      </c>
      <c r="N1180" s="623">
        <v>0</v>
      </c>
      <c r="O1180" s="624">
        <v>0</v>
      </c>
      <c r="P1180" s="624">
        <v>0</v>
      </c>
      <c r="Q1180" s="785" t="e">
        <f t="shared" si="19"/>
        <v>#DIV/0!</v>
      </c>
      <c r="R1180" s="468" t="s">
        <v>1719</v>
      </c>
      <c r="S1180" s="629"/>
    </row>
    <row r="1181" spans="1:19" ht="15" x14ac:dyDescent="0.25">
      <c r="A1181" s="621" t="s">
        <v>351</v>
      </c>
      <c r="B1181" s="466" t="s">
        <v>111</v>
      </c>
      <c r="C1181" s="631" t="s">
        <v>738</v>
      </c>
      <c r="D1181" s="632" t="s">
        <v>869</v>
      </c>
      <c r="E1181" s="474"/>
      <c r="F1181" s="469" t="s">
        <v>112</v>
      </c>
      <c r="G1181" s="470" t="s">
        <v>1802</v>
      </c>
      <c r="H1181" s="637" t="s">
        <v>1797</v>
      </c>
      <c r="I1181" s="471" t="s">
        <v>114</v>
      </c>
      <c r="J1181" s="471" t="s">
        <v>913</v>
      </c>
      <c r="K1181" s="469">
        <v>100</v>
      </c>
      <c r="L1181" s="473"/>
      <c r="M1181" s="623">
        <v>7</v>
      </c>
      <c r="N1181" s="623">
        <v>7</v>
      </c>
      <c r="O1181" s="624">
        <v>1</v>
      </c>
      <c r="P1181" s="624">
        <v>1</v>
      </c>
      <c r="Q1181" s="785">
        <f t="shared" si="19"/>
        <v>1</v>
      </c>
      <c r="R1181" s="468" t="s">
        <v>1718</v>
      </c>
      <c r="S1181" s="629"/>
    </row>
    <row r="1182" spans="1:19" ht="15" x14ac:dyDescent="0.25">
      <c r="A1182" s="621" t="s">
        <v>351</v>
      </c>
      <c r="B1182" s="466" t="s">
        <v>111</v>
      </c>
      <c r="C1182" s="631" t="s">
        <v>101</v>
      </c>
      <c r="D1182" s="632" t="s">
        <v>889</v>
      </c>
      <c r="E1182" s="474"/>
      <c r="F1182" s="469" t="s">
        <v>112</v>
      </c>
      <c r="G1182" s="470" t="s">
        <v>1802</v>
      </c>
      <c r="H1182" s="637" t="s">
        <v>1797</v>
      </c>
      <c r="I1182" s="471" t="s">
        <v>114</v>
      </c>
      <c r="J1182" s="471" t="s">
        <v>913</v>
      </c>
      <c r="K1182" s="469">
        <v>100</v>
      </c>
      <c r="L1182" s="473"/>
      <c r="M1182" s="623">
        <v>112</v>
      </c>
      <c r="N1182" s="623">
        <v>112</v>
      </c>
      <c r="O1182" s="624">
        <v>1</v>
      </c>
      <c r="P1182" s="624">
        <v>1</v>
      </c>
      <c r="Q1182" s="785">
        <f t="shared" si="19"/>
        <v>1</v>
      </c>
      <c r="R1182" s="468" t="s">
        <v>1718</v>
      </c>
      <c r="S1182" s="629"/>
    </row>
    <row r="1183" spans="1:19" ht="15" x14ac:dyDescent="0.25">
      <c r="A1183" s="621" t="s">
        <v>351</v>
      </c>
      <c r="B1183" s="466" t="s">
        <v>111</v>
      </c>
      <c r="C1183" s="631" t="s">
        <v>101</v>
      </c>
      <c r="D1183" s="632" t="s">
        <v>881</v>
      </c>
      <c r="E1183" s="474"/>
      <c r="F1183" s="469" t="s">
        <v>112</v>
      </c>
      <c r="G1183" s="470" t="s">
        <v>1802</v>
      </c>
      <c r="H1183" s="637" t="s">
        <v>1797</v>
      </c>
      <c r="I1183" s="471" t="s">
        <v>114</v>
      </c>
      <c r="J1183" s="471" t="s">
        <v>913</v>
      </c>
      <c r="K1183" s="469">
        <v>100</v>
      </c>
      <c r="L1183" s="473"/>
      <c r="M1183" s="623">
        <v>9</v>
      </c>
      <c r="N1183" s="623">
        <v>9</v>
      </c>
      <c r="O1183" s="624">
        <v>1</v>
      </c>
      <c r="P1183" s="624">
        <v>1</v>
      </c>
      <c r="Q1183" s="785">
        <f t="shared" si="19"/>
        <v>1</v>
      </c>
      <c r="R1183" s="468" t="s">
        <v>1718</v>
      </c>
      <c r="S1183" s="629"/>
    </row>
    <row r="1184" spans="1:19" ht="15" x14ac:dyDescent="0.25">
      <c r="A1184" s="621" t="s">
        <v>351</v>
      </c>
      <c r="B1184" s="466" t="s">
        <v>111</v>
      </c>
      <c r="C1184" s="631" t="s">
        <v>101</v>
      </c>
      <c r="D1184" s="632" t="s">
        <v>883</v>
      </c>
      <c r="E1184" s="474"/>
      <c r="F1184" s="469" t="s">
        <v>112</v>
      </c>
      <c r="G1184" s="470" t="s">
        <v>1802</v>
      </c>
      <c r="H1184" s="637" t="s">
        <v>1797</v>
      </c>
      <c r="I1184" s="471" t="s">
        <v>114</v>
      </c>
      <c r="J1184" s="471" t="s">
        <v>913</v>
      </c>
      <c r="K1184" s="469">
        <v>100</v>
      </c>
      <c r="L1184" s="473"/>
      <c r="M1184" s="623">
        <v>0</v>
      </c>
      <c r="N1184" s="623">
        <v>0</v>
      </c>
      <c r="O1184" s="624">
        <v>0</v>
      </c>
      <c r="P1184" s="624">
        <v>0</v>
      </c>
      <c r="Q1184" s="785" t="e">
        <f t="shared" si="19"/>
        <v>#DIV/0!</v>
      </c>
      <c r="R1184" s="468" t="s">
        <v>1719</v>
      </c>
      <c r="S1184" s="629"/>
    </row>
    <row r="1185" spans="1:19" ht="15" x14ac:dyDescent="0.25">
      <c r="A1185" s="621" t="s">
        <v>351</v>
      </c>
      <c r="B1185" s="466" t="s">
        <v>111</v>
      </c>
      <c r="C1185" s="631" t="s">
        <v>101</v>
      </c>
      <c r="D1185" s="632" t="s">
        <v>866</v>
      </c>
      <c r="E1185" s="474"/>
      <c r="F1185" s="469" t="s">
        <v>112</v>
      </c>
      <c r="G1185" s="470" t="s">
        <v>1802</v>
      </c>
      <c r="H1185" s="637" t="s">
        <v>1797</v>
      </c>
      <c r="I1185" s="471" t="s">
        <v>114</v>
      </c>
      <c r="J1185" s="471" t="s">
        <v>913</v>
      </c>
      <c r="K1185" s="469">
        <v>100</v>
      </c>
      <c r="L1185" s="473"/>
      <c r="M1185" s="623">
        <v>13</v>
      </c>
      <c r="N1185" s="623">
        <v>13</v>
      </c>
      <c r="O1185" s="624">
        <v>1</v>
      </c>
      <c r="P1185" s="624">
        <v>1</v>
      </c>
      <c r="Q1185" s="785">
        <f t="shared" si="19"/>
        <v>1</v>
      </c>
      <c r="R1185" s="468" t="s">
        <v>1718</v>
      </c>
      <c r="S1185" s="629"/>
    </row>
    <row r="1186" spans="1:19" ht="15" x14ac:dyDescent="0.25">
      <c r="A1186" s="621" t="s">
        <v>351</v>
      </c>
      <c r="B1186" s="466" t="s">
        <v>111</v>
      </c>
      <c r="C1186" s="631" t="s">
        <v>101</v>
      </c>
      <c r="D1186" s="632" t="s">
        <v>869</v>
      </c>
      <c r="E1186" s="474"/>
      <c r="F1186" s="469" t="s">
        <v>112</v>
      </c>
      <c r="G1186" s="470" t="s">
        <v>1802</v>
      </c>
      <c r="H1186" s="637" t="s">
        <v>1797</v>
      </c>
      <c r="I1186" s="471" t="s">
        <v>114</v>
      </c>
      <c r="J1186" s="471" t="s">
        <v>913</v>
      </c>
      <c r="K1186" s="469">
        <v>100</v>
      </c>
      <c r="L1186" s="473"/>
      <c r="M1186" s="623">
        <v>0</v>
      </c>
      <c r="N1186" s="623">
        <v>0</v>
      </c>
      <c r="O1186" s="624">
        <v>0</v>
      </c>
      <c r="P1186" s="624">
        <v>0</v>
      </c>
      <c r="Q1186" s="785" t="e">
        <f t="shared" si="19"/>
        <v>#DIV/0!</v>
      </c>
      <c r="R1186" s="468" t="s">
        <v>1719</v>
      </c>
      <c r="S1186" s="629"/>
    </row>
    <row r="1187" spans="1:19" ht="15" x14ac:dyDescent="0.25">
      <c r="A1187" s="621" t="s">
        <v>351</v>
      </c>
      <c r="B1187" s="466" t="s">
        <v>111</v>
      </c>
      <c r="C1187" s="631" t="s">
        <v>885</v>
      </c>
      <c r="D1187" s="632" t="s">
        <v>889</v>
      </c>
      <c r="E1187" s="474"/>
      <c r="F1187" s="469" t="s">
        <v>112</v>
      </c>
      <c r="G1187" s="470" t="s">
        <v>1802</v>
      </c>
      <c r="H1187" s="637" t="s">
        <v>1797</v>
      </c>
      <c r="I1187" s="471" t="s">
        <v>114</v>
      </c>
      <c r="J1187" s="471" t="s">
        <v>913</v>
      </c>
      <c r="K1187" s="469">
        <v>100</v>
      </c>
      <c r="L1187" s="473"/>
      <c r="M1187" s="623">
        <v>0</v>
      </c>
      <c r="N1187" s="623">
        <v>0</v>
      </c>
      <c r="O1187" s="624">
        <v>0</v>
      </c>
      <c r="P1187" s="624">
        <v>0</v>
      </c>
      <c r="Q1187" s="785" t="e">
        <f t="shared" si="19"/>
        <v>#DIV/0!</v>
      </c>
      <c r="R1187" s="468" t="s">
        <v>1719</v>
      </c>
      <c r="S1187" s="629"/>
    </row>
    <row r="1188" spans="1:19" ht="15" x14ac:dyDescent="0.25">
      <c r="A1188" s="621" t="s">
        <v>351</v>
      </c>
      <c r="B1188" s="466" t="s">
        <v>111</v>
      </c>
      <c r="C1188" s="631" t="s">
        <v>885</v>
      </c>
      <c r="D1188" s="632" t="s">
        <v>881</v>
      </c>
      <c r="E1188" s="474"/>
      <c r="F1188" s="469" t="s">
        <v>112</v>
      </c>
      <c r="G1188" s="470" t="s">
        <v>1802</v>
      </c>
      <c r="H1188" s="637" t="s">
        <v>1797</v>
      </c>
      <c r="I1188" s="471" t="s">
        <v>114</v>
      </c>
      <c r="J1188" s="471" t="s">
        <v>913</v>
      </c>
      <c r="K1188" s="469">
        <v>100</v>
      </c>
      <c r="L1188" s="473"/>
      <c r="M1188" s="623">
        <v>5</v>
      </c>
      <c r="N1188" s="623">
        <v>5</v>
      </c>
      <c r="O1188" s="624">
        <v>1</v>
      </c>
      <c r="P1188" s="624">
        <v>1</v>
      </c>
      <c r="Q1188" s="785">
        <f t="shared" si="19"/>
        <v>1</v>
      </c>
      <c r="R1188" s="468" t="s">
        <v>1718</v>
      </c>
      <c r="S1188" s="629"/>
    </row>
    <row r="1189" spans="1:19" ht="15" x14ac:dyDescent="0.25">
      <c r="A1189" s="621" t="s">
        <v>351</v>
      </c>
      <c r="B1189" s="466" t="s">
        <v>111</v>
      </c>
      <c r="C1189" s="631" t="s">
        <v>885</v>
      </c>
      <c r="D1189" s="632" t="s">
        <v>883</v>
      </c>
      <c r="E1189" s="474"/>
      <c r="F1189" s="469" t="s">
        <v>112</v>
      </c>
      <c r="G1189" s="470" t="s">
        <v>1802</v>
      </c>
      <c r="H1189" s="637" t="s">
        <v>1797</v>
      </c>
      <c r="I1189" s="471" t="s">
        <v>114</v>
      </c>
      <c r="J1189" s="471" t="s">
        <v>913</v>
      </c>
      <c r="K1189" s="469">
        <v>100</v>
      </c>
      <c r="L1189" s="473"/>
      <c r="M1189" s="623">
        <v>5</v>
      </c>
      <c r="N1189" s="623">
        <v>5</v>
      </c>
      <c r="O1189" s="624">
        <v>1</v>
      </c>
      <c r="P1189" s="624">
        <v>1</v>
      </c>
      <c r="Q1189" s="785">
        <f t="shared" si="19"/>
        <v>1</v>
      </c>
      <c r="R1189" s="468" t="s">
        <v>1718</v>
      </c>
      <c r="S1189" s="629"/>
    </row>
    <row r="1190" spans="1:19" ht="15" x14ac:dyDescent="0.25">
      <c r="A1190" s="621" t="s">
        <v>351</v>
      </c>
      <c r="B1190" s="466" t="s">
        <v>111</v>
      </c>
      <c r="C1190" s="631" t="s">
        <v>885</v>
      </c>
      <c r="D1190" s="632" t="s">
        <v>866</v>
      </c>
      <c r="E1190" s="474"/>
      <c r="F1190" s="469" t="s">
        <v>112</v>
      </c>
      <c r="G1190" s="470" t="s">
        <v>1802</v>
      </c>
      <c r="H1190" s="637" t="s">
        <v>1797</v>
      </c>
      <c r="I1190" s="471" t="s">
        <v>114</v>
      </c>
      <c r="J1190" s="471" t="s">
        <v>913</v>
      </c>
      <c r="K1190" s="469">
        <v>100</v>
      </c>
      <c r="L1190" s="473"/>
      <c r="M1190" s="623">
        <v>0</v>
      </c>
      <c r="N1190" s="623">
        <v>0</v>
      </c>
      <c r="O1190" s="624">
        <v>0</v>
      </c>
      <c r="P1190" s="624">
        <v>0</v>
      </c>
      <c r="Q1190" s="785" t="e">
        <f t="shared" si="19"/>
        <v>#DIV/0!</v>
      </c>
      <c r="R1190" s="468" t="s">
        <v>1719</v>
      </c>
      <c r="S1190" s="629"/>
    </row>
    <row r="1191" spans="1:19" ht="15" x14ac:dyDescent="0.25">
      <c r="A1191" s="621" t="s">
        <v>351</v>
      </c>
      <c r="B1191" s="466" t="s">
        <v>111</v>
      </c>
      <c r="C1191" s="631" t="s">
        <v>885</v>
      </c>
      <c r="D1191" s="632" t="s">
        <v>869</v>
      </c>
      <c r="E1191" s="474"/>
      <c r="F1191" s="469" t="s">
        <v>112</v>
      </c>
      <c r="G1191" s="470" t="s">
        <v>1802</v>
      </c>
      <c r="H1191" s="637" t="s">
        <v>1797</v>
      </c>
      <c r="I1191" s="471" t="s">
        <v>114</v>
      </c>
      <c r="J1191" s="471" t="s">
        <v>913</v>
      </c>
      <c r="K1191" s="469">
        <v>100</v>
      </c>
      <c r="L1191" s="473"/>
      <c r="M1191" s="623">
        <v>12</v>
      </c>
      <c r="N1191" s="623">
        <v>12</v>
      </c>
      <c r="O1191" s="624">
        <v>1</v>
      </c>
      <c r="P1191" s="624">
        <v>1</v>
      </c>
      <c r="Q1191" s="785">
        <f t="shared" si="19"/>
        <v>1</v>
      </c>
      <c r="R1191" s="468" t="s">
        <v>1718</v>
      </c>
      <c r="S1191" s="629"/>
    </row>
    <row r="1192" spans="1:19" ht="15" x14ac:dyDescent="0.25">
      <c r="A1192" s="621" t="s">
        <v>351</v>
      </c>
      <c r="B1192" s="466" t="s">
        <v>111</v>
      </c>
      <c r="C1192" s="631" t="s">
        <v>885</v>
      </c>
      <c r="D1192" s="632" t="s">
        <v>887</v>
      </c>
      <c r="E1192" s="474"/>
      <c r="F1192" s="469" t="s">
        <v>112</v>
      </c>
      <c r="G1192" s="470" t="s">
        <v>1802</v>
      </c>
      <c r="H1192" s="637" t="s">
        <v>1797</v>
      </c>
      <c r="I1192" s="471" t="s">
        <v>114</v>
      </c>
      <c r="J1192" s="471" t="s">
        <v>913</v>
      </c>
      <c r="K1192" s="469">
        <v>100</v>
      </c>
      <c r="L1192" s="473"/>
      <c r="M1192" s="623">
        <v>20</v>
      </c>
      <c r="N1192" s="623">
        <v>20</v>
      </c>
      <c r="O1192" s="624">
        <v>1</v>
      </c>
      <c r="P1192" s="624">
        <v>1</v>
      </c>
      <c r="Q1192" s="785">
        <f t="shared" si="19"/>
        <v>1</v>
      </c>
      <c r="R1192" s="468" t="s">
        <v>1718</v>
      </c>
      <c r="S1192" s="629"/>
    </row>
    <row r="1193" spans="1:19" ht="15" x14ac:dyDescent="0.25">
      <c r="A1193" s="621" t="s">
        <v>351</v>
      </c>
      <c r="B1193" s="466" t="s">
        <v>111</v>
      </c>
      <c r="C1193" s="631" t="s">
        <v>904</v>
      </c>
      <c r="D1193" s="632" t="s">
        <v>881</v>
      </c>
      <c r="E1193" s="474"/>
      <c r="F1193" s="469" t="s">
        <v>112</v>
      </c>
      <c r="G1193" s="470" t="s">
        <v>1802</v>
      </c>
      <c r="H1193" s="637" t="s">
        <v>1797</v>
      </c>
      <c r="I1193" s="471" t="s">
        <v>114</v>
      </c>
      <c r="J1193" s="471" t="s">
        <v>913</v>
      </c>
      <c r="K1193" s="469">
        <v>100</v>
      </c>
      <c r="L1193" s="473"/>
      <c r="M1193" s="623">
        <v>0</v>
      </c>
      <c r="N1193" s="623">
        <v>0</v>
      </c>
      <c r="O1193" s="624">
        <v>0</v>
      </c>
      <c r="P1193" s="624">
        <v>0</v>
      </c>
      <c r="Q1193" s="785" t="e">
        <f t="shared" si="19"/>
        <v>#DIV/0!</v>
      </c>
      <c r="R1193" s="468" t="s">
        <v>1719</v>
      </c>
      <c r="S1193" s="629"/>
    </row>
    <row r="1194" spans="1:19" ht="15" x14ac:dyDescent="0.25">
      <c r="A1194" s="621" t="s">
        <v>351</v>
      </c>
      <c r="B1194" s="466" t="s">
        <v>111</v>
      </c>
      <c r="C1194" s="631" t="s">
        <v>904</v>
      </c>
      <c r="D1194" s="632" t="s">
        <v>883</v>
      </c>
      <c r="E1194" s="474"/>
      <c r="F1194" s="469" t="s">
        <v>112</v>
      </c>
      <c r="G1194" s="470" t="s">
        <v>1802</v>
      </c>
      <c r="H1194" s="637" t="s">
        <v>1797</v>
      </c>
      <c r="I1194" s="471" t="s">
        <v>114</v>
      </c>
      <c r="J1194" s="471" t="s">
        <v>913</v>
      </c>
      <c r="K1194" s="469">
        <v>100</v>
      </c>
      <c r="L1194" s="473"/>
      <c r="M1194" s="623">
        <v>1</v>
      </c>
      <c r="N1194" s="623">
        <v>1</v>
      </c>
      <c r="O1194" s="624">
        <v>1</v>
      </c>
      <c r="P1194" s="624">
        <v>1</v>
      </c>
      <c r="Q1194" s="785">
        <f t="shared" si="19"/>
        <v>1</v>
      </c>
      <c r="R1194" s="468" t="s">
        <v>1718</v>
      </c>
      <c r="S1194" s="629"/>
    </row>
    <row r="1195" spans="1:19" ht="15" x14ac:dyDescent="0.25">
      <c r="A1195" s="621" t="s">
        <v>351</v>
      </c>
      <c r="B1195" s="466" t="s">
        <v>111</v>
      </c>
      <c r="C1195" s="631" t="s">
        <v>740</v>
      </c>
      <c r="D1195" s="632" t="s">
        <v>889</v>
      </c>
      <c r="E1195" s="474"/>
      <c r="F1195" s="469" t="s">
        <v>112</v>
      </c>
      <c r="G1195" s="470" t="s">
        <v>1802</v>
      </c>
      <c r="H1195" s="637" t="s">
        <v>1797</v>
      </c>
      <c r="I1195" s="471" t="s">
        <v>114</v>
      </c>
      <c r="J1195" s="471" t="s">
        <v>913</v>
      </c>
      <c r="K1195" s="469">
        <v>100</v>
      </c>
      <c r="L1195" s="473"/>
      <c r="M1195" s="623">
        <v>37</v>
      </c>
      <c r="N1195" s="623">
        <v>37</v>
      </c>
      <c r="O1195" s="624">
        <v>1</v>
      </c>
      <c r="P1195" s="624">
        <v>1</v>
      </c>
      <c r="Q1195" s="785">
        <f t="shared" si="19"/>
        <v>1</v>
      </c>
      <c r="R1195" s="468" t="s">
        <v>1718</v>
      </c>
      <c r="S1195" s="629"/>
    </row>
    <row r="1196" spans="1:19" ht="15" x14ac:dyDescent="0.25">
      <c r="A1196" s="621" t="s">
        <v>351</v>
      </c>
      <c r="B1196" s="466" t="s">
        <v>111</v>
      </c>
      <c r="C1196" s="631" t="s">
        <v>740</v>
      </c>
      <c r="D1196" s="632" t="s">
        <v>881</v>
      </c>
      <c r="E1196" s="474"/>
      <c r="F1196" s="469" t="s">
        <v>112</v>
      </c>
      <c r="G1196" s="470" t="s">
        <v>1802</v>
      </c>
      <c r="H1196" s="637" t="s">
        <v>1797</v>
      </c>
      <c r="I1196" s="471" t="s">
        <v>114</v>
      </c>
      <c r="J1196" s="471" t="s">
        <v>913</v>
      </c>
      <c r="K1196" s="469">
        <v>100</v>
      </c>
      <c r="L1196" s="473"/>
      <c r="M1196" s="623">
        <v>4</v>
      </c>
      <c r="N1196" s="623">
        <v>4</v>
      </c>
      <c r="O1196" s="624">
        <v>1</v>
      </c>
      <c r="P1196" s="624">
        <v>1</v>
      </c>
      <c r="Q1196" s="785">
        <f t="shared" si="19"/>
        <v>1</v>
      </c>
      <c r="R1196" s="468" t="s">
        <v>1718</v>
      </c>
      <c r="S1196" s="629"/>
    </row>
    <row r="1197" spans="1:19" ht="15" x14ac:dyDescent="0.25">
      <c r="A1197" s="621" t="s">
        <v>351</v>
      </c>
      <c r="B1197" s="466" t="s">
        <v>111</v>
      </c>
      <c r="C1197" s="631" t="s">
        <v>740</v>
      </c>
      <c r="D1197" s="632" t="s">
        <v>883</v>
      </c>
      <c r="E1197" s="474"/>
      <c r="F1197" s="469" t="s">
        <v>112</v>
      </c>
      <c r="G1197" s="470" t="s">
        <v>1802</v>
      </c>
      <c r="H1197" s="637" t="s">
        <v>1797</v>
      </c>
      <c r="I1197" s="471" t="s">
        <v>114</v>
      </c>
      <c r="J1197" s="471" t="s">
        <v>913</v>
      </c>
      <c r="K1197" s="469">
        <v>100</v>
      </c>
      <c r="L1197" s="473"/>
      <c r="M1197" s="623">
        <v>0</v>
      </c>
      <c r="N1197" s="623">
        <v>0</v>
      </c>
      <c r="O1197" s="624">
        <v>0</v>
      </c>
      <c r="P1197" s="624">
        <v>0</v>
      </c>
      <c r="Q1197" s="785" t="e">
        <f t="shared" si="19"/>
        <v>#DIV/0!</v>
      </c>
      <c r="R1197" s="468" t="s">
        <v>1719</v>
      </c>
      <c r="S1197" s="629"/>
    </row>
    <row r="1198" spans="1:19" ht="15" x14ac:dyDescent="0.25">
      <c r="A1198" s="621" t="s">
        <v>351</v>
      </c>
      <c r="B1198" s="466" t="s">
        <v>111</v>
      </c>
      <c r="C1198" s="631" t="s">
        <v>894</v>
      </c>
      <c r="D1198" s="632" t="s">
        <v>889</v>
      </c>
      <c r="E1198" s="474"/>
      <c r="F1198" s="469" t="s">
        <v>112</v>
      </c>
      <c r="G1198" s="470" t="s">
        <v>1802</v>
      </c>
      <c r="H1198" s="637" t="s">
        <v>1797</v>
      </c>
      <c r="I1198" s="471" t="s">
        <v>114</v>
      </c>
      <c r="J1198" s="471" t="s">
        <v>913</v>
      </c>
      <c r="K1198" s="469">
        <v>100</v>
      </c>
      <c r="L1198" s="473"/>
      <c r="M1198" s="623">
        <v>543</v>
      </c>
      <c r="N1198" s="623">
        <v>543</v>
      </c>
      <c r="O1198" s="624">
        <v>1</v>
      </c>
      <c r="P1198" s="624">
        <v>1</v>
      </c>
      <c r="Q1198" s="785">
        <f t="shared" si="19"/>
        <v>1</v>
      </c>
      <c r="R1198" s="468" t="s">
        <v>1718</v>
      </c>
      <c r="S1198" s="629"/>
    </row>
    <row r="1199" spans="1:19" ht="15" x14ac:dyDescent="0.25">
      <c r="A1199" s="621" t="s">
        <v>351</v>
      </c>
      <c r="B1199" s="466" t="s">
        <v>111</v>
      </c>
      <c r="C1199" s="631" t="s">
        <v>894</v>
      </c>
      <c r="D1199" s="632" t="s">
        <v>881</v>
      </c>
      <c r="E1199" s="474"/>
      <c r="F1199" s="469" t="s">
        <v>112</v>
      </c>
      <c r="G1199" s="470" t="s">
        <v>1802</v>
      </c>
      <c r="H1199" s="637" t="s">
        <v>1797</v>
      </c>
      <c r="I1199" s="471" t="s">
        <v>114</v>
      </c>
      <c r="J1199" s="471" t="s">
        <v>913</v>
      </c>
      <c r="K1199" s="469">
        <v>100</v>
      </c>
      <c r="L1199" s="473"/>
      <c r="M1199" s="623">
        <v>78</v>
      </c>
      <c r="N1199" s="623">
        <v>78</v>
      </c>
      <c r="O1199" s="624">
        <v>1</v>
      </c>
      <c r="P1199" s="624">
        <v>1</v>
      </c>
      <c r="Q1199" s="785">
        <f t="shared" si="19"/>
        <v>1</v>
      </c>
      <c r="R1199" s="468" t="s">
        <v>1718</v>
      </c>
      <c r="S1199" s="629"/>
    </row>
    <row r="1200" spans="1:19" ht="15" x14ac:dyDescent="0.25">
      <c r="A1200" s="621" t="s">
        <v>351</v>
      </c>
      <c r="B1200" s="466" t="s">
        <v>111</v>
      </c>
      <c r="C1200" s="631" t="s">
        <v>894</v>
      </c>
      <c r="D1200" s="632" t="s">
        <v>883</v>
      </c>
      <c r="E1200" s="474"/>
      <c r="F1200" s="469" t="s">
        <v>112</v>
      </c>
      <c r="G1200" s="470" t="s">
        <v>1802</v>
      </c>
      <c r="H1200" s="637" t="s">
        <v>1797</v>
      </c>
      <c r="I1200" s="471" t="s">
        <v>114</v>
      </c>
      <c r="J1200" s="471" t="s">
        <v>913</v>
      </c>
      <c r="K1200" s="469">
        <v>100</v>
      </c>
      <c r="L1200" s="473"/>
      <c r="M1200" s="623">
        <v>25</v>
      </c>
      <c r="N1200" s="623">
        <v>25</v>
      </c>
      <c r="O1200" s="624">
        <v>1</v>
      </c>
      <c r="P1200" s="624">
        <v>1</v>
      </c>
      <c r="Q1200" s="785">
        <f t="shared" si="19"/>
        <v>1</v>
      </c>
      <c r="R1200" s="468" t="s">
        <v>1718</v>
      </c>
      <c r="S1200" s="629"/>
    </row>
    <row r="1201" spans="1:19" ht="15" x14ac:dyDescent="0.25">
      <c r="A1201" s="621" t="s">
        <v>351</v>
      </c>
      <c r="B1201" s="466" t="s">
        <v>111</v>
      </c>
      <c r="C1201" s="631" t="s">
        <v>894</v>
      </c>
      <c r="D1201" s="632" t="s">
        <v>869</v>
      </c>
      <c r="E1201" s="474"/>
      <c r="F1201" s="469" t="s">
        <v>112</v>
      </c>
      <c r="G1201" s="470" t="s">
        <v>1802</v>
      </c>
      <c r="H1201" s="637" t="s">
        <v>1797</v>
      </c>
      <c r="I1201" s="471" t="s">
        <v>114</v>
      </c>
      <c r="J1201" s="471" t="s">
        <v>913</v>
      </c>
      <c r="K1201" s="469">
        <v>100</v>
      </c>
      <c r="L1201" s="473"/>
      <c r="M1201" s="623">
        <v>0</v>
      </c>
      <c r="N1201" s="623">
        <v>0</v>
      </c>
      <c r="O1201" s="624">
        <v>0</v>
      </c>
      <c r="P1201" s="624">
        <v>0</v>
      </c>
      <c r="Q1201" s="785" t="e">
        <f t="shared" si="19"/>
        <v>#DIV/0!</v>
      </c>
      <c r="R1201" s="468" t="s">
        <v>1719</v>
      </c>
      <c r="S1201" s="629"/>
    </row>
  </sheetData>
  <pageMargins left="0.25" right="0.25" top="0.75" bottom="0.75" header="0.3" footer="0.3"/>
  <pageSetup paperSize="9" scale="42" firstPageNumber="0" orientation="landscape" r:id="rId1"/>
  <headerFooter alignWithMargins="0">
    <oddHeader>&amp;C&amp;"Times New Roman,Normal"&amp;12&amp;A</oddHeader>
    <oddFooter>&amp;C&amp;"Times New Roman,Normal"&amp;12Page &amp;P</odd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pageSetUpPr fitToPage="1"/>
  </sheetPr>
  <dimension ref="A1:S272"/>
  <sheetViews>
    <sheetView zoomScale="70" zoomScaleNormal="70" zoomScaleSheetLayoutView="100" workbookViewId="0">
      <selection activeCell="I9" sqref="I9"/>
    </sheetView>
  </sheetViews>
  <sheetFormatPr defaultColWidth="11.42578125" defaultRowHeight="12.75" x14ac:dyDescent="0.2"/>
  <cols>
    <col min="1" max="1" width="8.28515625" style="24" customWidth="1"/>
    <col min="2" max="2" width="24.140625" style="24" customWidth="1"/>
    <col min="3" max="3" width="21" style="24" customWidth="1"/>
    <col min="4" max="4" width="18.85546875" style="24" customWidth="1"/>
    <col min="5" max="5" width="18.42578125" style="24" customWidth="1"/>
    <col min="6" max="6" width="17.85546875" style="24" customWidth="1"/>
    <col min="7" max="7" width="24.140625" style="24" bestFit="1" customWidth="1"/>
    <col min="8" max="8" width="18.28515625" style="24" customWidth="1"/>
    <col min="9" max="9" width="15.140625" style="24" bestFit="1" customWidth="1"/>
    <col min="10" max="10" width="17.85546875" style="24" customWidth="1"/>
    <col min="11" max="11" width="21" style="24" customWidth="1"/>
    <col min="12" max="12" width="32.140625" style="24" customWidth="1"/>
    <col min="13" max="13" width="11.85546875" style="24" bestFit="1" customWidth="1"/>
    <col min="14" max="14" width="18.5703125" style="24" bestFit="1" customWidth="1"/>
    <col min="15" max="16" width="12.5703125" style="24" customWidth="1"/>
    <col min="17" max="17" width="13.28515625" style="24" bestFit="1" customWidth="1"/>
    <col min="18" max="18" width="11.42578125" style="24"/>
    <col min="19" max="19" width="11.42578125" style="641"/>
    <col min="20" max="16384" width="11.42578125" style="24"/>
  </cols>
  <sheetData>
    <row r="1" spans="1:19" ht="13.5" thickBot="1" x14ac:dyDescent="0.25">
      <c r="A1" s="451" t="s">
        <v>118</v>
      </c>
      <c r="B1" s="27"/>
      <c r="C1" s="27"/>
      <c r="D1" s="27"/>
      <c r="E1" s="27"/>
      <c r="F1" s="27"/>
      <c r="G1" s="27"/>
      <c r="H1" s="27"/>
      <c r="I1" s="27"/>
      <c r="J1" s="27"/>
      <c r="K1" s="27"/>
      <c r="L1" s="27"/>
      <c r="M1" s="27"/>
      <c r="N1" s="27"/>
      <c r="O1" s="27"/>
      <c r="P1" s="27"/>
      <c r="Q1" s="27"/>
      <c r="R1" s="27"/>
      <c r="S1" s="32"/>
    </row>
    <row r="2" spans="1:19" x14ac:dyDescent="0.2">
      <c r="A2" s="51"/>
      <c r="B2" s="25"/>
      <c r="C2" s="25"/>
      <c r="D2" s="25"/>
      <c r="E2" s="25"/>
      <c r="F2" s="25"/>
      <c r="G2" s="25"/>
      <c r="H2" s="25"/>
      <c r="I2" s="25"/>
      <c r="J2" s="25"/>
      <c r="K2" s="25"/>
      <c r="L2" s="25"/>
      <c r="M2" s="25"/>
      <c r="N2" s="25"/>
      <c r="O2" s="25"/>
      <c r="Q2" s="100" t="s">
        <v>56</v>
      </c>
      <c r="R2" s="212" t="s">
        <v>50</v>
      </c>
      <c r="S2" s="640"/>
    </row>
    <row r="3" spans="1:19" ht="13.5" thickBot="1" x14ac:dyDescent="0.25">
      <c r="A3" s="51"/>
      <c r="B3" s="25"/>
      <c r="C3" s="25"/>
      <c r="D3" s="25"/>
      <c r="E3" s="25"/>
      <c r="F3" s="25"/>
      <c r="G3" s="25"/>
      <c r="H3" s="25"/>
      <c r="I3" s="25"/>
      <c r="J3" s="25"/>
      <c r="K3" s="25"/>
      <c r="L3" s="25"/>
      <c r="M3" s="25"/>
      <c r="N3" s="25"/>
      <c r="O3" s="25"/>
      <c r="Q3" s="487" t="s">
        <v>55</v>
      </c>
      <c r="R3" s="488">
        <v>2018</v>
      </c>
      <c r="S3" s="640"/>
    </row>
    <row r="4" spans="1:19" ht="51.75" thickBot="1" x14ac:dyDescent="0.25">
      <c r="A4" s="106" t="s">
        <v>0</v>
      </c>
      <c r="B4" s="107" t="s">
        <v>119</v>
      </c>
      <c r="C4" s="108" t="s">
        <v>120</v>
      </c>
      <c r="D4" s="460" t="s">
        <v>105</v>
      </c>
      <c r="E4" s="109" t="s">
        <v>85</v>
      </c>
      <c r="F4" s="109" t="s">
        <v>121</v>
      </c>
      <c r="G4" s="463" t="s">
        <v>107</v>
      </c>
      <c r="H4" s="463" t="s">
        <v>67</v>
      </c>
      <c r="I4" s="459" t="s">
        <v>122</v>
      </c>
      <c r="J4" s="463" t="s">
        <v>9</v>
      </c>
      <c r="K4" s="613" t="s">
        <v>108</v>
      </c>
      <c r="L4" s="103" t="s">
        <v>4</v>
      </c>
      <c r="M4" s="168" t="s">
        <v>309</v>
      </c>
      <c r="N4" s="168" t="s">
        <v>310</v>
      </c>
      <c r="O4" s="459" t="s">
        <v>109</v>
      </c>
      <c r="P4" s="459" t="s">
        <v>311</v>
      </c>
      <c r="Q4" s="459" t="s">
        <v>312</v>
      </c>
      <c r="R4" s="459" t="s">
        <v>110</v>
      </c>
      <c r="S4" s="620"/>
    </row>
    <row r="5" spans="1:19" ht="63.75" x14ac:dyDescent="0.2">
      <c r="A5" s="239" t="s">
        <v>351</v>
      </c>
      <c r="B5" s="489" t="s">
        <v>1803</v>
      </c>
      <c r="C5" s="490" t="s">
        <v>1804</v>
      </c>
      <c r="D5" s="489" t="s">
        <v>112</v>
      </c>
      <c r="E5" s="489" t="s">
        <v>943</v>
      </c>
      <c r="F5" s="491" t="s">
        <v>944</v>
      </c>
      <c r="G5" s="489" t="s">
        <v>114</v>
      </c>
      <c r="H5" s="489" t="s">
        <v>79</v>
      </c>
      <c r="I5" s="468"/>
      <c r="J5" s="489" t="s">
        <v>913</v>
      </c>
      <c r="K5" s="492">
        <v>100</v>
      </c>
      <c r="L5" s="493" t="s">
        <v>976</v>
      </c>
      <c r="M5" s="468">
        <v>8</v>
      </c>
      <c r="N5" s="468">
        <v>7</v>
      </c>
      <c r="O5" s="494">
        <f>N5/M5</f>
        <v>0.875</v>
      </c>
      <c r="P5" s="494">
        <f>O5</f>
        <v>0.875</v>
      </c>
      <c r="Q5" s="786">
        <f>N5/(M5*K5/100)</f>
        <v>0.875</v>
      </c>
      <c r="R5" s="468"/>
      <c r="S5" s="629"/>
    </row>
    <row r="6" spans="1:19" ht="25.5" x14ac:dyDescent="0.2">
      <c r="A6" s="239" t="s">
        <v>351</v>
      </c>
      <c r="B6" s="489" t="s">
        <v>1803</v>
      </c>
      <c r="C6" s="490" t="s">
        <v>1804</v>
      </c>
      <c r="D6" s="489" t="s">
        <v>112</v>
      </c>
      <c r="E6" s="489" t="s">
        <v>943</v>
      </c>
      <c r="F6" s="491" t="s">
        <v>124</v>
      </c>
      <c r="G6" s="489" t="s">
        <v>945</v>
      </c>
      <c r="H6" s="489" t="s">
        <v>79</v>
      </c>
      <c r="I6" s="468"/>
      <c r="J6" s="489" t="s">
        <v>913</v>
      </c>
      <c r="K6" s="492">
        <v>33</v>
      </c>
      <c r="L6" s="495"/>
      <c r="M6" s="468">
        <v>8</v>
      </c>
      <c r="N6" s="468">
        <v>3</v>
      </c>
      <c r="O6" s="494">
        <f t="shared" ref="O6:O69" si="0">N6/M6</f>
        <v>0.375</v>
      </c>
      <c r="P6" s="494">
        <f t="shared" ref="P6:P69" si="1">O6</f>
        <v>0.375</v>
      </c>
      <c r="Q6" s="786">
        <f t="shared" ref="Q6:Q69" si="2">N6/(M6*K6/100)</f>
        <v>1.1363636363636362</v>
      </c>
      <c r="R6" s="468"/>
      <c r="S6" s="629"/>
    </row>
    <row r="7" spans="1:19" x14ac:dyDescent="0.2">
      <c r="A7" s="239" t="s">
        <v>351</v>
      </c>
      <c r="B7" s="489" t="s">
        <v>1803</v>
      </c>
      <c r="C7" s="490" t="s">
        <v>1804</v>
      </c>
      <c r="D7" s="489" t="s">
        <v>112</v>
      </c>
      <c r="E7" s="489" t="s">
        <v>115</v>
      </c>
      <c r="F7" s="491" t="s">
        <v>944</v>
      </c>
      <c r="G7" s="489" t="s">
        <v>945</v>
      </c>
      <c r="H7" s="489" t="s">
        <v>79</v>
      </c>
      <c r="I7" s="468"/>
      <c r="J7" s="489" t="s">
        <v>913</v>
      </c>
      <c r="K7" s="492">
        <v>25</v>
      </c>
      <c r="L7" s="495"/>
      <c r="M7" s="468">
        <v>8</v>
      </c>
      <c r="N7" s="468">
        <v>0</v>
      </c>
      <c r="O7" s="494">
        <f t="shared" si="0"/>
        <v>0</v>
      </c>
      <c r="P7" s="494">
        <f t="shared" si="1"/>
        <v>0</v>
      </c>
      <c r="Q7" s="786">
        <f t="shared" si="2"/>
        <v>0</v>
      </c>
      <c r="R7" s="468"/>
      <c r="S7" s="629"/>
    </row>
    <row r="8" spans="1:19" x14ac:dyDescent="0.2">
      <c r="A8" s="239" t="s">
        <v>351</v>
      </c>
      <c r="B8" s="489" t="s">
        <v>1803</v>
      </c>
      <c r="C8" s="490" t="s">
        <v>1804</v>
      </c>
      <c r="D8" s="489" t="s">
        <v>112</v>
      </c>
      <c r="E8" s="489" t="s">
        <v>115</v>
      </c>
      <c r="F8" s="491" t="s">
        <v>124</v>
      </c>
      <c r="G8" s="489" t="s">
        <v>945</v>
      </c>
      <c r="H8" s="489" t="s">
        <v>79</v>
      </c>
      <c r="I8" s="468"/>
      <c r="J8" s="489" t="s">
        <v>913</v>
      </c>
      <c r="K8" s="492">
        <v>33</v>
      </c>
      <c r="L8" s="495"/>
      <c r="M8" s="468">
        <v>8</v>
      </c>
      <c r="N8" s="468">
        <v>3</v>
      </c>
      <c r="O8" s="494">
        <f t="shared" si="0"/>
        <v>0.375</v>
      </c>
      <c r="P8" s="494">
        <f t="shared" si="1"/>
        <v>0.375</v>
      </c>
      <c r="Q8" s="786">
        <f t="shared" si="2"/>
        <v>1.1363636363636362</v>
      </c>
      <c r="R8" s="468"/>
      <c r="S8" s="629"/>
    </row>
    <row r="9" spans="1:19" ht="63.75" x14ac:dyDescent="0.2">
      <c r="A9" s="239" t="s">
        <v>351</v>
      </c>
      <c r="B9" s="489" t="s">
        <v>1803</v>
      </c>
      <c r="C9" s="490" t="s">
        <v>1804</v>
      </c>
      <c r="D9" s="489" t="s">
        <v>112</v>
      </c>
      <c r="E9" s="489" t="s">
        <v>946</v>
      </c>
      <c r="F9" s="491" t="s">
        <v>947</v>
      </c>
      <c r="G9" s="489" t="s">
        <v>945</v>
      </c>
      <c r="H9" s="489" t="s">
        <v>79</v>
      </c>
      <c r="I9" s="468"/>
      <c r="J9" s="489" t="s">
        <v>913</v>
      </c>
      <c r="K9" s="492">
        <v>25</v>
      </c>
      <c r="L9" s="493" t="s">
        <v>977</v>
      </c>
      <c r="M9" s="468">
        <v>8</v>
      </c>
      <c r="N9" s="468">
        <v>0</v>
      </c>
      <c r="O9" s="494">
        <f t="shared" si="0"/>
        <v>0</v>
      </c>
      <c r="P9" s="494">
        <f t="shared" si="1"/>
        <v>0</v>
      </c>
      <c r="Q9" s="786">
        <f t="shared" si="2"/>
        <v>0</v>
      </c>
      <c r="R9" s="468"/>
      <c r="S9" s="629"/>
    </row>
    <row r="10" spans="1:19" x14ac:dyDescent="0.2">
      <c r="A10" s="239" t="s">
        <v>351</v>
      </c>
      <c r="B10" s="489" t="s">
        <v>1803</v>
      </c>
      <c r="C10" s="490" t="s">
        <v>1804</v>
      </c>
      <c r="D10" s="489" t="s">
        <v>112</v>
      </c>
      <c r="E10" s="489" t="s">
        <v>946</v>
      </c>
      <c r="F10" s="491" t="s">
        <v>948</v>
      </c>
      <c r="G10" s="489" t="s">
        <v>945</v>
      </c>
      <c r="H10" s="489" t="s">
        <v>79</v>
      </c>
      <c r="I10" s="468"/>
      <c r="J10" s="489" t="s">
        <v>913</v>
      </c>
      <c r="K10" s="492">
        <v>33</v>
      </c>
      <c r="L10" s="495"/>
      <c r="M10" s="468">
        <v>8</v>
      </c>
      <c r="N10" s="468">
        <v>0</v>
      </c>
      <c r="O10" s="494">
        <f t="shared" si="0"/>
        <v>0</v>
      </c>
      <c r="P10" s="494">
        <f t="shared" si="1"/>
        <v>0</v>
      </c>
      <c r="Q10" s="786">
        <f t="shared" si="2"/>
        <v>0</v>
      </c>
      <c r="R10" s="468"/>
      <c r="S10" s="629"/>
    </row>
    <row r="11" spans="1:19" ht="25.5" x14ac:dyDescent="0.2">
      <c r="A11" s="239" t="s">
        <v>351</v>
      </c>
      <c r="B11" s="489" t="s">
        <v>1803</v>
      </c>
      <c r="C11" s="490" t="s">
        <v>1804</v>
      </c>
      <c r="D11" s="489" t="s">
        <v>112</v>
      </c>
      <c r="E11" s="489" t="s">
        <v>949</v>
      </c>
      <c r="F11" s="491" t="s">
        <v>948</v>
      </c>
      <c r="G11" s="489" t="s">
        <v>945</v>
      </c>
      <c r="H11" s="489" t="s">
        <v>79</v>
      </c>
      <c r="I11" s="468"/>
      <c r="J11" s="489" t="s">
        <v>913</v>
      </c>
      <c r="K11" s="492">
        <v>33</v>
      </c>
      <c r="L11" s="495"/>
      <c r="M11" s="468">
        <v>8</v>
      </c>
      <c r="N11" s="468">
        <v>0</v>
      </c>
      <c r="O11" s="494">
        <f t="shared" si="0"/>
        <v>0</v>
      </c>
      <c r="P11" s="494">
        <f t="shared" si="1"/>
        <v>0</v>
      </c>
      <c r="Q11" s="786">
        <f t="shared" si="2"/>
        <v>0</v>
      </c>
      <c r="R11" s="468"/>
      <c r="S11" s="629"/>
    </row>
    <row r="12" spans="1:19" ht="25.5" x14ac:dyDescent="0.2">
      <c r="A12" s="239" t="s">
        <v>351</v>
      </c>
      <c r="B12" s="489" t="s">
        <v>1803</v>
      </c>
      <c r="C12" s="490" t="s">
        <v>1804</v>
      </c>
      <c r="D12" s="489" t="s">
        <v>112</v>
      </c>
      <c r="E12" s="489" t="s">
        <v>949</v>
      </c>
      <c r="F12" s="491" t="s">
        <v>947</v>
      </c>
      <c r="G12" s="489" t="s">
        <v>945</v>
      </c>
      <c r="H12" s="489" t="s">
        <v>79</v>
      </c>
      <c r="I12" s="468"/>
      <c r="J12" s="489" t="s">
        <v>913</v>
      </c>
      <c r="K12" s="492">
        <v>25</v>
      </c>
      <c r="L12" s="495"/>
      <c r="M12" s="468">
        <v>8</v>
      </c>
      <c r="N12" s="468">
        <v>0</v>
      </c>
      <c r="O12" s="494">
        <f t="shared" si="0"/>
        <v>0</v>
      </c>
      <c r="P12" s="494">
        <f t="shared" si="1"/>
        <v>0</v>
      </c>
      <c r="Q12" s="786">
        <f t="shared" si="2"/>
        <v>0</v>
      </c>
      <c r="R12" s="468"/>
      <c r="S12" s="629"/>
    </row>
    <row r="13" spans="1:19" x14ac:dyDescent="0.2">
      <c r="A13" s="239" t="s">
        <v>351</v>
      </c>
      <c r="B13" s="489" t="s">
        <v>1803</v>
      </c>
      <c r="C13" s="490" t="s">
        <v>1804</v>
      </c>
      <c r="D13" s="489" t="s">
        <v>112</v>
      </c>
      <c r="E13" s="489" t="s">
        <v>125</v>
      </c>
      <c r="F13" s="491" t="s">
        <v>947</v>
      </c>
      <c r="G13" s="489" t="s">
        <v>945</v>
      </c>
      <c r="H13" s="489" t="s">
        <v>79</v>
      </c>
      <c r="I13" s="468"/>
      <c r="J13" s="489" t="s">
        <v>913</v>
      </c>
      <c r="K13" s="492">
        <v>25</v>
      </c>
      <c r="L13" s="495"/>
      <c r="M13" s="468">
        <v>8</v>
      </c>
      <c r="N13" s="468">
        <v>0</v>
      </c>
      <c r="O13" s="494">
        <f t="shared" si="0"/>
        <v>0</v>
      </c>
      <c r="P13" s="494">
        <f t="shared" si="1"/>
        <v>0</v>
      </c>
      <c r="Q13" s="786">
        <f t="shared" si="2"/>
        <v>0</v>
      </c>
      <c r="R13" s="468"/>
      <c r="S13" s="629"/>
    </row>
    <row r="14" spans="1:19" x14ac:dyDescent="0.2">
      <c r="A14" s="239" t="s">
        <v>351</v>
      </c>
      <c r="B14" s="489" t="s">
        <v>1803</v>
      </c>
      <c r="C14" s="490" t="s">
        <v>1804</v>
      </c>
      <c r="D14" s="489" t="s">
        <v>112</v>
      </c>
      <c r="E14" s="489" t="s">
        <v>950</v>
      </c>
      <c r="F14" s="491" t="s">
        <v>947</v>
      </c>
      <c r="G14" s="489" t="s">
        <v>114</v>
      </c>
      <c r="H14" s="489" t="s">
        <v>79</v>
      </c>
      <c r="I14" s="468"/>
      <c r="J14" s="489" t="s">
        <v>913</v>
      </c>
      <c r="K14" s="492">
        <v>100</v>
      </c>
      <c r="L14" s="495"/>
      <c r="M14" s="468">
        <v>8</v>
      </c>
      <c r="N14" s="468">
        <v>7</v>
      </c>
      <c r="O14" s="494">
        <f t="shared" si="0"/>
        <v>0.875</v>
      </c>
      <c r="P14" s="494">
        <f t="shared" si="1"/>
        <v>0.875</v>
      </c>
      <c r="Q14" s="786">
        <f t="shared" si="2"/>
        <v>0.875</v>
      </c>
      <c r="R14" s="468"/>
      <c r="S14" s="629"/>
    </row>
    <row r="15" spans="1:19" x14ac:dyDescent="0.2">
      <c r="A15" s="239" t="s">
        <v>351</v>
      </c>
      <c r="B15" s="489" t="s">
        <v>1803</v>
      </c>
      <c r="C15" s="490" t="s">
        <v>1804</v>
      </c>
      <c r="D15" s="489" t="s">
        <v>112</v>
      </c>
      <c r="E15" s="489" t="s">
        <v>951</v>
      </c>
      <c r="F15" s="491" t="s">
        <v>947</v>
      </c>
      <c r="G15" s="489" t="s">
        <v>114</v>
      </c>
      <c r="H15" s="489" t="s">
        <v>79</v>
      </c>
      <c r="I15" s="468"/>
      <c r="J15" s="489" t="s">
        <v>913</v>
      </c>
      <c r="K15" s="492">
        <v>100</v>
      </c>
      <c r="L15" s="495"/>
      <c r="M15" s="468">
        <v>8</v>
      </c>
      <c r="N15" s="468">
        <v>7</v>
      </c>
      <c r="O15" s="494">
        <f t="shared" si="0"/>
        <v>0.875</v>
      </c>
      <c r="P15" s="494">
        <f t="shared" si="1"/>
        <v>0.875</v>
      </c>
      <c r="Q15" s="786">
        <f t="shared" si="2"/>
        <v>0.875</v>
      </c>
      <c r="R15" s="468"/>
      <c r="S15" s="629"/>
    </row>
    <row r="16" spans="1:19" ht="25.5" x14ac:dyDescent="0.2">
      <c r="A16" s="239" t="s">
        <v>351</v>
      </c>
      <c r="B16" s="489" t="s">
        <v>1803</v>
      </c>
      <c r="C16" s="490" t="s">
        <v>1804</v>
      </c>
      <c r="D16" s="489" t="s">
        <v>112</v>
      </c>
      <c r="E16" s="489" t="s">
        <v>952</v>
      </c>
      <c r="F16" s="491" t="s">
        <v>947</v>
      </c>
      <c r="G16" s="489" t="s">
        <v>945</v>
      </c>
      <c r="H16" s="489" t="s">
        <v>79</v>
      </c>
      <c r="I16" s="468"/>
      <c r="J16" s="489" t="s">
        <v>913</v>
      </c>
      <c r="K16" s="492">
        <v>25</v>
      </c>
      <c r="L16" s="495"/>
      <c r="M16" s="468">
        <v>8</v>
      </c>
      <c r="N16" s="468">
        <v>0</v>
      </c>
      <c r="O16" s="494">
        <f t="shared" si="0"/>
        <v>0</v>
      </c>
      <c r="P16" s="494">
        <f t="shared" si="1"/>
        <v>0</v>
      </c>
      <c r="Q16" s="786">
        <f t="shared" si="2"/>
        <v>0</v>
      </c>
      <c r="R16" s="468"/>
      <c r="S16" s="629"/>
    </row>
    <row r="17" spans="1:19" ht="25.5" x14ac:dyDescent="0.2">
      <c r="A17" s="239" t="s">
        <v>351</v>
      </c>
      <c r="B17" s="489" t="s">
        <v>1803</v>
      </c>
      <c r="C17" s="490" t="s">
        <v>1804</v>
      </c>
      <c r="D17" s="489" t="s">
        <v>112</v>
      </c>
      <c r="E17" s="489" t="s">
        <v>953</v>
      </c>
      <c r="F17" s="496" t="s">
        <v>947</v>
      </c>
      <c r="G17" s="489" t="s">
        <v>945</v>
      </c>
      <c r="H17" s="489" t="s">
        <v>79</v>
      </c>
      <c r="I17" s="468"/>
      <c r="J17" s="489" t="s">
        <v>913</v>
      </c>
      <c r="K17" s="492">
        <v>25</v>
      </c>
      <c r="L17" s="495"/>
      <c r="M17" s="468">
        <v>8</v>
      </c>
      <c r="N17" s="468">
        <v>0</v>
      </c>
      <c r="O17" s="494">
        <f t="shared" si="0"/>
        <v>0</v>
      </c>
      <c r="P17" s="494">
        <f t="shared" si="1"/>
        <v>0</v>
      </c>
      <c r="Q17" s="786">
        <f t="shared" si="2"/>
        <v>0</v>
      </c>
      <c r="R17" s="468"/>
      <c r="S17" s="629"/>
    </row>
    <row r="18" spans="1:19" x14ac:dyDescent="0.2">
      <c r="A18" s="239" t="s">
        <v>351</v>
      </c>
      <c r="B18" s="489" t="s">
        <v>1803</v>
      </c>
      <c r="C18" s="490" t="s">
        <v>1804</v>
      </c>
      <c r="D18" s="489" t="s">
        <v>112</v>
      </c>
      <c r="E18" s="489" t="s">
        <v>954</v>
      </c>
      <c r="F18" s="496" t="s">
        <v>955</v>
      </c>
      <c r="G18" s="489" t="s">
        <v>114</v>
      </c>
      <c r="H18" s="489" t="s">
        <v>79</v>
      </c>
      <c r="I18" s="468"/>
      <c r="J18" s="489" t="s">
        <v>913</v>
      </c>
      <c r="K18" s="492">
        <v>100</v>
      </c>
      <c r="L18" s="495"/>
      <c r="M18" s="468">
        <v>8</v>
      </c>
      <c r="N18" s="468">
        <v>8</v>
      </c>
      <c r="O18" s="494">
        <f t="shared" si="0"/>
        <v>1</v>
      </c>
      <c r="P18" s="494">
        <f t="shared" si="1"/>
        <v>1</v>
      </c>
      <c r="Q18" s="786">
        <f t="shared" si="2"/>
        <v>1</v>
      </c>
      <c r="R18" s="468"/>
      <c r="S18" s="629"/>
    </row>
    <row r="19" spans="1:19" ht="25.5" x14ac:dyDescent="0.2">
      <c r="A19" s="239" t="s">
        <v>351</v>
      </c>
      <c r="B19" s="489" t="s">
        <v>1803</v>
      </c>
      <c r="C19" s="490" t="s">
        <v>1804</v>
      </c>
      <c r="D19" s="489" t="s">
        <v>112</v>
      </c>
      <c r="E19" s="489" t="s">
        <v>956</v>
      </c>
      <c r="F19" s="496" t="s">
        <v>955</v>
      </c>
      <c r="G19" s="489" t="s">
        <v>114</v>
      </c>
      <c r="H19" s="489" t="s">
        <v>79</v>
      </c>
      <c r="I19" s="468"/>
      <c r="J19" s="489" t="s">
        <v>913</v>
      </c>
      <c r="K19" s="492">
        <v>100</v>
      </c>
      <c r="L19" s="495"/>
      <c r="M19" s="468">
        <v>8</v>
      </c>
      <c r="N19" s="468">
        <v>8</v>
      </c>
      <c r="O19" s="494">
        <f t="shared" si="0"/>
        <v>1</v>
      </c>
      <c r="P19" s="494">
        <f t="shared" si="1"/>
        <v>1</v>
      </c>
      <c r="Q19" s="786">
        <f t="shared" si="2"/>
        <v>1</v>
      </c>
      <c r="R19" s="468"/>
      <c r="S19" s="629"/>
    </row>
    <row r="20" spans="1:19" ht="25.5" x14ac:dyDescent="0.2">
      <c r="A20" s="239" t="s">
        <v>351</v>
      </c>
      <c r="B20" s="489" t="s">
        <v>1803</v>
      </c>
      <c r="C20" s="490" t="s">
        <v>1804</v>
      </c>
      <c r="D20" s="489" t="s">
        <v>112</v>
      </c>
      <c r="E20" s="489" t="s">
        <v>957</v>
      </c>
      <c r="F20" s="496" t="s">
        <v>124</v>
      </c>
      <c r="G20" s="489" t="s">
        <v>945</v>
      </c>
      <c r="H20" s="489" t="s">
        <v>79</v>
      </c>
      <c r="I20" s="468"/>
      <c r="J20" s="489" t="s">
        <v>913</v>
      </c>
      <c r="K20" s="492">
        <v>33</v>
      </c>
      <c r="L20" s="495"/>
      <c r="M20" s="468">
        <v>8</v>
      </c>
      <c r="N20" s="468">
        <v>1</v>
      </c>
      <c r="O20" s="494">
        <f t="shared" si="0"/>
        <v>0.125</v>
      </c>
      <c r="P20" s="494">
        <f t="shared" si="1"/>
        <v>0.125</v>
      </c>
      <c r="Q20" s="786">
        <f t="shared" si="2"/>
        <v>0.37878787878787878</v>
      </c>
      <c r="R20" s="468"/>
      <c r="S20" s="629"/>
    </row>
    <row r="21" spans="1:19" x14ac:dyDescent="0.2">
      <c r="A21" s="239" t="s">
        <v>351</v>
      </c>
      <c r="B21" s="489" t="s">
        <v>1803</v>
      </c>
      <c r="C21" s="490" t="s">
        <v>1804</v>
      </c>
      <c r="D21" s="489" t="s">
        <v>112</v>
      </c>
      <c r="E21" s="489" t="s">
        <v>958</v>
      </c>
      <c r="F21" s="496" t="s">
        <v>124</v>
      </c>
      <c r="G21" s="489" t="s">
        <v>945</v>
      </c>
      <c r="H21" s="489" t="s">
        <v>79</v>
      </c>
      <c r="I21" s="468"/>
      <c r="J21" s="489" t="s">
        <v>913</v>
      </c>
      <c r="K21" s="492">
        <v>33</v>
      </c>
      <c r="L21" s="495"/>
      <c r="M21" s="468">
        <v>8</v>
      </c>
      <c r="N21" s="468">
        <v>4</v>
      </c>
      <c r="O21" s="494">
        <f t="shared" si="0"/>
        <v>0.5</v>
      </c>
      <c r="P21" s="494">
        <f t="shared" si="1"/>
        <v>0.5</v>
      </c>
      <c r="Q21" s="786">
        <f t="shared" si="2"/>
        <v>1.5151515151515151</v>
      </c>
      <c r="R21" s="468"/>
      <c r="S21" s="629"/>
    </row>
    <row r="22" spans="1:19" x14ac:dyDescent="0.2">
      <c r="A22" s="239" t="s">
        <v>351</v>
      </c>
      <c r="B22" s="489" t="s">
        <v>1803</v>
      </c>
      <c r="C22" s="490" t="s">
        <v>1804</v>
      </c>
      <c r="D22" s="489" t="s">
        <v>112</v>
      </c>
      <c r="E22" s="489" t="s">
        <v>959</v>
      </c>
      <c r="F22" s="496" t="s">
        <v>124</v>
      </c>
      <c r="G22" s="489" t="s">
        <v>945</v>
      </c>
      <c r="H22" s="489" t="s">
        <v>79</v>
      </c>
      <c r="I22" s="468"/>
      <c r="J22" s="489" t="s">
        <v>913</v>
      </c>
      <c r="K22" s="492">
        <v>33</v>
      </c>
      <c r="L22" s="495"/>
      <c r="M22" s="468">
        <v>8</v>
      </c>
      <c r="N22" s="468">
        <v>4</v>
      </c>
      <c r="O22" s="494">
        <f t="shared" si="0"/>
        <v>0.5</v>
      </c>
      <c r="P22" s="494">
        <f t="shared" si="1"/>
        <v>0.5</v>
      </c>
      <c r="Q22" s="786">
        <f t="shared" si="2"/>
        <v>1.5151515151515151</v>
      </c>
      <c r="R22" s="468"/>
      <c r="S22" s="629"/>
    </row>
    <row r="23" spans="1:19" ht="25.5" x14ac:dyDescent="0.2">
      <c r="A23" s="239" t="s">
        <v>351</v>
      </c>
      <c r="B23" s="489" t="s">
        <v>1803</v>
      </c>
      <c r="C23" s="490" t="s">
        <v>1804</v>
      </c>
      <c r="D23" s="489" t="s">
        <v>112</v>
      </c>
      <c r="E23" s="489" t="s">
        <v>960</v>
      </c>
      <c r="F23" s="496" t="s">
        <v>124</v>
      </c>
      <c r="G23" s="489" t="s">
        <v>945</v>
      </c>
      <c r="H23" s="489" t="s">
        <v>79</v>
      </c>
      <c r="I23" s="468"/>
      <c r="J23" s="489" t="s">
        <v>913</v>
      </c>
      <c r="K23" s="492">
        <v>33</v>
      </c>
      <c r="L23" s="495"/>
      <c r="M23" s="468">
        <v>8</v>
      </c>
      <c r="N23" s="468">
        <v>4</v>
      </c>
      <c r="O23" s="494">
        <f t="shared" si="0"/>
        <v>0.5</v>
      </c>
      <c r="P23" s="494">
        <f t="shared" si="1"/>
        <v>0.5</v>
      </c>
      <c r="Q23" s="786">
        <f t="shared" si="2"/>
        <v>1.5151515151515151</v>
      </c>
      <c r="R23" s="468"/>
      <c r="S23" s="629"/>
    </row>
    <row r="24" spans="1:19" x14ac:dyDescent="0.2">
      <c r="A24" s="239" t="s">
        <v>351</v>
      </c>
      <c r="B24" s="489" t="s">
        <v>1803</v>
      </c>
      <c r="C24" s="490" t="s">
        <v>1804</v>
      </c>
      <c r="D24" s="489" t="s">
        <v>112</v>
      </c>
      <c r="E24" s="489" t="s">
        <v>961</v>
      </c>
      <c r="F24" s="496" t="s">
        <v>124</v>
      </c>
      <c r="G24" s="489" t="s">
        <v>945</v>
      </c>
      <c r="H24" s="489" t="s">
        <v>79</v>
      </c>
      <c r="I24" s="468"/>
      <c r="J24" s="489" t="s">
        <v>913</v>
      </c>
      <c r="K24" s="492">
        <v>33</v>
      </c>
      <c r="L24" s="495"/>
      <c r="M24" s="468">
        <v>8</v>
      </c>
      <c r="N24" s="468">
        <v>4</v>
      </c>
      <c r="O24" s="494">
        <f t="shared" si="0"/>
        <v>0.5</v>
      </c>
      <c r="P24" s="494">
        <f t="shared" si="1"/>
        <v>0.5</v>
      </c>
      <c r="Q24" s="786">
        <f t="shared" si="2"/>
        <v>1.5151515151515151</v>
      </c>
      <c r="R24" s="468"/>
      <c r="S24" s="629"/>
    </row>
    <row r="25" spans="1:19" x14ac:dyDescent="0.2">
      <c r="A25" s="239" t="s">
        <v>351</v>
      </c>
      <c r="B25" s="489" t="s">
        <v>1803</v>
      </c>
      <c r="C25" s="490" t="s">
        <v>1804</v>
      </c>
      <c r="D25" s="489" t="s">
        <v>112</v>
      </c>
      <c r="E25" s="489" t="s">
        <v>962</v>
      </c>
      <c r="F25" s="496" t="s">
        <v>124</v>
      </c>
      <c r="G25" s="489" t="s">
        <v>945</v>
      </c>
      <c r="H25" s="489" t="s">
        <v>79</v>
      </c>
      <c r="I25" s="468"/>
      <c r="J25" s="489" t="s">
        <v>913</v>
      </c>
      <c r="K25" s="492">
        <v>33</v>
      </c>
      <c r="L25" s="495"/>
      <c r="M25" s="468">
        <v>8</v>
      </c>
      <c r="N25" s="468">
        <v>4</v>
      </c>
      <c r="O25" s="494">
        <f t="shared" si="0"/>
        <v>0.5</v>
      </c>
      <c r="P25" s="494">
        <f t="shared" si="1"/>
        <v>0.5</v>
      </c>
      <c r="Q25" s="786">
        <f t="shared" si="2"/>
        <v>1.5151515151515151</v>
      </c>
      <c r="R25" s="468"/>
      <c r="S25" s="629"/>
    </row>
    <row r="26" spans="1:19" x14ac:dyDescent="0.2">
      <c r="A26" s="239" t="s">
        <v>351</v>
      </c>
      <c r="B26" s="489" t="s">
        <v>1803</v>
      </c>
      <c r="C26" s="490" t="s">
        <v>1804</v>
      </c>
      <c r="D26" s="489" t="s">
        <v>112</v>
      </c>
      <c r="E26" s="489" t="s">
        <v>963</v>
      </c>
      <c r="F26" s="496" t="s">
        <v>947</v>
      </c>
      <c r="G26" s="489" t="s">
        <v>114</v>
      </c>
      <c r="H26" s="489" t="s">
        <v>79</v>
      </c>
      <c r="I26" s="468"/>
      <c r="J26" s="489" t="s">
        <v>913</v>
      </c>
      <c r="K26" s="492">
        <v>100</v>
      </c>
      <c r="L26" s="495"/>
      <c r="M26" s="468">
        <v>8</v>
      </c>
      <c r="N26" s="468">
        <v>7</v>
      </c>
      <c r="O26" s="494">
        <f t="shared" si="0"/>
        <v>0.875</v>
      </c>
      <c r="P26" s="494">
        <f t="shared" si="1"/>
        <v>0.875</v>
      </c>
      <c r="Q26" s="786">
        <f t="shared" si="2"/>
        <v>0.875</v>
      </c>
      <c r="R26" s="468"/>
      <c r="S26" s="629"/>
    </row>
    <row r="27" spans="1:19" x14ac:dyDescent="0.2">
      <c r="A27" s="239" t="s">
        <v>351</v>
      </c>
      <c r="B27" s="489" t="s">
        <v>1803</v>
      </c>
      <c r="C27" s="490" t="s">
        <v>1804</v>
      </c>
      <c r="D27" s="489" t="s">
        <v>112</v>
      </c>
      <c r="E27" s="489" t="s">
        <v>964</v>
      </c>
      <c r="F27" s="496" t="s">
        <v>947</v>
      </c>
      <c r="G27" s="489" t="s">
        <v>114</v>
      </c>
      <c r="H27" s="489" t="s">
        <v>79</v>
      </c>
      <c r="I27" s="468"/>
      <c r="J27" s="489" t="s">
        <v>913</v>
      </c>
      <c r="K27" s="492">
        <v>100</v>
      </c>
      <c r="L27" s="495"/>
      <c r="M27" s="468">
        <v>8</v>
      </c>
      <c r="N27" s="468">
        <v>7</v>
      </c>
      <c r="O27" s="494">
        <f t="shared" si="0"/>
        <v>0.875</v>
      </c>
      <c r="P27" s="494">
        <f t="shared" si="1"/>
        <v>0.875</v>
      </c>
      <c r="Q27" s="786">
        <f t="shared" si="2"/>
        <v>0.875</v>
      </c>
      <c r="R27" s="468"/>
      <c r="S27" s="629"/>
    </row>
    <row r="28" spans="1:19" ht="25.5" x14ac:dyDescent="0.2">
      <c r="A28" s="239" t="s">
        <v>351</v>
      </c>
      <c r="B28" s="489" t="s">
        <v>1803</v>
      </c>
      <c r="C28" s="490" t="s">
        <v>1804</v>
      </c>
      <c r="D28" s="489" t="s">
        <v>112</v>
      </c>
      <c r="E28" s="489" t="s">
        <v>965</v>
      </c>
      <c r="F28" s="491" t="s">
        <v>947</v>
      </c>
      <c r="G28" s="489" t="s">
        <v>114</v>
      </c>
      <c r="H28" s="489" t="s">
        <v>79</v>
      </c>
      <c r="I28" s="468"/>
      <c r="J28" s="489" t="s">
        <v>913</v>
      </c>
      <c r="K28" s="492">
        <v>100</v>
      </c>
      <c r="L28" s="493"/>
      <c r="M28" s="468">
        <v>8</v>
      </c>
      <c r="N28" s="468">
        <v>7</v>
      </c>
      <c r="O28" s="494">
        <f t="shared" si="0"/>
        <v>0.875</v>
      </c>
      <c r="P28" s="494">
        <f t="shared" si="1"/>
        <v>0.875</v>
      </c>
      <c r="Q28" s="786">
        <f t="shared" si="2"/>
        <v>0.875</v>
      </c>
      <c r="R28" s="468"/>
      <c r="S28" s="629"/>
    </row>
    <row r="29" spans="1:19" ht="63.75" x14ac:dyDescent="0.2">
      <c r="A29" s="239" t="s">
        <v>351</v>
      </c>
      <c r="B29" s="489" t="s">
        <v>1803</v>
      </c>
      <c r="C29" s="490" t="s">
        <v>1804</v>
      </c>
      <c r="D29" s="489" t="s">
        <v>112</v>
      </c>
      <c r="E29" s="489" t="s">
        <v>966</v>
      </c>
      <c r="F29" s="491" t="s">
        <v>944</v>
      </c>
      <c r="G29" s="489" t="s">
        <v>114</v>
      </c>
      <c r="H29" s="489" t="s">
        <v>79</v>
      </c>
      <c r="I29" s="468"/>
      <c r="J29" s="489" t="s">
        <v>913</v>
      </c>
      <c r="K29" s="492">
        <v>100</v>
      </c>
      <c r="L29" s="495" t="s">
        <v>976</v>
      </c>
      <c r="M29" s="468">
        <v>8</v>
      </c>
      <c r="N29" s="468">
        <v>7</v>
      </c>
      <c r="O29" s="494">
        <f t="shared" si="0"/>
        <v>0.875</v>
      </c>
      <c r="P29" s="494">
        <f t="shared" si="1"/>
        <v>0.875</v>
      </c>
      <c r="Q29" s="786">
        <f t="shared" si="2"/>
        <v>0.875</v>
      </c>
      <c r="R29" s="468"/>
      <c r="S29" s="629"/>
    </row>
    <row r="30" spans="1:19" x14ac:dyDescent="0.2">
      <c r="A30" s="239" t="s">
        <v>351</v>
      </c>
      <c r="B30" s="489" t="s">
        <v>1803</v>
      </c>
      <c r="C30" s="490" t="s">
        <v>1804</v>
      </c>
      <c r="D30" s="489" t="s">
        <v>112</v>
      </c>
      <c r="E30" s="489" t="s">
        <v>966</v>
      </c>
      <c r="F30" s="496" t="s">
        <v>124</v>
      </c>
      <c r="G30" s="489" t="s">
        <v>945</v>
      </c>
      <c r="H30" s="489" t="s">
        <v>79</v>
      </c>
      <c r="I30" s="468"/>
      <c r="J30" s="489" t="s">
        <v>913</v>
      </c>
      <c r="K30" s="492">
        <v>33</v>
      </c>
      <c r="L30" s="495"/>
      <c r="M30" s="468">
        <v>8</v>
      </c>
      <c r="N30" s="468">
        <v>3</v>
      </c>
      <c r="O30" s="494">
        <f t="shared" si="0"/>
        <v>0.375</v>
      </c>
      <c r="P30" s="494">
        <f t="shared" si="1"/>
        <v>0.375</v>
      </c>
      <c r="Q30" s="786">
        <f>N30/(M30*K30/100)</f>
        <v>1.1363636363636362</v>
      </c>
      <c r="R30" s="468"/>
      <c r="S30" s="629"/>
    </row>
    <row r="31" spans="1:19" x14ac:dyDescent="0.2">
      <c r="A31" s="239" t="s">
        <v>351</v>
      </c>
      <c r="B31" s="489" t="s">
        <v>1803</v>
      </c>
      <c r="C31" s="490" t="s">
        <v>1804</v>
      </c>
      <c r="D31" s="489" t="s">
        <v>112</v>
      </c>
      <c r="E31" s="489" t="s">
        <v>967</v>
      </c>
      <c r="F31" s="496" t="s">
        <v>947</v>
      </c>
      <c r="G31" s="489" t="s">
        <v>945</v>
      </c>
      <c r="H31" s="489" t="s">
        <v>79</v>
      </c>
      <c r="I31" s="468"/>
      <c r="J31" s="489" t="s">
        <v>913</v>
      </c>
      <c r="K31" s="492">
        <v>25</v>
      </c>
      <c r="L31" s="495"/>
      <c r="M31" s="468">
        <v>8</v>
      </c>
      <c r="N31" s="468">
        <v>1</v>
      </c>
      <c r="O31" s="494">
        <f t="shared" si="0"/>
        <v>0.125</v>
      </c>
      <c r="P31" s="494">
        <f t="shared" si="1"/>
        <v>0.125</v>
      </c>
      <c r="Q31" s="786">
        <f t="shared" si="2"/>
        <v>0.5</v>
      </c>
      <c r="R31" s="468"/>
      <c r="S31" s="629"/>
    </row>
    <row r="32" spans="1:19" ht="51" x14ac:dyDescent="0.2">
      <c r="A32" s="239" t="s">
        <v>351</v>
      </c>
      <c r="B32" s="489" t="s">
        <v>1803</v>
      </c>
      <c r="C32" s="490" t="s">
        <v>1804</v>
      </c>
      <c r="D32" s="489" t="s">
        <v>112</v>
      </c>
      <c r="E32" s="489" t="s">
        <v>968</v>
      </c>
      <c r="F32" s="496" t="s">
        <v>947</v>
      </c>
      <c r="G32" s="489" t="s">
        <v>945</v>
      </c>
      <c r="H32" s="489" t="s">
        <v>79</v>
      </c>
      <c r="I32" s="468"/>
      <c r="J32" s="489" t="s">
        <v>913</v>
      </c>
      <c r="K32" s="492">
        <v>25</v>
      </c>
      <c r="L32" s="495"/>
      <c r="M32" s="468">
        <v>8</v>
      </c>
      <c r="N32" s="468">
        <v>1</v>
      </c>
      <c r="O32" s="494">
        <f t="shared" si="0"/>
        <v>0.125</v>
      </c>
      <c r="P32" s="494">
        <f t="shared" si="1"/>
        <v>0.125</v>
      </c>
      <c r="Q32" s="786">
        <f t="shared" si="2"/>
        <v>0.5</v>
      </c>
      <c r="R32" s="468"/>
      <c r="S32" s="629"/>
    </row>
    <row r="33" spans="1:19" ht="51" x14ac:dyDescent="0.2">
      <c r="A33" s="239" t="s">
        <v>351</v>
      </c>
      <c r="B33" s="489" t="s">
        <v>1803</v>
      </c>
      <c r="C33" s="490" t="s">
        <v>1804</v>
      </c>
      <c r="D33" s="489" t="s">
        <v>112</v>
      </c>
      <c r="E33" s="489" t="s">
        <v>969</v>
      </c>
      <c r="F33" s="496" t="s">
        <v>947</v>
      </c>
      <c r="G33" s="489" t="s">
        <v>114</v>
      </c>
      <c r="H33" s="489" t="s">
        <v>79</v>
      </c>
      <c r="I33" s="468"/>
      <c r="J33" s="489" t="s">
        <v>913</v>
      </c>
      <c r="K33" s="492">
        <v>100</v>
      </c>
      <c r="L33" s="495"/>
      <c r="M33" s="468">
        <v>8</v>
      </c>
      <c r="N33" s="468">
        <v>7</v>
      </c>
      <c r="O33" s="494">
        <f t="shared" si="0"/>
        <v>0.875</v>
      </c>
      <c r="P33" s="494">
        <f t="shared" si="1"/>
        <v>0.875</v>
      </c>
      <c r="Q33" s="786">
        <f t="shared" si="2"/>
        <v>0.875</v>
      </c>
      <c r="R33" s="468"/>
      <c r="S33" s="629"/>
    </row>
    <row r="34" spans="1:19" ht="25.5" x14ac:dyDescent="0.2">
      <c r="A34" s="239" t="s">
        <v>351</v>
      </c>
      <c r="B34" s="489" t="s">
        <v>1803</v>
      </c>
      <c r="C34" s="490" t="s">
        <v>1804</v>
      </c>
      <c r="D34" s="489" t="s">
        <v>117</v>
      </c>
      <c r="E34" s="489" t="s">
        <v>970</v>
      </c>
      <c r="F34" s="496" t="s">
        <v>947</v>
      </c>
      <c r="G34" s="489" t="s">
        <v>114</v>
      </c>
      <c r="H34" s="489" t="s">
        <v>79</v>
      </c>
      <c r="I34" s="468"/>
      <c r="J34" s="489" t="s">
        <v>913</v>
      </c>
      <c r="K34" s="492">
        <v>100</v>
      </c>
      <c r="L34" s="495"/>
      <c r="M34" s="468">
        <v>8</v>
      </c>
      <c r="N34" s="468">
        <v>7</v>
      </c>
      <c r="O34" s="494">
        <f t="shared" si="0"/>
        <v>0.875</v>
      </c>
      <c r="P34" s="494">
        <f t="shared" si="1"/>
        <v>0.875</v>
      </c>
      <c r="Q34" s="786">
        <f t="shared" si="2"/>
        <v>0.875</v>
      </c>
      <c r="R34" s="468"/>
      <c r="S34" s="629"/>
    </row>
    <row r="35" spans="1:19" x14ac:dyDescent="0.2">
      <c r="A35" s="239" t="s">
        <v>351</v>
      </c>
      <c r="B35" s="489" t="s">
        <v>1803</v>
      </c>
      <c r="C35" s="490" t="s">
        <v>1804</v>
      </c>
      <c r="D35" s="489" t="s">
        <v>117</v>
      </c>
      <c r="E35" s="489" t="s">
        <v>971</v>
      </c>
      <c r="F35" s="496" t="s">
        <v>947</v>
      </c>
      <c r="G35" s="489" t="s">
        <v>114</v>
      </c>
      <c r="H35" s="489" t="s">
        <v>79</v>
      </c>
      <c r="I35" s="468"/>
      <c r="J35" s="489" t="s">
        <v>913</v>
      </c>
      <c r="K35" s="492">
        <v>100</v>
      </c>
      <c r="L35" s="495"/>
      <c r="M35" s="468">
        <v>8</v>
      </c>
      <c r="N35" s="468">
        <v>7</v>
      </c>
      <c r="O35" s="494">
        <f t="shared" si="0"/>
        <v>0.875</v>
      </c>
      <c r="P35" s="494">
        <f t="shared" si="1"/>
        <v>0.875</v>
      </c>
      <c r="Q35" s="786">
        <f t="shared" si="2"/>
        <v>0.875</v>
      </c>
      <c r="R35" s="468"/>
      <c r="S35" s="629"/>
    </row>
    <row r="36" spans="1:19" ht="25.5" x14ac:dyDescent="0.2">
      <c r="A36" s="239" t="s">
        <v>351</v>
      </c>
      <c r="B36" s="489" t="s">
        <v>1803</v>
      </c>
      <c r="C36" s="490" t="s">
        <v>1804</v>
      </c>
      <c r="D36" s="489" t="s">
        <v>117</v>
      </c>
      <c r="E36" s="489" t="s">
        <v>126</v>
      </c>
      <c r="F36" s="496" t="s">
        <v>947</v>
      </c>
      <c r="G36" s="489" t="s">
        <v>945</v>
      </c>
      <c r="H36" s="489" t="s">
        <v>79</v>
      </c>
      <c r="I36" s="468"/>
      <c r="J36" s="489" t="s">
        <v>913</v>
      </c>
      <c r="K36" s="492">
        <v>25</v>
      </c>
      <c r="L36" s="495"/>
      <c r="M36" s="468">
        <v>8</v>
      </c>
      <c r="N36" s="468">
        <v>1</v>
      </c>
      <c r="O36" s="494">
        <f t="shared" si="0"/>
        <v>0.125</v>
      </c>
      <c r="P36" s="494">
        <f t="shared" si="1"/>
        <v>0.125</v>
      </c>
      <c r="Q36" s="786">
        <f t="shared" si="2"/>
        <v>0.5</v>
      </c>
      <c r="R36" s="468"/>
      <c r="S36" s="629"/>
    </row>
    <row r="37" spans="1:19" x14ac:dyDescent="0.2">
      <c r="A37" s="239" t="s">
        <v>351</v>
      </c>
      <c r="B37" s="489" t="s">
        <v>1803</v>
      </c>
      <c r="C37" s="490" t="s">
        <v>1804</v>
      </c>
      <c r="D37" s="489" t="s">
        <v>117</v>
      </c>
      <c r="E37" s="489" t="s">
        <v>972</v>
      </c>
      <c r="F37" s="496" t="s">
        <v>947</v>
      </c>
      <c r="G37" s="489" t="s">
        <v>945</v>
      </c>
      <c r="H37" s="489" t="s">
        <v>79</v>
      </c>
      <c r="I37" s="468"/>
      <c r="J37" s="489" t="s">
        <v>913</v>
      </c>
      <c r="K37" s="492">
        <v>25</v>
      </c>
      <c r="L37" s="495"/>
      <c r="M37" s="468">
        <v>8</v>
      </c>
      <c r="N37" s="468">
        <v>1</v>
      </c>
      <c r="O37" s="494">
        <f t="shared" si="0"/>
        <v>0.125</v>
      </c>
      <c r="P37" s="494">
        <f t="shared" si="1"/>
        <v>0.125</v>
      </c>
      <c r="Q37" s="786">
        <f t="shared" si="2"/>
        <v>0.5</v>
      </c>
      <c r="R37" s="468"/>
      <c r="S37" s="629"/>
    </row>
    <row r="38" spans="1:19" ht="25.5" x14ac:dyDescent="0.2">
      <c r="A38" s="239" t="s">
        <v>351</v>
      </c>
      <c r="B38" s="489" t="s">
        <v>1803</v>
      </c>
      <c r="C38" s="490" t="s">
        <v>1804</v>
      </c>
      <c r="D38" s="489" t="s">
        <v>117</v>
      </c>
      <c r="E38" s="489" t="s">
        <v>973</v>
      </c>
      <c r="F38" s="496" t="s">
        <v>947</v>
      </c>
      <c r="G38" s="489" t="s">
        <v>945</v>
      </c>
      <c r="H38" s="489" t="s">
        <v>79</v>
      </c>
      <c r="I38" s="468"/>
      <c r="J38" s="489" t="s">
        <v>913</v>
      </c>
      <c r="K38" s="492">
        <v>25</v>
      </c>
      <c r="L38" s="495"/>
      <c r="M38" s="468">
        <v>8</v>
      </c>
      <c r="N38" s="468">
        <v>1</v>
      </c>
      <c r="O38" s="494">
        <f t="shared" si="0"/>
        <v>0.125</v>
      </c>
      <c r="P38" s="494">
        <f t="shared" si="1"/>
        <v>0.125</v>
      </c>
      <c r="Q38" s="786">
        <f t="shared" si="2"/>
        <v>0.5</v>
      </c>
      <c r="R38" s="468"/>
      <c r="S38" s="629"/>
    </row>
    <row r="39" spans="1:19" ht="25.5" x14ac:dyDescent="0.2">
      <c r="A39" s="239" t="s">
        <v>351</v>
      </c>
      <c r="B39" s="489" t="s">
        <v>1803</v>
      </c>
      <c r="C39" s="490" t="s">
        <v>1804</v>
      </c>
      <c r="D39" s="489" t="s">
        <v>117</v>
      </c>
      <c r="E39" s="489" t="s">
        <v>974</v>
      </c>
      <c r="F39" s="491" t="s">
        <v>947</v>
      </c>
      <c r="G39" s="489" t="s">
        <v>945</v>
      </c>
      <c r="H39" s="489" t="s">
        <v>79</v>
      </c>
      <c r="I39" s="468"/>
      <c r="J39" s="489" t="s">
        <v>913</v>
      </c>
      <c r="K39" s="492">
        <v>25</v>
      </c>
      <c r="L39" s="495"/>
      <c r="M39" s="468">
        <v>8</v>
      </c>
      <c r="N39" s="468">
        <v>1</v>
      </c>
      <c r="O39" s="494">
        <f t="shared" si="0"/>
        <v>0.125</v>
      </c>
      <c r="P39" s="494">
        <f t="shared" si="1"/>
        <v>0.125</v>
      </c>
      <c r="Q39" s="786">
        <f t="shared" si="2"/>
        <v>0.5</v>
      </c>
      <c r="R39" s="468"/>
      <c r="S39" s="629"/>
    </row>
    <row r="40" spans="1:19" ht="25.5" x14ac:dyDescent="0.2">
      <c r="A40" s="239" t="s">
        <v>351</v>
      </c>
      <c r="B40" s="489" t="s">
        <v>1803</v>
      </c>
      <c r="C40" s="490" t="s">
        <v>1804</v>
      </c>
      <c r="D40" s="489" t="s">
        <v>117</v>
      </c>
      <c r="E40" s="489" t="s">
        <v>975</v>
      </c>
      <c r="F40" s="491" t="s">
        <v>947</v>
      </c>
      <c r="G40" s="489" t="s">
        <v>114</v>
      </c>
      <c r="H40" s="489" t="s">
        <v>79</v>
      </c>
      <c r="I40" s="468"/>
      <c r="J40" s="489" t="s">
        <v>913</v>
      </c>
      <c r="K40" s="492">
        <v>100</v>
      </c>
      <c r="L40" s="495"/>
      <c r="M40" s="468">
        <v>8</v>
      </c>
      <c r="N40" s="468">
        <v>7</v>
      </c>
      <c r="O40" s="494">
        <f t="shared" si="0"/>
        <v>0.875</v>
      </c>
      <c r="P40" s="494">
        <f t="shared" si="1"/>
        <v>0.875</v>
      </c>
      <c r="Q40" s="786">
        <f t="shared" si="2"/>
        <v>0.875</v>
      </c>
      <c r="R40" s="468"/>
      <c r="S40" s="629"/>
    </row>
    <row r="41" spans="1:19" ht="25.5" x14ac:dyDescent="0.2">
      <c r="A41" s="239" t="s">
        <v>351</v>
      </c>
      <c r="B41" s="489" t="s">
        <v>1803</v>
      </c>
      <c r="C41" s="490" t="s">
        <v>1804</v>
      </c>
      <c r="D41" s="489" t="s">
        <v>117</v>
      </c>
      <c r="E41" s="489" t="s">
        <v>975</v>
      </c>
      <c r="F41" s="491" t="s">
        <v>124</v>
      </c>
      <c r="G41" s="489" t="s">
        <v>945</v>
      </c>
      <c r="H41" s="489" t="s">
        <v>79</v>
      </c>
      <c r="I41" s="468"/>
      <c r="J41" s="489" t="s">
        <v>913</v>
      </c>
      <c r="K41" s="492">
        <v>33</v>
      </c>
      <c r="L41" s="493"/>
      <c r="M41" s="468">
        <v>8</v>
      </c>
      <c r="N41" s="468">
        <v>3</v>
      </c>
      <c r="O41" s="494">
        <f t="shared" si="0"/>
        <v>0.375</v>
      </c>
      <c r="P41" s="494">
        <f t="shared" si="1"/>
        <v>0.375</v>
      </c>
      <c r="Q41" s="786">
        <f t="shared" si="2"/>
        <v>1.1363636363636362</v>
      </c>
      <c r="R41" s="468"/>
      <c r="S41" s="629"/>
    </row>
    <row r="42" spans="1:19" ht="63.75" x14ac:dyDescent="0.2">
      <c r="A42" s="239" t="s">
        <v>351</v>
      </c>
      <c r="B42" s="489" t="s">
        <v>1803</v>
      </c>
      <c r="C42" s="490" t="s">
        <v>1804</v>
      </c>
      <c r="D42" s="489" t="s">
        <v>117</v>
      </c>
      <c r="E42" s="489" t="s">
        <v>940</v>
      </c>
      <c r="F42" s="491" t="s">
        <v>947</v>
      </c>
      <c r="G42" s="489" t="s">
        <v>114</v>
      </c>
      <c r="H42" s="489" t="s">
        <v>79</v>
      </c>
      <c r="I42" s="468"/>
      <c r="J42" s="489" t="s">
        <v>913</v>
      </c>
      <c r="K42" s="492">
        <v>100</v>
      </c>
      <c r="L42" s="495" t="s">
        <v>976</v>
      </c>
      <c r="M42" s="468">
        <v>8</v>
      </c>
      <c r="N42" s="468">
        <v>7</v>
      </c>
      <c r="O42" s="494">
        <f t="shared" si="0"/>
        <v>0.875</v>
      </c>
      <c r="P42" s="494">
        <f t="shared" si="1"/>
        <v>0.875</v>
      </c>
      <c r="Q42" s="786">
        <f t="shared" si="2"/>
        <v>0.875</v>
      </c>
      <c r="R42" s="468"/>
      <c r="S42" s="629"/>
    </row>
    <row r="43" spans="1:19" x14ac:dyDescent="0.2">
      <c r="A43" s="239" t="s">
        <v>351</v>
      </c>
      <c r="B43" s="489" t="s">
        <v>1803</v>
      </c>
      <c r="C43" s="490" t="s">
        <v>1804</v>
      </c>
      <c r="D43" s="489" t="s">
        <v>117</v>
      </c>
      <c r="E43" s="489" t="s">
        <v>940</v>
      </c>
      <c r="F43" s="491" t="s">
        <v>124</v>
      </c>
      <c r="G43" s="489" t="s">
        <v>945</v>
      </c>
      <c r="H43" s="489" t="s">
        <v>79</v>
      </c>
      <c r="I43" s="468"/>
      <c r="J43" s="489" t="s">
        <v>913</v>
      </c>
      <c r="K43" s="492">
        <v>33</v>
      </c>
      <c r="L43" s="495"/>
      <c r="M43" s="468">
        <v>8</v>
      </c>
      <c r="N43" s="468">
        <v>3</v>
      </c>
      <c r="O43" s="494">
        <f t="shared" si="0"/>
        <v>0.375</v>
      </c>
      <c r="P43" s="494">
        <f t="shared" si="1"/>
        <v>0.375</v>
      </c>
      <c r="Q43" s="786">
        <f t="shared" si="2"/>
        <v>1.1363636363636362</v>
      </c>
      <c r="R43" s="468"/>
      <c r="S43" s="629"/>
    </row>
    <row r="44" spans="1:19" ht="63.75" x14ac:dyDescent="0.2">
      <c r="A44" s="239" t="s">
        <v>351</v>
      </c>
      <c r="B44" s="489" t="s">
        <v>1805</v>
      </c>
      <c r="C44" s="490" t="s">
        <v>1804</v>
      </c>
      <c r="D44" s="489" t="s">
        <v>112</v>
      </c>
      <c r="E44" s="489" t="s">
        <v>943</v>
      </c>
      <c r="F44" s="491" t="s">
        <v>944</v>
      </c>
      <c r="G44" s="489" t="s">
        <v>114</v>
      </c>
      <c r="H44" s="489" t="s">
        <v>79</v>
      </c>
      <c r="I44" s="468"/>
      <c r="J44" s="489" t="s">
        <v>913</v>
      </c>
      <c r="K44" s="492">
        <v>100</v>
      </c>
      <c r="L44" s="495" t="s">
        <v>976</v>
      </c>
      <c r="M44" s="468">
        <v>20</v>
      </c>
      <c r="N44" s="468">
        <v>20</v>
      </c>
      <c r="O44" s="494">
        <f t="shared" si="0"/>
        <v>1</v>
      </c>
      <c r="P44" s="494">
        <f t="shared" si="1"/>
        <v>1</v>
      </c>
      <c r="Q44" s="786">
        <f t="shared" si="2"/>
        <v>1</v>
      </c>
      <c r="R44" s="468"/>
      <c r="S44" s="629"/>
    </row>
    <row r="45" spans="1:19" ht="25.5" x14ac:dyDescent="0.2">
      <c r="A45" s="239" t="s">
        <v>351</v>
      </c>
      <c r="B45" s="489" t="s">
        <v>1805</v>
      </c>
      <c r="C45" s="490" t="s">
        <v>1804</v>
      </c>
      <c r="D45" s="489" t="s">
        <v>112</v>
      </c>
      <c r="E45" s="489" t="s">
        <v>943</v>
      </c>
      <c r="F45" s="491" t="s">
        <v>124</v>
      </c>
      <c r="G45" s="489" t="s">
        <v>945</v>
      </c>
      <c r="H45" s="489" t="s">
        <v>79</v>
      </c>
      <c r="I45" s="468"/>
      <c r="J45" s="489" t="s">
        <v>913</v>
      </c>
      <c r="K45" s="492">
        <v>33</v>
      </c>
      <c r="L45" s="495"/>
      <c r="M45" s="468">
        <v>20</v>
      </c>
      <c r="N45" s="468">
        <v>15</v>
      </c>
      <c r="O45" s="494">
        <f t="shared" si="0"/>
        <v>0.75</v>
      </c>
      <c r="P45" s="494">
        <f t="shared" si="1"/>
        <v>0.75</v>
      </c>
      <c r="Q45" s="786">
        <f t="shared" si="2"/>
        <v>2.2727272727272729</v>
      </c>
      <c r="R45" s="468"/>
      <c r="S45" s="24"/>
    </row>
    <row r="46" spans="1:19" x14ac:dyDescent="0.2">
      <c r="A46" s="239" t="s">
        <v>351</v>
      </c>
      <c r="B46" s="489" t="s">
        <v>1805</v>
      </c>
      <c r="C46" s="490" t="s">
        <v>1804</v>
      </c>
      <c r="D46" s="489" t="s">
        <v>112</v>
      </c>
      <c r="E46" s="489" t="s">
        <v>115</v>
      </c>
      <c r="F46" s="491" t="s">
        <v>944</v>
      </c>
      <c r="G46" s="489" t="s">
        <v>945</v>
      </c>
      <c r="H46" s="489" t="s">
        <v>79</v>
      </c>
      <c r="I46" s="468"/>
      <c r="J46" s="489" t="s">
        <v>913</v>
      </c>
      <c r="K46" s="492">
        <v>25</v>
      </c>
      <c r="L46" s="495"/>
      <c r="M46" s="468">
        <v>20</v>
      </c>
      <c r="N46" s="468">
        <v>15</v>
      </c>
      <c r="O46" s="494">
        <f t="shared" si="0"/>
        <v>0.75</v>
      </c>
      <c r="P46" s="494">
        <f t="shared" si="1"/>
        <v>0.75</v>
      </c>
      <c r="Q46" s="786">
        <f t="shared" si="2"/>
        <v>3</v>
      </c>
      <c r="R46" s="468"/>
      <c r="S46" s="24"/>
    </row>
    <row r="47" spans="1:19" x14ac:dyDescent="0.2">
      <c r="A47" s="239" t="s">
        <v>351</v>
      </c>
      <c r="B47" s="489" t="s">
        <v>1805</v>
      </c>
      <c r="C47" s="490" t="s">
        <v>1804</v>
      </c>
      <c r="D47" s="489" t="s">
        <v>112</v>
      </c>
      <c r="E47" s="489" t="s">
        <v>115</v>
      </c>
      <c r="F47" s="491" t="s">
        <v>124</v>
      </c>
      <c r="G47" s="489" t="s">
        <v>945</v>
      </c>
      <c r="H47" s="489" t="s">
        <v>79</v>
      </c>
      <c r="I47" s="468"/>
      <c r="J47" s="489" t="s">
        <v>913</v>
      </c>
      <c r="K47" s="492">
        <v>33</v>
      </c>
      <c r="L47" s="495"/>
      <c r="M47" s="468">
        <v>20</v>
      </c>
      <c r="N47" s="468">
        <v>15</v>
      </c>
      <c r="O47" s="494">
        <f t="shared" si="0"/>
        <v>0.75</v>
      </c>
      <c r="P47" s="494">
        <f t="shared" si="1"/>
        <v>0.75</v>
      </c>
      <c r="Q47" s="786">
        <f t="shared" si="2"/>
        <v>2.2727272727272729</v>
      </c>
      <c r="R47" s="468"/>
      <c r="S47" s="24"/>
    </row>
    <row r="48" spans="1:19" ht="63.75" x14ac:dyDescent="0.2">
      <c r="A48" s="239" t="s">
        <v>351</v>
      </c>
      <c r="B48" s="489" t="s">
        <v>1805</v>
      </c>
      <c r="C48" s="490" t="s">
        <v>1804</v>
      </c>
      <c r="D48" s="489" t="s">
        <v>112</v>
      </c>
      <c r="E48" s="489" t="s">
        <v>946</v>
      </c>
      <c r="F48" s="491" t="s">
        <v>947</v>
      </c>
      <c r="G48" s="489" t="s">
        <v>945</v>
      </c>
      <c r="H48" s="489" t="s">
        <v>79</v>
      </c>
      <c r="I48" s="468"/>
      <c r="J48" s="489" t="s">
        <v>913</v>
      </c>
      <c r="K48" s="492">
        <v>25</v>
      </c>
      <c r="L48" s="495" t="s">
        <v>1806</v>
      </c>
      <c r="M48" s="468">
        <v>20</v>
      </c>
      <c r="N48" s="468">
        <v>12</v>
      </c>
      <c r="O48" s="494">
        <f t="shared" si="0"/>
        <v>0.6</v>
      </c>
      <c r="P48" s="494">
        <f t="shared" si="1"/>
        <v>0.6</v>
      </c>
      <c r="Q48" s="786">
        <f t="shared" si="2"/>
        <v>2.4</v>
      </c>
      <c r="R48" s="468"/>
      <c r="S48" s="24"/>
    </row>
    <row r="49" spans="1:19" x14ac:dyDescent="0.2">
      <c r="A49" s="239" t="s">
        <v>351</v>
      </c>
      <c r="B49" s="489" t="s">
        <v>1805</v>
      </c>
      <c r="C49" s="490" t="s">
        <v>1804</v>
      </c>
      <c r="D49" s="489" t="s">
        <v>112</v>
      </c>
      <c r="E49" s="489" t="s">
        <v>946</v>
      </c>
      <c r="F49" s="491" t="s">
        <v>948</v>
      </c>
      <c r="G49" s="489" t="s">
        <v>945</v>
      </c>
      <c r="H49" s="489" t="s">
        <v>79</v>
      </c>
      <c r="I49" s="468"/>
      <c r="J49" s="489" t="s">
        <v>913</v>
      </c>
      <c r="K49" s="492">
        <v>33</v>
      </c>
      <c r="L49" s="495"/>
      <c r="M49" s="468">
        <v>20</v>
      </c>
      <c r="N49" s="468">
        <v>15</v>
      </c>
      <c r="O49" s="494">
        <f t="shared" si="0"/>
        <v>0.75</v>
      </c>
      <c r="P49" s="494">
        <f t="shared" si="1"/>
        <v>0.75</v>
      </c>
      <c r="Q49" s="786">
        <f t="shared" si="2"/>
        <v>2.2727272727272729</v>
      </c>
      <c r="R49" s="468"/>
      <c r="S49" s="24"/>
    </row>
    <row r="50" spans="1:19" ht="25.5" x14ac:dyDescent="0.2">
      <c r="A50" s="239" t="s">
        <v>351</v>
      </c>
      <c r="B50" s="489" t="s">
        <v>1805</v>
      </c>
      <c r="C50" s="490" t="s">
        <v>1804</v>
      </c>
      <c r="D50" s="489" t="s">
        <v>112</v>
      </c>
      <c r="E50" s="489" t="s">
        <v>949</v>
      </c>
      <c r="F50" s="491" t="s">
        <v>947</v>
      </c>
      <c r="G50" s="489" t="s">
        <v>945</v>
      </c>
      <c r="H50" s="489" t="s">
        <v>79</v>
      </c>
      <c r="I50" s="468"/>
      <c r="J50" s="489" t="s">
        <v>913</v>
      </c>
      <c r="K50" s="492">
        <v>25</v>
      </c>
      <c r="L50" s="495"/>
      <c r="M50" s="468">
        <v>20</v>
      </c>
      <c r="N50" s="468">
        <v>12</v>
      </c>
      <c r="O50" s="494">
        <f t="shared" si="0"/>
        <v>0.6</v>
      </c>
      <c r="P50" s="494">
        <f t="shared" si="1"/>
        <v>0.6</v>
      </c>
      <c r="Q50" s="786">
        <f t="shared" si="2"/>
        <v>2.4</v>
      </c>
      <c r="R50" s="468"/>
      <c r="S50" s="24"/>
    </row>
    <row r="51" spans="1:19" x14ac:dyDescent="0.2">
      <c r="A51" s="239" t="s">
        <v>351</v>
      </c>
      <c r="B51" s="489" t="s">
        <v>1805</v>
      </c>
      <c r="C51" s="490" t="s">
        <v>1804</v>
      </c>
      <c r="D51" s="489" t="s">
        <v>112</v>
      </c>
      <c r="E51" s="489" t="s">
        <v>125</v>
      </c>
      <c r="F51" s="491" t="s">
        <v>947</v>
      </c>
      <c r="G51" s="489" t="s">
        <v>945</v>
      </c>
      <c r="H51" s="489" t="s">
        <v>79</v>
      </c>
      <c r="I51" s="468"/>
      <c r="J51" s="489" t="s">
        <v>913</v>
      </c>
      <c r="K51" s="492">
        <v>25</v>
      </c>
      <c r="L51" s="495"/>
      <c r="M51" s="468">
        <v>20</v>
      </c>
      <c r="N51" s="468">
        <v>12</v>
      </c>
      <c r="O51" s="494">
        <f t="shared" si="0"/>
        <v>0.6</v>
      </c>
      <c r="P51" s="494">
        <f t="shared" si="1"/>
        <v>0.6</v>
      </c>
      <c r="Q51" s="786">
        <f t="shared" si="2"/>
        <v>2.4</v>
      </c>
      <c r="R51" s="468"/>
      <c r="S51" s="24"/>
    </row>
    <row r="52" spans="1:19" x14ac:dyDescent="0.2">
      <c r="A52" s="239" t="s">
        <v>351</v>
      </c>
      <c r="B52" s="489" t="s">
        <v>1805</v>
      </c>
      <c r="C52" s="490" t="s">
        <v>1804</v>
      </c>
      <c r="D52" s="489" t="s">
        <v>112</v>
      </c>
      <c r="E52" s="489" t="s">
        <v>950</v>
      </c>
      <c r="F52" s="491" t="s">
        <v>947</v>
      </c>
      <c r="G52" s="489" t="s">
        <v>114</v>
      </c>
      <c r="H52" s="489" t="s">
        <v>79</v>
      </c>
      <c r="I52" s="468"/>
      <c r="J52" s="489" t="s">
        <v>913</v>
      </c>
      <c r="K52" s="492">
        <v>100</v>
      </c>
      <c r="L52" s="495"/>
      <c r="M52" s="468">
        <v>20</v>
      </c>
      <c r="N52" s="468">
        <v>20</v>
      </c>
      <c r="O52" s="494">
        <f t="shared" si="0"/>
        <v>1</v>
      </c>
      <c r="P52" s="494">
        <f t="shared" si="1"/>
        <v>1</v>
      </c>
      <c r="Q52" s="786">
        <f t="shared" si="2"/>
        <v>1</v>
      </c>
      <c r="R52" s="468"/>
      <c r="S52" s="24"/>
    </row>
    <row r="53" spans="1:19" x14ac:dyDescent="0.2">
      <c r="A53" s="239" t="s">
        <v>351</v>
      </c>
      <c r="B53" s="489" t="s">
        <v>1805</v>
      </c>
      <c r="C53" s="490" t="s">
        <v>1804</v>
      </c>
      <c r="D53" s="489" t="s">
        <v>112</v>
      </c>
      <c r="E53" s="489" t="s">
        <v>951</v>
      </c>
      <c r="F53" s="491" t="s">
        <v>947</v>
      </c>
      <c r="G53" s="489" t="s">
        <v>114</v>
      </c>
      <c r="H53" s="489" t="s">
        <v>79</v>
      </c>
      <c r="I53" s="468"/>
      <c r="J53" s="489" t="s">
        <v>913</v>
      </c>
      <c r="K53" s="492">
        <v>100</v>
      </c>
      <c r="L53" s="495"/>
      <c r="M53" s="468">
        <v>20</v>
      </c>
      <c r="N53" s="468">
        <v>20</v>
      </c>
      <c r="O53" s="494">
        <f t="shared" si="0"/>
        <v>1</v>
      </c>
      <c r="P53" s="494">
        <f t="shared" si="1"/>
        <v>1</v>
      </c>
      <c r="Q53" s="786">
        <f t="shared" si="2"/>
        <v>1</v>
      </c>
      <c r="R53" s="468"/>
      <c r="S53" s="24"/>
    </row>
    <row r="54" spans="1:19" ht="25.5" x14ac:dyDescent="0.2">
      <c r="A54" s="239" t="s">
        <v>351</v>
      </c>
      <c r="B54" s="489" t="s">
        <v>1805</v>
      </c>
      <c r="C54" s="490" t="s">
        <v>1804</v>
      </c>
      <c r="D54" s="489" t="s">
        <v>112</v>
      </c>
      <c r="E54" s="489" t="s">
        <v>952</v>
      </c>
      <c r="F54" s="491" t="s">
        <v>947</v>
      </c>
      <c r="G54" s="489" t="s">
        <v>945</v>
      </c>
      <c r="H54" s="489" t="s">
        <v>79</v>
      </c>
      <c r="I54" s="468"/>
      <c r="J54" s="489" t="s">
        <v>913</v>
      </c>
      <c r="K54" s="492">
        <v>25</v>
      </c>
      <c r="L54" s="495"/>
      <c r="M54" s="468">
        <v>20</v>
      </c>
      <c r="N54" s="468">
        <v>13</v>
      </c>
      <c r="O54" s="494">
        <f t="shared" si="0"/>
        <v>0.65</v>
      </c>
      <c r="P54" s="494">
        <f t="shared" si="1"/>
        <v>0.65</v>
      </c>
      <c r="Q54" s="786">
        <f t="shared" si="2"/>
        <v>2.6</v>
      </c>
      <c r="R54" s="468"/>
      <c r="S54" s="24"/>
    </row>
    <row r="55" spans="1:19" ht="25.5" x14ac:dyDescent="0.2">
      <c r="A55" s="239" t="s">
        <v>351</v>
      </c>
      <c r="B55" s="489" t="s">
        <v>1805</v>
      </c>
      <c r="C55" s="490" t="s">
        <v>1804</v>
      </c>
      <c r="D55" s="489" t="s">
        <v>112</v>
      </c>
      <c r="E55" s="489" t="s">
        <v>953</v>
      </c>
      <c r="F55" s="491" t="s">
        <v>947</v>
      </c>
      <c r="G55" s="489" t="s">
        <v>945</v>
      </c>
      <c r="H55" s="489" t="s">
        <v>79</v>
      </c>
      <c r="I55" s="468"/>
      <c r="J55" s="489" t="s">
        <v>913</v>
      </c>
      <c r="K55" s="492">
        <v>25</v>
      </c>
      <c r="L55" s="495"/>
      <c r="M55" s="468">
        <v>20</v>
      </c>
      <c r="N55" s="468">
        <v>22</v>
      </c>
      <c r="O55" s="494">
        <f t="shared" si="0"/>
        <v>1.1000000000000001</v>
      </c>
      <c r="P55" s="494">
        <f t="shared" si="1"/>
        <v>1.1000000000000001</v>
      </c>
      <c r="Q55" s="786">
        <f t="shared" si="2"/>
        <v>4.4000000000000004</v>
      </c>
      <c r="R55" s="468"/>
      <c r="S55" s="24"/>
    </row>
    <row r="56" spans="1:19" x14ac:dyDescent="0.2">
      <c r="A56" s="239" t="s">
        <v>351</v>
      </c>
      <c r="B56" s="489" t="s">
        <v>1805</v>
      </c>
      <c r="C56" s="490" t="s">
        <v>1804</v>
      </c>
      <c r="D56" s="489" t="s">
        <v>112</v>
      </c>
      <c r="E56" s="489" t="s">
        <v>954</v>
      </c>
      <c r="F56" s="491" t="s">
        <v>955</v>
      </c>
      <c r="G56" s="489" t="s">
        <v>114</v>
      </c>
      <c r="H56" s="489" t="s">
        <v>79</v>
      </c>
      <c r="I56" s="468"/>
      <c r="J56" s="489" t="s">
        <v>913</v>
      </c>
      <c r="K56" s="492">
        <v>100</v>
      </c>
      <c r="L56" s="495"/>
      <c r="M56" s="468">
        <v>20</v>
      </c>
      <c r="N56" s="468">
        <v>20</v>
      </c>
      <c r="O56" s="494">
        <f t="shared" si="0"/>
        <v>1</v>
      </c>
      <c r="P56" s="494">
        <f t="shared" si="1"/>
        <v>1</v>
      </c>
      <c r="Q56" s="786">
        <f t="shared" si="2"/>
        <v>1</v>
      </c>
      <c r="R56" s="468"/>
      <c r="S56" s="24"/>
    </row>
    <row r="57" spans="1:19" ht="25.5" x14ac:dyDescent="0.2">
      <c r="A57" s="239" t="s">
        <v>351</v>
      </c>
      <c r="B57" s="489" t="s">
        <v>1805</v>
      </c>
      <c r="C57" s="490" t="s">
        <v>1804</v>
      </c>
      <c r="D57" s="489" t="s">
        <v>112</v>
      </c>
      <c r="E57" s="489" t="s">
        <v>956</v>
      </c>
      <c r="F57" s="491" t="s">
        <v>955</v>
      </c>
      <c r="G57" s="489" t="s">
        <v>114</v>
      </c>
      <c r="H57" s="489" t="s">
        <v>79</v>
      </c>
      <c r="I57" s="468"/>
      <c r="J57" s="489" t="s">
        <v>913</v>
      </c>
      <c r="K57" s="492">
        <v>100</v>
      </c>
      <c r="L57" s="495"/>
      <c r="M57" s="468">
        <v>20</v>
      </c>
      <c r="N57" s="468">
        <v>20</v>
      </c>
      <c r="O57" s="494">
        <f t="shared" si="0"/>
        <v>1</v>
      </c>
      <c r="P57" s="494">
        <f t="shared" si="1"/>
        <v>1</v>
      </c>
      <c r="Q57" s="786">
        <f t="shared" si="2"/>
        <v>1</v>
      </c>
      <c r="R57" s="468"/>
      <c r="S57" s="24"/>
    </row>
    <row r="58" spans="1:19" ht="25.5" x14ac:dyDescent="0.2">
      <c r="A58" s="239" t="s">
        <v>351</v>
      </c>
      <c r="B58" s="489" t="s">
        <v>1805</v>
      </c>
      <c r="C58" s="490" t="s">
        <v>1804</v>
      </c>
      <c r="D58" s="489" t="s">
        <v>112</v>
      </c>
      <c r="E58" s="489" t="s">
        <v>957</v>
      </c>
      <c r="F58" s="491" t="s">
        <v>124</v>
      </c>
      <c r="G58" s="489" t="s">
        <v>945</v>
      </c>
      <c r="H58" s="489" t="s">
        <v>79</v>
      </c>
      <c r="I58" s="468"/>
      <c r="J58" s="489" t="s">
        <v>913</v>
      </c>
      <c r="K58" s="492">
        <v>33</v>
      </c>
      <c r="L58" s="495"/>
      <c r="M58" s="468">
        <v>20</v>
      </c>
      <c r="N58" s="468">
        <v>15</v>
      </c>
      <c r="O58" s="494">
        <f t="shared" si="0"/>
        <v>0.75</v>
      </c>
      <c r="P58" s="494">
        <f t="shared" si="1"/>
        <v>0.75</v>
      </c>
      <c r="Q58" s="786">
        <f t="shared" si="2"/>
        <v>2.2727272727272729</v>
      </c>
      <c r="R58" s="468"/>
      <c r="S58" s="24"/>
    </row>
    <row r="59" spans="1:19" x14ac:dyDescent="0.2">
      <c r="A59" s="239" t="s">
        <v>351</v>
      </c>
      <c r="B59" s="489" t="s">
        <v>1805</v>
      </c>
      <c r="C59" s="490" t="s">
        <v>1804</v>
      </c>
      <c r="D59" s="489" t="s">
        <v>112</v>
      </c>
      <c r="E59" s="489" t="s">
        <v>958</v>
      </c>
      <c r="F59" s="491" t="s">
        <v>124</v>
      </c>
      <c r="G59" s="489" t="s">
        <v>945</v>
      </c>
      <c r="H59" s="489" t="s">
        <v>79</v>
      </c>
      <c r="I59" s="468"/>
      <c r="J59" s="489" t="s">
        <v>913</v>
      </c>
      <c r="K59" s="492">
        <v>33</v>
      </c>
      <c r="L59" s="495"/>
      <c r="M59" s="468">
        <v>20</v>
      </c>
      <c r="N59" s="468">
        <v>15</v>
      </c>
      <c r="O59" s="494">
        <f t="shared" si="0"/>
        <v>0.75</v>
      </c>
      <c r="P59" s="494">
        <f t="shared" si="1"/>
        <v>0.75</v>
      </c>
      <c r="Q59" s="786">
        <f t="shared" si="2"/>
        <v>2.2727272727272729</v>
      </c>
      <c r="R59" s="468"/>
      <c r="S59" s="24"/>
    </row>
    <row r="60" spans="1:19" x14ac:dyDescent="0.2">
      <c r="A60" s="239" t="s">
        <v>351</v>
      </c>
      <c r="B60" s="489" t="s">
        <v>1805</v>
      </c>
      <c r="C60" s="490" t="s">
        <v>1804</v>
      </c>
      <c r="D60" s="489" t="s">
        <v>112</v>
      </c>
      <c r="E60" s="489" t="s">
        <v>959</v>
      </c>
      <c r="F60" s="491" t="s">
        <v>124</v>
      </c>
      <c r="G60" s="489" t="s">
        <v>945</v>
      </c>
      <c r="H60" s="489" t="s">
        <v>79</v>
      </c>
      <c r="I60" s="468"/>
      <c r="J60" s="489" t="s">
        <v>913</v>
      </c>
      <c r="K60" s="492">
        <v>33</v>
      </c>
      <c r="L60" s="495"/>
      <c r="M60" s="468">
        <v>20</v>
      </c>
      <c r="N60" s="468">
        <v>15</v>
      </c>
      <c r="O60" s="494">
        <f t="shared" si="0"/>
        <v>0.75</v>
      </c>
      <c r="P60" s="494">
        <f t="shared" si="1"/>
        <v>0.75</v>
      </c>
      <c r="Q60" s="786">
        <f t="shared" si="2"/>
        <v>2.2727272727272729</v>
      </c>
      <c r="R60" s="468"/>
      <c r="S60" s="24"/>
    </row>
    <row r="61" spans="1:19" ht="25.5" x14ac:dyDescent="0.2">
      <c r="A61" s="239" t="s">
        <v>351</v>
      </c>
      <c r="B61" s="489" t="s">
        <v>1805</v>
      </c>
      <c r="C61" s="490" t="s">
        <v>1804</v>
      </c>
      <c r="D61" s="489" t="s">
        <v>112</v>
      </c>
      <c r="E61" s="489" t="s">
        <v>960</v>
      </c>
      <c r="F61" s="491" t="s">
        <v>124</v>
      </c>
      <c r="G61" s="489" t="s">
        <v>945</v>
      </c>
      <c r="H61" s="489" t="s">
        <v>79</v>
      </c>
      <c r="I61" s="468"/>
      <c r="J61" s="489" t="s">
        <v>913</v>
      </c>
      <c r="K61" s="492">
        <v>33</v>
      </c>
      <c r="L61" s="495"/>
      <c r="M61" s="468">
        <v>20</v>
      </c>
      <c r="N61" s="468">
        <v>15</v>
      </c>
      <c r="O61" s="494">
        <f t="shared" si="0"/>
        <v>0.75</v>
      </c>
      <c r="P61" s="494">
        <f t="shared" si="1"/>
        <v>0.75</v>
      </c>
      <c r="Q61" s="786">
        <f t="shared" si="2"/>
        <v>2.2727272727272729</v>
      </c>
      <c r="R61" s="468"/>
      <c r="S61" s="24"/>
    </row>
    <row r="62" spans="1:19" x14ac:dyDescent="0.2">
      <c r="A62" s="239" t="s">
        <v>351</v>
      </c>
      <c r="B62" s="489" t="s">
        <v>1805</v>
      </c>
      <c r="C62" s="490" t="s">
        <v>1804</v>
      </c>
      <c r="D62" s="489" t="s">
        <v>112</v>
      </c>
      <c r="E62" s="489" t="s">
        <v>961</v>
      </c>
      <c r="F62" s="491" t="s">
        <v>124</v>
      </c>
      <c r="G62" s="489" t="s">
        <v>945</v>
      </c>
      <c r="H62" s="489" t="s">
        <v>79</v>
      </c>
      <c r="I62" s="468"/>
      <c r="J62" s="489" t="s">
        <v>913</v>
      </c>
      <c r="K62" s="492">
        <v>33</v>
      </c>
      <c r="L62" s="495"/>
      <c r="M62" s="468">
        <v>20</v>
      </c>
      <c r="N62" s="468">
        <v>15</v>
      </c>
      <c r="O62" s="494">
        <f t="shared" si="0"/>
        <v>0.75</v>
      </c>
      <c r="P62" s="494">
        <f t="shared" si="1"/>
        <v>0.75</v>
      </c>
      <c r="Q62" s="786">
        <f t="shared" si="2"/>
        <v>2.2727272727272729</v>
      </c>
      <c r="R62" s="468"/>
      <c r="S62" s="24"/>
    </row>
    <row r="63" spans="1:19" x14ac:dyDescent="0.2">
      <c r="A63" s="239" t="s">
        <v>351</v>
      </c>
      <c r="B63" s="489" t="s">
        <v>1805</v>
      </c>
      <c r="C63" s="490" t="s">
        <v>1804</v>
      </c>
      <c r="D63" s="489" t="s">
        <v>112</v>
      </c>
      <c r="E63" s="489" t="s">
        <v>962</v>
      </c>
      <c r="F63" s="491" t="s">
        <v>124</v>
      </c>
      <c r="G63" s="489" t="s">
        <v>945</v>
      </c>
      <c r="H63" s="489" t="s">
        <v>79</v>
      </c>
      <c r="I63" s="468"/>
      <c r="J63" s="489" t="s">
        <v>913</v>
      </c>
      <c r="K63" s="492">
        <v>33</v>
      </c>
      <c r="L63" s="495"/>
      <c r="M63" s="468">
        <v>20</v>
      </c>
      <c r="N63" s="468">
        <v>15</v>
      </c>
      <c r="O63" s="494">
        <f t="shared" si="0"/>
        <v>0.75</v>
      </c>
      <c r="P63" s="494">
        <f t="shared" si="1"/>
        <v>0.75</v>
      </c>
      <c r="Q63" s="786">
        <f t="shared" si="2"/>
        <v>2.2727272727272729</v>
      </c>
      <c r="R63" s="468"/>
      <c r="S63" s="24"/>
    </row>
    <row r="64" spans="1:19" x14ac:dyDescent="0.2">
      <c r="A64" s="239" t="s">
        <v>351</v>
      </c>
      <c r="B64" s="489" t="s">
        <v>1805</v>
      </c>
      <c r="C64" s="490" t="s">
        <v>1804</v>
      </c>
      <c r="D64" s="489" t="s">
        <v>112</v>
      </c>
      <c r="E64" s="489" t="s">
        <v>963</v>
      </c>
      <c r="F64" s="491" t="s">
        <v>947</v>
      </c>
      <c r="G64" s="489" t="s">
        <v>114</v>
      </c>
      <c r="H64" s="489" t="s">
        <v>79</v>
      </c>
      <c r="I64" s="468"/>
      <c r="J64" s="489" t="s">
        <v>913</v>
      </c>
      <c r="K64" s="492">
        <v>100</v>
      </c>
      <c r="L64" s="495"/>
      <c r="M64" s="468">
        <v>20</v>
      </c>
      <c r="N64" s="468">
        <v>20</v>
      </c>
      <c r="O64" s="494">
        <f t="shared" si="0"/>
        <v>1</v>
      </c>
      <c r="P64" s="494">
        <f t="shared" si="1"/>
        <v>1</v>
      </c>
      <c r="Q64" s="786">
        <f t="shared" si="2"/>
        <v>1</v>
      </c>
      <c r="R64" s="468"/>
      <c r="S64" s="24"/>
    </row>
    <row r="65" spans="1:19" x14ac:dyDescent="0.2">
      <c r="A65" s="239" t="s">
        <v>351</v>
      </c>
      <c r="B65" s="489" t="s">
        <v>1805</v>
      </c>
      <c r="C65" s="490" t="s">
        <v>1804</v>
      </c>
      <c r="D65" s="489" t="s">
        <v>112</v>
      </c>
      <c r="E65" s="489" t="s">
        <v>964</v>
      </c>
      <c r="F65" s="491" t="s">
        <v>947</v>
      </c>
      <c r="G65" s="489" t="s">
        <v>114</v>
      </c>
      <c r="H65" s="489" t="s">
        <v>79</v>
      </c>
      <c r="I65" s="468"/>
      <c r="J65" s="489" t="s">
        <v>913</v>
      </c>
      <c r="K65" s="492">
        <v>100</v>
      </c>
      <c r="L65" s="495"/>
      <c r="M65" s="468">
        <v>20</v>
      </c>
      <c r="N65" s="468">
        <v>20</v>
      </c>
      <c r="O65" s="494">
        <f t="shared" si="0"/>
        <v>1</v>
      </c>
      <c r="P65" s="494">
        <f t="shared" si="1"/>
        <v>1</v>
      </c>
      <c r="Q65" s="786">
        <f t="shared" si="2"/>
        <v>1</v>
      </c>
      <c r="R65" s="468"/>
      <c r="S65" s="24"/>
    </row>
    <row r="66" spans="1:19" ht="25.5" x14ac:dyDescent="0.2">
      <c r="A66" s="239" t="s">
        <v>351</v>
      </c>
      <c r="B66" s="489" t="s">
        <v>1805</v>
      </c>
      <c r="C66" s="490" t="s">
        <v>1804</v>
      </c>
      <c r="D66" s="489" t="s">
        <v>112</v>
      </c>
      <c r="E66" s="489" t="s">
        <v>965</v>
      </c>
      <c r="F66" s="491" t="s">
        <v>947</v>
      </c>
      <c r="G66" s="489" t="s">
        <v>114</v>
      </c>
      <c r="H66" s="489" t="s">
        <v>79</v>
      </c>
      <c r="I66" s="468"/>
      <c r="J66" s="489" t="s">
        <v>913</v>
      </c>
      <c r="K66" s="492">
        <v>100</v>
      </c>
      <c r="L66" s="495"/>
      <c r="M66" s="468">
        <v>20</v>
      </c>
      <c r="N66" s="468">
        <v>20</v>
      </c>
      <c r="O66" s="494">
        <f t="shared" si="0"/>
        <v>1</v>
      </c>
      <c r="P66" s="494">
        <f t="shared" si="1"/>
        <v>1</v>
      </c>
      <c r="Q66" s="786">
        <f t="shared" si="2"/>
        <v>1</v>
      </c>
      <c r="R66" s="468"/>
      <c r="S66" s="24"/>
    </row>
    <row r="67" spans="1:19" ht="63.75" x14ac:dyDescent="0.2">
      <c r="A67" s="239" t="s">
        <v>351</v>
      </c>
      <c r="B67" s="489" t="s">
        <v>1805</v>
      </c>
      <c r="C67" s="490" t="s">
        <v>1804</v>
      </c>
      <c r="D67" s="489" t="s">
        <v>112</v>
      </c>
      <c r="E67" s="489" t="s">
        <v>966</v>
      </c>
      <c r="F67" s="491" t="s">
        <v>944</v>
      </c>
      <c r="G67" s="489" t="s">
        <v>114</v>
      </c>
      <c r="H67" s="489" t="s">
        <v>79</v>
      </c>
      <c r="I67" s="468"/>
      <c r="J67" s="489" t="s">
        <v>913</v>
      </c>
      <c r="K67" s="492">
        <v>100</v>
      </c>
      <c r="L67" s="495" t="s">
        <v>976</v>
      </c>
      <c r="M67" s="468">
        <v>20</v>
      </c>
      <c r="N67" s="468">
        <v>20</v>
      </c>
      <c r="O67" s="494">
        <f t="shared" si="0"/>
        <v>1</v>
      </c>
      <c r="P67" s="494">
        <f t="shared" si="1"/>
        <v>1</v>
      </c>
      <c r="Q67" s="786">
        <f t="shared" si="2"/>
        <v>1</v>
      </c>
      <c r="R67" s="468"/>
      <c r="S67" s="24"/>
    </row>
    <row r="68" spans="1:19" x14ac:dyDescent="0.2">
      <c r="A68" s="239" t="s">
        <v>351</v>
      </c>
      <c r="B68" s="489" t="s">
        <v>1805</v>
      </c>
      <c r="C68" s="490" t="s">
        <v>1804</v>
      </c>
      <c r="D68" s="489" t="s">
        <v>112</v>
      </c>
      <c r="E68" s="489" t="s">
        <v>966</v>
      </c>
      <c r="F68" s="491" t="s">
        <v>124</v>
      </c>
      <c r="G68" s="489" t="s">
        <v>945</v>
      </c>
      <c r="H68" s="489" t="s">
        <v>79</v>
      </c>
      <c r="I68" s="468"/>
      <c r="J68" s="489" t="s">
        <v>913</v>
      </c>
      <c r="K68" s="492">
        <v>33</v>
      </c>
      <c r="L68" s="495"/>
      <c r="M68" s="468">
        <v>20</v>
      </c>
      <c r="N68" s="468">
        <v>15</v>
      </c>
      <c r="O68" s="494">
        <f t="shared" si="0"/>
        <v>0.75</v>
      </c>
      <c r="P68" s="494">
        <f t="shared" si="1"/>
        <v>0.75</v>
      </c>
      <c r="Q68" s="786">
        <f t="shared" si="2"/>
        <v>2.2727272727272729</v>
      </c>
      <c r="R68" s="468"/>
      <c r="S68" s="24"/>
    </row>
    <row r="69" spans="1:19" x14ac:dyDescent="0.2">
      <c r="A69" s="239" t="s">
        <v>351</v>
      </c>
      <c r="B69" s="489" t="s">
        <v>1805</v>
      </c>
      <c r="C69" s="490" t="s">
        <v>1804</v>
      </c>
      <c r="D69" s="489" t="s">
        <v>112</v>
      </c>
      <c r="E69" s="489" t="s">
        <v>967</v>
      </c>
      <c r="F69" s="491" t="s">
        <v>947</v>
      </c>
      <c r="G69" s="489" t="s">
        <v>945</v>
      </c>
      <c r="H69" s="489" t="s">
        <v>79</v>
      </c>
      <c r="I69" s="468"/>
      <c r="J69" s="489" t="s">
        <v>913</v>
      </c>
      <c r="K69" s="492">
        <v>25</v>
      </c>
      <c r="L69" s="495"/>
      <c r="M69" s="468">
        <v>20</v>
      </c>
      <c r="N69" s="468">
        <v>13</v>
      </c>
      <c r="O69" s="494">
        <f t="shared" si="0"/>
        <v>0.65</v>
      </c>
      <c r="P69" s="494">
        <f t="shared" si="1"/>
        <v>0.65</v>
      </c>
      <c r="Q69" s="786">
        <f t="shared" si="2"/>
        <v>2.6</v>
      </c>
      <c r="R69" s="468"/>
      <c r="S69" s="24"/>
    </row>
    <row r="70" spans="1:19" ht="51" x14ac:dyDescent="0.2">
      <c r="A70" s="239" t="s">
        <v>351</v>
      </c>
      <c r="B70" s="489" t="s">
        <v>1805</v>
      </c>
      <c r="C70" s="490" t="s">
        <v>1804</v>
      </c>
      <c r="D70" s="489" t="s">
        <v>112</v>
      </c>
      <c r="E70" s="489" t="s">
        <v>968</v>
      </c>
      <c r="F70" s="491" t="s">
        <v>947</v>
      </c>
      <c r="G70" s="489" t="s">
        <v>945</v>
      </c>
      <c r="H70" s="489" t="s">
        <v>79</v>
      </c>
      <c r="I70" s="468"/>
      <c r="J70" s="489" t="s">
        <v>913</v>
      </c>
      <c r="K70" s="492">
        <v>25</v>
      </c>
      <c r="L70" s="495"/>
      <c r="M70" s="468">
        <v>20</v>
      </c>
      <c r="N70" s="468">
        <v>13</v>
      </c>
      <c r="O70" s="494">
        <f t="shared" ref="O70:O133" si="3">N70/M70</f>
        <v>0.65</v>
      </c>
      <c r="P70" s="494">
        <f t="shared" ref="P70:P133" si="4">O70</f>
        <v>0.65</v>
      </c>
      <c r="Q70" s="786">
        <f t="shared" ref="Q70:Q133" si="5">N70/(M70*K70/100)</f>
        <v>2.6</v>
      </c>
      <c r="R70" s="468"/>
      <c r="S70" s="24"/>
    </row>
    <row r="71" spans="1:19" ht="51" x14ac:dyDescent="0.2">
      <c r="A71" s="239" t="s">
        <v>351</v>
      </c>
      <c r="B71" s="489" t="s">
        <v>1805</v>
      </c>
      <c r="C71" s="490" t="s">
        <v>1804</v>
      </c>
      <c r="D71" s="489" t="s">
        <v>112</v>
      </c>
      <c r="E71" s="489" t="s">
        <v>969</v>
      </c>
      <c r="F71" s="491" t="s">
        <v>947</v>
      </c>
      <c r="G71" s="489" t="s">
        <v>114</v>
      </c>
      <c r="H71" s="489" t="s">
        <v>79</v>
      </c>
      <c r="I71" s="468"/>
      <c r="J71" s="489" t="s">
        <v>913</v>
      </c>
      <c r="K71" s="492">
        <v>100</v>
      </c>
      <c r="L71" s="495"/>
      <c r="M71" s="468">
        <v>20</v>
      </c>
      <c r="N71" s="468">
        <v>20</v>
      </c>
      <c r="O71" s="494">
        <f t="shared" si="3"/>
        <v>1</v>
      </c>
      <c r="P71" s="494">
        <f t="shared" si="4"/>
        <v>1</v>
      </c>
      <c r="Q71" s="786">
        <f t="shared" si="5"/>
        <v>1</v>
      </c>
      <c r="R71" s="468"/>
      <c r="S71" s="24"/>
    </row>
    <row r="72" spans="1:19" ht="25.5" x14ac:dyDescent="0.2">
      <c r="A72" s="239" t="s">
        <v>351</v>
      </c>
      <c r="B72" s="489" t="s">
        <v>1805</v>
      </c>
      <c r="C72" s="490" t="s">
        <v>1804</v>
      </c>
      <c r="D72" s="489" t="s">
        <v>117</v>
      </c>
      <c r="E72" s="489" t="s">
        <v>970</v>
      </c>
      <c r="F72" s="491" t="s">
        <v>947</v>
      </c>
      <c r="G72" s="489" t="s">
        <v>114</v>
      </c>
      <c r="H72" s="489" t="s">
        <v>79</v>
      </c>
      <c r="I72" s="468"/>
      <c r="J72" s="489" t="s">
        <v>913</v>
      </c>
      <c r="K72" s="492">
        <v>100</v>
      </c>
      <c r="L72" s="495"/>
      <c r="M72" s="468">
        <v>20</v>
      </c>
      <c r="N72" s="468">
        <v>20</v>
      </c>
      <c r="O72" s="494">
        <f t="shared" si="3"/>
        <v>1</v>
      </c>
      <c r="P72" s="494">
        <f t="shared" si="4"/>
        <v>1</v>
      </c>
      <c r="Q72" s="786">
        <f t="shared" si="5"/>
        <v>1</v>
      </c>
      <c r="R72" s="468"/>
      <c r="S72" s="24"/>
    </row>
    <row r="73" spans="1:19" x14ac:dyDescent="0.2">
      <c r="A73" s="239" t="s">
        <v>351</v>
      </c>
      <c r="B73" s="489" t="s">
        <v>1805</v>
      </c>
      <c r="C73" s="490" t="s">
        <v>1804</v>
      </c>
      <c r="D73" s="489" t="s">
        <v>117</v>
      </c>
      <c r="E73" s="489" t="s">
        <v>971</v>
      </c>
      <c r="F73" s="491" t="s">
        <v>947</v>
      </c>
      <c r="G73" s="489" t="s">
        <v>114</v>
      </c>
      <c r="H73" s="489" t="s">
        <v>79</v>
      </c>
      <c r="I73" s="468"/>
      <c r="J73" s="489" t="s">
        <v>913</v>
      </c>
      <c r="K73" s="492">
        <v>100</v>
      </c>
      <c r="L73" s="495"/>
      <c r="M73" s="468">
        <v>20</v>
      </c>
      <c r="N73" s="468">
        <v>20</v>
      </c>
      <c r="O73" s="494">
        <f t="shared" si="3"/>
        <v>1</v>
      </c>
      <c r="P73" s="494">
        <f t="shared" si="4"/>
        <v>1</v>
      </c>
      <c r="Q73" s="786">
        <f t="shared" si="5"/>
        <v>1</v>
      </c>
      <c r="R73" s="468"/>
      <c r="S73" s="24"/>
    </row>
    <row r="74" spans="1:19" ht="25.5" x14ac:dyDescent="0.2">
      <c r="A74" s="239" t="s">
        <v>351</v>
      </c>
      <c r="B74" s="489" t="s">
        <v>1805</v>
      </c>
      <c r="C74" s="490" t="s">
        <v>1804</v>
      </c>
      <c r="D74" s="489" t="s">
        <v>117</v>
      </c>
      <c r="E74" s="489" t="s">
        <v>126</v>
      </c>
      <c r="F74" s="491" t="s">
        <v>947</v>
      </c>
      <c r="G74" s="489" t="s">
        <v>945</v>
      </c>
      <c r="H74" s="489" t="s">
        <v>79</v>
      </c>
      <c r="I74" s="468"/>
      <c r="J74" s="489" t="s">
        <v>913</v>
      </c>
      <c r="K74" s="492">
        <v>25</v>
      </c>
      <c r="L74" s="495"/>
      <c r="M74" s="468">
        <v>20</v>
      </c>
      <c r="N74" s="468">
        <v>13</v>
      </c>
      <c r="O74" s="494">
        <f t="shared" si="3"/>
        <v>0.65</v>
      </c>
      <c r="P74" s="494">
        <f t="shared" si="4"/>
        <v>0.65</v>
      </c>
      <c r="Q74" s="786">
        <f t="shared" si="5"/>
        <v>2.6</v>
      </c>
      <c r="R74" s="468"/>
      <c r="S74" s="24"/>
    </row>
    <row r="75" spans="1:19" x14ac:dyDescent="0.2">
      <c r="A75" s="239" t="s">
        <v>351</v>
      </c>
      <c r="B75" s="489" t="s">
        <v>1805</v>
      </c>
      <c r="C75" s="490" t="s">
        <v>1804</v>
      </c>
      <c r="D75" s="489" t="s">
        <v>117</v>
      </c>
      <c r="E75" s="489" t="s">
        <v>972</v>
      </c>
      <c r="F75" s="491" t="s">
        <v>947</v>
      </c>
      <c r="G75" s="489" t="s">
        <v>945</v>
      </c>
      <c r="H75" s="489" t="s">
        <v>79</v>
      </c>
      <c r="I75" s="468"/>
      <c r="J75" s="489" t="s">
        <v>913</v>
      </c>
      <c r="K75" s="492">
        <v>25</v>
      </c>
      <c r="L75" s="495"/>
      <c r="M75" s="468">
        <v>20</v>
      </c>
      <c r="N75" s="468">
        <v>13</v>
      </c>
      <c r="O75" s="494">
        <f t="shared" si="3"/>
        <v>0.65</v>
      </c>
      <c r="P75" s="494">
        <f t="shared" si="4"/>
        <v>0.65</v>
      </c>
      <c r="Q75" s="786">
        <f t="shared" si="5"/>
        <v>2.6</v>
      </c>
      <c r="R75" s="468"/>
      <c r="S75" s="24"/>
    </row>
    <row r="76" spans="1:19" ht="25.5" x14ac:dyDescent="0.2">
      <c r="A76" s="239" t="s">
        <v>351</v>
      </c>
      <c r="B76" s="489" t="s">
        <v>1805</v>
      </c>
      <c r="C76" s="490" t="s">
        <v>1804</v>
      </c>
      <c r="D76" s="489" t="s">
        <v>117</v>
      </c>
      <c r="E76" s="489" t="s">
        <v>973</v>
      </c>
      <c r="F76" s="491" t="s">
        <v>947</v>
      </c>
      <c r="G76" s="489" t="s">
        <v>945</v>
      </c>
      <c r="H76" s="489" t="s">
        <v>79</v>
      </c>
      <c r="I76" s="468"/>
      <c r="J76" s="489" t="s">
        <v>913</v>
      </c>
      <c r="K76" s="492">
        <v>25</v>
      </c>
      <c r="L76" s="495"/>
      <c r="M76" s="468">
        <v>20</v>
      </c>
      <c r="N76" s="468">
        <v>13</v>
      </c>
      <c r="O76" s="494">
        <f t="shared" si="3"/>
        <v>0.65</v>
      </c>
      <c r="P76" s="494">
        <f t="shared" si="4"/>
        <v>0.65</v>
      </c>
      <c r="Q76" s="786">
        <f t="shared" si="5"/>
        <v>2.6</v>
      </c>
      <c r="R76" s="468"/>
      <c r="S76" s="24"/>
    </row>
    <row r="77" spans="1:19" ht="25.5" x14ac:dyDescent="0.2">
      <c r="A77" s="239" t="s">
        <v>351</v>
      </c>
      <c r="B77" s="489" t="s">
        <v>1805</v>
      </c>
      <c r="C77" s="490" t="s">
        <v>1804</v>
      </c>
      <c r="D77" s="489" t="s">
        <v>117</v>
      </c>
      <c r="E77" s="489" t="s">
        <v>974</v>
      </c>
      <c r="F77" s="491" t="s">
        <v>947</v>
      </c>
      <c r="G77" s="489" t="s">
        <v>945</v>
      </c>
      <c r="H77" s="489" t="s">
        <v>79</v>
      </c>
      <c r="I77" s="468"/>
      <c r="J77" s="489" t="s">
        <v>913</v>
      </c>
      <c r="K77" s="492">
        <v>25</v>
      </c>
      <c r="L77" s="495"/>
      <c r="M77" s="468">
        <v>20</v>
      </c>
      <c r="N77" s="468">
        <v>13</v>
      </c>
      <c r="O77" s="494">
        <f t="shared" si="3"/>
        <v>0.65</v>
      </c>
      <c r="P77" s="494">
        <f t="shared" si="4"/>
        <v>0.65</v>
      </c>
      <c r="Q77" s="786">
        <f t="shared" si="5"/>
        <v>2.6</v>
      </c>
      <c r="R77" s="468"/>
      <c r="S77" s="24"/>
    </row>
    <row r="78" spans="1:19" ht="25.5" x14ac:dyDescent="0.2">
      <c r="A78" s="239" t="s">
        <v>351</v>
      </c>
      <c r="B78" s="489" t="s">
        <v>1805</v>
      </c>
      <c r="C78" s="490" t="s">
        <v>1804</v>
      </c>
      <c r="D78" s="489" t="s">
        <v>117</v>
      </c>
      <c r="E78" s="489" t="s">
        <v>975</v>
      </c>
      <c r="F78" s="491" t="s">
        <v>947</v>
      </c>
      <c r="G78" s="489" t="s">
        <v>114</v>
      </c>
      <c r="H78" s="489" t="s">
        <v>79</v>
      </c>
      <c r="I78" s="468"/>
      <c r="J78" s="489" t="s">
        <v>913</v>
      </c>
      <c r="K78" s="492">
        <v>100</v>
      </c>
      <c r="L78" s="495"/>
      <c r="M78" s="468">
        <v>20</v>
      </c>
      <c r="N78" s="468">
        <v>20</v>
      </c>
      <c r="O78" s="494">
        <f t="shared" si="3"/>
        <v>1</v>
      </c>
      <c r="P78" s="494">
        <f t="shared" si="4"/>
        <v>1</v>
      </c>
      <c r="Q78" s="786">
        <f t="shared" si="5"/>
        <v>1</v>
      </c>
      <c r="R78" s="468"/>
      <c r="S78" s="24"/>
    </row>
    <row r="79" spans="1:19" ht="25.5" x14ac:dyDescent="0.2">
      <c r="A79" s="239" t="s">
        <v>351</v>
      </c>
      <c r="B79" s="489" t="s">
        <v>1805</v>
      </c>
      <c r="C79" s="490" t="s">
        <v>1804</v>
      </c>
      <c r="D79" s="489" t="s">
        <v>117</v>
      </c>
      <c r="E79" s="489" t="s">
        <v>975</v>
      </c>
      <c r="F79" s="491" t="s">
        <v>124</v>
      </c>
      <c r="G79" s="489" t="s">
        <v>945</v>
      </c>
      <c r="H79" s="489" t="s">
        <v>79</v>
      </c>
      <c r="I79" s="468"/>
      <c r="J79" s="489" t="s">
        <v>913</v>
      </c>
      <c r="K79" s="492">
        <v>33</v>
      </c>
      <c r="L79" s="495"/>
      <c r="M79" s="468">
        <v>20</v>
      </c>
      <c r="N79" s="468">
        <v>15</v>
      </c>
      <c r="O79" s="494">
        <f t="shared" si="3"/>
        <v>0.75</v>
      </c>
      <c r="P79" s="494">
        <f t="shared" si="4"/>
        <v>0.75</v>
      </c>
      <c r="Q79" s="786">
        <f t="shared" si="5"/>
        <v>2.2727272727272729</v>
      </c>
      <c r="R79" s="468"/>
      <c r="S79" s="24"/>
    </row>
    <row r="80" spans="1:19" ht="63.75" x14ac:dyDescent="0.2">
      <c r="A80" s="239" t="s">
        <v>351</v>
      </c>
      <c r="B80" s="489" t="s">
        <v>1805</v>
      </c>
      <c r="C80" s="490" t="s">
        <v>1804</v>
      </c>
      <c r="D80" s="489" t="s">
        <v>117</v>
      </c>
      <c r="E80" s="489" t="s">
        <v>940</v>
      </c>
      <c r="F80" s="491" t="s">
        <v>947</v>
      </c>
      <c r="G80" s="489" t="s">
        <v>114</v>
      </c>
      <c r="H80" s="489" t="s">
        <v>79</v>
      </c>
      <c r="I80" s="468"/>
      <c r="J80" s="489" t="s">
        <v>913</v>
      </c>
      <c r="K80" s="492">
        <v>100</v>
      </c>
      <c r="L80" s="495" t="s">
        <v>976</v>
      </c>
      <c r="M80" s="468">
        <v>20</v>
      </c>
      <c r="N80" s="468">
        <v>20</v>
      </c>
      <c r="O80" s="494">
        <f t="shared" si="3"/>
        <v>1</v>
      </c>
      <c r="P80" s="494">
        <f t="shared" si="4"/>
        <v>1</v>
      </c>
      <c r="Q80" s="786">
        <f t="shared" si="5"/>
        <v>1</v>
      </c>
      <c r="R80" s="468"/>
      <c r="S80" s="24"/>
    </row>
    <row r="81" spans="1:19" x14ac:dyDescent="0.2">
      <c r="A81" s="239" t="s">
        <v>351</v>
      </c>
      <c r="B81" s="489" t="s">
        <v>1805</v>
      </c>
      <c r="C81" s="490" t="s">
        <v>1804</v>
      </c>
      <c r="D81" s="489" t="s">
        <v>117</v>
      </c>
      <c r="E81" s="489" t="s">
        <v>940</v>
      </c>
      <c r="F81" s="491" t="s">
        <v>124</v>
      </c>
      <c r="G81" s="489" t="s">
        <v>945</v>
      </c>
      <c r="H81" s="489" t="s">
        <v>79</v>
      </c>
      <c r="I81" s="468"/>
      <c r="J81" s="489" t="s">
        <v>913</v>
      </c>
      <c r="K81" s="492">
        <v>33</v>
      </c>
      <c r="L81" s="495"/>
      <c r="M81" s="468">
        <v>20</v>
      </c>
      <c r="N81" s="468">
        <v>15</v>
      </c>
      <c r="O81" s="494">
        <f t="shared" si="3"/>
        <v>0.75</v>
      </c>
      <c r="P81" s="494">
        <f t="shared" si="4"/>
        <v>0.75</v>
      </c>
      <c r="Q81" s="786">
        <f t="shared" si="5"/>
        <v>2.2727272727272729</v>
      </c>
      <c r="R81" s="468"/>
      <c r="S81" s="24"/>
    </row>
    <row r="82" spans="1:19" ht="63.75" x14ac:dyDescent="0.2">
      <c r="A82" s="239" t="s">
        <v>351</v>
      </c>
      <c r="B82" s="489" t="s">
        <v>1807</v>
      </c>
      <c r="C82" s="490" t="s">
        <v>1808</v>
      </c>
      <c r="D82" s="489" t="s">
        <v>112</v>
      </c>
      <c r="E82" s="489" t="s">
        <v>943</v>
      </c>
      <c r="F82" s="491" t="s">
        <v>944</v>
      </c>
      <c r="G82" s="489" t="s">
        <v>114</v>
      </c>
      <c r="H82" s="489" t="s">
        <v>79</v>
      </c>
      <c r="I82" s="468"/>
      <c r="J82" s="489" t="s">
        <v>913</v>
      </c>
      <c r="K82" s="492">
        <v>100</v>
      </c>
      <c r="L82" s="495" t="s">
        <v>976</v>
      </c>
      <c r="M82" s="468">
        <v>5</v>
      </c>
      <c r="N82" s="468">
        <v>3</v>
      </c>
      <c r="O82" s="494">
        <f t="shared" si="3"/>
        <v>0.6</v>
      </c>
      <c r="P82" s="494">
        <f t="shared" si="4"/>
        <v>0.6</v>
      </c>
      <c r="Q82" s="786">
        <f t="shared" si="5"/>
        <v>0.6</v>
      </c>
      <c r="R82" s="468"/>
      <c r="S82" s="24"/>
    </row>
    <row r="83" spans="1:19" ht="25.5" x14ac:dyDescent="0.2">
      <c r="A83" s="239" t="s">
        <v>351</v>
      </c>
      <c r="B83" s="489" t="s">
        <v>1807</v>
      </c>
      <c r="C83" s="490" t="s">
        <v>1808</v>
      </c>
      <c r="D83" s="489" t="s">
        <v>112</v>
      </c>
      <c r="E83" s="489" t="s">
        <v>943</v>
      </c>
      <c r="F83" s="491" t="s">
        <v>124</v>
      </c>
      <c r="G83" s="489" t="s">
        <v>945</v>
      </c>
      <c r="H83" s="489" t="s">
        <v>79</v>
      </c>
      <c r="I83" s="468"/>
      <c r="J83" s="489" t="s">
        <v>913</v>
      </c>
      <c r="K83" s="492">
        <v>33</v>
      </c>
      <c r="L83" s="495"/>
      <c r="M83" s="468">
        <v>5</v>
      </c>
      <c r="N83" s="468">
        <v>3</v>
      </c>
      <c r="O83" s="494">
        <f t="shared" si="3"/>
        <v>0.6</v>
      </c>
      <c r="P83" s="494">
        <f t="shared" si="4"/>
        <v>0.6</v>
      </c>
      <c r="Q83" s="786">
        <f t="shared" si="5"/>
        <v>1.8181818181818183</v>
      </c>
      <c r="R83" s="468"/>
      <c r="S83" s="24"/>
    </row>
    <row r="84" spans="1:19" x14ac:dyDescent="0.2">
      <c r="A84" s="239" t="s">
        <v>351</v>
      </c>
      <c r="B84" s="489" t="s">
        <v>1807</v>
      </c>
      <c r="C84" s="490" t="s">
        <v>1808</v>
      </c>
      <c r="D84" s="489" t="s">
        <v>112</v>
      </c>
      <c r="E84" s="489" t="s">
        <v>115</v>
      </c>
      <c r="F84" s="491" t="s">
        <v>944</v>
      </c>
      <c r="G84" s="489" t="s">
        <v>945</v>
      </c>
      <c r="H84" s="489" t="s">
        <v>79</v>
      </c>
      <c r="I84" s="468"/>
      <c r="J84" s="489" t="s">
        <v>913</v>
      </c>
      <c r="K84" s="492">
        <v>25</v>
      </c>
      <c r="L84" s="495"/>
      <c r="M84" s="468">
        <v>5</v>
      </c>
      <c r="N84" s="468">
        <v>1</v>
      </c>
      <c r="O84" s="494">
        <f t="shared" si="3"/>
        <v>0.2</v>
      </c>
      <c r="P84" s="494">
        <f t="shared" si="4"/>
        <v>0.2</v>
      </c>
      <c r="Q84" s="786">
        <f t="shared" si="5"/>
        <v>0.8</v>
      </c>
      <c r="R84" s="468"/>
      <c r="S84" s="24"/>
    </row>
    <row r="85" spans="1:19" x14ac:dyDescent="0.2">
      <c r="A85" s="239" t="s">
        <v>351</v>
      </c>
      <c r="B85" s="489" t="s">
        <v>1807</v>
      </c>
      <c r="C85" s="490" t="s">
        <v>1808</v>
      </c>
      <c r="D85" s="489" t="s">
        <v>112</v>
      </c>
      <c r="E85" s="489" t="s">
        <v>115</v>
      </c>
      <c r="F85" s="491" t="s">
        <v>124</v>
      </c>
      <c r="G85" s="489" t="s">
        <v>945</v>
      </c>
      <c r="H85" s="489" t="s">
        <v>79</v>
      </c>
      <c r="I85" s="468"/>
      <c r="J85" s="489" t="s">
        <v>913</v>
      </c>
      <c r="K85" s="492">
        <v>25</v>
      </c>
      <c r="L85" s="495"/>
      <c r="M85" s="468">
        <v>5</v>
      </c>
      <c r="N85" s="468">
        <v>3</v>
      </c>
      <c r="O85" s="494">
        <f t="shared" si="3"/>
        <v>0.6</v>
      </c>
      <c r="P85" s="494">
        <f t="shared" si="4"/>
        <v>0.6</v>
      </c>
      <c r="Q85" s="786">
        <f t="shared" si="5"/>
        <v>2.4</v>
      </c>
      <c r="R85" s="468"/>
      <c r="S85" s="24"/>
    </row>
    <row r="86" spans="1:19" ht="63.75" x14ac:dyDescent="0.2">
      <c r="A86" s="239" t="s">
        <v>351</v>
      </c>
      <c r="B86" s="489" t="s">
        <v>1807</v>
      </c>
      <c r="C86" s="490" t="s">
        <v>1808</v>
      </c>
      <c r="D86" s="489" t="s">
        <v>112</v>
      </c>
      <c r="E86" s="489" t="s">
        <v>946</v>
      </c>
      <c r="F86" s="491" t="s">
        <v>947</v>
      </c>
      <c r="G86" s="489" t="s">
        <v>945</v>
      </c>
      <c r="H86" s="489" t="s">
        <v>79</v>
      </c>
      <c r="I86" s="468"/>
      <c r="J86" s="489" t="s">
        <v>913</v>
      </c>
      <c r="K86" s="492">
        <v>25</v>
      </c>
      <c r="L86" s="495" t="s">
        <v>977</v>
      </c>
      <c r="M86" s="468">
        <v>5</v>
      </c>
      <c r="N86" s="468">
        <v>1</v>
      </c>
      <c r="O86" s="494">
        <f t="shared" si="3"/>
        <v>0.2</v>
      </c>
      <c r="P86" s="494">
        <f t="shared" si="4"/>
        <v>0.2</v>
      </c>
      <c r="Q86" s="786">
        <f t="shared" si="5"/>
        <v>0.8</v>
      </c>
      <c r="R86" s="468"/>
      <c r="S86" s="24"/>
    </row>
    <row r="87" spans="1:19" x14ac:dyDescent="0.2">
      <c r="A87" s="239" t="s">
        <v>351</v>
      </c>
      <c r="B87" s="489" t="s">
        <v>1807</v>
      </c>
      <c r="C87" s="490" t="s">
        <v>1808</v>
      </c>
      <c r="D87" s="489" t="s">
        <v>112</v>
      </c>
      <c r="E87" s="489" t="s">
        <v>946</v>
      </c>
      <c r="F87" s="491" t="s">
        <v>948</v>
      </c>
      <c r="G87" s="489" t="s">
        <v>945</v>
      </c>
      <c r="H87" s="489" t="s">
        <v>79</v>
      </c>
      <c r="I87" s="468"/>
      <c r="J87" s="489" t="s">
        <v>913</v>
      </c>
      <c r="K87" s="492">
        <v>33</v>
      </c>
      <c r="L87" s="495"/>
      <c r="M87" s="468">
        <v>5</v>
      </c>
      <c r="N87" s="468">
        <v>3</v>
      </c>
      <c r="O87" s="494">
        <f t="shared" si="3"/>
        <v>0.6</v>
      </c>
      <c r="P87" s="494">
        <f t="shared" si="4"/>
        <v>0.6</v>
      </c>
      <c r="Q87" s="786">
        <f t="shared" si="5"/>
        <v>1.8181818181818183</v>
      </c>
      <c r="R87" s="468"/>
      <c r="S87" s="24"/>
    </row>
    <row r="88" spans="1:19" ht="25.5" x14ac:dyDescent="0.2">
      <c r="A88" s="239" t="s">
        <v>351</v>
      </c>
      <c r="B88" s="489" t="s">
        <v>1807</v>
      </c>
      <c r="C88" s="490" t="s">
        <v>1808</v>
      </c>
      <c r="D88" s="489" t="s">
        <v>112</v>
      </c>
      <c r="E88" s="489" t="s">
        <v>949</v>
      </c>
      <c r="F88" s="491" t="s">
        <v>947</v>
      </c>
      <c r="G88" s="489" t="s">
        <v>945</v>
      </c>
      <c r="H88" s="489" t="s">
        <v>79</v>
      </c>
      <c r="I88" s="468"/>
      <c r="J88" s="489" t="s">
        <v>913</v>
      </c>
      <c r="K88" s="492">
        <v>25</v>
      </c>
      <c r="L88" s="495"/>
      <c r="M88" s="468">
        <v>5</v>
      </c>
      <c r="N88" s="468">
        <v>1</v>
      </c>
      <c r="O88" s="494">
        <f t="shared" si="3"/>
        <v>0.2</v>
      </c>
      <c r="P88" s="494">
        <f t="shared" si="4"/>
        <v>0.2</v>
      </c>
      <c r="Q88" s="786">
        <f t="shared" si="5"/>
        <v>0.8</v>
      </c>
      <c r="R88" s="468"/>
      <c r="S88" s="24"/>
    </row>
    <row r="89" spans="1:19" x14ac:dyDescent="0.2">
      <c r="A89" s="239" t="s">
        <v>351</v>
      </c>
      <c r="B89" s="489" t="s">
        <v>1807</v>
      </c>
      <c r="C89" s="490" t="s">
        <v>1808</v>
      </c>
      <c r="D89" s="489" t="s">
        <v>112</v>
      </c>
      <c r="E89" s="489" t="s">
        <v>125</v>
      </c>
      <c r="F89" s="491" t="s">
        <v>947</v>
      </c>
      <c r="G89" s="489" t="s">
        <v>945</v>
      </c>
      <c r="H89" s="489" t="s">
        <v>79</v>
      </c>
      <c r="I89" s="468"/>
      <c r="J89" s="489" t="s">
        <v>913</v>
      </c>
      <c r="K89" s="492">
        <v>25</v>
      </c>
      <c r="L89" s="495"/>
      <c r="M89" s="468">
        <v>5</v>
      </c>
      <c r="N89" s="468">
        <v>1</v>
      </c>
      <c r="O89" s="494">
        <f t="shared" si="3"/>
        <v>0.2</v>
      </c>
      <c r="P89" s="494">
        <f t="shared" si="4"/>
        <v>0.2</v>
      </c>
      <c r="Q89" s="786">
        <f t="shared" si="5"/>
        <v>0.8</v>
      </c>
      <c r="R89" s="468"/>
      <c r="S89" s="24"/>
    </row>
    <row r="90" spans="1:19" x14ac:dyDescent="0.2">
      <c r="A90" s="239" t="s">
        <v>351</v>
      </c>
      <c r="B90" s="489" t="s">
        <v>1807</v>
      </c>
      <c r="C90" s="490" t="s">
        <v>1808</v>
      </c>
      <c r="D90" s="489" t="s">
        <v>112</v>
      </c>
      <c r="E90" s="489" t="s">
        <v>950</v>
      </c>
      <c r="F90" s="491" t="s">
        <v>947</v>
      </c>
      <c r="G90" s="489" t="s">
        <v>114</v>
      </c>
      <c r="H90" s="489" t="s">
        <v>79</v>
      </c>
      <c r="I90" s="468"/>
      <c r="J90" s="489" t="s">
        <v>913</v>
      </c>
      <c r="K90" s="492">
        <v>100</v>
      </c>
      <c r="L90" s="495"/>
      <c r="M90" s="468">
        <v>5</v>
      </c>
      <c r="N90" s="468">
        <v>3</v>
      </c>
      <c r="O90" s="494">
        <f t="shared" si="3"/>
        <v>0.6</v>
      </c>
      <c r="P90" s="494">
        <f t="shared" si="4"/>
        <v>0.6</v>
      </c>
      <c r="Q90" s="786">
        <f t="shared" si="5"/>
        <v>0.6</v>
      </c>
      <c r="R90" s="468"/>
      <c r="S90" s="24"/>
    </row>
    <row r="91" spans="1:19" x14ac:dyDescent="0.2">
      <c r="A91" s="239" t="s">
        <v>351</v>
      </c>
      <c r="B91" s="489" t="s">
        <v>1807</v>
      </c>
      <c r="C91" s="490" t="s">
        <v>1808</v>
      </c>
      <c r="D91" s="489" t="s">
        <v>112</v>
      </c>
      <c r="E91" s="489" t="s">
        <v>951</v>
      </c>
      <c r="F91" s="491" t="s">
        <v>947</v>
      </c>
      <c r="G91" s="489" t="s">
        <v>114</v>
      </c>
      <c r="H91" s="489" t="s">
        <v>79</v>
      </c>
      <c r="I91" s="468"/>
      <c r="J91" s="489" t="s">
        <v>913</v>
      </c>
      <c r="K91" s="492">
        <v>100</v>
      </c>
      <c r="L91" s="495"/>
      <c r="M91" s="468">
        <v>5</v>
      </c>
      <c r="N91" s="468">
        <v>3</v>
      </c>
      <c r="O91" s="494">
        <f t="shared" si="3"/>
        <v>0.6</v>
      </c>
      <c r="P91" s="494">
        <f t="shared" si="4"/>
        <v>0.6</v>
      </c>
      <c r="Q91" s="786">
        <f t="shared" si="5"/>
        <v>0.6</v>
      </c>
      <c r="R91" s="468"/>
      <c r="S91" s="24"/>
    </row>
    <row r="92" spans="1:19" ht="25.5" x14ac:dyDescent="0.2">
      <c r="A92" s="239" t="s">
        <v>351</v>
      </c>
      <c r="B92" s="489" t="s">
        <v>1807</v>
      </c>
      <c r="C92" s="490" t="s">
        <v>1808</v>
      </c>
      <c r="D92" s="489" t="s">
        <v>112</v>
      </c>
      <c r="E92" s="489" t="s">
        <v>952</v>
      </c>
      <c r="F92" s="491" t="s">
        <v>947</v>
      </c>
      <c r="G92" s="489" t="s">
        <v>945</v>
      </c>
      <c r="H92" s="489" t="s">
        <v>79</v>
      </c>
      <c r="I92" s="468"/>
      <c r="J92" s="489" t="s">
        <v>913</v>
      </c>
      <c r="K92" s="492">
        <v>25</v>
      </c>
      <c r="L92" s="495"/>
      <c r="M92" s="468">
        <v>5</v>
      </c>
      <c r="N92" s="468">
        <v>1</v>
      </c>
      <c r="O92" s="494">
        <f t="shared" si="3"/>
        <v>0.2</v>
      </c>
      <c r="P92" s="494">
        <f t="shared" si="4"/>
        <v>0.2</v>
      </c>
      <c r="Q92" s="786">
        <f t="shared" si="5"/>
        <v>0.8</v>
      </c>
      <c r="R92" s="468"/>
      <c r="S92" s="24"/>
    </row>
    <row r="93" spans="1:19" ht="25.5" x14ac:dyDescent="0.2">
      <c r="A93" s="239" t="s">
        <v>351</v>
      </c>
      <c r="B93" s="489" t="s">
        <v>1807</v>
      </c>
      <c r="C93" s="490" t="s">
        <v>1808</v>
      </c>
      <c r="D93" s="489" t="s">
        <v>112</v>
      </c>
      <c r="E93" s="489" t="s">
        <v>953</v>
      </c>
      <c r="F93" s="491" t="s">
        <v>947</v>
      </c>
      <c r="G93" s="489" t="s">
        <v>945</v>
      </c>
      <c r="H93" s="489" t="s">
        <v>79</v>
      </c>
      <c r="I93" s="468"/>
      <c r="J93" s="489" t="s">
        <v>913</v>
      </c>
      <c r="K93" s="492">
        <v>25</v>
      </c>
      <c r="L93" s="495"/>
      <c r="M93" s="468">
        <v>5</v>
      </c>
      <c r="N93" s="468">
        <v>1</v>
      </c>
      <c r="O93" s="494">
        <f t="shared" si="3"/>
        <v>0.2</v>
      </c>
      <c r="P93" s="494">
        <f t="shared" si="4"/>
        <v>0.2</v>
      </c>
      <c r="Q93" s="786">
        <f t="shared" si="5"/>
        <v>0.8</v>
      </c>
      <c r="R93" s="468"/>
      <c r="S93" s="24"/>
    </row>
    <row r="94" spans="1:19" x14ac:dyDescent="0.2">
      <c r="A94" s="239" t="s">
        <v>351</v>
      </c>
      <c r="B94" s="489" t="s">
        <v>1807</v>
      </c>
      <c r="C94" s="490" t="s">
        <v>1808</v>
      </c>
      <c r="D94" s="489" t="s">
        <v>112</v>
      </c>
      <c r="E94" s="489" t="s">
        <v>954</v>
      </c>
      <c r="F94" s="491" t="s">
        <v>955</v>
      </c>
      <c r="G94" s="489" t="s">
        <v>114</v>
      </c>
      <c r="H94" s="489" t="s">
        <v>79</v>
      </c>
      <c r="I94" s="468"/>
      <c r="J94" s="489" t="s">
        <v>913</v>
      </c>
      <c r="K94" s="492">
        <v>100</v>
      </c>
      <c r="L94" s="495"/>
      <c r="M94" s="468">
        <v>5</v>
      </c>
      <c r="N94" s="468">
        <v>5</v>
      </c>
      <c r="O94" s="494">
        <f t="shared" si="3"/>
        <v>1</v>
      </c>
      <c r="P94" s="494">
        <f t="shared" si="4"/>
        <v>1</v>
      </c>
      <c r="Q94" s="786">
        <f t="shared" si="5"/>
        <v>1</v>
      </c>
      <c r="R94" s="468"/>
      <c r="S94" s="24"/>
    </row>
    <row r="95" spans="1:19" ht="25.5" x14ac:dyDescent="0.2">
      <c r="A95" s="239" t="s">
        <v>351</v>
      </c>
      <c r="B95" s="489" t="s">
        <v>1807</v>
      </c>
      <c r="C95" s="490" t="s">
        <v>1808</v>
      </c>
      <c r="D95" s="489" t="s">
        <v>112</v>
      </c>
      <c r="E95" s="489" t="s">
        <v>956</v>
      </c>
      <c r="F95" s="491" t="s">
        <v>955</v>
      </c>
      <c r="G95" s="489" t="s">
        <v>114</v>
      </c>
      <c r="H95" s="489" t="s">
        <v>79</v>
      </c>
      <c r="I95" s="468"/>
      <c r="J95" s="489" t="s">
        <v>913</v>
      </c>
      <c r="K95" s="492">
        <v>100</v>
      </c>
      <c r="L95" s="495"/>
      <c r="M95" s="468">
        <v>5</v>
      </c>
      <c r="N95" s="468">
        <v>5</v>
      </c>
      <c r="O95" s="494">
        <f t="shared" si="3"/>
        <v>1</v>
      </c>
      <c r="P95" s="494">
        <f t="shared" si="4"/>
        <v>1</v>
      </c>
      <c r="Q95" s="786">
        <f t="shared" si="5"/>
        <v>1</v>
      </c>
      <c r="R95" s="468"/>
      <c r="S95" s="24"/>
    </row>
    <row r="96" spans="1:19" ht="25.5" x14ac:dyDescent="0.2">
      <c r="A96" s="239" t="s">
        <v>351</v>
      </c>
      <c r="B96" s="489" t="s">
        <v>1807</v>
      </c>
      <c r="C96" s="490" t="s">
        <v>1808</v>
      </c>
      <c r="D96" s="489" t="s">
        <v>112</v>
      </c>
      <c r="E96" s="489" t="s">
        <v>957</v>
      </c>
      <c r="F96" s="491" t="s">
        <v>124</v>
      </c>
      <c r="G96" s="489" t="s">
        <v>945</v>
      </c>
      <c r="H96" s="489" t="s">
        <v>79</v>
      </c>
      <c r="I96" s="468"/>
      <c r="J96" s="489" t="s">
        <v>913</v>
      </c>
      <c r="K96" s="492">
        <v>33</v>
      </c>
      <c r="L96" s="495"/>
      <c r="M96" s="468">
        <v>5</v>
      </c>
      <c r="N96" s="468">
        <v>3</v>
      </c>
      <c r="O96" s="494">
        <f t="shared" si="3"/>
        <v>0.6</v>
      </c>
      <c r="P96" s="494">
        <f t="shared" si="4"/>
        <v>0.6</v>
      </c>
      <c r="Q96" s="786">
        <f t="shared" si="5"/>
        <v>1.8181818181818183</v>
      </c>
      <c r="R96" s="468"/>
      <c r="S96" s="24"/>
    </row>
    <row r="97" spans="1:19" x14ac:dyDescent="0.2">
      <c r="A97" s="239" t="s">
        <v>351</v>
      </c>
      <c r="B97" s="489" t="s">
        <v>1807</v>
      </c>
      <c r="C97" s="490" t="s">
        <v>1808</v>
      </c>
      <c r="D97" s="489" t="s">
        <v>112</v>
      </c>
      <c r="E97" s="489" t="s">
        <v>958</v>
      </c>
      <c r="F97" s="491" t="s">
        <v>124</v>
      </c>
      <c r="G97" s="489" t="s">
        <v>945</v>
      </c>
      <c r="H97" s="489" t="s">
        <v>79</v>
      </c>
      <c r="I97" s="468"/>
      <c r="J97" s="489" t="s">
        <v>913</v>
      </c>
      <c r="K97" s="492">
        <v>33</v>
      </c>
      <c r="L97" s="495"/>
      <c r="M97" s="468">
        <v>5</v>
      </c>
      <c r="N97" s="468">
        <v>3</v>
      </c>
      <c r="O97" s="494">
        <f t="shared" si="3"/>
        <v>0.6</v>
      </c>
      <c r="P97" s="494">
        <f t="shared" si="4"/>
        <v>0.6</v>
      </c>
      <c r="Q97" s="786">
        <f t="shared" si="5"/>
        <v>1.8181818181818183</v>
      </c>
      <c r="R97" s="468"/>
      <c r="S97" s="24"/>
    </row>
    <row r="98" spans="1:19" x14ac:dyDescent="0.2">
      <c r="A98" s="239" t="s">
        <v>351</v>
      </c>
      <c r="B98" s="489" t="s">
        <v>1807</v>
      </c>
      <c r="C98" s="490" t="s">
        <v>1808</v>
      </c>
      <c r="D98" s="489" t="s">
        <v>112</v>
      </c>
      <c r="E98" s="489" t="s">
        <v>959</v>
      </c>
      <c r="F98" s="491" t="s">
        <v>124</v>
      </c>
      <c r="G98" s="489" t="s">
        <v>945</v>
      </c>
      <c r="H98" s="489" t="s">
        <v>79</v>
      </c>
      <c r="I98" s="468"/>
      <c r="J98" s="489" t="s">
        <v>913</v>
      </c>
      <c r="K98" s="492">
        <v>33</v>
      </c>
      <c r="L98" s="495"/>
      <c r="M98" s="468">
        <v>5</v>
      </c>
      <c r="N98" s="468">
        <v>3</v>
      </c>
      <c r="O98" s="494">
        <f t="shared" si="3"/>
        <v>0.6</v>
      </c>
      <c r="P98" s="494">
        <f t="shared" si="4"/>
        <v>0.6</v>
      </c>
      <c r="Q98" s="786">
        <f t="shared" si="5"/>
        <v>1.8181818181818183</v>
      </c>
      <c r="R98" s="468"/>
      <c r="S98" s="24"/>
    </row>
    <row r="99" spans="1:19" ht="25.5" x14ac:dyDescent="0.2">
      <c r="A99" s="239" t="s">
        <v>351</v>
      </c>
      <c r="B99" s="489" t="s">
        <v>1807</v>
      </c>
      <c r="C99" s="490" t="s">
        <v>1808</v>
      </c>
      <c r="D99" s="489" t="s">
        <v>112</v>
      </c>
      <c r="E99" s="489" t="s">
        <v>960</v>
      </c>
      <c r="F99" s="491" t="s">
        <v>124</v>
      </c>
      <c r="G99" s="489" t="s">
        <v>945</v>
      </c>
      <c r="H99" s="489" t="s">
        <v>79</v>
      </c>
      <c r="I99" s="468"/>
      <c r="J99" s="489" t="s">
        <v>913</v>
      </c>
      <c r="K99" s="492">
        <v>33</v>
      </c>
      <c r="L99" s="495"/>
      <c r="M99" s="468">
        <v>5</v>
      </c>
      <c r="N99" s="468">
        <v>3</v>
      </c>
      <c r="O99" s="494">
        <f t="shared" si="3"/>
        <v>0.6</v>
      </c>
      <c r="P99" s="494">
        <f t="shared" si="4"/>
        <v>0.6</v>
      </c>
      <c r="Q99" s="786">
        <f t="shared" si="5"/>
        <v>1.8181818181818183</v>
      </c>
      <c r="R99" s="468"/>
      <c r="S99" s="24"/>
    </row>
    <row r="100" spans="1:19" x14ac:dyDescent="0.2">
      <c r="A100" s="239" t="s">
        <v>351</v>
      </c>
      <c r="B100" s="489" t="s">
        <v>1807</v>
      </c>
      <c r="C100" s="490" t="s">
        <v>1808</v>
      </c>
      <c r="D100" s="489" t="s">
        <v>112</v>
      </c>
      <c r="E100" s="489" t="s">
        <v>961</v>
      </c>
      <c r="F100" s="491" t="s">
        <v>124</v>
      </c>
      <c r="G100" s="489" t="s">
        <v>945</v>
      </c>
      <c r="H100" s="489" t="s">
        <v>79</v>
      </c>
      <c r="I100" s="468"/>
      <c r="J100" s="489" t="s">
        <v>913</v>
      </c>
      <c r="K100" s="492">
        <v>33</v>
      </c>
      <c r="L100" s="495"/>
      <c r="M100" s="468">
        <v>5</v>
      </c>
      <c r="N100" s="468">
        <v>3</v>
      </c>
      <c r="O100" s="494">
        <f t="shared" si="3"/>
        <v>0.6</v>
      </c>
      <c r="P100" s="494">
        <f t="shared" si="4"/>
        <v>0.6</v>
      </c>
      <c r="Q100" s="786">
        <f t="shared" si="5"/>
        <v>1.8181818181818183</v>
      </c>
      <c r="R100" s="468"/>
      <c r="S100" s="24"/>
    </row>
    <row r="101" spans="1:19" x14ac:dyDescent="0.2">
      <c r="A101" s="239" t="s">
        <v>351</v>
      </c>
      <c r="B101" s="489" t="s">
        <v>1807</v>
      </c>
      <c r="C101" s="490" t="s">
        <v>1808</v>
      </c>
      <c r="D101" s="489" t="s">
        <v>112</v>
      </c>
      <c r="E101" s="489" t="s">
        <v>962</v>
      </c>
      <c r="F101" s="491" t="s">
        <v>124</v>
      </c>
      <c r="G101" s="489" t="s">
        <v>945</v>
      </c>
      <c r="H101" s="489" t="s">
        <v>79</v>
      </c>
      <c r="I101" s="468"/>
      <c r="J101" s="489" t="s">
        <v>913</v>
      </c>
      <c r="K101" s="492">
        <v>33</v>
      </c>
      <c r="L101" s="495"/>
      <c r="M101" s="468">
        <v>5</v>
      </c>
      <c r="N101" s="468">
        <v>3</v>
      </c>
      <c r="O101" s="494">
        <f t="shared" si="3"/>
        <v>0.6</v>
      </c>
      <c r="P101" s="494">
        <f t="shared" si="4"/>
        <v>0.6</v>
      </c>
      <c r="Q101" s="786">
        <f t="shared" si="5"/>
        <v>1.8181818181818183</v>
      </c>
      <c r="R101" s="468"/>
      <c r="S101" s="24"/>
    </row>
    <row r="102" spans="1:19" x14ac:dyDescent="0.2">
      <c r="A102" s="239" t="s">
        <v>351</v>
      </c>
      <c r="B102" s="489" t="s">
        <v>1807</v>
      </c>
      <c r="C102" s="490" t="s">
        <v>1808</v>
      </c>
      <c r="D102" s="489" t="s">
        <v>112</v>
      </c>
      <c r="E102" s="489" t="s">
        <v>963</v>
      </c>
      <c r="F102" s="491" t="s">
        <v>947</v>
      </c>
      <c r="G102" s="489" t="s">
        <v>114</v>
      </c>
      <c r="H102" s="489" t="s">
        <v>79</v>
      </c>
      <c r="I102" s="468"/>
      <c r="J102" s="489" t="s">
        <v>913</v>
      </c>
      <c r="K102" s="492">
        <v>100</v>
      </c>
      <c r="L102" s="495"/>
      <c r="M102" s="468">
        <v>5</v>
      </c>
      <c r="N102" s="468">
        <v>3</v>
      </c>
      <c r="O102" s="494">
        <f t="shared" si="3"/>
        <v>0.6</v>
      </c>
      <c r="P102" s="494">
        <f t="shared" si="4"/>
        <v>0.6</v>
      </c>
      <c r="Q102" s="786">
        <f t="shared" si="5"/>
        <v>0.6</v>
      </c>
      <c r="R102" s="468"/>
      <c r="S102" s="24"/>
    </row>
    <row r="103" spans="1:19" x14ac:dyDescent="0.2">
      <c r="A103" s="239" t="s">
        <v>351</v>
      </c>
      <c r="B103" s="489" t="s">
        <v>1807</v>
      </c>
      <c r="C103" s="490" t="s">
        <v>1808</v>
      </c>
      <c r="D103" s="489" t="s">
        <v>112</v>
      </c>
      <c r="E103" s="489" t="s">
        <v>964</v>
      </c>
      <c r="F103" s="491" t="s">
        <v>947</v>
      </c>
      <c r="G103" s="489" t="s">
        <v>114</v>
      </c>
      <c r="H103" s="489" t="s">
        <v>79</v>
      </c>
      <c r="I103" s="468"/>
      <c r="J103" s="489" t="s">
        <v>913</v>
      </c>
      <c r="K103" s="492">
        <v>100</v>
      </c>
      <c r="L103" s="495"/>
      <c r="M103" s="468">
        <v>5</v>
      </c>
      <c r="N103" s="468">
        <v>3</v>
      </c>
      <c r="O103" s="494">
        <f t="shared" si="3"/>
        <v>0.6</v>
      </c>
      <c r="P103" s="494">
        <f t="shared" si="4"/>
        <v>0.6</v>
      </c>
      <c r="Q103" s="786">
        <f t="shared" si="5"/>
        <v>0.6</v>
      </c>
      <c r="R103" s="468"/>
      <c r="S103" s="24"/>
    </row>
    <row r="104" spans="1:19" ht="25.5" x14ac:dyDescent="0.2">
      <c r="A104" s="239" t="s">
        <v>351</v>
      </c>
      <c r="B104" s="489" t="s">
        <v>1807</v>
      </c>
      <c r="C104" s="490" t="s">
        <v>1808</v>
      </c>
      <c r="D104" s="489" t="s">
        <v>112</v>
      </c>
      <c r="E104" s="489" t="s">
        <v>965</v>
      </c>
      <c r="F104" s="491" t="s">
        <v>947</v>
      </c>
      <c r="G104" s="489" t="s">
        <v>114</v>
      </c>
      <c r="H104" s="489" t="s">
        <v>79</v>
      </c>
      <c r="I104" s="468"/>
      <c r="J104" s="489" t="s">
        <v>913</v>
      </c>
      <c r="K104" s="492">
        <v>100</v>
      </c>
      <c r="L104" s="495"/>
      <c r="M104" s="468">
        <v>5</v>
      </c>
      <c r="N104" s="468">
        <v>3</v>
      </c>
      <c r="O104" s="494">
        <f t="shared" si="3"/>
        <v>0.6</v>
      </c>
      <c r="P104" s="494">
        <f t="shared" si="4"/>
        <v>0.6</v>
      </c>
      <c r="Q104" s="786">
        <f t="shared" si="5"/>
        <v>0.6</v>
      </c>
      <c r="R104" s="468"/>
      <c r="S104" s="24"/>
    </row>
    <row r="105" spans="1:19" ht="63.75" x14ac:dyDescent="0.2">
      <c r="A105" s="239" t="s">
        <v>351</v>
      </c>
      <c r="B105" s="489" t="s">
        <v>1807</v>
      </c>
      <c r="C105" s="490" t="s">
        <v>1808</v>
      </c>
      <c r="D105" s="489" t="s">
        <v>112</v>
      </c>
      <c r="E105" s="489" t="s">
        <v>966</v>
      </c>
      <c r="F105" s="491" t="s">
        <v>944</v>
      </c>
      <c r="G105" s="489" t="s">
        <v>114</v>
      </c>
      <c r="H105" s="489" t="s">
        <v>79</v>
      </c>
      <c r="I105" s="468"/>
      <c r="J105" s="489" t="s">
        <v>913</v>
      </c>
      <c r="K105" s="492">
        <v>100</v>
      </c>
      <c r="L105" s="495" t="s">
        <v>976</v>
      </c>
      <c r="M105" s="468">
        <v>5</v>
      </c>
      <c r="N105" s="468">
        <v>3</v>
      </c>
      <c r="O105" s="494">
        <f t="shared" si="3"/>
        <v>0.6</v>
      </c>
      <c r="P105" s="494">
        <f t="shared" si="4"/>
        <v>0.6</v>
      </c>
      <c r="Q105" s="786">
        <f t="shared" si="5"/>
        <v>0.6</v>
      </c>
      <c r="R105" s="468"/>
      <c r="S105" s="24"/>
    </row>
    <row r="106" spans="1:19" x14ac:dyDescent="0.2">
      <c r="A106" s="239" t="s">
        <v>351</v>
      </c>
      <c r="B106" s="489" t="s">
        <v>1807</v>
      </c>
      <c r="C106" s="490" t="s">
        <v>1808</v>
      </c>
      <c r="D106" s="489" t="s">
        <v>112</v>
      </c>
      <c r="E106" s="489" t="s">
        <v>966</v>
      </c>
      <c r="F106" s="491" t="s">
        <v>124</v>
      </c>
      <c r="G106" s="489" t="s">
        <v>945</v>
      </c>
      <c r="H106" s="489" t="s">
        <v>79</v>
      </c>
      <c r="I106" s="468"/>
      <c r="J106" s="489" t="s">
        <v>913</v>
      </c>
      <c r="K106" s="492">
        <v>33</v>
      </c>
      <c r="L106" s="495"/>
      <c r="M106" s="468">
        <v>5</v>
      </c>
      <c r="N106" s="468">
        <v>3</v>
      </c>
      <c r="O106" s="494">
        <f t="shared" si="3"/>
        <v>0.6</v>
      </c>
      <c r="P106" s="494">
        <f t="shared" si="4"/>
        <v>0.6</v>
      </c>
      <c r="Q106" s="786">
        <f t="shared" si="5"/>
        <v>1.8181818181818183</v>
      </c>
      <c r="R106" s="468"/>
      <c r="S106" s="24"/>
    </row>
    <row r="107" spans="1:19" x14ac:dyDescent="0.2">
      <c r="A107" s="239" t="s">
        <v>351</v>
      </c>
      <c r="B107" s="489" t="s">
        <v>1807</v>
      </c>
      <c r="C107" s="490" t="s">
        <v>1808</v>
      </c>
      <c r="D107" s="489" t="s">
        <v>112</v>
      </c>
      <c r="E107" s="489" t="s">
        <v>967</v>
      </c>
      <c r="F107" s="491" t="s">
        <v>947</v>
      </c>
      <c r="G107" s="489" t="s">
        <v>945</v>
      </c>
      <c r="H107" s="489" t="s">
        <v>79</v>
      </c>
      <c r="I107" s="468"/>
      <c r="J107" s="489" t="s">
        <v>913</v>
      </c>
      <c r="K107" s="492">
        <v>25</v>
      </c>
      <c r="L107" s="495"/>
      <c r="M107" s="468">
        <v>5</v>
      </c>
      <c r="N107" s="468">
        <v>1</v>
      </c>
      <c r="O107" s="494">
        <f t="shared" si="3"/>
        <v>0.2</v>
      </c>
      <c r="P107" s="494">
        <f t="shared" si="4"/>
        <v>0.2</v>
      </c>
      <c r="Q107" s="786">
        <f t="shared" si="5"/>
        <v>0.8</v>
      </c>
      <c r="R107" s="468"/>
      <c r="S107" s="24"/>
    </row>
    <row r="108" spans="1:19" ht="51" x14ac:dyDescent="0.2">
      <c r="A108" s="239" t="s">
        <v>351</v>
      </c>
      <c r="B108" s="489" t="s">
        <v>1807</v>
      </c>
      <c r="C108" s="490" t="s">
        <v>1808</v>
      </c>
      <c r="D108" s="489" t="s">
        <v>112</v>
      </c>
      <c r="E108" s="489" t="s">
        <v>968</v>
      </c>
      <c r="F108" s="491" t="s">
        <v>947</v>
      </c>
      <c r="G108" s="489" t="s">
        <v>945</v>
      </c>
      <c r="H108" s="489" t="s">
        <v>79</v>
      </c>
      <c r="I108" s="468"/>
      <c r="J108" s="489" t="s">
        <v>913</v>
      </c>
      <c r="K108" s="492">
        <v>25</v>
      </c>
      <c r="L108" s="495"/>
      <c r="M108" s="468">
        <v>5</v>
      </c>
      <c r="N108" s="468">
        <v>1</v>
      </c>
      <c r="O108" s="494">
        <f t="shared" si="3"/>
        <v>0.2</v>
      </c>
      <c r="P108" s="494">
        <f t="shared" si="4"/>
        <v>0.2</v>
      </c>
      <c r="Q108" s="786">
        <f t="shared" si="5"/>
        <v>0.8</v>
      </c>
      <c r="R108" s="468"/>
      <c r="S108" s="24"/>
    </row>
    <row r="109" spans="1:19" ht="51" x14ac:dyDescent="0.2">
      <c r="A109" s="239" t="s">
        <v>351</v>
      </c>
      <c r="B109" s="489" t="s">
        <v>1807</v>
      </c>
      <c r="C109" s="490" t="s">
        <v>1808</v>
      </c>
      <c r="D109" s="489" t="s">
        <v>112</v>
      </c>
      <c r="E109" s="489" t="s">
        <v>969</v>
      </c>
      <c r="F109" s="491" t="s">
        <v>947</v>
      </c>
      <c r="G109" s="489" t="s">
        <v>114</v>
      </c>
      <c r="H109" s="489" t="s">
        <v>79</v>
      </c>
      <c r="I109" s="468"/>
      <c r="J109" s="489" t="s">
        <v>913</v>
      </c>
      <c r="K109" s="492">
        <v>100</v>
      </c>
      <c r="L109" s="495"/>
      <c r="M109" s="468">
        <v>5</v>
      </c>
      <c r="N109" s="468">
        <v>3</v>
      </c>
      <c r="O109" s="494">
        <f t="shared" si="3"/>
        <v>0.6</v>
      </c>
      <c r="P109" s="494">
        <f t="shared" si="4"/>
        <v>0.6</v>
      </c>
      <c r="Q109" s="786">
        <f t="shared" si="5"/>
        <v>0.6</v>
      </c>
      <c r="R109" s="468"/>
      <c r="S109" s="24"/>
    </row>
    <row r="110" spans="1:19" ht="25.5" x14ac:dyDescent="0.2">
      <c r="A110" s="239" t="s">
        <v>351</v>
      </c>
      <c r="B110" s="489" t="s">
        <v>1807</v>
      </c>
      <c r="C110" s="490" t="s">
        <v>1808</v>
      </c>
      <c r="D110" s="489" t="s">
        <v>117</v>
      </c>
      <c r="E110" s="489" t="s">
        <v>970</v>
      </c>
      <c r="F110" s="491" t="s">
        <v>947</v>
      </c>
      <c r="G110" s="489" t="s">
        <v>114</v>
      </c>
      <c r="H110" s="489" t="s">
        <v>79</v>
      </c>
      <c r="I110" s="468"/>
      <c r="J110" s="489" t="s">
        <v>913</v>
      </c>
      <c r="K110" s="492">
        <v>100</v>
      </c>
      <c r="L110" s="495"/>
      <c r="M110" s="468">
        <v>5</v>
      </c>
      <c r="N110" s="468">
        <v>3</v>
      </c>
      <c r="O110" s="494">
        <f t="shared" si="3"/>
        <v>0.6</v>
      </c>
      <c r="P110" s="494">
        <f t="shared" si="4"/>
        <v>0.6</v>
      </c>
      <c r="Q110" s="786">
        <f t="shared" si="5"/>
        <v>0.6</v>
      </c>
      <c r="R110" s="468"/>
      <c r="S110" s="24"/>
    </row>
    <row r="111" spans="1:19" x14ac:dyDescent="0.2">
      <c r="A111" s="239" t="s">
        <v>351</v>
      </c>
      <c r="B111" s="489" t="s">
        <v>1807</v>
      </c>
      <c r="C111" s="490" t="s">
        <v>1808</v>
      </c>
      <c r="D111" s="489" t="s">
        <v>117</v>
      </c>
      <c r="E111" s="489" t="s">
        <v>971</v>
      </c>
      <c r="F111" s="491" t="s">
        <v>947</v>
      </c>
      <c r="G111" s="489" t="s">
        <v>114</v>
      </c>
      <c r="H111" s="489" t="s">
        <v>79</v>
      </c>
      <c r="I111" s="468"/>
      <c r="J111" s="489" t="s">
        <v>913</v>
      </c>
      <c r="K111" s="492">
        <v>100</v>
      </c>
      <c r="L111" s="495"/>
      <c r="M111" s="468">
        <v>5</v>
      </c>
      <c r="N111" s="468">
        <v>3</v>
      </c>
      <c r="O111" s="494">
        <f t="shared" si="3"/>
        <v>0.6</v>
      </c>
      <c r="P111" s="494">
        <f t="shared" si="4"/>
        <v>0.6</v>
      </c>
      <c r="Q111" s="786">
        <f t="shared" si="5"/>
        <v>0.6</v>
      </c>
      <c r="R111" s="468"/>
      <c r="S111" s="24"/>
    </row>
    <row r="112" spans="1:19" ht="25.5" x14ac:dyDescent="0.2">
      <c r="A112" s="239" t="s">
        <v>351</v>
      </c>
      <c r="B112" s="489" t="s">
        <v>1807</v>
      </c>
      <c r="C112" s="490" t="s">
        <v>1808</v>
      </c>
      <c r="D112" s="489" t="s">
        <v>117</v>
      </c>
      <c r="E112" s="489" t="s">
        <v>126</v>
      </c>
      <c r="F112" s="491" t="s">
        <v>947</v>
      </c>
      <c r="G112" s="489" t="s">
        <v>945</v>
      </c>
      <c r="H112" s="489" t="s">
        <v>79</v>
      </c>
      <c r="I112" s="468"/>
      <c r="J112" s="489" t="s">
        <v>913</v>
      </c>
      <c r="K112" s="492">
        <v>25</v>
      </c>
      <c r="L112" s="495"/>
      <c r="M112" s="468">
        <v>5</v>
      </c>
      <c r="N112" s="468">
        <v>1</v>
      </c>
      <c r="O112" s="494">
        <f t="shared" si="3"/>
        <v>0.2</v>
      </c>
      <c r="P112" s="494">
        <f t="shared" si="4"/>
        <v>0.2</v>
      </c>
      <c r="Q112" s="786">
        <f t="shared" si="5"/>
        <v>0.8</v>
      </c>
      <c r="R112" s="468"/>
      <c r="S112" s="24"/>
    </row>
    <row r="113" spans="1:19" x14ac:dyDescent="0.2">
      <c r="A113" s="239" t="s">
        <v>351</v>
      </c>
      <c r="B113" s="489" t="s">
        <v>1807</v>
      </c>
      <c r="C113" s="490" t="s">
        <v>1808</v>
      </c>
      <c r="D113" s="489" t="s">
        <v>117</v>
      </c>
      <c r="E113" s="489" t="s">
        <v>972</v>
      </c>
      <c r="F113" s="491" t="s">
        <v>947</v>
      </c>
      <c r="G113" s="489" t="s">
        <v>945</v>
      </c>
      <c r="H113" s="489" t="s">
        <v>79</v>
      </c>
      <c r="I113" s="468"/>
      <c r="J113" s="489" t="s">
        <v>913</v>
      </c>
      <c r="K113" s="492">
        <v>25</v>
      </c>
      <c r="L113" s="495"/>
      <c r="M113" s="468">
        <v>5</v>
      </c>
      <c r="N113" s="468">
        <v>1</v>
      </c>
      <c r="O113" s="494">
        <f t="shared" si="3"/>
        <v>0.2</v>
      </c>
      <c r="P113" s="494">
        <f t="shared" si="4"/>
        <v>0.2</v>
      </c>
      <c r="Q113" s="786">
        <f t="shared" si="5"/>
        <v>0.8</v>
      </c>
      <c r="R113" s="468"/>
      <c r="S113" s="24"/>
    </row>
    <row r="114" spans="1:19" ht="25.5" x14ac:dyDescent="0.2">
      <c r="A114" s="239" t="s">
        <v>351</v>
      </c>
      <c r="B114" s="489" t="s">
        <v>1807</v>
      </c>
      <c r="C114" s="490" t="s">
        <v>1808</v>
      </c>
      <c r="D114" s="489" t="s">
        <v>117</v>
      </c>
      <c r="E114" s="489" t="s">
        <v>973</v>
      </c>
      <c r="F114" s="491" t="s">
        <v>947</v>
      </c>
      <c r="G114" s="489" t="s">
        <v>945</v>
      </c>
      <c r="H114" s="489" t="s">
        <v>79</v>
      </c>
      <c r="I114" s="468"/>
      <c r="J114" s="489" t="s">
        <v>913</v>
      </c>
      <c r="K114" s="492">
        <v>25</v>
      </c>
      <c r="L114" s="495"/>
      <c r="M114" s="468">
        <v>5</v>
      </c>
      <c r="N114" s="468">
        <v>1</v>
      </c>
      <c r="O114" s="494">
        <f t="shared" si="3"/>
        <v>0.2</v>
      </c>
      <c r="P114" s="494">
        <f t="shared" si="4"/>
        <v>0.2</v>
      </c>
      <c r="Q114" s="786">
        <f t="shared" si="5"/>
        <v>0.8</v>
      </c>
      <c r="R114" s="468"/>
      <c r="S114" s="24"/>
    </row>
    <row r="115" spans="1:19" ht="25.5" x14ac:dyDescent="0.2">
      <c r="A115" s="239" t="s">
        <v>351</v>
      </c>
      <c r="B115" s="489" t="s">
        <v>1807</v>
      </c>
      <c r="C115" s="490" t="s">
        <v>1808</v>
      </c>
      <c r="D115" s="489" t="s">
        <v>117</v>
      </c>
      <c r="E115" s="489" t="s">
        <v>974</v>
      </c>
      <c r="F115" s="491" t="s">
        <v>947</v>
      </c>
      <c r="G115" s="489" t="s">
        <v>945</v>
      </c>
      <c r="H115" s="489" t="s">
        <v>79</v>
      </c>
      <c r="I115" s="468"/>
      <c r="J115" s="489" t="s">
        <v>913</v>
      </c>
      <c r="K115" s="492">
        <v>25</v>
      </c>
      <c r="L115" s="495"/>
      <c r="M115" s="468">
        <v>5</v>
      </c>
      <c r="N115" s="468">
        <v>1</v>
      </c>
      <c r="O115" s="494">
        <f t="shared" si="3"/>
        <v>0.2</v>
      </c>
      <c r="P115" s="494">
        <f t="shared" si="4"/>
        <v>0.2</v>
      </c>
      <c r="Q115" s="786">
        <f t="shared" si="5"/>
        <v>0.8</v>
      </c>
      <c r="R115" s="468"/>
      <c r="S115" s="24"/>
    </row>
    <row r="116" spans="1:19" ht="25.5" x14ac:dyDescent="0.2">
      <c r="A116" s="239" t="s">
        <v>351</v>
      </c>
      <c r="B116" s="489" t="s">
        <v>1807</v>
      </c>
      <c r="C116" s="490" t="s">
        <v>1808</v>
      </c>
      <c r="D116" s="489" t="s">
        <v>117</v>
      </c>
      <c r="E116" s="489" t="s">
        <v>975</v>
      </c>
      <c r="F116" s="491" t="s">
        <v>947</v>
      </c>
      <c r="G116" s="489" t="s">
        <v>114</v>
      </c>
      <c r="H116" s="489" t="s">
        <v>79</v>
      </c>
      <c r="I116" s="468"/>
      <c r="J116" s="489" t="s">
        <v>913</v>
      </c>
      <c r="K116" s="492">
        <v>100</v>
      </c>
      <c r="L116" s="495"/>
      <c r="M116" s="468">
        <v>5</v>
      </c>
      <c r="N116" s="468">
        <v>3</v>
      </c>
      <c r="O116" s="494">
        <f t="shared" si="3"/>
        <v>0.6</v>
      </c>
      <c r="P116" s="494">
        <f t="shared" si="4"/>
        <v>0.6</v>
      </c>
      <c r="Q116" s="786">
        <f t="shared" si="5"/>
        <v>0.6</v>
      </c>
      <c r="R116" s="468"/>
      <c r="S116" s="24"/>
    </row>
    <row r="117" spans="1:19" ht="25.5" x14ac:dyDescent="0.2">
      <c r="A117" s="239" t="s">
        <v>351</v>
      </c>
      <c r="B117" s="489" t="s">
        <v>1807</v>
      </c>
      <c r="C117" s="490" t="s">
        <v>1808</v>
      </c>
      <c r="D117" s="489" t="s">
        <v>117</v>
      </c>
      <c r="E117" s="489" t="s">
        <v>975</v>
      </c>
      <c r="F117" s="491" t="s">
        <v>124</v>
      </c>
      <c r="G117" s="489" t="s">
        <v>945</v>
      </c>
      <c r="H117" s="489" t="s">
        <v>79</v>
      </c>
      <c r="I117" s="468"/>
      <c r="J117" s="489" t="s">
        <v>913</v>
      </c>
      <c r="K117" s="492">
        <v>33</v>
      </c>
      <c r="L117" s="495"/>
      <c r="M117" s="468">
        <v>5</v>
      </c>
      <c r="N117" s="468">
        <v>3</v>
      </c>
      <c r="O117" s="494">
        <f t="shared" si="3"/>
        <v>0.6</v>
      </c>
      <c r="P117" s="494">
        <f t="shared" si="4"/>
        <v>0.6</v>
      </c>
      <c r="Q117" s="786">
        <f t="shared" si="5"/>
        <v>1.8181818181818183</v>
      </c>
      <c r="R117" s="468"/>
      <c r="S117" s="24"/>
    </row>
    <row r="118" spans="1:19" ht="63.75" x14ac:dyDescent="0.2">
      <c r="A118" s="239" t="s">
        <v>351</v>
      </c>
      <c r="B118" s="489" t="s">
        <v>1807</v>
      </c>
      <c r="C118" s="490" t="s">
        <v>1808</v>
      </c>
      <c r="D118" s="489" t="s">
        <v>117</v>
      </c>
      <c r="E118" s="489" t="s">
        <v>940</v>
      </c>
      <c r="F118" s="491" t="s">
        <v>947</v>
      </c>
      <c r="G118" s="489" t="s">
        <v>114</v>
      </c>
      <c r="H118" s="489" t="s">
        <v>79</v>
      </c>
      <c r="I118" s="468"/>
      <c r="J118" s="489" t="s">
        <v>913</v>
      </c>
      <c r="K118" s="492">
        <v>100</v>
      </c>
      <c r="L118" s="495" t="s">
        <v>976</v>
      </c>
      <c r="M118" s="468">
        <v>5</v>
      </c>
      <c r="N118" s="468">
        <v>3</v>
      </c>
      <c r="O118" s="494">
        <f t="shared" si="3"/>
        <v>0.6</v>
      </c>
      <c r="P118" s="494">
        <f t="shared" si="4"/>
        <v>0.6</v>
      </c>
      <c r="Q118" s="786">
        <f t="shared" si="5"/>
        <v>0.6</v>
      </c>
      <c r="R118" s="468"/>
      <c r="S118" s="24"/>
    </row>
    <row r="119" spans="1:19" x14ac:dyDescent="0.2">
      <c r="A119" s="239" t="s">
        <v>351</v>
      </c>
      <c r="B119" s="489" t="s">
        <v>1807</v>
      </c>
      <c r="C119" s="490" t="s">
        <v>1808</v>
      </c>
      <c r="D119" s="489" t="s">
        <v>117</v>
      </c>
      <c r="E119" s="489" t="s">
        <v>940</v>
      </c>
      <c r="F119" s="491" t="s">
        <v>124</v>
      </c>
      <c r="G119" s="489" t="s">
        <v>945</v>
      </c>
      <c r="H119" s="489" t="s">
        <v>79</v>
      </c>
      <c r="I119" s="468"/>
      <c r="J119" s="489" t="s">
        <v>913</v>
      </c>
      <c r="K119" s="492">
        <v>33</v>
      </c>
      <c r="L119" s="495"/>
      <c r="M119" s="468">
        <v>5</v>
      </c>
      <c r="N119" s="468">
        <v>3</v>
      </c>
      <c r="O119" s="494">
        <f t="shared" si="3"/>
        <v>0.6</v>
      </c>
      <c r="P119" s="494">
        <f t="shared" si="4"/>
        <v>0.6</v>
      </c>
      <c r="Q119" s="786">
        <f t="shared" si="5"/>
        <v>1.8181818181818183</v>
      </c>
      <c r="R119" s="468"/>
      <c r="S119" s="24"/>
    </row>
    <row r="120" spans="1:19" ht="63.75" x14ac:dyDescent="0.2">
      <c r="A120" s="239" t="s">
        <v>351</v>
      </c>
      <c r="B120" s="489" t="s">
        <v>1809</v>
      </c>
      <c r="C120" s="490" t="s">
        <v>1810</v>
      </c>
      <c r="D120" s="489" t="s">
        <v>112</v>
      </c>
      <c r="E120" s="489" t="s">
        <v>943</v>
      </c>
      <c r="F120" s="491" t="s">
        <v>944</v>
      </c>
      <c r="G120" s="489" t="s">
        <v>114</v>
      </c>
      <c r="H120" s="489" t="s">
        <v>79</v>
      </c>
      <c r="I120" s="468"/>
      <c r="J120" s="489" t="s">
        <v>913</v>
      </c>
      <c r="K120" s="492">
        <v>100</v>
      </c>
      <c r="L120" s="495" t="s">
        <v>976</v>
      </c>
      <c r="M120" s="468">
        <v>57</v>
      </c>
      <c r="N120" s="468">
        <v>48</v>
      </c>
      <c r="O120" s="494">
        <f t="shared" si="3"/>
        <v>0.84210526315789469</v>
      </c>
      <c r="P120" s="494">
        <f t="shared" si="4"/>
        <v>0.84210526315789469</v>
      </c>
      <c r="Q120" s="786">
        <f t="shared" si="5"/>
        <v>0.84210526315789469</v>
      </c>
      <c r="R120" s="468"/>
      <c r="S120" s="24"/>
    </row>
    <row r="121" spans="1:19" ht="25.5" x14ac:dyDescent="0.2">
      <c r="A121" s="239" t="s">
        <v>351</v>
      </c>
      <c r="B121" s="489" t="s">
        <v>1809</v>
      </c>
      <c r="C121" s="490" t="s">
        <v>1810</v>
      </c>
      <c r="D121" s="489" t="s">
        <v>112</v>
      </c>
      <c r="E121" s="489" t="s">
        <v>943</v>
      </c>
      <c r="F121" s="491" t="s">
        <v>124</v>
      </c>
      <c r="G121" s="489" t="s">
        <v>945</v>
      </c>
      <c r="H121" s="489" t="s">
        <v>79</v>
      </c>
      <c r="I121" s="468"/>
      <c r="J121" s="489" t="s">
        <v>913</v>
      </c>
      <c r="K121" s="492">
        <v>33</v>
      </c>
      <c r="L121" s="495"/>
      <c r="M121" s="468">
        <v>57</v>
      </c>
      <c r="N121" s="468">
        <v>2</v>
      </c>
      <c r="O121" s="494">
        <f t="shared" si="3"/>
        <v>3.5087719298245612E-2</v>
      </c>
      <c r="P121" s="494">
        <f t="shared" si="4"/>
        <v>3.5087719298245612E-2</v>
      </c>
      <c r="Q121" s="786">
        <f t="shared" si="5"/>
        <v>0.10632642211589581</v>
      </c>
      <c r="R121" s="468"/>
      <c r="S121" s="24"/>
    </row>
    <row r="122" spans="1:19" x14ac:dyDescent="0.2">
      <c r="A122" s="239" t="s">
        <v>351</v>
      </c>
      <c r="B122" s="489" t="s">
        <v>1809</v>
      </c>
      <c r="C122" s="490" t="s">
        <v>1810</v>
      </c>
      <c r="D122" s="489" t="s">
        <v>112</v>
      </c>
      <c r="E122" s="489" t="s">
        <v>115</v>
      </c>
      <c r="F122" s="491" t="s">
        <v>944</v>
      </c>
      <c r="G122" s="489" t="s">
        <v>945</v>
      </c>
      <c r="H122" s="489" t="s">
        <v>79</v>
      </c>
      <c r="I122" s="468"/>
      <c r="J122" s="489" t="s">
        <v>913</v>
      </c>
      <c r="K122" s="492">
        <v>25</v>
      </c>
      <c r="L122" s="495"/>
      <c r="M122" s="468">
        <v>57</v>
      </c>
      <c r="N122" s="468">
        <v>2</v>
      </c>
      <c r="O122" s="494">
        <f t="shared" si="3"/>
        <v>3.5087719298245612E-2</v>
      </c>
      <c r="P122" s="494">
        <f t="shared" si="4"/>
        <v>3.5087719298245612E-2</v>
      </c>
      <c r="Q122" s="786">
        <f t="shared" si="5"/>
        <v>0.14035087719298245</v>
      </c>
      <c r="R122" s="468"/>
      <c r="S122" s="24"/>
    </row>
    <row r="123" spans="1:19" x14ac:dyDescent="0.2">
      <c r="A123" s="239" t="s">
        <v>351</v>
      </c>
      <c r="B123" s="489" t="s">
        <v>1809</v>
      </c>
      <c r="C123" s="490" t="s">
        <v>1810</v>
      </c>
      <c r="D123" s="489" t="s">
        <v>112</v>
      </c>
      <c r="E123" s="489" t="s">
        <v>115</v>
      </c>
      <c r="F123" s="491" t="s">
        <v>124</v>
      </c>
      <c r="G123" s="489" t="s">
        <v>945</v>
      </c>
      <c r="H123" s="489" t="s">
        <v>79</v>
      </c>
      <c r="I123" s="468"/>
      <c r="J123" s="489" t="s">
        <v>913</v>
      </c>
      <c r="K123" s="492">
        <v>25</v>
      </c>
      <c r="L123" s="495"/>
      <c r="M123" s="468">
        <v>57</v>
      </c>
      <c r="N123" s="468">
        <v>19</v>
      </c>
      <c r="O123" s="494">
        <f t="shared" si="3"/>
        <v>0.33333333333333331</v>
      </c>
      <c r="P123" s="494">
        <f t="shared" si="4"/>
        <v>0.33333333333333331</v>
      </c>
      <c r="Q123" s="786">
        <f t="shared" si="5"/>
        <v>1.3333333333333333</v>
      </c>
      <c r="R123" s="468"/>
      <c r="S123" s="24"/>
    </row>
    <row r="124" spans="1:19" ht="63.75" x14ac:dyDescent="0.2">
      <c r="A124" s="239" t="s">
        <v>351</v>
      </c>
      <c r="B124" s="489" t="s">
        <v>1809</v>
      </c>
      <c r="C124" s="490" t="s">
        <v>1810</v>
      </c>
      <c r="D124" s="489" t="s">
        <v>112</v>
      </c>
      <c r="E124" s="489" t="s">
        <v>946</v>
      </c>
      <c r="F124" s="491" t="s">
        <v>947</v>
      </c>
      <c r="G124" s="489" t="s">
        <v>945</v>
      </c>
      <c r="H124" s="489" t="s">
        <v>79</v>
      </c>
      <c r="I124" s="468"/>
      <c r="J124" s="489" t="s">
        <v>913</v>
      </c>
      <c r="K124" s="492">
        <v>25</v>
      </c>
      <c r="L124" s="495" t="s">
        <v>977</v>
      </c>
      <c r="M124" s="468">
        <v>57</v>
      </c>
      <c r="N124" s="468">
        <v>2</v>
      </c>
      <c r="O124" s="494">
        <f t="shared" si="3"/>
        <v>3.5087719298245612E-2</v>
      </c>
      <c r="P124" s="494">
        <f t="shared" si="4"/>
        <v>3.5087719298245612E-2</v>
      </c>
      <c r="Q124" s="786">
        <f t="shared" si="5"/>
        <v>0.14035087719298245</v>
      </c>
      <c r="R124" s="468"/>
      <c r="S124" s="24"/>
    </row>
    <row r="125" spans="1:19" x14ac:dyDescent="0.2">
      <c r="A125" s="239" t="s">
        <v>351</v>
      </c>
      <c r="B125" s="489" t="s">
        <v>1809</v>
      </c>
      <c r="C125" s="490" t="s">
        <v>1810</v>
      </c>
      <c r="D125" s="489" t="s">
        <v>112</v>
      </c>
      <c r="E125" s="489" t="s">
        <v>946</v>
      </c>
      <c r="F125" s="491" t="s">
        <v>948</v>
      </c>
      <c r="G125" s="489" t="s">
        <v>945</v>
      </c>
      <c r="H125" s="489" t="s">
        <v>79</v>
      </c>
      <c r="I125" s="468"/>
      <c r="J125" s="489" t="s">
        <v>913</v>
      </c>
      <c r="K125" s="492">
        <v>33</v>
      </c>
      <c r="L125" s="495"/>
      <c r="M125" s="468">
        <v>57</v>
      </c>
      <c r="N125" s="468">
        <v>14</v>
      </c>
      <c r="O125" s="494">
        <f t="shared" si="3"/>
        <v>0.24561403508771928</v>
      </c>
      <c r="P125" s="494">
        <f t="shared" si="4"/>
        <v>0.24561403508771928</v>
      </c>
      <c r="Q125" s="786">
        <f t="shared" si="5"/>
        <v>0.74428495481127066</v>
      </c>
      <c r="R125" s="468"/>
      <c r="S125" s="24"/>
    </row>
    <row r="126" spans="1:19" ht="25.5" x14ac:dyDescent="0.2">
      <c r="A126" s="239" t="s">
        <v>351</v>
      </c>
      <c r="B126" s="489" t="s">
        <v>1809</v>
      </c>
      <c r="C126" s="490" t="s">
        <v>1810</v>
      </c>
      <c r="D126" s="489" t="s">
        <v>112</v>
      </c>
      <c r="E126" s="489" t="s">
        <v>949</v>
      </c>
      <c r="F126" s="491" t="s">
        <v>947</v>
      </c>
      <c r="G126" s="489" t="s">
        <v>945</v>
      </c>
      <c r="H126" s="489" t="s">
        <v>79</v>
      </c>
      <c r="I126" s="468"/>
      <c r="J126" s="489" t="s">
        <v>913</v>
      </c>
      <c r="K126" s="492">
        <v>25</v>
      </c>
      <c r="L126" s="495"/>
      <c r="M126" s="468">
        <v>57</v>
      </c>
      <c r="N126" s="468">
        <v>2</v>
      </c>
      <c r="O126" s="494">
        <f t="shared" si="3"/>
        <v>3.5087719298245612E-2</v>
      </c>
      <c r="P126" s="494">
        <f t="shared" si="4"/>
        <v>3.5087719298245612E-2</v>
      </c>
      <c r="Q126" s="786">
        <f t="shared" si="5"/>
        <v>0.14035087719298245</v>
      </c>
      <c r="R126" s="468"/>
      <c r="S126" s="24"/>
    </row>
    <row r="127" spans="1:19" x14ac:dyDescent="0.2">
      <c r="A127" s="239" t="s">
        <v>351</v>
      </c>
      <c r="B127" s="489" t="s">
        <v>1809</v>
      </c>
      <c r="C127" s="490" t="s">
        <v>1810</v>
      </c>
      <c r="D127" s="489" t="s">
        <v>112</v>
      </c>
      <c r="E127" s="489" t="s">
        <v>125</v>
      </c>
      <c r="F127" s="491" t="s">
        <v>947</v>
      </c>
      <c r="G127" s="489" t="s">
        <v>945</v>
      </c>
      <c r="H127" s="489" t="s">
        <v>79</v>
      </c>
      <c r="I127" s="468"/>
      <c r="J127" s="489" t="s">
        <v>913</v>
      </c>
      <c r="K127" s="492">
        <v>25</v>
      </c>
      <c r="L127" s="495"/>
      <c r="M127" s="468">
        <v>57</v>
      </c>
      <c r="N127" s="468">
        <v>2</v>
      </c>
      <c r="O127" s="494">
        <f t="shared" si="3"/>
        <v>3.5087719298245612E-2</v>
      </c>
      <c r="P127" s="494">
        <f t="shared" si="4"/>
        <v>3.5087719298245612E-2</v>
      </c>
      <c r="Q127" s="786">
        <f t="shared" si="5"/>
        <v>0.14035087719298245</v>
      </c>
      <c r="R127" s="468"/>
      <c r="S127" s="24"/>
    </row>
    <row r="128" spans="1:19" x14ac:dyDescent="0.2">
      <c r="A128" s="239" t="s">
        <v>351</v>
      </c>
      <c r="B128" s="489" t="s">
        <v>1809</v>
      </c>
      <c r="C128" s="490" t="s">
        <v>1810</v>
      </c>
      <c r="D128" s="489" t="s">
        <v>112</v>
      </c>
      <c r="E128" s="489" t="s">
        <v>950</v>
      </c>
      <c r="F128" s="491" t="s">
        <v>947</v>
      </c>
      <c r="G128" s="489" t="s">
        <v>114</v>
      </c>
      <c r="H128" s="489" t="s">
        <v>79</v>
      </c>
      <c r="I128" s="468"/>
      <c r="J128" s="489" t="s">
        <v>913</v>
      </c>
      <c r="K128" s="492">
        <v>100</v>
      </c>
      <c r="L128" s="495"/>
      <c r="M128" s="468">
        <v>57</v>
      </c>
      <c r="N128" s="468">
        <v>48</v>
      </c>
      <c r="O128" s="494">
        <f t="shared" si="3"/>
        <v>0.84210526315789469</v>
      </c>
      <c r="P128" s="494">
        <f t="shared" si="4"/>
        <v>0.84210526315789469</v>
      </c>
      <c r="Q128" s="786">
        <f t="shared" si="5"/>
        <v>0.84210526315789469</v>
      </c>
      <c r="R128" s="468"/>
      <c r="S128" s="24"/>
    </row>
    <row r="129" spans="1:19" x14ac:dyDescent="0.2">
      <c r="A129" s="239" t="s">
        <v>351</v>
      </c>
      <c r="B129" s="489" t="s">
        <v>1809</v>
      </c>
      <c r="C129" s="490" t="s">
        <v>1810</v>
      </c>
      <c r="D129" s="489" t="s">
        <v>112</v>
      </c>
      <c r="E129" s="489" t="s">
        <v>951</v>
      </c>
      <c r="F129" s="491" t="s">
        <v>947</v>
      </c>
      <c r="G129" s="489" t="s">
        <v>114</v>
      </c>
      <c r="H129" s="489" t="s">
        <v>79</v>
      </c>
      <c r="I129" s="468"/>
      <c r="J129" s="489" t="s">
        <v>913</v>
      </c>
      <c r="K129" s="492">
        <v>100</v>
      </c>
      <c r="L129" s="495"/>
      <c r="M129" s="468">
        <v>57</v>
      </c>
      <c r="N129" s="468">
        <v>48</v>
      </c>
      <c r="O129" s="494">
        <f t="shared" si="3"/>
        <v>0.84210526315789469</v>
      </c>
      <c r="P129" s="494">
        <f t="shared" si="4"/>
        <v>0.84210526315789469</v>
      </c>
      <c r="Q129" s="786">
        <f t="shared" si="5"/>
        <v>0.84210526315789469</v>
      </c>
      <c r="R129" s="468"/>
      <c r="S129" s="24"/>
    </row>
    <row r="130" spans="1:19" ht="25.5" x14ac:dyDescent="0.2">
      <c r="A130" s="239" t="s">
        <v>351</v>
      </c>
      <c r="B130" s="489" t="s">
        <v>1809</v>
      </c>
      <c r="C130" s="490" t="s">
        <v>1810</v>
      </c>
      <c r="D130" s="489" t="s">
        <v>112</v>
      </c>
      <c r="E130" s="489" t="s">
        <v>952</v>
      </c>
      <c r="F130" s="491" t="s">
        <v>947</v>
      </c>
      <c r="G130" s="489" t="s">
        <v>945</v>
      </c>
      <c r="H130" s="489" t="s">
        <v>79</v>
      </c>
      <c r="I130" s="468"/>
      <c r="J130" s="489" t="s">
        <v>913</v>
      </c>
      <c r="K130" s="492">
        <v>25</v>
      </c>
      <c r="L130" s="495"/>
      <c r="M130" s="468">
        <v>57</v>
      </c>
      <c r="N130" s="468">
        <v>2</v>
      </c>
      <c r="O130" s="494">
        <f t="shared" si="3"/>
        <v>3.5087719298245612E-2</v>
      </c>
      <c r="P130" s="494">
        <f t="shared" si="4"/>
        <v>3.5087719298245612E-2</v>
      </c>
      <c r="Q130" s="786">
        <f t="shared" si="5"/>
        <v>0.14035087719298245</v>
      </c>
      <c r="R130" s="468"/>
      <c r="S130" s="24"/>
    </row>
    <row r="131" spans="1:19" ht="25.5" x14ac:dyDescent="0.2">
      <c r="A131" s="239" t="s">
        <v>351</v>
      </c>
      <c r="B131" s="489" t="s">
        <v>1809</v>
      </c>
      <c r="C131" s="490" t="s">
        <v>1810</v>
      </c>
      <c r="D131" s="489" t="s">
        <v>112</v>
      </c>
      <c r="E131" s="489" t="s">
        <v>953</v>
      </c>
      <c r="F131" s="491" t="s">
        <v>947</v>
      </c>
      <c r="G131" s="489" t="s">
        <v>945</v>
      </c>
      <c r="H131" s="489" t="s">
        <v>79</v>
      </c>
      <c r="I131" s="468"/>
      <c r="J131" s="489" t="s">
        <v>913</v>
      </c>
      <c r="K131" s="492">
        <v>25</v>
      </c>
      <c r="L131" s="495"/>
      <c r="M131" s="468">
        <v>57</v>
      </c>
      <c r="N131" s="468">
        <v>2</v>
      </c>
      <c r="O131" s="494">
        <f t="shared" si="3"/>
        <v>3.5087719298245612E-2</v>
      </c>
      <c r="P131" s="494">
        <f t="shared" si="4"/>
        <v>3.5087719298245612E-2</v>
      </c>
      <c r="Q131" s="786">
        <f t="shared" si="5"/>
        <v>0.14035087719298245</v>
      </c>
      <c r="R131" s="468"/>
      <c r="S131" s="24"/>
    </row>
    <row r="132" spans="1:19" x14ac:dyDescent="0.2">
      <c r="A132" s="239" t="s">
        <v>351</v>
      </c>
      <c r="B132" s="489" t="s">
        <v>1809</v>
      </c>
      <c r="C132" s="490" t="s">
        <v>1810</v>
      </c>
      <c r="D132" s="489" t="s">
        <v>112</v>
      </c>
      <c r="E132" s="489" t="s">
        <v>954</v>
      </c>
      <c r="F132" s="491" t="s">
        <v>955</v>
      </c>
      <c r="G132" s="489" t="s">
        <v>114</v>
      </c>
      <c r="H132" s="489" t="s">
        <v>79</v>
      </c>
      <c r="I132" s="468"/>
      <c r="J132" s="489" t="s">
        <v>913</v>
      </c>
      <c r="K132" s="492">
        <v>100</v>
      </c>
      <c r="L132" s="495"/>
      <c r="M132" s="468">
        <v>57</v>
      </c>
      <c r="N132" s="468">
        <v>48</v>
      </c>
      <c r="O132" s="494">
        <f t="shared" si="3"/>
        <v>0.84210526315789469</v>
      </c>
      <c r="P132" s="494">
        <f t="shared" si="4"/>
        <v>0.84210526315789469</v>
      </c>
      <c r="Q132" s="786">
        <f t="shared" si="5"/>
        <v>0.84210526315789469</v>
      </c>
      <c r="R132" s="468"/>
      <c r="S132" s="24"/>
    </row>
    <row r="133" spans="1:19" ht="25.5" x14ac:dyDescent="0.2">
      <c r="A133" s="239" t="s">
        <v>351</v>
      </c>
      <c r="B133" s="489" t="s">
        <v>1809</v>
      </c>
      <c r="C133" s="490" t="s">
        <v>1810</v>
      </c>
      <c r="D133" s="489" t="s">
        <v>112</v>
      </c>
      <c r="E133" s="489" t="s">
        <v>956</v>
      </c>
      <c r="F133" s="491" t="s">
        <v>955</v>
      </c>
      <c r="G133" s="489" t="s">
        <v>114</v>
      </c>
      <c r="H133" s="489" t="s">
        <v>79</v>
      </c>
      <c r="I133" s="468"/>
      <c r="J133" s="489" t="s">
        <v>913</v>
      </c>
      <c r="K133" s="492">
        <v>100</v>
      </c>
      <c r="L133" s="495"/>
      <c r="M133" s="468">
        <v>57</v>
      </c>
      <c r="N133" s="468">
        <v>57</v>
      </c>
      <c r="O133" s="494">
        <f t="shared" si="3"/>
        <v>1</v>
      </c>
      <c r="P133" s="494">
        <f t="shared" si="4"/>
        <v>1</v>
      </c>
      <c r="Q133" s="786">
        <f t="shared" si="5"/>
        <v>1</v>
      </c>
      <c r="R133" s="468"/>
      <c r="S133" s="24"/>
    </row>
    <row r="134" spans="1:19" ht="25.5" x14ac:dyDescent="0.2">
      <c r="A134" s="239" t="s">
        <v>351</v>
      </c>
      <c r="B134" s="489" t="s">
        <v>1809</v>
      </c>
      <c r="C134" s="490" t="s">
        <v>1810</v>
      </c>
      <c r="D134" s="489" t="s">
        <v>112</v>
      </c>
      <c r="E134" s="489" t="s">
        <v>957</v>
      </c>
      <c r="F134" s="491" t="s">
        <v>124</v>
      </c>
      <c r="G134" s="489" t="s">
        <v>945</v>
      </c>
      <c r="H134" s="489" t="s">
        <v>79</v>
      </c>
      <c r="I134" s="468"/>
      <c r="J134" s="489" t="s">
        <v>913</v>
      </c>
      <c r="K134" s="492">
        <v>33</v>
      </c>
      <c r="L134" s="495"/>
      <c r="M134" s="468">
        <v>57</v>
      </c>
      <c r="N134" s="468">
        <v>12</v>
      </c>
      <c r="O134" s="494">
        <f t="shared" ref="O134:O197" si="6">N134/M134</f>
        <v>0.21052631578947367</v>
      </c>
      <c r="P134" s="494">
        <f t="shared" ref="P134:P197" si="7">O134</f>
        <v>0.21052631578947367</v>
      </c>
      <c r="Q134" s="786">
        <f t="shared" ref="Q134:Q197" si="8">N134/(M134*K134/100)</f>
        <v>0.63795853269537484</v>
      </c>
      <c r="R134" s="468"/>
      <c r="S134" s="24"/>
    </row>
    <row r="135" spans="1:19" x14ac:dyDescent="0.2">
      <c r="A135" s="239" t="s">
        <v>351</v>
      </c>
      <c r="B135" s="489" t="s">
        <v>1809</v>
      </c>
      <c r="C135" s="490" t="s">
        <v>1810</v>
      </c>
      <c r="D135" s="489" t="s">
        <v>112</v>
      </c>
      <c r="E135" s="489" t="s">
        <v>958</v>
      </c>
      <c r="F135" s="491" t="s">
        <v>124</v>
      </c>
      <c r="G135" s="489" t="s">
        <v>945</v>
      </c>
      <c r="H135" s="489" t="s">
        <v>79</v>
      </c>
      <c r="I135" s="468"/>
      <c r="J135" s="489" t="s">
        <v>913</v>
      </c>
      <c r="K135" s="492">
        <v>33</v>
      </c>
      <c r="L135" s="495"/>
      <c r="M135" s="468">
        <v>57</v>
      </c>
      <c r="N135" s="468">
        <v>14</v>
      </c>
      <c r="O135" s="494">
        <f t="shared" si="6"/>
        <v>0.24561403508771928</v>
      </c>
      <c r="P135" s="494">
        <f t="shared" si="7"/>
        <v>0.24561403508771928</v>
      </c>
      <c r="Q135" s="786">
        <f t="shared" si="8"/>
        <v>0.74428495481127066</v>
      </c>
      <c r="R135" s="468"/>
      <c r="S135" s="24"/>
    </row>
    <row r="136" spans="1:19" x14ac:dyDescent="0.2">
      <c r="A136" s="239" t="s">
        <v>351</v>
      </c>
      <c r="B136" s="489" t="s">
        <v>1809</v>
      </c>
      <c r="C136" s="490" t="s">
        <v>1810</v>
      </c>
      <c r="D136" s="489" t="s">
        <v>112</v>
      </c>
      <c r="E136" s="489" t="s">
        <v>959</v>
      </c>
      <c r="F136" s="491" t="s">
        <v>124</v>
      </c>
      <c r="G136" s="489" t="s">
        <v>945</v>
      </c>
      <c r="H136" s="489" t="s">
        <v>79</v>
      </c>
      <c r="I136" s="468"/>
      <c r="J136" s="489" t="s">
        <v>913</v>
      </c>
      <c r="K136" s="492">
        <v>33</v>
      </c>
      <c r="L136" s="495"/>
      <c r="M136" s="468">
        <v>57</v>
      </c>
      <c r="N136" s="468">
        <v>18</v>
      </c>
      <c r="O136" s="494">
        <f t="shared" si="6"/>
        <v>0.31578947368421051</v>
      </c>
      <c r="P136" s="494">
        <f t="shared" si="7"/>
        <v>0.31578947368421051</v>
      </c>
      <c r="Q136" s="786">
        <f t="shared" si="8"/>
        <v>0.95693779904306231</v>
      </c>
      <c r="R136" s="468"/>
      <c r="S136" s="24"/>
    </row>
    <row r="137" spans="1:19" ht="25.5" x14ac:dyDescent="0.2">
      <c r="A137" s="239" t="s">
        <v>351</v>
      </c>
      <c r="B137" s="489" t="s">
        <v>1809</v>
      </c>
      <c r="C137" s="490" t="s">
        <v>1810</v>
      </c>
      <c r="D137" s="489" t="s">
        <v>112</v>
      </c>
      <c r="E137" s="489" t="s">
        <v>960</v>
      </c>
      <c r="F137" s="491" t="s">
        <v>124</v>
      </c>
      <c r="G137" s="489" t="s">
        <v>945</v>
      </c>
      <c r="H137" s="489" t="s">
        <v>79</v>
      </c>
      <c r="I137" s="468"/>
      <c r="J137" s="489" t="s">
        <v>913</v>
      </c>
      <c r="K137" s="492">
        <v>33</v>
      </c>
      <c r="L137" s="495"/>
      <c r="M137" s="468">
        <v>57</v>
      </c>
      <c r="N137" s="468">
        <v>9</v>
      </c>
      <c r="O137" s="494">
        <f t="shared" si="6"/>
        <v>0.15789473684210525</v>
      </c>
      <c r="P137" s="494">
        <f t="shared" si="7"/>
        <v>0.15789473684210525</v>
      </c>
      <c r="Q137" s="786">
        <f t="shared" si="8"/>
        <v>0.47846889952153115</v>
      </c>
      <c r="R137" s="468"/>
      <c r="S137" s="24"/>
    </row>
    <row r="138" spans="1:19" x14ac:dyDescent="0.2">
      <c r="A138" s="239" t="s">
        <v>351</v>
      </c>
      <c r="B138" s="489" t="s">
        <v>1809</v>
      </c>
      <c r="C138" s="490" t="s">
        <v>1810</v>
      </c>
      <c r="D138" s="489" t="s">
        <v>112</v>
      </c>
      <c r="E138" s="489" t="s">
        <v>961</v>
      </c>
      <c r="F138" s="491" t="s">
        <v>124</v>
      </c>
      <c r="G138" s="489" t="s">
        <v>945</v>
      </c>
      <c r="H138" s="489" t="s">
        <v>79</v>
      </c>
      <c r="I138" s="468"/>
      <c r="J138" s="489" t="s">
        <v>913</v>
      </c>
      <c r="K138" s="492">
        <v>33</v>
      </c>
      <c r="L138" s="495"/>
      <c r="M138" s="468">
        <v>57</v>
      </c>
      <c r="N138" s="468">
        <v>12</v>
      </c>
      <c r="O138" s="494">
        <f t="shared" si="6"/>
        <v>0.21052631578947367</v>
      </c>
      <c r="P138" s="494">
        <f t="shared" si="7"/>
        <v>0.21052631578947367</v>
      </c>
      <c r="Q138" s="786">
        <f t="shared" si="8"/>
        <v>0.63795853269537484</v>
      </c>
      <c r="R138" s="468"/>
      <c r="S138" s="24"/>
    </row>
    <row r="139" spans="1:19" x14ac:dyDescent="0.2">
      <c r="A139" s="239" t="s">
        <v>351</v>
      </c>
      <c r="B139" s="489" t="s">
        <v>1809</v>
      </c>
      <c r="C139" s="490" t="s">
        <v>1810</v>
      </c>
      <c r="D139" s="489" t="s">
        <v>112</v>
      </c>
      <c r="E139" s="489" t="s">
        <v>962</v>
      </c>
      <c r="F139" s="491" t="s">
        <v>124</v>
      </c>
      <c r="G139" s="489" t="s">
        <v>945</v>
      </c>
      <c r="H139" s="489" t="s">
        <v>79</v>
      </c>
      <c r="I139" s="468"/>
      <c r="J139" s="489" t="s">
        <v>913</v>
      </c>
      <c r="K139" s="492">
        <v>33</v>
      </c>
      <c r="L139" s="495"/>
      <c r="M139" s="468">
        <v>57</v>
      </c>
      <c r="N139" s="468">
        <v>14</v>
      </c>
      <c r="O139" s="494">
        <f t="shared" si="6"/>
        <v>0.24561403508771928</v>
      </c>
      <c r="P139" s="494">
        <f t="shared" si="7"/>
        <v>0.24561403508771928</v>
      </c>
      <c r="Q139" s="786">
        <f t="shared" si="8"/>
        <v>0.74428495481127066</v>
      </c>
      <c r="R139" s="468"/>
      <c r="S139" s="24"/>
    </row>
    <row r="140" spans="1:19" x14ac:dyDescent="0.2">
      <c r="A140" s="239" t="s">
        <v>351</v>
      </c>
      <c r="B140" s="489" t="s">
        <v>1809</v>
      </c>
      <c r="C140" s="490" t="s">
        <v>1810</v>
      </c>
      <c r="D140" s="489" t="s">
        <v>112</v>
      </c>
      <c r="E140" s="489" t="s">
        <v>963</v>
      </c>
      <c r="F140" s="491" t="s">
        <v>947</v>
      </c>
      <c r="G140" s="489" t="s">
        <v>114</v>
      </c>
      <c r="H140" s="489" t="s">
        <v>79</v>
      </c>
      <c r="I140" s="468"/>
      <c r="J140" s="489" t="s">
        <v>913</v>
      </c>
      <c r="K140" s="492">
        <v>100</v>
      </c>
      <c r="L140" s="495"/>
      <c r="M140" s="468">
        <v>57</v>
      </c>
      <c r="N140" s="468">
        <v>48</v>
      </c>
      <c r="O140" s="494">
        <f t="shared" si="6"/>
        <v>0.84210526315789469</v>
      </c>
      <c r="P140" s="494">
        <f t="shared" si="7"/>
        <v>0.84210526315789469</v>
      </c>
      <c r="Q140" s="786">
        <f t="shared" si="8"/>
        <v>0.84210526315789469</v>
      </c>
      <c r="R140" s="468"/>
      <c r="S140" s="24"/>
    </row>
    <row r="141" spans="1:19" x14ac:dyDescent="0.2">
      <c r="A141" s="239" t="s">
        <v>351</v>
      </c>
      <c r="B141" s="489" t="s">
        <v>1809</v>
      </c>
      <c r="C141" s="490" t="s">
        <v>1810</v>
      </c>
      <c r="D141" s="489" t="s">
        <v>112</v>
      </c>
      <c r="E141" s="489" t="s">
        <v>964</v>
      </c>
      <c r="F141" s="491" t="s">
        <v>947</v>
      </c>
      <c r="G141" s="489" t="s">
        <v>114</v>
      </c>
      <c r="H141" s="489" t="s">
        <v>79</v>
      </c>
      <c r="I141" s="468"/>
      <c r="J141" s="489" t="s">
        <v>913</v>
      </c>
      <c r="K141" s="492">
        <v>100</v>
      </c>
      <c r="L141" s="495"/>
      <c r="M141" s="468">
        <v>57</v>
      </c>
      <c r="N141" s="468">
        <v>48</v>
      </c>
      <c r="O141" s="494">
        <f t="shared" si="6"/>
        <v>0.84210526315789469</v>
      </c>
      <c r="P141" s="494">
        <f t="shared" si="7"/>
        <v>0.84210526315789469</v>
      </c>
      <c r="Q141" s="786">
        <f t="shared" si="8"/>
        <v>0.84210526315789469</v>
      </c>
      <c r="R141" s="468"/>
      <c r="S141" s="24"/>
    </row>
    <row r="142" spans="1:19" ht="25.5" x14ac:dyDescent="0.2">
      <c r="A142" s="239" t="s">
        <v>351</v>
      </c>
      <c r="B142" s="489" t="s">
        <v>1809</v>
      </c>
      <c r="C142" s="490" t="s">
        <v>1810</v>
      </c>
      <c r="D142" s="489" t="s">
        <v>112</v>
      </c>
      <c r="E142" s="489" t="s">
        <v>965</v>
      </c>
      <c r="F142" s="491" t="s">
        <v>947</v>
      </c>
      <c r="G142" s="489" t="s">
        <v>114</v>
      </c>
      <c r="H142" s="489" t="s">
        <v>79</v>
      </c>
      <c r="I142" s="468"/>
      <c r="J142" s="489" t="s">
        <v>913</v>
      </c>
      <c r="K142" s="492">
        <v>100</v>
      </c>
      <c r="L142" s="495"/>
      <c r="M142" s="468">
        <v>57</v>
      </c>
      <c r="N142" s="468">
        <v>48</v>
      </c>
      <c r="O142" s="494">
        <f t="shared" si="6"/>
        <v>0.84210526315789469</v>
      </c>
      <c r="P142" s="494">
        <f t="shared" si="7"/>
        <v>0.84210526315789469</v>
      </c>
      <c r="Q142" s="786">
        <f t="shared" si="8"/>
        <v>0.84210526315789469</v>
      </c>
      <c r="R142" s="468"/>
      <c r="S142" s="24"/>
    </row>
    <row r="143" spans="1:19" ht="63.75" x14ac:dyDescent="0.2">
      <c r="A143" s="239" t="s">
        <v>351</v>
      </c>
      <c r="B143" s="489" t="s">
        <v>1809</v>
      </c>
      <c r="C143" s="490" t="s">
        <v>1810</v>
      </c>
      <c r="D143" s="489" t="s">
        <v>112</v>
      </c>
      <c r="E143" s="489" t="s">
        <v>966</v>
      </c>
      <c r="F143" s="491" t="s">
        <v>944</v>
      </c>
      <c r="G143" s="489" t="s">
        <v>114</v>
      </c>
      <c r="H143" s="489" t="s">
        <v>79</v>
      </c>
      <c r="I143" s="468"/>
      <c r="J143" s="489" t="s">
        <v>913</v>
      </c>
      <c r="K143" s="492">
        <v>100</v>
      </c>
      <c r="L143" s="495" t="s">
        <v>976</v>
      </c>
      <c r="M143" s="468">
        <v>57</v>
      </c>
      <c r="N143" s="468">
        <v>48</v>
      </c>
      <c r="O143" s="494">
        <f t="shared" si="6"/>
        <v>0.84210526315789469</v>
      </c>
      <c r="P143" s="494">
        <f t="shared" si="7"/>
        <v>0.84210526315789469</v>
      </c>
      <c r="Q143" s="786">
        <f t="shared" si="8"/>
        <v>0.84210526315789469</v>
      </c>
      <c r="R143" s="468"/>
      <c r="S143" s="24"/>
    </row>
    <row r="144" spans="1:19" x14ac:dyDescent="0.2">
      <c r="A144" s="239" t="s">
        <v>351</v>
      </c>
      <c r="B144" s="489" t="s">
        <v>1809</v>
      </c>
      <c r="C144" s="490" t="s">
        <v>1810</v>
      </c>
      <c r="D144" s="489" t="s">
        <v>112</v>
      </c>
      <c r="E144" s="489" t="s">
        <v>966</v>
      </c>
      <c r="F144" s="491" t="s">
        <v>124</v>
      </c>
      <c r="G144" s="489" t="s">
        <v>945</v>
      </c>
      <c r="H144" s="489" t="s">
        <v>79</v>
      </c>
      <c r="I144" s="468"/>
      <c r="J144" s="489" t="s">
        <v>913</v>
      </c>
      <c r="K144" s="492">
        <v>33</v>
      </c>
      <c r="L144" s="495"/>
      <c r="M144" s="468">
        <v>57</v>
      </c>
      <c r="N144" s="468">
        <v>14</v>
      </c>
      <c r="O144" s="494">
        <f t="shared" si="6"/>
        <v>0.24561403508771928</v>
      </c>
      <c r="P144" s="494">
        <f t="shared" si="7"/>
        <v>0.24561403508771928</v>
      </c>
      <c r="Q144" s="786">
        <f t="shared" si="8"/>
        <v>0.74428495481127066</v>
      </c>
      <c r="R144" s="468"/>
      <c r="S144" s="24"/>
    </row>
    <row r="145" spans="1:19" x14ac:dyDescent="0.2">
      <c r="A145" s="239" t="s">
        <v>351</v>
      </c>
      <c r="B145" s="489" t="s">
        <v>1809</v>
      </c>
      <c r="C145" s="490" t="s">
        <v>1810</v>
      </c>
      <c r="D145" s="489" t="s">
        <v>112</v>
      </c>
      <c r="E145" s="489" t="s">
        <v>967</v>
      </c>
      <c r="F145" s="491" t="s">
        <v>947</v>
      </c>
      <c r="G145" s="489" t="s">
        <v>945</v>
      </c>
      <c r="H145" s="489" t="s">
        <v>79</v>
      </c>
      <c r="I145" s="468"/>
      <c r="J145" s="489" t="s">
        <v>913</v>
      </c>
      <c r="K145" s="492">
        <v>25</v>
      </c>
      <c r="L145" s="495"/>
      <c r="M145" s="468">
        <v>57</v>
      </c>
      <c r="N145" s="468">
        <v>2</v>
      </c>
      <c r="O145" s="494">
        <f t="shared" si="6"/>
        <v>3.5087719298245612E-2</v>
      </c>
      <c r="P145" s="494">
        <f t="shared" si="7"/>
        <v>3.5087719298245612E-2</v>
      </c>
      <c r="Q145" s="786">
        <f t="shared" si="8"/>
        <v>0.14035087719298245</v>
      </c>
      <c r="R145" s="468"/>
      <c r="S145" s="24"/>
    </row>
    <row r="146" spans="1:19" ht="51" x14ac:dyDescent="0.2">
      <c r="A146" s="239" t="s">
        <v>351</v>
      </c>
      <c r="B146" s="489" t="s">
        <v>1809</v>
      </c>
      <c r="C146" s="490" t="s">
        <v>1810</v>
      </c>
      <c r="D146" s="489" t="s">
        <v>112</v>
      </c>
      <c r="E146" s="489" t="s">
        <v>968</v>
      </c>
      <c r="F146" s="491" t="s">
        <v>947</v>
      </c>
      <c r="G146" s="489" t="s">
        <v>945</v>
      </c>
      <c r="H146" s="489" t="s">
        <v>79</v>
      </c>
      <c r="I146" s="468"/>
      <c r="J146" s="489" t="s">
        <v>913</v>
      </c>
      <c r="K146" s="492">
        <v>25</v>
      </c>
      <c r="L146" s="495"/>
      <c r="M146" s="468">
        <v>57</v>
      </c>
      <c r="N146" s="468">
        <v>2</v>
      </c>
      <c r="O146" s="494">
        <f t="shared" si="6"/>
        <v>3.5087719298245612E-2</v>
      </c>
      <c r="P146" s="494">
        <f t="shared" si="7"/>
        <v>3.5087719298245612E-2</v>
      </c>
      <c r="Q146" s="786">
        <f t="shared" si="8"/>
        <v>0.14035087719298245</v>
      </c>
      <c r="R146" s="468"/>
      <c r="S146" s="24"/>
    </row>
    <row r="147" spans="1:19" ht="51" x14ac:dyDescent="0.2">
      <c r="A147" s="239" t="s">
        <v>351</v>
      </c>
      <c r="B147" s="489" t="s">
        <v>1809</v>
      </c>
      <c r="C147" s="490" t="s">
        <v>1810</v>
      </c>
      <c r="D147" s="489" t="s">
        <v>112</v>
      </c>
      <c r="E147" s="489" t="s">
        <v>969</v>
      </c>
      <c r="F147" s="491" t="s">
        <v>947</v>
      </c>
      <c r="G147" s="489" t="s">
        <v>114</v>
      </c>
      <c r="H147" s="489" t="s">
        <v>79</v>
      </c>
      <c r="I147" s="468"/>
      <c r="J147" s="489" t="s">
        <v>913</v>
      </c>
      <c r="K147" s="492">
        <v>100</v>
      </c>
      <c r="L147" s="495"/>
      <c r="M147" s="468">
        <v>57</v>
      </c>
      <c r="N147" s="468">
        <v>48</v>
      </c>
      <c r="O147" s="494">
        <f t="shared" si="6"/>
        <v>0.84210526315789469</v>
      </c>
      <c r="P147" s="494">
        <f t="shared" si="7"/>
        <v>0.84210526315789469</v>
      </c>
      <c r="Q147" s="786">
        <f t="shared" si="8"/>
        <v>0.84210526315789469</v>
      </c>
      <c r="R147" s="468"/>
      <c r="S147" s="24"/>
    </row>
    <row r="148" spans="1:19" ht="25.5" x14ac:dyDescent="0.2">
      <c r="A148" s="239" t="s">
        <v>351</v>
      </c>
      <c r="B148" s="489" t="s">
        <v>1809</v>
      </c>
      <c r="C148" s="490" t="s">
        <v>1810</v>
      </c>
      <c r="D148" s="489" t="s">
        <v>117</v>
      </c>
      <c r="E148" s="489" t="s">
        <v>970</v>
      </c>
      <c r="F148" s="491" t="s">
        <v>947</v>
      </c>
      <c r="G148" s="489" t="s">
        <v>114</v>
      </c>
      <c r="H148" s="489" t="s">
        <v>79</v>
      </c>
      <c r="I148" s="468"/>
      <c r="J148" s="489" t="s">
        <v>913</v>
      </c>
      <c r="K148" s="492">
        <v>100</v>
      </c>
      <c r="L148" s="495"/>
      <c r="M148" s="468">
        <v>57</v>
      </c>
      <c r="N148" s="468">
        <v>48</v>
      </c>
      <c r="O148" s="494">
        <f t="shared" si="6"/>
        <v>0.84210526315789469</v>
      </c>
      <c r="P148" s="494">
        <f t="shared" si="7"/>
        <v>0.84210526315789469</v>
      </c>
      <c r="Q148" s="786">
        <f t="shared" si="8"/>
        <v>0.84210526315789469</v>
      </c>
      <c r="R148" s="468"/>
      <c r="S148" s="24"/>
    </row>
    <row r="149" spans="1:19" x14ac:dyDescent="0.2">
      <c r="A149" s="239" t="s">
        <v>351</v>
      </c>
      <c r="B149" s="489" t="s">
        <v>1809</v>
      </c>
      <c r="C149" s="490" t="s">
        <v>1810</v>
      </c>
      <c r="D149" s="489" t="s">
        <v>117</v>
      </c>
      <c r="E149" s="489" t="s">
        <v>971</v>
      </c>
      <c r="F149" s="491" t="s">
        <v>947</v>
      </c>
      <c r="G149" s="489" t="s">
        <v>114</v>
      </c>
      <c r="H149" s="489" t="s">
        <v>79</v>
      </c>
      <c r="I149" s="468"/>
      <c r="J149" s="489" t="s">
        <v>913</v>
      </c>
      <c r="K149" s="492">
        <v>100</v>
      </c>
      <c r="L149" s="495"/>
      <c r="M149" s="468">
        <v>57</v>
      </c>
      <c r="N149" s="468">
        <v>48</v>
      </c>
      <c r="O149" s="494">
        <f t="shared" si="6"/>
        <v>0.84210526315789469</v>
      </c>
      <c r="P149" s="494">
        <f t="shared" si="7"/>
        <v>0.84210526315789469</v>
      </c>
      <c r="Q149" s="786">
        <f t="shared" si="8"/>
        <v>0.84210526315789469</v>
      </c>
      <c r="R149" s="468"/>
      <c r="S149" s="24"/>
    </row>
    <row r="150" spans="1:19" ht="25.5" x14ac:dyDescent="0.2">
      <c r="A150" s="239" t="s">
        <v>351</v>
      </c>
      <c r="B150" s="489" t="s">
        <v>1809</v>
      </c>
      <c r="C150" s="490" t="s">
        <v>1810</v>
      </c>
      <c r="D150" s="489" t="s">
        <v>117</v>
      </c>
      <c r="E150" s="489" t="s">
        <v>126</v>
      </c>
      <c r="F150" s="491" t="s">
        <v>947</v>
      </c>
      <c r="G150" s="489" t="s">
        <v>945</v>
      </c>
      <c r="H150" s="489" t="s">
        <v>79</v>
      </c>
      <c r="I150" s="468"/>
      <c r="J150" s="489" t="s">
        <v>913</v>
      </c>
      <c r="K150" s="492">
        <v>25</v>
      </c>
      <c r="L150" s="495"/>
      <c r="M150" s="468">
        <v>57</v>
      </c>
      <c r="N150" s="468">
        <v>2</v>
      </c>
      <c r="O150" s="494">
        <f t="shared" si="6"/>
        <v>3.5087719298245612E-2</v>
      </c>
      <c r="P150" s="494">
        <f t="shared" si="7"/>
        <v>3.5087719298245612E-2</v>
      </c>
      <c r="Q150" s="786">
        <f t="shared" si="8"/>
        <v>0.14035087719298245</v>
      </c>
      <c r="R150" s="468"/>
      <c r="S150" s="24"/>
    </row>
    <row r="151" spans="1:19" x14ac:dyDescent="0.2">
      <c r="A151" s="239" t="s">
        <v>351</v>
      </c>
      <c r="B151" s="489" t="s">
        <v>1809</v>
      </c>
      <c r="C151" s="490" t="s">
        <v>1810</v>
      </c>
      <c r="D151" s="489" t="s">
        <v>117</v>
      </c>
      <c r="E151" s="489" t="s">
        <v>972</v>
      </c>
      <c r="F151" s="491" t="s">
        <v>947</v>
      </c>
      <c r="G151" s="489" t="s">
        <v>945</v>
      </c>
      <c r="H151" s="489" t="s">
        <v>79</v>
      </c>
      <c r="I151" s="468"/>
      <c r="J151" s="489" t="s">
        <v>913</v>
      </c>
      <c r="K151" s="492">
        <v>25</v>
      </c>
      <c r="L151" s="495"/>
      <c r="M151" s="468">
        <v>57</v>
      </c>
      <c r="N151" s="468">
        <v>2</v>
      </c>
      <c r="O151" s="494">
        <f t="shared" si="6"/>
        <v>3.5087719298245612E-2</v>
      </c>
      <c r="P151" s="494">
        <f t="shared" si="7"/>
        <v>3.5087719298245612E-2</v>
      </c>
      <c r="Q151" s="786">
        <f t="shared" si="8"/>
        <v>0.14035087719298245</v>
      </c>
      <c r="R151" s="468"/>
      <c r="S151" s="24"/>
    </row>
    <row r="152" spans="1:19" ht="25.5" x14ac:dyDescent="0.2">
      <c r="A152" s="239" t="s">
        <v>351</v>
      </c>
      <c r="B152" s="489" t="s">
        <v>1809</v>
      </c>
      <c r="C152" s="490" t="s">
        <v>1810</v>
      </c>
      <c r="D152" s="489" t="s">
        <v>117</v>
      </c>
      <c r="E152" s="489" t="s">
        <v>973</v>
      </c>
      <c r="F152" s="491" t="s">
        <v>947</v>
      </c>
      <c r="G152" s="489" t="s">
        <v>945</v>
      </c>
      <c r="H152" s="489" t="s">
        <v>79</v>
      </c>
      <c r="I152" s="468"/>
      <c r="J152" s="489" t="s">
        <v>913</v>
      </c>
      <c r="K152" s="492">
        <v>25</v>
      </c>
      <c r="L152" s="495"/>
      <c r="M152" s="468">
        <v>57</v>
      </c>
      <c r="N152" s="468">
        <v>2</v>
      </c>
      <c r="O152" s="494">
        <f t="shared" si="6"/>
        <v>3.5087719298245612E-2</v>
      </c>
      <c r="P152" s="494">
        <f t="shared" si="7"/>
        <v>3.5087719298245612E-2</v>
      </c>
      <c r="Q152" s="786">
        <f t="shared" si="8"/>
        <v>0.14035087719298245</v>
      </c>
      <c r="R152" s="468"/>
      <c r="S152" s="24"/>
    </row>
    <row r="153" spans="1:19" ht="25.5" x14ac:dyDescent="0.2">
      <c r="A153" s="239" t="s">
        <v>351</v>
      </c>
      <c r="B153" s="489" t="s">
        <v>1809</v>
      </c>
      <c r="C153" s="490" t="s">
        <v>1810</v>
      </c>
      <c r="D153" s="489" t="s">
        <v>117</v>
      </c>
      <c r="E153" s="489" t="s">
        <v>974</v>
      </c>
      <c r="F153" s="491" t="s">
        <v>947</v>
      </c>
      <c r="G153" s="489" t="s">
        <v>945</v>
      </c>
      <c r="H153" s="489" t="s">
        <v>79</v>
      </c>
      <c r="I153" s="468"/>
      <c r="J153" s="489" t="s">
        <v>913</v>
      </c>
      <c r="K153" s="492">
        <v>25</v>
      </c>
      <c r="L153" s="495"/>
      <c r="M153" s="468">
        <v>57</v>
      </c>
      <c r="N153" s="468">
        <v>2</v>
      </c>
      <c r="O153" s="494">
        <f t="shared" si="6"/>
        <v>3.5087719298245612E-2</v>
      </c>
      <c r="P153" s="494">
        <f t="shared" si="7"/>
        <v>3.5087719298245612E-2</v>
      </c>
      <c r="Q153" s="786">
        <f t="shared" si="8"/>
        <v>0.14035087719298245</v>
      </c>
      <c r="R153" s="468"/>
      <c r="S153" s="24"/>
    </row>
    <row r="154" spans="1:19" ht="25.5" x14ac:dyDescent="0.2">
      <c r="A154" s="239" t="s">
        <v>351</v>
      </c>
      <c r="B154" s="489" t="s">
        <v>1809</v>
      </c>
      <c r="C154" s="490" t="s">
        <v>1810</v>
      </c>
      <c r="D154" s="489" t="s">
        <v>117</v>
      </c>
      <c r="E154" s="489" t="s">
        <v>975</v>
      </c>
      <c r="F154" s="491" t="s">
        <v>947</v>
      </c>
      <c r="G154" s="489" t="s">
        <v>114</v>
      </c>
      <c r="H154" s="489" t="s">
        <v>79</v>
      </c>
      <c r="I154" s="468"/>
      <c r="J154" s="489" t="s">
        <v>913</v>
      </c>
      <c r="K154" s="492">
        <v>100</v>
      </c>
      <c r="L154" s="495"/>
      <c r="M154" s="468">
        <v>57</v>
      </c>
      <c r="N154" s="468">
        <v>48</v>
      </c>
      <c r="O154" s="494">
        <f t="shared" si="6"/>
        <v>0.84210526315789469</v>
      </c>
      <c r="P154" s="494">
        <f t="shared" si="7"/>
        <v>0.84210526315789469</v>
      </c>
      <c r="Q154" s="786">
        <f t="shared" si="8"/>
        <v>0.84210526315789469</v>
      </c>
      <c r="R154" s="468"/>
      <c r="S154" s="24"/>
    </row>
    <row r="155" spans="1:19" ht="25.5" x14ac:dyDescent="0.2">
      <c r="A155" s="239" t="s">
        <v>351</v>
      </c>
      <c r="B155" s="489" t="s">
        <v>1809</v>
      </c>
      <c r="C155" s="490" t="s">
        <v>1810</v>
      </c>
      <c r="D155" s="489" t="s">
        <v>117</v>
      </c>
      <c r="E155" s="489" t="s">
        <v>975</v>
      </c>
      <c r="F155" s="491" t="s">
        <v>124</v>
      </c>
      <c r="G155" s="489" t="s">
        <v>945</v>
      </c>
      <c r="H155" s="489" t="s">
        <v>79</v>
      </c>
      <c r="I155" s="468"/>
      <c r="J155" s="489" t="s">
        <v>913</v>
      </c>
      <c r="K155" s="492">
        <v>33</v>
      </c>
      <c r="L155" s="495"/>
      <c r="M155" s="468">
        <v>57</v>
      </c>
      <c r="N155" s="468">
        <v>14</v>
      </c>
      <c r="O155" s="494">
        <f t="shared" si="6"/>
        <v>0.24561403508771928</v>
      </c>
      <c r="P155" s="494">
        <f t="shared" si="7"/>
        <v>0.24561403508771928</v>
      </c>
      <c r="Q155" s="786">
        <f t="shared" si="8"/>
        <v>0.74428495481127066</v>
      </c>
      <c r="R155" s="468"/>
      <c r="S155" s="24"/>
    </row>
    <row r="156" spans="1:19" ht="63.75" x14ac:dyDescent="0.2">
      <c r="A156" s="239" t="s">
        <v>351</v>
      </c>
      <c r="B156" s="489" t="s">
        <v>1809</v>
      </c>
      <c r="C156" s="490" t="s">
        <v>1810</v>
      </c>
      <c r="D156" s="489" t="s">
        <v>117</v>
      </c>
      <c r="E156" s="489" t="s">
        <v>940</v>
      </c>
      <c r="F156" s="491" t="s">
        <v>947</v>
      </c>
      <c r="G156" s="489" t="s">
        <v>114</v>
      </c>
      <c r="H156" s="489" t="s">
        <v>79</v>
      </c>
      <c r="I156" s="468"/>
      <c r="J156" s="489" t="s">
        <v>913</v>
      </c>
      <c r="K156" s="492">
        <v>100</v>
      </c>
      <c r="L156" s="495" t="s">
        <v>976</v>
      </c>
      <c r="M156" s="468">
        <v>57</v>
      </c>
      <c r="N156" s="468">
        <v>48</v>
      </c>
      <c r="O156" s="494">
        <f t="shared" si="6"/>
        <v>0.84210526315789469</v>
      </c>
      <c r="P156" s="494">
        <f t="shared" si="7"/>
        <v>0.84210526315789469</v>
      </c>
      <c r="Q156" s="786">
        <f t="shared" si="8"/>
        <v>0.84210526315789469</v>
      </c>
      <c r="R156" s="468"/>
      <c r="S156" s="24"/>
    </row>
    <row r="157" spans="1:19" x14ac:dyDescent="0.2">
      <c r="A157" s="239" t="s">
        <v>351</v>
      </c>
      <c r="B157" s="489" t="s">
        <v>1809</v>
      </c>
      <c r="C157" s="490" t="s">
        <v>1810</v>
      </c>
      <c r="D157" s="489" t="s">
        <v>117</v>
      </c>
      <c r="E157" s="489" t="s">
        <v>940</v>
      </c>
      <c r="F157" s="491" t="s">
        <v>124</v>
      </c>
      <c r="G157" s="489" t="s">
        <v>945</v>
      </c>
      <c r="H157" s="489" t="s">
        <v>79</v>
      </c>
      <c r="I157" s="468"/>
      <c r="J157" s="489" t="s">
        <v>913</v>
      </c>
      <c r="K157" s="492">
        <v>33</v>
      </c>
      <c r="L157" s="495"/>
      <c r="M157" s="468">
        <v>57</v>
      </c>
      <c r="N157" s="468">
        <v>14</v>
      </c>
      <c r="O157" s="494">
        <f t="shared" si="6"/>
        <v>0.24561403508771928</v>
      </c>
      <c r="P157" s="494">
        <f t="shared" si="7"/>
        <v>0.24561403508771928</v>
      </c>
      <c r="Q157" s="786">
        <f t="shared" si="8"/>
        <v>0.74428495481127066</v>
      </c>
      <c r="R157" s="468"/>
      <c r="S157" s="24"/>
    </row>
    <row r="158" spans="1:19" ht="63.75" x14ac:dyDescent="0.2">
      <c r="A158" s="239" t="s">
        <v>351</v>
      </c>
      <c r="B158" s="489" t="s">
        <v>1811</v>
      </c>
      <c r="C158" s="490" t="s">
        <v>1810</v>
      </c>
      <c r="D158" s="489" t="s">
        <v>112</v>
      </c>
      <c r="E158" s="489" t="s">
        <v>943</v>
      </c>
      <c r="F158" s="491" t="s">
        <v>944</v>
      </c>
      <c r="G158" s="489" t="s">
        <v>114</v>
      </c>
      <c r="H158" s="489" t="s">
        <v>79</v>
      </c>
      <c r="I158" s="468"/>
      <c r="J158" s="489" t="s">
        <v>913</v>
      </c>
      <c r="K158" s="492">
        <v>100</v>
      </c>
      <c r="L158" s="495" t="s">
        <v>976</v>
      </c>
      <c r="M158" s="468">
        <v>25</v>
      </c>
      <c r="N158" s="468">
        <v>25</v>
      </c>
      <c r="O158" s="494">
        <f t="shared" si="6"/>
        <v>1</v>
      </c>
      <c r="P158" s="494">
        <f t="shared" si="7"/>
        <v>1</v>
      </c>
      <c r="Q158" s="786">
        <f t="shared" si="8"/>
        <v>1</v>
      </c>
      <c r="R158" s="468"/>
      <c r="S158" s="24"/>
    </row>
    <row r="159" spans="1:19" ht="25.5" x14ac:dyDescent="0.2">
      <c r="A159" s="239" t="s">
        <v>351</v>
      </c>
      <c r="B159" s="489" t="s">
        <v>1811</v>
      </c>
      <c r="C159" s="490" t="s">
        <v>1810</v>
      </c>
      <c r="D159" s="489" t="s">
        <v>112</v>
      </c>
      <c r="E159" s="489" t="s">
        <v>943</v>
      </c>
      <c r="F159" s="491" t="s">
        <v>124</v>
      </c>
      <c r="G159" s="489" t="s">
        <v>945</v>
      </c>
      <c r="H159" s="489" t="s">
        <v>79</v>
      </c>
      <c r="I159" s="468"/>
      <c r="J159" s="489" t="s">
        <v>913</v>
      </c>
      <c r="K159" s="492">
        <v>33</v>
      </c>
      <c r="L159" s="495"/>
      <c r="M159" s="468">
        <v>25</v>
      </c>
      <c r="N159" s="468">
        <v>10</v>
      </c>
      <c r="O159" s="494">
        <f t="shared" si="6"/>
        <v>0.4</v>
      </c>
      <c r="P159" s="494">
        <f t="shared" si="7"/>
        <v>0.4</v>
      </c>
      <c r="Q159" s="786">
        <f t="shared" si="8"/>
        <v>1.2121212121212122</v>
      </c>
      <c r="R159" s="468"/>
      <c r="S159" s="24"/>
    </row>
    <row r="160" spans="1:19" x14ac:dyDescent="0.2">
      <c r="A160" s="239" t="s">
        <v>351</v>
      </c>
      <c r="B160" s="489" t="s">
        <v>1811</v>
      </c>
      <c r="C160" s="490" t="s">
        <v>1810</v>
      </c>
      <c r="D160" s="489" t="s">
        <v>112</v>
      </c>
      <c r="E160" s="489" t="s">
        <v>115</v>
      </c>
      <c r="F160" s="491" t="s">
        <v>944</v>
      </c>
      <c r="G160" s="489" t="s">
        <v>945</v>
      </c>
      <c r="H160" s="489" t="s">
        <v>79</v>
      </c>
      <c r="I160" s="468"/>
      <c r="J160" s="489" t="s">
        <v>913</v>
      </c>
      <c r="K160" s="492">
        <v>25</v>
      </c>
      <c r="L160" s="495"/>
      <c r="M160" s="468">
        <v>25</v>
      </c>
      <c r="N160" s="468">
        <v>0</v>
      </c>
      <c r="O160" s="494">
        <f t="shared" si="6"/>
        <v>0</v>
      </c>
      <c r="P160" s="494">
        <f t="shared" si="7"/>
        <v>0</v>
      </c>
      <c r="Q160" s="786">
        <f t="shared" si="8"/>
        <v>0</v>
      </c>
      <c r="R160" s="468"/>
      <c r="S160" s="24"/>
    </row>
    <row r="161" spans="1:19" x14ac:dyDescent="0.2">
      <c r="A161" s="239" t="s">
        <v>351</v>
      </c>
      <c r="B161" s="489" t="s">
        <v>1811</v>
      </c>
      <c r="C161" s="490" t="s">
        <v>1810</v>
      </c>
      <c r="D161" s="489" t="s">
        <v>112</v>
      </c>
      <c r="E161" s="489" t="s">
        <v>115</v>
      </c>
      <c r="F161" s="491" t="s">
        <v>124</v>
      </c>
      <c r="G161" s="489" t="s">
        <v>945</v>
      </c>
      <c r="H161" s="489" t="s">
        <v>79</v>
      </c>
      <c r="I161" s="468"/>
      <c r="J161" s="489" t="s">
        <v>913</v>
      </c>
      <c r="K161" s="492">
        <v>25</v>
      </c>
      <c r="L161" s="495"/>
      <c r="M161" s="468">
        <v>25</v>
      </c>
      <c r="N161" s="468">
        <v>10</v>
      </c>
      <c r="O161" s="494">
        <f t="shared" si="6"/>
        <v>0.4</v>
      </c>
      <c r="P161" s="494">
        <f t="shared" si="7"/>
        <v>0.4</v>
      </c>
      <c r="Q161" s="786">
        <f t="shared" si="8"/>
        <v>1.6</v>
      </c>
      <c r="R161" s="468"/>
      <c r="S161" s="24"/>
    </row>
    <row r="162" spans="1:19" ht="63.75" x14ac:dyDescent="0.2">
      <c r="A162" s="239" t="s">
        <v>351</v>
      </c>
      <c r="B162" s="489" t="s">
        <v>1811</v>
      </c>
      <c r="C162" s="490" t="s">
        <v>1810</v>
      </c>
      <c r="D162" s="489" t="s">
        <v>112</v>
      </c>
      <c r="E162" s="489" t="s">
        <v>946</v>
      </c>
      <c r="F162" s="491" t="s">
        <v>947</v>
      </c>
      <c r="G162" s="489" t="s">
        <v>945</v>
      </c>
      <c r="H162" s="489" t="s">
        <v>79</v>
      </c>
      <c r="I162" s="468"/>
      <c r="J162" s="489" t="s">
        <v>913</v>
      </c>
      <c r="K162" s="492">
        <v>25</v>
      </c>
      <c r="L162" s="495" t="s">
        <v>977</v>
      </c>
      <c r="M162" s="468">
        <v>25</v>
      </c>
      <c r="N162" s="468">
        <v>0</v>
      </c>
      <c r="O162" s="494">
        <f t="shared" si="6"/>
        <v>0</v>
      </c>
      <c r="P162" s="494">
        <f t="shared" si="7"/>
        <v>0</v>
      </c>
      <c r="Q162" s="786">
        <f t="shared" si="8"/>
        <v>0</v>
      </c>
      <c r="R162" s="468"/>
      <c r="S162" s="24"/>
    </row>
    <row r="163" spans="1:19" x14ac:dyDescent="0.2">
      <c r="A163" s="239" t="s">
        <v>351</v>
      </c>
      <c r="B163" s="489" t="s">
        <v>1811</v>
      </c>
      <c r="C163" s="490" t="s">
        <v>1810</v>
      </c>
      <c r="D163" s="489" t="s">
        <v>112</v>
      </c>
      <c r="E163" s="489" t="s">
        <v>946</v>
      </c>
      <c r="F163" s="491" t="s">
        <v>124</v>
      </c>
      <c r="G163" s="489" t="s">
        <v>945</v>
      </c>
      <c r="H163" s="489" t="s">
        <v>79</v>
      </c>
      <c r="I163" s="468"/>
      <c r="J163" s="489" t="s">
        <v>913</v>
      </c>
      <c r="K163" s="492">
        <v>33</v>
      </c>
      <c r="L163" s="495"/>
      <c r="M163" s="468">
        <v>25</v>
      </c>
      <c r="N163" s="468">
        <v>9</v>
      </c>
      <c r="O163" s="494">
        <f t="shared" si="6"/>
        <v>0.36</v>
      </c>
      <c r="P163" s="494">
        <f t="shared" si="7"/>
        <v>0.36</v>
      </c>
      <c r="Q163" s="786">
        <f t="shared" si="8"/>
        <v>1.0909090909090908</v>
      </c>
      <c r="R163" s="468"/>
      <c r="S163" s="24"/>
    </row>
    <row r="164" spans="1:19" ht="25.5" x14ac:dyDescent="0.2">
      <c r="A164" s="239" t="s">
        <v>351</v>
      </c>
      <c r="B164" s="489" t="s">
        <v>1811</v>
      </c>
      <c r="C164" s="490" t="s">
        <v>1810</v>
      </c>
      <c r="D164" s="489" t="s">
        <v>112</v>
      </c>
      <c r="E164" s="489" t="s">
        <v>949</v>
      </c>
      <c r="F164" s="491" t="s">
        <v>124</v>
      </c>
      <c r="G164" s="489" t="s">
        <v>945</v>
      </c>
      <c r="H164" s="489" t="s">
        <v>79</v>
      </c>
      <c r="I164" s="468"/>
      <c r="J164" s="489" t="s">
        <v>913</v>
      </c>
      <c r="K164" s="492">
        <v>33</v>
      </c>
      <c r="L164" s="495"/>
      <c r="M164" s="468">
        <v>25</v>
      </c>
      <c r="N164" s="468">
        <v>9</v>
      </c>
      <c r="O164" s="494">
        <f t="shared" si="6"/>
        <v>0.36</v>
      </c>
      <c r="P164" s="494">
        <f t="shared" si="7"/>
        <v>0.36</v>
      </c>
      <c r="Q164" s="786">
        <f t="shared" si="8"/>
        <v>1.0909090909090908</v>
      </c>
      <c r="R164" s="468"/>
      <c r="S164" s="24"/>
    </row>
    <row r="165" spans="1:19" ht="25.5" x14ac:dyDescent="0.2">
      <c r="A165" s="239" t="s">
        <v>351</v>
      </c>
      <c r="B165" s="489" t="s">
        <v>1811</v>
      </c>
      <c r="C165" s="490" t="s">
        <v>1810</v>
      </c>
      <c r="D165" s="489" t="s">
        <v>112</v>
      </c>
      <c r="E165" s="489" t="s">
        <v>949</v>
      </c>
      <c r="F165" s="491" t="s">
        <v>947</v>
      </c>
      <c r="G165" s="489" t="s">
        <v>945</v>
      </c>
      <c r="H165" s="489" t="s">
        <v>79</v>
      </c>
      <c r="I165" s="468"/>
      <c r="J165" s="489" t="s">
        <v>913</v>
      </c>
      <c r="K165" s="492">
        <v>25</v>
      </c>
      <c r="L165" s="495"/>
      <c r="M165" s="468">
        <v>25</v>
      </c>
      <c r="N165" s="468">
        <v>0</v>
      </c>
      <c r="O165" s="494">
        <f t="shared" si="6"/>
        <v>0</v>
      </c>
      <c r="P165" s="494">
        <f t="shared" si="7"/>
        <v>0</v>
      </c>
      <c r="Q165" s="786">
        <f t="shared" si="8"/>
        <v>0</v>
      </c>
      <c r="R165" s="468"/>
      <c r="S165" s="24"/>
    </row>
    <row r="166" spans="1:19" x14ac:dyDescent="0.2">
      <c r="A166" s="239" t="s">
        <v>351</v>
      </c>
      <c r="B166" s="489" t="s">
        <v>1811</v>
      </c>
      <c r="C166" s="490" t="s">
        <v>1810</v>
      </c>
      <c r="D166" s="489" t="s">
        <v>112</v>
      </c>
      <c r="E166" s="489" t="s">
        <v>125</v>
      </c>
      <c r="F166" s="491" t="s">
        <v>947</v>
      </c>
      <c r="G166" s="489" t="s">
        <v>945</v>
      </c>
      <c r="H166" s="489" t="s">
        <v>79</v>
      </c>
      <c r="I166" s="468"/>
      <c r="J166" s="489" t="s">
        <v>913</v>
      </c>
      <c r="K166" s="492">
        <v>25</v>
      </c>
      <c r="L166" s="495"/>
      <c r="M166" s="468">
        <v>25</v>
      </c>
      <c r="N166" s="468">
        <v>0</v>
      </c>
      <c r="O166" s="494">
        <f t="shared" si="6"/>
        <v>0</v>
      </c>
      <c r="P166" s="494">
        <f t="shared" si="7"/>
        <v>0</v>
      </c>
      <c r="Q166" s="786">
        <f t="shared" si="8"/>
        <v>0</v>
      </c>
      <c r="R166" s="468"/>
      <c r="S166" s="24"/>
    </row>
    <row r="167" spans="1:19" x14ac:dyDescent="0.2">
      <c r="A167" s="239" t="s">
        <v>351</v>
      </c>
      <c r="B167" s="489" t="s">
        <v>1811</v>
      </c>
      <c r="C167" s="490" t="s">
        <v>1810</v>
      </c>
      <c r="D167" s="489" t="s">
        <v>112</v>
      </c>
      <c r="E167" s="489" t="s">
        <v>950</v>
      </c>
      <c r="F167" s="491" t="s">
        <v>947</v>
      </c>
      <c r="G167" s="489" t="s">
        <v>114</v>
      </c>
      <c r="H167" s="489" t="s">
        <v>79</v>
      </c>
      <c r="I167" s="468"/>
      <c r="J167" s="489" t="s">
        <v>913</v>
      </c>
      <c r="K167" s="492">
        <v>100</v>
      </c>
      <c r="L167" s="495"/>
      <c r="M167" s="468">
        <v>25</v>
      </c>
      <c r="N167" s="468">
        <v>25</v>
      </c>
      <c r="O167" s="494">
        <f t="shared" si="6"/>
        <v>1</v>
      </c>
      <c r="P167" s="494">
        <f t="shared" si="7"/>
        <v>1</v>
      </c>
      <c r="Q167" s="786">
        <f t="shared" si="8"/>
        <v>1</v>
      </c>
      <c r="R167" s="468"/>
      <c r="S167" s="24"/>
    </row>
    <row r="168" spans="1:19" x14ac:dyDescent="0.2">
      <c r="A168" s="239" t="s">
        <v>351</v>
      </c>
      <c r="B168" s="489" t="s">
        <v>1811</v>
      </c>
      <c r="C168" s="490" t="s">
        <v>1810</v>
      </c>
      <c r="D168" s="489" t="s">
        <v>112</v>
      </c>
      <c r="E168" s="489" t="s">
        <v>951</v>
      </c>
      <c r="F168" s="491" t="s">
        <v>947</v>
      </c>
      <c r="G168" s="489" t="s">
        <v>114</v>
      </c>
      <c r="H168" s="489" t="s">
        <v>79</v>
      </c>
      <c r="I168" s="468"/>
      <c r="J168" s="489" t="s">
        <v>913</v>
      </c>
      <c r="K168" s="492">
        <v>100</v>
      </c>
      <c r="L168" s="495"/>
      <c r="M168" s="468">
        <v>25</v>
      </c>
      <c r="N168" s="468">
        <v>25</v>
      </c>
      <c r="O168" s="494">
        <f t="shared" si="6"/>
        <v>1</v>
      </c>
      <c r="P168" s="494">
        <f t="shared" si="7"/>
        <v>1</v>
      </c>
      <c r="Q168" s="786">
        <f t="shared" si="8"/>
        <v>1</v>
      </c>
      <c r="R168" s="468"/>
      <c r="S168" s="24"/>
    </row>
    <row r="169" spans="1:19" ht="25.5" x14ac:dyDescent="0.2">
      <c r="A169" s="239" t="s">
        <v>351</v>
      </c>
      <c r="B169" s="489" t="s">
        <v>1811</v>
      </c>
      <c r="C169" s="490" t="s">
        <v>1810</v>
      </c>
      <c r="D169" s="489" t="s">
        <v>112</v>
      </c>
      <c r="E169" s="489" t="s">
        <v>952</v>
      </c>
      <c r="F169" s="491" t="s">
        <v>947</v>
      </c>
      <c r="G169" s="489" t="s">
        <v>945</v>
      </c>
      <c r="H169" s="489" t="s">
        <v>79</v>
      </c>
      <c r="I169" s="468"/>
      <c r="J169" s="489" t="s">
        <v>913</v>
      </c>
      <c r="K169" s="492">
        <v>25</v>
      </c>
      <c r="L169" s="495"/>
      <c r="M169" s="468">
        <v>25</v>
      </c>
      <c r="N169" s="468">
        <v>0</v>
      </c>
      <c r="O169" s="494">
        <f t="shared" si="6"/>
        <v>0</v>
      </c>
      <c r="P169" s="494">
        <f t="shared" si="7"/>
        <v>0</v>
      </c>
      <c r="Q169" s="786">
        <f t="shared" si="8"/>
        <v>0</v>
      </c>
      <c r="R169" s="468"/>
      <c r="S169" s="24"/>
    </row>
    <row r="170" spans="1:19" ht="25.5" x14ac:dyDescent="0.2">
      <c r="A170" s="239" t="s">
        <v>351</v>
      </c>
      <c r="B170" s="489" t="s">
        <v>1811</v>
      </c>
      <c r="C170" s="490" t="s">
        <v>1810</v>
      </c>
      <c r="D170" s="489" t="s">
        <v>112</v>
      </c>
      <c r="E170" s="489" t="s">
        <v>953</v>
      </c>
      <c r="F170" s="491" t="s">
        <v>947</v>
      </c>
      <c r="G170" s="489" t="s">
        <v>945</v>
      </c>
      <c r="H170" s="489" t="s">
        <v>79</v>
      </c>
      <c r="I170" s="468"/>
      <c r="J170" s="489" t="s">
        <v>913</v>
      </c>
      <c r="K170" s="492">
        <v>25</v>
      </c>
      <c r="L170" s="495"/>
      <c r="M170" s="468">
        <v>25</v>
      </c>
      <c r="N170" s="468">
        <v>0</v>
      </c>
      <c r="O170" s="494">
        <f t="shared" si="6"/>
        <v>0</v>
      </c>
      <c r="P170" s="494">
        <f t="shared" si="7"/>
        <v>0</v>
      </c>
      <c r="Q170" s="786">
        <f t="shared" si="8"/>
        <v>0</v>
      </c>
      <c r="R170" s="468"/>
      <c r="S170" s="24"/>
    </row>
    <row r="171" spans="1:19" x14ac:dyDescent="0.2">
      <c r="A171" s="239" t="s">
        <v>351</v>
      </c>
      <c r="B171" s="489" t="s">
        <v>1811</v>
      </c>
      <c r="C171" s="490" t="s">
        <v>1810</v>
      </c>
      <c r="D171" s="489" t="s">
        <v>112</v>
      </c>
      <c r="E171" s="489" t="s">
        <v>954</v>
      </c>
      <c r="F171" s="491" t="s">
        <v>955</v>
      </c>
      <c r="G171" s="489" t="s">
        <v>114</v>
      </c>
      <c r="H171" s="489" t="s">
        <v>79</v>
      </c>
      <c r="I171" s="468"/>
      <c r="J171" s="489" t="s">
        <v>913</v>
      </c>
      <c r="K171" s="492">
        <v>100</v>
      </c>
      <c r="L171" s="495"/>
      <c r="M171" s="468">
        <v>25</v>
      </c>
      <c r="N171" s="468">
        <v>25</v>
      </c>
      <c r="O171" s="494">
        <f t="shared" si="6"/>
        <v>1</v>
      </c>
      <c r="P171" s="494">
        <f t="shared" si="7"/>
        <v>1</v>
      </c>
      <c r="Q171" s="786">
        <f t="shared" si="8"/>
        <v>1</v>
      </c>
      <c r="R171" s="468"/>
      <c r="S171" s="24"/>
    </row>
    <row r="172" spans="1:19" ht="25.5" x14ac:dyDescent="0.2">
      <c r="A172" s="239" t="s">
        <v>351</v>
      </c>
      <c r="B172" s="489" t="s">
        <v>1811</v>
      </c>
      <c r="C172" s="490" t="s">
        <v>1810</v>
      </c>
      <c r="D172" s="489" t="s">
        <v>112</v>
      </c>
      <c r="E172" s="489" t="s">
        <v>956</v>
      </c>
      <c r="F172" s="491" t="s">
        <v>955</v>
      </c>
      <c r="G172" s="489" t="s">
        <v>114</v>
      </c>
      <c r="H172" s="489" t="s">
        <v>79</v>
      </c>
      <c r="I172" s="468"/>
      <c r="J172" s="489" t="s">
        <v>913</v>
      </c>
      <c r="K172" s="492">
        <v>100</v>
      </c>
      <c r="L172" s="495"/>
      <c r="M172" s="468">
        <v>25</v>
      </c>
      <c r="N172" s="468">
        <v>25</v>
      </c>
      <c r="O172" s="494">
        <f t="shared" si="6"/>
        <v>1</v>
      </c>
      <c r="P172" s="494">
        <f t="shared" si="7"/>
        <v>1</v>
      </c>
      <c r="Q172" s="786">
        <f t="shared" si="8"/>
        <v>1</v>
      </c>
      <c r="R172" s="468"/>
      <c r="S172" s="24"/>
    </row>
    <row r="173" spans="1:19" ht="25.5" x14ac:dyDescent="0.2">
      <c r="A173" s="239" t="s">
        <v>351</v>
      </c>
      <c r="B173" s="489" t="s">
        <v>1811</v>
      </c>
      <c r="C173" s="490" t="s">
        <v>1810</v>
      </c>
      <c r="D173" s="489" t="s">
        <v>112</v>
      </c>
      <c r="E173" s="489" t="s">
        <v>957</v>
      </c>
      <c r="F173" s="491" t="s">
        <v>124</v>
      </c>
      <c r="G173" s="489" t="s">
        <v>945</v>
      </c>
      <c r="H173" s="489" t="s">
        <v>79</v>
      </c>
      <c r="I173" s="468"/>
      <c r="J173" s="489" t="s">
        <v>913</v>
      </c>
      <c r="K173" s="492">
        <v>33</v>
      </c>
      <c r="L173" s="495"/>
      <c r="M173" s="468">
        <v>25</v>
      </c>
      <c r="N173" s="468">
        <v>10</v>
      </c>
      <c r="O173" s="494">
        <f t="shared" si="6"/>
        <v>0.4</v>
      </c>
      <c r="P173" s="494">
        <f t="shared" si="7"/>
        <v>0.4</v>
      </c>
      <c r="Q173" s="786">
        <f t="shared" si="8"/>
        <v>1.2121212121212122</v>
      </c>
      <c r="R173" s="468"/>
      <c r="S173" s="24"/>
    </row>
    <row r="174" spans="1:19" x14ac:dyDescent="0.2">
      <c r="A174" s="239" t="s">
        <v>351</v>
      </c>
      <c r="B174" s="489" t="s">
        <v>1811</v>
      </c>
      <c r="C174" s="490" t="s">
        <v>1810</v>
      </c>
      <c r="D174" s="489" t="s">
        <v>112</v>
      </c>
      <c r="E174" s="489" t="s">
        <v>958</v>
      </c>
      <c r="F174" s="491" t="s">
        <v>124</v>
      </c>
      <c r="G174" s="489" t="s">
        <v>945</v>
      </c>
      <c r="H174" s="489" t="s">
        <v>79</v>
      </c>
      <c r="I174" s="468"/>
      <c r="J174" s="489" t="s">
        <v>913</v>
      </c>
      <c r="K174" s="492">
        <v>33</v>
      </c>
      <c r="L174" s="495"/>
      <c r="M174" s="468">
        <v>25</v>
      </c>
      <c r="N174" s="468">
        <v>10</v>
      </c>
      <c r="O174" s="494">
        <f t="shared" si="6"/>
        <v>0.4</v>
      </c>
      <c r="P174" s="494">
        <f t="shared" si="7"/>
        <v>0.4</v>
      </c>
      <c r="Q174" s="786">
        <f t="shared" si="8"/>
        <v>1.2121212121212122</v>
      </c>
      <c r="R174" s="468"/>
      <c r="S174" s="24"/>
    </row>
    <row r="175" spans="1:19" x14ac:dyDescent="0.2">
      <c r="A175" s="239" t="s">
        <v>351</v>
      </c>
      <c r="B175" s="489" t="s">
        <v>1811</v>
      </c>
      <c r="C175" s="490" t="s">
        <v>1810</v>
      </c>
      <c r="D175" s="489" t="s">
        <v>112</v>
      </c>
      <c r="E175" s="489" t="s">
        <v>959</v>
      </c>
      <c r="F175" s="491" t="s">
        <v>124</v>
      </c>
      <c r="G175" s="489" t="s">
        <v>945</v>
      </c>
      <c r="H175" s="489" t="s">
        <v>79</v>
      </c>
      <c r="I175" s="468"/>
      <c r="J175" s="489" t="s">
        <v>913</v>
      </c>
      <c r="K175" s="492">
        <v>33</v>
      </c>
      <c r="L175" s="495"/>
      <c r="M175" s="468">
        <v>25</v>
      </c>
      <c r="N175" s="468">
        <v>10</v>
      </c>
      <c r="O175" s="494">
        <f t="shared" si="6"/>
        <v>0.4</v>
      </c>
      <c r="P175" s="494">
        <f t="shared" si="7"/>
        <v>0.4</v>
      </c>
      <c r="Q175" s="786">
        <f t="shared" si="8"/>
        <v>1.2121212121212122</v>
      </c>
      <c r="R175" s="468"/>
      <c r="S175" s="24"/>
    </row>
    <row r="176" spans="1:19" ht="25.5" x14ac:dyDescent="0.2">
      <c r="A176" s="239" t="s">
        <v>351</v>
      </c>
      <c r="B176" s="489" t="s">
        <v>1811</v>
      </c>
      <c r="C176" s="490" t="s">
        <v>1810</v>
      </c>
      <c r="D176" s="489" t="s">
        <v>112</v>
      </c>
      <c r="E176" s="489" t="s">
        <v>960</v>
      </c>
      <c r="F176" s="491" t="s">
        <v>124</v>
      </c>
      <c r="G176" s="489" t="s">
        <v>945</v>
      </c>
      <c r="H176" s="489" t="s">
        <v>79</v>
      </c>
      <c r="I176" s="468"/>
      <c r="J176" s="489" t="s">
        <v>913</v>
      </c>
      <c r="K176" s="492">
        <v>33</v>
      </c>
      <c r="L176" s="495"/>
      <c r="M176" s="468">
        <v>25</v>
      </c>
      <c r="N176" s="468">
        <v>10</v>
      </c>
      <c r="O176" s="494">
        <f t="shared" si="6"/>
        <v>0.4</v>
      </c>
      <c r="P176" s="494">
        <f t="shared" si="7"/>
        <v>0.4</v>
      </c>
      <c r="Q176" s="786">
        <f t="shared" si="8"/>
        <v>1.2121212121212122</v>
      </c>
      <c r="R176" s="468"/>
      <c r="S176" s="24"/>
    </row>
    <row r="177" spans="1:19" x14ac:dyDescent="0.2">
      <c r="A177" s="239" t="s">
        <v>351</v>
      </c>
      <c r="B177" s="489" t="s">
        <v>1811</v>
      </c>
      <c r="C177" s="490" t="s">
        <v>1810</v>
      </c>
      <c r="D177" s="489" t="s">
        <v>112</v>
      </c>
      <c r="E177" s="489" t="s">
        <v>961</v>
      </c>
      <c r="F177" s="491" t="s">
        <v>124</v>
      </c>
      <c r="G177" s="489" t="s">
        <v>945</v>
      </c>
      <c r="H177" s="489" t="s">
        <v>79</v>
      </c>
      <c r="I177" s="468"/>
      <c r="J177" s="489" t="s">
        <v>913</v>
      </c>
      <c r="K177" s="492">
        <v>33</v>
      </c>
      <c r="L177" s="495"/>
      <c r="M177" s="468">
        <v>25</v>
      </c>
      <c r="N177" s="468">
        <v>10</v>
      </c>
      <c r="O177" s="494">
        <f t="shared" si="6"/>
        <v>0.4</v>
      </c>
      <c r="P177" s="494">
        <f t="shared" si="7"/>
        <v>0.4</v>
      </c>
      <c r="Q177" s="786">
        <f t="shared" si="8"/>
        <v>1.2121212121212122</v>
      </c>
      <c r="R177" s="468"/>
      <c r="S177" s="24"/>
    </row>
    <row r="178" spans="1:19" x14ac:dyDescent="0.2">
      <c r="A178" s="239" t="s">
        <v>351</v>
      </c>
      <c r="B178" s="489" t="s">
        <v>1811</v>
      </c>
      <c r="C178" s="490" t="s">
        <v>1810</v>
      </c>
      <c r="D178" s="489" t="s">
        <v>112</v>
      </c>
      <c r="E178" s="489" t="s">
        <v>962</v>
      </c>
      <c r="F178" s="491" t="s">
        <v>124</v>
      </c>
      <c r="G178" s="489" t="s">
        <v>945</v>
      </c>
      <c r="H178" s="489" t="s">
        <v>79</v>
      </c>
      <c r="I178" s="468"/>
      <c r="J178" s="489" t="s">
        <v>913</v>
      </c>
      <c r="K178" s="492">
        <v>33</v>
      </c>
      <c r="L178" s="495"/>
      <c r="M178" s="468">
        <v>25</v>
      </c>
      <c r="N178" s="468">
        <v>10</v>
      </c>
      <c r="O178" s="494">
        <f t="shared" si="6"/>
        <v>0.4</v>
      </c>
      <c r="P178" s="494">
        <f t="shared" si="7"/>
        <v>0.4</v>
      </c>
      <c r="Q178" s="786">
        <f t="shared" si="8"/>
        <v>1.2121212121212122</v>
      </c>
      <c r="R178" s="468"/>
      <c r="S178" s="24"/>
    </row>
    <row r="179" spans="1:19" x14ac:dyDescent="0.2">
      <c r="A179" s="239" t="s">
        <v>351</v>
      </c>
      <c r="B179" s="489" t="s">
        <v>1811</v>
      </c>
      <c r="C179" s="490" t="s">
        <v>1810</v>
      </c>
      <c r="D179" s="489" t="s">
        <v>112</v>
      </c>
      <c r="E179" s="489" t="s">
        <v>963</v>
      </c>
      <c r="F179" s="491" t="s">
        <v>947</v>
      </c>
      <c r="G179" s="489" t="s">
        <v>114</v>
      </c>
      <c r="H179" s="489" t="s">
        <v>79</v>
      </c>
      <c r="I179" s="468"/>
      <c r="J179" s="489" t="s">
        <v>913</v>
      </c>
      <c r="K179" s="492">
        <v>100</v>
      </c>
      <c r="L179" s="495"/>
      <c r="M179" s="468">
        <v>25</v>
      </c>
      <c r="N179" s="468">
        <v>25</v>
      </c>
      <c r="O179" s="494">
        <f t="shared" si="6"/>
        <v>1</v>
      </c>
      <c r="P179" s="494">
        <f t="shared" si="7"/>
        <v>1</v>
      </c>
      <c r="Q179" s="786">
        <f t="shared" si="8"/>
        <v>1</v>
      </c>
      <c r="R179" s="468"/>
      <c r="S179" s="24"/>
    </row>
    <row r="180" spans="1:19" x14ac:dyDescent="0.2">
      <c r="A180" s="239" t="s">
        <v>351</v>
      </c>
      <c r="B180" s="489" t="s">
        <v>1811</v>
      </c>
      <c r="C180" s="490" t="s">
        <v>1810</v>
      </c>
      <c r="D180" s="489" t="s">
        <v>112</v>
      </c>
      <c r="E180" s="489" t="s">
        <v>964</v>
      </c>
      <c r="F180" s="491" t="s">
        <v>947</v>
      </c>
      <c r="G180" s="489" t="s">
        <v>114</v>
      </c>
      <c r="H180" s="489" t="s">
        <v>79</v>
      </c>
      <c r="I180" s="468"/>
      <c r="J180" s="489" t="s">
        <v>913</v>
      </c>
      <c r="K180" s="492">
        <v>100</v>
      </c>
      <c r="L180" s="495"/>
      <c r="M180" s="468">
        <v>25</v>
      </c>
      <c r="N180" s="468">
        <v>25</v>
      </c>
      <c r="O180" s="494">
        <f t="shared" si="6"/>
        <v>1</v>
      </c>
      <c r="P180" s="494">
        <f t="shared" si="7"/>
        <v>1</v>
      </c>
      <c r="Q180" s="786">
        <f t="shared" si="8"/>
        <v>1</v>
      </c>
      <c r="R180" s="468"/>
      <c r="S180" s="24"/>
    </row>
    <row r="181" spans="1:19" ht="25.5" x14ac:dyDescent="0.2">
      <c r="A181" s="239" t="s">
        <v>351</v>
      </c>
      <c r="B181" s="489" t="s">
        <v>1811</v>
      </c>
      <c r="C181" s="490" t="s">
        <v>1810</v>
      </c>
      <c r="D181" s="489" t="s">
        <v>112</v>
      </c>
      <c r="E181" s="489" t="s">
        <v>965</v>
      </c>
      <c r="F181" s="491" t="s">
        <v>947</v>
      </c>
      <c r="G181" s="489" t="s">
        <v>114</v>
      </c>
      <c r="H181" s="489" t="s">
        <v>79</v>
      </c>
      <c r="I181" s="468"/>
      <c r="J181" s="489" t="s">
        <v>913</v>
      </c>
      <c r="K181" s="492">
        <v>100</v>
      </c>
      <c r="L181" s="495"/>
      <c r="M181" s="468">
        <v>25</v>
      </c>
      <c r="N181" s="468">
        <v>25</v>
      </c>
      <c r="O181" s="494">
        <f t="shared" si="6"/>
        <v>1</v>
      </c>
      <c r="P181" s="494">
        <f t="shared" si="7"/>
        <v>1</v>
      </c>
      <c r="Q181" s="786">
        <f t="shared" si="8"/>
        <v>1</v>
      </c>
      <c r="R181" s="468"/>
      <c r="S181" s="24"/>
    </row>
    <row r="182" spans="1:19" ht="63.75" x14ac:dyDescent="0.2">
      <c r="A182" s="239" t="s">
        <v>351</v>
      </c>
      <c r="B182" s="489" t="s">
        <v>1811</v>
      </c>
      <c r="C182" s="490" t="s">
        <v>1810</v>
      </c>
      <c r="D182" s="489" t="s">
        <v>112</v>
      </c>
      <c r="E182" s="489" t="s">
        <v>966</v>
      </c>
      <c r="F182" s="491" t="s">
        <v>944</v>
      </c>
      <c r="G182" s="489" t="s">
        <v>114</v>
      </c>
      <c r="H182" s="489" t="s">
        <v>79</v>
      </c>
      <c r="I182" s="468"/>
      <c r="J182" s="489" t="s">
        <v>913</v>
      </c>
      <c r="K182" s="492">
        <v>100</v>
      </c>
      <c r="L182" s="495" t="s">
        <v>976</v>
      </c>
      <c r="M182" s="468">
        <v>25</v>
      </c>
      <c r="N182" s="468">
        <v>25</v>
      </c>
      <c r="O182" s="494">
        <f t="shared" si="6"/>
        <v>1</v>
      </c>
      <c r="P182" s="494">
        <f t="shared" si="7"/>
        <v>1</v>
      </c>
      <c r="Q182" s="786">
        <f t="shared" si="8"/>
        <v>1</v>
      </c>
      <c r="R182" s="468"/>
      <c r="S182" s="24"/>
    </row>
    <row r="183" spans="1:19" x14ac:dyDescent="0.2">
      <c r="A183" s="239" t="s">
        <v>351</v>
      </c>
      <c r="B183" s="489" t="s">
        <v>1811</v>
      </c>
      <c r="C183" s="490" t="s">
        <v>1810</v>
      </c>
      <c r="D183" s="489" t="s">
        <v>112</v>
      </c>
      <c r="E183" s="489" t="s">
        <v>966</v>
      </c>
      <c r="F183" s="491" t="s">
        <v>124</v>
      </c>
      <c r="G183" s="489" t="s">
        <v>945</v>
      </c>
      <c r="H183" s="489" t="s">
        <v>79</v>
      </c>
      <c r="I183" s="468"/>
      <c r="J183" s="489" t="s">
        <v>913</v>
      </c>
      <c r="K183" s="492">
        <v>33</v>
      </c>
      <c r="L183" s="495"/>
      <c r="M183" s="468">
        <v>25</v>
      </c>
      <c r="N183" s="468">
        <v>10</v>
      </c>
      <c r="O183" s="494">
        <f t="shared" si="6"/>
        <v>0.4</v>
      </c>
      <c r="P183" s="494">
        <f t="shared" si="7"/>
        <v>0.4</v>
      </c>
      <c r="Q183" s="786">
        <f t="shared" si="8"/>
        <v>1.2121212121212122</v>
      </c>
      <c r="R183" s="468"/>
      <c r="S183" s="24"/>
    </row>
    <row r="184" spans="1:19" x14ac:dyDescent="0.2">
      <c r="A184" s="239" t="s">
        <v>351</v>
      </c>
      <c r="B184" s="489" t="s">
        <v>1811</v>
      </c>
      <c r="C184" s="490" t="s">
        <v>1810</v>
      </c>
      <c r="D184" s="489" t="s">
        <v>112</v>
      </c>
      <c r="E184" s="489" t="s">
        <v>967</v>
      </c>
      <c r="F184" s="491" t="s">
        <v>947</v>
      </c>
      <c r="G184" s="489" t="s">
        <v>945</v>
      </c>
      <c r="H184" s="489" t="s">
        <v>79</v>
      </c>
      <c r="I184" s="468"/>
      <c r="J184" s="489" t="s">
        <v>913</v>
      </c>
      <c r="K184" s="492">
        <v>25</v>
      </c>
      <c r="L184" s="495"/>
      <c r="M184" s="468">
        <v>25</v>
      </c>
      <c r="N184" s="468">
        <v>0</v>
      </c>
      <c r="O184" s="494">
        <f t="shared" si="6"/>
        <v>0</v>
      </c>
      <c r="P184" s="494">
        <f t="shared" si="7"/>
        <v>0</v>
      </c>
      <c r="Q184" s="786">
        <f t="shared" si="8"/>
        <v>0</v>
      </c>
      <c r="R184" s="468"/>
      <c r="S184" s="24"/>
    </row>
    <row r="185" spans="1:19" ht="51" x14ac:dyDescent="0.2">
      <c r="A185" s="239" t="s">
        <v>351</v>
      </c>
      <c r="B185" s="489" t="s">
        <v>1811</v>
      </c>
      <c r="C185" s="490" t="s">
        <v>1810</v>
      </c>
      <c r="D185" s="489" t="s">
        <v>112</v>
      </c>
      <c r="E185" s="489" t="s">
        <v>968</v>
      </c>
      <c r="F185" s="491" t="s">
        <v>947</v>
      </c>
      <c r="G185" s="489" t="s">
        <v>945</v>
      </c>
      <c r="H185" s="489" t="s">
        <v>79</v>
      </c>
      <c r="I185" s="468"/>
      <c r="J185" s="489" t="s">
        <v>913</v>
      </c>
      <c r="K185" s="492">
        <v>25</v>
      </c>
      <c r="L185" s="495"/>
      <c r="M185" s="468">
        <v>25</v>
      </c>
      <c r="N185" s="468">
        <v>0</v>
      </c>
      <c r="O185" s="494">
        <f t="shared" si="6"/>
        <v>0</v>
      </c>
      <c r="P185" s="494">
        <f t="shared" si="7"/>
        <v>0</v>
      </c>
      <c r="Q185" s="786">
        <f t="shared" si="8"/>
        <v>0</v>
      </c>
      <c r="R185" s="468"/>
      <c r="S185" s="24"/>
    </row>
    <row r="186" spans="1:19" ht="51" x14ac:dyDescent="0.2">
      <c r="A186" s="239" t="s">
        <v>351</v>
      </c>
      <c r="B186" s="489" t="s">
        <v>1811</v>
      </c>
      <c r="C186" s="490" t="s">
        <v>1810</v>
      </c>
      <c r="D186" s="489" t="s">
        <v>112</v>
      </c>
      <c r="E186" s="489" t="s">
        <v>969</v>
      </c>
      <c r="F186" s="491" t="s">
        <v>947</v>
      </c>
      <c r="G186" s="489" t="s">
        <v>114</v>
      </c>
      <c r="H186" s="489" t="s">
        <v>79</v>
      </c>
      <c r="I186" s="468"/>
      <c r="J186" s="489" t="s">
        <v>913</v>
      </c>
      <c r="K186" s="492">
        <v>100</v>
      </c>
      <c r="L186" s="495"/>
      <c r="M186" s="468">
        <v>25</v>
      </c>
      <c r="N186" s="468">
        <v>25</v>
      </c>
      <c r="O186" s="494">
        <f t="shared" si="6"/>
        <v>1</v>
      </c>
      <c r="P186" s="494">
        <f t="shared" si="7"/>
        <v>1</v>
      </c>
      <c r="Q186" s="786">
        <f t="shared" si="8"/>
        <v>1</v>
      </c>
      <c r="R186" s="468"/>
      <c r="S186" s="24"/>
    </row>
    <row r="187" spans="1:19" ht="25.5" x14ac:dyDescent="0.2">
      <c r="A187" s="239" t="s">
        <v>351</v>
      </c>
      <c r="B187" s="489" t="s">
        <v>1811</v>
      </c>
      <c r="C187" s="490" t="s">
        <v>1810</v>
      </c>
      <c r="D187" s="489" t="s">
        <v>117</v>
      </c>
      <c r="E187" s="489" t="s">
        <v>970</v>
      </c>
      <c r="F187" s="491" t="s">
        <v>947</v>
      </c>
      <c r="G187" s="489" t="s">
        <v>114</v>
      </c>
      <c r="H187" s="489" t="s">
        <v>79</v>
      </c>
      <c r="I187" s="468"/>
      <c r="J187" s="489" t="s">
        <v>913</v>
      </c>
      <c r="K187" s="492">
        <v>100</v>
      </c>
      <c r="L187" s="495"/>
      <c r="M187" s="468">
        <v>25</v>
      </c>
      <c r="N187" s="468">
        <v>25</v>
      </c>
      <c r="O187" s="494">
        <f t="shared" si="6"/>
        <v>1</v>
      </c>
      <c r="P187" s="494">
        <f t="shared" si="7"/>
        <v>1</v>
      </c>
      <c r="Q187" s="786">
        <f t="shared" si="8"/>
        <v>1</v>
      </c>
      <c r="R187" s="468"/>
      <c r="S187" s="24"/>
    </row>
    <row r="188" spans="1:19" x14ac:dyDescent="0.2">
      <c r="A188" s="239" t="s">
        <v>351</v>
      </c>
      <c r="B188" s="489" t="s">
        <v>1811</v>
      </c>
      <c r="C188" s="490" t="s">
        <v>1810</v>
      </c>
      <c r="D188" s="489" t="s">
        <v>117</v>
      </c>
      <c r="E188" s="489" t="s">
        <v>971</v>
      </c>
      <c r="F188" s="491" t="s">
        <v>947</v>
      </c>
      <c r="G188" s="489" t="s">
        <v>114</v>
      </c>
      <c r="H188" s="489" t="s">
        <v>79</v>
      </c>
      <c r="I188" s="468"/>
      <c r="J188" s="489" t="s">
        <v>913</v>
      </c>
      <c r="K188" s="492">
        <v>100</v>
      </c>
      <c r="L188" s="495"/>
      <c r="M188" s="468">
        <v>25</v>
      </c>
      <c r="N188" s="468">
        <v>25</v>
      </c>
      <c r="O188" s="494">
        <f t="shared" si="6"/>
        <v>1</v>
      </c>
      <c r="P188" s="494">
        <f t="shared" si="7"/>
        <v>1</v>
      </c>
      <c r="Q188" s="786">
        <f t="shared" si="8"/>
        <v>1</v>
      </c>
      <c r="R188" s="468"/>
      <c r="S188" s="24"/>
    </row>
    <row r="189" spans="1:19" ht="25.5" x14ac:dyDescent="0.2">
      <c r="A189" s="239" t="s">
        <v>351</v>
      </c>
      <c r="B189" s="489" t="s">
        <v>1811</v>
      </c>
      <c r="C189" s="490" t="s">
        <v>1810</v>
      </c>
      <c r="D189" s="489" t="s">
        <v>117</v>
      </c>
      <c r="E189" s="489" t="s">
        <v>126</v>
      </c>
      <c r="F189" s="491" t="s">
        <v>947</v>
      </c>
      <c r="G189" s="489" t="s">
        <v>945</v>
      </c>
      <c r="H189" s="489" t="s">
        <v>79</v>
      </c>
      <c r="I189" s="468"/>
      <c r="J189" s="489" t="s">
        <v>913</v>
      </c>
      <c r="K189" s="492">
        <v>25</v>
      </c>
      <c r="L189" s="495"/>
      <c r="M189" s="468">
        <v>25</v>
      </c>
      <c r="N189" s="468">
        <v>0</v>
      </c>
      <c r="O189" s="494">
        <f t="shared" si="6"/>
        <v>0</v>
      </c>
      <c r="P189" s="494">
        <f t="shared" si="7"/>
        <v>0</v>
      </c>
      <c r="Q189" s="786">
        <f t="shared" si="8"/>
        <v>0</v>
      </c>
      <c r="R189" s="468"/>
      <c r="S189" s="24"/>
    </row>
    <row r="190" spans="1:19" x14ac:dyDescent="0.2">
      <c r="A190" s="239" t="s">
        <v>351</v>
      </c>
      <c r="B190" s="489" t="s">
        <v>1811</v>
      </c>
      <c r="C190" s="490" t="s">
        <v>1810</v>
      </c>
      <c r="D190" s="489" t="s">
        <v>117</v>
      </c>
      <c r="E190" s="489" t="s">
        <v>972</v>
      </c>
      <c r="F190" s="491" t="s">
        <v>947</v>
      </c>
      <c r="G190" s="489" t="s">
        <v>945</v>
      </c>
      <c r="H190" s="489" t="s">
        <v>79</v>
      </c>
      <c r="I190" s="468"/>
      <c r="J190" s="489" t="s">
        <v>913</v>
      </c>
      <c r="K190" s="492">
        <v>25</v>
      </c>
      <c r="L190" s="495"/>
      <c r="M190" s="468">
        <v>25</v>
      </c>
      <c r="N190" s="468">
        <v>0</v>
      </c>
      <c r="O190" s="494">
        <f t="shared" si="6"/>
        <v>0</v>
      </c>
      <c r="P190" s="494">
        <f t="shared" si="7"/>
        <v>0</v>
      </c>
      <c r="Q190" s="786">
        <f t="shared" si="8"/>
        <v>0</v>
      </c>
      <c r="R190" s="468"/>
      <c r="S190" s="24"/>
    </row>
    <row r="191" spans="1:19" ht="25.5" x14ac:dyDescent="0.2">
      <c r="A191" s="239" t="s">
        <v>351</v>
      </c>
      <c r="B191" s="489" t="s">
        <v>1811</v>
      </c>
      <c r="C191" s="490" t="s">
        <v>1810</v>
      </c>
      <c r="D191" s="489" t="s">
        <v>117</v>
      </c>
      <c r="E191" s="489" t="s">
        <v>973</v>
      </c>
      <c r="F191" s="491" t="s">
        <v>947</v>
      </c>
      <c r="G191" s="489" t="s">
        <v>945</v>
      </c>
      <c r="H191" s="489" t="s">
        <v>79</v>
      </c>
      <c r="I191" s="468"/>
      <c r="J191" s="489" t="s">
        <v>913</v>
      </c>
      <c r="K191" s="492">
        <v>25</v>
      </c>
      <c r="L191" s="495"/>
      <c r="M191" s="468">
        <v>25</v>
      </c>
      <c r="N191" s="468">
        <v>0</v>
      </c>
      <c r="O191" s="494">
        <f t="shared" si="6"/>
        <v>0</v>
      </c>
      <c r="P191" s="494">
        <f t="shared" si="7"/>
        <v>0</v>
      </c>
      <c r="Q191" s="786">
        <f t="shared" si="8"/>
        <v>0</v>
      </c>
      <c r="R191" s="468"/>
      <c r="S191" s="24"/>
    </row>
    <row r="192" spans="1:19" ht="25.5" x14ac:dyDescent="0.2">
      <c r="A192" s="239" t="s">
        <v>351</v>
      </c>
      <c r="B192" s="489" t="s">
        <v>1811</v>
      </c>
      <c r="C192" s="490" t="s">
        <v>1810</v>
      </c>
      <c r="D192" s="489" t="s">
        <v>117</v>
      </c>
      <c r="E192" s="489" t="s">
        <v>974</v>
      </c>
      <c r="F192" s="491" t="s">
        <v>947</v>
      </c>
      <c r="G192" s="489" t="s">
        <v>945</v>
      </c>
      <c r="H192" s="489" t="s">
        <v>79</v>
      </c>
      <c r="I192" s="468"/>
      <c r="J192" s="489" t="s">
        <v>913</v>
      </c>
      <c r="K192" s="492">
        <v>25</v>
      </c>
      <c r="L192" s="495"/>
      <c r="M192" s="468">
        <v>25</v>
      </c>
      <c r="N192" s="468">
        <v>0</v>
      </c>
      <c r="O192" s="494">
        <f t="shared" si="6"/>
        <v>0</v>
      </c>
      <c r="P192" s="494">
        <f t="shared" si="7"/>
        <v>0</v>
      </c>
      <c r="Q192" s="786">
        <f t="shared" si="8"/>
        <v>0</v>
      </c>
      <c r="R192" s="468"/>
      <c r="S192" s="24"/>
    </row>
    <row r="193" spans="1:19" ht="25.5" x14ac:dyDescent="0.2">
      <c r="A193" s="239" t="s">
        <v>351</v>
      </c>
      <c r="B193" s="489" t="s">
        <v>1811</v>
      </c>
      <c r="C193" s="490" t="s">
        <v>1810</v>
      </c>
      <c r="D193" s="489" t="s">
        <v>117</v>
      </c>
      <c r="E193" s="489" t="s">
        <v>975</v>
      </c>
      <c r="F193" s="491" t="s">
        <v>947</v>
      </c>
      <c r="G193" s="489" t="s">
        <v>114</v>
      </c>
      <c r="H193" s="489" t="s">
        <v>79</v>
      </c>
      <c r="I193" s="468"/>
      <c r="J193" s="489" t="s">
        <v>913</v>
      </c>
      <c r="K193" s="492">
        <v>100</v>
      </c>
      <c r="L193" s="495"/>
      <c r="M193" s="468">
        <v>25</v>
      </c>
      <c r="N193" s="468">
        <v>25</v>
      </c>
      <c r="O193" s="494">
        <f t="shared" si="6"/>
        <v>1</v>
      </c>
      <c r="P193" s="494">
        <f t="shared" si="7"/>
        <v>1</v>
      </c>
      <c r="Q193" s="786">
        <f t="shared" si="8"/>
        <v>1</v>
      </c>
      <c r="R193" s="468"/>
      <c r="S193" s="24"/>
    </row>
    <row r="194" spans="1:19" ht="25.5" x14ac:dyDescent="0.2">
      <c r="A194" s="239" t="s">
        <v>351</v>
      </c>
      <c r="B194" s="489" t="s">
        <v>1811</v>
      </c>
      <c r="C194" s="490" t="s">
        <v>1810</v>
      </c>
      <c r="D194" s="489" t="s">
        <v>117</v>
      </c>
      <c r="E194" s="489" t="s">
        <v>975</v>
      </c>
      <c r="F194" s="491" t="s">
        <v>124</v>
      </c>
      <c r="G194" s="489" t="s">
        <v>945</v>
      </c>
      <c r="H194" s="489" t="s">
        <v>79</v>
      </c>
      <c r="I194" s="468"/>
      <c r="J194" s="489" t="s">
        <v>913</v>
      </c>
      <c r="K194" s="492">
        <v>33</v>
      </c>
      <c r="L194" s="495"/>
      <c r="M194" s="468">
        <v>25</v>
      </c>
      <c r="N194" s="468">
        <v>10</v>
      </c>
      <c r="O194" s="494">
        <f t="shared" si="6"/>
        <v>0.4</v>
      </c>
      <c r="P194" s="494">
        <f t="shared" si="7"/>
        <v>0.4</v>
      </c>
      <c r="Q194" s="786">
        <f t="shared" si="8"/>
        <v>1.2121212121212122</v>
      </c>
      <c r="R194" s="468"/>
      <c r="S194" s="24"/>
    </row>
    <row r="195" spans="1:19" ht="63.75" x14ac:dyDescent="0.2">
      <c r="A195" s="239" t="s">
        <v>351</v>
      </c>
      <c r="B195" s="489" t="s">
        <v>1811</v>
      </c>
      <c r="C195" s="490" t="s">
        <v>1810</v>
      </c>
      <c r="D195" s="489" t="s">
        <v>117</v>
      </c>
      <c r="E195" s="489" t="s">
        <v>940</v>
      </c>
      <c r="F195" s="491" t="s">
        <v>947</v>
      </c>
      <c r="G195" s="489" t="s">
        <v>114</v>
      </c>
      <c r="H195" s="489" t="s">
        <v>79</v>
      </c>
      <c r="I195" s="468"/>
      <c r="J195" s="489" t="s">
        <v>913</v>
      </c>
      <c r="K195" s="492">
        <v>100</v>
      </c>
      <c r="L195" s="495" t="s">
        <v>976</v>
      </c>
      <c r="M195" s="468">
        <v>25</v>
      </c>
      <c r="N195" s="468">
        <v>25</v>
      </c>
      <c r="O195" s="494">
        <f t="shared" si="6"/>
        <v>1</v>
      </c>
      <c r="P195" s="494">
        <f t="shared" si="7"/>
        <v>1</v>
      </c>
      <c r="Q195" s="786">
        <f t="shared" si="8"/>
        <v>1</v>
      </c>
      <c r="R195" s="468"/>
      <c r="S195" s="24"/>
    </row>
    <row r="196" spans="1:19" x14ac:dyDescent="0.2">
      <c r="A196" s="239" t="s">
        <v>351</v>
      </c>
      <c r="B196" s="489" t="s">
        <v>1811</v>
      </c>
      <c r="C196" s="490" t="s">
        <v>1810</v>
      </c>
      <c r="D196" s="489" t="s">
        <v>117</v>
      </c>
      <c r="E196" s="489" t="s">
        <v>940</v>
      </c>
      <c r="F196" s="491" t="s">
        <v>124</v>
      </c>
      <c r="G196" s="489" t="s">
        <v>945</v>
      </c>
      <c r="H196" s="489" t="s">
        <v>79</v>
      </c>
      <c r="I196" s="468"/>
      <c r="J196" s="489" t="s">
        <v>913</v>
      </c>
      <c r="K196" s="492">
        <v>33</v>
      </c>
      <c r="L196" s="495"/>
      <c r="M196" s="468">
        <v>25</v>
      </c>
      <c r="N196" s="468">
        <v>10</v>
      </c>
      <c r="O196" s="494">
        <f t="shared" si="6"/>
        <v>0.4</v>
      </c>
      <c r="P196" s="494">
        <f t="shared" si="7"/>
        <v>0.4</v>
      </c>
      <c r="Q196" s="786">
        <f t="shared" si="8"/>
        <v>1.2121212121212122</v>
      </c>
      <c r="R196" s="468"/>
      <c r="S196" s="24"/>
    </row>
    <row r="197" spans="1:19" ht="63.75" x14ac:dyDescent="0.2">
      <c r="A197" s="239" t="s">
        <v>351</v>
      </c>
      <c r="B197" s="489" t="s">
        <v>1811</v>
      </c>
      <c r="C197" s="490" t="s">
        <v>1812</v>
      </c>
      <c r="D197" s="489" t="s">
        <v>112</v>
      </c>
      <c r="E197" s="489" t="s">
        <v>943</v>
      </c>
      <c r="F197" s="491" t="s">
        <v>944</v>
      </c>
      <c r="G197" s="489" t="s">
        <v>114</v>
      </c>
      <c r="H197" s="489" t="s">
        <v>79</v>
      </c>
      <c r="I197" s="468"/>
      <c r="J197" s="489" t="s">
        <v>913</v>
      </c>
      <c r="K197" s="492">
        <v>100</v>
      </c>
      <c r="L197" s="495" t="s">
        <v>976</v>
      </c>
      <c r="M197" s="468">
        <v>154</v>
      </c>
      <c r="N197" s="468">
        <v>120</v>
      </c>
      <c r="O197" s="494">
        <f t="shared" si="6"/>
        <v>0.77922077922077926</v>
      </c>
      <c r="P197" s="494">
        <f t="shared" si="7"/>
        <v>0.77922077922077926</v>
      </c>
      <c r="Q197" s="786">
        <f t="shared" si="8"/>
        <v>0.77922077922077926</v>
      </c>
      <c r="R197" s="468"/>
      <c r="S197" s="24"/>
    </row>
    <row r="198" spans="1:19" ht="25.5" x14ac:dyDescent="0.2">
      <c r="A198" s="239" t="s">
        <v>351</v>
      </c>
      <c r="B198" s="489" t="s">
        <v>1811</v>
      </c>
      <c r="C198" s="490" t="s">
        <v>1812</v>
      </c>
      <c r="D198" s="489" t="s">
        <v>112</v>
      </c>
      <c r="E198" s="489" t="s">
        <v>943</v>
      </c>
      <c r="F198" s="491" t="s">
        <v>124</v>
      </c>
      <c r="G198" s="489" t="s">
        <v>945</v>
      </c>
      <c r="H198" s="489" t="s">
        <v>79</v>
      </c>
      <c r="I198" s="468"/>
      <c r="J198" s="489" t="s">
        <v>913</v>
      </c>
      <c r="K198" s="492">
        <v>33</v>
      </c>
      <c r="L198" s="495"/>
      <c r="M198" s="468">
        <v>154</v>
      </c>
      <c r="N198" s="468">
        <v>0</v>
      </c>
      <c r="O198" s="494">
        <f t="shared" ref="O198:O261" si="9">N198/M198</f>
        <v>0</v>
      </c>
      <c r="P198" s="494">
        <f t="shared" ref="P198:P261" si="10">O198</f>
        <v>0</v>
      </c>
      <c r="Q198" s="786">
        <f t="shared" ref="Q198:Q261" si="11">N198/(M198*K198/100)</f>
        <v>0</v>
      </c>
      <c r="R198" s="468"/>
      <c r="S198" s="24"/>
    </row>
    <row r="199" spans="1:19" x14ac:dyDescent="0.2">
      <c r="A199" s="239" t="s">
        <v>351</v>
      </c>
      <c r="B199" s="489" t="s">
        <v>1811</v>
      </c>
      <c r="C199" s="490" t="s">
        <v>1812</v>
      </c>
      <c r="D199" s="489" t="s">
        <v>112</v>
      </c>
      <c r="E199" s="489" t="s">
        <v>115</v>
      </c>
      <c r="F199" s="491" t="s">
        <v>944</v>
      </c>
      <c r="G199" s="489" t="s">
        <v>945</v>
      </c>
      <c r="H199" s="489" t="s">
        <v>79</v>
      </c>
      <c r="I199" s="468"/>
      <c r="J199" s="489" t="s">
        <v>913</v>
      </c>
      <c r="K199" s="492">
        <v>25</v>
      </c>
      <c r="L199" s="495"/>
      <c r="M199" s="468">
        <v>154</v>
      </c>
      <c r="N199" s="468">
        <v>8</v>
      </c>
      <c r="O199" s="494">
        <f t="shared" si="9"/>
        <v>5.1948051948051951E-2</v>
      </c>
      <c r="P199" s="494">
        <f t="shared" si="10"/>
        <v>5.1948051948051951E-2</v>
      </c>
      <c r="Q199" s="786">
        <f t="shared" si="11"/>
        <v>0.20779220779220781</v>
      </c>
      <c r="R199" s="468"/>
      <c r="S199" s="24"/>
    </row>
    <row r="200" spans="1:19" x14ac:dyDescent="0.2">
      <c r="A200" s="239" t="s">
        <v>351</v>
      </c>
      <c r="B200" s="489" t="s">
        <v>1811</v>
      </c>
      <c r="C200" s="490" t="s">
        <v>1812</v>
      </c>
      <c r="D200" s="489" t="s">
        <v>112</v>
      </c>
      <c r="E200" s="489" t="s">
        <v>115</v>
      </c>
      <c r="F200" s="491" t="s">
        <v>124</v>
      </c>
      <c r="G200" s="489" t="s">
        <v>945</v>
      </c>
      <c r="H200" s="489" t="s">
        <v>79</v>
      </c>
      <c r="I200" s="468"/>
      <c r="J200" s="489" t="s">
        <v>913</v>
      </c>
      <c r="K200" s="492">
        <v>33</v>
      </c>
      <c r="L200" s="495"/>
      <c r="M200" s="468">
        <v>154</v>
      </c>
      <c r="N200" s="468">
        <v>33</v>
      </c>
      <c r="O200" s="494">
        <f t="shared" si="9"/>
        <v>0.21428571428571427</v>
      </c>
      <c r="P200" s="494">
        <f t="shared" si="10"/>
        <v>0.21428571428571427</v>
      </c>
      <c r="Q200" s="786">
        <f t="shared" si="11"/>
        <v>0.64935064935064934</v>
      </c>
      <c r="R200" s="468"/>
      <c r="S200" s="24"/>
    </row>
    <row r="201" spans="1:19" ht="63.75" x14ac:dyDescent="0.2">
      <c r="A201" s="239" t="s">
        <v>351</v>
      </c>
      <c r="B201" s="489" t="s">
        <v>1811</v>
      </c>
      <c r="C201" s="490" t="s">
        <v>1812</v>
      </c>
      <c r="D201" s="489" t="s">
        <v>112</v>
      </c>
      <c r="E201" s="489" t="s">
        <v>946</v>
      </c>
      <c r="F201" s="491" t="s">
        <v>947</v>
      </c>
      <c r="G201" s="489" t="s">
        <v>945</v>
      </c>
      <c r="H201" s="489" t="s">
        <v>79</v>
      </c>
      <c r="I201" s="468"/>
      <c r="J201" s="489" t="s">
        <v>913</v>
      </c>
      <c r="K201" s="492">
        <v>25</v>
      </c>
      <c r="L201" s="495" t="s">
        <v>977</v>
      </c>
      <c r="M201" s="468">
        <v>154</v>
      </c>
      <c r="N201" s="468">
        <v>8</v>
      </c>
      <c r="O201" s="494">
        <f t="shared" si="9"/>
        <v>5.1948051948051951E-2</v>
      </c>
      <c r="P201" s="494">
        <f t="shared" si="10"/>
        <v>5.1948051948051951E-2</v>
      </c>
      <c r="Q201" s="786">
        <f t="shared" si="11"/>
        <v>0.20779220779220781</v>
      </c>
      <c r="R201" s="468"/>
      <c r="S201" s="24"/>
    </row>
    <row r="202" spans="1:19" x14ac:dyDescent="0.2">
      <c r="A202" s="239" t="s">
        <v>351</v>
      </c>
      <c r="B202" s="489" t="s">
        <v>1811</v>
      </c>
      <c r="C202" s="490" t="s">
        <v>1812</v>
      </c>
      <c r="D202" s="489" t="s">
        <v>112</v>
      </c>
      <c r="E202" s="489" t="s">
        <v>946</v>
      </c>
      <c r="F202" s="491" t="s">
        <v>948</v>
      </c>
      <c r="G202" s="489" t="s">
        <v>945</v>
      </c>
      <c r="H202" s="489" t="s">
        <v>79</v>
      </c>
      <c r="I202" s="468"/>
      <c r="J202" s="489" t="s">
        <v>913</v>
      </c>
      <c r="K202" s="492">
        <v>33</v>
      </c>
      <c r="L202" s="495"/>
      <c r="M202" s="468">
        <v>154</v>
      </c>
      <c r="N202" s="468">
        <v>33</v>
      </c>
      <c r="O202" s="494">
        <f t="shared" si="9"/>
        <v>0.21428571428571427</v>
      </c>
      <c r="P202" s="494">
        <f t="shared" si="10"/>
        <v>0.21428571428571427</v>
      </c>
      <c r="Q202" s="786">
        <f t="shared" si="11"/>
        <v>0.64935064935064934</v>
      </c>
      <c r="R202" s="468"/>
      <c r="S202" s="24"/>
    </row>
    <row r="203" spans="1:19" ht="25.5" x14ac:dyDescent="0.2">
      <c r="A203" s="239" t="s">
        <v>351</v>
      </c>
      <c r="B203" s="489" t="s">
        <v>1811</v>
      </c>
      <c r="C203" s="490" t="s">
        <v>1812</v>
      </c>
      <c r="D203" s="489" t="s">
        <v>112</v>
      </c>
      <c r="E203" s="489" t="s">
        <v>949</v>
      </c>
      <c r="F203" s="491" t="s">
        <v>947</v>
      </c>
      <c r="G203" s="489" t="s">
        <v>945</v>
      </c>
      <c r="H203" s="489" t="s">
        <v>79</v>
      </c>
      <c r="I203" s="468"/>
      <c r="J203" s="489" t="s">
        <v>913</v>
      </c>
      <c r="K203" s="492">
        <v>25</v>
      </c>
      <c r="L203" s="495"/>
      <c r="M203" s="468">
        <v>154</v>
      </c>
      <c r="N203" s="468">
        <v>8</v>
      </c>
      <c r="O203" s="494">
        <f t="shared" si="9"/>
        <v>5.1948051948051951E-2</v>
      </c>
      <c r="P203" s="494">
        <f t="shared" si="10"/>
        <v>5.1948051948051951E-2</v>
      </c>
      <c r="Q203" s="786">
        <f t="shared" si="11"/>
        <v>0.20779220779220781</v>
      </c>
      <c r="R203" s="468"/>
      <c r="S203" s="24"/>
    </row>
    <row r="204" spans="1:19" x14ac:dyDescent="0.2">
      <c r="A204" s="239" t="s">
        <v>351</v>
      </c>
      <c r="B204" s="489" t="s">
        <v>1811</v>
      </c>
      <c r="C204" s="490" t="s">
        <v>1812</v>
      </c>
      <c r="D204" s="489" t="s">
        <v>112</v>
      </c>
      <c r="E204" s="489" t="s">
        <v>125</v>
      </c>
      <c r="F204" s="491" t="s">
        <v>947</v>
      </c>
      <c r="G204" s="489" t="s">
        <v>945</v>
      </c>
      <c r="H204" s="489" t="s">
        <v>79</v>
      </c>
      <c r="I204" s="468"/>
      <c r="J204" s="489" t="s">
        <v>913</v>
      </c>
      <c r="K204" s="492">
        <v>25</v>
      </c>
      <c r="L204" s="495"/>
      <c r="M204" s="468">
        <v>154</v>
      </c>
      <c r="N204" s="468">
        <v>8</v>
      </c>
      <c r="O204" s="494">
        <f t="shared" si="9"/>
        <v>5.1948051948051951E-2</v>
      </c>
      <c r="P204" s="494">
        <f t="shared" si="10"/>
        <v>5.1948051948051951E-2</v>
      </c>
      <c r="Q204" s="786">
        <f t="shared" si="11"/>
        <v>0.20779220779220781</v>
      </c>
      <c r="R204" s="468"/>
      <c r="S204" s="24"/>
    </row>
    <row r="205" spans="1:19" x14ac:dyDescent="0.2">
      <c r="A205" s="239" t="s">
        <v>351</v>
      </c>
      <c r="B205" s="489" t="s">
        <v>1811</v>
      </c>
      <c r="C205" s="490" t="s">
        <v>1812</v>
      </c>
      <c r="D205" s="489" t="s">
        <v>112</v>
      </c>
      <c r="E205" s="489" t="s">
        <v>950</v>
      </c>
      <c r="F205" s="491" t="s">
        <v>947</v>
      </c>
      <c r="G205" s="489" t="s">
        <v>114</v>
      </c>
      <c r="H205" s="489" t="s">
        <v>79</v>
      </c>
      <c r="I205" s="468"/>
      <c r="J205" s="489" t="s">
        <v>913</v>
      </c>
      <c r="K205" s="492">
        <v>100</v>
      </c>
      <c r="L205" s="495"/>
      <c r="M205" s="468">
        <v>154</v>
      </c>
      <c r="N205" s="468">
        <v>120</v>
      </c>
      <c r="O205" s="494">
        <f t="shared" si="9"/>
        <v>0.77922077922077926</v>
      </c>
      <c r="P205" s="494">
        <f t="shared" si="10"/>
        <v>0.77922077922077926</v>
      </c>
      <c r="Q205" s="786">
        <f t="shared" si="11"/>
        <v>0.77922077922077926</v>
      </c>
      <c r="R205" s="468"/>
      <c r="S205" s="24"/>
    </row>
    <row r="206" spans="1:19" x14ac:dyDescent="0.2">
      <c r="A206" s="239" t="s">
        <v>351</v>
      </c>
      <c r="B206" s="489" t="s">
        <v>1811</v>
      </c>
      <c r="C206" s="490" t="s">
        <v>1812</v>
      </c>
      <c r="D206" s="489" t="s">
        <v>112</v>
      </c>
      <c r="E206" s="489" t="s">
        <v>951</v>
      </c>
      <c r="F206" s="491" t="s">
        <v>947</v>
      </c>
      <c r="G206" s="489" t="s">
        <v>114</v>
      </c>
      <c r="H206" s="489" t="s">
        <v>79</v>
      </c>
      <c r="I206" s="468"/>
      <c r="J206" s="489" t="s">
        <v>913</v>
      </c>
      <c r="K206" s="492">
        <v>100</v>
      </c>
      <c r="L206" s="495"/>
      <c r="M206" s="468">
        <v>154</v>
      </c>
      <c r="N206" s="468">
        <v>120</v>
      </c>
      <c r="O206" s="494">
        <f t="shared" si="9"/>
        <v>0.77922077922077926</v>
      </c>
      <c r="P206" s="494">
        <f t="shared" si="10"/>
        <v>0.77922077922077926</v>
      </c>
      <c r="Q206" s="786">
        <f t="shared" si="11"/>
        <v>0.77922077922077926</v>
      </c>
      <c r="R206" s="468"/>
      <c r="S206" s="24"/>
    </row>
    <row r="207" spans="1:19" ht="25.5" x14ac:dyDescent="0.2">
      <c r="A207" s="239" t="s">
        <v>351</v>
      </c>
      <c r="B207" s="489" t="s">
        <v>1811</v>
      </c>
      <c r="C207" s="490" t="s">
        <v>1812</v>
      </c>
      <c r="D207" s="489" t="s">
        <v>112</v>
      </c>
      <c r="E207" s="489" t="s">
        <v>952</v>
      </c>
      <c r="F207" s="491" t="s">
        <v>947</v>
      </c>
      <c r="G207" s="489" t="s">
        <v>945</v>
      </c>
      <c r="H207" s="489" t="s">
        <v>79</v>
      </c>
      <c r="I207" s="468"/>
      <c r="J207" s="489" t="s">
        <v>913</v>
      </c>
      <c r="K207" s="492">
        <v>25</v>
      </c>
      <c r="L207" s="495"/>
      <c r="M207" s="468">
        <v>154</v>
      </c>
      <c r="N207" s="468">
        <v>8</v>
      </c>
      <c r="O207" s="494">
        <f t="shared" si="9"/>
        <v>5.1948051948051951E-2</v>
      </c>
      <c r="P207" s="494">
        <f t="shared" si="10"/>
        <v>5.1948051948051951E-2</v>
      </c>
      <c r="Q207" s="786">
        <f t="shared" si="11"/>
        <v>0.20779220779220781</v>
      </c>
      <c r="R207" s="468"/>
      <c r="S207" s="24"/>
    </row>
    <row r="208" spans="1:19" ht="25.5" x14ac:dyDescent="0.2">
      <c r="A208" s="239" t="s">
        <v>351</v>
      </c>
      <c r="B208" s="489" t="s">
        <v>1811</v>
      </c>
      <c r="C208" s="490" t="s">
        <v>1812</v>
      </c>
      <c r="D208" s="489" t="s">
        <v>112</v>
      </c>
      <c r="E208" s="489" t="s">
        <v>953</v>
      </c>
      <c r="F208" s="491" t="s">
        <v>947</v>
      </c>
      <c r="G208" s="489" t="s">
        <v>945</v>
      </c>
      <c r="H208" s="489" t="s">
        <v>79</v>
      </c>
      <c r="I208" s="468"/>
      <c r="J208" s="489" t="s">
        <v>913</v>
      </c>
      <c r="K208" s="492">
        <v>25</v>
      </c>
      <c r="L208" s="495"/>
      <c r="M208" s="468">
        <v>154</v>
      </c>
      <c r="N208" s="468">
        <v>8</v>
      </c>
      <c r="O208" s="494">
        <f t="shared" si="9"/>
        <v>5.1948051948051951E-2</v>
      </c>
      <c r="P208" s="494">
        <f t="shared" si="10"/>
        <v>5.1948051948051951E-2</v>
      </c>
      <c r="Q208" s="786">
        <f t="shared" si="11"/>
        <v>0.20779220779220781</v>
      </c>
      <c r="R208" s="468"/>
      <c r="S208" s="24"/>
    </row>
    <row r="209" spans="1:19" x14ac:dyDescent="0.2">
      <c r="A209" s="239" t="s">
        <v>351</v>
      </c>
      <c r="B209" s="489" t="s">
        <v>1811</v>
      </c>
      <c r="C209" s="490" t="s">
        <v>1812</v>
      </c>
      <c r="D209" s="489" t="s">
        <v>112</v>
      </c>
      <c r="E209" s="489" t="s">
        <v>954</v>
      </c>
      <c r="F209" s="491" t="s">
        <v>955</v>
      </c>
      <c r="G209" s="489" t="s">
        <v>114</v>
      </c>
      <c r="H209" s="489" t="s">
        <v>79</v>
      </c>
      <c r="I209" s="468"/>
      <c r="J209" s="489" t="s">
        <v>913</v>
      </c>
      <c r="K209" s="492">
        <v>100</v>
      </c>
      <c r="L209" s="495"/>
      <c r="M209" s="468">
        <v>154</v>
      </c>
      <c r="N209" s="468">
        <v>154</v>
      </c>
      <c r="O209" s="494">
        <f t="shared" si="9"/>
        <v>1</v>
      </c>
      <c r="P209" s="494">
        <f t="shared" si="10"/>
        <v>1</v>
      </c>
      <c r="Q209" s="786">
        <f t="shared" si="11"/>
        <v>1</v>
      </c>
      <c r="R209" s="468"/>
      <c r="S209" s="24"/>
    </row>
    <row r="210" spans="1:19" ht="25.5" x14ac:dyDescent="0.2">
      <c r="A210" s="239" t="s">
        <v>351</v>
      </c>
      <c r="B210" s="489" t="s">
        <v>1811</v>
      </c>
      <c r="C210" s="490" t="s">
        <v>1812</v>
      </c>
      <c r="D210" s="489" t="s">
        <v>112</v>
      </c>
      <c r="E210" s="489" t="s">
        <v>956</v>
      </c>
      <c r="F210" s="491" t="s">
        <v>955</v>
      </c>
      <c r="G210" s="489" t="s">
        <v>114</v>
      </c>
      <c r="H210" s="489" t="s">
        <v>79</v>
      </c>
      <c r="I210" s="468"/>
      <c r="J210" s="489" t="s">
        <v>913</v>
      </c>
      <c r="K210" s="492">
        <v>100</v>
      </c>
      <c r="L210" s="495"/>
      <c r="M210" s="468">
        <v>154</v>
      </c>
      <c r="N210" s="468">
        <v>154</v>
      </c>
      <c r="O210" s="494">
        <f t="shared" si="9"/>
        <v>1</v>
      </c>
      <c r="P210" s="494">
        <f t="shared" si="10"/>
        <v>1</v>
      </c>
      <c r="Q210" s="786">
        <f t="shared" si="11"/>
        <v>1</v>
      </c>
      <c r="R210" s="468"/>
      <c r="S210" s="24"/>
    </row>
    <row r="211" spans="1:19" ht="25.5" x14ac:dyDescent="0.2">
      <c r="A211" s="239" t="s">
        <v>351</v>
      </c>
      <c r="B211" s="489" t="s">
        <v>1811</v>
      </c>
      <c r="C211" s="490" t="s">
        <v>1812</v>
      </c>
      <c r="D211" s="489" t="s">
        <v>112</v>
      </c>
      <c r="E211" s="489" t="s">
        <v>957</v>
      </c>
      <c r="F211" s="491" t="s">
        <v>124</v>
      </c>
      <c r="G211" s="489" t="s">
        <v>945</v>
      </c>
      <c r="H211" s="489" t="s">
        <v>79</v>
      </c>
      <c r="I211" s="468"/>
      <c r="J211" s="489" t="s">
        <v>913</v>
      </c>
      <c r="K211" s="492">
        <v>33</v>
      </c>
      <c r="L211" s="495"/>
      <c r="M211" s="468">
        <v>154</v>
      </c>
      <c r="N211" s="468">
        <v>27</v>
      </c>
      <c r="O211" s="494">
        <f t="shared" si="9"/>
        <v>0.17532467532467533</v>
      </c>
      <c r="P211" s="494">
        <f t="shared" si="10"/>
        <v>0.17532467532467533</v>
      </c>
      <c r="Q211" s="786">
        <f t="shared" si="11"/>
        <v>0.53128689492325853</v>
      </c>
      <c r="R211" s="468"/>
      <c r="S211" s="24"/>
    </row>
    <row r="212" spans="1:19" x14ac:dyDescent="0.2">
      <c r="A212" s="239" t="s">
        <v>351</v>
      </c>
      <c r="B212" s="489" t="s">
        <v>1811</v>
      </c>
      <c r="C212" s="490" t="s">
        <v>1812</v>
      </c>
      <c r="D212" s="489" t="s">
        <v>112</v>
      </c>
      <c r="E212" s="489" t="s">
        <v>958</v>
      </c>
      <c r="F212" s="491" t="s">
        <v>124</v>
      </c>
      <c r="G212" s="489" t="s">
        <v>945</v>
      </c>
      <c r="H212" s="489" t="s">
        <v>79</v>
      </c>
      <c r="I212" s="468"/>
      <c r="J212" s="489" t="s">
        <v>913</v>
      </c>
      <c r="K212" s="492">
        <v>33</v>
      </c>
      <c r="L212" s="495"/>
      <c r="M212" s="468">
        <v>154</v>
      </c>
      <c r="N212" s="468">
        <v>31</v>
      </c>
      <c r="O212" s="494">
        <f t="shared" si="9"/>
        <v>0.20129870129870131</v>
      </c>
      <c r="P212" s="494">
        <f t="shared" si="10"/>
        <v>0.20129870129870131</v>
      </c>
      <c r="Q212" s="786">
        <f t="shared" si="11"/>
        <v>0.60999606454151911</v>
      </c>
      <c r="R212" s="468"/>
      <c r="S212" s="24"/>
    </row>
    <row r="213" spans="1:19" x14ac:dyDescent="0.2">
      <c r="A213" s="239" t="s">
        <v>351</v>
      </c>
      <c r="B213" s="489" t="s">
        <v>1811</v>
      </c>
      <c r="C213" s="490" t="s">
        <v>1812</v>
      </c>
      <c r="D213" s="489" t="s">
        <v>112</v>
      </c>
      <c r="E213" s="489" t="s">
        <v>959</v>
      </c>
      <c r="F213" s="491" t="s">
        <v>124</v>
      </c>
      <c r="G213" s="489" t="s">
        <v>945</v>
      </c>
      <c r="H213" s="489" t="s">
        <v>79</v>
      </c>
      <c r="I213" s="468"/>
      <c r="J213" s="489" t="s">
        <v>913</v>
      </c>
      <c r="K213" s="492">
        <v>33</v>
      </c>
      <c r="L213" s="495"/>
      <c r="M213" s="468">
        <v>154</v>
      </c>
      <c r="N213" s="468">
        <v>33</v>
      </c>
      <c r="O213" s="494">
        <f t="shared" si="9"/>
        <v>0.21428571428571427</v>
      </c>
      <c r="P213" s="494">
        <f t="shared" si="10"/>
        <v>0.21428571428571427</v>
      </c>
      <c r="Q213" s="786">
        <f t="shared" si="11"/>
        <v>0.64935064935064934</v>
      </c>
      <c r="R213" s="468"/>
      <c r="S213" s="24"/>
    </row>
    <row r="214" spans="1:19" ht="25.5" x14ac:dyDescent="0.2">
      <c r="A214" s="239" t="s">
        <v>351</v>
      </c>
      <c r="B214" s="489" t="s">
        <v>1811</v>
      </c>
      <c r="C214" s="490" t="s">
        <v>1812</v>
      </c>
      <c r="D214" s="489" t="s">
        <v>112</v>
      </c>
      <c r="E214" s="489" t="s">
        <v>960</v>
      </c>
      <c r="F214" s="491" t="s">
        <v>124</v>
      </c>
      <c r="G214" s="489" t="s">
        <v>945</v>
      </c>
      <c r="H214" s="489" t="s">
        <v>79</v>
      </c>
      <c r="I214" s="468"/>
      <c r="J214" s="489" t="s">
        <v>913</v>
      </c>
      <c r="K214" s="492">
        <v>33</v>
      </c>
      <c r="L214" s="495"/>
      <c r="M214" s="468">
        <v>154</v>
      </c>
      <c r="N214" s="468">
        <v>26</v>
      </c>
      <c r="O214" s="494">
        <f t="shared" si="9"/>
        <v>0.16883116883116883</v>
      </c>
      <c r="P214" s="494">
        <f t="shared" si="10"/>
        <v>0.16883116883116883</v>
      </c>
      <c r="Q214" s="786">
        <f t="shared" si="11"/>
        <v>0.51160960251869347</v>
      </c>
      <c r="R214" s="468"/>
      <c r="S214" s="24"/>
    </row>
    <row r="215" spans="1:19" x14ac:dyDescent="0.2">
      <c r="A215" s="239" t="s">
        <v>351</v>
      </c>
      <c r="B215" s="489" t="s">
        <v>1811</v>
      </c>
      <c r="C215" s="490" t="s">
        <v>1812</v>
      </c>
      <c r="D215" s="489" t="s">
        <v>112</v>
      </c>
      <c r="E215" s="489" t="s">
        <v>961</v>
      </c>
      <c r="F215" s="491" t="s">
        <v>124</v>
      </c>
      <c r="G215" s="489" t="s">
        <v>945</v>
      </c>
      <c r="H215" s="489" t="s">
        <v>79</v>
      </c>
      <c r="I215" s="468"/>
      <c r="J215" s="489" t="s">
        <v>913</v>
      </c>
      <c r="K215" s="492">
        <v>33</v>
      </c>
      <c r="L215" s="495"/>
      <c r="M215" s="468">
        <v>154</v>
      </c>
      <c r="N215" s="468">
        <v>31</v>
      </c>
      <c r="O215" s="494">
        <f t="shared" si="9"/>
        <v>0.20129870129870131</v>
      </c>
      <c r="P215" s="494">
        <f t="shared" si="10"/>
        <v>0.20129870129870131</v>
      </c>
      <c r="Q215" s="786">
        <f t="shared" si="11"/>
        <v>0.60999606454151911</v>
      </c>
      <c r="R215" s="468"/>
      <c r="S215" s="24"/>
    </row>
    <row r="216" spans="1:19" x14ac:dyDescent="0.2">
      <c r="A216" s="239" t="s">
        <v>351</v>
      </c>
      <c r="B216" s="489" t="s">
        <v>1811</v>
      </c>
      <c r="C216" s="490" t="s">
        <v>1812</v>
      </c>
      <c r="D216" s="489" t="s">
        <v>112</v>
      </c>
      <c r="E216" s="489" t="s">
        <v>962</v>
      </c>
      <c r="F216" s="491" t="s">
        <v>124</v>
      </c>
      <c r="G216" s="489" t="s">
        <v>945</v>
      </c>
      <c r="H216" s="489" t="s">
        <v>79</v>
      </c>
      <c r="I216" s="468"/>
      <c r="J216" s="489" t="s">
        <v>913</v>
      </c>
      <c r="K216" s="492">
        <v>33</v>
      </c>
      <c r="L216" s="495"/>
      <c r="M216" s="468">
        <v>154</v>
      </c>
      <c r="N216" s="468">
        <v>31</v>
      </c>
      <c r="O216" s="494">
        <f t="shared" si="9"/>
        <v>0.20129870129870131</v>
      </c>
      <c r="P216" s="494">
        <f t="shared" si="10"/>
        <v>0.20129870129870131</v>
      </c>
      <c r="Q216" s="786">
        <f t="shared" si="11"/>
        <v>0.60999606454151911</v>
      </c>
      <c r="R216" s="468"/>
      <c r="S216" s="24"/>
    </row>
    <row r="217" spans="1:19" x14ac:dyDescent="0.2">
      <c r="A217" s="239" t="s">
        <v>351</v>
      </c>
      <c r="B217" s="489" t="s">
        <v>1811</v>
      </c>
      <c r="C217" s="490" t="s">
        <v>1812</v>
      </c>
      <c r="D217" s="489" t="s">
        <v>112</v>
      </c>
      <c r="E217" s="489" t="s">
        <v>963</v>
      </c>
      <c r="F217" s="491" t="s">
        <v>947</v>
      </c>
      <c r="G217" s="489" t="s">
        <v>114</v>
      </c>
      <c r="H217" s="489" t="s">
        <v>79</v>
      </c>
      <c r="I217" s="468"/>
      <c r="J217" s="489" t="s">
        <v>913</v>
      </c>
      <c r="K217" s="492">
        <v>100</v>
      </c>
      <c r="L217" s="495"/>
      <c r="M217" s="468">
        <v>154</v>
      </c>
      <c r="N217" s="468">
        <v>120</v>
      </c>
      <c r="O217" s="494">
        <f t="shared" si="9"/>
        <v>0.77922077922077926</v>
      </c>
      <c r="P217" s="494">
        <f t="shared" si="10"/>
        <v>0.77922077922077926</v>
      </c>
      <c r="Q217" s="786">
        <f t="shared" si="11"/>
        <v>0.77922077922077926</v>
      </c>
      <c r="R217" s="468"/>
      <c r="S217" s="24"/>
    </row>
    <row r="218" spans="1:19" x14ac:dyDescent="0.2">
      <c r="A218" s="239" t="s">
        <v>351</v>
      </c>
      <c r="B218" s="489" t="s">
        <v>1811</v>
      </c>
      <c r="C218" s="490" t="s">
        <v>1812</v>
      </c>
      <c r="D218" s="489" t="s">
        <v>112</v>
      </c>
      <c r="E218" s="489" t="s">
        <v>964</v>
      </c>
      <c r="F218" s="491" t="s">
        <v>947</v>
      </c>
      <c r="G218" s="489" t="s">
        <v>114</v>
      </c>
      <c r="H218" s="489" t="s">
        <v>79</v>
      </c>
      <c r="I218" s="468"/>
      <c r="J218" s="489" t="s">
        <v>913</v>
      </c>
      <c r="K218" s="492">
        <v>100</v>
      </c>
      <c r="L218" s="495"/>
      <c r="M218" s="468">
        <v>154</v>
      </c>
      <c r="N218" s="468">
        <v>120</v>
      </c>
      <c r="O218" s="494">
        <f t="shared" si="9"/>
        <v>0.77922077922077926</v>
      </c>
      <c r="P218" s="494">
        <f t="shared" si="10"/>
        <v>0.77922077922077926</v>
      </c>
      <c r="Q218" s="786">
        <f t="shared" si="11"/>
        <v>0.77922077922077926</v>
      </c>
      <c r="R218" s="468"/>
      <c r="S218" s="24"/>
    </row>
    <row r="219" spans="1:19" ht="25.5" x14ac:dyDescent="0.2">
      <c r="A219" s="239" t="s">
        <v>351</v>
      </c>
      <c r="B219" s="489" t="s">
        <v>1811</v>
      </c>
      <c r="C219" s="490" t="s">
        <v>1812</v>
      </c>
      <c r="D219" s="489" t="s">
        <v>112</v>
      </c>
      <c r="E219" s="489" t="s">
        <v>965</v>
      </c>
      <c r="F219" s="491" t="s">
        <v>947</v>
      </c>
      <c r="G219" s="489" t="s">
        <v>114</v>
      </c>
      <c r="H219" s="489" t="s">
        <v>79</v>
      </c>
      <c r="I219" s="468"/>
      <c r="J219" s="489" t="s">
        <v>913</v>
      </c>
      <c r="K219" s="492">
        <v>100</v>
      </c>
      <c r="L219" s="495"/>
      <c r="M219" s="468">
        <v>154</v>
      </c>
      <c r="N219" s="468">
        <v>120</v>
      </c>
      <c r="O219" s="494">
        <f t="shared" si="9"/>
        <v>0.77922077922077926</v>
      </c>
      <c r="P219" s="494">
        <f t="shared" si="10"/>
        <v>0.77922077922077926</v>
      </c>
      <c r="Q219" s="786">
        <f t="shared" si="11"/>
        <v>0.77922077922077926</v>
      </c>
      <c r="R219" s="468"/>
      <c r="S219" s="24"/>
    </row>
    <row r="220" spans="1:19" ht="63.75" x14ac:dyDescent="0.2">
      <c r="A220" s="239" t="s">
        <v>351</v>
      </c>
      <c r="B220" s="489" t="s">
        <v>1811</v>
      </c>
      <c r="C220" s="490" t="s">
        <v>1812</v>
      </c>
      <c r="D220" s="489" t="s">
        <v>112</v>
      </c>
      <c r="E220" s="489" t="s">
        <v>966</v>
      </c>
      <c r="F220" s="491" t="s">
        <v>944</v>
      </c>
      <c r="G220" s="489" t="s">
        <v>114</v>
      </c>
      <c r="H220" s="489" t="s">
        <v>79</v>
      </c>
      <c r="I220" s="468"/>
      <c r="J220" s="489" t="s">
        <v>913</v>
      </c>
      <c r="K220" s="492">
        <v>100</v>
      </c>
      <c r="L220" s="495" t="s">
        <v>976</v>
      </c>
      <c r="M220" s="468">
        <v>154</v>
      </c>
      <c r="N220" s="468">
        <v>120</v>
      </c>
      <c r="O220" s="494">
        <f t="shared" si="9"/>
        <v>0.77922077922077926</v>
      </c>
      <c r="P220" s="494">
        <f t="shared" si="10"/>
        <v>0.77922077922077926</v>
      </c>
      <c r="Q220" s="786">
        <f t="shared" si="11"/>
        <v>0.77922077922077926</v>
      </c>
      <c r="R220" s="468"/>
      <c r="S220" s="24"/>
    </row>
    <row r="221" spans="1:19" x14ac:dyDescent="0.2">
      <c r="A221" s="239" t="s">
        <v>351</v>
      </c>
      <c r="B221" s="489" t="s">
        <v>1811</v>
      </c>
      <c r="C221" s="490" t="s">
        <v>1812</v>
      </c>
      <c r="D221" s="489" t="s">
        <v>112</v>
      </c>
      <c r="E221" s="489" t="s">
        <v>966</v>
      </c>
      <c r="F221" s="491" t="s">
        <v>124</v>
      </c>
      <c r="G221" s="489" t="s">
        <v>945</v>
      </c>
      <c r="H221" s="489" t="s">
        <v>79</v>
      </c>
      <c r="I221" s="468"/>
      <c r="J221" s="489" t="s">
        <v>913</v>
      </c>
      <c r="K221" s="492">
        <v>33</v>
      </c>
      <c r="L221" s="495"/>
      <c r="M221" s="468">
        <v>154</v>
      </c>
      <c r="N221" s="468">
        <v>33</v>
      </c>
      <c r="O221" s="494">
        <f t="shared" si="9"/>
        <v>0.21428571428571427</v>
      </c>
      <c r="P221" s="494">
        <f t="shared" si="10"/>
        <v>0.21428571428571427</v>
      </c>
      <c r="Q221" s="786">
        <f t="shared" si="11"/>
        <v>0.64935064935064934</v>
      </c>
      <c r="R221" s="468"/>
      <c r="S221" s="24"/>
    </row>
    <row r="222" spans="1:19" x14ac:dyDescent="0.2">
      <c r="A222" s="239" t="s">
        <v>351</v>
      </c>
      <c r="B222" s="489" t="s">
        <v>1811</v>
      </c>
      <c r="C222" s="490" t="s">
        <v>1812</v>
      </c>
      <c r="D222" s="489" t="s">
        <v>112</v>
      </c>
      <c r="E222" s="489" t="s">
        <v>967</v>
      </c>
      <c r="F222" s="491" t="s">
        <v>947</v>
      </c>
      <c r="G222" s="489" t="s">
        <v>945</v>
      </c>
      <c r="H222" s="489" t="s">
        <v>79</v>
      </c>
      <c r="I222" s="468"/>
      <c r="J222" s="489" t="s">
        <v>913</v>
      </c>
      <c r="K222" s="492">
        <v>25</v>
      </c>
      <c r="L222" s="495"/>
      <c r="M222" s="468">
        <v>154</v>
      </c>
      <c r="N222" s="468">
        <v>8</v>
      </c>
      <c r="O222" s="494">
        <f t="shared" si="9"/>
        <v>5.1948051948051951E-2</v>
      </c>
      <c r="P222" s="494">
        <f t="shared" si="10"/>
        <v>5.1948051948051951E-2</v>
      </c>
      <c r="Q222" s="786">
        <f t="shared" si="11"/>
        <v>0.20779220779220781</v>
      </c>
      <c r="R222" s="468"/>
      <c r="S222" s="24"/>
    </row>
    <row r="223" spans="1:19" ht="51" x14ac:dyDescent="0.2">
      <c r="A223" s="239" t="s">
        <v>351</v>
      </c>
      <c r="B223" s="489" t="s">
        <v>1811</v>
      </c>
      <c r="C223" s="490" t="s">
        <v>1812</v>
      </c>
      <c r="D223" s="489" t="s">
        <v>112</v>
      </c>
      <c r="E223" s="489" t="s">
        <v>968</v>
      </c>
      <c r="F223" s="491" t="s">
        <v>947</v>
      </c>
      <c r="G223" s="489" t="s">
        <v>945</v>
      </c>
      <c r="H223" s="489" t="s">
        <v>79</v>
      </c>
      <c r="I223" s="468"/>
      <c r="J223" s="489" t="s">
        <v>913</v>
      </c>
      <c r="K223" s="492">
        <v>25</v>
      </c>
      <c r="L223" s="495"/>
      <c r="M223" s="468">
        <v>154</v>
      </c>
      <c r="N223" s="468">
        <v>8</v>
      </c>
      <c r="O223" s="494">
        <f t="shared" si="9"/>
        <v>5.1948051948051951E-2</v>
      </c>
      <c r="P223" s="494">
        <f t="shared" si="10"/>
        <v>5.1948051948051951E-2</v>
      </c>
      <c r="Q223" s="786">
        <f t="shared" si="11"/>
        <v>0.20779220779220781</v>
      </c>
      <c r="R223" s="468"/>
      <c r="S223" s="24"/>
    </row>
    <row r="224" spans="1:19" ht="51" x14ac:dyDescent="0.2">
      <c r="A224" s="239" t="s">
        <v>351</v>
      </c>
      <c r="B224" s="489" t="s">
        <v>1811</v>
      </c>
      <c r="C224" s="490" t="s">
        <v>1812</v>
      </c>
      <c r="D224" s="489" t="s">
        <v>112</v>
      </c>
      <c r="E224" s="489" t="s">
        <v>969</v>
      </c>
      <c r="F224" s="491" t="s">
        <v>947</v>
      </c>
      <c r="G224" s="489" t="s">
        <v>114</v>
      </c>
      <c r="H224" s="489" t="s">
        <v>79</v>
      </c>
      <c r="I224" s="468"/>
      <c r="J224" s="489" t="s">
        <v>913</v>
      </c>
      <c r="K224" s="492">
        <v>100</v>
      </c>
      <c r="L224" s="495"/>
      <c r="M224" s="468">
        <v>154</v>
      </c>
      <c r="N224" s="468">
        <v>120</v>
      </c>
      <c r="O224" s="494">
        <f t="shared" si="9"/>
        <v>0.77922077922077926</v>
      </c>
      <c r="P224" s="494">
        <f t="shared" si="10"/>
        <v>0.77922077922077926</v>
      </c>
      <c r="Q224" s="786">
        <f t="shared" si="11"/>
        <v>0.77922077922077926</v>
      </c>
      <c r="R224" s="468"/>
      <c r="S224" s="24"/>
    </row>
    <row r="225" spans="1:19" ht="25.5" x14ac:dyDescent="0.2">
      <c r="A225" s="239" t="s">
        <v>351</v>
      </c>
      <c r="B225" s="489" t="s">
        <v>1811</v>
      </c>
      <c r="C225" s="490" t="s">
        <v>1812</v>
      </c>
      <c r="D225" s="489" t="s">
        <v>117</v>
      </c>
      <c r="E225" s="489" t="s">
        <v>970</v>
      </c>
      <c r="F225" s="491" t="s">
        <v>947</v>
      </c>
      <c r="G225" s="489" t="s">
        <v>114</v>
      </c>
      <c r="H225" s="489" t="s">
        <v>79</v>
      </c>
      <c r="I225" s="468"/>
      <c r="J225" s="489" t="s">
        <v>913</v>
      </c>
      <c r="K225" s="492">
        <v>100</v>
      </c>
      <c r="L225" s="495"/>
      <c r="M225" s="468">
        <v>154</v>
      </c>
      <c r="N225" s="468">
        <v>120</v>
      </c>
      <c r="O225" s="494">
        <f t="shared" si="9"/>
        <v>0.77922077922077926</v>
      </c>
      <c r="P225" s="494">
        <f t="shared" si="10"/>
        <v>0.77922077922077926</v>
      </c>
      <c r="Q225" s="786">
        <f t="shared" si="11"/>
        <v>0.77922077922077926</v>
      </c>
      <c r="R225" s="468"/>
      <c r="S225" s="24"/>
    </row>
    <row r="226" spans="1:19" x14ac:dyDescent="0.2">
      <c r="A226" s="239" t="s">
        <v>351</v>
      </c>
      <c r="B226" s="489" t="s">
        <v>1811</v>
      </c>
      <c r="C226" s="490" t="s">
        <v>1812</v>
      </c>
      <c r="D226" s="489" t="s">
        <v>117</v>
      </c>
      <c r="E226" s="489" t="s">
        <v>971</v>
      </c>
      <c r="F226" s="491" t="s">
        <v>947</v>
      </c>
      <c r="G226" s="489" t="s">
        <v>114</v>
      </c>
      <c r="H226" s="489" t="s">
        <v>79</v>
      </c>
      <c r="I226" s="468"/>
      <c r="J226" s="489" t="s">
        <v>913</v>
      </c>
      <c r="K226" s="492">
        <v>100</v>
      </c>
      <c r="L226" s="495"/>
      <c r="M226" s="468">
        <v>154</v>
      </c>
      <c r="N226" s="468">
        <v>120</v>
      </c>
      <c r="O226" s="494">
        <f t="shared" si="9"/>
        <v>0.77922077922077926</v>
      </c>
      <c r="P226" s="494">
        <f t="shared" si="10"/>
        <v>0.77922077922077926</v>
      </c>
      <c r="Q226" s="786">
        <f t="shared" si="11"/>
        <v>0.77922077922077926</v>
      </c>
      <c r="R226" s="468"/>
      <c r="S226" s="24"/>
    </row>
    <row r="227" spans="1:19" ht="25.5" x14ac:dyDescent="0.2">
      <c r="A227" s="239" t="s">
        <v>351</v>
      </c>
      <c r="B227" s="489" t="s">
        <v>1811</v>
      </c>
      <c r="C227" s="490" t="s">
        <v>1812</v>
      </c>
      <c r="D227" s="489" t="s">
        <v>117</v>
      </c>
      <c r="E227" s="489" t="s">
        <v>126</v>
      </c>
      <c r="F227" s="491" t="s">
        <v>947</v>
      </c>
      <c r="G227" s="489" t="s">
        <v>945</v>
      </c>
      <c r="H227" s="489" t="s">
        <v>79</v>
      </c>
      <c r="I227" s="468"/>
      <c r="J227" s="489" t="s">
        <v>913</v>
      </c>
      <c r="K227" s="492">
        <v>25</v>
      </c>
      <c r="L227" s="495"/>
      <c r="M227" s="468">
        <v>154</v>
      </c>
      <c r="N227" s="468">
        <v>8</v>
      </c>
      <c r="O227" s="494">
        <f t="shared" si="9"/>
        <v>5.1948051948051951E-2</v>
      </c>
      <c r="P227" s="494">
        <f t="shared" si="10"/>
        <v>5.1948051948051951E-2</v>
      </c>
      <c r="Q227" s="786">
        <f t="shared" si="11"/>
        <v>0.20779220779220781</v>
      </c>
      <c r="R227" s="468"/>
      <c r="S227" s="24"/>
    </row>
    <row r="228" spans="1:19" x14ac:dyDescent="0.2">
      <c r="A228" s="239" t="s">
        <v>351</v>
      </c>
      <c r="B228" s="489" t="s">
        <v>1811</v>
      </c>
      <c r="C228" s="490" t="s">
        <v>1812</v>
      </c>
      <c r="D228" s="489" t="s">
        <v>117</v>
      </c>
      <c r="E228" s="489" t="s">
        <v>972</v>
      </c>
      <c r="F228" s="491" t="s">
        <v>947</v>
      </c>
      <c r="G228" s="489" t="s">
        <v>945</v>
      </c>
      <c r="H228" s="489" t="s">
        <v>79</v>
      </c>
      <c r="I228" s="468"/>
      <c r="J228" s="489" t="s">
        <v>913</v>
      </c>
      <c r="K228" s="492">
        <v>25</v>
      </c>
      <c r="L228" s="495"/>
      <c r="M228" s="468">
        <v>154</v>
      </c>
      <c r="N228" s="468">
        <v>8</v>
      </c>
      <c r="O228" s="494">
        <f t="shared" si="9"/>
        <v>5.1948051948051951E-2</v>
      </c>
      <c r="P228" s="494">
        <f t="shared" si="10"/>
        <v>5.1948051948051951E-2</v>
      </c>
      <c r="Q228" s="786">
        <f t="shared" si="11"/>
        <v>0.20779220779220781</v>
      </c>
      <c r="R228" s="468"/>
      <c r="S228" s="24"/>
    </row>
    <row r="229" spans="1:19" ht="25.5" x14ac:dyDescent="0.2">
      <c r="A229" s="239" t="s">
        <v>351</v>
      </c>
      <c r="B229" s="489" t="s">
        <v>1811</v>
      </c>
      <c r="C229" s="490" t="s">
        <v>1812</v>
      </c>
      <c r="D229" s="489" t="s">
        <v>117</v>
      </c>
      <c r="E229" s="489" t="s">
        <v>973</v>
      </c>
      <c r="F229" s="491" t="s">
        <v>947</v>
      </c>
      <c r="G229" s="489" t="s">
        <v>945</v>
      </c>
      <c r="H229" s="489" t="s">
        <v>79</v>
      </c>
      <c r="I229" s="468"/>
      <c r="J229" s="489" t="s">
        <v>913</v>
      </c>
      <c r="K229" s="492">
        <v>25</v>
      </c>
      <c r="L229" s="495"/>
      <c r="M229" s="468">
        <v>154</v>
      </c>
      <c r="N229" s="468">
        <v>8</v>
      </c>
      <c r="O229" s="494">
        <f t="shared" si="9"/>
        <v>5.1948051948051951E-2</v>
      </c>
      <c r="P229" s="494">
        <f t="shared" si="10"/>
        <v>5.1948051948051951E-2</v>
      </c>
      <c r="Q229" s="786">
        <f t="shared" si="11"/>
        <v>0.20779220779220781</v>
      </c>
      <c r="R229" s="468"/>
      <c r="S229" s="24"/>
    </row>
    <row r="230" spans="1:19" ht="25.5" x14ac:dyDescent="0.2">
      <c r="A230" s="239" t="s">
        <v>351</v>
      </c>
      <c r="B230" s="489" t="s">
        <v>1811</v>
      </c>
      <c r="C230" s="490" t="s">
        <v>1812</v>
      </c>
      <c r="D230" s="489" t="s">
        <v>117</v>
      </c>
      <c r="E230" s="489" t="s">
        <v>974</v>
      </c>
      <c r="F230" s="491" t="s">
        <v>947</v>
      </c>
      <c r="G230" s="489" t="s">
        <v>945</v>
      </c>
      <c r="H230" s="489" t="s">
        <v>79</v>
      </c>
      <c r="I230" s="468"/>
      <c r="J230" s="489" t="s">
        <v>913</v>
      </c>
      <c r="K230" s="492">
        <v>25</v>
      </c>
      <c r="L230" s="495"/>
      <c r="M230" s="468">
        <v>154</v>
      </c>
      <c r="N230" s="468">
        <v>8</v>
      </c>
      <c r="O230" s="494">
        <f t="shared" si="9"/>
        <v>5.1948051948051951E-2</v>
      </c>
      <c r="P230" s="494">
        <f t="shared" si="10"/>
        <v>5.1948051948051951E-2</v>
      </c>
      <c r="Q230" s="786">
        <f t="shared" si="11"/>
        <v>0.20779220779220781</v>
      </c>
      <c r="R230" s="468"/>
      <c r="S230" s="24"/>
    </row>
    <row r="231" spans="1:19" ht="25.5" x14ac:dyDescent="0.2">
      <c r="A231" s="239" t="s">
        <v>351</v>
      </c>
      <c r="B231" s="489" t="s">
        <v>1811</v>
      </c>
      <c r="C231" s="490" t="s">
        <v>1812</v>
      </c>
      <c r="D231" s="489" t="s">
        <v>117</v>
      </c>
      <c r="E231" s="489" t="s">
        <v>975</v>
      </c>
      <c r="F231" s="491" t="s">
        <v>947</v>
      </c>
      <c r="G231" s="489" t="s">
        <v>114</v>
      </c>
      <c r="H231" s="489" t="s">
        <v>79</v>
      </c>
      <c r="I231" s="468"/>
      <c r="J231" s="489" t="s">
        <v>913</v>
      </c>
      <c r="K231" s="492">
        <v>100</v>
      </c>
      <c r="L231" s="495"/>
      <c r="M231" s="468">
        <v>154</v>
      </c>
      <c r="N231" s="468">
        <v>120</v>
      </c>
      <c r="O231" s="494">
        <f t="shared" si="9"/>
        <v>0.77922077922077926</v>
      </c>
      <c r="P231" s="494">
        <f t="shared" si="10"/>
        <v>0.77922077922077926</v>
      </c>
      <c r="Q231" s="786">
        <f t="shared" si="11"/>
        <v>0.77922077922077926</v>
      </c>
      <c r="R231" s="468"/>
      <c r="S231" s="24"/>
    </row>
    <row r="232" spans="1:19" ht="25.5" x14ac:dyDescent="0.2">
      <c r="A232" s="239" t="s">
        <v>351</v>
      </c>
      <c r="B232" s="489" t="s">
        <v>1811</v>
      </c>
      <c r="C232" s="490" t="s">
        <v>1812</v>
      </c>
      <c r="D232" s="489" t="s">
        <v>117</v>
      </c>
      <c r="E232" s="489" t="s">
        <v>975</v>
      </c>
      <c r="F232" s="491" t="s">
        <v>124</v>
      </c>
      <c r="G232" s="489" t="s">
        <v>945</v>
      </c>
      <c r="H232" s="489" t="s">
        <v>79</v>
      </c>
      <c r="I232" s="468"/>
      <c r="J232" s="489" t="s">
        <v>913</v>
      </c>
      <c r="K232" s="492">
        <v>33</v>
      </c>
      <c r="L232" s="495"/>
      <c r="M232" s="468">
        <v>154</v>
      </c>
      <c r="N232" s="468">
        <v>0</v>
      </c>
      <c r="O232" s="494">
        <f t="shared" si="9"/>
        <v>0</v>
      </c>
      <c r="P232" s="494">
        <f t="shared" si="10"/>
        <v>0</v>
      </c>
      <c r="Q232" s="786">
        <f t="shared" si="11"/>
        <v>0</v>
      </c>
      <c r="R232" s="468"/>
      <c r="S232" s="24"/>
    </row>
    <row r="233" spans="1:19" ht="63.75" x14ac:dyDescent="0.2">
      <c r="A233" s="239" t="s">
        <v>351</v>
      </c>
      <c r="B233" s="489" t="s">
        <v>1811</v>
      </c>
      <c r="C233" s="490" t="s">
        <v>1812</v>
      </c>
      <c r="D233" s="489" t="s">
        <v>117</v>
      </c>
      <c r="E233" s="489" t="s">
        <v>940</v>
      </c>
      <c r="F233" s="491" t="s">
        <v>947</v>
      </c>
      <c r="G233" s="489" t="s">
        <v>114</v>
      </c>
      <c r="H233" s="489" t="s">
        <v>79</v>
      </c>
      <c r="I233" s="468"/>
      <c r="J233" s="489" t="s">
        <v>913</v>
      </c>
      <c r="K233" s="492">
        <v>100</v>
      </c>
      <c r="L233" s="495" t="s">
        <v>976</v>
      </c>
      <c r="M233" s="468">
        <v>154</v>
      </c>
      <c r="N233" s="468">
        <v>120</v>
      </c>
      <c r="O233" s="494">
        <f t="shared" si="9"/>
        <v>0.77922077922077926</v>
      </c>
      <c r="P233" s="494">
        <f t="shared" si="10"/>
        <v>0.77922077922077926</v>
      </c>
      <c r="Q233" s="786">
        <f t="shared" si="11"/>
        <v>0.77922077922077926</v>
      </c>
      <c r="R233" s="468"/>
      <c r="S233" s="24"/>
    </row>
    <row r="234" spans="1:19" x14ac:dyDescent="0.2">
      <c r="A234" s="239" t="s">
        <v>351</v>
      </c>
      <c r="B234" s="489" t="s">
        <v>1811</v>
      </c>
      <c r="C234" s="490" t="s">
        <v>1812</v>
      </c>
      <c r="D234" s="489" t="s">
        <v>117</v>
      </c>
      <c r="E234" s="489" t="s">
        <v>940</v>
      </c>
      <c r="F234" s="491" t="s">
        <v>124</v>
      </c>
      <c r="G234" s="489" t="s">
        <v>945</v>
      </c>
      <c r="H234" s="489" t="s">
        <v>79</v>
      </c>
      <c r="I234" s="468"/>
      <c r="J234" s="489" t="s">
        <v>913</v>
      </c>
      <c r="K234" s="492">
        <v>33</v>
      </c>
      <c r="L234" s="495"/>
      <c r="M234" s="468">
        <v>154</v>
      </c>
      <c r="N234" s="468">
        <v>0</v>
      </c>
      <c r="O234" s="494">
        <f t="shared" si="9"/>
        <v>0</v>
      </c>
      <c r="P234" s="494">
        <f t="shared" si="10"/>
        <v>0</v>
      </c>
      <c r="Q234" s="786">
        <f t="shared" si="11"/>
        <v>0</v>
      </c>
      <c r="R234" s="468"/>
      <c r="S234" s="24"/>
    </row>
    <row r="235" spans="1:19" ht="63.75" x14ac:dyDescent="0.2">
      <c r="A235" s="239" t="s">
        <v>351</v>
      </c>
      <c r="B235" s="489" t="s">
        <v>1813</v>
      </c>
      <c r="C235" s="490" t="s">
        <v>1814</v>
      </c>
      <c r="D235" s="489" t="s">
        <v>112</v>
      </c>
      <c r="E235" s="489" t="s">
        <v>943</v>
      </c>
      <c r="F235" s="491" t="s">
        <v>944</v>
      </c>
      <c r="G235" s="489" t="s">
        <v>114</v>
      </c>
      <c r="H235" s="489" t="s">
        <v>79</v>
      </c>
      <c r="I235" s="468"/>
      <c r="J235" s="489" t="s">
        <v>913</v>
      </c>
      <c r="K235" s="492">
        <v>100</v>
      </c>
      <c r="L235" s="495" t="s">
        <v>976</v>
      </c>
      <c r="M235" s="468">
        <v>12</v>
      </c>
      <c r="N235" s="468">
        <v>10</v>
      </c>
      <c r="O235" s="494">
        <f t="shared" si="9"/>
        <v>0.83333333333333337</v>
      </c>
      <c r="P235" s="494">
        <f t="shared" si="10"/>
        <v>0.83333333333333337</v>
      </c>
      <c r="Q235" s="786">
        <f t="shared" si="11"/>
        <v>0.83333333333333337</v>
      </c>
      <c r="R235" s="468"/>
      <c r="S235" s="24"/>
    </row>
    <row r="236" spans="1:19" ht="25.5" x14ac:dyDescent="0.2">
      <c r="A236" s="239" t="s">
        <v>351</v>
      </c>
      <c r="B236" s="489" t="s">
        <v>1813</v>
      </c>
      <c r="C236" s="490" t="s">
        <v>1814</v>
      </c>
      <c r="D236" s="489" t="s">
        <v>112</v>
      </c>
      <c r="E236" s="489" t="s">
        <v>943</v>
      </c>
      <c r="F236" s="491" t="s">
        <v>124</v>
      </c>
      <c r="G236" s="489" t="s">
        <v>945</v>
      </c>
      <c r="H236" s="489" t="s">
        <v>79</v>
      </c>
      <c r="I236" s="468"/>
      <c r="J236" s="489" t="s">
        <v>913</v>
      </c>
      <c r="K236" s="492">
        <v>33</v>
      </c>
      <c r="L236" s="495"/>
      <c r="M236" s="468">
        <v>12</v>
      </c>
      <c r="N236" s="468">
        <v>0</v>
      </c>
      <c r="O236" s="494">
        <f t="shared" si="9"/>
        <v>0</v>
      </c>
      <c r="P236" s="494">
        <f t="shared" si="10"/>
        <v>0</v>
      </c>
      <c r="Q236" s="786">
        <f t="shared" si="11"/>
        <v>0</v>
      </c>
      <c r="R236" s="468"/>
      <c r="S236" s="24"/>
    </row>
    <row r="237" spans="1:19" x14ac:dyDescent="0.2">
      <c r="A237" s="239" t="s">
        <v>351</v>
      </c>
      <c r="B237" s="489" t="s">
        <v>1813</v>
      </c>
      <c r="C237" s="490" t="s">
        <v>1814</v>
      </c>
      <c r="D237" s="489" t="s">
        <v>112</v>
      </c>
      <c r="E237" s="489" t="s">
        <v>115</v>
      </c>
      <c r="F237" s="491" t="s">
        <v>944</v>
      </c>
      <c r="G237" s="489" t="s">
        <v>945</v>
      </c>
      <c r="H237" s="489" t="s">
        <v>79</v>
      </c>
      <c r="I237" s="468"/>
      <c r="J237" s="489" t="s">
        <v>913</v>
      </c>
      <c r="K237" s="492">
        <v>25</v>
      </c>
      <c r="L237" s="495"/>
      <c r="M237" s="468">
        <v>12</v>
      </c>
      <c r="N237" s="468">
        <v>1</v>
      </c>
      <c r="O237" s="494">
        <f t="shared" si="9"/>
        <v>8.3333333333333329E-2</v>
      </c>
      <c r="P237" s="494">
        <f t="shared" si="10"/>
        <v>8.3333333333333329E-2</v>
      </c>
      <c r="Q237" s="786">
        <f t="shared" si="11"/>
        <v>0.33333333333333331</v>
      </c>
      <c r="R237" s="468"/>
      <c r="S237" s="24"/>
    </row>
    <row r="238" spans="1:19" x14ac:dyDescent="0.2">
      <c r="A238" s="239" t="s">
        <v>351</v>
      </c>
      <c r="B238" s="489" t="s">
        <v>1813</v>
      </c>
      <c r="C238" s="490" t="s">
        <v>1814</v>
      </c>
      <c r="D238" s="489" t="s">
        <v>112</v>
      </c>
      <c r="E238" s="489" t="s">
        <v>115</v>
      </c>
      <c r="F238" s="491" t="s">
        <v>124</v>
      </c>
      <c r="G238" s="489" t="s">
        <v>945</v>
      </c>
      <c r="H238" s="489" t="s">
        <v>79</v>
      </c>
      <c r="I238" s="468"/>
      <c r="J238" s="489" t="s">
        <v>913</v>
      </c>
      <c r="K238" s="492">
        <v>33</v>
      </c>
      <c r="L238" s="495"/>
      <c r="M238" s="468">
        <v>12</v>
      </c>
      <c r="N238" s="468">
        <v>3</v>
      </c>
      <c r="O238" s="494">
        <f t="shared" si="9"/>
        <v>0.25</v>
      </c>
      <c r="P238" s="494">
        <f t="shared" si="10"/>
        <v>0.25</v>
      </c>
      <c r="Q238" s="786">
        <f t="shared" si="11"/>
        <v>0.75757575757575757</v>
      </c>
      <c r="R238" s="468"/>
      <c r="S238" s="24"/>
    </row>
    <row r="239" spans="1:19" ht="63.75" x14ac:dyDescent="0.2">
      <c r="A239" s="239" t="s">
        <v>351</v>
      </c>
      <c r="B239" s="489" t="s">
        <v>1813</v>
      </c>
      <c r="C239" s="490" t="s">
        <v>1814</v>
      </c>
      <c r="D239" s="489" t="s">
        <v>112</v>
      </c>
      <c r="E239" s="489" t="s">
        <v>946</v>
      </c>
      <c r="F239" s="491" t="s">
        <v>947</v>
      </c>
      <c r="G239" s="489" t="s">
        <v>945</v>
      </c>
      <c r="H239" s="489" t="s">
        <v>79</v>
      </c>
      <c r="I239" s="468"/>
      <c r="J239" s="489" t="s">
        <v>913</v>
      </c>
      <c r="K239" s="492">
        <v>25</v>
      </c>
      <c r="L239" s="495" t="s">
        <v>977</v>
      </c>
      <c r="M239" s="468">
        <v>12</v>
      </c>
      <c r="N239" s="468">
        <v>1</v>
      </c>
      <c r="O239" s="494">
        <f t="shared" si="9"/>
        <v>8.3333333333333329E-2</v>
      </c>
      <c r="P239" s="494">
        <f t="shared" si="10"/>
        <v>8.3333333333333329E-2</v>
      </c>
      <c r="Q239" s="786">
        <f t="shared" si="11"/>
        <v>0.33333333333333331</v>
      </c>
      <c r="R239" s="468"/>
      <c r="S239" s="24"/>
    </row>
    <row r="240" spans="1:19" x14ac:dyDescent="0.2">
      <c r="A240" s="239" t="s">
        <v>351</v>
      </c>
      <c r="B240" s="489" t="s">
        <v>1813</v>
      </c>
      <c r="C240" s="490" t="s">
        <v>1814</v>
      </c>
      <c r="D240" s="489" t="s">
        <v>112</v>
      </c>
      <c r="E240" s="489" t="s">
        <v>946</v>
      </c>
      <c r="F240" s="491" t="s">
        <v>948</v>
      </c>
      <c r="G240" s="489" t="s">
        <v>945</v>
      </c>
      <c r="H240" s="489" t="s">
        <v>79</v>
      </c>
      <c r="I240" s="468"/>
      <c r="J240" s="489" t="s">
        <v>913</v>
      </c>
      <c r="K240" s="492">
        <v>33</v>
      </c>
      <c r="L240" s="495"/>
      <c r="M240" s="468">
        <v>12</v>
      </c>
      <c r="N240" s="468">
        <v>3</v>
      </c>
      <c r="O240" s="494">
        <f t="shared" si="9"/>
        <v>0.25</v>
      </c>
      <c r="P240" s="494">
        <f t="shared" si="10"/>
        <v>0.25</v>
      </c>
      <c r="Q240" s="786">
        <f t="shared" si="11"/>
        <v>0.75757575757575757</v>
      </c>
      <c r="R240" s="468"/>
      <c r="S240" s="24"/>
    </row>
    <row r="241" spans="1:19" ht="25.5" x14ac:dyDescent="0.2">
      <c r="A241" s="239" t="s">
        <v>351</v>
      </c>
      <c r="B241" s="489" t="s">
        <v>1813</v>
      </c>
      <c r="C241" s="490" t="s">
        <v>1814</v>
      </c>
      <c r="D241" s="489" t="s">
        <v>112</v>
      </c>
      <c r="E241" s="489" t="s">
        <v>949</v>
      </c>
      <c r="F241" s="491" t="s">
        <v>947</v>
      </c>
      <c r="G241" s="489" t="s">
        <v>945</v>
      </c>
      <c r="H241" s="489" t="s">
        <v>79</v>
      </c>
      <c r="I241" s="468"/>
      <c r="J241" s="489" t="s">
        <v>913</v>
      </c>
      <c r="K241" s="492">
        <v>25</v>
      </c>
      <c r="L241" s="495"/>
      <c r="M241" s="468">
        <v>12</v>
      </c>
      <c r="N241" s="468">
        <v>1</v>
      </c>
      <c r="O241" s="494">
        <f t="shared" si="9"/>
        <v>8.3333333333333329E-2</v>
      </c>
      <c r="P241" s="494">
        <f t="shared" si="10"/>
        <v>8.3333333333333329E-2</v>
      </c>
      <c r="Q241" s="786">
        <f t="shared" si="11"/>
        <v>0.33333333333333331</v>
      </c>
      <c r="R241" s="468"/>
      <c r="S241" s="24"/>
    </row>
    <row r="242" spans="1:19" x14ac:dyDescent="0.2">
      <c r="A242" s="239" t="s">
        <v>351</v>
      </c>
      <c r="B242" s="489" t="s">
        <v>1813</v>
      </c>
      <c r="C242" s="490" t="s">
        <v>1814</v>
      </c>
      <c r="D242" s="489" t="s">
        <v>112</v>
      </c>
      <c r="E242" s="489" t="s">
        <v>125</v>
      </c>
      <c r="F242" s="491" t="s">
        <v>947</v>
      </c>
      <c r="G242" s="489" t="s">
        <v>945</v>
      </c>
      <c r="H242" s="489" t="s">
        <v>79</v>
      </c>
      <c r="I242" s="468"/>
      <c r="J242" s="489" t="s">
        <v>913</v>
      </c>
      <c r="K242" s="492">
        <v>25</v>
      </c>
      <c r="L242" s="495"/>
      <c r="M242" s="468">
        <v>12</v>
      </c>
      <c r="N242" s="468">
        <v>1</v>
      </c>
      <c r="O242" s="494">
        <f t="shared" si="9"/>
        <v>8.3333333333333329E-2</v>
      </c>
      <c r="P242" s="494">
        <f t="shared" si="10"/>
        <v>8.3333333333333329E-2</v>
      </c>
      <c r="Q242" s="786">
        <f t="shared" si="11"/>
        <v>0.33333333333333331</v>
      </c>
      <c r="R242" s="468"/>
      <c r="S242" s="24"/>
    </row>
    <row r="243" spans="1:19" x14ac:dyDescent="0.2">
      <c r="A243" s="239" t="s">
        <v>351</v>
      </c>
      <c r="B243" s="489" t="s">
        <v>1813</v>
      </c>
      <c r="C243" s="490" t="s">
        <v>1814</v>
      </c>
      <c r="D243" s="489" t="s">
        <v>112</v>
      </c>
      <c r="E243" s="489" t="s">
        <v>950</v>
      </c>
      <c r="F243" s="491" t="s">
        <v>947</v>
      </c>
      <c r="G243" s="489" t="s">
        <v>114</v>
      </c>
      <c r="H243" s="489" t="s">
        <v>79</v>
      </c>
      <c r="I243" s="468"/>
      <c r="J243" s="489" t="s">
        <v>913</v>
      </c>
      <c r="K243" s="492">
        <v>100</v>
      </c>
      <c r="L243" s="495"/>
      <c r="M243" s="468">
        <v>12</v>
      </c>
      <c r="N243" s="468">
        <v>10</v>
      </c>
      <c r="O243" s="494">
        <f t="shared" si="9"/>
        <v>0.83333333333333337</v>
      </c>
      <c r="P243" s="494">
        <f t="shared" si="10"/>
        <v>0.83333333333333337</v>
      </c>
      <c r="Q243" s="786">
        <f t="shared" si="11"/>
        <v>0.83333333333333337</v>
      </c>
      <c r="R243" s="468"/>
      <c r="S243" s="24"/>
    </row>
    <row r="244" spans="1:19" x14ac:dyDescent="0.2">
      <c r="A244" s="239" t="s">
        <v>351</v>
      </c>
      <c r="B244" s="489" t="s">
        <v>1813</v>
      </c>
      <c r="C244" s="490" t="s">
        <v>1814</v>
      </c>
      <c r="D244" s="489" t="s">
        <v>112</v>
      </c>
      <c r="E244" s="489" t="s">
        <v>951</v>
      </c>
      <c r="F244" s="491" t="s">
        <v>947</v>
      </c>
      <c r="G244" s="489" t="s">
        <v>114</v>
      </c>
      <c r="H244" s="489" t="s">
        <v>79</v>
      </c>
      <c r="I244" s="468"/>
      <c r="J244" s="489" t="s">
        <v>913</v>
      </c>
      <c r="K244" s="492">
        <v>100</v>
      </c>
      <c r="L244" s="495"/>
      <c r="M244" s="468">
        <v>12</v>
      </c>
      <c r="N244" s="468">
        <v>10</v>
      </c>
      <c r="O244" s="494">
        <f t="shared" si="9"/>
        <v>0.83333333333333337</v>
      </c>
      <c r="P244" s="494">
        <f t="shared" si="10"/>
        <v>0.83333333333333337</v>
      </c>
      <c r="Q244" s="786">
        <f t="shared" si="11"/>
        <v>0.83333333333333337</v>
      </c>
      <c r="R244" s="468"/>
      <c r="S244" s="24"/>
    </row>
    <row r="245" spans="1:19" ht="25.5" x14ac:dyDescent="0.2">
      <c r="A245" s="239" t="s">
        <v>351</v>
      </c>
      <c r="B245" s="489" t="s">
        <v>1813</v>
      </c>
      <c r="C245" s="490" t="s">
        <v>1814</v>
      </c>
      <c r="D245" s="489" t="s">
        <v>112</v>
      </c>
      <c r="E245" s="489" t="s">
        <v>952</v>
      </c>
      <c r="F245" s="491" t="s">
        <v>947</v>
      </c>
      <c r="G245" s="489" t="s">
        <v>945</v>
      </c>
      <c r="H245" s="489" t="s">
        <v>79</v>
      </c>
      <c r="I245" s="468"/>
      <c r="J245" s="489" t="s">
        <v>913</v>
      </c>
      <c r="K245" s="492">
        <v>25</v>
      </c>
      <c r="L245" s="495"/>
      <c r="M245" s="468">
        <v>12</v>
      </c>
      <c r="N245" s="468">
        <v>1</v>
      </c>
      <c r="O245" s="494">
        <f t="shared" si="9"/>
        <v>8.3333333333333329E-2</v>
      </c>
      <c r="P245" s="494">
        <f t="shared" si="10"/>
        <v>8.3333333333333329E-2</v>
      </c>
      <c r="Q245" s="786">
        <f t="shared" si="11"/>
        <v>0.33333333333333331</v>
      </c>
      <c r="R245" s="468"/>
      <c r="S245" s="24"/>
    </row>
    <row r="246" spans="1:19" ht="25.5" x14ac:dyDescent="0.2">
      <c r="A246" s="239" t="s">
        <v>351</v>
      </c>
      <c r="B246" s="489" t="s">
        <v>1813</v>
      </c>
      <c r="C246" s="490" t="s">
        <v>1814</v>
      </c>
      <c r="D246" s="489" t="s">
        <v>112</v>
      </c>
      <c r="E246" s="489" t="s">
        <v>953</v>
      </c>
      <c r="F246" s="491" t="s">
        <v>947</v>
      </c>
      <c r="G246" s="489" t="s">
        <v>945</v>
      </c>
      <c r="H246" s="489" t="s">
        <v>79</v>
      </c>
      <c r="I246" s="468"/>
      <c r="J246" s="489" t="s">
        <v>913</v>
      </c>
      <c r="K246" s="492">
        <v>25</v>
      </c>
      <c r="L246" s="495"/>
      <c r="M246" s="468">
        <v>12</v>
      </c>
      <c r="N246" s="468">
        <v>1</v>
      </c>
      <c r="O246" s="494">
        <f t="shared" si="9"/>
        <v>8.3333333333333329E-2</v>
      </c>
      <c r="P246" s="494">
        <f t="shared" si="10"/>
        <v>8.3333333333333329E-2</v>
      </c>
      <c r="Q246" s="786">
        <f t="shared" si="11"/>
        <v>0.33333333333333331</v>
      </c>
      <c r="R246" s="468"/>
      <c r="S246" s="24"/>
    </row>
    <row r="247" spans="1:19" x14ac:dyDescent="0.2">
      <c r="A247" s="239" t="s">
        <v>351</v>
      </c>
      <c r="B247" s="489" t="s">
        <v>1813</v>
      </c>
      <c r="C247" s="490" t="s">
        <v>1814</v>
      </c>
      <c r="D247" s="489" t="s">
        <v>112</v>
      </c>
      <c r="E247" s="489" t="s">
        <v>954</v>
      </c>
      <c r="F247" s="491" t="s">
        <v>955</v>
      </c>
      <c r="G247" s="489" t="s">
        <v>114</v>
      </c>
      <c r="H247" s="489" t="s">
        <v>79</v>
      </c>
      <c r="I247" s="468"/>
      <c r="J247" s="489" t="s">
        <v>913</v>
      </c>
      <c r="K247" s="492">
        <v>100</v>
      </c>
      <c r="L247" s="495"/>
      <c r="M247" s="468">
        <v>12</v>
      </c>
      <c r="N247" s="468">
        <v>12</v>
      </c>
      <c r="O247" s="494">
        <f t="shared" si="9"/>
        <v>1</v>
      </c>
      <c r="P247" s="494">
        <f t="shared" si="10"/>
        <v>1</v>
      </c>
      <c r="Q247" s="786">
        <f t="shared" si="11"/>
        <v>1</v>
      </c>
      <c r="R247" s="468"/>
      <c r="S247" s="24"/>
    </row>
    <row r="248" spans="1:19" ht="25.5" x14ac:dyDescent="0.2">
      <c r="A248" s="239" t="s">
        <v>351</v>
      </c>
      <c r="B248" s="489" t="s">
        <v>1813</v>
      </c>
      <c r="C248" s="490" t="s">
        <v>1814</v>
      </c>
      <c r="D248" s="489" t="s">
        <v>112</v>
      </c>
      <c r="E248" s="489" t="s">
        <v>956</v>
      </c>
      <c r="F248" s="491" t="s">
        <v>955</v>
      </c>
      <c r="G248" s="489" t="s">
        <v>114</v>
      </c>
      <c r="H248" s="489" t="s">
        <v>79</v>
      </c>
      <c r="I248" s="468"/>
      <c r="J248" s="489" t="s">
        <v>913</v>
      </c>
      <c r="K248" s="492">
        <v>100</v>
      </c>
      <c r="L248" s="495"/>
      <c r="M248" s="468">
        <v>12</v>
      </c>
      <c r="N248" s="468">
        <v>12</v>
      </c>
      <c r="O248" s="494">
        <f t="shared" si="9"/>
        <v>1</v>
      </c>
      <c r="P248" s="494">
        <f t="shared" si="10"/>
        <v>1</v>
      </c>
      <c r="Q248" s="786">
        <f t="shared" si="11"/>
        <v>1</v>
      </c>
      <c r="R248" s="468"/>
      <c r="S248" s="24"/>
    </row>
    <row r="249" spans="1:19" ht="25.5" x14ac:dyDescent="0.2">
      <c r="A249" s="239" t="s">
        <v>351</v>
      </c>
      <c r="B249" s="489" t="s">
        <v>1813</v>
      </c>
      <c r="C249" s="490" t="s">
        <v>1814</v>
      </c>
      <c r="D249" s="489" t="s">
        <v>112</v>
      </c>
      <c r="E249" s="489" t="s">
        <v>957</v>
      </c>
      <c r="F249" s="491" t="s">
        <v>124</v>
      </c>
      <c r="G249" s="489" t="s">
        <v>945</v>
      </c>
      <c r="H249" s="489" t="s">
        <v>79</v>
      </c>
      <c r="I249" s="468"/>
      <c r="J249" s="489" t="s">
        <v>913</v>
      </c>
      <c r="K249" s="492">
        <v>33</v>
      </c>
      <c r="L249" s="495"/>
      <c r="M249" s="468">
        <v>12</v>
      </c>
      <c r="N249" s="468">
        <v>3</v>
      </c>
      <c r="O249" s="494">
        <f t="shared" si="9"/>
        <v>0.25</v>
      </c>
      <c r="P249" s="494">
        <f t="shared" si="10"/>
        <v>0.25</v>
      </c>
      <c r="Q249" s="786">
        <f t="shared" si="11"/>
        <v>0.75757575757575757</v>
      </c>
      <c r="R249" s="468"/>
      <c r="S249" s="24"/>
    </row>
    <row r="250" spans="1:19" x14ac:dyDescent="0.2">
      <c r="A250" s="239" t="s">
        <v>351</v>
      </c>
      <c r="B250" s="489" t="s">
        <v>1813</v>
      </c>
      <c r="C250" s="490" t="s">
        <v>1814</v>
      </c>
      <c r="D250" s="489" t="s">
        <v>112</v>
      </c>
      <c r="E250" s="489" t="s">
        <v>958</v>
      </c>
      <c r="F250" s="491" t="s">
        <v>124</v>
      </c>
      <c r="G250" s="489" t="s">
        <v>945</v>
      </c>
      <c r="H250" s="489" t="s">
        <v>79</v>
      </c>
      <c r="I250" s="468"/>
      <c r="J250" s="489" t="s">
        <v>913</v>
      </c>
      <c r="K250" s="492">
        <v>33</v>
      </c>
      <c r="L250" s="495"/>
      <c r="M250" s="468">
        <v>12</v>
      </c>
      <c r="N250" s="468">
        <v>3</v>
      </c>
      <c r="O250" s="494">
        <f t="shared" si="9"/>
        <v>0.25</v>
      </c>
      <c r="P250" s="494">
        <f t="shared" si="10"/>
        <v>0.25</v>
      </c>
      <c r="Q250" s="786">
        <f t="shared" si="11"/>
        <v>0.75757575757575757</v>
      </c>
      <c r="R250" s="468"/>
      <c r="S250" s="24"/>
    </row>
    <row r="251" spans="1:19" x14ac:dyDescent="0.2">
      <c r="A251" s="239" t="s">
        <v>351</v>
      </c>
      <c r="B251" s="489" t="s">
        <v>1813</v>
      </c>
      <c r="C251" s="490" t="s">
        <v>1814</v>
      </c>
      <c r="D251" s="489" t="s">
        <v>112</v>
      </c>
      <c r="E251" s="489" t="s">
        <v>959</v>
      </c>
      <c r="F251" s="491" t="s">
        <v>124</v>
      </c>
      <c r="G251" s="489" t="s">
        <v>945</v>
      </c>
      <c r="H251" s="489" t="s">
        <v>79</v>
      </c>
      <c r="I251" s="468"/>
      <c r="J251" s="489" t="s">
        <v>913</v>
      </c>
      <c r="K251" s="492">
        <v>33</v>
      </c>
      <c r="L251" s="495"/>
      <c r="M251" s="468">
        <v>12</v>
      </c>
      <c r="N251" s="468">
        <v>3</v>
      </c>
      <c r="O251" s="494">
        <f t="shared" si="9"/>
        <v>0.25</v>
      </c>
      <c r="P251" s="494">
        <f t="shared" si="10"/>
        <v>0.25</v>
      </c>
      <c r="Q251" s="786">
        <f t="shared" si="11"/>
        <v>0.75757575757575757</v>
      </c>
      <c r="R251" s="468"/>
      <c r="S251" s="24"/>
    </row>
    <row r="252" spans="1:19" ht="25.5" x14ac:dyDescent="0.2">
      <c r="A252" s="239" t="s">
        <v>351</v>
      </c>
      <c r="B252" s="489" t="s">
        <v>1813</v>
      </c>
      <c r="C252" s="490" t="s">
        <v>1814</v>
      </c>
      <c r="D252" s="489" t="s">
        <v>112</v>
      </c>
      <c r="E252" s="489" t="s">
        <v>960</v>
      </c>
      <c r="F252" s="491" t="s">
        <v>124</v>
      </c>
      <c r="G252" s="489" t="s">
        <v>945</v>
      </c>
      <c r="H252" s="489" t="s">
        <v>79</v>
      </c>
      <c r="I252" s="468"/>
      <c r="J252" s="489" t="s">
        <v>913</v>
      </c>
      <c r="K252" s="492">
        <v>33</v>
      </c>
      <c r="L252" s="495"/>
      <c r="M252" s="468">
        <v>12</v>
      </c>
      <c r="N252" s="468">
        <v>3</v>
      </c>
      <c r="O252" s="494">
        <f t="shared" si="9"/>
        <v>0.25</v>
      </c>
      <c r="P252" s="494">
        <f t="shared" si="10"/>
        <v>0.25</v>
      </c>
      <c r="Q252" s="786">
        <f t="shared" si="11"/>
        <v>0.75757575757575757</v>
      </c>
      <c r="R252" s="468"/>
      <c r="S252" s="24"/>
    </row>
    <row r="253" spans="1:19" x14ac:dyDescent="0.2">
      <c r="A253" s="239" t="s">
        <v>351</v>
      </c>
      <c r="B253" s="489" t="s">
        <v>1813</v>
      </c>
      <c r="C253" s="490" t="s">
        <v>1814</v>
      </c>
      <c r="D253" s="489" t="s">
        <v>112</v>
      </c>
      <c r="E253" s="489" t="s">
        <v>961</v>
      </c>
      <c r="F253" s="491" t="s">
        <v>124</v>
      </c>
      <c r="G253" s="489" t="s">
        <v>945</v>
      </c>
      <c r="H253" s="489" t="s">
        <v>79</v>
      </c>
      <c r="I253" s="468"/>
      <c r="J253" s="489" t="s">
        <v>913</v>
      </c>
      <c r="K253" s="492">
        <v>33</v>
      </c>
      <c r="L253" s="495"/>
      <c r="M253" s="468">
        <v>12</v>
      </c>
      <c r="N253" s="468">
        <v>3</v>
      </c>
      <c r="O253" s="494">
        <f t="shared" si="9"/>
        <v>0.25</v>
      </c>
      <c r="P253" s="494">
        <f t="shared" si="10"/>
        <v>0.25</v>
      </c>
      <c r="Q253" s="786">
        <f t="shared" si="11"/>
        <v>0.75757575757575757</v>
      </c>
      <c r="R253" s="468"/>
      <c r="S253" s="24"/>
    </row>
    <row r="254" spans="1:19" x14ac:dyDescent="0.2">
      <c r="A254" s="239" t="s">
        <v>351</v>
      </c>
      <c r="B254" s="489" t="s">
        <v>1813</v>
      </c>
      <c r="C254" s="490" t="s">
        <v>1814</v>
      </c>
      <c r="D254" s="489" t="s">
        <v>112</v>
      </c>
      <c r="E254" s="489" t="s">
        <v>962</v>
      </c>
      <c r="F254" s="491" t="s">
        <v>124</v>
      </c>
      <c r="G254" s="489" t="s">
        <v>945</v>
      </c>
      <c r="H254" s="489" t="s">
        <v>79</v>
      </c>
      <c r="I254" s="468"/>
      <c r="J254" s="489" t="s">
        <v>913</v>
      </c>
      <c r="K254" s="492">
        <v>33</v>
      </c>
      <c r="L254" s="495"/>
      <c r="M254" s="468">
        <v>12</v>
      </c>
      <c r="N254" s="468">
        <v>3</v>
      </c>
      <c r="O254" s="494">
        <f t="shared" si="9"/>
        <v>0.25</v>
      </c>
      <c r="P254" s="494">
        <f t="shared" si="10"/>
        <v>0.25</v>
      </c>
      <c r="Q254" s="786">
        <f t="shared" si="11"/>
        <v>0.75757575757575757</v>
      </c>
      <c r="R254" s="468"/>
      <c r="S254" s="24"/>
    </row>
    <row r="255" spans="1:19" x14ac:dyDescent="0.2">
      <c r="A255" s="239" t="s">
        <v>351</v>
      </c>
      <c r="B255" s="489" t="s">
        <v>1813</v>
      </c>
      <c r="C255" s="490" t="s">
        <v>1814</v>
      </c>
      <c r="D255" s="489" t="s">
        <v>112</v>
      </c>
      <c r="E255" s="489" t="s">
        <v>963</v>
      </c>
      <c r="F255" s="491" t="s">
        <v>947</v>
      </c>
      <c r="G255" s="489" t="s">
        <v>114</v>
      </c>
      <c r="H255" s="489" t="s">
        <v>79</v>
      </c>
      <c r="I255" s="468"/>
      <c r="J255" s="489" t="s">
        <v>913</v>
      </c>
      <c r="K255" s="492">
        <v>100</v>
      </c>
      <c r="L255" s="495"/>
      <c r="M255" s="468">
        <v>12</v>
      </c>
      <c r="N255" s="468">
        <v>10</v>
      </c>
      <c r="O255" s="494">
        <f t="shared" si="9"/>
        <v>0.83333333333333337</v>
      </c>
      <c r="P255" s="494">
        <f t="shared" si="10"/>
        <v>0.83333333333333337</v>
      </c>
      <c r="Q255" s="786">
        <f t="shared" si="11"/>
        <v>0.83333333333333337</v>
      </c>
      <c r="R255" s="468"/>
      <c r="S255" s="24"/>
    </row>
    <row r="256" spans="1:19" x14ac:dyDescent="0.2">
      <c r="A256" s="239" t="s">
        <v>351</v>
      </c>
      <c r="B256" s="489" t="s">
        <v>1813</v>
      </c>
      <c r="C256" s="490" t="s">
        <v>1814</v>
      </c>
      <c r="D256" s="489" t="s">
        <v>112</v>
      </c>
      <c r="E256" s="489" t="s">
        <v>964</v>
      </c>
      <c r="F256" s="491" t="s">
        <v>947</v>
      </c>
      <c r="G256" s="489" t="s">
        <v>114</v>
      </c>
      <c r="H256" s="489" t="s">
        <v>79</v>
      </c>
      <c r="I256" s="468"/>
      <c r="J256" s="489" t="s">
        <v>913</v>
      </c>
      <c r="K256" s="492">
        <v>100</v>
      </c>
      <c r="L256" s="495"/>
      <c r="M256" s="468">
        <v>12</v>
      </c>
      <c r="N256" s="468">
        <v>10</v>
      </c>
      <c r="O256" s="494">
        <f t="shared" si="9"/>
        <v>0.83333333333333337</v>
      </c>
      <c r="P256" s="494">
        <f t="shared" si="10"/>
        <v>0.83333333333333337</v>
      </c>
      <c r="Q256" s="786">
        <f t="shared" si="11"/>
        <v>0.83333333333333337</v>
      </c>
      <c r="R256" s="468"/>
      <c r="S256" s="24"/>
    </row>
    <row r="257" spans="1:19" ht="25.5" x14ac:dyDescent="0.2">
      <c r="A257" s="239" t="s">
        <v>351</v>
      </c>
      <c r="B257" s="489" t="s">
        <v>1813</v>
      </c>
      <c r="C257" s="490" t="s">
        <v>1814</v>
      </c>
      <c r="D257" s="489" t="s">
        <v>112</v>
      </c>
      <c r="E257" s="489" t="s">
        <v>965</v>
      </c>
      <c r="F257" s="491" t="s">
        <v>947</v>
      </c>
      <c r="G257" s="489" t="s">
        <v>114</v>
      </c>
      <c r="H257" s="489" t="s">
        <v>79</v>
      </c>
      <c r="I257" s="468"/>
      <c r="J257" s="489" t="s">
        <v>913</v>
      </c>
      <c r="K257" s="492">
        <v>100</v>
      </c>
      <c r="L257" s="495"/>
      <c r="M257" s="468">
        <v>12</v>
      </c>
      <c r="N257" s="468">
        <v>10</v>
      </c>
      <c r="O257" s="494">
        <f t="shared" si="9"/>
        <v>0.83333333333333337</v>
      </c>
      <c r="P257" s="494">
        <f t="shared" si="10"/>
        <v>0.83333333333333337</v>
      </c>
      <c r="Q257" s="786">
        <f t="shared" si="11"/>
        <v>0.83333333333333337</v>
      </c>
      <c r="R257" s="468"/>
      <c r="S257" s="24"/>
    </row>
    <row r="258" spans="1:19" ht="63.75" x14ac:dyDescent="0.2">
      <c r="A258" s="239" t="s">
        <v>351</v>
      </c>
      <c r="B258" s="489" t="s">
        <v>1813</v>
      </c>
      <c r="C258" s="490" t="s">
        <v>1814</v>
      </c>
      <c r="D258" s="489" t="s">
        <v>112</v>
      </c>
      <c r="E258" s="489" t="s">
        <v>966</v>
      </c>
      <c r="F258" s="491" t="s">
        <v>944</v>
      </c>
      <c r="G258" s="489" t="s">
        <v>114</v>
      </c>
      <c r="H258" s="489" t="s">
        <v>79</v>
      </c>
      <c r="I258" s="468"/>
      <c r="J258" s="489" t="s">
        <v>913</v>
      </c>
      <c r="K258" s="492">
        <v>100</v>
      </c>
      <c r="L258" s="495" t="s">
        <v>976</v>
      </c>
      <c r="M258" s="468">
        <v>12</v>
      </c>
      <c r="N258" s="468">
        <v>10</v>
      </c>
      <c r="O258" s="494">
        <f t="shared" si="9"/>
        <v>0.83333333333333337</v>
      </c>
      <c r="P258" s="494">
        <f t="shared" si="10"/>
        <v>0.83333333333333337</v>
      </c>
      <c r="Q258" s="786">
        <f t="shared" si="11"/>
        <v>0.83333333333333337</v>
      </c>
      <c r="R258" s="468"/>
      <c r="S258" s="24"/>
    </row>
    <row r="259" spans="1:19" x14ac:dyDescent="0.2">
      <c r="A259" s="239" t="s">
        <v>351</v>
      </c>
      <c r="B259" s="489" t="s">
        <v>1813</v>
      </c>
      <c r="C259" s="490" t="s">
        <v>1814</v>
      </c>
      <c r="D259" s="489" t="s">
        <v>112</v>
      </c>
      <c r="E259" s="489" t="s">
        <v>966</v>
      </c>
      <c r="F259" s="491" t="s">
        <v>124</v>
      </c>
      <c r="G259" s="489" t="s">
        <v>945</v>
      </c>
      <c r="H259" s="489" t="s">
        <v>79</v>
      </c>
      <c r="I259" s="468"/>
      <c r="J259" s="489" t="s">
        <v>913</v>
      </c>
      <c r="K259" s="492">
        <v>33</v>
      </c>
      <c r="L259" s="495"/>
      <c r="M259" s="468">
        <v>12</v>
      </c>
      <c r="N259" s="468">
        <v>3</v>
      </c>
      <c r="O259" s="494">
        <f t="shared" si="9"/>
        <v>0.25</v>
      </c>
      <c r="P259" s="494">
        <f t="shared" si="10"/>
        <v>0.25</v>
      </c>
      <c r="Q259" s="786">
        <f t="shared" si="11"/>
        <v>0.75757575757575757</v>
      </c>
      <c r="R259" s="468"/>
      <c r="S259" s="24"/>
    </row>
    <row r="260" spans="1:19" x14ac:dyDescent="0.2">
      <c r="A260" s="239" t="s">
        <v>351</v>
      </c>
      <c r="B260" s="489" t="s">
        <v>1813</v>
      </c>
      <c r="C260" s="490" t="s">
        <v>1814</v>
      </c>
      <c r="D260" s="489" t="s">
        <v>112</v>
      </c>
      <c r="E260" s="489" t="s">
        <v>967</v>
      </c>
      <c r="F260" s="491" t="s">
        <v>947</v>
      </c>
      <c r="G260" s="489" t="s">
        <v>945</v>
      </c>
      <c r="H260" s="489" t="s">
        <v>79</v>
      </c>
      <c r="I260" s="468"/>
      <c r="J260" s="489" t="s">
        <v>913</v>
      </c>
      <c r="K260" s="492">
        <v>25</v>
      </c>
      <c r="L260" s="495"/>
      <c r="M260" s="468">
        <v>12</v>
      </c>
      <c r="N260" s="468">
        <v>1</v>
      </c>
      <c r="O260" s="494">
        <f t="shared" si="9"/>
        <v>8.3333333333333329E-2</v>
      </c>
      <c r="P260" s="494">
        <f t="shared" si="10"/>
        <v>8.3333333333333329E-2</v>
      </c>
      <c r="Q260" s="786">
        <f t="shared" si="11"/>
        <v>0.33333333333333331</v>
      </c>
      <c r="R260" s="468"/>
      <c r="S260" s="24"/>
    </row>
    <row r="261" spans="1:19" ht="51" x14ac:dyDescent="0.2">
      <c r="A261" s="239" t="s">
        <v>351</v>
      </c>
      <c r="B261" s="489" t="s">
        <v>1813</v>
      </c>
      <c r="C261" s="490" t="s">
        <v>1814</v>
      </c>
      <c r="D261" s="489" t="s">
        <v>112</v>
      </c>
      <c r="E261" s="489" t="s">
        <v>968</v>
      </c>
      <c r="F261" s="491" t="s">
        <v>947</v>
      </c>
      <c r="G261" s="489" t="s">
        <v>945</v>
      </c>
      <c r="H261" s="489" t="s">
        <v>79</v>
      </c>
      <c r="I261" s="468"/>
      <c r="J261" s="489" t="s">
        <v>913</v>
      </c>
      <c r="K261" s="492">
        <v>25</v>
      </c>
      <c r="L261" s="495"/>
      <c r="M261" s="468">
        <v>12</v>
      </c>
      <c r="N261" s="468">
        <v>1</v>
      </c>
      <c r="O261" s="494">
        <f t="shared" si="9"/>
        <v>8.3333333333333329E-2</v>
      </c>
      <c r="P261" s="494">
        <f t="shared" si="10"/>
        <v>8.3333333333333329E-2</v>
      </c>
      <c r="Q261" s="786">
        <f t="shared" si="11"/>
        <v>0.33333333333333331</v>
      </c>
      <c r="R261" s="468"/>
      <c r="S261" s="24"/>
    </row>
    <row r="262" spans="1:19" ht="51" x14ac:dyDescent="0.2">
      <c r="A262" s="239" t="s">
        <v>351</v>
      </c>
      <c r="B262" s="489" t="s">
        <v>1813</v>
      </c>
      <c r="C262" s="490" t="s">
        <v>1814</v>
      </c>
      <c r="D262" s="489" t="s">
        <v>112</v>
      </c>
      <c r="E262" s="489" t="s">
        <v>969</v>
      </c>
      <c r="F262" s="491" t="s">
        <v>947</v>
      </c>
      <c r="G262" s="489" t="s">
        <v>114</v>
      </c>
      <c r="H262" s="489" t="s">
        <v>79</v>
      </c>
      <c r="I262" s="468"/>
      <c r="J262" s="489" t="s">
        <v>913</v>
      </c>
      <c r="K262" s="492">
        <v>100</v>
      </c>
      <c r="L262" s="495"/>
      <c r="M262" s="468">
        <v>12</v>
      </c>
      <c r="N262" s="468">
        <v>10</v>
      </c>
      <c r="O262" s="494">
        <f t="shared" ref="O262:O272" si="12">N262/M262</f>
        <v>0.83333333333333337</v>
      </c>
      <c r="P262" s="494">
        <f t="shared" ref="P262:P272" si="13">O262</f>
        <v>0.83333333333333337</v>
      </c>
      <c r="Q262" s="786">
        <f t="shared" ref="Q262:Q272" si="14">N262/(M262*K262/100)</f>
        <v>0.83333333333333337</v>
      </c>
      <c r="R262" s="468"/>
      <c r="S262" s="24"/>
    </row>
    <row r="263" spans="1:19" ht="25.5" x14ac:dyDescent="0.2">
      <c r="A263" s="239" t="s">
        <v>351</v>
      </c>
      <c r="B263" s="489" t="s">
        <v>1813</v>
      </c>
      <c r="C263" s="490" t="s">
        <v>1814</v>
      </c>
      <c r="D263" s="489" t="s">
        <v>117</v>
      </c>
      <c r="E263" s="489" t="s">
        <v>970</v>
      </c>
      <c r="F263" s="491" t="s">
        <v>947</v>
      </c>
      <c r="G263" s="489" t="s">
        <v>114</v>
      </c>
      <c r="H263" s="489" t="s">
        <v>79</v>
      </c>
      <c r="I263" s="468"/>
      <c r="J263" s="489" t="s">
        <v>913</v>
      </c>
      <c r="K263" s="492">
        <v>100</v>
      </c>
      <c r="L263" s="495"/>
      <c r="M263" s="468">
        <v>12</v>
      </c>
      <c r="N263" s="468">
        <v>10</v>
      </c>
      <c r="O263" s="494">
        <f t="shared" si="12"/>
        <v>0.83333333333333337</v>
      </c>
      <c r="P263" s="494">
        <f t="shared" si="13"/>
        <v>0.83333333333333337</v>
      </c>
      <c r="Q263" s="786">
        <f t="shared" si="14"/>
        <v>0.83333333333333337</v>
      </c>
      <c r="R263" s="468"/>
      <c r="S263" s="24"/>
    </row>
    <row r="264" spans="1:19" x14ac:dyDescent="0.2">
      <c r="A264" s="239" t="s">
        <v>351</v>
      </c>
      <c r="B264" s="489" t="s">
        <v>1813</v>
      </c>
      <c r="C264" s="490" t="s">
        <v>1814</v>
      </c>
      <c r="D264" s="489" t="s">
        <v>117</v>
      </c>
      <c r="E264" s="489" t="s">
        <v>971</v>
      </c>
      <c r="F264" s="491" t="s">
        <v>947</v>
      </c>
      <c r="G264" s="489" t="s">
        <v>114</v>
      </c>
      <c r="H264" s="489" t="s">
        <v>79</v>
      </c>
      <c r="I264" s="468"/>
      <c r="J264" s="489" t="s">
        <v>913</v>
      </c>
      <c r="K264" s="492">
        <v>100</v>
      </c>
      <c r="L264" s="495"/>
      <c r="M264" s="468">
        <v>12</v>
      </c>
      <c r="N264" s="468">
        <v>10</v>
      </c>
      <c r="O264" s="494">
        <f t="shared" si="12"/>
        <v>0.83333333333333337</v>
      </c>
      <c r="P264" s="494">
        <f t="shared" si="13"/>
        <v>0.83333333333333337</v>
      </c>
      <c r="Q264" s="786">
        <f t="shared" si="14"/>
        <v>0.83333333333333337</v>
      </c>
      <c r="R264" s="468"/>
      <c r="S264" s="24"/>
    </row>
    <row r="265" spans="1:19" ht="25.5" x14ac:dyDescent="0.2">
      <c r="A265" s="239" t="s">
        <v>351</v>
      </c>
      <c r="B265" s="489" t="s">
        <v>1813</v>
      </c>
      <c r="C265" s="490" t="s">
        <v>1814</v>
      </c>
      <c r="D265" s="489" t="s">
        <v>117</v>
      </c>
      <c r="E265" s="489" t="s">
        <v>126</v>
      </c>
      <c r="F265" s="491" t="s">
        <v>947</v>
      </c>
      <c r="G265" s="489" t="s">
        <v>945</v>
      </c>
      <c r="H265" s="489" t="s">
        <v>79</v>
      </c>
      <c r="I265" s="468"/>
      <c r="J265" s="489" t="s">
        <v>913</v>
      </c>
      <c r="K265" s="492">
        <v>25</v>
      </c>
      <c r="L265" s="495"/>
      <c r="M265" s="468">
        <v>12</v>
      </c>
      <c r="N265" s="468">
        <v>1</v>
      </c>
      <c r="O265" s="494">
        <f t="shared" si="12"/>
        <v>8.3333333333333329E-2</v>
      </c>
      <c r="P265" s="494">
        <f t="shared" si="13"/>
        <v>8.3333333333333329E-2</v>
      </c>
      <c r="Q265" s="786">
        <f t="shared" si="14"/>
        <v>0.33333333333333331</v>
      </c>
      <c r="R265" s="468"/>
      <c r="S265" s="24"/>
    </row>
    <row r="266" spans="1:19" x14ac:dyDescent="0.2">
      <c r="A266" s="239" t="s">
        <v>351</v>
      </c>
      <c r="B266" s="489" t="s">
        <v>1813</v>
      </c>
      <c r="C266" s="490" t="s">
        <v>1814</v>
      </c>
      <c r="D266" s="489" t="s">
        <v>117</v>
      </c>
      <c r="E266" s="489" t="s">
        <v>972</v>
      </c>
      <c r="F266" s="491" t="s">
        <v>947</v>
      </c>
      <c r="G266" s="489" t="s">
        <v>945</v>
      </c>
      <c r="H266" s="489" t="s">
        <v>79</v>
      </c>
      <c r="I266" s="468"/>
      <c r="J266" s="489" t="s">
        <v>913</v>
      </c>
      <c r="K266" s="492">
        <v>25</v>
      </c>
      <c r="L266" s="495"/>
      <c r="M266" s="468">
        <v>12</v>
      </c>
      <c r="N266" s="468">
        <v>1</v>
      </c>
      <c r="O266" s="494">
        <f t="shared" si="12"/>
        <v>8.3333333333333329E-2</v>
      </c>
      <c r="P266" s="494">
        <f t="shared" si="13"/>
        <v>8.3333333333333329E-2</v>
      </c>
      <c r="Q266" s="786">
        <f t="shared" si="14"/>
        <v>0.33333333333333331</v>
      </c>
      <c r="R266" s="468"/>
      <c r="S266" s="24"/>
    </row>
    <row r="267" spans="1:19" ht="25.5" x14ac:dyDescent="0.2">
      <c r="A267" s="239" t="s">
        <v>351</v>
      </c>
      <c r="B267" s="489" t="s">
        <v>1813</v>
      </c>
      <c r="C267" s="490" t="s">
        <v>1814</v>
      </c>
      <c r="D267" s="489" t="s">
        <v>117</v>
      </c>
      <c r="E267" s="489" t="s">
        <v>973</v>
      </c>
      <c r="F267" s="491" t="s">
        <v>947</v>
      </c>
      <c r="G267" s="489" t="s">
        <v>945</v>
      </c>
      <c r="H267" s="489" t="s">
        <v>79</v>
      </c>
      <c r="I267" s="468"/>
      <c r="J267" s="489" t="s">
        <v>913</v>
      </c>
      <c r="K267" s="492">
        <v>25</v>
      </c>
      <c r="L267" s="495"/>
      <c r="M267" s="468">
        <v>12</v>
      </c>
      <c r="N267" s="468">
        <v>1</v>
      </c>
      <c r="O267" s="494">
        <f t="shared" si="12"/>
        <v>8.3333333333333329E-2</v>
      </c>
      <c r="P267" s="494">
        <f t="shared" si="13"/>
        <v>8.3333333333333329E-2</v>
      </c>
      <c r="Q267" s="786">
        <f t="shared" si="14"/>
        <v>0.33333333333333331</v>
      </c>
      <c r="R267" s="468"/>
      <c r="S267" s="24"/>
    </row>
    <row r="268" spans="1:19" ht="25.5" x14ac:dyDescent="0.2">
      <c r="A268" s="239" t="s">
        <v>351</v>
      </c>
      <c r="B268" s="489" t="s">
        <v>1813</v>
      </c>
      <c r="C268" s="490" t="s">
        <v>1814</v>
      </c>
      <c r="D268" s="489" t="s">
        <v>117</v>
      </c>
      <c r="E268" s="489" t="s">
        <v>974</v>
      </c>
      <c r="F268" s="491" t="s">
        <v>947</v>
      </c>
      <c r="G268" s="489" t="s">
        <v>945</v>
      </c>
      <c r="H268" s="489" t="s">
        <v>79</v>
      </c>
      <c r="I268" s="468"/>
      <c r="J268" s="489" t="s">
        <v>913</v>
      </c>
      <c r="K268" s="492">
        <v>25</v>
      </c>
      <c r="L268" s="495"/>
      <c r="M268" s="468">
        <v>12</v>
      </c>
      <c r="N268" s="468">
        <v>1</v>
      </c>
      <c r="O268" s="494">
        <f t="shared" si="12"/>
        <v>8.3333333333333329E-2</v>
      </c>
      <c r="P268" s="494">
        <f t="shared" si="13"/>
        <v>8.3333333333333329E-2</v>
      </c>
      <c r="Q268" s="786">
        <f t="shared" si="14"/>
        <v>0.33333333333333331</v>
      </c>
      <c r="R268" s="468"/>
      <c r="S268" s="24"/>
    </row>
    <row r="269" spans="1:19" ht="25.5" x14ac:dyDescent="0.2">
      <c r="A269" s="239" t="s">
        <v>351</v>
      </c>
      <c r="B269" s="489" t="s">
        <v>1813</v>
      </c>
      <c r="C269" s="490" t="s">
        <v>1814</v>
      </c>
      <c r="D269" s="489" t="s">
        <v>117</v>
      </c>
      <c r="E269" s="489" t="s">
        <v>975</v>
      </c>
      <c r="F269" s="491" t="s">
        <v>947</v>
      </c>
      <c r="G269" s="489" t="s">
        <v>114</v>
      </c>
      <c r="H269" s="489" t="s">
        <v>79</v>
      </c>
      <c r="I269" s="468"/>
      <c r="J269" s="489" t="s">
        <v>913</v>
      </c>
      <c r="K269" s="492">
        <v>100</v>
      </c>
      <c r="L269" s="495"/>
      <c r="M269" s="468">
        <v>12</v>
      </c>
      <c r="N269" s="468">
        <v>10</v>
      </c>
      <c r="O269" s="494">
        <f t="shared" si="12"/>
        <v>0.83333333333333337</v>
      </c>
      <c r="P269" s="494">
        <f t="shared" si="13"/>
        <v>0.83333333333333337</v>
      </c>
      <c r="Q269" s="786">
        <f t="shared" si="14"/>
        <v>0.83333333333333337</v>
      </c>
      <c r="R269" s="468"/>
      <c r="S269" s="24"/>
    </row>
    <row r="270" spans="1:19" ht="25.5" x14ac:dyDescent="0.2">
      <c r="A270" s="239" t="s">
        <v>351</v>
      </c>
      <c r="B270" s="489" t="s">
        <v>1813</v>
      </c>
      <c r="C270" s="490" t="s">
        <v>1814</v>
      </c>
      <c r="D270" s="489" t="s">
        <v>117</v>
      </c>
      <c r="E270" s="489" t="s">
        <v>975</v>
      </c>
      <c r="F270" s="491" t="s">
        <v>124</v>
      </c>
      <c r="G270" s="489" t="s">
        <v>945</v>
      </c>
      <c r="H270" s="489" t="s">
        <v>79</v>
      </c>
      <c r="I270" s="468"/>
      <c r="J270" s="489" t="s">
        <v>913</v>
      </c>
      <c r="K270" s="492">
        <v>33</v>
      </c>
      <c r="L270" s="495"/>
      <c r="M270" s="468">
        <v>12</v>
      </c>
      <c r="N270" s="468">
        <v>3</v>
      </c>
      <c r="O270" s="494">
        <f t="shared" si="12"/>
        <v>0.25</v>
      </c>
      <c r="P270" s="494">
        <f t="shared" si="13"/>
        <v>0.25</v>
      </c>
      <c r="Q270" s="786">
        <f t="shared" si="14"/>
        <v>0.75757575757575757</v>
      </c>
      <c r="R270" s="468"/>
      <c r="S270" s="24"/>
    </row>
    <row r="271" spans="1:19" ht="63.75" x14ac:dyDescent="0.2">
      <c r="A271" s="239" t="s">
        <v>351</v>
      </c>
      <c r="B271" s="489" t="s">
        <v>1813</v>
      </c>
      <c r="C271" s="490" t="s">
        <v>1814</v>
      </c>
      <c r="D271" s="489" t="s">
        <v>117</v>
      </c>
      <c r="E271" s="489" t="s">
        <v>940</v>
      </c>
      <c r="F271" s="491" t="s">
        <v>947</v>
      </c>
      <c r="G271" s="489" t="s">
        <v>114</v>
      </c>
      <c r="H271" s="489" t="s">
        <v>79</v>
      </c>
      <c r="I271" s="468"/>
      <c r="J271" s="489" t="s">
        <v>913</v>
      </c>
      <c r="K271" s="492">
        <v>100</v>
      </c>
      <c r="L271" s="495" t="s">
        <v>976</v>
      </c>
      <c r="M271" s="468">
        <v>12</v>
      </c>
      <c r="N271" s="468">
        <v>10</v>
      </c>
      <c r="O271" s="494">
        <f t="shared" si="12"/>
        <v>0.83333333333333337</v>
      </c>
      <c r="P271" s="494">
        <f t="shared" si="13"/>
        <v>0.83333333333333337</v>
      </c>
      <c r="Q271" s="786">
        <f t="shared" si="14"/>
        <v>0.83333333333333337</v>
      </c>
      <c r="R271" s="468"/>
      <c r="S271" s="24"/>
    </row>
    <row r="272" spans="1:19" x14ac:dyDescent="0.2">
      <c r="A272" s="239" t="s">
        <v>351</v>
      </c>
      <c r="B272" s="489" t="s">
        <v>1813</v>
      </c>
      <c r="C272" s="490" t="s">
        <v>1814</v>
      </c>
      <c r="D272" s="489" t="s">
        <v>117</v>
      </c>
      <c r="E272" s="489" t="s">
        <v>940</v>
      </c>
      <c r="F272" s="491" t="s">
        <v>124</v>
      </c>
      <c r="G272" s="489" t="s">
        <v>945</v>
      </c>
      <c r="H272" s="489" t="s">
        <v>79</v>
      </c>
      <c r="I272" s="468"/>
      <c r="J272" s="489" t="s">
        <v>913</v>
      </c>
      <c r="K272" s="492">
        <v>33</v>
      </c>
      <c r="L272" s="495"/>
      <c r="M272" s="468">
        <v>12</v>
      </c>
      <c r="N272" s="468">
        <v>3</v>
      </c>
      <c r="O272" s="494">
        <f t="shared" si="12"/>
        <v>0.25</v>
      </c>
      <c r="P272" s="494">
        <f t="shared" si="13"/>
        <v>0.25</v>
      </c>
      <c r="Q272" s="786">
        <f t="shared" si="14"/>
        <v>0.75757575757575757</v>
      </c>
      <c r="R272" s="468"/>
      <c r="S272" s="24"/>
    </row>
  </sheetData>
  <dataValidations count="3">
    <dataValidation type="list" allowBlank="1" showInputMessage="1" showErrorMessage="1" sqref="E5:E7">
      <formula1>$BR$9:$BR$11</formula1>
    </dataValidation>
    <dataValidation type="list" allowBlank="1" showInputMessage="1" showErrorMessage="1" sqref="A5:A8">
      <formula1>$AT$9:$AT$11</formula1>
    </dataValidation>
    <dataValidation type="list" allowBlank="1" showInputMessage="1" showErrorMessage="1" sqref="G5:H7 J5:J7">
      <formula1>#REF!</formula1>
    </dataValidation>
  </dataValidations>
  <pageMargins left="0.25" right="0.25" top="0.75" bottom="0.75" header="0.3" footer="0.3"/>
  <pageSetup paperSize="9" scale="42" firstPageNumber="0" fitToHeight="0" orientation="landscape" r:id="rId1"/>
  <headerFooter alignWithMargins="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pageSetUpPr fitToPage="1"/>
  </sheetPr>
  <dimension ref="A1:U82"/>
  <sheetViews>
    <sheetView zoomScale="70" zoomScaleNormal="70" workbookViewId="0"/>
  </sheetViews>
  <sheetFormatPr defaultRowHeight="12.75" x14ac:dyDescent="0.2"/>
  <cols>
    <col min="2" max="2" width="19.28515625" customWidth="1"/>
    <col min="3" max="3" width="12.7109375" customWidth="1"/>
    <col min="4" max="4" width="23.42578125" customWidth="1"/>
    <col min="5" max="5" width="21.140625" customWidth="1"/>
    <col min="6" max="6" width="27.85546875" customWidth="1"/>
    <col min="7" max="7" width="16" customWidth="1"/>
    <col min="8" max="8" width="15.5703125" customWidth="1"/>
    <col min="9" max="9" width="13.42578125" customWidth="1"/>
    <col min="10" max="10" width="19.7109375" customWidth="1"/>
    <col min="11" max="11" width="18.7109375" customWidth="1"/>
    <col min="12" max="13" width="19.7109375" customWidth="1"/>
    <col min="14" max="14" width="22.140625" bestFit="1" customWidth="1"/>
    <col min="15" max="15" width="37.28515625" bestFit="1" customWidth="1"/>
    <col min="17" max="17" width="11.140625" customWidth="1"/>
    <col min="18" max="18" width="20.42578125" customWidth="1"/>
    <col min="19" max="19" width="15.85546875" customWidth="1"/>
    <col min="20" max="20" width="12.42578125" customWidth="1"/>
    <col min="21" max="21" width="19.7109375" customWidth="1"/>
  </cols>
  <sheetData>
    <row r="1" spans="1:21" ht="13.5" thickBot="1" x14ac:dyDescent="0.25">
      <c r="A1" s="7" t="s">
        <v>127</v>
      </c>
    </row>
    <row r="2" spans="1:21" ht="15" x14ac:dyDescent="0.25">
      <c r="A2" s="46"/>
      <c r="B2" s="46"/>
      <c r="C2" s="46"/>
      <c r="D2" s="46"/>
      <c r="E2" s="46"/>
      <c r="F2" s="46"/>
      <c r="G2" s="46"/>
      <c r="H2" s="46"/>
      <c r="I2" s="46"/>
      <c r="J2" s="46"/>
      <c r="K2" s="46"/>
      <c r="L2" s="46"/>
      <c r="N2" s="100" t="s">
        <v>56</v>
      </c>
      <c r="O2" s="212" t="s">
        <v>50</v>
      </c>
      <c r="Q2" s="642"/>
    </row>
    <row r="3" spans="1:21" ht="13.5" thickBot="1" x14ac:dyDescent="0.25">
      <c r="A3" s="46"/>
      <c r="B3" s="46"/>
      <c r="C3" s="46"/>
      <c r="D3" s="46"/>
      <c r="E3" s="46"/>
      <c r="F3" s="46"/>
      <c r="G3" s="46"/>
      <c r="H3" s="46"/>
      <c r="I3" s="46"/>
      <c r="J3" s="46"/>
      <c r="K3" s="46"/>
      <c r="L3" s="46"/>
      <c r="N3" s="643" t="s">
        <v>55</v>
      </c>
      <c r="O3" s="488">
        <v>2018</v>
      </c>
    </row>
    <row r="4" spans="1:21" ht="48.95" customHeight="1" thickBot="1" x14ac:dyDescent="0.25">
      <c r="A4" s="106" t="s">
        <v>0</v>
      </c>
      <c r="B4" s="110" t="s">
        <v>128</v>
      </c>
      <c r="C4" s="460" t="s">
        <v>105</v>
      </c>
      <c r="D4" s="111" t="s">
        <v>129</v>
      </c>
      <c r="E4" s="111" t="s">
        <v>3</v>
      </c>
      <c r="F4" s="106" t="s">
        <v>107</v>
      </c>
      <c r="G4" s="112" t="s">
        <v>9</v>
      </c>
      <c r="H4" s="613" t="s">
        <v>108</v>
      </c>
      <c r="I4" s="497" t="s">
        <v>4</v>
      </c>
      <c r="J4" s="168" t="s">
        <v>309</v>
      </c>
      <c r="K4" s="168" t="s">
        <v>310</v>
      </c>
      <c r="L4" s="459" t="s">
        <v>109</v>
      </c>
      <c r="M4" s="459" t="s">
        <v>311</v>
      </c>
      <c r="N4" s="459" t="s">
        <v>312</v>
      </c>
      <c r="O4" s="170" t="s">
        <v>201</v>
      </c>
    </row>
    <row r="5" spans="1:21" ht="26.25" thickBot="1" x14ac:dyDescent="0.25">
      <c r="A5" s="498" t="s">
        <v>351</v>
      </c>
      <c r="B5" s="240" t="s">
        <v>130</v>
      </c>
      <c r="C5" s="241" t="s">
        <v>112</v>
      </c>
      <c r="D5" s="242" t="s">
        <v>123</v>
      </c>
      <c r="E5" s="242" t="s">
        <v>978</v>
      </c>
      <c r="F5" s="499" t="s">
        <v>116</v>
      </c>
      <c r="G5" s="244" t="s">
        <v>913</v>
      </c>
      <c r="H5" s="245">
        <v>0.1</v>
      </c>
      <c r="I5" s="246"/>
      <c r="J5" s="468">
        <v>85</v>
      </c>
      <c r="K5" s="468">
        <v>4</v>
      </c>
      <c r="L5" s="494">
        <v>4.7058823529411764E-2</v>
      </c>
      <c r="M5" s="494">
        <v>4.7058823529411764E-2</v>
      </c>
      <c r="N5" s="784">
        <f>K5/(J5/100*H5)</f>
        <v>47.058823529411761</v>
      </c>
      <c r="O5" s="468"/>
    </row>
    <row r="6" spans="1:21" ht="26.25" thickBot="1" x14ac:dyDescent="0.25">
      <c r="A6" s="498" t="s">
        <v>351</v>
      </c>
      <c r="B6" s="240" t="s">
        <v>130</v>
      </c>
      <c r="C6" s="241" t="s">
        <v>112</v>
      </c>
      <c r="D6" s="242" t="s">
        <v>115</v>
      </c>
      <c r="E6" s="242" t="s">
        <v>978</v>
      </c>
      <c r="F6" s="499" t="s">
        <v>116</v>
      </c>
      <c r="G6" s="244" t="s">
        <v>913</v>
      </c>
      <c r="H6" s="245">
        <v>0.1</v>
      </c>
      <c r="I6" s="500"/>
      <c r="J6" s="468">
        <v>85</v>
      </c>
      <c r="K6" s="501">
        <v>3</v>
      </c>
      <c r="L6" s="494">
        <v>3.5294117647058823E-2</v>
      </c>
      <c r="M6" s="494">
        <v>3.5294117647058823E-2</v>
      </c>
      <c r="N6" s="784">
        <f t="shared" ref="N6:N69" si="0">K6/(J6/100*H6)</f>
        <v>35.294117647058819</v>
      </c>
      <c r="O6" s="468"/>
    </row>
    <row r="7" spans="1:21" ht="26.25" thickBot="1" x14ac:dyDescent="0.25">
      <c r="A7" s="498" t="s">
        <v>351</v>
      </c>
      <c r="B7" s="240" t="s">
        <v>130</v>
      </c>
      <c r="C7" s="241" t="s">
        <v>112</v>
      </c>
      <c r="D7" s="242" t="s">
        <v>946</v>
      </c>
      <c r="E7" s="242" t="s">
        <v>978</v>
      </c>
      <c r="F7" s="499" t="s">
        <v>116</v>
      </c>
      <c r="G7" s="244" t="s">
        <v>913</v>
      </c>
      <c r="H7" s="245">
        <v>0.1</v>
      </c>
      <c r="I7" s="500"/>
      <c r="J7" s="468">
        <v>85</v>
      </c>
      <c r="K7" s="501">
        <v>14</v>
      </c>
      <c r="L7" s="494">
        <v>0.16470588235294117</v>
      </c>
      <c r="M7" s="494">
        <v>0.16470588235294117</v>
      </c>
      <c r="N7" s="784">
        <f t="shared" si="0"/>
        <v>164.70588235294116</v>
      </c>
      <c r="O7" s="468"/>
    </row>
    <row r="8" spans="1:21" ht="26.25" thickBot="1" x14ac:dyDescent="0.25">
      <c r="A8" s="498" t="s">
        <v>351</v>
      </c>
      <c r="B8" s="240" t="s">
        <v>130</v>
      </c>
      <c r="C8" s="241" t="s">
        <v>112</v>
      </c>
      <c r="D8" s="242" t="s">
        <v>949</v>
      </c>
      <c r="E8" s="242" t="s">
        <v>978</v>
      </c>
      <c r="F8" s="499" t="s">
        <v>116</v>
      </c>
      <c r="G8" s="244" t="s">
        <v>913</v>
      </c>
      <c r="H8" s="245">
        <v>0.1</v>
      </c>
      <c r="I8" s="500"/>
      <c r="J8" s="468">
        <v>85</v>
      </c>
      <c r="K8" s="501">
        <v>1</v>
      </c>
      <c r="L8" s="494">
        <v>1.1764705882352941E-2</v>
      </c>
      <c r="M8" s="494">
        <v>1.1764705882352941E-2</v>
      </c>
      <c r="N8" s="784">
        <f t="shared" si="0"/>
        <v>11.76470588235294</v>
      </c>
      <c r="O8" s="468"/>
      <c r="Q8" s="644"/>
      <c r="R8" s="645"/>
      <c r="S8" s="646"/>
      <c r="T8" s="646"/>
      <c r="U8" s="646"/>
    </row>
    <row r="9" spans="1:21" ht="32.25" customHeight="1" thickBot="1" x14ac:dyDescent="0.25">
      <c r="A9" s="498" t="s">
        <v>351</v>
      </c>
      <c r="B9" s="240" t="s">
        <v>130</v>
      </c>
      <c r="C9" s="241" t="s">
        <v>112</v>
      </c>
      <c r="D9" s="242" t="s">
        <v>979</v>
      </c>
      <c r="E9" s="242" t="s">
        <v>978</v>
      </c>
      <c r="F9" s="499" t="s">
        <v>116</v>
      </c>
      <c r="G9" s="244" t="s">
        <v>913</v>
      </c>
      <c r="H9" s="245">
        <v>0.1</v>
      </c>
      <c r="I9" s="500"/>
      <c r="J9" s="468">
        <v>85</v>
      </c>
      <c r="K9" s="502">
        <v>79</v>
      </c>
      <c r="L9" s="494">
        <v>0.92941176470588238</v>
      </c>
      <c r="M9" s="494">
        <v>0.92941176470588238</v>
      </c>
      <c r="N9" s="784">
        <f t="shared" si="0"/>
        <v>929.41176470588232</v>
      </c>
      <c r="O9" s="468"/>
      <c r="Q9" s="20"/>
      <c r="R9" s="20"/>
      <c r="S9" s="20"/>
      <c r="T9" s="20"/>
      <c r="U9" s="20"/>
    </row>
    <row r="10" spans="1:21" ht="26.25" thickBot="1" x14ac:dyDescent="0.25">
      <c r="A10" s="498" t="s">
        <v>351</v>
      </c>
      <c r="B10" s="240" t="s">
        <v>130</v>
      </c>
      <c r="C10" s="241" t="s">
        <v>112</v>
      </c>
      <c r="D10" s="242" t="s">
        <v>125</v>
      </c>
      <c r="E10" s="242" t="s">
        <v>978</v>
      </c>
      <c r="F10" s="499" t="s">
        <v>116</v>
      </c>
      <c r="G10" s="244" t="s">
        <v>913</v>
      </c>
      <c r="H10" s="245">
        <v>0.1</v>
      </c>
      <c r="I10" s="500"/>
      <c r="J10" s="468">
        <v>85</v>
      </c>
      <c r="K10" s="502">
        <v>4</v>
      </c>
      <c r="L10" s="494">
        <v>4.7058823529411764E-2</v>
      </c>
      <c r="M10" s="494">
        <v>4.7058823529411764E-2</v>
      </c>
      <c r="N10" s="784">
        <f t="shared" si="0"/>
        <v>47.058823529411761</v>
      </c>
      <c r="O10" s="468"/>
    </row>
    <row r="11" spans="1:21" ht="35.1" customHeight="1" thickBot="1" x14ac:dyDescent="0.25">
      <c r="A11" s="498" t="s">
        <v>351</v>
      </c>
      <c r="B11" s="240" t="s">
        <v>130</v>
      </c>
      <c r="C11" s="241" t="s">
        <v>112</v>
      </c>
      <c r="D11" s="242" t="s">
        <v>980</v>
      </c>
      <c r="E11" s="242" t="s">
        <v>978</v>
      </c>
      <c r="F11" s="499" t="s">
        <v>116</v>
      </c>
      <c r="G11" s="244" t="s">
        <v>913</v>
      </c>
      <c r="H11" s="245">
        <v>0.1</v>
      </c>
      <c r="I11" s="500"/>
      <c r="J11" s="468">
        <v>85</v>
      </c>
      <c r="K11" s="502">
        <v>7</v>
      </c>
      <c r="L11" s="494">
        <v>8.2352941176470587E-2</v>
      </c>
      <c r="M11" s="494">
        <v>8.2352941176470587E-2</v>
      </c>
      <c r="N11" s="784">
        <f t="shared" si="0"/>
        <v>82.35294117647058</v>
      </c>
      <c r="O11" s="468"/>
    </row>
    <row r="12" spans="1:21" ht="26.25" thickBot="1" x14ac:dyDescent="0.25">
      <c r="A12" s="498" t="s">
        <v>351</v>
      </c>
      <c r="B12" s="240" t="s">
        <v>130</v>
      </c>
      <c r="C12" s="241" t="s">
        <v>112</v>
      </c>
      <c r="D12" s="242" t="s">
        <v>132</v>
      </c>
      <c r="E12" s="242" t="s">
        <v>978</v>
      </c>
      <c r="F12" s="499" t="s">
        <v>116</v>
      </c>
      <c r="G12" s="244" t="s">
        <v>913</v>
      </c>
      <c r="H12" s="245">
        <v>0.1</v>
      </c>
      <c r="I12" s="500"/>
      <c r="J12" s="468">
        <v>85</v>
      </c>
      <c r="K12" s="502">
        <v>3</v>
      </c>
      <c r="L12" s="494">
        <v>3.5294117647058823E-2</v>
      </c>
      <c r="M12" s="494">
        <v>3.5294117647058823E-2</v>
      </c>
      <c r="N12" s="784">
        <f t="shared" si="0"/>
        <v>35.294117647058819</v>
      </c>
      <c r="O12" s="468"/>
    </row>
    <row r="13" spans="1:21" ht="26.25" thickBot="1" x14ac:dyDescent="0.25">
      <c r="A13" s="498" t="s">
        <v>351</v>
      </c>
      <c r="B13" s="240" t="s">
        <v>130</v>
      </c>
      <c r="C13" s="241" t="s">
        <v>112</v>
      </c>
      <c r="D13" s="242" t="s">
        <v>954</v>
      </c>
      <c r="E13" s="242" t="s">
        <v>978</v>
      </c>
      <c r="F13" s="499" t="s">
        <v>116</v>
      </c>
      <c r="G13" s="244" t="s">
        <v>913</v>
      </c>
      <c r="H13" s="245">
        <v>0.1</v>
      </c>
      <c r="I13" s="500"/>
      <c r="J13" s="468">
        <v>85</v>
      </c>
      <c r="K13" s="502">
        <v>4</v>
      </c>
      <c r="L13" s="494">
        <v>4.7058823529411764E-2</v>
      </c>
      <c r="M13" s="494">
        <v>4.7058823529411764E-2</v>
      </c>
      <c r="N13" s="784">
        <f t="shared" si="0"/>
        <v>47.058823529411761</v>
      </c>
      <c r="O13" s="468"/>
    </row>
    <row r="14" spans="1:21" ht="26.25" thickBot="1" x14ac:dyDescent="0.25">
      <c r="A14" s="498" t="s">
        <v>351</v>
      </c>
      <c r="B14" s="240" t="s">
        <v>130</v>
      </c>
      <c r="C14" s="241" t="s">
        <v>112</v>
      </c>
      <c r="D14" s="242" t="s">
        <v>956</v>
      </c>
      <c r="E14" s="242" t="s">
        <v>978</v>
      </c>
      <c r="F14" s="499" t="s">
        <v>116</v>
      </c>
      <c r="G14" s="244" t="s">
        <v>913</v>
      </c>
      <c r="H14" s="245">
        <v>0.1</v>
      </c>
      <c r="I14" s="500"/>
      <c r="J14" s="468">
        <v>85</v>
      </c>
      <c r="K14" s="502">
        <v>4</v>
      </c>
      <c r="L14" s="494">
        <v>4.7058823529411764E-2</v>
      </c>
      <c r="M14" s="494">
        <v>4.7058823529411764E-2</v>
      </c>
      <c r="N14" s="784">
        <f t="shared" si="0"/>
        <v>47.058823529411761</v>
      </c>
      <c r="O14" s="468"/>
    </row>
    <row r="15" spans="1:21" ht="26.25" thickBot="1" x14ac:dyDescent="0.25">
      <c r="A15" s="498" t="s">
        <v>351</v>
      </c>
      <c r="B15" s="240" t="s">
        <v>130</v>
      </c>
      <c r="C15" s="241" t="s">
        <v>112</v>
      </c>
      <c r="D15" s="242" t="s">
        <v>957</v>
      </c>
      <c r="E15" s="242" t="s">
        <v>978</v>
      </c>
      <c r="F15" s="499" t="s">
        <v>116</v>
      </c>
      <c r="G15" s="244" t="s">
        <v>913</v>
      </c>
      <c r="H15" s="245">
        <v>0.1</v>
      </c>
      <c r="I15" s="500"/>
      <c r="J15" s="468">
        <v>85</v>
      </c>
      <c r="K15" s="502">
        <v>21</v>
      </c>
      <c r="L15" s="494">
        <v>0.24705882352941178</v>
      </c>
      <c r="M15" s="494">
        <v>0.24705882352941178</v>
      </c>
      <c r="N15" s="784">
        <f t="shared" si="0"/>
        <v>247.05882352941174</v>
      </c>
      <c r="O15" s="468"/>
    </row>
    <row r="16" spans="1:21" ht="26.25" thickBot="1" x14ac:dyDescent="0.25">
      <c r="A16" s="498" t="s">
        <v>351</v>
      </c>
      <c r="B16" s="240" t="s">
        <v>130</v>
      </c>
      <c r="C16" s="241" t="s">
        <v>112</v>
      </c>
      <c r="D16" s="242" t="s">
        <v>958</v>
      </c>
      <c r="E16" s="242" t="s">
        <v>978</v>
      </c>
      <c r="F16" s="499" t="s">
        <v>116</v>
      </c>
      <c r="G16" s="244" t="s">
        <v>913</v>
      </c>
      <c r="H16" s="245">
        <v>0.1</v>
      </c>
      <c r="I16" s="500"/>
      <c r="J16" s="468">
        <v>85</v>
      </c>
      <c r="K16" s="502">
        <v>23</v>
      </c>
      <c r="L16" s="494">
        <v>0.27058823529411763</v>
      </c>
      <c r="M16" s="494">
        <v>0.27058823529411763</v>
      </c>
      <c r="N16" s="784">
        <f t="shared" si="0"/>
        <v>270.58823529411762</v>
      </c>
      <c r="O16" s="468"/>
    </row>
    <row r="17" spans="1:15" ht="26.25" thickBot="1" x14ac:dyDescent="0.25">
      <c r="A17" s="498" t="s">
        <v>351</v>
      </c>
      <c r="B17" s="240" t="s">
        <v>130</v>
      </c>
      <c r="C17" s="241" t="s">
        <v>112</v>
      </c>
      <c r="D17" s="242" t="s">
        <v>959</v>
      </c>
      <c r="E17" s="242" t="s">
        <v>978</v>
      </c>
      <c r="F17" s="499" t="s">
        <v>116</v>
      </c>
      <c r="G17" s="244" t="s">
        <v>913</v>
      </c>
      <c r="H17" s="245">
        <v>0.1</v>
      </c>
      <c r="I17" s="500"/>
      <c r="J17" s="468">
        <v>85</v>
      </c>
      <c r="K17" s="502">
        <v>3</v>
      </c>
      <c r="L17" s="494">
        <v>3.5294117647058823E-2</v>
      </c>
      <c r="M17" s="494">
        <v>3.5294117647058823E-2</v>
      </c>
      <c r="N17" s="784">
        <f t="shared" si="0"/>
        <v>35.294117647058819</v>
      </c>
      <c r="O17" s="468"/>
    </row>
    <row r="18" spans="1:15" ht="26.25" thickBot="1" x14ac:dyDescent="0.25">
      <c r="A18" s="498" t="s">
        <v>351</v>
      </c>
      <c r="B18" s="240" t="s">
        <v>130</v>
      </c>
      <c r="C18" s="241" t="s">
        <v>112</v>
      </c>
      <c r="D18" s="242" t="s">
        <v>981</v>
      </c>
      <c r="E18" s="242" t="s">
        <v>978</v>
      </c>
      <c r="F18" s="499" t="s">
        <v>116</v>
      </c>
      <c r="G18" s="244" t="s">
        <v>913</v>
      </c>
      <c r="H18" s="245">
        <v>0.1</v>
      </c>
      <c r="I18" s="500"/>
      <c r="J18" s="468">
        <v>85</v>
      </c>
      <c r="K18" s="502">
        <v>14</v>
      </c>
      <c r="L18" s="494">
        <v>0.16470588235294117</v>
      </c>
      <c r="M18" s="494">
        <v>0.16470588235294117</v>
      </c>
      <c r="N18" s="784">
        <f t="shared" si="0"/>
        <v>164.70588235294116</v>
      </c>
      <c r="O18" s="468"/>
    </row>
    <row r="19" spans="1:15" ht="26.25" thickBot="1" x14ac:dyDescent="0.25">
      <c r="A19" s="498" t="s">
        <v>351</v>
      </c>
      <c r="B19" s="240" t="s">
        <v>130</v>
      </c>
      <c r="C19" s="241" t="s">
        <v>112</v>
      </c>
      <c r="D19" s="242" t="s">
        <v>982</v>
      </c>
      <c r="E19" s="242" t="s">
        <v>978</v>
      </c>
      <c r="F19" s="499" t="s">
        <v>116</v>
      </c>
      <c r="G19" s="244" t="s">
        <v>913</v>
      </c>
      <c r="H19" s="245">
        <v>0.1</v>
      </c>
      <c r="I19" s="500"/>
      <c r="J19" s="468">
        <v>85</v>
      </c>
      <c r="K19" s="502">
        <v>20</v>
      </c>
      <c r="L19" s="494">
        <v>0.23529411764705882</v>
      </c>
      <c r="M19" s="494">
        <v>0.23529411764705882</v>
      </c>
      <c r="N19" s="784">
        <f t="shared" si="0"/>
        <v>235.29411764705881</v>
      </c>
      <c r="O19" s="468"/>
    </row>
    <row r="20" spans="1:15" ht="26.25" thickBot="1" x14ac:dyDescent="0.25">
      <c r="A20" s="498" t="s">
        <v>351</v>
      </c>
      <c r="B20" s="240" t="s">
        <v>130</v>
      </c>
      <c r="C20" s="241" t="s">
        <v>112</v>
      </c>
      <c r="D20" s="242" t="s">
        <v>962</v>
      </c>
      <c r="E20" s="242" t="s">
        <v>978</v>
      </c>
      <c r="F20" s="499" t="s">
        <v>116</v>
      </c>
      <c r="G20" s="244" t="s">
        <v>913</v>
      </c>
      <c r="H20" s="245">
        <v>0.1</v>
      </c>
      <c r="I20" s="500"/>
      <c r="J20" s="468">
        <v>85</v>
      </c>
      <c r="K20" s="502">
        <v>23</v>
      </c>
      <c r="L20" s="494">
        <v>0.27058823529411763</v>
      </c>
      <c r="M20" s="494">
        <v>0.27058823529411763</v>
      </c>
      <c r="N20" s="784">
        <f t="shared" si="0"/>
        <v>270.58823529411762</v>
      </c>
      <c r="O20" s="468"/>
    </row>
    <row r="21" spans="1:15" ht="26.25" thickBot="1" x14ac:dyDescent="0.25">
      <c r="A21" s="498" t="s">
        <v>351</v>
      </c>
      <c r="B21" s="240" t="s">
        <v>130</v>
      </c>
      <c r="C21" s="241" t="s">
        <v>112</v>
      </c>
      <c r="D21" s="242" t="s">
        <v>983</v>
      </c>
      <c r="E21" s="242" t="s">
        <v>978</v>
      </c>
      <c r="F21" s="499" t="s">
        <v>116</v>
      </c>
      <c r="G21" s="244" t="s">
        <v>913</v>
      </c>
      <c r="H21" s="245">
        <v>0.1</v>
      </c>
      <c r="I21" s="500"/>
      <c r="J21" s="468">
        <v>85</v>
      </c>
      <c r="K21" s="502">
        <v>80</v>
      </c>
      <c r="L21" s="494">
        <v>0.94117647058823528</v>
      </c>
      <c r="M21" s="494">
        <v>0.94117647058823528</v>
      </c>
      <c r="N21" s="784">
        <f t="shared" si="0"/>
        <v>941.17647058823525</v>
      </c>
      <c r="O21" s="468"/>
    </row>
    <row r="22" spans="1:15" ht="26.25" thickBot="1" x14ac:dyDescent="0.25">
      <c r="A22" s="498" t="s">
        <v>351</v>
      </c>
      <c r="B22" s="240" t="s">
        <v>130</v>
      </c>
      <c r="C22" s="241" t="s">
        <v>112</v>
      </c>
      <c r="D22" s="242" t="s">
        <v>940</v>
      </c>
      <c r="E22" s="242" t="s">
        <v>978</v>
      </c>
      <c r="F22" s="499" t="s">
        <v>116</v>
      </c>
      <c r="G22" s="244" t="s">
        <v>913</v>
      </c>
      <c r="H22" s="245">
        <v>0.1</v>
      </c>
      <c r="I22" s="500"/>
      <c r="J22" s="468">
        <v>85</v>
      </c>
      <c r="K22" s="502">
        <v>80</v>
      </c>
      <c r="L22" s="494">
        <v>0.94117647058823528</v>
      </c>
      <c r="M22" s="494">
        <v>0.94117647058823528</v>
      </c>
      <c r="N22" s="784">
        <f t="shared" si="0"/>
        <v>941.17647058823525</v>
      </c>
      <c r="O22" s="468"/>
    </row>
    <row r="23" spans="1:15" ht="26.25" thickBot="1" x14ac:dyDescent="0.25">
      <c r="A23" s="498" t="s">
        <v>351</v>
      </c>
      <c r="B23" s="240" t="s">
        <v>130</v>
      </c>
      <c r="C23" s="241" t="s">
        <v>112</v>
      </c>
      <c r="D23" s="242" t="s">
        <v>984</v>
      </c>
      <c r="E23" s="242" t="s">
        <v>978</v>
      </c>
      <c r="F23" s="499" t="s">
        <v>116</v>
      </c>
      <c r="G23" s="244" t="s">
        <v>913</v>
      </c>
      <c r="H23" s="245">
        <v>0.1</v>
      </c>
      <c r="I23" s="500"/>
      <c r="J23" s="468">
        <v>85</v>
      </c>
      <c r="K23" s="502">
        <v>80</v>
      </c>
      <c r="L23" s="494">
        <v>0.94117647058823528</v>
      </c>
      <c r="M23" s="494">
        <v>0.94117647058823528</v>
      </c>
      <c r="N23" s="784">
        <f t="shared" si="0"/>
        <v>941.17647058823525</v>
      </c>
      <c r="O23" s="468"/>
    </row>
    <row r="24" spans="1:15" ht="39" thickBot="1" x14ac:dyDescent="0.25">
      <c r="A24" s="498" t="s">
        <v>351</v>
      </c>
      <c r="B24" s="240" t="s">
        <v>130</v>
      </c>
      <c r="C24" s="241" t="s">
        <v>112</v>
      </c>
      <c r="D24" s="242" t="s">
        <v>968</v>
      </c>
      <c r="E24" s="242" t="s">
        <v>978</v>
      </c>
      <c r="F24" s="499" t="s">
        <v>116</v>
      </c>
      <c r="G24" s="244" t="s">
        <v>913</v>
      </c>
      <c r="H24" s="245">
        <v>0.1</v>
      </c>
      <c r="I24" s="500"/>
      <c r="J24" s="468">
        <v>85</v>
      </c>
      <c r="K24" s="502">
        <v>80</v>
      </c>
      <c r="L24" s="494">
        <v>0.94117647058823528</v>
      </c>
      <c r="M24" s="494">
        <v>0.94117647058823528</v>
      </c>
      <c r="N24" s="784">
        <f t="shared" si="0"/>
        <v>941.17647058823525</v>
      </c>
      <c r="O24" s="468"/>
    </row>
    <row r="25" spans="1:15" ht="26.25" thickBot="1" x14ac:dyDescent="0.25">
      <c r="A25" s="498" t="s">
        <v>351</v>
      </c>
      <c r="B25" s="240" t="s">
        <v>130</v>
      </c>
      <c r="C25" s="241" t="s">
        <v>112</v>
      </c>
      <c r="D25" s="242" t="s">
        <v>985</v>
      </c>
      <c r="E25" s="242" t="s">
        <v>978</v>
      </c>
      <c r="F25" s="499" t="s">
        <v>116</v>
      </c>
      <c r="G25" s="244" t="s">
        <v>913</v>
      </c>
      <c r="H25" s="245">
        <v>0.1</v>
      </c>
      <c r="I25" s="500"/>
      <c r="J25" s="468">
        <v>85</v>
      </c>
      <c r="K25" s="502">
        <v>80</v>
      </c>
      <c r="L25" s="494">
        <v>0.94117647058823528</v>
      </c>
      <c r="M25" s="494">
        <v>0.94117647058823528</v>
      </c>
      <c r="N25" s="784">
        <f t="shared" si="0"/>
        <v>941.17647058823525</v>
      </c>
      <c r="O25" s="468"/>
    </row>
    <row r="26" spans="1:15" ht="26.25" thickBot="1" x14ac:dyDescent="0.25">
      <c r="A26" s="498" t="s">
        <v>351</v>
      </c>
      <c r="B26" s="240" t="s">
        <v>130</v>
      </c>
      <c r="C26" s="243" t="s">
        <v>117</v>
      </c>
      <c r="D26" s="242" t="s">
        <v>970</v>
      </c>
      <c r="E26" s="242" t="s">
        <v>978</v>
      </c>
      <c r="F26" s="499" t="s">
        <v>116</v>
      </c>
      <c r="G26" s="244" t="s">
        <v>913</v>
      </c>
      <c r="H26" s="245">
        <v>0.1</v>
      </c>
      <c r="I26" s="500"/>
      <c r="J26" s="468">
        <v>85</v>
      </c>
      <c r="K26" s="502">
        <v>80</v>
      </c>
      <c r="L26" s="494">
        <v>0.94117647058823528</v>
      </c>
      <c r="M26" s="494">
        <v>0.94117647058823528</v>
      </c>
      <c r="N26" s="784">
        <f t="shared" si="0"/>
        <v>941.17647058823525</v>
      </c>
      <c r="O26" s="468"/>
    </row>
    <row r="27" spans="1:15" ht="26.25" thickBot="1" x14ac:dyDescent="0.25">
      <c r="A27" s="498" t="s">
        <v>351</v>
      </c>
      <c r="B27" s="240" t="s">
        <v>130</v>
      </c>
      <c r="C27" s="243" t="s">
        <v>117</v>
      </c>
      <c r="D27" s="242" t="s">
        <v>972</v>
      </c>
      <c r="E27" s="242" t="s">
        <v>978</v>
      </c>
      <c r="F27" s="499" t="s">
        <v>116</v>
      </c>
      <c r="G27" s="244" t="s">
        <v>913</v>
      </c>
      <c r="H27" s="245">
        <v>0.1</v>
      </c>
      <c r="I27" s="500"/>
      <c r="J27" s="468">
        <v>85</v>
      </c>
      <c r="K27" s="502">
        <v>0</v>
      </c>
      <c r="L27" s="494">
        <v>0</v>
      </c>
      <c r="M27" s="494">
        <v>0</v>
      </c>
      <c r="N27" s="784">
        <f t="shared" si="0"/>
        <v>0</v>
      </c>
      <c r="O27" s="468" t="s">
        <v>1815</v>
      </c>
    </row>
    <row r="28" spans="1:15" ht="26.25" thickBot="1" x14ac:dyDescent="0.25">
      <c r="A28" s="498" t="s">
        <v>351</v>
      </c>
      <c r="B28" s="240" t="s">
        <v>130</v>
      </c>
      <c r="C28" s="243" t="s">
        <v>117</v>
      </c>
      <c r="D28" s="242" t="s">
        <v>973</v>
      </c>
      <c r="E28" s="242" t="s">
        <v>978</v>
      </c>
      <c r="F28" s="499" t="s">
        <v>116</v>
      </c>
      <c r="G28" s="244" t="s">
        <v>913</v>
      </c>
      <c r="H28" s="245">
        <v>0.1</v>
      </c>
      <c r="I28" s="500"/>
      <c r="J28" s="468">
        <v>85</v>
      </c>
      <c r="K28" s="502">
        <v>0</v>
      </c>
      <c r="L28" s="494">
        <v>0</v>
      </c>
      <c r="M28" s="494">
        <v>0</v>
      </c>
      <c r="N28" s="784">
        <f t="shared" si="0"/>
        <v>0</v>
      </c>
      <c r="O28" s="468" t="s">
        <v>1815</v>
      </c>
    </row>
    <row r="29" spans="1:15" ht="26.25" thickBot="1" x14ac:dyDescent="0.25">
      <c r="A29" s="498" t="s">
        <v>351</v>
      </c>
      <c r="B29" s="240" t="s">
        <v>130</v>
      </c>
      <c r="C29" s="243" t="s">
        <v>117</v>
      </c>
      <c r="D29" s="242" t="s">
        <v>974</v>
      </c>
      <c r="E29" s="242" t="s">
        <v>978</v>
      </c>
      <c r="F29" s="499" t="s">
        <v>116</v>
      </c>
      <c r="G29" s="244" t="s">
        <v>913</v>
      </c>
      <c r="H29" s="245">
        <v>0.1</v>
      </c>
      <c r="I29" s="500"/>
      <c r="J29" s="468">
        <v>85</v>
      </c>
      <c r="K29" s="502">
        <v>0</v>
      </c>
      <c r="L29" s="494">
        <v>0</v>
      </c>
      <c r="M29" s="494">
        <v>0</v>
      </c>
      <c r="N29" s="784">
        <f t="shared" si="0"/>
        <v>0</v>
      </c>
      <c r="O29" s="468"/>
    </row>
    <row r="30" spans="1:15" ht="26.25" thickBot="1" x14ac:dyDescent="0.25">
      <c r="A30" s="498" t="s">
        <v>351</v>
      </c>
      <c r="B30" s="240" t="s">
        <v>130</v>
      </c>
      <c r="C30" s="243" t="s">
        <v>117</v>
      </c>
      <c r="D30" s="242" t="s">
        <v>940</v>
      </c>
      <c r="E30" s="242" t="s">
        <v>978</v>
      </c>
      <c r="F30" s="499" t="s">
        <v>116</v>
      </c>
      <c r="G30" s="244" t="s">
        <v>913</v>
      </c>
      <c r="H30" s="245">
        <v>0.1</v>
      </c>
      <c r="I30" s="500"/>
      <c r="J30" s="468">
        <v>85</v>
      </c>
      <c r="K30" s="502">
        <v>80</v>
      </c>
      <c r="L30" s="494">
        <v>0.94117647058823528</v>
      </c>
      <c r="M30" s="494">
        <v>0.94117647058823528</v>
      </c>
      <c r="N30" s="784">
        <f t="shared" si="0"/>
        <v>941.17647058823525</v>
      </c>
      <c r="O30" s="468"/>
    </row>
    <row r="31" spans="1:15" ht="26.25" thickBot="1" x14ac:dyDescent="0.25">
      <c r="A31" s="498" t="s">
        <v>351</v>
      </c>
      <c r="B31" s="240" t="s">
        <v>131</v>
      </c>
      <c r="C31" s="241" t="s">
        <v>112</v>
      </c>
      <c r="D31" s="242" t="s">
        <v>123</v>
      </c>
      <c r="E31" s="242" t="s">
        <v>978</v>
      </c>
      <c r="F31" s="499" t="s">
        <v>116</v>
      </c>
      <c r="G31" s="244" t="s">
        <v>913</v>
      </c>
      <c r="H31" s="245">
        <v>0.3</v>
      </c>
      <c r="I31" s="500"/>
      <c r="J31" s="468">
        <v>46</v>
      </c>
      <c r="K31" s="502">
        <v>1</v>
      </c>
      <c r="L31" s="494">
        <v>2.1739130434782608E-2</v>
      </c>
      <c r="M31" s="494">
        <v>2.1739130434782608E-2</v>
      </c>
      <c r="N31" s="784">
        <f t="shared" si="0"/>
        <v>7.2463768115942022</v>
      </c>
      <c r="O31" s="468"/>
    </row>
    <row r="32" spans="1:15" ht="26.25" thickBot="1" x14ac:dyDescent="0.25">
      <c r="A32" s="498" t="s">
        <v>351</v>
      </c>
      <c r="B32" s="240" t="s">
        <v>131</v>
      </c>
      <c r="C32" s="241" t="s">
        <v>112</v>
      </c>
      <c r="D32" s="242" t="s">
        <v>115</v>
      </c>
      <c r="E32" s="242" t="s">
        <v>978</v>
      </c>
      <c r="F32" s="499" t="s">
        <v>116</v>
      </c>
      <c r="G32" s="244" t="s">
        <v>913</v>
      </c>
      <c r="H32" s="245">
        <v>0.3</v>
      </c>
      <c r="I32" s="500"/>
      <c r="J32" s="468">
        <v>46</v>
      </c>
      <c r="K32" s="502">
        <v>1</v>
      </c>
      <c r="L32" s="494">
        <v>2.1739130434782608E-2</v>
      </c>
      <c r="M32" s="494">
        <v>2.1739130434782608E-2</v>
      </c>
      <c r="N32" s="784">
        <f t="shared" si="0"/>
        <v>7.2463768115942022</v>
      </c>
      <c r="O32" s="468"/>
    </row>
    <row r="33" spans="1:15" ht="26.25" thickBot="1" x14ac:dyDescent="0.25">
      <c r="A33" s="498" t="s">
        <v>351</v>
      </c>
      <c r="B33" s="240" t="s">
        <v>131</v>
      </c>
      <c r="C33" s="241" t="s">
        <v>112</v>
      </c>
      <c r="D33" s="242" t="s">
        <v>946</v>
      </c>
      <c r="E33" s="242" t="s">
        <v>978</v>
      </c>
      <c r="F33" s="499" t="s">
        <v>116</v>
      </c>
      <c r="G33" s="244" t="s">
        <v>913</v>
      </c>
      <c r="H33" s="245">
        <v>0.3</v>
      </c>
      <c r="I33" s="500"/>
      <c r="J33" s="468">
        <v>46</v>
      </c>
      <c r="K33" s="502">
        <v>9</v>
      </c>
      <c r="L33" s="494">
        <v>0.19565217391304349</v>
      </c>
      <c r="M33" s="494">
        <v>0.19565217391304349</v>
      </c>
      <c r="N33" s="784">
        <f t="shared" si="0"/>
        <v>65.217391304347814</v>
      </c>
      <c r="O33" s="468"/>
    </row>
    <row r="34" spans="1:15" ht="26.25" thickBot="1" x14ac:dyDescent="0.25">
      <c r="A34" s="498" t="s">
        <v>351</v>
      </c>
      <c r="B34" s="240" t="s">
        <v>131</v>
      </c>
      <c r="C34" s="241" t="s">
        <v>112</v>
      </c>
      <c r="D34" s="242" t="s">
        <v>949</v>
      </c>
      <c r="E34" s="242" t="s">
        <v>978</v>
      </c>
      <c r="F34" s="499" t="s">
        <v>116</v>
      </c>
      <c r="G34" s="244" t="s">
        <v>913</v>
      </c>
      <c r="H34" s="245">
        <v>0.3</v>
      </c>
      <c r="I34" s="500"/>
      <c r="J34" s="468">
        <v>46</v>
      </c>
      <c r="K34" s="502">
        <v>0</v>
      </c>
      <c r="L34" s="494">
        <v>0</v>
      </c>
      <c r="M34" s="494">
        <v>0</v>
      </c>
      <c r="N34" s="784">
        <f t="shared" si="0"/>
        <v>0</v>
      </c>
      <c r="O34" s="468" t="s">
        <v>1815</v>
      </c>
    </row>
    <row r="35" spans="1:15" ht="26.25" thickBot="1" x14ac:dyDescent="0.25">
      <c r="A35" s="498" t="s">
        <v>351</v>
      </c>
      <c r="B35" s="240" t="s">
        <v>131</v>
      </c>
      <c r="C35" s="241" t="s">
        <v>112</v>
      </c>
      <c r="D35" s="242" t="s">
        <v>979</v>
      </c>
      <c r="E35" s="242" t="s">
        <v>978</v>
      </c>
      <c r="F35" s="499" t="s">
        <v>116</v>
      </c>
      <c r="G35" s="244" t="s">
        <v>913</v>
      </c>
      <c r="H35" s="245">
        <v>0.3</v>
      </c>
      <c r="I35" s="500"/>
      <c r="J35" s="468">
        <v>46</v>
      </c>
      <c r="K35" s="502">
        <v>44</v>
      </c>
      <c r="L35" s="494">
        <v>0.95652173913043481</v>
      </c>
      <c r="M35" s="494">
        <v>0.95652173913043481</v>
      </c>
      <c r="N35" s="784">
        <f t="shared" si="0"/>
        <v>318.84057971014488</v>
      </c>
      <c r="O35" s="468"/>
    </row>
    <row r="36" spans="1:15" ht="26.25" thickBot="1" x14ac:dyDescent="0.25">
      <c r="A36" s="498" t="s">
        <v>351</v>
      </c>
      <c r="B36" s="240" t="s">
        <v>131</v>
      </c>
      <c r="C36" s="241" t="s">
        <v>112</v>
      </c>
      <c r="D36" s="242" t="s">
        <v>125</v>
      </c>
      <c r="E36" s="242" t="s">
        <v>978</v>
      </c>
      <c r="F36" s="499" t="s">
        <v>116</v>
      </c>
      <c r="G36" s="244" t="s">
        <v>913</v>
      </c>
      <c r="H36" s="245">
        <v>0.3</v>
      </c>
      <c r="I36" s="500"/>
      <c r="J36" s="468">
        <v>46</v>
      </c>
      <c r="K36" s="502">
        <v>1</v>
      </c>
      <c r="L36" s="494">
        <v>2.1739130434782608E-2</v>
      </c>
      <c r="M36" s="494">
        <v>2.1739130434782608E-2</v>
      </c>
      <c r="N36" s="784">
        <f t="shared" si="0"/>
        <v>7.2463768115942022</v>
      </c>
      <c r="O36" s="468"/>
    </row>
    <row r="37" spans="1:15" ht="26.25" thickBot="1" x14ac:dyDescent="0.25">
      <c r="A37" s="498" t="s">
        <v>351</v>
      </c>
      <c r="B37" s="240" t="s">
        <v>131</v>
      </c>
      <c r="C37" s="241" t="s">
        <v>112</v>
      </c>
      <c r="D37" s="242" t="s">
        <v>980</v>
      </c>
      <c r="E37" s="242" t="s">
        <v>978</v>
      </c>
      <c r="F37" s="499" t="s">
        <v>116</v>
      </c>
      <c r="G37" s="244" t="s">
        <v>913</v>
      </c>
      <c r="H37" s="245">
        <v>0.3</v>
      </c>
      <c r="I37" s="500"/>
      <c r="J37" s="468">
        <v>46</v>
      </c>
      <c r="K37" s="502">
        <v>1</v>
      </c>
      <c r="L37" s="494">
        <v>2.1739130434782608E-2</v>
      </c>
      <c r="M37" s="494">
        <v>2.1739130434782608E-2</v>
      </c>
      <c r="N37" s="784">
        <f t="shared" si="0"/>
        <v>7.2463768115942022</v>
      </c>
      <c r="O37" s="468"/>
    </row>
    <row r="38" spans="1:15" ht="26.25" thickBot="1" x14ac:dyDescent="0.25">
      <c r="A38" s="498" t="s">
        <v>351</v>
      </c>
      <c r="B38" s="240" t="s">
        <v>131</v>
      </c>
      <c r="C38" s="241" t="s">
        <v>112</v>
      </c>
      <c r="D38" s="242" t="s">
        <v>132</v>
      </c>
      <c r="E38" s="242" t="s">
        <v>978</v>
      </c>
      <c r="F38" s="499" t="s">
        <v>116</v>
      </c>
      <c r="G38" s="244" t="s">
        <v>913</v>
      </c>
      <c r="H38" s="245">
        <v>0.3</v>
      </c>
      <c r="I38" s="500"/>
      <c r="J38" s="468">
        <v>46</v>
      </c>
      <c r="K38" s="502">
        <v>1</v>
      </c>
      <c r="L38" s="494">
        <v>2.1739130434782608E-2</v>
      </c>
      <c r="M38" s="494">
        <v>2.1739130434782608E-2</v>
      </c>
      <c r="N38" s="784">
        <f t="shared" si="0"/>
        <v>7.2463768115942022</v>
      </c>
      <c r="O38" s="468"/>
    </row>
    <row r="39" spans="1:15" ht="26.25" thickBot="1" x14ac:dyDescent="0.25">
      <c r="A39" s="498" t="s">
        <v>351</v>
      </c>
      <c r="B39" s="240" t="s">
        <v>131</v>
      </c>
      <c r="C39" s="241" t="s">
        <v>112</v>
      </c>
      <c r="D39" s="242" t="s">
        <v>954</v>
      </c>
      <c r="E39" s="242" t="s">
        <v>978</v>
      </c>
      <c r="F39" s="499" t="s">
        <v>116</v>
      </c>
      <c r="G39" s="244" t="s">
        <v>913</v>
      </c>
      <c r="H39" s="245">
        <v>0.3</v>
      </c>
      <c r="I39" s="500"/>
      <c r="J39" s="468">
        <v>46</v>
      </c>
      <c r="K39" s="502">
        <v>1</v>
      </c>
      <c r="L39" s="494">
        <v>2.1739130434782608E-2</v>
      </c>
      <c r="M39" s="494">
        <v>2.1739130434782608E-2</v>
      </c>
      <c r="N39" s="784">
        <f t="shared" si="0"/>
        <v>7.2463768115942022</v>
      </c>
      <c r="O39" s="468"/>
    </row>
    <row r="40" spans="1:15" ht="26.25" thickBot="1" x14ac:dyDescent="0.25">
      <c r="A40" s="498" t="s">
        <v>351</v>
      </c>
      <c r="B40" s="240" t="s">
        <v>131</v>
      </c>
      <c r="C40" s="241" t="s">
        <v>112</v>
      </c>
      <c r="D40" s="242" t="s">
        <v>956</v>
      </c>
      <c r="E40" s="242" t="s">
        <v>978</v>
      </c>
      <c r="F40" s="499" t="s">
        <v>116</v>
      </c>
      <c r="G40" s="244" t="s">
        <v>913</v>
      </c>
      <c r="H40" s="245">
        <v>0.3</v>
      </c>
      <c r="I40" s="500"/>
      <c r="J40" s="468">
        <v>46</v>
      </c>
      <c r="K40" s="502">
        <v>1</v>
      </c>
      <c r="L40" s="494">
        <v>2.1739130434782608E-2</v>
      </c>
      <c r="M40" s="494">
        <v>2.1739130434782608E-2</v>
      </c>
      <c r="N40" s="784">
        <f t="shared" si="0"/>
        <v>7.2463768115942022</v>
      </c>
      <c r="O40" s="468"/>
    </row>
    <row r="41" spans="1:15" ht="26.25" thickBot="1" x14ac:dyDescent="0.25">
      <c r="A41" s="498" t="s">
        <v>351</v>
      </c>
      <c r="B41" s="240" t="s">
        <v>131</v>
      </c>
      <c r="C41" s="241" t="s">
        <v>112</v>
      </c>
      <c r="D41" s="242" t="s">
        <v>957</v>
      </c>
      <c r="E41" s="242" t="s">
        <v>978</v>
      </c>
      <c r="F41" s="499" t="s">
        <v>116</v>
      </c>
      <c r="G41" s="244" t="s">
        <v>913</v>
      </c>
      <c r="H41" s="245">
        <v>0.3</v>
      </c>
      <c r="I41" s="500"/>
      <c r="J41" s="468">
        <v>46</v>
      </c>
      <c r="K41" s="502">
        <v>13</v>
      </c>
      <c r="L41" s="494">
        <v>0.28260869565217389</v>
      </c>
      <c r="M41" s="494">
        <v>0.28260869565217389</v>
      </c>
      <c r="N41" s="784">
        <f t="shared" si="0"/>
        <v>94.202898550724626</v>
      </c>
      <c r="O41" s="468"/>
    </row>
    <row r="42" spans="1:15" ht="26.25" thickBot="1" x14ac:dyDescent="0.25">
      <c r="A42" s="498" t="s">
        <v>351</v>
      </c>
      <c r="B42" s="240" t="s">
        <v>131</v>
      </c>
      <c r="C42" s="241" t="s">
        <v>112</v>
      </c>
      <c r="D42" s="242" t="s">
        <v>958</v>
      </c>
      <c r="E42" s="242" t="s">
        <v>978</v>
      </c>
      <c r="F42" s="499" t="s">
        <v>116</v>
      </c>
      <c r="G42" s="244" t="s">
        <v>913</v>
      </c>
      <c r="H42" s="245">
        <v>0.3</v>
      </c>
      <c r="I42" s="500"/>
      <c r="J42" s="468">
        <v>46</v>
      </c>
      <c r="K42" s="502">
        <v>14</v>
      </c>
      <c r="L42" s="494">
        <v>0.30434782608695654</v>
      </c>
      <c r="M42" s="494">
        <v>0.30434782608695654</v>
      </c>
      <c r="N42" s="784">
        <f t="shared" si="0"/>
        <v>101.44927536231883</v>
      </c>
      <c r="O42" s="468"/>
    </row>
    <row r="43" spans="1:15" ht="26.25" thickBot="1" x14ac:dyDescent="0.25">
      <c r="A43" s="498" t="s">
        <v>351</v>
      </c>
      <c r="B43" s="240" t="s">
        <v>131</v>
      </c>
      <c r="C43" s="241" t="s">
        <v>112</v>
      </c>
      <c r="D43" s="242" t="s">
        <v>959</v>
      </c>
      <c r="E43" s="242" t="s">
        <v>978</v>
      </c>
      <c r="F43" s="499" t="s">
        <v>116</v>
      </c>
      <c r="G43" s="244" t="s">
        <v>913</v>
      </c>
      <c r="H43" s="245">
        <v>0.3</v>
      </c>
      <c r="I43" s="500"/>
      <c r="J43" s="468">
        <v>46</v>
      </c>
      <c r="K43" s="502">
        <v>0</v>
      </c>
      <c r="L43" s="494">
        <v>0</v>
      </c>
      <c r="M43" s="494">
        <v>0</v>
      </c>
      <c r="N43" s="784">
        <f t="shared" si="0"/>
        <v>0</v>
      </c>
      <c r="O43" s="468" t="s">
        <v>1815</v>
      </c>
    </row>
    <row r="44" spans="1:15" ht="26.25" thickBot="1" x14ac:dyDescent="0.25">
      <c r="A44" s="498" t="s">
        <v>351</v>
      </c>
      <c r="B44" s="240" t="s">
        <v>131</v>
      </c>
      <c r="C44" s="241" t="s">
        <v>112</v>
      </c>
      <c r="D44" s="242" t="s">
        <v>981</v>
      </c>
      <c r="E44" s="242" t="s">
        <v>978</v>
      </c>
      <c r="F44" s="499" t="s">
        <v>116</v>
      </c>
      <c r="G44" s="244" t="s">
        <v>913</v>
      </c>
      <c r="H44" s="245">
        <v>0.3</v>
      </c>
      <c r="I44" s="500"/>
      <c r="J44" s="468">
        <v>46</v>
      </c>
      <c r="K44" s="502">
        <v>7</v>
      </c>
      <c r="L44" s="494">
        <v>0.15217391304347827</v>
      </c>
      <c r="M44" s="494">
        <v>0.15217391304347827</v>
      </c>
      <c r="N44" s="784">
        <f t="shared" si="0"/>
        <v>50.724637681159415</v>
      </c>
      <c r="O44" s="468"/>
    </row>
    <row r="45" spans="1:15" ht="26.25" thickBot="1" x14ac:dyDescent="0.25">
      <c r="A45" s="498" t="s">
        <v>351</v>
      </c>
      <c r="B45" s="240" t="s">
        <v>131</v>
      </c>
      <c r="C45" s="241" t="s">
        <v>112</v>
      </c>
      <c r="D45" s="242" t="s">
        <v>982</v>
      </c>
      <c r="E45" s="242" t="s">
        <v>978</v>
      </c>
      <c r="F45" s="499" t="s">
        <v>116</v>
      </c>
      <c r="G45" s="244" t="s">
        <v>913</v>
      </c>
      <c r="H45" s="245">
        <v>0.3</v>
      </c>
      <c r="I45" s="500"/>
      <c r="J45" s="468">
        <v>46</v>
      </c>
      <c r="K45" s="502">
        <v>10</v>
      </c>
      <c r="L45" s="494">
        <v>0.21739130434782608</v>
      </c>
      <c r="M45" s="494">
        <v>0.21739130434782608</v>
      </c>
      <c r="N45" s="784">
        <f t="shared" si="0"/>
        <v>72.463768115942017</v>
      </c>
      <c r="O45" s="468"/>
    </row>
    <row r="46" spans="1:15" ht="26.25" thickBot="1" x14ac:dyDescent="0.25">
      <c r="A46" s="498" t="s">
        <v>351</v>
      </c>
      <c r="B46" s="240" t="s">
        <v>131</v>
      </c>
      <c r="C46" s="241" t="s">
        <v>112</v>
      </c>
      <c r="D46" s="242" t="s">
        <v>962</v>
      </c>
      <c r="E46" s="242" t="s">
        <v>978</v>
      </c>
      <c r="F46" s="499" t="s">
        <v>116</v>
      </c>
      <c r="G46" s="244" t="s">
        <v>913</v>
      </c>
      <c r="H46" s="245">
        <v>0.3</v>
      </c>
      <c r="I46" s="500"/>
      <c r="J46" s="468">
        <v>46</v>
      </c>
      <c r="K46" s="502">
        <v>14</v>
      </c>
      <c r="L46" s="494">
        <v>0.30434782608695654</v>
      </c>
      <c r="M46" s="494">
        <v>0.30434782608695654</v>
      </c>
      <c r="N46" s="784">
        <f t="shared" si="0"/>
        <v>101.44927536231883</v>
      </c>
      <c r="O46" s="468"/>
    </row>
    <row r="47" spans="1:15" ht="26.25" thickBot="1" x14ac:dyDescent="0.25">
      <c r="A47" s="498" t="s">
        <v>351</v>
      </c>
      <c r="B47" s="240" t="s">
        <v>131</v>
      </c>
      <c r="C47" s="241" t="s">
        <v>112</v>
      </c>
      <c r="D47" s="242" t="s">
        <v>983</v>
      </c>
      <c r="E47" s="242" t="s">
        <v>978</v>
      </c>
      <c r="F47" s="499" t="s">
        <v>116</v>
      </c>
      <c r="G47" s="244" t="s">
        <v>913</v>
      </c>
      <c r="H47" s="245">
        <v>0.3</v>
      </c>
      <c r="I47" s="500"/>
      <c r="J47" s="468">
        <v>46</v>
      </c>
      <c r="K47" s="502">
        <v>44</v>
      </c>
      <c r="L47" s="494">
        <v>0.95652173913043481</v>
      </c>
      <c r="M47" s="494">
        <v>0.95652173913043481</v>
      </c>
      <c r="N47" s="784">
        <f t="shared" si="0"/>
        <v>318.84057971014488</v>
      </c>
      <c r="O47" s="468"/>
    </row>
    <row r="48" spans="1:15" ht="26.25" thickBot="1" x14ac:dyDescent="0.25">
      <c r="A48" s="498" t="s">
        <v>351</v>
      </c>
      <c r="B48" s="240" t="s">
        <v>131</v>
      </c>
      <c r="C48" s="241" t="s">
        <v>112</v>
      </c>
      <c r="D48" s="242" t="s">
        <v>940</v>
      </c>
      <c r="E48" s="242" t="s">
        <v>978</v>
      </c>
      <c r="F48" s="499" t="s">
        <v>116</v>
      </c>
      <c r="G48" s="244" t="s">
        <v>913</v>
      </c>
      <c r="H48" s="245">
        <v>0.3</v>
      </c>
      <c r="I48" s="500"/>
      <c r="J48" s="468">
        <v>46</v>
      </c>
      <c r="K48" s="502">
        <v>44</v>
      </c>
      <c r="L48" s="494">
        <v>0.95652173913043481</v>
      </c>
      <c r="M48" s="494">
        <v>0.95652173913043481</v>
      </c>
      <c r="N48" s="784">
        <f t="shared" si="0"/>
        <v>318.84057971014488</v>
      </c>
      <c r="O48" s="468"/>
    </row>
    <row r="49" spans="1:15" ht="26.25" thickBot="1" x14ac:dyDescent="0.25">
      <c r="A49" s="498" t="s">
        <v>351</v>
      </c>
      <c r="B49" s="240" t="s">
        <v>131</v>
      </c>
      <c r="C49" s="241" t="s">
        <v>112</v>
      </c>
      <c r="D49" s="242" t="s">
        <v>984</v>
      </c>
      <c r="E49" s="242" t="s">
        <v>978</v>
      </c>
      <c r="F49" s="499" t="s">
        <v>116</v>
      </c>
      <c r="G49" s="244" t="s">
        <v>913</v>
      </c>
      <c r="H49" s="245">
        <v>0.3</v>
      </c>
      <c r="I49" s="500"/>
      <c r="J49" s="468">
        <v>46</v>
      </c>
      <c r="K49" s="502">
        <v>44</v>
      </c>
      <c r="L49" s="494">
        <v>0.95652173913043481</v>
      </c>
      <c r="M49" s="494">
        <v>0.95652173913043481</v>
      </c>
      <c r="N49" s="784">
        <f t="shared" si="0"/>
        <v>318.84057971014488</v>
      </c>
      <c r="O49" s="468"/>
    </row>
    <row r="50" spans="1:15" ht="39" thickBot="1" x14ac:dyDescent="0.25">
      <c r="A50" s="498" t="s">
        <v>351</v>
      </c>
      <c r="B50" s="240" t="s">
        <v>131</v>
      </c>
      <c r="C50" s="241" t="s">
        <v>112</v>
      </c>
      <c r="D50" s="242" t="s">
        <v>968</v>
      </c>
      <c r="E50" s="242" t="s">
        <v>978</v>
      </c>
      <c r="F50" s="499" t="s">
        <v>116</v>
      </c>
      <c r="G50" s="244" t="s">
        <v>913</v>
      </c>
      <c r="H50" s="245">
        <v>0.3</v>
      </c>
      <c r="I50" s="500"/>
      <c r="J50" s="468">
        <v>46</v>
      </c>
      <c r="K50" s="502">
        <v>44</v>
      </c>
      <c r="L50" s="494">
        <v>0.95652173913043481</v>
      </c>
      <c r="M50" s="494">
        <v>0.95652173913043481</v>
      </c>
      <c r="N50" s="784">
        <f t="shared" si="0"/>
        <v>318.84057971014488</v>
      </c>
      <c r="O50" s="468"/>
    </row>
    <row r="51" spans="1:15" ht="26.25" thickBot="1" x14ac:dyDescent="0.25">
      <c r="A51" s="498" t="s">
        <v>351</v>
      </c>
      <c r="B51" s="240" t="s">
        <v>131</v>
      </c>
      <c r="C51" s="241" t="s">
        <v>112</v>
      </c>
      <c r="D51" s="242" t="s">
        <v>985</v>
      </c>
      <c r="E51" s="242" t="s">
        <v>978</v>
      </c>
      <c r="F51" s="499" t="s">
        <v>116</v>
      </c>
      <c r="G51" s="244" t="s">
        <v>913</v>
      </c>
      <c r="H51" s="245">
        <v>0.3</v>
      </c>
      <c r="I51" s="500"/>
      <c r="J51" s="468">
        <v>46</v>
      </c>
      <c r="K51" s="502">
        <v>44</v>
      </c>
      <c r="L51" s="494">
        <v>0.95652173913043481</v>
      </c>
      <c r="M51" s="494">
        <v>0.95652173913043481</v>
      </c>
      <c r="N51" s="784">
        <f t="shared" si="0"/>
        <v>318.84057971014488</v>
      </c>
      <c r="O51" s="468"/>
    </row>
    <row r="52" spans="1:15" ht="26.25" thickBot="1" x14ac:dyDescent="0.25">
      <c r="A52" s="498" t="s">
        <v>351</v>
      </c>
      <c r="B52" s="240" t="s">
        <v>131</v>
      </c>
      <c r="C52" s="243" t="s">
        <v>117</v>
      </c>
      <c r="D52" s="242" t="s">
        <v>970</v>
      </c>
      <c r="E52" s="242" t="s">
        <v>978</v>
      </c>
      <c r="F52" s="499" t="s">
        <v>116</v>
      </c>
      <c r="G52" s="244" t="s">
        <v>913</v>
      </c>
      <c r="H52" s="245">
        <v>0.3</v>
      </c>
      <c r="I52" s="500"/>
      <c r="J52" s="468">
        <v>46</v>
      </c>
      <c r="K52" s="502">
        <v>44</v>
      </c>
      <c r="L52" s="494">
        <v>0.95652173913043481</v>
      </c>
      <c r="M52" s="494">
        <v>0.95652173913043481</v>
      </c>
      <c r="N52" s="784">
        <f t="shared" si="0"/>
        <v>318.84057971014488</v>
      </c>
      <c r="O52" s="468"/>
    </row>
    <row r="53" spans="1:15" ht="26.25" thickBot="1" x14ac:dyDescent="0.25">
      <c r="A53" s="498" t="s">
        <v>351</v>
      </c>
      <c r="B53" s="240" t="s">
        <v>131</v>
      </c>
      <c r="C53" s="243" t="s">
        <v>117</v>
      </c>
      <c r="D53" s="242" t="s">
        <v>972</v>
      </c>
      <c r="E53" s="242" t="s">
        <v>978</v>
      </c>
      <c r="F53" s="499" t="s">
        <v>116</v>
      </c>
      <c r="G53" s="244" t="s">
        <v>913</v>
      </c>
      <c r="H53" s="245">
        <v>0.3</v>
      </c>
      <c r="I53" s="500"/>
      <c r="J53" s="468">
        <v>46</v>
      </c>
      <c r="K53" s="502">
        <v>0</v>
      </c>
      <c r="L53" s="494">
        <v>0</v>
      </c>
      <c r="M53" s="494">
        <v>0</v>
      </c>
      <c r="N53" s="784">
        <f t="shared" si="0"/>
        <v>0</v>
      </c>
      <c r="O53" s="468" t="s">
        <v>1815</v>
      </c>
    </row>
    <row r="54" spans="1:15" ht="26.25" thickBot="1" x14ac:dyDescent="0.25">
      <c r="A54" s="498" t="s">
        <v>351</v>
      </c>
      <c r="B54" s="240" t="s">
        <v>131</v>
      </c>
      <c r="C54" s="243" t="s">
        <v>117</v>
      </c>
      <c r="D54" s="242" t="s">
        <v>973</v>
      </c>
      <c r="E54" s="242" t="s">
        <v>978</v>
      </c>
      <c r="F54" s="499" t="s">
        <v>116</v>
      </c>
      <c r="G54" s="244" t="s">
        <v>913</v>
      </c>
      <c r="H54" s="245">
        <v>0.3</v>
      </c>
      <c r="I54" s="500"/>
      <c r="J54" s="468">
        <v>46</v>
      </c>
      <c r="K54" s="502">
        <v>0</v>
      </c>
      <c r="L54" s="494">
        <v>0</v>
      </c>
      <c r="M54" s="494">
        <v>0</v>
      </c>
      <c r="N54" s="784">
        <f t="shared" si="0"/>
        <v>0</v>
      </c>
      <c r="O54" s="468" t="s">
        <v>1815</v>
      </c>
    </row>
    <row r="55" spans="1:15" ht="26.25" thickBot="1" x14ac:dyDescent="0.25">
      <c r="A55" s="498" t="s">
        <v>351</v>
      </c>
      <c r="B55" s="240" t="s">
        <v>131</v>
      </c>
      <c r="C55" s="243" t="s">
        <v>117</v>
      </c>
      <c r="D55" s="242" t="s">
        <v>974</v>
      </c>
      <c r="E55" s="242" t="s">
        <v>978</v>
      </c>
      <c r="F55" s="499" t="s">
        <v>116</v>
      </c>
      <c r="G55" s="244" t="s">
        <v>913</v>
      </c>
      <c r="H55" s="245">
        <v>0.3</v>
      </c>
      <c r="I55" s="500"/>
      <c r="J55" s="468">
        <v>46</v>
      </c>
      <c r="K55" s="502">
        <v>0</v>
      </c>
      <c r="L55" s="494">
        <v>0</v>
      </c>
      <c r="M55" s="494">
        <v>0</v>
      </c>
      <c r="N55" s="784">
        <f t="shared" si="0"/>
        <v>0</v>
      </c>
      <c r="O55" s="468"/>
    </row>
    <row r="56" spans="1:15" ht="26.25" thickBot="1" x14ac:dyDescent="0.25">
      <c r="A56" s="498" t="s">
        <v>351</v>
      </c>
      <c r="B56" s="240" t="s">
        <v>131</v>
      </c>
      <c r="C56" s="243" t="s">
        <v>117</v>
      </c>
      <c r="D56" s="242" t="s">
        <v>940</v>
      </c>
      <c r="E56" s="242" t="s">
        <v>978</v>
      </c>
      <c r="F56" s="499" t="s">
        <v>116</v>
      </c>
      <c r="G56" s="244" t="s">
        <v>913</v>
      </c>
      <c r="H56" s="245">
        <v>0.3</v>
      </c>
      <c r="I56" s="500"/>
      <c r="J56" s="468">
        <v>46</v>
      </c>
      <c r="K56" s="502">
        <v>44</v>
      </c>
      <c r="L56" s="494">
        <v>0.95652173913043481</v>
      </c>
      <c r="M56" s="494">
        <v>0.95652173913043481</v>
      </c>
      <c r="N56" s="784">
        <f t="shared" si="0"/>
        <v>318.84057971014488</v>
      </c>
      <c r="O56" s="468"/>
    </row>
    <row r="57" spans="1:15" ht="26.25" thickBot="1" x14ac:dyDescent="0.25">
      <c r="A57" s="498" t="s">
        <v>351</v>
      </c>
      <c r="B57" s="240" t="s">
        <v>133</v>
      </c>
      <c r="C57" s="241" t="s">
        <v>112</v>
      </c>
      <c r="D57" s="242" t="s">
        <v>123</v>
      </c>
      <c r="E57" s="242" t="s">
        <v>978</v>
      </c>
      <c r="F57" s="499" t="s">
        <v>116</v>
      </c>
      <c r="G57" s="244" t="s">
        <v>913</v>
      </c>
      <c r="H57" s="245">
        <v>0.35</v>
      </c>
      <c r="I57" s="500"/>
      <c r="J57" s="468">
        <v>25</v>
      </c>
      <c r="K57" s="502">
        <v>8</v>
      </c>
      <c r="L57" s="494">
        <v>0.32</v>
      </c>
      <c r="M57" s="494">
        <v>0.32</v>
      </c>
      <c r="N57" s="784">
        <f t="shared" si="0"/>
        <v>91.428571428571431</v>
      </c>
      <c r="O57" s="468"/>
    </row>
    <row r="58" spans="1:15" ht="26.25" thickBot="1" x14ac:dyDescent="0.25">
      <c r="A58" s="498" t="s">
        <v>351</v>
      </c>
      <c r="B58" s="240" t="s">
        <v>133</v>
      </c>
      <c r="C58" s="241" t="s">
        <v>112</v>
      </c>
      <c r="D58" s="242" t="s">
        <v>115</v>
      </c>
      <c r="E58" s="242" t="s">
        <v>978</v>
      </c>
      <c r="F58" s="499" t="s">
        <v>116</v>
      </c>
      <c r="G58" s="244" t="s">
        <v>913</v>
      </c>
      <c r="H58" s="245">
        <v>0.35</v>
      </c>
      <c r="I58" s="500"/>
      <c r="J58" s="468">
        <v>25</v>
      </c>
      <c r="K58" s="502">
        <v>4</v>
      </c>
      <c r="L58" s="494">
        <v>0.16</v>
      </c>
      <c r="M58" s="494">
        <v>0.16</v>
      </c>
      <c r="N58" s="784">
        <f t="shared" si="0"/>
        <v>45.714285714285715</v>
      </c>
      <c r="O58" s="468"/>
    </row>
    <row r="59" spans="1:15" ht="26.25" thickBot="1" x14ac:dyDescent="0.25">
      <c r="A59" s="498" t="s">
        <v>351</v>
      </c>
      <c r="B59" s="240" t="s">
        <v>133</v>
      </c>
      <c r="C59" s="241" t="s">
        <v>112</v>
      </c>
      <c r="D59" s="242" t="s">
        <v>946</v>
      </c>
      <c r="E59" s="242" t="s">
        <v>978</v>
      </c>
      <c r="F59" s="499" t="s">
        <v>116</v>
      </c>
      <c r="G59" s="244" t="s">
        <v>913</v>
      </c>
      <c r="H59" s="245">
        <v>0.35</v>
      </c>
      <c r="I59" s="500"/>
      <c r="J59" s="468">
        <v>25</v>
      </c>
      <c r="K59" s="502">
        <v>12</v>
      </c>
      <c r="L59" s="494">
        <v>0.48</v>
      </c>
      <c r="M59" s="494">
        <v>0.48</v>
      </c>
      <c r="N59" s="784">
        <f t="shared" si="0"/>
        <v>137.14285714285714</v>
      </c>
      <c r="O59" s="468"/>
    </row>
    <row r="60" spans="1:15" ht="26.25" thickBot="1" x14ac:dyDescent="0.25">
      <c r="A60" s="498" t="s">
        <v>351</v>
      </c>
      <c r="B60" s="240" t="s">
        <v>133</v>
      </c>
      <c r="C60" s="241" t="s">
        <v>112</v>
      </c>
      <c r="D60" s="242" t="s">
        <v>949</v>
      </c>
      <c r="E60" s="242" t="s">
        <v>978</v>
      </c>
      <c r="F60" s="499" t="s">
        <v>116</v>
      </c>
      <c r="G60" s="244" t="s">
        <v>913</v>
      </c>
      <c r="H60" s="245">
        <v>0.35</v>
      </c>
      <c r="I60" s="500"/>
      <c r="J60" s="468">
        <v>25</v>
      </c>
      <c r="K60" s="502">
        <v>0</v>
      </c>
      <c r="L60" s="494">
        <v>0</v>
      </c>
      <c r="M60" s="494">
        <v>0</v>
      </c>
      <c r="N60" s="784">
        <f t="shared" si="0"/>
        <v>0</v>
      </c>
      <c r="O60" s="468" t="s">
        <v>1815</v>
      </c>
    </row>
    <row r="61" spans="1:15" ht="26.25" thickBot="1" x14ac:dyDescent="0.25">
      <c r="A61" s="498" t="s">
        <v>351</v>
      </c>
      <c r="B61" s="240" t="s">
        <v>133</v>
      </c>
      <c r="C61" s="241" t="s">
        <v>112</v>
      </c>
      <c r="D61" s="242" t="s">
        <v>979</v>
      </c>
      <c r="E61" s="242" t="s">
        <v>978</v>
      </c>
      <c r="F61" s="499" t="s">
        <v>116</v>
      </c>
      <c r="G61" s="244" t="s">
        <v>913</v>
      </c>
      <c r="H61" s="245">
        <v>0.35</v>
      </c>
      <c r="I61" s="500"/>
      <c r="J61" s="468">
        <v>25</v>
      </c>
      <c r="K61" s="502">
        <v>25</v>
      </c>
      <c r="L61" s="494">
        <v>1</v>
      </c>
      <c r="M61" s="494">
        <v>1</v>
      </c>
      <c r="N61" s="784">
        <f t="shared" si="0"/>
        <v>285.71428571428572</v>
      </c>
      <c r="O61" s="468"/>
    </row>
    <row r="62" spans="1:15" ht="26.25" thickBot="1" x14ac:dyDescent="0.25">
      <c r="A62" s="498" t="s">
        <v>351</v>
      </c>
      <c r="B62" s="240" t="s">
        <v>133</v>
      </c>
      <c r="C62" s="241" t="s">
        <v>112</v>
      </c>
      <c r="D62" s="242" t="s">
        <v>125</v>
      </c>
      <c r="E62" s="242" t="s">
        <v>978</v>
      </c>
      <c r="F62" s="499" t="s">
        <v>116</v>
      </c>
      <c r="G62" s="244" t="s">
        <v>913</v>
      </c>
      <c r="H62" s="245">
        <v>0.35</v>
      </c>
      <c r="I62" s="500"/>
      <c r="J62" s="468">
        <v>25</v>
      </c>
      <c r="K62" s="502">
        <v>0</v>
      </c>
      <c r="L62" s="494">
        <v>0</v>
      </c>
      <c r="M62" s="494">
        <v>0</v>
      </c>
      <c r="N62" s="784">
        <f t="shared" si="0"/>
        <v>0</v>
      </c>
      <c r="O62" s="468"/>
    </row>
    <row r="63" spans="1:15" ht="26.25" thickBot="1" x14ac:dyDescent="0.25">
      <c r="A63" s="498" t="s">
        <v>351</v>
      </c>
      <c r="B63" s="240" t="s">
        <v>133</v>
      </c>
      <c r="C63" s="241" t="s">
        <v>112</v>
      </c>
      <c r="D63" s="242" t="s">
        <v>980</v>
      </c>
      <c r="E63" s="242" t="s">
        <v>978</v>
      </c>
      <c r="F63" s="499" t="s">
        <v>116</v>
      </c>
      <c r="G63" s="244" t="s">
        <v>913</v>
      </c>
      <c r="H63" s="245">
        <v>0.35</v>
      </c>
      <c r="I63" s="500"/>
      <c r="J63" s="468">
        <v>25</v>
      </c>
      <c r="K63" s="502">
        <v>4</v>
      </c>
      <c r="L63" s="494">
        <v>0.16</v>
      </c>
      <c r="M63" s="494">
        <v>0.16</v>
      </c>
      <c r="N63" s="784">
        <f t="shared" si="0"/>
        <v>45.714285714285715</v>
      </c>
      <c r="O63" s="468"/>
    </row>
    <row r="64" spans="1:15" ht="26.25" thickBot="1" x14ac:dyDescent="0.25">
      <c r="A64" s="498" t="s">
        <v>351</v>
      </c>
      <c r="B64" s="240" t="s">
        <v>133</v>
      </c>
      <c r="C64" s="241" t="s">
        <v>112</v>
      </c>
      <c r="D64" s="242" t="s">
        <v>132</v>
      </c>
      <c r="E64" s="242" t="s">
        <v>978</v>
      </c>
      <c r="F64" s="499" t="s">
        <v>116</v>
      </c>
      <c r="G64" s="244" t="s">
        <v>913</v>
      </c>
      <c r="H64" s="245">
        <v>0.35</v>
      </c>
      <c r="I64" s="500"/>
      <c r="J64" s="468">
        <v>25</v>
      </c>
      <c r="K64" s="502">
        <v>5</v>
      </c>
      <c r="L64" s="494">
        <v>0.2</v>
      </c>
      <c r="M64" s="494">
        <v>0.2</v>
      </c>
      <c r="N64" s="784">
        <f t="shared" si="0"/>
        <v>57.142857142857146</v>
      </c>
      <c r="O64" s="468"/>
    </row>
    <row r="65" spans="1:15" ht="26.25" thickBot="1" x14ac:dyDescent="0.25">
      <c r="A65" s="498" t="s">
        <v>351</v>
      </c>
      <c r="B65" s="240" t="s">
        <v>133</v>
      </c>
      <c r="C65" s="241" t="s">
        <v>112</v>
      </c>
      <c r="D65" s="242" t="s">
        <v>954</v>
      </c>
      <c r="E65" s="242" t="s">
        <v>978</v>
      </c>
      <c r="F65" s="499" t="s">
        <v>116</v>
      </c>
      <c r="G65" s="244" t="s">
        <v>913</v>
      </c>
      <c r="H65" s="245">
        <v>0.35</v>
      </c>
      <c r="I65" s="500"/>
      <c r="J65" s="468">
        <v>25</v>
      </c>
      <c r="K65" s="502">
        <v>5</v>
      </c>
      <c r="L65" s="494">
        <v>0.2</v>
      </c>
      <c r="M65" s="494">
        <v>0.2</v>
      </c>
      <c r="N65" s="784">
        <f t="shared" si="0"/>
        <v>57.142857142857146</v>
      </c>
      <c r="O65" s="468"/>
    </row>
    <row r="66" spans="1:15" ht="26.25" thickBot="1" x14ac:dyDescent="0.25">
      <c r="A66" s="498" t="s">
        <v>351</v>
      </c>
      <c r="B66" s="240" t="s">
        <v>133</v>
      </c>
      <c r="C66" s="241" t="s">
        <v>112</v>
      </c>
      <c r="D66" s="242" t="s">
        <v>956</v>
      </c>
      <c r="E66" s="242" t="s">
        <v>978</v>
      </c>
      <c r="F66" s="499" t="s">
        <v>116</v>
      </c>
      <c r="G66" s="244" t="s">
        <v>913</v>
      </c>
      <c r="H66" s="245">
        <v>0.35</v>
      </c>
      <c r="I66" s="500"/>
      <c r="J66" s="468">
        <v>25</v>
      </c>
      <c r="K66" s="502">
        <v>5</v>
      </c>
      <c r="L66" s="494">
        <v>0.2</v>
      </c>
      <c r="M66" s="494">
        <v>0.2</v>
      </c>
      <c r="N66" s="784">
        <f t="shared" si="0"/>
        <v>57.142857142857146</v>
      </c>
      <c r="O66" s="468"/>
    </row>
    <row r="67" spans="1:15" ht="26.25" thickBot="1" x14ac:dyDescent="0.25">
      <c r="A67" s="498" t="s">
        <v>351</v>
      </c>
      <c r="B67" s="240" t="s">
        <v>133</v>
      </c>
      <c r="C67" s="241" t="s">
        <v>112</v>
      </c>
      <c r="D67" s="242" t="s">
        <v>957</v>
      </c>
      <c r="E67" s="242" t="s">
        <v>978</v>
      </c>
      <c r="F67" s="499" t="s">
        <v>116</v>
      </c>
      <c r="G67" s="244" t="s">
        <v>913</v>
      </c>
      <c r="H67" s="245">
        <v>0.35</v>
      </c>
      <c r="I67" s="500"/>
      <c r="J67" s="468">
        <v>25</v>
      </c>
      <c r="K67" s="502">
        <v>7</v>
      </c>
      <c r="L67" s="494">
        <v>0.28000000000000003</v>
      </c>
      <c r="M67" s="494">
        <v>0.28000000000000003</v>
      </c>
      <c r="N67" s="784">
        <f t="shared" si="0"/>
        <v>80</v>
      </c>
      <c r="O67" s="468"/>
    </row>
    <row r="68" spans="1:15" ht="26.25" thickBot="1" x14ac:dyDescent="0.25">
      <c r="A68" s="498" t="s">
        <v>351</v>
      </c>
      <c r="B68" s="240" t="s">
        <v>133</v>
      </c>
      <c r="C68" s="241" t="s">
        <v>112</v>
      </c>
      <c r="D68" s="242" t="s">
        <v>958</v>
      </c>
      <c r="E68" s="242" t="s">
        <v>978</v>
      </c>
      <c r="F68" s="499" t="s">
        <v>116</v>
      </c>
      <c r="G68" s="244" t="s">
        <v>913</v>
      </c>
      <c r="H68" s="245">
        <v>0.35</v>
      </c>
      <c r="I68" s="500"/>
      <c r="J68" s="468">
        <v>25</v>
      </c>
      <c r="K68" s="502">
        <v>9</v>
      </c>
      <c r="L68" s="494">
        <v>0.36</v>
      </c>
      <c r="M68" s="494">
        <v>0.36</v>
      </c>
      <c r="N68" s="784">
        <f t="shared" si="0"/>
        <v>102.85714285714286</v>
      </c>
      <c r="O68" s="468"/>
    </row>
    <row r="69" spans="1:15" ht="26.25" thickBot="1" x14ac:dyDescent="0.25">
      <c r="A69" s="498" t="s">
        <v>351</v>
      </c>
      <c r="B69" s="240" t="s">
        <v>133</v>
      </c>
      <c r="C69" s="241" t="s">
        <v>112</v>
      </c>
      <c r="D69" s="242" t="s">
        <v>959</v>
      </c>
      <c r="E69" s="242" t="s">
        <v>978</v>
      </c>
      <c r="F69" s="499" t="s">
        <v>116</v>
      </c>
      <c r="G69" s="244" t="s">
        <v>913</v>
      </c>
      <c r="H69" s="245">
        <v>0.35</v>
      </c>
      <c r="I69" s="500"/>
      <c r="J69" s="468">
        <v>25</v>
      </c>
      <c r="K69" s="502">
        <v>0</v>
      </c>
      <c r="L69" s="494">
        <v>0</v>
      </c>
      <c r="M69" s="494">
        <v>0</v>
      </c>
      <c r="N69" s="784">
        <f t="shared" si="0"/>
        <v>0</v>
      </c>
      <c r="O69" s="468" t="s">
        <v>1815</v>
      </c>
    </row>
    <row r="70" spans="1:15" ht="26.25" thickBot="1" x14ac:dyDescent="0.25">
      <c r="A70" s="498" t="s">
        <v>351</v>
      </c>
      <c r="B70" s="240" t="s">
        <v>133</v>
      </c>
      <c r="C70" s="241" t="s">
        <v>112</v>
      </c>
      <c r="D70" s="242" t="s">
        <v>981</v>
      </c>
      <c r="E70" s="242" t="s">
        <v>978</v>
      </c>
      <c r="F70" s="499" t="s">
        <v>116</v>
      </c>
      <c r="G70" s="244" t="s">
        <v>913</v>
      </c>
      <c r="H70" s="245">
        <v>0.35</v>
      </c>
      <c r="I70" s="500"/>
      <c r="J70" s="468">
        <v>25</v>
      </c>
      <c r="K70" s="502">
        <v>6</v>
      </c>
      <c r="L70" s="494">
        <v>0.24</v>
      </c>
      <c r="M70" s="494">
        <v>0.24</v>
      </c>
      <c r="N70" s="784">
        <f t="shared" ref="N70:N82" si="1">K70/(J70/100*H70)</f>
        <v>68.571428571428569</v>
      </c>
      <c r="O70" s="468"/>
    </row>
    <row r="71" spans="1:15" ht="26.25" thickBot="1" x14ac:dyDescent="0.25">
      <c r="A71" s="498" t="s">
        <v>351</v>
      </c>
      <c r="B71" s="240" t="s">
        <v>133</v>
      </c>
      <c r="C71" s="241" t="s">
        <v>112</v>
      </c>
      <c r="D71" s="242" t="s">
        <v>982</v>
      </c>
      <c r="E71" s="242" t="s">
        <v>978</v>
      </c>
      <c r="F71" s="499" t="s">
        <v>116</v>
      </c>
      <c r="G71" s="244" t="s">
        <v>913</v>
      </c>
      <c r="H71" s="245">
        <v>0.35</v>
      </c>
      <c r="I71" s="500"/>
      <c r="J71" s="468">
        <v>25</v>
      </c>
      <c r="K71" s="502">
        <v>9</v>
      </c>
      <c r="L71" s="494">
        <v>0.36</v>
      </c>
      <c r="M71" s="494">
        <v>0.36</v>
      </c>
      <c r="N71" s="784">
        <f t="shared" si="1"/>
        <v>102.85714285714286</v>
      </c>
      <c r="O71" s="468"/>
    </row>
    <row r="72" spans="1:15" ht="26.25" thickBot="1" x14ac:dyDescent="0.25">
      <c r="A72" s="498" t="s">
        <v>351</v>
      </c>
      <c r="B72" s="240" t="s">
        <v>133</v>
      </c>
      <c r="C72" s="241" t="s">
        <v>112</v>
      </c>
      <c r="D72" s="242" t="s">
        <v>962</v>
      </c>
      <c r="E72" s="242" t="s">
        <v>978</v>
      </c>
      <c r="F72" s="499" t="s">
        <v>116</v>
      </c>
      <c r="G72" s="244" t="s">
        <v>913</v>
      </c>
      <c r="H72" s="245">
        <v>0.35</v>
      </c>
      <c r="I72" s="500"/>
      <c r="J72" s="468">
        <v>25</v>
      </c>
      <c r="K72" s="502">
        <v>9</v>
      </c>
      <c r="L72" s="494">
        <v>0.36</v>
      </c>
      <c r="M72" s="494">
        <v>0.36</v>
      </c>
      <c r="N72" s="784">
        <f t="shared" si="1"/>
        <v>102.85714285714286</v>
      </c>
      <c r="O72" s="468"/>
    </row>
    <row r="73" spans="1:15" ht="26.25" thickBot="1" x14ac:dyDescent="0.25">
      <c r="A73" s="498" t="s">
        <v>351</v>
      </c>
      <c r="B73" s="240" t="s">
        <v>133</v>
      </c>
      <c r="C73" s="241" t="s">
        <v>112</v>
      </c>
      <c r="D73" s="242" t="s">
        <v>983</v>
      </c>
      <c r="E73" s="242" t="s">
        <v>978</v>
      </c>
      <c r="F73" s="499" t="s">
        <v>116</v>
      </c>
      <c r="G73" s="244" t="s">
        <v>913</v>
      </c>
      <c r="H73" s="245">
        <v>0.35</v>
      </c>
      <c r="I73" s="500"/>
      <c r="J73" s="468">
        <v>25</v>
      </c>
      <c r="K73" s="502">
        <v>25</v>
      </c>
      <c r="L73" s="494">
        <v>1</v>
      </c>
      <c r="M73" s="494">
        <v>1</v>
      </c>
      <c r="N73" s="784">
        <f t="shared" si="1"/>
        <v>285.71428571428572</v>
      </c>
      <c r="O73" s="468"/>
    </row>
    <row r="74" spans="1:15" ht="26.25" thickBot="1" x14ac:dyDescent="0.25">
      <c r="A74" s="498" t="s">
        <v>351</v>
      </c>
      <c r="B74" s="240" t="s">
        <v>133</v>
      </c>
      <c r="C74" s="241" t="s">
        <v>112</v>
      </c>
      <c r="D74" s="242" t="s">
        <v>940</v>
      </c>
      <c r="E74" s="242" t="s">
        <v>978</v>
      </c>
      <c r="F74" s="499" t="s">
        <v>116</v>
      </c>
      <c r="G74" s="244" t="s">
        <v>913</v>
      </c>
      <c r="H74" s="245">
        <v>0.35</v>
      </c>
      <c r="I74" s="500"/>
      <c r="J74" s="468">
        <v>25</v>
      </c>
      <c r="K74" s="502">
        <v>25</v>
      </c>
      <c r="L74" s="494">
        <v>1</v>
      </c>
      <c r="M74" s="494">
        <v>1</v>
      </c>
      <c r="N74" s="784">
        <f t="shared" si="1"/>
        <v>285.71428571428572</v>
      </c>
      <c r="O74" s="468"/>
    </row>
    <row r="75" spans="1:15" ht="26.25" thickBot="1" x14ac:dyDescent="0.25">
      <c r="A75" s="498" t="s">
        <v>351</v>
      </c>
      <c r="B75" s="240" t="s">
        <v>133</v>
      </c>
      <c r="C75" s="241" t="s">
        <v>112</v>
      </c>
      <c r="D75" s="242" t="s">
        <v>984</v>
      </c>
      <c r="E75" s="242" t="s">
        <v>978</v>
      </c>
      <c r="F75" s="499" t="s">
        <v>116</v>
      </c>
      <c r="G75" s="244" t="s">
        <v>913</v>
      </c>
      <c r="H75" s="245">
        <v>0.35</v>
      </c>
      <c r="I75" s="500"/>
      <c r="J75" s="468">
        <v>25</v>
      </c>
      <c r="K75" s="502">
        <v>25</v>
      </c>
      <c r="L75" s="494">
        <v>1</v>
      </c>
      <c r="M75" s="494">
        <v>1</v>
      </c>
      <c r="N75" s="784">
        <f t="shared" si="1"/>
        <v>285.71428571428572</v>
      </c>
      <c r="O75" s="468"/>
    </row>
    <row r="76" spans="1:15" ht="39" thickBot="1" x14ac:dyDescent="0.25">
      <c r="A76" s="498" t="s">
        <v>351</v>
      </c>
      <c r="B76" s="240" t="s">
        <v>133</v>
      </c>
      <c r="C76" s="241" t="s">
        <v>112</v>
      </c>
      <c r="D76" s="242" t="s">
        <v>968</v>
      </c>
      <c r="E76" s="242" t="s">
        <v>978</v>
      </c>
      <c r="F76" s="499" t="s">
        <v>116</v>
      </c>
      <c r="G76" s="244" t="s">
        <v>913</v>
      </c>
      <c r="H76" s="245">
        <v>0.35</v>
      </c>
      <c r="I76" s="500"/>
      <c r="J76" s="468">
        <v>25</v>
      </c>
      <c r="K76" s="502">
        <v>25</v>
      </c>
      <c r="L76" s="494">
        <v>1</v>
      </c>
      <c r="M76" s="494">
        <v>1</v>
      </c>
      <c r="N76" s="784">
        <f t="shared" si="1"/>
        <v>285.71428571428572</v>
      </c>
      <c r="O76" s="468"/>
    </row>
    <row r="77" spans="1:15" ht="26.25" thickBot="1" x14ac:dyDescent="0.25">
      <c r="A77" s="498" t="s">
        <v>351</v>
      </c>
      <c r="B77" s="240" t="s">
        <v>133</v>
      </c>
      <c r="C77" s="241" t="s">
        <v>112</v>
      </c>
      <c r="D77" s="242" t="s">
        <v>985</v>
      </c>
      <c r="E77" s="242" t="s">
        <v>978</v>
      </c>
      <c r="F77" s="499" t="s">
        <v>116</v>
      </c>
      <c r="G77" s="244" t="s">
        <v>913</v>
      </c>
      <c r="H77" s="245">
        <v>0.35</v>
      </c>
      <c r="I77" s="500"/>
      <c r="J77" s="468">
        <v>25</v>
      </c>
      <c r="K77" s="502">
        <v>25</v>
      </c>
      <c r="L77" s="494">
        <v>1</v>
      </c>
      <c r="M77" s="494">
        <v>1</v>
      </c>
      <c r="N77" s="784">
        <f t="shared" si="1"/>
        <v>285.71428571428572</v>
      </c>
      <c r="O77" s="468"/>
    </row>
    <row r="78" spans="1:15" ht="26.25" thickBot="1" x14ac:dyDescent="0.25">
      <c r="A78" s="498" t="s">
        <v>351</v>
      </c>
      <c r="B78" s="240" t="s">
        <v>133</v>
      </c>
      <c r="C78" s="243" t="s">
        <v>117</v>
      </c>
      <c r="D78" s="242" t="s">
        <v>970</v>
      </c>
      <c r="E78" s="242" t="s">
        <v>978</v>
      </c>
      <c r="F78" s="499" t="s">
        <v>116</v>
      </c>
      <c r="G78" s="244" t="s">
        <v>913</v>
      </c>
      <c r="H78" s="245">
        <v>0.35</v>
      </c>
      <c r="I78" s="500"/>
      <c r="J78" s="468">
        <v>25</v>
      </c>
      <c r="K78" s="502">
        <v>25</v>
      </c>
      <c r="L78" s="494">
        <v>1</v>
      </c>
      <c r="M78" s="494">
        <v>1</v>
      </c>
      <c r="N78" s="784">
        <f t="shared" si="1"/>
        <v>285.71428571428572</v>
      </c>
      <c r="O78" s="468"/>
    </row>
    <row r="79" spans="1:15" ht="26.25" thickBot="1" x14ac:dyDescent="0.25">
      <c r="A79" s="498" t="s">
        <v>351</v>
      </c>
      <c r="B79" s="240" t="s">
        <v>133</v>
      </c>
      <c r="C79" s="243" t="s">
        <v>117</v>
      </c>
      <c r="D79" s="242" t="s">
        <v>972</v>
      </c>
      <c r="E79" s="242" t="s">
        <v>978</v>
      </c>
      <c r="F79" s="499" t="s">
        <v>116</v>
      </c>
      <c r="G79" s="244" t="s">
        <v>913</v>
      </c>
      <c r="H79" s="245">
        <v>0.35</v>
      </c>
      <c r="I79" s="500"/>
      <c r="J79" s="468">
        <v>25</v>
      </c>
      <c r="K79" s="502">
        <v>0</v>
      </c>
      <c r="L79" s="494">
        <v>0</v>
      </c>
      <c r="M79" s="494">
        <v>0</v>
      </c>
      <c r="N79" s="784">
        <f t="shared" si="1"/>
        <v>0</v>
      </c>
      <c r="O79" s="468" t="s">
        <v>1815</v>
      </c>
    </row>
    <row r="80" spans="1:15" ht="26.25" thickBot="1" x14ac:dyDescent="0.25">
      <c r="A80" s="498" t="s">
        <v>351</v>
      </c>
      <c r="B80" s="240" t="s">
        <v>133</v>
      </c>
      <c r="C80" s="243" t="s">
        <v>117</v>
      </c>
      <c r="D80" s="242" t="s">
        <v>973</v>
      </c>
      <c r="E80" s="242" t="s">
        <v>978</v>
      </c>
      <c r="F80" s="499" t="s">
        <v>116</v>
      </c>
      <c r="G80" s="244" t="s">
        <v>913</v>
      </c>
      <c r="H80" s="245">
        <v>0.35</v>
      </c>
      <c r="I80" s="500"/>
      <c r="J80" s="468">
        <v>25</v>
      </c>
      <c r="K80" s="502">
        <v>0</v>
      </c>
      <c r="L80" s="494">
        <v>0</v>
      </c>
      <c r="M80" s="494">
        <v>0</v>
      </c>
      <c r="N80" s="784">
        <f t="shared" si="1"/>
        <v>0</v>
      </c>
      <c r="O80" s="468" t="s">
        <v>1815</v>
      </c>
    </row>
    <row r="81" spans="1:15" ht="26.25" thickBot="1" x14ac:dyDescent="0.25">
      <c r="A81" s="498" t="s">
        <v>351</v>
      </c>
      <c r="B81" s="240" t="s">
        <v>133</v>
      </c>
      <c r="C81" s="243" t="s">
        <v>117</v>
      </c>
      <c r="D81" s="242" t="s">
        <v>974</v>
      </c>
      <c r="E81" s="242" t="s">
        <v>978</v>
      </c>
      <c r="F81" s="499" t="s">
        <v>116</v>
      </c>
      <c r="G81" s="244" t="s">
        <v>913</v>
      </c>
      <c r="H81" s="245">
        <v>0.35</v>
      </c>
      <c r="I81" s="500"/>
      <c r="J81" s="468">
        <v>25</v>
      </c>
      <c r="K81" s="502">
        <v>0</v>
      </c>
      <c r="L81" s="494">
        <v>0</v>
      </c>
      <c r="M81" s="494">
        <v>0</v>
      </c>
      <c r="N81" s="784">
        <f t="shared" si="1"/>
        <v>0</v>
      </c>
      <c r="O81" s="468" t="s">
        <v>1815</v>
      </c>
    </row>
    <row r="82" spans="1:15" ht="26.25" thickBot="1" x14ac:dyDescent="0.25">
      <c r="A82" s="498" t="s">
        <v>351</v>
      </c>
      <c r="B82" s="240" t="s">
        <v>133</v>
      </c>
      <c r="C82" s="243" t="s">
        <v>117</v>
      </c>
      <c r="D82" s="242" t="s">
        <v>940</v>
      </c>
      <c r="E82" s="242" t="s">
        <v>978</v>
      </c>
      <c r="F82" s="499" t="s">
        <v>116</v>
      </c>
      <c r="G82" s="244" t="s">
        <v>913</v>
      </c>
      <c r="H82" s="245">
        <v>0.35</v>
      </c>
      <c r="I82" s="500"/>
      <c r="J82" s="468">
        <v>25</v>
      </c>
      <c r="K82" s="502">
        <v>25</v>
      </c>
      <c r="L82" s="494">
        <v>1</v>
      </c>
      <c r="M82" s="494">
        <v>1</v>
      </c>
      <c r="N82" s="784">
        <f t="shared" si="1"/>
        <v>285.71428571428572</v>
      </c>
      <c r="O82" s="468"/>
    </row>
  </sheetData>
  <dataValidations count="2">
    <dataValidation type="list" allowBlank="1" showInputMessage="1" showErrorMessage="1" sqref="D5:D8">
      <formula1>$BT$8:$BT$12</formula1>
    </dataValidation>
    <dataValidation type="list" allowBlank="1" showInputMessage="1" showErrorMessage="1" sqref="F5:G8">
      <formula1>#REF!</formula1>
    </dataValidation>
  </dataValidations>
  <pageMargins left="0.7" right="0.7" top="0.75" bottom="0.75" header="0.3" footer="0.3"/>
  <pageSetup paperSize="9" scale="46" fitToHeight="0" orientation="landscape"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pageSetUpPr fitToPage="1"/>
  </sheetPr>
  <dimension ref="A1:Z48"/>
  <sheetViews>
    <sheetView zoomScale="70" zoomScaleNormal="70" workbookViewId="0">
      <pane ySplit="5" topLeftCell="A37" activePane="bottomLeft" state="frozen"/>
      <selection activeCell="K1" sqref="K1"/>
      <selection pane="bottomLeft" activeCell="N42" sqref="N42"/>
    </sheetView>
  </sheetViews>
  <sheetFormatPr defaultColWidth="9.140625" defaultRowHeight="15" x14ac:dyDescent="0.25"/>
  <cols>
    <col min="1" max="1" width="9.140625" style="47"/>
    <col min="2" max="2" width="13.5703125" style="47" customWidth="1"/>
    <col min="3" max="3" width="50.85546875" style="47" customWidth="1"/>
    <col min="4" max="4" width="10.140625" style="47" customWidth="1"/>
    <col min="5" max="5" width="26.140625" style="47" customWidth="1"/>
    <col min="6" max="6" width="11.140625" style="47" customWidth="1"/>
    <col min="7" max="7" width="11.42578125" style="47" customWidth="1"/>
    <col min="8" max="9" width="12.42578125" style="47" customWidth="1"/>
    <col min="10" max="10" width="20.140625" style="47" customWidth="1"/>
    <col min="11" max="12" width="12.42578125" style="47" customWidth="1"/>
    <col min="13" max="13" width="14" style="47" customWidth="1"/>
    <col min="14" max="14" width="12" style="47" customWidth="1"/>
    <col min="15" max="15" width="46.5703125" style="47" customWidth="1"/>
    <col min="16" max="16" width="13.28515625" style="47" customWidth="1"/>
    <col min="17" max="17" width="13.5703125" style="47" customWidth="1"/>
    <col min="18" max="18" width="14" style="47" customWidth="1"/>
    <col min="19" max="24" width="10.5703125" style="47" customWidth="1"/>
    <col min="25" max="25" width="39.85546875" style="47" customWidth="1"/>
    <col min="26" max="30" width="10.5703125" style="47" customWidth="1"/>
    <col min="31" max="16384" width="9.140625" style="47"/>
  </cols>
  <sheetData>
    <row r="1" spans="1:26" x14ac:dyDescent="0.25">
      <c r="A1" s="48" t="s">
        <v>273</v>
      </c>
    </row>
    <row r="2" spans="1:26" x14ac:dyDescent="0.25">
      <c r="X2" s="44" t="s">
        <v>56</v>
      </c>
      <c r="Y2" s="486" t="s">
        <v>50</v>
      </c>
    </row>
    <row r="3" spans="1:26" ht="15.75" thickBot="1" x14ac:dyDescent="0.3">
      <c r="X3" s="53" t="s">
        <v>55</v>
      </c>
      <c r="Y3" s="218">
        <v>2018</v>
      </c>
    </row>
    <row r="4" spans="1:26" ht="19.5" customHeight="1" thickBot="1" x14ac:dyDescent="0.3">
      <c r="A4" s="113"/>
      <c r="B4" s="113"/>
      <c r="C4" s="113"/>
      <c r="D4" s="113"/>
      <c r="E4" s="113"/>
      <c r="F4" s="113"/>
      <c r="G4" s="113"/>
      <c r="H4" s="113"/>
      <c r="I4" s="113"/>
      <c r="J4" s="113"/>
      <c r="K4" s="113"/>
      <c r="L4" s="113"/>
      <c r="M4" s="113"/>
      <c r="N4" s="113"/>
      <c r="O4" s="114"/>
      <c r="P4" s="749" t="s">
        <v>265</v>
      </c>
      <c r="Q4" s="750"/>
      <c r="R4" s="751"/>
      <c r="S4" s="752" t="s">
        <v>327</v>
      </c>
      <c r="T4" s="752"/>
      <c r="U4" s="752"/>
      <c r="V4" s="752"/>
      <c r="W4" s="752"/>
      <c r="X4" s="752"/>
      <c r="Y4" s="753"/>
    </row>
    <row r="5" spans="1:26" ht="105.4" customHeight="1" thickBot="1" x14ac:dyDescent="0.3">
      <c r="A5" s="115" t="s">
        <v>0</v>
      </c>
      <c r="B5" s="116" t="s">
        <v>10</v>
      </c>
      <c r="C5" s="115" t="s">
        <v>1</v>
      </c>
      <c r="D5" s="116" t="s">
        <v>5</v>
      </c>
      <c r="E5" s="116" t="s">
        <v>216</v>
      </c>
      <c r="F5" s="116" t="s">
        <v>217</v>
      </c>
      <c r="G5" s="116" t="s">
        <v>266</v>
      </c>
      <c r="H5" s="115" t="s">
        <v>267</v>
      </c>
      <c r="I5" s="277" t="s">
        <v>268</v>
      </c>
      <c r="J5" s="277" t="s">
        <v>269</v>
      </c>
      <c r="K5" s="117" t="s">
        <v>270</v>
      </c>
      <c r="L5" s="118" t="s">
        <v>60</v>
      </c>
      <c r="M5" s="116" t="s">
        <v>271</v>
      </c>
      <c r="N5" s="117" t="s">
        <v>221</v>
      </c>
      <c r="O5" s="279" t="s">
        <v>4</v>
      </c>
      <c r="P5" s="171" t="s">
        <v>333</v>
      </c>
      <c r="Q5" s="171" t="s">
        <v>334</v>
      </c>
      <c r="R5" s="171" t="s">
        <v>328</v>
      </c>
      <c r="S5" s="171" t="s">
        <v>275</v>
      </c>
      <c r="T5" s="171" t="s">
        <v>272</v>
      </c>
      <c r="U5" s="171" t="s">
        <v>329</v>
      </c>
      <c r="V5" s="171" t="s">
        <v>330</v>
      </c>
      <c r="W5" s="171" t="s">
        <v>343</v>
      </c>
      <c r="X5" s="171" t="s">
        <v>344</v>
      </c>
      <c r="Y5" s="171" t="s">
        <v>332</v>
      </c>
    </row>
    <row r="6" spans="1:26" ht="26.25" x14ac:dyDescent="0.25">
      <c r="A6" s="215" t="s">
        <v>351</v>
      </c>
      <c r="B6" s="215" t="s">
        <v>351</v>
      </c>
      <c r="C6" s="216" t="s">
        <v>353</v>
      </c>
      <c r="D6" s="215" t="s">
        <v>76</v>
      </c>
      <c r="E6" s="216" t="s">
        <v>468</v>
      </c>
      <c r="F6" s="217" t="s">
        <v>443</v>
      </c>
      <c r="G6" s="215" t="s">
        <v>469</v>
      </c>
      <c r="H6" s="217" t="s">
        <v>470</v>
      </c>
      <c r="I6" s="262" t="s">
        <v>1144</v>
      </c>
      <c r="J6" s="262" t="s">
        <v>471</v>
      </c>
      <c r="K6" s="215" t="s">
        <v>472</v>
      </c>
      <c r="L6" s="215" t="s">
        <v>473</v>
      </c>
      <c r="M6" s="215">
        <v>264</v>
      </c>
      <c r="N6" s="215">
        <v>14</v>
      </c>
      <c r="O6" s="262" t="s">
        <v>474</v>
      </c>
      <c r="P6" s="232">
        <v>387</v>
      </c>
      <c r="Q6" s="232">
        <v>14</v>
      </c>
      <c r="R6" s="232">
        <f>ROUND(100*Q6/N6,0)</f>
        <v>100</v>
      </c>
      <c r="S6" s="232">
        <v>48</v>
      </c>
      <c r="T6" s="232">
        <v>4</v>
      </c>
      <c r="U6" s="232">
        <v>387</v>
      </c>
      <c r="V6" s="232">
        <f>Q6</f>
        <v>14</v>
      </c>
      <c r="W6" s="232">
        <v>65</v>
      </c>
      <c r="X6" s="232">
        <v>90384</v>
      </c>
      <c r="Y6" s="192"/>
    </row>
    <row r="7" spans="1:26" ht="45" x14ac:dyDescent="0.25">
      <c r="A7" s="215" t="s">
        <v>351</v>
      </c>
      <c r="B7" s="215" t="s">
        <v>351</v>
      </c>
      <c r="C7" s="216" t="s">
        <v>353</v>
      </c>
      <c r="D7" s="215" t="s">
        <v>76</v>
      </c>
      <c r="E7" s="216" t="s">
        <v>468</v>
      </c>
      <c r="F7" s="217" t="s">
        <v>475</v>
      </c>
      <c r="G7" s="215" t="s">
        <v>476</v>
      </c>
      <c r="H7" s="217" t="s">
        <v>470</v>
      </c>
      <c r="I7" s="262" t="s">
        <v>1144</v>
      </c>
      <c r="J7" s="262" t="s">
        <v>471</v>
      </c>
      <c r="K7" s="215" t="s">
        <v>472</v>
      </c>
      <c r="L7" s="215" t="s">
        <v>473</v>
      </c>
      <c r="M7" s="215">
        <v>188</v>
      </c>
      <c r="N7" s="215">
        <v>9</v>
      </c>
      <c r="O7" s="568" t="s">
        <v>1770</v>
      </c>
      <c r="P7" s="233">
        <v>223</v>
      </c>
      <c r="Q7" s="233">
        <v>6</v>
      </c>
      <c r="R7" s="232">
        <f t="shared" ref="R7:R48" si="0">ROUND(100*Q7/N7,0)</f>
        <v>67</v>
      </c>
      <c r="S7" s="233">
        <v>40</v>
      </c>
      <c r="T7" s="233">
        <v>5</v>
      </c>
      <c r="U7" s="233">
        <v>223</v>
      </c>
      <c r="V7" s="233">
        <v>6</v>
      </c>
      <c r="W7" s="233">
        <v>2</v>
      </c>
      <c r="X7" s="233">
        <v>951</v>
      </c>
      <c r="Y7" s="276" t="s">
        <v>1713</v>
      </c>
    </row>
    <row r="8" spans="1:26" ht="26.25" x14ac:dyDescent="0.25">
      <c r="A8" s="215" t="s">
        <v>351</v>
      </c>
      <c r="B8" s="215" t="s">
        <v>351</v>
      </c>
      <c r="C8" s="216" t="s">
        <v>353</v>
      </c>
      <c r="D8" s="215" t="s">
        <v>76</v>
      </c>
      <c r="E8" s="216" t="s">
        <v>468</v>
      </c>
      <c r="F8" s="217" t="s">
        <v>477</v>
      </c>
      <c r="G8" s="215" t="s">
        <v>478</v>
      </c>
      <c r="H8" s="217" t="s">
        <v>479</v>
      </c>
      <c r="I8" s="262" t="s">
        <v>1144</v>
      </c>
      <c r="J8" s="262" t="s">
        <v>471</v>
      </c>
      <c r="K8" s="215" t="s">
        <v>472</v>
      </c>
      <c r="L8" s="215" t="s">
        <v>473</v>
      </c>
      <c r="M8" s="215">
        <v>5217</v>
      </c>
      <c r="N8" s="215">
        <v>10</v>
      </c>
      <c r="O8" s="262" t="s">
        <v>480</v>
      </c>
      <c r="P8" s="233">
        <v>2526</v>
      </c>
      <c r="Q8" s="233">
        <v>12</v>
      </c>
      <c r="R8" s="232">
        <f t="shared" si="0"/>
        <v>120</v>
      </c>
      <c r="S8" s="233">
        <v>33</v>
      </c>
      <c r="T8" s="233">
        <v>10</v>
      </c>
      <c r="U8" s="233">
        <v>2526</v>
      </c>
      <c r="V8" s="233">
        <v>12</v>
      </c>
      <c r="W8" s="233">
        <v>4</v>
      </c>
      <c r="X8" s="233">
        <v>4398</v>
      </c>
      <c r="Y8" s="191"/>
    </row>
    <row r="9" spans="1:26" ht="26.25" x14ac:dyDescent="0.25">
      <c r="A9" s="215" t="s">
        <v>351</v>
      </c>
      <c r="B9" s="215" t="s">
        <v>481</v>
      </c>
      <c r="C9" s="216" t="s">
        <v>353</v>
      </c>
      <c r="D9" s="215" t="s">
        <v>76</v>
      </c>
      <c r="E9" s="216" t="s">
        <v>468</v>
      </c>
      <c r="F9" s="217" t="s">
        <v>482</v>
      </c>
      <c r="G9" s="215" t="s">
        <v>483</v>
      </c>
      <c r="H9" s="217" t="s">
        <v>484</v>
      </c>
      <c r="I9" s="278" t="s">
        <v>485</v>
      </c>
      <c r="J9" s="262" t="s">
        <v>486</v>
      </c>
      <c r="K9" s="215" t="s">
        <v>472</v>
      </c>
      <c r="L9" s="215" t="s">
        <v>473</v>
      </c>
      <c r="M9" s="215">
        <v>206</v>
      </c>
      <c r="N9" s="215">
        <v>34</v>
      </c>
      <c r="O9" s="568" t="s">
        <v>1771</v>
      </c>
      <c r="P9" s="233">
        <v>252</v>
      </c>
      <c r="Q9" s="233">
        <v>45</v>
      </c>
      <c r="R9" s="232">
        <f t="shared" si="0"/>
        <v>132</v>
      </c>
      <c r="S9" s="233">
        <v>30</v>
      </c>
      <c r="T9" s="233">
        <v>12</v>
      </c>
      <c r="U9" s="233">
        <v>300</v>
      </c>
      <c r="V9" s="233">
        <v>50</v>
      </c>
      <c r="W9" s="233">
        <v>9</v>
      </c>
      <c r="X9" s="233">
        <v>7550</v>
      </c>
      <c r="Y9" s="191"/>
    </row>
    <row r="10" spans="1:26" ht="26.25" x14ac:dyDescent="0.25">
      <c r="A10" s="215" t="s">
        <v>351</v>
      </c>
      <c r="B10" s="215" t="s">
        <v>487</v>
      </c>
      <c r="C10" s="216" t="s">
        <v>353</v>
      </c>
      <c r="D10" s="215" t="s">
        <v>76</v>
      </c>
      <c r="E10" s="216" t="s">
        <v>468</v>
      </c>
      <c r="F10" s="217" t="s">
        <v>482</v>
      </c>
      <c r="G10" s="215" t="s">
        <v>488</v>
      </c>
      <c r="H10" s="217" t="s">
        <v>484</v>
      </c>
      <c r="I10" s="278" t="s">
        <v>485</v>
      </c>
      <c r="J10" s="262" t="s">
        <v>486</v>
      </c>
      <c r="K10" s="215" t="s">
        <v>472</v>
      </c>
      <c r="L10" s="215" t="s">
        <v>473</v>
      </c>
      <c r="M10" s="215">
        <v>76</v>
      </c>
      <c r="N10" s="215">
        <v>30</v>
      </c>
      <c r="O10" s="262" t="s">
        <v>489</v>
      </c>
      <c r="P10" s="233">
        <v>84</v>
      </c>
      <c r="Q10" s="233">
        <v>73</v>
      </c>
      <c r="R10" s="232">
        <f t="shared" si="0"/>
        <v>243</v>
      </c>
      <c r="S10" s="233">
        <v>50</v>
      </c>
      <c r="T10" s="233">
        <v>46</v>
      </c>
      <c r="U10" s="233">
        <v>241</v>
      </c>
      <c r="V10" s="233">
        <v>60</v>
      </c>
      <c r="W10" s="233">
        <v>4</v>
      </c>
      <c r="X10" s="233">
        <v>15111</v>
      </c>
      <c r="Y10" s="191"/>
    </row>
    <row r="11" spans="1:26" ht="26.25" x14ac:dyDescent="0.25">
      <c r="A11" s="215" t="s">
        <v>351</v>
      </c>
      <c r="B11" s="215" t="s">
        <v>490</v>
      </c>
      <c r="C11" s="216" t="s">
        <v>353</v>
      </c>
      <c r="D11" s="215" t="s">
        <v>76</v>
      </c>
      <c r="E11" s="216" t="s">
        <v>468</v>
      </c>
      <c r="F11" s="217" t="s">
        <v>482</v>
      </c>
      <c r="G11" s="215" t="s">
        <v>491</v>
      </c>
      <c r="H11" s="217" t="s">
        <v>484</v>
      </c>
      <c r="I11" s="278" t="s">
        <v>485</v>
      </c>
      <c r="J11" s="262" t="s">
        <v>486</v>
      </c>
      <c r="K11" s="215" t="s">
        <v>472</v>
      </c>
      <c r="L11" s="215" t="s">
        <v>473</v>
      </c>
      <c r="M11" s="215">
        <v>714</v>
      </c>
      <c r="N11" s="215">
        <v>5</v>
      </c>
      <c r="O11" s="262" t="s">
        <v>492</v>
      </c>
      <c r="P11" s="233">
        <v>2526</v>
      </c>
      <c r="Q11" s="233">
        <v>9</v>
      </c>
      <c r="R11" s="232">
        <f t="shared" si="0"/>
        <v>180</v>
      </c>
      <c r="S11" s="233">
        <v>33</v>
      </c>
      <c r="T11" s="233">
        <v>16</v>
      </c>
      <c r="U11" s="233">
        <v>2526</v>
      </c>
      <c r="V11" s="233">
        <v>33</v>
      </c>
      <c r="W11" s="233">
        <v>1</v>
      </c>
      <c r="X11" s="233">
        <v>4120</v>
      </c>
      <c r="Y11" s="191"/>
    </row>
    <row r="12" spans="1:26" ht="45" x14ac:dyDescent="0.25">
      <c r="A12" s="215" t="s">
        <v>351</v>
      </c>
      <c r="B12" s="215" t="s">
        <v>490</v>
      </c>
      <c r="C12" s="216" t="s">
        <v>353</v>
      </c>
      <c r="D12" s="215" t="s">
        <v>76</v>
      </c>
      <c r="E12" s="216" t="s">
        <v>468</v>
      </c>
      <c r="F12" s="217" t="s">
        <v>482</v>
      </c>
      <c r="G12" s="215" t="s">
        <v>493</v>
      </c>
      <c r="H12" s="217" t="s">
        <v>484</v>
      </c>
      <c r="I12" s="278" t="s">
        <v>485</v>
      </c>
      <c r="J12" s="262" t="s">
        <v>494</v>
      </c>
      <c r="K12" s="215" t="s">
        <v>472</v>
      </c>
      <c r="L12" s="215" t="s">
        <v>473</v>
      </c>
      <c r="M12" s="215">
        <v>173</v>
      </c>
      <c r="N12" s="215">
        <v>5</v>
      </c>
      <c r="O12" s="262" t="s">
        <v>495</v>
      </c>
      <c r="P12" s="233">
        <v>127</v>
      </c>
      <c r="Q12" s="233">
        <v>3</v>
      </c>
      <c r="R12" s="232">
        <f t="shared" si="0"/>
        <v>60</v>
      </c>
      <c r="S12" s="233">
        <v>5</v>
      </c>
      <c r="T12" s="233">
        <v>5</v>
      </c>
      <c r="U12" s="233">
        <v>127</v>
      </c>
      <c r="V12" s="233">
        <v>7</v>
      </c>
      <c r="W12" s="233">
        <v>1</v>
      </c>
      <c r="X12" s="233">
        <v>885</v>
      </c>
      <c r="Y12" s="389" t="s">
        <v>1600</v>
      </c>
    </row>
    <row r="13" spans="1:26" ht="26.25" x14ac:dyDescent="0.25">
      <c r="A13" s="215" t="s">
        <v>351</v>
      </c>
      <c r="B13" s="215" t="s">
        <v>351</v>
      </c>
      <c r="C13" s="216" t="s">
        <v>353</v>
      </c>
      <c r="D13" s="215" t="s">
        <v>76</v>
      </c>
      <c r="E13" s="216" t="s">
        <v>496</v>
      </c>
      <c r="F13" s="217" t="s">
        <v>443</v>
      </c>
      <c r="G13" s="215" t="s">
        <v>497</v>
      </c>
      <c r="H13" s="217" t="s">
        <v>470</v>
      </c>
      <c r="I13" s="262" t="s">
        <v>1144</v>
      </c>
      <c r="J13" s="262" t="s">
        <v>471</v>
      </c>
      <c r="K13" s="215" t="s">
        <v>472</v>
      </c>
      <c r="L13" s="215" t="s">
        <v>473</v>
      </c>
      <c r="M13" s="215">
        <v>195</v>
      </c>
      <c r="N13" s="215">
        <v>4</v>
      </c>
      <c r="O13" s="262" t="s">
        <v>498</v>
      </c>
      <c r="P13" s="233">
        <v>270</v>
      </c>
      <c r="Q13" s="233">
        <v>9</v>
      </c>
      <c r="R13" s="232">
        <f t="shared" si="0"/>
        <v>225</v>
      </c>
      <c r="S13" s="233">
        <v>44</v>
      </c>
      <c r="T13" s="233">
        <v>6</v>
      </c>
      <c r="U13" s="233">
        <v>270</v>
      </c>
      <c r="V13" s="233">
        <f>Q13</f>
        <v>9</v>
      </c>
      <c r="W13" s="233">
        <v>38</v>
      </c>
      <c r="X13" s="233">
        <v>10711</v>
      </c>
      <c r="Y13" s="191"/>
    </row>
    <row r="14" spans="1:26" ht="45" x14ac:dyDescent="0.25">
      <c r="A14" s="215" t="s">
        <v>351</v>
      </c>
      <c r="B14" s="215" t="s">
        <v>351</v>
      </c>
      <c r="C14" s="216" t="s">
        <v>353</v>
      </c>
      <c r="D14" s="215" t="s">
        <v>76</v>
      </c>
      <c r="E14" s="216" t="s">
        <v>496</v>
      </c>
      <c r="F14" s="217" t="s">
        <v>475</v>
      </c>
      <c r="G14" s="215" t="s">
        <v>499</v>
      </c>
      <c r="H14" s="217" t="s">
        <v>470</v>
      </c>
      <c r="I14" s="262" t="s">
        <v>1144</v>
      </c>
      <c r="J14" s="262" t="s">
        <v>471</v>
      </c>
      <c r="K14" s="215" t="s">
        <v>472</v>
      </c>
      <c r="L14" s="215" t="s">
        <v>473</v>
      </c>
      <c r="M14" s="215">
        <v>165</v>
      </c>
      <c r="N14" s="215">
        <v>4</v>
      </c>
      <c r="O14" s="262" t="s">
        <v>500</v>
      </c>
      <c r="P14" s="233">
        <v>105</v>
      </c>
      <c r="Q14" s="233">
        <v>2</v>
      </c>
      <c r="R14" s="232">
        <f t="shared" si="0"/>
        <v>50</v>
      </c>
      <c r="S14" s="233">
        <v>17</v>
      </c>
      <c r="T14" s="233">
        <v>2</v>
      </c>
      <c r="U14" s="233">
        <v>105</v>
      </c>
      <c r="V14" s="233">
        <v>2</v>
      </c>
      <c r="W14" s="233">
        <v>1</v>
      </c>
      <c r="X14" s="233">
        <v>1187</v>
      </c>
      <c r="Y14" s="276" t="s">
        <v>1713</v>
      </c>
    </row>
    <row r="15" spans="1:26" ht="45" x14ac:dyDescent="0.25">
      <c r="A15" s="215" t="s">
        <v>351</v>
      </c>
      <c r="B15" s="215" t="s">
        <v>351</v>
      </c>
      <c r="C15" s="216" t="s">
        <v>353</v>
      </c>
      <c r="D15" s="215" t="s">
        <v>76</v>
      </c>
      <c r="E15" s="216" t="s">
        <v>496</v>
      </c>
      <c r="F15" s="217" t="s">
        <v>477</v>
      </c>
      <c r="G15" s="215" t="s">
        <v>501</v>
      </c>
      <c r="H15" s="217" t="s">
        <v>470</v>
      </c>
      <c r="I15" s="262" t="s">
        <v>1144</v>
      </c>
      <c r="J15" s="262" t="s">
        <v>471</v>
      </c>
      <c r="K15" s="215" t="s">
        <v>472</v>
      </c>
      <c r="L15" s="215" t="s">
        <v>473</v>
      </c>
      <c r="M15" s="215">
        <v>1111</v>
      </c>
      <c r="N15" s="215">
        <v>12</v>
      </c>
      <c r="O15" s="262" t="s">
        <v>502</v>
      </c>
      <c r="P15" s="233">
        <v>662</v>
      </c>
      <c r="Q15" s="233">
        <v>9</v>
      </c>
      <c r="R15" s="232">
        <f t="shared" si="0"/>
        <v>75</v>
      </c>
      <c r="S15" s="233">
        <v>42</v>
      </c>
      <c r="T15" s="233">
        <v>4</v>
      </c>
      <c r="U15" s="233">
        <v>662</v>
      </c>
      <c r="V15" s="233">
        <f>Q15</f>
        <v>9</v>
      </c>
      <c r="W15" s="233">
        <v>39</v>
      </c>
      <c r="X15" s="233">
        <v>7434</v>
      </c>
      <c r="Y15" s="276" t="s">
        <v>1713</v>
      </c>
    </row>
    <row r="16" spans="1:26" ht="30" x14ac:dyDescent="0.25">
      <c r="A16" s="215" t="s">
        <v>351</v>
      </c>
      <c r="B16" s="215" t="s">
        <v>351</v>
      </c>
      <c r="C16" s="216" t="s">
        <v>353</v>
      </c>
      <c r="D16" s="215" t="s">
        <v>76</v>
      </c>
      <c r="E16" s="216" t="s">
        <v>496</v>
      </c>
      <c r="F16" s="217" t="s">
        <v>503</v>
      </c>
      <c r="G16" s="215" t="s">
        <v>504</v>
      </c>
      <c r="H16" s="217" t="s">
        <v>470</v>
      </c>
      <c r="I16" s="262" t="s">
        <v>1144</v>
      </c>
      <c r="J16" s="262" t="s">
        <v>471</v>
      </c>
      <c r="K16" s="215" t="s">
        <v>472</v>
      </c>
      <c r="L16" s="215" t="s">
        <v>473</v>
      </c>
      <c r="M16" s="215">
        <v>2144</v>
      </c>
      <c r="N16" s="215">
        <v>5</v>
      </c>
      <c r="O16" s="262" t="s">
        <v>505</v>
      </c>
      <c r="P16" s="233">
        <v>2373</v>
      </c>
      <c r="Q16" s="233">
        <v>3</v>
      </c>
      <c r="R16" s="232">
        <f t="shared" si="0"/>
        <v>60</v>
      </c>
      <c r="S16" s="233">
        <v>28</v>
      </c>
      <c r="T16" s="233">
        <v>2</v>
      </c>
      <c r="U16" s="233">
        <v>2373</v>
      </c>
      <c r="V16" s="233">
        <v>3</v>
      </c>
      <c r="W16" s="233">
        <v>1</v>
      </c>
      <c r="X16" s="233">
        <v>5704</v>
      </c>
      <c r="Y16" s="293" t="s">
        <v>1672</v>
      </c>
      <c r="Z16" s="516"/>
    </row>
    <row r="17" spans="1:26" ht="30" x14ac:dyDescent="0.25">
      <c r="A17" s="215" t="s">
        <v>351</v>
      </c>
      <c r="B17" s="215" t="s">
        <v>351</v>
      </c>
      <c r="C17" s="216" t="s">
        <v>353</v>
      </c>
      <c r="D17" s="215" t="s">
        <v>76</v>
      </c>
      <c r="E17" s="216" t="s">
        <v>496</v>
      </c>
      <c r="F17" s="217" t="s">
        <v>503</v>
      </c>
      <c r="G17" s="215" t="s">
        <v>506</v>
      </c>
      <c r="H17" s="217" t="s">
        <v>470</v>
      </c>
      <c r="I17" s="262" t="s">
        <v>1144</v>
      </c>
      <c r="J17" s="262" t="s">
        <v>471</v>
      </c>
      <c r="K17" s="215" t="s">
        <v>472</v>
      </c>
      <c r="L17" s="215" t="s">
        <v>473</v>
      </c>
      <c r="M17" s="215">
        <v>2485</v>
      </c>
      <c r="N17" s="216">
        <v>5</v>
      </c>
      <c r="O17" s="262" t="s">
        <v>507</v>
      </c>
      <c r="P17" s="233">
        <v>3266</v>
      </c>
      <c r="Q17" s="233">
        <v>0</v>
      </c>
      <c r="R17" s="232">
        <f t="shared" si="0"/>
        <v>0</v>
      </c>
      <c r="S17" s="233">
        <v>53</v>
      </c>
      <c r="T17" s="233">
        <v>0</v>
      </c>
      <c r="U17" s="233">
        <v>3266</v>
      </c>
      <c r="V17" s="233">
        <v>0</v>
      </c>
      <c r="W17" s="233">
        <v>0</v>
      </c>
      <c r="X17" s="233">
        <v>0</v>
      </c>
      <c r="Y17" s="276" t="s">
        <v>1601</v>
      </c>
      <c r="Z17" s="390"/>
    </row>
    <row r="18" spans="1:26" ht="45" x14ac:dyDescent="0.25">
      <c r="A18" s="215" t="s">
        <v>351</v>
      </c>
      <c r="B18" s="215" t="s">
        <v>351</v>
      </c>
      <c r="C18" s="216" t="s">
        <v>353</v>
      </c>
      <c r="D18" s="215" t="s">
        <v>76</v>
      </c>
      <c r="E18" s="216" t="s">
        <v>496</v>
      </c>
      <c r="F18" s="217" t="s">
        <v>477</v>
      </c>
      <c r="G18" s="215" t="s">
        <v>508</v>
      </c>
      <c r="H18" s="217" t="s">
        <v>479</v>
      </c>
      <c r="I18" s="262" t="s">
        <v>1144</v>
      </c>
      <c r="J18" s="262" t="s">
        <v>471</v>
      </c>
      <c r="K18" s="215" t="s">
        <v>472</v>
      </c>
      <c r="L18" s="215" t="s">
        <v>473</v>
      </c>
      <c r="M18" s="215">
        <v>480</v>
      </c>
      <c r="N18" s="215">
        <v>10</v>
      </c>
      <c r="O18" s="262" t="s">
        <v>509</v>
      </c>
      <c r="P18" s="233">
        <v>698</v>
      </c>
      <c r="Q18" s="233">
        <v>12</v>
      </c>
      <c r="R18" s="232">
        <f t="shared" si="0"/>
        <v>120</v>
      </c>
      <c r="S18" s="233">
        <v>15</v>
      </c>
      <c r="T18" s="233">
        <v>7</v>
      </c>
      <c r="U18" s="233">
        <v>698</v>
      </c>
      <c r="V18" s="233">
        <v>12</v>
      </c>
      <c r="W18" s="233">
        <v>4</v>
      </c>
      <c r="X18" s="233">
        <v>6706</v>
      </c>
      <c r="Y18" s="293" t="s">
        <v>1602</v>
      </c>
    </row>
    <row r="19" spans="1:26" ht="26.25" x14ac:dyDescent="0.25">
      <c r="A19" s="215" t="s">
        <v>351</v>
      </c>
      <c r="B19" s="215" t="s">
        <v>351</v>
      </c>
      <c r="C19" s="216" t="s">
        <v>353</v>
      </c>
      <c r="D19" s="215" t="s">
        <v>76</v>
      </c>
      <c r="E19" s="216" t="s">
        <v>496</v>
      </c>
      <c r="F19" s="217" t="s">
        <v>482</v>
      </c>
      <c r="G19" s="215" t="s">
        <v>510</v>
      </c>
      <c r="H19" s="217" t="s">
        <v>484</v>
      </c>
      <c r="I19" s="278" t="s">
        <v>485</v>
      </c>
      <c r="J19" s="262" t="s">
        <v>486</v>
      </c>
      <c r="K19" s="215" t="s">
        <v>472</v>
      </c>
      <c r="L19" s="215" t="s">
        <v>473</v>
      </c>
      <c r="M19" s="215">
        <v>94</v>
      </c>
      <c r="N19" s="215">
        <v>14</v>
      </c>
      <c r="O19" s="262" t="s">
        <v>511</v>
      </c>
      <c r="P19" s="233">
        <v>361</v>
      </c>
      <c r="Q19" s="233">
        <v>19</v>
      </c>
      <c r="R19" s="232">
        <f t="shared" si="0"/>
        <v>136</v>
      </c>
      <c r="S19" s="233">
        <v>58</v>
      </c>
      <c r="T19" s="233">
        <v>5</v>
      </c>
      <c r="U19" s="233">
        <v>422</v>
      </c>
      <c r="V19" s="233">
        <v>19</v>
      </c>
      <c r="W19" s="233">
        <v>9</v>
      </c>
      <c r="X19" s="233">
        <v>3851</v>
      </c>
      <c r="Y19" s="191"/>
    </row>
    <row r="20" spans="1:26" ht="63.75" x14ac:dyDescent="0.25">
      <c r="A20" s="215" t="s">
        <v>351</v>
      </c>
      <c r="B20" s="215" t="s">
        <v>351</v>
      </c>
      <c r="C20" s="216" t="s">
        <v>353</v>
      </c>
      <c r="D20" s="215" t="s">
        <v>76</v>
      </c>
      <c r="E20" s="216" t="s">
        <v>496</v>
      </c>
      <c r="F20" s="217" t="s">
        <v>482</v>
      </c>
      <c r="G20" s="215" t="s">
        <v>512</v>
      </c>
      <c r="H20" s="217" t="s">
        <v>470</v>
      </c>
      <c r="I20" s="262" t="s">
        <v>1144</v>
      </c>
      <c r="J20" s="262" t="s">
        <v>471</v>
      </c>
      <c r="K20" s="215" t="s">
        <v>472</v>
      </c>
      <c r="L20" s="215" t="s">
        <v>473</v>
      </c>
      <c r="M20" s="215">
        <v>1111</v>
      </c>
      <c r="N20" s="215">
        <v>55</v>
      </c>
      <c r="O20" s="262" t="s">
        <v>513</v>
      </c>
      <c r="P20" s="233">
        <v>662</v>
      </c>
      <c r="Q20" s="233">
        <v>23</v>
      </c>
      <c r="R20" s="232">
        <f t="shared" si="0"/>
        <v>42</v>
      </c>
      <c r="S20" s="233">
        <v>42</v>
      </c>
      <c r="T20" s="233">
        <v>3</v>
      </c>
      <c r="U20" s="233">
        <v>662</v>
      </c>
      <c r="V20" s="233">
        <v>23</v>
      </c>
      <c r="W20" s="233">
        <v>1</v>
      </c>
      <c r="X20" s="233">
        <f>15938</f>
        <v>15938</v>
      </c>
      <c r="Y20" s="448" t="s">
        <v>1710</v>
      </c>
    </row>
    <row r="21" spans="1:26" ht="26.25" x14ac:dyDescent="0.25">
      <c r="A21" s="215" t="s">
        <v>351</v>
      </c>
      <c r="B21" s="215" t="s">
        <v>351</v>
      </c>
      <c r="C21" s="216" t="s">
        <v>353</v>
      </c>
      <c r="D21" s="215" t="s">
        <v>76</v>
      </c>
      <c r="E21" s="216" t="s">
        <v>514</v>
      </c>
      <c r="F21" s="217" t="s">
        <v>443</v>
      </c>
      <c r="G21" s="215" t="s">
        <v>515</v>
      </c>
      <c r="H21" s="217" t="s">
        <v>470</v>
      </c>
      <c r="I21" s="262" t="s">
        <v>1144</v>
      </c>
      <c r="J21" s="262" t="s">
        <v>471</v>
      </c>
      <c r="K21" s="215" t="s">
        <v>472</v>
      </c>
      <c r="L21" s="215" t="s">
        <v>473</v>
      </c>
      <c r="M21" s="215">
        <v>1870</v>
      </c>
      <c r="N21" s="215">
        <v>8</v>
      </c>
      <c r="O21" s="262" t="s">
        <v>516</v>
      </c>
      <c r="P21" s="233">
        <v>1533</v>
      </c>
      <c r="Q21" s="233">
        <v>15</v>
      </c>
      <c r="R21" s="232">
        <f t="shared" si="0"/>
        <v>188</v>
      </c>
      <c r="S21" s="233">
        <v>103</v>
      </c>
      <c r="T21" s="233">
        <v>12</v>
      </c>
      <c r="U21" s="233">
        <v>1533</v>
      </c>
      <c r="V21" s="233">
        <f>Q21</f>
        <v>15</v>
      </c>
      <c r="W21" s="233">
        <v>69</v>
      </c>
      <c r="X21" s="233">
        <v>64568</v>
      </c>
      <c r="Y21" s="191"/>
    </row>
    <row r="22" spans="1:26" ht="26.25" x14ac:dyDescent="0.25">
      <c r="A22" s="215" t="s">
        <v>351</v>
      </c>
      <c r="B22" s="215" t="s">
        <v>351</v>
      </c>
      <c r="C22" s="216" t="s">
        <v>353</v>
      </c>
      <c r="D22" s="215" t="s">
        <v>76</v>
      </c>
      <c r="E22" s="216" t="s">
        <v>514</v>
      </c>
      <c r="F22" s="217" t="s">
        <v>443</v>
      </c>
      <c r="G22" s="215" t="s">
        <v>517</v>
      </c>
      <c r="H22" s="217" t="s">
        <v>470</v>
      </c>
      <c r="I22" s="262" t="s">
        <v>1144</v>
      </c>
      <c r="J22" s="262" t="s">
        <v>471</v>
      </c>
      <c r="K22" s="215" t="s">
        <v>472</v>
      </c>
      <c r="L22" s="215" t="s">
        <v>473</v>
      </c>
      <c r="M22" s="215">
        <v>462</v>
      </c>
      <c r="N22" s="215">
        <v>7</v>
      </c>
      <c r="O22" s="262" t="s">
        <v>518</v>
      </c>
      <c r="P22" s="233">
        <v>472</v>
      </c>
      <c r="Q22" s="233">
        <v>6</v>
      </c>
      <c r="R22" s="232">
        <f t="shared" si="0"/>
        <v>86</v>
      </c>
      <c r="S22" s="233">
        <v>14</v>
      </c>
      <c r="T22" s="233">
        <v>3</v>
      </c>
      <c r="U22" s="233">
        <v>472</v>
      </c>
      <c r="V22" s="233">
        <f>Q22</f>
        <v>6</v>
      </c>
      <c r="W22" s="233">
        <v>37</v>
      </c>
      <c r="X22" s="233">
        <v>12921</v>
      </c>
      <c r="Y22" s="191" t="s">
        <v>1717</v>
      </c>
    </row>
    <row r="23" spans="1:26" ht="26.25" x14ac:dyDescent="0.25">
      <c r="A23" s="215" t="s">
        <v>351</v>
      </c>
      <c r="B23" s="215" t="s">
        <v>351</v>
      </c>
      <c r="C23" s="216" t="s">
        <v>353</v>
      </c>
      <c r="D23" s="215" t="s">
        <v>76</v>
      </c>
      <c r="E23" s="216" t="s">
        <v>514</v>
      </c>
      <c r="F23" s="217" t="s">
        <v>443</v>
      </c>
      <c r="G23" s="215" t="s">
        <v>519</v>
      </c>
      <c r="H23" s="217" t="s">
        <v>470</v>
      </c>
      <c r="I23" s="262" t="s">
        <v>1144</v>
      </c>
      <c r="J23" s="262" t="s">
        <v>471</v>
      </c>
      <c r="K23" s="215" t="s">
        <v>472</v>
      </c>
      <c r="L23" s="215" t="s">
        <v>473</v>
      </c>
      <c r="M23" s="215">
        <v>327</v>
      </c>
      <c r="N23" s="215">
        <v>8</v>
      </c>
      <c r="O23" s="262" t="s">
        <v>520</v>
      </c>
      <c r="P23" s="233">
        <v>271</v>
      </c>
      <c r="Q23" s="233">
        <v>2</v>
      </c>
      <c r="R23" s="232">
        <f t="shared" si="0"/>
        <v>25</v>
      </c>
      <c r="S23" s="233">
        <v>10</v>
      </c>
      <c r="T23" s="233">
        <v>1</v>
      </c>
      <c r="U23" s="233">
        <v>271</v>
      </c>
      <c r="V23" s="233">
        <f>Q23</f>
        <v>2</v>
      </c>
      <c r="W23" s="233">
        <v>33</v>
      </c>
      <c r="X23" s="233">
        <v>2378</v>
      </c>
      <c r="Y23" s="191" t="s">
        <v>1717</v>
      </c>
    </row>
    <row r="24" spans="1:26" ht="45" x14ac:dyDescent="0.25">
      <c r="A24" s="215" t="s">
        <v>351</v>
      </c>
      <c r="B24" s="215" t="s">
        <v>351</v>
      </c>
      <c r="C24" s="216" t="s">
        <v>353</v>
      </c>
      <c r="D24" s="215" t="s">
        <v>76</v>
      </c>
      <c r="E24" s="216" t="s">
        <v>514</v>
      </c>
      <c r="F24" s="217" t="s">
        <v>475</v>
      </c>
      <c r="G24" s="215" t="s">
        <v>521</v>
      </c>
      <c r="H24" s="217" t="s">
        <v>470</v>
      </c>
      <c r="I24" s="262" t="s">
        <v>1144</v>
      </c>
      <c r="J24" s="262" t="s">
        <v>471</v>
      </c>
      <c r="K24" s="215" t="s">
        <v>472</v>
      </c>
      <c r="L24" s="215" t="s">
        <v>473</v>
      </c>
      <c r="M24" s="215">
        <v>217</v>
      </c>
      <c r="N24" s="215">
        <v>10</v>
      </c>
      <c r="O24" s="262" t="s">
        <v>522</v>
      </c>
      <c r="P24" s="233">
        <v>70</v>
      </c>
      <c r="Q24" s="233">
        <v>6</v>
      </c>
      <c r="R24" s="232">
        <f t="shared" si="0"/>
        <v>60</v>
      </c>
      <c r="S24" s="233">
        <v>21</v>
      </c>
      <c r="T24" s="233">
        <v>6</v>
      </c>
      <c r="U24" s="233">
        <v>70</v>
      </c>
      <c r="V24" s="233">
        <v>6</v>
      </c>
      <c r="W24" s="233">
        <v>3</v>
      </c>
      <c r="X24" s="233">
        <v>1189</v>
      </c>
      <c r="Y24" s="276" t="s">
        <v>1713</v>
      </c>
    </row>
    <row r="25" spans="1:26" ht="45" x14ac:dyDescent="0.25">
      <c r="A25" s="215" t="s">
        <v>351</v>
      </c>
      <c r="B25" s="215" t="s">
        <v>351</v>
      </c>
      <c r="C25" s="216" t="s">
        <v>353</v>
      </c>
      <c r="D25" s="215" t="s">
        <v>76</v>
      </c>
      <c r="E25" s="216" t="s">
        <v>514</v>
      </c>
      <c r="F25" s="217" t="s">
        <v>443</v>
      </c>
      <c r="G25" s="215" t="s">
        <v>523</v>
      </c>
      <c r="H25" s="217" t="s">
        <v>470</v>
      </c>
      <c r="I25" s="262" t="s">
        <v>1144</v>
      </c>
      <c r="J25" s="262" t="s">
        <v>471</v>
      </c>
      <c r="K25" s="215" t="s">
        <v>472</v>
      </c>
      <c r="L25" s="215" t="s">
        <v>473</v>
      </c>
      <c r="M25" s="215">
        <v>716</v>
      </c>
      <c r="N25" s="215">
        <v>2</v>
      </c>
      <c r="O25" s="262" t="s">
        <v>524</v>
      </c>
      <c r="P25" s="233">
        <v>498</v>
      </c>
      <c r="Q25" s="233">
        <v>1</v>
      </c>
      <c r="R25" s="232">
        <f t="shared" si="0"/>
        <v>50</v>
      </c>
      <c r="S25" s="233">
        <v>21</v>
      </c>
      <c r="T25" s="233">
        <v>1</v>
      </c>
      <c r="U25" s="233">
        <v>498</v>
      </c>
      <c r="V25" s="233">
        <f>Q25</f>
        <v>1</v>
      </c>
      <c r="W25" s="233">
        <v>19</v>
      </c>
      <c r="X25" s="233">
        <v>358</v>
      </c>
      <c r="Y25" s="276" t="s">
        <v>1713</v>
      </c>
    </row>
    <row r="26" spans="1:26" ht="45" x14ac:dyDescent="0.25">
      <c r="A26" s="215" t="s">
        <v>351</v>
      </c>
      <c r="B26" s="215" t="s">
        <v>351</v>
      </c>
      <c r="C26" s="216" t="s">
        <v>353</v>
      </c>
      <c r="D26" s="215" t="s">
        <v>76</v>
      </c>
      <c r="E26" s="216" t="s">
        <v>514</v>
      </c>
      <c r="F26" s="217" t="s">
        <v>477</v>
      </c>
      <c r="G26" s="215" t="s">
        <v>525</v>
      </c>
      <c r="H26" s="217" t="s">
        <v>470</v>
      </c>
      <c r="I26" s="262" t="s">
        <v>1144</v>
      </c>
      <c r="J26" s="262" t="s">
        <v>471</v>
      </c>
      <c r="K26" s="215" t="s">
        <v>472</v>
      </c>
      <c r="L26" s="215" t="s">
        <v>473</v>
      </c>
      <c r="M26" s="215">
        <v>795</v>
      </c>
      <c r="N26" s="215">
        <v>13</v>
      </c>
      <c r="O26" s="262" t="s">
        <v>526</v>
      </c>
      <c r="P26" s="233">
        <v>459</v>
      </c>
      <c r="Q26" s="233">
        <v>3</v>
      </c>
      <c r="R26" s="232">
        <f t="shared" si="0"/>
        <v>23</v>
      </c>
      <c r="S26" s="233">
        <v>84</v>
      </c>
      <c r="T26" s="233">
        <v>2</v>
      </c>
      <c r="U26" s="233">
        <v>459</v>
      </c>
      <c r="V26" s="233">
        <f>Q26</f>
        <v>3</v>
      </c>
      <c r="W26" s="233">
        <v>55</v>
      </c>
      <c r="X26" s="233">
        <v>15831</v>
      </c>
      <c r="Y26" s="276" t="s">
        <v>1713</v>
      </c>
    </row>
    <row r="27" spans="1:26" ht="75" x14ac:dyDescent="0.25">
      <c r="A27" s="215" t="s">
        <v>351</v>
      </c>
      <c r="B27" s="215" t="s">
        <v>351</v>
      </c>
      <c r="C27" s="216" t="s">
        <v>353</v>
      </c>
      <c r="D27" s="215" t="s">
        <v>76</v>
      </c>
      <c r="E27" s="216" t="s">
        <v>514</v>
      </c>
      <c r="F27" s="217" t="s">
        <v>503</v>
      </c>
      <c r="G27" s="215" t="s">
        <v>527</v>
      </c>
      <c r="H27" s="217" t="s">
        <v>470</v>
      </c>
      <c r="I27" s="262" t="s">
        <v>1144</v>
      </c>
      <c r="J27" s="262" t="s">
        <v>471</v>
      </c>
      <c r="K27" s="215" t="s">
        <v>472</v>
      </c>
      <c r="L27" s="215" t="s">
        <v>473</v>
      </c>
      <c r="M27" s="215">
        <v>98</v>
      </c>
      <c r="N27" s="215">
        <v>4</v>
      </c>
      <c r="O27" s="262" t="s">
        <v>528</v>
      </c>
      <c r="P27" s="233">
        <v>592</v>
      </c>
      <c r="Q27" s="233">
        <v>1</v>
      </c>
      <c r="R27" s="232">
        <f t="shared" si="0"/>
        <v>25</v>
      </c>
      <c r="S27" s="233">
        <v>7</v>
      </c>
      <c r="T27" s="233">
        <v>1</v>
      </c>
      <c r="U27" s="233">
        <v>592</v>
      </c>
      <c r="V27" s="233">
        <v>2</v>
      </c>
      <c r="W27" s="233">
        <v>1</v>
      </c>
      <c r="X27" s="233">
        <v>7225</v>
      </c>
      <c r="Y27" s="276" t="s">
        <v>1778</v>
      </c>
      <c r="Z27" s="390"/>
    </row>
    <row r="28" spans="1:26" ht="60" x14ac:dyDescent="0.25">
      <c r="A28" s="215" t="s">
        <v>351</v>
      </c>
      <c r="B28" s="215" t="s">
        <v>351</v>
      </c>
      <c r="C28" s="216" t="s">
        <v>353</v>
      </c>
      <c r="D28" s="215" t="s">
        <v>76</v>
      </c>
      <c r="E28" s="216" t="s">
        <v>514</v>
      </c>
      <c r="F28" s="217" t="s">
        <v>477</v>
      </c>
      <c r="G28" s="215" t="s">
        <v>529</v>
      </c>
      <c r="H28" s="217" t="s">
        <v>479</v>
      </c>
      <c r="I28" s="262" t="s">
        <v>1144</v>
      </c>
      <c r="J28" s="262" t="s">
        <v>471</v>
      </c>
      <c r="K28" s="215" t="s">
        <v>472</v>
      </c>
      <c r="L28" s="215" t="s">
        <v>473</v>
      </c>
      <c r="M28" s="215">
        <v>263</v>
      </c>
      <c r="N28" s="215">
        <v>10</v>
      </c>
      <c r="O28" s="262" t="s">
        <v>530</v>
      </c>
      <c r="P28" s="233">
        <v>408</v>
      </c>
      <c r="Q28" s="233">
        <v>4</v>
      </c>
      <c r="R28" s="232">
        <f t="shared" si="0"/>
        <v>40</v>
      </c>
      <c r="S28" s="233">
        <v>10</v>
      </c>
      <c r="T28" s="233">
        <v>3</v>
      </c>
      <c r="U28" s="233">
        <v>408</v>
      </c>
      <c r="V28" s="233">
        <v>4</v>
      </c>
      <c r="W28" s="233">
        <v>4</v>
      </c>
      <c r="X28" s="233">
        <v>818</v>
      </c>
      <c r="Y28" s="276" t="s">
        <v>1604</v>
      </c>
      <c r="Z28" s="390"/>
    </row>
    <row r="29" spans="1:26" ht="26.25" x14ac:dyDescent="0.25">
      <c r="A29" s="215" t="s">
        <v>351</v>
      </c>
      <c r="B29" s="215" t="s">
        <v>351</v>
      </c>
      <c r="C29" s="216" t="s">
        <v>353</v>
      </c>
      <c r="D29" s="215" t="s">
        <v>76</v>
      </c>
      <c r="E29" s="216" t="s">
        <v>514</v>
      </c>
      <c r="F29" s="217" t="s">
        <v>482</v>
      </c>
      <c r="G29" s="215" t="s">
        <v>531</v>
      </c>
      <c r="H29" s="217" t="s">
        <v>484</v>
      </c>
      <c r="I29" s="278" t="s">
        <v>485</v>
      </c>
      <c r="J29" s="262" t="s">
        <v>486</v>
      </c>
      <c r="K29" s="215" t="s">
        <v>472</v>
      </c>
      <c r="L29" s="215" t="s">
        <v>473</v>
      </c>
      <c r="M29" s="215">
        <v>1440</v>
      </c>
      <c r="N29" s="219">
        <v>79</v>
      </c>
      <c r="O29" s="262" t="s">
        <v>532</v>
      </c>
      <c r="P29" s="233">
        <v>1679</v>
      </c>
      <c r="Q29" s="233">
        <v>90</v>
      </c>
      <c r="R29" s="232">
        <f t="shared" si="0"/>
        <v>114</v>
      </c>
      <c r="S29" s="233">
        <v>140</v>
      </c>
      <c r="T29" s="233">
        <v>36</v>
      </c>
      <c r="U29" s="233">
        <v>2762</v>
      </c>
      <c r="V29" s="233">
        <v>102</v>
      </c>
      <c r="W29" s="233">
        <v>15</v>
      </c>
      <c r="X29" s="233">
        <v>19613</v>
      </c>
      <c r="Y29" s="191"/>
    </row>
    <row r="30" spans="1:26" ht="26.25" x14ac:dyDescent="0.25">
      <c r="A30" s="215" t="s">
        <v>351</v>
      </c>
      <c r="B30" s="215" t="s">
        <v>351</v>
      </c>
      <c r="C30" s="216" t="s">
        <v>353</v>
      </c>
      <c r="D30" s="215" t="s">
        <v>76</v>
      </c>
      <c r="E30" s="216" t="s">
        <v>514</v>
      </c>
      <c r="F30" s="217" t="s">
        <v>482</v>
      </c>
      <c r="G30" s="215" t="s">
        <v>533</v>
      </c>
      <c r="H30" s="217" t="s">
        <v>484</v>
      </c>
      <c r="I30" s="278" t="s">
        <v>485</v>
      </c>
      <c r="J30" s="262" t="s">
        <v>486</v>
      </c>
      <c r="K30" s="215" t="s">
        <v>472</v>
      </c>
      <c r="L30" s="215" t="s">
        <v>473</v>
      </c>
      <c r="M30" s="215">
        <v>127</v>
      </c>
      <c r="N30" s="215">
        <v>30</v>
      </c>
      <c r="O30" s="262" t="s">
        <v>534</v>
      </c>
      <c r="P30" s="233">
        <v>119</v>
      </c>
      <c r="Q30" s="233">
        <v>28</v>
      </c>
      <c r="R30" s="232">
        <f t="shared" si="0"/>
        <v>93</v>
      </c>
      <c r="S30" s="233">
        <v>32</v>
      </c>
      <c r="T30" s="233">
        <v>16</v>
      </c>
      <c r="U30" s="233">
        <v>203</v>
      </c>
      <c r="V30" s="233">
        <v>22</v>
      </c>
      <c r="W30" s="233">
        <v>3</v>
      </c>
      <c r="X30" s="233">
        <v>4804</v>
      </c>
      <c r="Y30" s="191"/>
    </row>
    <row r="31" spans="1:26" ht="75" x14ac:dyDescent="0.25">
      <c r="A31" s="215" t="s">
        <v>351</v>
      </c>
      <c r="B31" s="215" t="s">
        <v>351</v>
      </c>
      <c r="C31" s="216" t="s">
        <v>353</v>
      </c>
      <c r="D31" s="215" t="s">
        <v>76</v>
      </c>
      <c r="E31" s="216" t="s">
        <v>535</v>
      </c>
      <c r="F31" s="217" t="s">
        <v>482</v>
      </c>
      <c r="G31" s="215" t="s">
        <v>536</v>
      </c>
      <c r="H31" s="217" t="s">
        <v>470</v>
      </c>
      <c r="I31" s="278" t="s">
        <v>485</v>
      </c>
      <c r="J31" s="262" t="s">
        <v>471</v>
      </c>
      <c r="K31" s="215" t="s">
        <v>472</v>
      </c>
      <c r="L31" s="215" t="s">
        <v>473</v>
      </c>
      <c r="M31" s="215">
        <v>794</v>
      </c>
      <c r="N31" s="215">
        <v>100</v>
      </c>
      <c r="O31" s="262" t="s">
        <v>537</v>
      </c>
      <c r="P31" s="233">
        <v>1125</v>
      </c>
      <c r="Q31" s="233">
        <v>55</v>
      </c>
      <c r="R31" s="232">
        <f t="shared" si="0"/>
        <v>55</v>
      </c>
      <c r="S31" s="233">
        <v>104</v>
      </c>
      <c r="T31" s="233">
        <v>12</v>
      </c>
      <c r="U31" s="233">
        <v>1125</v>
      </c>
      <c r="V31" s="233">
        <v>55</v>
      </c>
      <c r="W31" s="233">
        <v>1</v>
      </c>
      <c r="X31" s="233">
        <v>38864</v>
      </c>
      <c r="Y31" s="293" t="s">
        <v>1711</v>
      </c>
    </row>
    <row r="32" spans="1:26" ht="39" x14ac:dyDescent="0.25">
      <c r="A32" s="215" t="s">
        <v>351</v>
      </c>
      <c r="B32" s="215" t="s">
        <v>351</v>
      </c>
      <c r="C32" s="216" t="s">
        <v>353</v>
      </c>
      <c r="D32" s="215" t="s">
        <v>76</v>
      </c>
      <c r="E32" s="216" t="s">
        <v>514</v>
      </c>
      <c r="F32" s="217" t="s">
        <v>482</v>
      </c>
      <c r="G32" s="215" t="s">
        <v>538</v>
      </c>
      <c r="H32" s="217" t="s">
        <v>484</v>
      </c>
      <c r="I32" s="278" t="s">
        <v>485</v>
      </c>
      <c r="J32" s="262" t="s">
        <v>539</v>
      </c>
      <c r="K32" s="215" t="s">
        <v>472</v>
      </c>
      <c r="L32" s="215" t="s">
        <v>473</v>
      </c>
      <c r="M32" s="215">
        <v>637</v>
      </c>
      <c r="N32" s="215">
        <v>15</v>
      </c>
      <c r="O32" s="262" t="s">
        <v>540</v>
      </c>
      <c r="P32" s="233">
        <v>556</v>
      </c>
      <c r="Q32" s="233">
        <v>20</v>
      </c>
      <c r="R32" s="232">
        <f t="shared" si="0"/>
        <v>133</v>
      </c>
      <c r="S32" s="233">
        <v>18</v>
      </c>
      <c r="T32" s="233">
        <v>10</v>
      </c>
      <c r="U32" s="233">
        <v>556</v>
      </c>
      <c r="V32" s="233">
        <v>20</v>
      </c>
      <c r="W32" s="233">
        <v>1</v>
      </c>
      <c r="X32" s="233">
        <v>11649</v>
      </c>
      <c r="Y32" s="389" t="s">
        <v>1603</v>
      </c>
    </row>
    <row r="33" spans="1:25" ht="45" x14ac:dyDescent="0.25">
      <c r="A33" s="215" t="s">
        <v>351</v>
      </c>
      <c r="B33" s="215" t="s">
        <v>351</v>
      </c>
      <c r="C33" s="216" t="s">
        <v>353</v>
      </c>
      <c r="D33" s="215" t="s">
        <v>76</v>
      </c>
      <c r="E33" s="216" t="s">
        <v>541</v>
      </c>
      <c r="F33" s="217" t="s">
        <v>443</v>
      </c>
      <c r="G33" s="215" t="s">
        <v>542</v>
      </c>
      <c r="H33" s="217" t="s">
        <v>470</v>
      </c>
      <c r="I33" s="262" t="s">
        <v>1144</v>
      </c>
      <c r="J33" s="262" t="s">
        <v>471</v>
      </c>
      <c r="K33" s="215" t="s">
        <v>472</v>
      </c>
      <c r="L33" s="215" t="s">
        <v>473</v>
      </c>
      <c r="M33" s="215">
        <v>1081</v>
      </c>
      <c r="N33" s="215">
        <v>8</v>
      </c>
      <c r="O33" s="262" t="s">
        <v>543</v>
      </c>
      <c r="P33" s="233">
        <v>783</v>
      </c>
      <c r="Q33" s="233">
        <v>6</v>
      </c>
      <c r="R33" s="232">
        <f t="shared" si="0"/>
        <v>75</v>
      </c>
      <c r="S33" s="233">
        <v>57</v>
      </c>
      <c r="T33" s="233">
        <v>4</v>
      </c>
      <c r="U33" s="233">
        <v>783</v>
      </c>
      <c r="V33" s="233">
        <f t="shared" ref="V33:V39" si="1">Q33</f>
        <v>6</v>
      </c>
      <c r="W33" s="233">
        <v>38</v>
      </c>
      <c r="X33" s="233">
        <v>5207</v>
      </c>
      <c r="Y33" s="276" t="s">
        <v>1713</v>
      </c>
    </row>
    <row r="34" spans="1:25" ht="26.25" x14ac:dyDescent="0.25">
      <c r="A34" s="215" t="s">
        <v>351</v>
      </c>
      <c r="B34" s="215" t="s">
        <v>351</v>
      </c>
      <c r="C34" s="216" t="s">
        <v>353</v>
      </c>
      <c r="D34" s="215" t="s">
        <v>76</v>
      </c>
      <c r="E34" s="216" t="s">
        <v>541</v>
      </c>
      <c r="F34" s="217" t="s">
        <v>443</v>
      </c>
      <c r="G34" s="215" t="s">
        <v>544</v>
      </c>
      <c r="H34" s="217" t="s">
        <v>470</v>
      </c>
      <c r="I34" s="262" t="s">
        <v>1144</v>
      </c>
      <c r="J34" s="262" t="s">
        <v>471</v>
      </c>
      <c r="K34" s="215" t="s">
        <v>472</v>
      </c>
      <c r="L34" s="215" t="s">
        <v>473</v>
      </c>
      <c r="M34" s="215">
        <v>703</v>
      </c>
      <c r="N34" s="215">
        <v>8</v>
      </c>
      <c r="O34" s="262" t="s">
        <v>545</v>
      </c>
      <c r="P34" s="233">
        <v>735</v>
      </c>
      <c r="Q34" s="233">
        <v>12</v>
      </c>
      <c r="R34" s="232">
        <f t="shared" si="0"/>
        <v>150</v>
      </c>
      <c r="S34" s="233">
        <v>71</v>
      </c>
      <c r="T34" s="233">
        <v>8</v>
      </c>
      <c r="U34" s="233">
        <v>735</v>
      </c>
      <c r="V34" s="233">
        <f t="shared" si="1"/>
        <v>12</v>
      </c>
      <c r="W34" s="233">
        <v>50</v>
      </c>
      <c r="X34" s="233">
        <v>15770</v>
      </c>
      <c r="Y34" s="191"/>
    </row>
    <row r="35" spans="1:25" ht="45" x14ac:dyDescent="0.25">
      <c r="A35" s="215" t="s">
        <v>351</v>
      </c>
      <c r="B35" s="215" t="s">
        <v>351</v>
      </c>
      <c r="C35" s="216" t="s">
        <v>353</v>
      </c>
      <c r="D35" s="215" t="s">
        <v>76</v>
      </c>
      <c r="E35" s="216" t="s">
        <v>541</v>
      </c>
      <c r="F35" s="217" t="s">
        <v>443</v>
      </c>
      <c r="G35" s="215" t="s">
        <v>546</v>
      </c>
      <c r="H35" s="217" t="s">
        <v>470</v>
      </c>
      <c r="I35" s="262" t="s">
        <v>1144</v>
      </c>
      <c r="J35" s="262" t="s">
        <v>471</v>
      </c>
      <c r="K35" s="215" t="s">
        <v>472</v>
      </c>
      <c r="L35" s="215" t="s">
        <v>473</v>
      </c>
      <c r="M35" s="215">
        <v>239</v>
      </c>
      <c r="N35" s="215">
        <v>8</v>
      </c>
      <c r="O35" s="262" t="s">
        <v>547</v>
      </c>
      <c r="P35" s="233">
        <v>261</v>
      </c>
      <c r="Q35" s="233">
        <v>1</v>
      </c>
      <c r="R35" s="232">
        <f t="shared" si="0"/>
        <v>13</v>
      </c>
      <c r="S35" s="233">
        <v>9</v>
      </c>
      <c r="T35" s="233">
        <v>1</v>
      </c>
      <c r="U35" s="233">
        <v>261</v>
      </c>
      <c r="V35" s="233">
        <f t="shared" si="1"/>
        <v>1</v>
      </c>
      <c r="W35" s="233">
        <v>15</v>
      </c>
      <c r="X35" s="233">
        <v>671</v>
      </c>
      <c r="Y35" s="276" t="s">
        <v>1713</v>
      </c>
    </row>
    <row r="36" spans="1:25" ht="45" x14ac:dyDescent="0.25">
      <c r="A36" s="215" t="s">
        <v>351</v>
      </c>
      <c r="B36" s="215" t="s">
        <v>351</v>
      </c>
      <c r="C36" s="216" t="s">
        <v>353</v>
      </c>
      <c r="D36" s="215" t="s">
        <v>76</v>
      </c>
      <c r="E36" s="216" t="s">
        <v>541</v>
      </c>
      <c r="F36" s="217" t="s">
        <v>443</v>
      </c>
      <c r="G36" s="215" t="s">
        <v>548</v>
      </c>
      <c r="H36" s="217" t="s">
        <v>470</v>
      </c>
      <c r="I36" s="262" t="s">
        <v>1144</v>
      </c>
      <c r="J36" s="262" t="s">
        <v>471</v>
      </c>
      <c r="K36" s="215" t="s">
        <v>472</v>
      </c>
      <c r="L36" s="215" t="s">
        <v>473</v>
      </c>
      <c r="M36" s="215">
        <v>388</v>
      </c>
      <c r="N36" s="215">
        <v>8</v>
      </c>
      <c r="O36" s="262" t="s">
        <v>549</v>
      </c>
      <c r="P36" s="233">
        <v>334</v>
      </c>
      <c r="Q36" s="233">
        <v>1</v>
      </c>
      <c r="R36" s="232">
        <f t="shared" si="0"/>
        <v>13</v>
      </c>
      <c r="S36" s="233">
        <v>31</v>
      </c>
      <c r="T36" s="233">
        <v>1</v>
      </c>
      <c r="U36" s="233">
        <v>334</v>
      </c>
      <c r="V36" s="233">
        <f t="shared" si="1"/>
        <v>1</v>
      </c>
      <c r="W36" s="233">
        <v>22</v>
      </c>
      <c r="X36" s="233">
        <v>999</v>
      </c>
      <c r="Y36" s="276" t="s">
        <v>1713</v>
      </c>
    </row>
    <row r="37" spans="1:25" ht="52.7" customHeight="1" x14ac:dyDescent="0.25">
      <c r="A37" s="215" t="s">
        <v>351</v>
      </c>
      <c r="B37" s="215" t="s">
        <v>351</v>
      </c>
      <c r="C37" s="216" t="s">
        <v>353</v>
      </c>
      <c r="D37" s="215" t="s">
        <v>76</v>
      </c>
      <c r="E37" s="216" t="s">
        <v>541</v>
      </c>
      <c r="F37" s="217" t="s">
        <v>475</v>
      </c>
      <c r="G37" s="215" t="s">
        <v>550</v>
      </c>
      <c r="H37" s="217" t="s">
        <v>470</v>
      </c>
      <c r="I37" s="262" t="s">
        <v>1144</v>
      </c>
      <c r="J37" s="262" t="s">
        <v>471</v>
      </c>
      <c r="K37" s="215" t="s">
        <v>472</v>
      </c>
      <c r="L37" s="215" t="s">
        <v>473</v>
      </c>
      <c r="M37" s="215">
        <v>70</v>
      </c>
      <c r="N37" s="215">
        <v>2</v>
      </c>
      <c r="O37" s="262" t="s">
        <v>551</v>
      </c>
      <c r="P37" s="233">
        <v>86</v>
      </c>
      <c r="Q37" s="233">
        <v>0</v>
      </c>
      <c r="R37" s="232">
        <f t="shared" si="0"/>
        <v>0</v>
      </c>
      <c r="S37" s="233">
        <v>20</v>
      </c>
      <c r="T37" s="233">
        <v>0</v>
      </c>
      <c r="U37" s="233">
        <v>86</v>
      </c>
      <c r="V37" s="233">
        <f t="shared" si="1"/>
        <v>0</v>
      </c>
      <c r="W37" s="233">
        <v>0</v>
      </c>
      <c r="X37" s="233">
        <v>0</v>
      </c>
      <c r="Y37" s="276" t="s">
        <v>1751</v>
      </c>
    </row>
    <row r="38" spans="1:25" ht="26.25" x14ac:dyDescent="0.25">
      <c r="A38" s="215" t="s">
        <v>351</v>
      </c>
      <c r="B38" s="215" t="s">
        <v>351</v>
      </c>
      <c r="C38" s="216" t="s">
        <v>353</v>
      </c>
      <c r="D38" s="215" t="s">
        <v>76</v>
      </c>
      <c r="E38" s="216" t="s">
        <v>541</v>
      </c>
      <c r="F38" s="217" t="s">
        <v>475</v>
      </c>
      <c r="G38" s="215" t="s">
        <v>552</v>
      </c>
      <c r="H38" s="217" t="s">
        <v>470</v>
      </c>
      <c r="I38" s="262" t="s">
        <v>1144</v>
      </c>
      <c r="J38" s="262" t="s">
        <v>471</v>
      </c>
      <c r="K38" s="215" t="s">
        <v>472</v>
      </c>
      <c r="L38" s="215" t="s">
        <v>473</v>
      </c>
      <c r="M38" s="215">
        <v>359</v>
      </c>
      <c r="N38" s="215">
        <v>6</v>
      </c>
      <c r="O38" s="261" t="s">
        <v>1772</v>
      </c>
      <c r="P38" s="233">
        <v>318</v>
      </c>
      <c r="Q38" s="233">
        <v>11</v>
      </c>
      <c r="R38" s="232">
        <f t="shared" si="0"/>
        <v>183</v>
      </c>
      <c r="S38" s="233">
        <v>47</v>
      </c>
      <c r="T38" s="233">
        <v>4</v>
      </c>
      <c r="U38" s="233">
        <v>318</v>
      </c>
      <c r="V38" s="233">
        <f t="shared" si="1"/>
        <v>11</v>
      </c>
      <c r="W38" s="233">
        <v>9</v>
      </c>
      <c r="X38" s="233">
        <v>5306</v>
      </c>
      <c r="Y38" s="191"/>
    </row>
    <row r="39" spans="1:25" ht="45" x14ac:dyDescent="0.25">
      <c r="A39" s="215" t="s">
        <v>351</v>
      </c>
      <c r="B39" s="215" t="s">
        <v>351</v>
      </c>
      <c r="C39" s="216" t="s">
        <v>353</v>
      </c>
      <c r="D39" s="215" t="s">
        <v>76</v>
      </c>
      <c r="E39" s="216" t="s">
        <v>541</v>
      </c>
      <c r="F39" s="217" t="s">
        <v>477</v>
      </c>
      <c r="G39" s="215" t="s">
        <v>553</v>
      </c>
      <c r="H39" s="217" t="s">
        <v>470</v>
      </c>
      <c r="I39" s="262" t="s">
        <v>1144</v>
      </c>
      <c r="J39" s="262" t="s">
        <v>471</v>
      </c>
      <c r="K39" s="215" t="s">
        <v>472</v>
      </c>
      <c r="L39" s="215" t="s">
        <v>473</v>
      </c>
      <c r="M39" s="215">
        <v>781</v>
      </c>
      <c r="N39" s="215">
        <v>13</v>
      </c>
      <c r="O39" s="262" t="s">
        <v>554</v>
      </c>
      <c r="P39" s="233">
        <v>681</v>
      </c>
      <c r="Q39" s="233">
        <v>5</v>
      </c>
      <c r="R39" s="232">
        <f t="shared" si="0"/>
        <v>38</v>
      </c>
      <c r="S39" s="233">
        <v>74</v>
      </c>
      <c r="T39" s="233">
        <v>5</v>
      </c>
      <c r="U39" s="233">
        <v>681</v>
      </c>
      <c r="V39" s="233">
        <f t="shared" si="1"/>
        <v>5</v>
      </c>
      <c r="W39" s="233">
        <v>65</v>
      </c>
      <c r="X39" s="233">
        <v>6004</v>
      </c>
      <c r="Y39" s="276" t="s">
        <v>1713</v>
      </c>
    </row>
    <row r="40" spans="1:25" ht="26.25" x14ac:dyDescent="0.25">
      <c r="A40" s="215" t="s">
        <v>351</v>
      </c>
      <c r="B40" s="215" t="s">
        <v>351</v>
      </c>
      <c r="C40" s="216" t="s">
        <v>353</v>
      </c>
      <c r="D40" s="215" t="s">
        <v>76</v>
      </c>
      <c r="E40" s="216" t="s">
        <v>541</v>
      </c>
      <c r="F40" s="217" t="s">
        <v>477</v>
      </c>
      <c r="G40" s="215" t="s">
        <v>555</v>
      </c>
      <c r="H40" s="217" t="s">
        <v>479</v>
      </c>
      <c r="I40" s="262" t="s">
        <v>1144</v>
      </c>
      <c r="J40" s="262" t="s">
        <v>471</v>
      </c>
      <c r="K40" s="215" t="s">
        <v>472</v>
      </c>
      <c r="L40" s="215" t="s">
        <v>473</v>
      </c>
      <c r="M40" s="215">
        <v>1987</v>
      </c>
      <c r="N40" s="215">
        <v>40</v>
      </c>
      <c r="O40" s="262" t="s">
        <v>556</v>
      </c>
      <c r="P40" s="233">
        <v>1966</v>
      </c>
      <c r="Q40" s="233">
        <v>36</v>
      </c>
      <c r="R40" s="232">
        <f t="shared" si="0"/>
        <v>90</v>
      </c>
      <c r="S40" s="233">
        <v>49</v>
      </c>
      <c r="T40" s="233">
        <v>22</v>
      </c>
      <c r="U40" s="233">
        <v>1966</v>
      </c>
      <c r="V40" s="233">
        <v>36</v>
      </c>
      <c r="W40" s="233">
        <v>4</v>
      </c>
      <c r="X40" s="233">
        <v>15742</v>
      </c>
      <c r="Y40" s="191"/>
    </row>
    <row r="41" spans="1:25" ht="26.25" x14ac:dyDescent="0.25">
      <c r="A41" s="215" t="s">
        <v>351</v>
      </c>
      <c r="B41" s="215" t="s">
        <v>351</v>
      </c>
      <c r="C41" s="216" t="s">
        <v>353</v>
      </c>
      <c r="D41" s="215" t="s">
        <v>76</v>
      </c>
      <c r="E41" s="216" t="s">
        <v>541</v>
      </c>
      <c r="F41" s="217" t="s">
        <v>482</v>
      </c>
      <c r="G41" s="215" t="s">
        <v>557</v>
      </c>
      <c r="H41" s="217" t="s">
        <v>484</v>
      </c>
      <c r="I41" s="278" t="s">
        <v>485</v>
      </c>
      <c r="J41" s="262" t="s">
        <v>486</v>
      </c>
      <c r="K41" s="215" t="s">
        <v>472</v>
      </c>
      <c r="L41" s="215" t="s">
        <v>473</v>
      </c>
      <c r="M41" s="215">
        <v>1040</v>
      </c>
      <c r="N41" s="215">
        <v>125</v>
      </c>
      <c r="O41" s="262" t="s">
        <v>532</v>
      </c>
      <c r="P41" s="233">
        <v>1064</v>
      </c>
      <c r="Q41" s="233">
        <v>136</v>
      </c>
      <c r="R41" s="232">
        <f t="shared" si="0"/>
        <v>109</v>
      </c>
      <c r="S41" s="233">
        <v>104</v>
      </c>
      <c r="T41" s="233">
        <v>68</v>
      </c>
      <c r="U41" s="233">
        <v>1680</v>
      </c>
      <c r="V41" s="233">
        <v>145</v>
      </c>
      <c r="W41" s="233">
        <v>16</v>
      </c>
      <c r="X41" s="233">
        <v>28362</v>
      </c>
      <c r="Y41" s="191"/>
    </row>
    <row r="42" spans="1:25" ht="26.25" x14ac:dyDescent="0.25">
      <c r="A42" s="215" t="s">
        <v>351</v>
      </c>
      <c r="B42" s="215" t="s">
        <v>558</v>
      </c>
      <c r="C42" s="216" t="s">
        <v>353</v>
      </c>
      <c r="D42" s="215" t="s">
        <v>76</v>
      </c>
      <c r="E42" s="216" t="s">
        <v>541</v>
      </c>
      <c r="F42" s="217" t="s">
        <v>482</v>
      </c>
      <c r="G42" s="215" t="s">
        <v>559</v>
      </c>
      <c r="H42" s="217" t="s">
        <v>484</v>
      </c>
      <c r="I42" s="278" t="s">
        <v>485</v>
      </c>
      <c r="J42" s="262" t="s">
        <v>486</v>
      </c>
      <c r="K42" s="215" t="s">
        <v>472</v>
      </c>
      <c r="L42" s="215" t="s">
        <v>473</v>
      </c>
      <c r="M42" s="215">
        <v>161</v>
      </c>
      <c r="N42" s="215">
        <v>44</v>
      </c>
      <c r="O42" s="262" t="s">
        <v>560</v>
      </c>
      <c r="P42" s="233">
        <v>262</v>
      </c>
      <c r="Q42" s="233">
        <v>50</v>
      </c>
      <c r="R42" s="232">
        <f t="shared" si="0"/>
        <v>114</v>
      </c>
      <c r="S42" s="233">
        <v>55</v>
      </c>
      <c r="T42" s="233">
        <v>23</v>
      </c>
      <c r="U42" s="233">
        <v>386</v>
      </c>
      <c r="V42" s="233">
        <v>40</v>
      </c>
      <c r="W42" s="233">
        <v>5</v>
      </c>
      <c r="X42" s="233">
        <v>9330</v>
      </c>
      <c r="Y42" s="191"/>
    </row>
    <row r="43" spans="1:25" ht="75" x14ac:dyDescent="0.25">
      <c r="A43" s="215" t="s">
        <v>351</v>
      </c>
      <c r="B43" s="215" t="s">
        <v>351</v>
      </c>
      <c r="C43" s="216" t="s">
        <v>353</v>
      </c>
      <c r="D43" s="215" t="s">
        <v>76</v>
      </c>
      <c r="E43" s="216" t="s">
        <v>541</v>
      </c>
      <c r="F43" s="217" t="s">
        <v>482</v>
      </c>
      <c r="G43" s="215" t="s">
        <v>561</v>
      </c>
      <c r="H43" s="217" t="s">
        <v>470</v>
      </c>
      <c r="I43" s="262" t="s">
        <v>1144</v>
      </c>
      <c r="J43" s="262" t="s">
        <v>471</v>
      </c>
      <c r="K43" s="215" t="s">
        <v>472</v>
      </c>
      <c r="L43" s="215" t="s">
        <v>473</v>
      </c>
      <c r="M43" s="215">
        <v>1072</v>
      </c>
      <c r="N43" s="215">
        <v>30</v>
      </c>
      <c r="O43" s="262" t="s">
        <v>562</v>
      </c>
      <c r="P43" s="233">
        <v>681</v>
      </c>
      <c r="Q43" s="233">
        <v>17</v>
      </c>
      <c r="R43" s="232">
        <f t="shared" si="0"/>
        <v>57</v>
      </c>
      <c r="S43" s="233">
        <v>74</v>
      </c>
      <c r="T43" s="233">
        <v>8</v>
      </c>
      <c r="U43" s="233">
        <v>681</v>
      </c>
      <c r="V43" s="233">
        <v>17</v>
      </c>
      <c r="W43" s="233">
        <v>1</v>
      </c>
      <c r="X43" s="233">
        <v>20115</v>
      </c>
      <c r="Y43" s="449" t="s">
        <v>1712</v>
      </c>
    </row>
    <row r="44" spans="1:25" ht="39" x14ac:dyDescent="0.25">
      <c r="A44" s="215" t="s">
        <v>351</v>
      </c>
      <c r="B44" s="215" t="s">
        <v>351</v>
      </c>
      <c r="C44" s="216" t="s">
        <v>353</v>
      </c>
      <c r="D44" s="215" t="s">
        <v>76</v>
      </c>
      <c r="E44" s="216" t="s">
        <v>541</v>
      </c>
      <c r="F44" s="217" t="s">
        <v>482</v>
      </c>
      <c r="G44" s="215" t="s">
        <v>563</v>
      </c>
      <c r="H44" s="217" t="s">
        <v>484</v>
      </c>
      <c r="I44" s="278" t="s">
        <v>485</v>
      </c>
      <c r="J44" s="262" t="s">
        <v>539</v>
      </c>
      <c r="K44" s="215" t="s">
        <v>472</v>
      </c>
      <c r="L44" s="215" t="s">
        <v>473</v>
      </c>
      <c r="M44" s="215">
        <v>1428</v>
      </c>
      <c r="N44" s="215">
        <v>5</v>
      </c>
      <c r="O44" s="278" t="s">
        <v>564</v>
      </c>
      <c r="P44" s="233">
        <v>1966</v>
      </c>
      <c r="Q44" s="233">
        <v>7</v>
      </c>
      <c r="R44" s="232">
        <f t="shared" si="0"/>
        <v>140</v>
      </c>
      <c r="S44" s="233">
        <v>49</v>
      </c>
      <c r="T44" s="233">
        <v>11</v>
      </c>
      <c r="U44" s="233">
        <v>1966</v>
      </c>
      <c r="V44" s="233">
        <v>14</v>
      </c>
      <c r="W44" s="233">
        <v>1</v>
      </c>
      <c r="X44" s="233">
        <v>2852</v>
      </c>
      <c r="Y44" s="191"/>
    </row>
    <row r="45" spans="1:25" ht="42" customHeight="1" x14ac:dyDescent="0.25">
      <c r="A45" s="215" t="s">
        <v>351</v>
      </c>
      <c r="B45" s="215" t="s">
        <v>351</v>
      </c>
      <c r="C45" s="216" t="s">
        <v>565</v>
      </c>
      <c r="D45" s="215" t="s">
        <v>76</v>
      </c>
      <c r="E45" s="216" t="s">
        <v>566</v>
      </c>
      <c r="F45" s="217" t="s">
        <v>475</v>
      </c>
      <c r="G45" s="215" t="s">
        <v>567</v>
      </c>
      <c r="H45" s="217" t="s">
        <v>470</v>
      </c>
      <c r="I45" s="262" t="s">
        <v>1144</v>
      </c>
      <c r="J45" s="262" t="s">
        <v>471</v>
      </c>
      <c r="K45" s="215" t="s">
        <v>472</v>
      </c>
      <c r="L45" s="215" t="s">
        <v>473</v>
      </c>
      <c r="M45" s="215">
        <v>65</v>
      </c>
      <c r="N45" s="215">
        <v>3</v>
      </c>
      <c r="O45" s="568" t="s">
        <v>1773</v>
      </c>
      <c r="P45" s="233">
        <v>29</v>
      </c>
      <c r="Q45" s="233">
        <v>2</v>
      </c>
      <c r="R45" s="232">
        <f t="shared" si="0"/>
        <v>67</v>
      </c>
      <c r="S45" s="233">
        <v>16</v>
      </c>
      <c r="T45" s="233">
        <v>1</v>
      </c>
      <c r="U45" s="233">
        <v>29</v>
      </c>
      <c r="V45" s="233">
        <v>2</v>
      </c>
      <c r="W45" s="233">
        <v>2</v>
      </c>
      <c r="X45" s="233">
        <v>744</v>
      </c>
      <c r="Y45" s="276" t="s">
        <v>1713</v>
      </c>
    </row>
    <row r="46" spans="1:25" ht="58.7" customHeight="1" x14ac:dyDescent="0.25">
      <c r="A46" s="215" t="s">
        <v>351</v>
      </c>
      <c r="B46" s="215" t="s">
        <v>351</v>
      </c>
      <c r="C46" s="216" t="s">
        <v>565</v>
      </c>
      <c r="D46" s="215" t="s">
        <v>76</v>
      </c>
      <c r="E46" s="216" t="s">
        <v>566</v>
      </c>
      <c r="F46" s="217" t="s">
        <v>482</v>
      </c>
      <c r="G46" s="215" t="s">
        <v>568</v>
      </c>
      <c r="H46" s="217" t="s">
        <v>484</v>
      </c>
      <c r="I46" s="278" t="s">
        <v>485</v>
      </c>
      <c r="J46" s="262" t="s">
        <v>486</v>
      </c>
      <c r="K46" s="215" t="s">
        <v>472</v>
      </c>
      <c r="L46" s="215" t="s">
        <v>473</v>
      </c>
      <c r="M46" s="215">
        <v>13</v>
      </c>
      <c r="N46" s="215">
        <v>20</v>
      </c>
      <c r="O46" s="262" t="s">
        <v>569</v>
      </c>
      <c r="P46" s="233">
        <v>17</v>
      </c>
      <c r="Q46" s="233">
        <v>17</v>
      </c>
      <c r="R46" s="232">
        <f t="shared" si="0"/>
        <v>85</v>
      </c>
      <c r="S46" s="233">
        <v>23</v>
      </c>
      <c r="T46" s="233">
        <v>11</v>
      </c>
      <c r="U46" s="233">
        <v>44</v>
      </c>
      <c r="V46" s="233">
        <v>13</v>
      </c>
      <c r="W46" s="233">
        <v>2</v>
      </c>
      <c r="X46" s="233">
        <v>3283</v>
      </c>
      <c r="Y46" s="276" t="s">
        <v>1783</v>
      </c>
    </row>
    <row r="47" spans="1:25" ht="85.15" customHeight="1" x14ac:dyDescent="0.25">
      <c r="A47" s="215" t="s">
        <v>351</v>
      </c>
      <c r="B47" s="215" t="s">
        <v>351</v>
      </c>
      <c r="C47" s="216" t="s">
        <v>565</v>
      </c>
      <c r="D47" s="215" t="s">
        <v>76</v>
      </c>
      <c r="E47" s="216" t="s">
        <v>570</v>
      </c>
      <c r="F47" s="217" t="s">
        <v>475</v>
      </c>
      <c r="G47" s="215" t="s">
        <v>571</v>
      </c>
      <c r="H47" s="217" t="s">
        <v>470</v>
      </c>
      <c r="I47" s="262" t="s">
        <v>1144</v>
      </c>
      <c r="J47" s="262" t="s">
        <v>471</v>
      </c>
      <c r="K47" s="215" t="s">
        <v>472</v>
      </c>
      <c r="L47" s="215" t="s">
        <v>473</v>
      </c>
      <c r="M47" s="215">
        <v>7</v>
      </c>
      <c r="N47" s="215">
        <v>1</v>
      </c>
      <c r="O47" s="262" t="s">
        <v>572</v>
      </c>
      <c r="P47" s="233">
        <v>9</v>
      </c>
      <c r="Q47" s="233">
        <v>0</v>
      </c>
      <c r="R47" s="232">
        <f t="shared" si="0"/>
        <v>0</v>
      </c>
      <c r="S47" s="233">
        <v>7</v>
      </c>
      <c r="T47" s="233">
        <v>0</v>
      </c>
      <c r="U47" s="233">
        <v>9</v>
      </c>
      <c r="V47" s="233">
        <v>0</v>
      </c>
      <c r="W47" s="233">
        <v>0</v>
      </c>
      <c r="X47" s="233">
        <v>0</v>
      </c>
      <c r="Y47" s="293" t="s">
        <v>1753</v>
      </c>
    </row>
    <row r="48" spans="1:25" ht="75" x14ac:dyDescent="0.25">
      <c r="A48" s="215" t="s">
        <v>351</v>
      </c>
      <c r="B48" s="215" t="s">
        <v>351</v>
      </c>
      <c r="C48" s="216" t="s">
        <v>565</v>
      </c>
      <c r="D48" s="215" t="s">
        <v>76</v>
      </c>
      <c r="E48" s="216" t="s">
        <v>570</v>
      </c>
      <c r="F48" s="217" t="s">
        <v>482</v>
      </c>
      <c r="G48" s="215" t="s">
        <v>573</v>
      </c>
      <c r="H48" s="217" t="s">
        <v>484</v>
      </c>
      <c r="I48" s="278" t="s">
        <v>485</v>
      </c>
      <c r="J48" s="262" t="s">
        <v>486</v>
      </c>
      <c r="K48" s="215" t="s">
        <v>472</v>
      </c>
      <c r="L48" s="215" t="s">
        <v>473</v>
      </c>
      <c r="M48" s="215">
        <v>4</v>
      </c>
      <c r="N48" s="215">
        <v>4</v>
      </c>
      <c r="O48" s="262" t="s">
        <v>569</v>
      </c>
      <c r="P48" s="233">
        <v>8</v>
      </c>
      <c r="Q48" s="233">
        <v>1</v>
      </c>
      <c r="R48" s="232">
        <f t="shared" si="0"/>
        <v>25</v>
      </c>
      <c r="S48" s="233">
        <v>8</v>
      </c>
      <c r="T48" s="233">
        <v>1</v>
      </c>
      <c r="U48" s="233">
        <v>11</v>
      </c>
      <c r="V48" s="233">
        <v>1</v>
      </c>
      <c r="W48" s="233">
        <v>1</v>
      </c>
      <c r="X48" s="233">
        <v>61</v>
      </c>
      <c r="Y48" s="293" t="s">
        <v>1784</v>
      </c>
    </row>
  </sheetData>
  <mergeCells count="2">
    <mergeCell ref="P4:R4"/>
    <mergeCell ref="S4:Y4"/>
  </mergeCells>
  <pageMargins left="0.7" right="0.7" top="0.75" bottom="0.75" header="0.3" footer="0.3"/>
  <pageSetup paperSize="9" scale="50" fitToHeight="0" orientation="landscape"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pageSetUpPr fitToPage="1"/>
  </sheetPr>
  <dimension ref="A1:F51"/>
  <sheetViews>
    <sheetView workbookViewId="0">
      <selection activeCell="J7" sqref="J7"/>
    </sheetView>
  </sheetViews>
  <sheetFormatPr defaultRowHeight="12.75" x14ac:dyDescent="0.2"/>
  <cols>
    <col min="2" max="2" width="14.28515625" customWidth="1"/>
    <col min="3" max="3" width="17.5703125" customWidth="1"/>
    <col min="4" max="4" width="23.5703125" customWidth="1"/>
    <col min="5" max="5" width="23.42578125" customWidth="1"/>
    <col min="6" max="6" width="42.28515625" customWidth="1"/>
  </cols>
  <sheetData>
    <row r="1" spans="1:6" ht="13.5" thickBot="1" x14ac:dyDescent="0.25">
      <c r="A1" s="48" t="s">
        <v>276</v>
      </c>
      <c r="B1" s="119"/>
      <c r="C1" s="119"/>
      <c r="D1" s="119"/>
      <c r="E1" s="54"/>
      <c r="F1" s="54"/>
    </row>
    <row r="2" spans="1:6" x14ac:dyDescent="0.2">
      <c r="A2" s="120"/>
      <c r="B2" s="84"/>
      <c r="C2" s="84"/>
      <c r="D2" s="84"/>
      <c r="E2" s="100" t="s">
        <v>56</v>
      </c>
      <c r="F2" s="212" t="s">
        <v>50</v>
      </c>
    </row>
    <row r="3" spans="1:6" ht="13.5" thickBot="1" x14ac:dyDescent="0.25">
      <c r="A3" s="81"/>
      <c r="B3" s="82"/>
      <c r="C3" s="82"/>
      <c r="D3" s="82"/>
      <c r="E3" s="101" t="s">
        <v>55</v>
      </c>
      <c r="F3" s="220">
        <v>2018</v>
      </c>
    </row>
    <row r="4" spans="1:6" ht="26.25" thickBot="1" x14ac:dyDescent="0.25">
      <c r="A4" s="787" t="s">
        <v>0</v>
      </c>
      <c r="B4" s="787" t="s">
        <v>277</v>
      </c>
      <c r="C4" s="787" t="s">
        <v>278</v>
      </c>
      <c r="D4" s="787" t="s">
        <v>279</v>
      </c>
      <c r="E4" s="787" t="s">
        <v>280</v>
      </c>
      <c r="F4" s="168" t="s">
        <v>4</v>
      </c>
    </row>
    <row r="5" spans="1:6" s="54" customFormat="1" ht="51" x14ac:dyDescent="0.2">
      <c r="A5" s="569" t="s">
        <v>351</v>
      </c>
      <c r="B5" s="569" t="s">
        <v>469</v>
      </c>
      <c r="C5" s="569" t="s">
        <v>574</v>
      </c>
      <c r="D5" s="569" t="s">
        <v>575</v>
      </c>
      <c r="E5" s="569" t="s">
        <v>576</v>
      </c>
      <c r="F5" s="569" t="s">
        <v>577</v>
      </c>
    </row>
    <row r="6" spans="1:6" s="54" customFormat="1" ht="38.25" x14ac:dyDescent="0.2">
      <c r="A6" s="569" t="s">
        <v>351</v>
      </c>
      <c r="B6" s="569" t="s">
        <v>476</v>
      </c>
      <c r="C6" s="569" t="s">
        <v>578</v>
      </c>
      <c r="D6" s="569" t="s">
        <v>579</v>
      </c>
      <c r="E6" s="569" t="s">
        <v>576</v>
      </c>
      <c r="F6" s="569" t="s">
        <v>580</v>
      </c>
    </row>
    <row r="7" spans="1:6" s="54" customFormat="1" ht="25.5" x14ac:dyDescent="0.2">
      <c r="A7" s="569" t="s">
        <v>351</v>
      </c>
      <c r="B7" s="569" t="s">
        <v>478</v>
      </c>
      <c r="C7" s="569" t="s">
        <v>581</v>
      </c>
      <c r="D7" s="569" t="s">
        <v>582</v>
      </c>
      <c r="E7" s="569" t="s">
        <v>576</v>
      </c>
      <c r="F7" s="569" t="s">
        <v>583</v>
      </c>
    </row>
    <row r="8" spans="1:6" s="54" customFormat="1" ht="51" x14ac:dyDescent="0.2">
      <c r="A8" s="569" t="s">
        <v>351</v>
      </c>
      <c r="B8" s="569" t="s">
        <v>483</v>
      </c>
      <c r="C8" s="569" t="s">
        <v>584</v>
      </c>
      <c r="D8" s="569" t="s">
        <v>585</v>
      </c>
      <c r="E8" s="569" t="s">
        <v>586</v>
      </c>
      <c r="F8" s="569" t="s">
        <v>587</v>
      </c>
    </row>
    <row r="9" spans="1:6" s="54" customFormat="1" ht="63.75" x14ac:dyDescent="0.2">
      <c r="A9" s="569" t="s">
        <v>351</v>
      </c>
      <c r="B9" s="569" t="s">
        <v>488</v>
      </c>
      <c r="C9" s="569" t="s">
        <v>584</v>
      </c>
      <c r="D9" s="569" t="s">
        <v>588</v>
      </c>
      <c r="E9" s="569" t="s">
        <v>586</v>
      </c>
      <c r="F9" s="569" t="s">
        <v>589</v>
      </c>
    </row>
    <row r="10" spans="1:6" s="54" customFormat="1" ht="51" x14ac:dyDescent="0.2">
      <c r="A10" s="569" t="s">
        <v>351</v>
      </c>
      <c r="B10" s="569" t="s">
        <v>491</v>
      </c>
      <c r="C10" s="569" t="s">
        <v>584</v>
      </c>
      <c r="D10" s="569" t="s">
        <v>590</v>
      </c>
      <c r="E10" s="569" t="s">
        <v>591</v>
      </c>
      <c r="F10" s="569" t="s">
        <v>592</v>
      </c>
    </row>
    <row r="11" spans="1:6" s="54" customFormat="1" ht="38.25" x14ac:dyDescent="0.2">
      <c r="A11" s="569" t="s">
        <v>351</v>
      </c>
      <c r="B11" s="569" t="s">
        <v>493</v>
      </c>
      <c r="C11" s="569" t="s">
        <v>584</v>
      </c>
      <c r="D11" s="569" t="s">
        <v>593</v>
      </c>
      <c r="E11" s="569" t="s">
        <v>591</v>
      </c>
      <c r="F11" s="569" t="s">
        <v>594</v>
      </c>
    </row>
    <row r="12" spans="1:6" s="54" customFormat="1" ht="38.25" x14ac:dyDescent="0.2">
      <c r="A12" s="569" t="s">
        <v>351</v>
      </c>
      <c r="B12" s="569" t="s">
        <v>497</v>
      </c>
      <c r="C12" s="569" t="s">
        <v>595</v>
      </c>
      <c r="D12" s="569" t="s">
        <v>596</v>
      </c>
      <c r="E12" s="569" t="s">
        <v>576</v>
      </c>
      <c r="F12" s="569" t="s">
        <v>597</v>
      </c>
    </row>
    <row r="13" spans="1:6" s="54" customFormat="1" ht="51" x14ac:dyDescent="0.2">
      <c r="A13" s="569" t="s">
        <v>351</v>
      </c>
      <c r="B13" s="569" t="s">
        <v>499</v>
      </c>
      <c r="C13" s="569" t="s">
        <v>598</v>
      </c>
      <c r="D13" s="569" t="s">
        <v>599</v>
      </c>
      <c r="E13" s="569" t="s">
        <v>576</v>
      </c>
      <c r="F13" s="569" t="s">
        <v>600</v>
      </c>
    </row>
    <row r="14" spans="1:6" s="54" customFormat="1" ht="25.5" x14ac:dyDescent="0.2">
      <c r="A14" s="569" t="s">
        <v>351</v>
      </c>
      <c r="B14" s="569" t="s">
        <v>501</v>
      </c>
      <c r="C14" s="569" t="s">
        <v>601</v>
      </c>
      <c r="D14" s="569" t="s">
        <v>602</v>
      </c>
      <c r="E14" s="569" t="s">
        <v>576</v>
      </c>
      <c r="F14" s="569" t="s">
        <v>603</v>
      </c>
    </row>
    <row r="15" spans="1:6" s="54" customFormat="1" ht="38.25" x14ac:dyDescent="0.2">
      <c r="A15" s="569" t="s">
        <v>351</v>
      </c>
      <c r="B15" s="569" t="s">
        <v>504</v>
      </c>
      <c r="C15" s="569" t="s">
        <v>604</v>
      </c>
      <c r="D15" s="569" t="s">
        <v>605</v>
      </c>
      <c r="E15" s="569" t="s">
        <v>576</v>
      </c>
      <c r="F15" s="569" t="s">
        <v>606</v>
      </c>
    </row>
    <row r="16" spans="1:6" s="54" customFormat="1" ht="280.5" x14ac:dyDescent="0.2">
      <c r="A16" s="569" t="s">
        <v>351</v>
      </c>
      <c r="B16" s="569" t="s">
        <v>506</v>
      </c>
      <c r="C16" s="569" t="s">
        <v>607</v>
      </c>
      <c r="D16" s="569" t="s">
        <v>503</v>
      </c>
      <c r="E16" s="569" t="s">
        <v>576</v>
      </c>
      <c r="F16" s="569" t="s">
        <v>1321</v>
      </c>
    </row>
    <row r="17" spans="1:6" s="54" customFormat="1" ht="25.5" x14ac:dyDescent="0.2">
      <c r="A17" s="569" t="s">
        <v>351</v>
      </c>
      <c r="B17" s="569" t="s">
        <v>508</v>
      </c>
      <c r="C17" s="569" t="s">
        <v>604</v>
      </c>
      <c r="D17" s="569" t="s">
        <v>477</v>
      </c>
      <c r="E17" s="569" t="s">
        <v>576</v>
      </c>
      <c r="F17" s="569" t="s">
        <v>608</v>
      </c>
    </row>
    <row r="18" spans="1:6" s="54" customFormat="1" ht="51" x14ac:dyDescent="0.2">
      <c r="A18" s="569" t="s">
        <v>351</v>
      </c>
      <c r="B18" s="569" t="s">
        <v>510</v>
      </c>
      <c r="C18" s="569" t="s">
        <v>609</v>
      </c>
      <c r="D18" s="569" t="s">
        <v>610</v>
      </c>
      <c r="E18" s="569" t="s">
        <v>611</v>
      </c>
      <c r="F18" s="569" t="s">
        <v>612</v>
      </c>
    </row>
    <row r="19" spans="1:6" s="54" customFormat="1" ht="38.25" x14ac:dyDescent="0.2">
      <c r="A19" s="569" t="s">
        <v>351</v>
      </c>
      <c r="B19" s="569" t="s">
        <v>512</v>
      </c>
      <c r="C19" s="569" t="s">
        <v>609</v>
      </c>
      <c r="D19" s="569" t="s">
        <v>613</v>
      </c>
      <c r="E19" s="569" t="s">
        <v>611</v>
      </c>
      <c r="F19" s="569" t="s">
        <v>614</v>
      </c>
    </row>
    <row r="20" spans="1:6" s="54" customFormat="1" ht="38.25" x14ac:dyDescent="0.2">
      <c r="A20" s="569" t="s">
        <v>351</v>
      </c>
      <c r="B20" s="569" t="s">
        <v>515</v>
      </c>
      <c r="C20" s="569" t="s">
        <v>615</v>
      </c>
      <c r="D20" s="569" t="s">
        <v>616</v>
      </c>
      <c r="E20" s="569" t="s">
        <v>576</v>
      </c>
      <c r="F20" s="569" t="s">
        <v>617</v>
      </c>
    </row>
    <row r="21" spans="1:6" s="54" customFormat="1" ht="51" x14ac:dyDescent="0.2">
      <c r="A21" s="569" t="s">
        <v>351</v>
      </c>
      <c r="B21" s="569" t="s">
        <v>517</v>
      </c>
      <c r="C21" s="569" t="s">
        <v>618</v>
      </c>
      <c r="D21" s="569" t="s">
        <v>619</v>
      </c>
      <c r="E21" s="569" t="s">
        <v>620</v>
      </c>
      <c r="F21" s="569" t="s">
        <v>621</v>
      </c>
    </row>
    <row r="22" spans="1:6" s="54" customFormat="1" ht="25.5" x14ac:dyDescent="0.2">
      <c r="A22" s="569" t="s">
        <v>351</v>
      </c>
      <c r="B22" s="569" t="s">
        <v>519</v>
      </c>
      <c r="C22" s="569" t="s">
        <v>622</v>
      </c>
      <c r="D22" s="569" t="s">
        <v>623</v>
      </c>
      <c r="E22" s="569" t="s">
        <v>576</v>
      </c>
      <c r="F22" s="569" t="s">
        <v>624</v>
      </c>
    </row>
    <row r="23" spans="1:6" s="54" customFormat="1" ht="38.25" x14ac:dyDescent="0.2">
      <c r="A23" s="569" t="s">
        <v>351</v>
      </c>
      <c r="B23" s="569" t="s">
        <v>521</v>
      </c>
      <c r="C23" s="569" t="s">
        <v>625</v>
      </c>
      <c r="D23" s="569" t="s">
        <v>626</v>
      </c>
      <c r="E23" s="569"/>
      <c r="F23" s="569" t="s">
        <v>627</v>
      </c>
    </row>
    <row r="24" spans="1:6" s="54" customFormat="1" ht="38.25" x14ac:dyDescent="0.2">
      <c r="A24" s="569" t="s">
        <v>351</v>
      </c>
      <c r="B24" s="569" t="s">
        <v>523</v>
      </c>
      <c r="C24" s="569" t="s">
        <v>628</v>
      </c>
      <c r="D24" s="569" t="s">
        <v>629</v>
      </c>
      <c r="E24" s="569" t="s">
        <v>576</v>
      </c>
      <c r="F24" s="569" t="s">
        <v>630</v>
      </c>
    </row>
    <row r="25" spans="1:6" s="54" customFormat="1" ht="38.25" x14ac:dyDescent="0.2">
      <c r="A25" s="569" t="s">
        <v>351</v>
      </c>
      <c r="B25" s="569" t="s">
        <v>525</v>
      </c>
      <c r="C25" s="569" t="s">
        <v>631</v>
      </c>
      <c r="D25" s="569" t="s">
        <v>632</v>
      </c>
      <c r="E25" s="569" t="s">
        <v>576</v>
      </c>
      <c r="F25" s="569" t="s">
        <v>633</v>
      </c>
    </row>
    <row r="26" spans="1:6" s="54" customFormat="1" ht="25.5" x14ac:dyDescent="0.2">
      <c r="A26" s="569" t="s">
        <v>351</v>
      </c>
      <c r="B26" s="569" t="s">
        <v>527</v>
      </c>
      <c r="C26" s="569" t="s">
        <v>634</v>
      </c>
      <c r="D26" s="569" t="s">
        <v>635</v>
      </c>
      <c r="E26" s="569" t="s">
        <v>576</v>
      </c>
      <c r="F26" s="569" t="s">
        <v>636</v>
      </c>
    </row>
    <row r="27" spans="1:6" s="54" customFormat="1" ht="25.5" x14ac:dyDescent="0.2">
      <c r="A27" s="569" t="s">
        <v>351</v>
      </c>
      <c r="B27" s="569" t="s">
        <v>529</v>
      </c>
      <c r="C27" s="569" t="s">
        <v>637</v>
      </c>
      <c r="D27" s="569" t="s">
        <v>638</v>
      </c>
      <c r="E27" s="569" t="s">
        <v>576</v>
      </c>
      <c r="F27" s="569" t="s">
        <v>583</v>
      </c>
    </row>
    <row r="28" spans="1:6" s="54" customFormat="1" ht="25.5" x14ac:dyDescent="0.2">
      <c r="A28" s="569" t="s">
        <v>351</v>
      </c>
      <c r="B28" s="569" t="s">
        <v>531</v>
      </c>
      <c r="C28" s="569" t="s">
        <v>609</v>
      </c>
      <c r="D28" s="569" t="s">
        <v>639</v>
      </c>
      <c r="E28" s="569" t="s">
        <v>611</v>
      </c>
      <c r="F28" s="569" t="s">
        <v>640</v>
      </c>
    </row>
    <row r="29" spans="1:6" s="54" customFormat="1" ht="51" x14ac:dyDescent="0.2">
      <c r="A29" s="569" t="s">
        <v>351</v>
      </c>
      <c r="B29" s="569" t="s">
        <v>533</v>
      </c>
      <c r="C29" s="569" t="s">
        <v>609</v>
      </c>
      <c r="D29" s="569" t="s">
        <v>641</v>
      </c>
      <c r="E29" s="569" t="s">
        <v>611</v>
      </c>
      <c r="F29" s="570" t="s">
        <v>642</v>
      </c>
    </row>
    <row r="30" spans="1:6" s="54" customFormat="1" ht="38.25" x14ac:dyDescent="0.2">
      <c r="A30" s="569" t="s">
        <v>351</v>
      </c>
      <c r="B30" s="569" t="s">
        <v>536</v>
      </c>
      <c r="C30" s="569" t="s">
        <v>609</v>
      </c>
      <c r="D30" s="569" t="s">
        <v>643</v>
      </c>
      <c r="E30" s="569" t="s">
        <v>611</v>
      </c>
      <c r="F30" s="569" t="s">
        <v>644</v>
      </c>
    </row>
    <row r="31" spans="1:6" s="54" customFormat="1" ht="51" x14ac:dyDescent="0.2">
      <c r="A31" s="569" t="s">
        <v>351</v>
      </c>
      <c r="B31" s="569" t="s">
        <v>538</v>
      </c>
      <c r="C31" s="569" t="s">
        <v>609</v>
      </c>
      <c r="D31" s="569" t="s">
        <v>645</v>
      </c>
      <c r="E31" s="569" t="s">
        <v>611</v>
      </c>
      <c r="F31" s="569" t="s">
        <v>646</v>
      </c>
    </row>
    <row r="32" spans="1:6" s="54" customFormat="1" ht="25.5" x14ac:dyDescent="0.2">
      <c r="A32" s="569" t="s">
        <v>351</v>
      </c>
      <c r="B32" s="569" t="s">
        <v>542</v>
      </c>
      <c r="C32" s="569" t="s">
        <v>647</v>
      </c>
      <c r="D32" s="569" t="s">
        <v>648</v>
      </c>
      <c r="E32" s="569" t="s">
        <v>576</v>
      </c>
      <c r="F32" s="569" t="s">
        <v>649</v>
      </c>
    </row>
    <row r="33" spans="1:6" s="54" customFormat="1" ht="38.25" x14ac:dyDescent="0.2">
      <c r="A33" s="569" t="s">
        <v>351</v>
      </c>
      <c r="B33" s="569" t="s">
        <v>544</v>
      </c>
      <c r="C33" s="569" t="s">
        <v>647</v>
      </c>
      <c r="D33" s="569" t="s">
        <v>650</v>
      </c>
      <c r="E33" s="569" t="s">
        <v>576</v>
      </c>
      <c r="F33" s="569" t="s">
        <v>651</v>
      </c>
    </row>
    <row r="34" spans="1:6" s="54" customFormat="1" ht="25.5" x14ac:dyDescent="0.2">
      <c r="A34" s="569" t="s">
        <v>351</v>
      </c>
      <c r="B34" s="569" t="s">
        <v>546</v>
      </c>
      <c r="C34" s="569" t="s">
        <v>652</v>
      </c>
      <c r="D34" s="569" t="s">
        <v>653</v>
      </c>
      <c r="E34" s="569" t="s">
        <v>576</v>
      </c>
      <c r="F34" s="569" t="s">
        <v>654</v>
      </c>
    </row>
    <row r="35" spans="1:6" s="54" customFormat="1" ht="38.25" x14ac:dyDescent="0.2">
      <c r="A35" s="569" t="s">
        <v>351</v>
      </c>
      <c r="B35" s="569" t="s">
        <v>548</v>
      </c>
      <c r="C35" s="569" t="s">
        <v>655</v>
      </c>
      <c r="D35" s="569" t="s">
        <v>656</v>
      </c>
      <c r="E35" s="569" t="s">
        <v>576</v>
      </c>
      <c r="F35" s="569" t="s">
        <v>657</v>
      </c>
    </row>
    <row r="36" spans="1:6" s="54" customFormat="1" ht="38.25" x14ac:dyDescent="0.2">
      <c r="A36" s="569" t="s">
        <v>351</v>
      </c>
      <c r="B36" s="569" t="s">
        <v>550</v>
      </c>
      <c r="C36" s="569" t="s">
        <v>658</v>
      </c>
      <c r="D36" s="569" t="s">
        <v>659</v>
      </c>
      <c r="E36" s="569" t="s">
        <v>576</v>
      </c>
      <c r="F36" s="569" t="s">
        <v>660</v>
      </c>
    </row>
    <row r="37" spans="1:6" s="54" customFormat="1" ht="38.25" x14ac:dyDescent="0.2">
      <c r="A37" s="569" t="s">
        <v>351</v>
      </c>
      <c r="B37" s="569" t="s">
        <v>552</v>
      </c>
      <c r="C37" s="569" t="s">
        <v>661</v>
      </c>
      <c r="D37" s="569" t="s">
        <v>662</v>
      </c>
      <c r="E37" s="569" t="s">
        <v>576</v>
      </c>
      <c r="F37" s="569" t="s">
        <v>663</v>
      </c>
    </row>
    <row r="38" spans="1:6" s="54" customFormat="1" ht="51" x14ac:dyDescent="0.2">
      <c r="A38" s="569" t="s">
        <v>351</v>
      </c>
      <c r="B38" s="569" t="s">
        <v>553</v>
      </c>
      <c r="C38" s="569" t="s">
        <v>664</v>
      </c>
      <c r="D38" s="569" t="s">
        <v>632</v>
      </c>
      <c r="E38" s="569" t="s">
        <v>576</v>
      </c>
      <c r="F38" s="569" t="s">
        <v>665</v>
      </c>
    </row>
    <row r="39" spans="1:6" s="54" customFormat="1" ht="51" x14ac:dyDescent="0.2">
      <c r="A39" s="569" t="s">
        <v>351</v>
      </c>
      <c r="B39" s="569" t="s">
        <v>555</v>
      </c>
      <c r="C39" s="569" t="s">
        <v>666</v>
      </c>
      <c r="D39" s="569" t="s">
        <v>638</v>
      </c>
      <c r="E39" s="569" t="s">
        <v>576</v>
      </c>
      <c r="F39" s="569" t="s">
        <v>667</v>
      </c>
    </row>
    <row r="40" spans="1:6" s="54" customFormat="1" ht="38.25" x14ac:dyDescent="0.2">
      <c r="A40" s="569" t="s">
        <v>351</v>
      </c>
      <c r="B40" s="569" t="s">
        <v>557</v>
      </c>
      <c r="C40" s="569" t="s">
        <v>609</v>
      </c>
      <c r="D40" s="569" t="s">
        <v>668</v>
      </c>
      <c r="E40" s="569" t="s">
        <v>611</v>
      </c>
      <c r="F40" s="569" t="s">
        <v>669</v>
      </c>
    </row>
    <row r="41" spans="1:6" s="54" customFormat="1" ht="38.25" x14ac:dyDescent="0.2">
      <c r="A41" s="569" t="s">
        <v>351</v>
      </c>
      <c r="B41" s="569" t="s">
        <v>559</v>
      </c>
      <c r="C41" s="569" t="s">
        <v>609</v>
      </c>
      <c r="D41" s="569" t="s">
        <v>641</v>
      </c>
      <c r="E41" s="569" t="s">
        <v>611</v>
      </c>
      <c r="F41" s="569" t="s">
        <v>670</v>
      </c>
    </row>
    <row r="42" spans="1:6" s="54" customFormat="1" ht="38.25" x14ac:dyDescent="0.2">
      <c r="A42" s="569" t="s">
        <v>351</v>
      </c>
      <c r="B42" s="569" t="s">
        <v>561</v>
      </c>
      <c r="C42" s="569" t="s">
        <v>609</v>
      </c>
      <c r="D42" s="569" t="s">
        <v>643</v>
      </c>
      <c r="E42" s="569" t="s">
        <v>611</v>
      </c>
      <c r="F42" s="569" t="s">
        <v>671</v>
      </c>
    </row>
    <row r="43" spans="1:6" s="54" customFormat="1" ht="38.25" x14ac:dyDescent="0.2">
      <c r="A43" s="569" t="s">
        <v>351</v>
      </c>
      <c r="B43" s="569" t="s">
        <v>563</v>
      </c>
      <c r="C43" s="569" t="s">
        <v>609</v>
      </c>
      <c r="D43" s="569" t="s">
        <v>645</v>
      </c>
      <c r="E43" s="569" t="s">
        <v>611</v>
      </c>
      <c r="F43" s="569" t="s">
        <v>672</v>
      </c>
    </row>
    <row r="44" spans="1:6" s="54" customFormat="1" ht="51" x14ac:dyDescent="0.2">
      <c r="A44" s="569" t="s">
        <v>351</v>
      </c>
      <c r="B44" s="569" t="s">
        <v>567</v>
      </c>
      <c r="C44" s="569" t="s">
        <v>673</v>
      </c>
      <c r="D44" s="569" t="s">
        <v>674</v>
      </c>
      <c r="E44" s="569" t="s">
        <v>576</v>
      </c>
      <c r="F44" s="569" t="s">
        <v>675</v>
      </c>
    </row>
    <row r="45" spans="1:6" s="54" customFormat="1" ht="38.25" x14ac:dyDescent="0.2">
      <c r="A45" s="569" t="s">
        <v>351</v>
      </c>
      <c r="B45" s="569" t="s">
        <v>568</v>
      </c>
      <c r="C45" s="569" t="s">
        <v>609</v>
      </c>
      <c r="D45" s="569" t="s">
        <v>641</v>
      </c>
      <c r="E45" s="569" t="s">
        <v>611</v>
      </c>
      <c r="F45" s="569" t="s">
        <v>676</v>
      </c>
    </row>
    <row r="46" spans="1:6" s="54" customFormat="1" ht="51" x14ac:dyDescent="0.2">
      <c r="A46" s="569" t="s">
        <v>351</v>
      </c>
      <c r="B46" s="569" t="s">
        <v>571</v>
      </c>
      <c r="C46" s="569" t="s">
        <v>673</v>
      </c>
      <c r="D46" s="569" t="s">
        <v>674</v>
      </c>
      <c r="E46" s="569" t="s">
        <v>576</v>
      </c>
      <c r="F46" s="569" t="s">
        <v>677</v>
      </c>
    </row>
    <row r="47" spans="1:6" s="54" customFormat="1" ht="38.25" x14ac:dyDescent="0.2">
      <c r="A47" s="569" t="s">
        <v>351</v>
      </c>
      <c r="B47" s="569" t="s">
        <v>573</v>
      </c>
      <c r="C47" s="569" t="s">
        <v>609</v>
      </c>
      <c r="D47" s="569" t="s">
        <v>641</v>
      </c>
      <c r="E47" s="569" t="s">
        <v>611</v>
      </c>
      <c r="F47" s="569" t="s">
        <v>678</v>
      </c>
    </row>
    <row r="48" spans="1:6" s="20" customFormat="1" ht="15.6" customHeight="1" x14ac:dyDescent="0.2">
      <c r="A48" s="571"/>
      <c r="B48" s="571"/>
      <c r="C48" s="571"/>
      <c r="D48" s="571"/>
      <c r="E48" s="571"/>
      <c r="F48" s="571"/>
    </row>
    <row r="49" spans="1:6" s="20" customFormat="1" x14ac:dyDescent="0.2">
      <c r="A49" s="572"/>
      <c r="B49" s="572"/>
      <c r="C49" s="572"/>
      <c r="D49" s="573"/>
      <c r="E49" s="572"/>
      <c r="F49" s="573"/>
    </row>
    <row r="50" spans="1:6" s="20" customFormat="1" x14ac:dyDescent="0.2">
      <c r="A50" s="572"/>
      <c r="B50" s="572"/>
      <c r="C50" s="572"/>
      <c r="D50" s="573"/>
      <c r="E50" s="572"/>
      <c r="F50" s="573"/>
    </row>
    <row r="51" spans="1:6" s="20" customFormat="1" x14ac:dyDescent="0.2"/>
  </sheetData>
  <pageMargins left="0.7" right="0.7" top="0.75" bottom="0.75" header="0.3" footer="0.3"/>
  <pageSetup paperSize="9" scale="91" fitToWidth="0" orientation="landscape"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pageSetUpPr fitToPage="1"/>
  </sheetPr>
  <dimension ref="A1:W38"/>
  <sheetViews>
    <sheetView zoomScale="60" zoomScaleNormal="60" workbookViewId="0">
      <pane ySplit="4" topLeftCell="A5" activePane="bottomLeft" state="frozen"/>
      <selection activeCell="L1" sqref="L1"/>
      <selection pane="bottomLeft" activeCell="G17" sqref="A17:XFD17"/>
    </sheetView>
  </sheetViews>
  <sheetFormatPr defaultRowHeight="12.75" x14ac:dyDescent="0.2"/>
  <cols>
    <col min="2" max="2" width="32.7109375" customWidth="1"/>
    <col min="3" max="3" width="14.140625" customWidth="1"/>
    <col min="4" max="4" width="13.5703125" customWidth="1"/>
    <col min="5" max="5" width="18.7109375" customWidth="1"/>
    <col min="6" max="6" width="20.140625" customWidth="1"/>
    <col min="7" max="7" width="18.85546875" customWidth="1"/>
    <col min="8" max="8" width="17.42578125" customWidth="1"/>
    <col min="9" max="9" width="16.7109375" customWidth="1"/>
    <col min="10" max="10" width="17.7109375" customWidth="1"/>
    <col min="11" max="11" width="16.7109375" customWidth="1"/>
    <col min="12" max="12" width="18.140625" customWidth="1"/>
    <col min="13" max="13" width="18.28515625" customWidth="1"/>
    <col min="14" max="14" width="37.28515625" customWidth="1"/>
    <col min="15" max="15" width="18.7109375" customWidth="1"/>
    <col min="16" max="16" width="21" customWidth="1"/>
    <col min="17" max="18" width="22.28515625" customWidth="1"/>
    <col min="19" max="19" width="16.7109375" customWidth="1"/>
    <col min="20" max="20" width="21.140625" customWidth="1"/>
    <col min="21" max="21" width="15.85546875" customWidth="1"/>
    <col min="22" max="22" width="18.5703125" customWidth="1"/>
  </cols>
  <sheetData>
    <row r="1" spans="1:22" ht="13.5" thickBot="1" x14ac:dyDescent="0.25">
      <c r="A1" s="122" t="s">
        <v>281</v>
      </c>
      <c r="B1" s="119"/>
      <c r="C1" s="119"/>
      <c r="D1" s="119"/>
      <c r="E1" s="54"/>
      <c r="F1" s="54"/>
      <c r="G1" s="54"/>
      <c r="H1" s="54"/>
      <c r="I1" s="54"/>
      <c r="J1" s="54"/>
      <c r="K1" s="54"/>
      <c r="L1" s="54"/>
      <c r="M1" s="54"/>
      <c r="N1" s="54"/>
    </row>
    <row r="2" spans="1:22" x14ac:dyDescent="0.2">
      <c r="A2" s="120"/>
      <c r="B2" s="84"/>
      <c r="C2" s="84"/>
      <c r="D2" s="84"/>
      <c r="U2" s="100" t="s">
        <v>56</v>
      </c>
      <c r="V2" s="212" t="s">
        <v>50</v>
      </c>
    </row>
    <row r="3" spans="1:22" ht="13.5" thickBot="1" x14ac:dyDescent="0.25">
      <c r="A3" s="83"/>
      <c r="B3" s="84"/>
      <c r="C3" s="84"/>
      <c r="D3" s="84"/>
      <c r="U3" s="101" t="s">
        <v>55</v>
      </c>
      <c r="V3" s="274">
        <v>2018</v>
      </c>
    </row>
    <row r="4" spans="1:22" ht="39" thickBot="1" x14ac:dyDescent="0.25">
      <c r="A4" s="104" t="s">
        <v>0</v>
      </c>
      <c r="B4" s="104" t="s">
        <v>1</v>
      </c>
      <c r="C4" s="104" t="s">
        <v>5</v>
      </c>
      <c r="D4" s="102" t="s">
        <v>216</v>
      </c>
      <c r="E4" s="102" t="s">
        <v>60</v>
      </c>
      <c r="F4" s="121" t="s">
        <v>282</v>
      </c>
      <c r="G4" s="121" t="s">
        <v>283</v>
      </c>
      <c r="H4" s="104" t="s">
        <v>284</v>
      </c>
      <c r="I4" s="104" t="s">
        <v>285</v>
      </c>
      <c r="J4" s="104" t="s">
        <v>286</v>
      </c>
      <c r="K4" s="104" t="s">
        <v>287</v>
      </c>
      <c r="L4" s="104" t="s">
        <v>288</v>
      </c>
      <c r="M4" s="104" t="s">
        <v>289</v>
      </c>
      <c r="N4" s="104" t="s">
        <v>4</v>
      </c>
      <c r="O4" s="168" t="s">
        <v>290</v>
      </c>
      <c r="P4" s="168" t="s">
        <v>291</v>
      </c>
      <c r="Q4" s="168" t="s">
        <v>292</v>
      </c>
      <c r="R4" s="168" t="s">
        <v>345</v>
      </c>
      <c r="S4" s="168" t="s">
        <v>293</v>
      </c>
      <c r="T4" s="168" t="s">
        <v>294</v>
      </c>
      <c r="U4" s="168" t="s">
        <v>295</v>
      </c>
      <c r="V4" s="168" t="s">
        <v>61</v>
      </c>
    </row>
    <row r="5" spans="1:22" ht="38.25" x14ac:dyDescent="0.2">
      <c r="A5" s="574" t="s">
        <v>490</v>
      </c>
      <c r="B5" s="575" t="s">
        <v>353</v>
      </c>
      <c r="C5" s="574" t="s">
        <v>76</v>
      </c>
      <c r="D5" s="576" t="s">
        <v>376</v>
      </c>
      <c r="E5" s="574" t="s">
        <v>473</v>
      </c>
      <c r="F5" s="577" t="s">
        <v>732</v>
      </c>
      <c r="G5" s="577" t="s">
        <v>733</v>
      </c>
      <c r="H5" s="574">
        <v>36</v>
      </c>
      <c r="I5" s="574">
        <v>359</v>
      </c>
      <c r="J5" s="574">
        <v>1316</v>
      </c>
      <c r="K5" s="574">
        <v>3086</v>
      </c>
      <c r="L5" s="578">
        <v>2769</v>
      </c>
      <c r="M5" s="574">
        <v>316</v>
      </c>
      <c r="N5" s="579" t="s">
        <v>734</v>
      </c>
      <c r="O5" s="230">
        <v>59</v>
      </c>
      <c r="P5" s="230">
        <v>508</v>
      </c>
      <c r="Q5" s="230">
        <v>2106</v>
      </c>
      <c r="R5" s="231" t="s">
        <v>6</v>
      </c>
      <c r="S5" s="230">
        <v>4330</v>
      </c>
      <c r="T5" s="230">
        <v>3956</v>
      </c>
      <c r="U5" s="230">
        <v>374</v>
      </c>
      <c r="V5" s="160"/>
    </row>
    <row r="6" spans="1:22" ht="22.5" x14ac:dyDescent="0.2">
      <c r="A6" s="574" t="s">
        <v>490</v>
      </c>
      <c r="B6" s="575" t="s">
        <v>353</v>
      </c>
      <c r="C6" s="574" t="s">
        <v>76</v>
      </c>
      <c r="D6" s="576" t="s">
        <v>376</v>
      </c>
      <c r="E6" s="574" t="s">
        <v>473</v>
      </c>
      <c r="F6" s="578" t="s">
        <v>735</v>
      </c>
      <c r="G6" s="577" t="s">
        <v>736</v>
      </c>
      <c r="H6" s="574">
        <v>53</v>
      </c>
      <c r="I6" s="574">
        <v>283</v>
      </c>
      <c r="J6" s="574">
        <v>928</v>
      </c>
      <c r="K6" s="574">
        <v>58029</v>
      </c>
      <c r="L6" s="578">
        <v>52161</v>
      </c>
      <c r="M6" s="574">
        <v>5868</v>
      </c>
      <c r="N6" s="579" t="s">
        <v>737</v>
      </c>
      <c r="O6" s="160">
        <v>52</v>
      </c>
      <c r="P6" s="160">
        <v>292</v>
      </c>
      <c r="Q6" s="160">
        <v>1076</v>
      </c>
      <c r="R6" s="231" t="s">
        <v>6</v>
      </c>
      <c r="S6" s="160">
        <v>69373</v>
      </c>
      <c r="T6" s="160">
        <v>58416</v>
      </c>
      <c r="U6" s="160">
        <v>10957</v>
      </c>
      <c r="V6" s="160"/>
    </row>
    <row r="7" spans="1:22" ht="95.65" customHeight="1" x14ac:dyDescent="0.2">
      <c r="A7" s="574" t="s">
        <v>490</v>
      </c>
      <c r="B7" s="575" t="s">
        <v>353</v>
      </c>
      <c r="C7" s="574" t="s">
        <v>76</v>
      </c>
      <c r="D7" s="576" t="s">
        <v>376</v>
      </c>
      <c r="E7" s="574" t="s">
        <v>473</v>
      </c>
      <c r="F7" s="578" t="s">
        <v>738</v>
      </c>
      <c r="G7" s="577" t="s">
        <v>442</v>
      </c>
      <c r="H7" s="574">
        <v>1</v>
      </c>
      <c r="I7" s="574">
        <v>1</v>
      </c>
      <c r="J7" s="574">
        <v>3</v>
      </c>
      <c r="K7" s="574">
        <v>5</v>
      </c>
      <c r="L7" s="578">
        <v>5</v>
      </c>
      <c r="M7" s="574">
        <v>0</v>
      </c>
      <c r="N7" s="579" t="s">
        <v>739</v>
      </c>
      <c r="O7" s="160">
        <v>0</v>
      </c>
      <c r="P7" s="160">
        <v>0</v>
      </c>
      <c r="Q7" s="160">
        <v>0</v>
      </c>
      <c r="R7" s="160">
        <v>0</v>
      </c>
      <c r="S7" s="160">
        <v>0</v>
      </c>
      <c r="T7" s="160">
        <v>0</v>
      </c>
      <c r="U7" s="160">
        <v>0</v>
      </c>
      <c r="V7" s="275" t="s">
        <v>1714</v>
      </c>
    </row>
    <row r="8" spans="1:22" ht="22.5" x14ac:dyDescent="0.2">
      <c r="A8" s="574" t="s">
        <v>490</v>
      </c>
      <c r="B8" s="575" t="s">
        <v>353</v>
      </c>
      <c r="C8" s="574" t="s">
        <v>76</v>
      </c>
      <c r="D8" s="576" t="s">
        <v>376</v>
      </c>
      <c r="E8" s="574" t="s">
        <v>473</v>
      </c>
      <c r="F8" s="578" t="s">
        <v>740</v>
      </c>
      <c r="G8" s="578" t="s">
        <v>736</v>
      </c>
      <c r="H8" s="574">
        <v>4</v>
      </c>
      <c r="I8" s="574">
        <v>17</v>
      </c>
      <c r="J8" s="574">
        <v>18</v>
      </c>
      <c r="K8" s="574">
        <v>9</v>
      </c>
      <c r="L8" s="578">
        <v>9</v>
      </c>
      <c r="M8" s="574">
        <v>0</v>
      </c>
      <c r="N8" s="579" t="s">
        <v>741</v>
      </c>
      <c r="O8" s="160">
        <v>2</v>
      </c>
      <c r="P8" s="160">
        <v>14</v>
      </c>
      <c r="Q8" s="160">
        <v>14</v>
      </c>
      <c r="R8" s="231" t="s">
        <v>6</v>
      </c>
      <c r="S8" s="160">
        <v>3</v>
      </c>
      <c r="T8" s="160">
        <v>3</v>
      </c>
      <c r="U8" s="160">
        <v>0</v>
      </c>
      <c r="V8" s="160"/>
    </row>
    <row r="9" spans="1:22" ht="33.75" x14ac:dyDescent="0.2">
      <c r="A9" s="574" t="s">
        <v>490</v>
      </c>
      <c r="B9" s="575" t="s">
        <v>353</v>
      </c>
      <c r="C9" s="574" t="s">
        <v>76</v>
      </c>
      <c r="D9" s="576" t="s">
        <v>376</v>
      </c>
      <c r="E9" s="574" t="s">
        <v>473</v>
      </c>
      <c r="F9" s="578" t="s">
        <v>742</v>
      </c>
      <c r="G9" s="578" t="s">
        <v>743</v>
      </c>
      <c r="H9" s="574">
        <v>8</v>
      </c>
      <c r="I9" s="574">
        <v>46</v>
      </c>
      <c r="J9" s="574">
        <v>71</v>
      </c>
      <c r="K9" s="574">
        <v>42</v>
      </c>
      <c r="L9" s="578">
        <v>42</v>
      </c>
      <c r="M9" s="574">
        <v>0</v>
      </c>
      <c r="N9" s="579" t="s">
        <v>744</v>
      </c>
      <c r="O9" s="160">
        <v>8</v>
      </c>
      <c r="P9" s="160">
        <v>27</v>
      </c>
      <c r="Q9" s="160">
        <v>40</v>
      </c>
      <c r="R9" s="231" t="s">
        <v>6</v>
      </c>
      <c r="S9" s="160">
        <v>40</v>
      </c>
      <c r="T9" s="160">
        <v>40</v>
      </c>
      <c r="U9" s="160">
        <v>0</v>
      </c>
      <c r="V9" s="160"/>
    </row>
    <row r="10" spans="1:22" ht="22.5" x14ac:dyDescent="0.2">
      <c r="A10" s="574" t="s">
        <v>490</v>
      </c>
      <c r="B10" s="575" t="s">
        <v>353</v>
      </c>
      <c r="C10" s="574" t="s">
        <v>76</v>
      </c>
      <c r="D10" s="576" t="s">
        <v>376</v>
      </c>
      <c r="E10" s="574" t="s">
        <v>473</v>
      </c>
      <c r="F10" s="578" t="s">
        <v>745</v>
      </c>
      <c r="G10" s="578" t="s">
        <v>746</v>
      </c>
      <c r="H10" s="574">
        <v>33</v>
      </c>
      <c r="I10" s="574">
        <v>1456</v>
      </c>
      <c r="J10" s="574">
        <v>2057</v>
      </c>
      <c r="K10" s="574">
        <v>3013</v>
      </c>
      <c r="L10" s="578">
        <v>3005</v>
      </c>
      <c r="M10" s="574">
        <v>8</v>
      </c>
      <c r="N10" s="579" t="s">
        <v>747</v>
      </c>
      <c r="O10" s="160">
        <v>33</v>
      </c>
      <c r="P10" s="160">
        <v>1835</v>
      </c>
      <c r="Q10" s="160">
        <v>3102</v>
      </c>
      <c r="R10" s="231" t="s">
        <v>6</v>
      </c>
      <c r="S10" s="160">
        <v>3063</v>
      </c>
      <c r="T10" s="160">
        <v>3057</v>
      </c>
      <c r="U10" s="160">
        <v>6</v>
      </c>
      <c r="V10" s="160"/>
    </row>
    <row r="11" spans="1:22" ht="22.5" x14ac:dyDescent="0.2">
      <c r="A11" s="574" t="s">
        <v>490</v>
      </c>
      <c r="B11" s="575" t="s">
        <v>353</v>
      </c>
      <c r="C11" s="574" t="s">
        <v>76</v>
      </c>
      <c r="D11" s="576" t="s">
        <v>367</v>
      </c>
      <c r="E11" s="574" t="s">
        <v>473</v>
      </c>
      <c r="F11" s="578" t="s">
        <v>748</v>
      </c>
      <c r="G11" s="578" t="s">
        <v>743</v>
      </c>
      <c r="H11" s="574">
        <v>9</v>
      </c>
      <c r="I11" s="574">
        <v>98</v>
      </c>
      <c r="J11" s="574">
        <v>451</v>
      </c>
      <c r="K11" s="574">
        <v>393</v>
      </c>
      <c r="L11" s="578">
        <v>393</v>
      </c>
      <c r="M11" s="574">
        <v>0</v>
      </c>
      <c r="N11" s="579"/>
      <c r="O11" s="160">
        <v>8</v>
      </c>
      <c r="P11" s="160">
        <v>118</v>
      </c>
      <c r="Q11" s="160">
        <v>635</v>
      </c>
      <c r="R11" s="231" t="s">
        <v>6</v>
      </c>
      <c r="S11" s="160">
        <v>564</v>
      </c>
      <c r="T11" s="160">
        <v>564</v>
      </c>
      <c r="U11" s="160">
        <v>0</v>
      </c>
      <c r="V11" s="160"/>
    </row>
    <row r="12" spans="1:22" ht="51" x14ac:dyDescent="0.2">
      <c r="A12" s="574" t="s">
        <v>490</v>
      </c>
      <c r="B12" s="575" t="s">
        <v>353</v>
      </c>
      <c r="C12" s="574" t="s">
        <v>76</v>
      </c>
      <c r="D12" s="576" t="s">
        <v>367</v>
      </c>
      <c r="E12" s="574" t="s">
        <v>473</v>
      </c>
      <c r="F12" s="578" t="s">
        <v>732</v>
      </c>
      <c r="G12" s="578" t="s">
        <v>749</v>
      </c>
      <c r="H12" s="574">
        <v>76</v>
      </c>
      <c r="I12" s="574">
        <v>1479</v>
      </c>
      <c r="J12" s="574">
        <v>3682</v>
      </c>
      <c r="K12" s="574">
        <v>3642</v>
      </c>
      <c r="L12" s="578">
        <v>3521</v>
      </c>
      <c r="M12" s="574">
        <v>120</v>
      </c>
      <c r="N12" s="580"/>
      <c r="O12" s="160">
        <v>74</v>
      </c>
      <c r="P12" s="160">
        <v>1071</v>
      </c>
      <c r="Q12" s="160">
        <v>2695</v>
      </c>
      <c r="R12" s="231" t="s">
        <v>6</v>
      </c>
      <c r="S12" s="160">
        <v>2921</v>
      </c>
      <c r="T12" s="160">
        <v>2885</v>
      </c>
      <c r="U12" s="160">
        <v>36</v>
      </c>
      <c r="V12" s="160"/>
    </row>
    <row r="13" spans="1:22" ht="22.5" x14ac:dyDescent="0.2">
      <c r="A13" s="574" t="s">
        <v>490</v>
      </c>
      <c r="B13" s="575" t="s">
        <v>353</v>
      </c>
      <c r="C13" s="574" t="s">
        <v>76</v>
      </c>
      <c r="D13" s="576" t="s">
        <v>367</v>
      </c>
      <c r="E13" s="574" t="s">
        <v>473</v>
      </c>
      <c r="F13" s="578" t="s">
        <v>735</v>
      </c>
      <c r="G13" s="578" t="s">
        <v>736</v>
      </c>
      <c r="H13" s="574">
        <v>18</v>
      </c>
      <c r="I13" s="574">
        <v>253</v>
      </c>
      <c r="J13" s="574">
        <v>271</v>
      </c>
      <c r="K13" s="574">
        <v>3201</v>
      </c>
      <c r="L13" s="578">
        <v>3201</v>
      </c>
      <c r="M13" s="574">
        <v>0</v>
      </c>
      <c r="N13" s="579" t="s">
        <v>750</v>
      </c>
      <c r="O13" s="160">
        <v>19</v>
      </c>
      <c r="P13" s="160">
        <v>167</v>
      </c>
      <c r="Q13" s="160">
        <v>215</v>
      </c>
      <c r="R13" s="231" t="s">
        <v>6</v>
      </c>
      <c r="S13" s="160">
        <v>3746</v>
      </c>
      <c r="T13" s="160">
        <v>3265</v>
      </c>
      <c r="U13" s="160">
        <v>481</v>
      </c>
      <c r="V13" s="160"/>
    </row>
    <row r="14" spans="1:22" ht="22.5" x14ac:dyDescent="0.2">
      <c r="A14" s="574" t="s">
        <v>490</v>
      </c>
      <c r="B14" s="575" t="s">
        <v>353</v>
      </c>
      <c r="C14" s="574" t="s">
        <v>76</v>
      </c>
      <c r="D14" s="576" t="s">
        <v>367</v>
      </c>
      <c r="E14" s="574" t="s">
        <v>473</v>
      </c>
      <c r="F14" s="578" t="s">
        <v>738</v>
      </c>
      <c r="G14" s="578" t="s">
        <v>442</v>
      </c>
      <c r="H14" s="574">
        <v>40</v>
      </c>
      <c r="I14" s="574">
        <v>2454</v>
      </c>
      <c r="J14" s="574">
        <v>3914</v>
      </c>
      <c r="K14" s="574">
        <v>2255</v>
      </c>
      <c r="L14" s="578">
        <v>2254</v>
      </c>
      <c r="M14" s="574">
        <v>1</v>
      </c>
      <c r="N14" s="579" t="s">
        <v>751</v>
      </c>
      <c r="O14" s="160">
        <v>53</v>
      </c>
      <c r="P14" s="160">
        <v>2840</v>
      </c>
      <c r="Q14" s="160">
        <v>4064</v>
      </c>
      <c r="R14" s="231" t="s">
        <v>6</v>
      </c>
      <c r="S14" s="160">
        <v>1238</v>
      </c>
      <c r="T14" s="160">
        <v>1233</v>
      </c>
      <c r="U14" s="160">
        <v>5</v>
      </c>
      <c r="V14" s="160"/>
    </row>
    <row r="15" spans="1:22" ht="25.5" x14ac:dyDescent="0.2">
      <c r="A15" s="574" t="s">
        <v>490</v>
      </c>
      <c r="B15" s="575" t="s">
        <v>353</v>
      </c>
      <c r="C15" s="574" t="s">
        <v>76</v>
      </c>
      <c r="D15" s="576" t="s">
        <v>367</v>
      </c>
      <c r="E15" s="574" t="s">
        <v>473</v>
      </c>
      <c r="F15" s="578" t="s">
        <v>742</v>
      </c>
      <c r="G15" s="578" t="s">
        <v>743</v>
      </c>
      <c r="H15" s="574">
        <v>5</v>
      </c>
      <c r="I15" s="574">
        <v>23</v>
      </c>
      <c r="J15" s="574">
        <v>25</v>
      </c>
      <c r="K15" s="574">
        <v>28</v>
      </c>
      <c r="L15" s="578">
        <v>28</v>
      </c>
      <c r="M15" s="574">
        <v>0</v>
      </c>
      <c r="N15" s="579" t="s">
        <v>752</v>
      </c>
      <c r="O15" s="160">
        <v>5</v>
      </c>
      <c r="P15" s="160">
        <v>50</v>
      </c>
      <c r="Q15" s="160">
        <v>45</v>
      </c>
      <c r="R15" s="231" t="s">
        <v>6</v>
      </c>
      <c r="S15" s="160">
        <v>39</v>
      </c>
      <c r="T15" s="160">
        <v>39</v>
      </c>
      <c r="U15" s="160">
        <v>0</v>
      </c>
      <c r="V15" s="160"/>
    </row>
    <row r="16" spans="1:22" ht="22.5" x14ac:dyDescent="0.2">
      <c r="A16" s="574" t="s">
        <v>490</v>
      </c>
      <c r="B16" s="575" t="s">
        <v>353</v>
      </c>
      <c r="C16" s="574" t="s">
        <v>76</v>
      </c>
      <c r="D16" s="576" t="s">
        <v>367</v>
      </c>
      <c r="E16" s="574" t="s">
        <v>473</v>
      </c>
      <c r="F16" s="578" t="s">
        <v>745</v>
      </c>
      <c r="G16" s="578" t="s">
        <v>746</v>
      </c>
      <c r="H16" s="574">
        <v>34</v>
      </c>
      <c r="I16" s="574">
        <v>2645</v>
      </c>
      <c r="J16" s="574">
        <v>2634</v>
      </c>
      <c r="K16" s="574">
        <v>1608</v>
      </c>
      <c r="L16" s="578">
        <v>1608</v>
      </c>
      <c r="M16" s="574">
        <v>0</v>
      </c>
      <c r="N16" s="579" t="s">
        <v>753</v>
      </c>
      <c r="O16" s="160">
        <v>39</v>
      </c>
      <c r="P16" s="160">
        <v>3075</v>
      </c>
      <c r="Q16" s="160">
        <v>3076</v>
      </c>
      <c r="R16" s="231" t="s">
        <v>6</v>
      </c>
      <c r="S16" s="160">
        <v>2252</v>
      </c>
      <c r="T16" s="160">
        <v>2252</v>
      </c>
      <c r="U16" s="160">
        <v>0</v>
      </c>
      <c r="V16" s="160"/>
    </row>
    <row r="17" spans="1:22" ht="38.25" x14ac:dyDescent="0.2">
      <c r="A17" s="574" t="s">
        <v>490</v>
      </c>
      <c r="B17" s="575" t="s">
        <v>353</v>
      </c>
      <c r="C17" s="574" t="s">
        <v>76</v>
      </c>
      <c r="D17" s="576" t="s">
        <v>687</v>
      </c>
      <c r="E17" s="574" t="s">
        <v>473</v>
      </c>
      <c r="F17" s="578" t="s">
        <v>748</v>
      </c>
      <c r="G17" s="578" t="s">
        <v>743</v>
      </c>
      <c r="H17" s="574">
        <v>2</v>
      </c>
      <c r="I17" s="574">
        <v>15</v>
      </c>
      <c r="J17" s="574">
        <v>30</v>
      </c>
      <c r="K17" s="574">
        <v>25</v>
      </c>
      <c r="L17" s="578">
        <v>25</v>
      </c>
      <c r="M17" s="574">
        <v>0</v>
      </c>
      <c r="N17" s="579" t="s">
        <v>754</v>
      </c>
      <c r="O17" s="160">
        <v>2</v>
      </c>
      <c r="P17" s="160">
        <v>2</v>
      </c>
      <c r="Q17" s="160">
        <v>5</v>
      </c>
      <c r="R17" s="231" t="s">
        <v>79</v>
      </c>
      <c r="S17" s="160">
        <v>5</v>
      </c>
      <c r="T17" s="160">
        <v>5</v>
      </c>
      <c r="U17" s="160">
        <v>0</v>
      </c>
      <c r="V17" s="275" t="s">
        <v>754</v>
      </c>
    </row>
    <row r="18" spans="1:22" ht="51" x14ac:dyDescent="0.2">
      <c r="A18" s="574" t="s">
        <v>490</v>
      </c>
      <c r="B18" s="575" t="s">
        <v>353</v>
      </c>
      <c r="C18" s="574" t="s">
        <v>76</v>
      </c>
      <c r="D18" s="576" t="s">
        <v>687</v>
      </c>
      <c r="E18" s="574" t="s">
        <v>473</v>
      </c>
      <c r="F18" s="578" t="s">
        <v>732</v>
      </c>
      <c r="G18" s="578" t="s">
        <v>749</v>
      </c>
      <c r="H18" s="574">
        <v>137</v>
      </c>
      <c r="I18" s="574">
        <v>2932</v>
      </c>
      <c r="J18" s="574">
        <v>10913</v>
      </c>
      <c r="K18" s="574">
        <v>9126</v>
      </c>
      <c r="L18" s="578">
        <v>8755</v>
      </c>
      <c r="M18" s="574">
        <v>372</v>
      </c>
      <c r="N18" s="579" t="s">
        <v>755</v>
      </c>
      <c r="O18" s="160">
        <v>136</v>
      </c>
      <c r="P18" s="160">
        <v>2537</v>
      </c>
      <c r="Q18" s="160">
        <v>11554</v>
      </c>
      <c r="R18" s="231" t="s">
        <v>6</v>
      </c>
      <c r="S18" s="160">
        <v>8820</v>
      </c>
      <c r="T18" s="160">
        <v>8729</v>
      </c>
      <c r="U18" s="160">
        <v>91</v>
      </c>
      <c r="V18" s="160"/>
    </row>
    <row r="19" spans="1:22" ht="38.25" x14ac:dyDescent="0.2">
      <c r="A19" s="574" t="s">
        <v>490</v>
      </c>
      <c r="B19" s="575" t="s">
        <v>353</v>
      </c>
      <c r="C19" s="574" t="s">
        <v>76</v>
      </c>
      <c r="D19" s="576" t="s">
        <v>687</v>
      </c>
      <c r="E19" s="574" t="s">
        <v>473</v>
      </c>
      <c r="F19" s="578" t="s">
        <v>735</v>
      </c>
      <c r="G19" s="578" t="s">
        <v>756</v>
      </c>
      <c r="H19" s="574">
        <v>55</v>
      </c>
      <c r="I19" s="574">
        <v>459</v>
      </c>
      <c r="J19" s="574">
        <v>1927</v>
      </c>
      <c r="K19" s="574">
        <v>71346</v>
      </c>
      <c r="L19" s="578">
        <v>60927</v>
      </c>
      <c r="M19" s="574">
        <v>10419</v>
      </c>
      <c r="N19" s="579" t="s">
        <v>757</v>
      </c>
      <c r="O19" s="160">
        <v>53</v>
      </c>
      <c r="P19" s="160">
        <v>277</v>
      </c>
      <c r="Q19" s="160">
        <v>905</v>
      </c>
      <c r="R19" s="231" t="s">
        <v>6</v>
      </c>
      <c r="S19" s="160">
        <v>53231</v>
      </c>
      <c r="T19" s="160">
        <v>49635</v>
      </c>
      <c r="U19" s="160">
        <v>3596</v>
      </c>
      <c r="V19" s="160"/>
    </row>
    <row r="20" spans="1:22" ht="22.5" x14ac:dyDescent="0.2">
      <c r="A20" s="574" t="s">
        <v>490</v>
      </c>
      <c r="B20" s="575" t="s">
        <v>353</v>
      </c>
      <c r="C20" s="574" t="s">
        <v>76</v>
      </c>
      <c r="D20" s="576" t="s">
        <v>687</v>
      </c>
      <c r="E20" s="574" t="s">
        <v>473</v>
      </c>
      <c r="F20" s="578" t="s">
        <v>738</v>
      </c>
      <c r="G20" s="578" t="s">
        <v>442</v>
      </c>
      <c r="H20" s="574">
        <v>5</v>
      </c>
      <c r="I20" s="574">
        <v>319</v>
      </c>
      <c r="J20" s="574">
        <v>317</v>
      </c>
      <c r="K20" s="574">
        <v>85</v>
      </c>
      <c r="L20" s="578">
        <v>85</v>
      </c>
      <c r="M20" s="574">
        <v>0</v>
      </c>
      <c r="N20" s="579" t="s">
        <v>758</v>
      </c>
      <c r="O20" s="160">
        <v>8</v>
      </c>
      <c r="P20" s="160">
        <v>325</v>
      </c>
      <c r="Q20" s="160">
        <v>361</v>
      </c>
      <c r="R20" s="231" t="s">
        <v>6</v>
      </c>
      <c r="S20" s="160">
        <v>84</v>
      </c>
      <c r="T20" s="160">
        <v>84</v>
      </c>
      <c r="U20" s="160">
        <v>0</v>
      </c>
      <c r="V20" s="160"/>
    </row>
    <row r="21" spans="1:22" ht="38.25" x14ac:dyDescent="0.2">
      <c r="A21" s="574" t="s">
        <v>490</v>
      </c>
      <c r="B21" s="575" t="s">
        <v>353</v>
      </c>
      <c r="C21" s="574" t="s">
        <v>76</v>
      </c>
      <c r="D21" s="576" t="s">
        <v>687</v>
      </c>
      <c r="E21" s="574" t="s">
        <v>473</v>
      </c>
      <c r="F21" s="578" t="s">
        <v>740</v>
      </c>
      <c r="G21" s="578" t="s">
        <v>736</v>
      </c>
      <c r="H21" s="574">
        <v>12</v>
      </c>
      <c r="I21" s="574">
        <v>108</v>
      </c>
      <c r="J21" s="574">
        <v>130</v>
      </c>
      <c r="K21" s="574">
        <v>43</v>
      </c>
      <c r="L21" s="578">
        <v>43</v>
      </c>
      <c r="M21" s="574">
        <v>0</v>
      </c>
      <c r="N21" s="579"/>
      <c r="O21" s="160">
        <v>14</v>
      </c>
      <c r="P21" s="160">
        <v>284</v>
      </c>
      <c r="Q21" s="160">
        <v>225</v>
      </c>
      <c r="R21" s="231" t="s">
        <v>79</v>
      </c>
      <c r="S21" s="160">
        <v>126</v>
      </c>
      <c r="T21" s="160">
        <v>126</v>
      </c>
      <c r="U21" s="160">
        <v>0</v>
      </c>
      <c r="V21" s="275" t="s">
        <v>1143</v>
      </c>
    </row>
    <row r="22" spans="1:22" ht="33.75" x14ac:dyDescent="0.2">
      <c r="A22" s="574" t="s">
        <v>490</v>
      </c>
      <c r="B22" s="575" t="s">
        <v>353</v>
      </c>
      <c r="C22" s="574" t="s">
        <v>76</v>
      </c>
      <c r="D22" s="576" t="s">
        <v>687</v>
      </c>
      <c r="E22" s="574" t="s">
        <v>473</v>
      </c>
      <c r="F22" s="578" t="s">
        <v>742</v>
      </c>
      <c r="G22" s="578" t="s">
        <v>743</v>
      </c>
      <c r="H22" s="574">
        <v>36</v>
      </c>
      <c r="I22" s="574">
        <v>657</v>
      </c>
      <c r="J22" s="574">
        <v>1299</v>
      </c>
      <c r="K22" s="574">
        <v>1278</v>
      </c>
      <c r="L22" s="578">
        <v>1278</v>
      </c>
      <c r="M22" s="574">
        <v>0</v>
      </c>
      <c r="N22" s="579" t="s">
        <v>744</v>
      </c>
      <c r="O22" s="160">
        <v>34</v>
      </c>
      <c r="P22" s="160">
        <v>486</v>
      </c>
      <c r="Q22" s="160">
        <v>1381</v>
      </c>
      <c r="R22" s="231" t="s">
        <v>6</v>
      </c>
      <c r="S22" s="160">
        <v>944</v>
      </c>
      <c r="T22" s="160">
        <v>944</v>
      </c>
      <c r="U22" s="160">
        <v>0</v>
      </c>
      <c r="V22" s="160"/>
    </row>
    <row r="23" spans="1:22" ht="22.5" x14ac:dyDescent="0.2">
      <c r="A23" s="574" t="s">
        <v>490</v>
      </c>
      <c r="B23" s="575" t="s">
        <v>353</v>
      </c>
      <c r="C23" s="574" t="s">
        <v>76</v>
      </c>
      <c r="D23" s="576" t="s">
        <v>687</v>
      </c>
      <c r="E23" s="574" t="s">
        <v>473</v>
      </c>
      <c r="F23" s="578" t="s">
        <v>745</v>
      </c>
      <c r="G23" s="578" t="s">
        <v>746</v>
      </c>
      <c r="H23" s="574">
        <v>49</v>
      </c>
      <c r="I23" s="574">
        <v>2014</v>
      </c>
      <c r="J23" s="574">
        <v>2436</v>
      </c>
      <c r="K23" s="574">
        <v>1124</v>
      </c>
      <c r="L23" s="578">
        <v>1124</v>
      </c>
      <c r="M23" s="574">
        <v>0</v>
      </c>
      <c r="N23" s="579"/>
      <c r="O23" s="160">
        <v>56</v>
      </c>
      <c r="P23" s="160">
        <v>2218</v>
      </c>
      <c r="Q23" s="160">
        <v>2311</v>
      </c>
      <c r="R23" s="231" t="s">
        <v>6</v>
      </c>
      <c r="S23" s="160">
        <v>1052</v>
      </c>
      <c r="T23" s="160">
        <v>1052</v>
      </c>
      <c r="U23" s="160">
        <v>0</v>
      </c>
      <c r="V23" s="160"/>
    </row>
    <row r="24" spans="1:22" ht="22.5" x14ac:dyDescent="0.2">
      <c r="A24" s="574" t="s">
        <v>490</v>
      </c>
      <c r="B24" s="575" t="s">
        <v>353</v>
      </c>
      <c r="C24" s="574" t="s">
        <v>76</v>
      </c>
      <c r="D24" s="576" t="s">
        <v>688</v>
      </c>
      <c r="E24" s="574" t="s">
        <v>473</v>
      </c>
      <c r="F24" s="578" t="s">
        <v>748</v>
      </c>
      <c r="G24" s="578" t="s">
        <v>743</v>
      </c>
      <c r="H24" s="574">
        <v>13</v>
      </c>
      <c r="I24" s="574">
        <v>461</v>
      </c>
      <c r="J24" s="574">
        <v>2651</v>
      </c>
      <c r="K24" s="574">
        <v>2316</v>
      </c>
      <c r="L24" s="578">
        <v>2314</v>
      </c>
      <c r="M24" s="574">
        <v>6</v>
      </c>
      <c r="N24" s="579"/>
      <c r="O24" s="160">
        <v>14</v>
      </c>
      <c r="P24" s="160">
        <v>472</v>
      </c>
      <c r="Q24" s="160">
        <v>2705</v>
      </c>
      <c r="R24" s="231" t="s">
        <v>6</v>
      </c>
      <c r="S24" s="160">
        <v>2300</v>
      </c>
      <c r="T24" s="160">
        <v>2300</v>
      </c>
      <c r="U24" s="160">
        <v>0</v>
      </c>
      <c r="V24" s="160"/>
    </row>
    <row r="25" spans="1:22" ht="51" x14ac:dyDescent="0.2">
      <c r="A25" s="574" t="s">
        <v>490</v>
      </c>
      <c r="B25" s="575" t="s">
        <v>353</v>
      </c>
      <c r="C25" s="574" t="s">
        <v>76</v>
      </c>
      <c r="D25" s="576" t="s">
        <v>688</v>
      </c>
      <c r="E25" s="574" t="s">
        <v>473</v>
      </c>
      <c r="F25" s="578" t="s">
        <v>732</v>
      </c>
      <c r="G25" s="578" t="s">
        <v>749</v>
      </c>
      <c r="H25" s="574">
        <v>124</v>
      </c>
      <c r="I25" s="574">
        <v>3020</v>
      </c>
      <c r="J25" s="574">
        <v>12739</v>
      </c>
      <c r="K25" s="574">
        <v>14940</v>
      </c>
      <c r="L25" s="578">
        <v>14733</v>
      </c>
      <c r="M25" s="574">
        <v>207</v>
      </c>
      <c r="N25" s="579" t="s">
        <v>759</v>
      </c>
      <c r="O25" s="160">
        <v>128</v>
      </c>
      <c r="P25" s="160">
        <v>2278</v>
      </c>
      <c r="Q25" s="160">
        <v>10990</v>
      </c>
      <c r="R25" s="231" t="s">
        <v>6</v>
      </c>
      <c r="S25" s="160">
        <v>12065</v>
      </c>
      <c r="T25" s="160">
        <v>11782</v>
      </c>
      <c r="U25" s="160">
        <v>283</v>
      </c>
      <c r="V25" s="160"/>
    </row>
    <row r="26" spans="1:22" ht="38.25" x14ac:dyDescent="0.2">
      <c r="A26" s="574" t="s">
        <v>490</v>
      </c>
      <c r="B26" s="575" t="s">
        <v>353</v>
      </c>
      <c r="C26" s="574" t="s">
        <v>76</v>
      </c>
      <c r="D26" s="576" t="s">
        <v>688</v>
      </c>
      <c r="E26" s="574" t="s">
        <v>473</v>
      </c>
      <c r="F26" s="578" t="s">
        <v>735</v>
      </c>
      <c r="G26" s="578" t="s">
        <v>756</v>
      </c>
      <c r="H26" s="574">
        <v>44</v>
      </c>
      <c r="I26" s="574">
        <v>247</v>
      </c>
      <c r="J26" s="574">
        <v>676</v>
      </c>
      <c r="K26" s="574">
        <v>28492</v>
      </c>
      <c r="L26" s="578">
        <v>18963</v>
      </c>
      <c r="M26" s="574">
        <v>9529</v>
      </c>
      <c r="N26" s="579" t="s">
        <v>757</v>
      </c>
      <c r="O26" s="160">
        <v>23</v>
      </c>
      <c r="P26" s="160">
        <v>72</v>
      </c>
      <c r="Q26" s="160">
        <v>214</v>
      </c>
      <c r="R26" s="231" t="s">
        <v>6</v>
      </c>
      <c r="S26" s="160">
        <v>6248</v>
      </c>
      <c r="T26" s="160">
        <v>4161</v>
      </c>
      <c r="U26" s="160">
        <v>2087</v>
      </c>
      <c r="V26" s="160"/>
    </row>
    <row r="27" spans="1:22" ht="22.5" x14ac:dyDescent="0.2">
      <c r="A27" s="574" t="s">
        <v>490</v>
      </c>
      <c r="B27" s="575" t="s">
        <v>353</v>
      </c>
      <c r="C27" s="574" t="s">
        <v>76</v>
      </c>
      <c r="D27" s="576" t="s">
        <v>688</v>
      </c>
      <c r="E27" s="574" t="s">
        <v>473</v>
      </c>
      <c r="F27" s="578" t="s">
        <v>738</v>
      </c>
      <c r="G27" s="578" t="s">
        <v>442</v>
      </c>
      <c r="H27" s="574">
        <v>8</v>
      </c>
      <c r="I27" s="574">
        <v>96</v>
      </c>
      <c r="J27" s="574">
        <v>442</v>
      </c>
      <c r="K27" s="574">
        <v>583</v>
      </c>
      <c r="L27" s="578">
        <v>583</v>
      </c>
      <c r="M27" s="574">
        <v>0</v>
      </c>
      <c r="N27" s="579"/>
      <c r="O27" s="160">
        <v>7</v>
      </c>
      <c r="P27" s="160">
        <v>112</v>
      </c>
      <c r="Q27" s="160">
        <v>689</v>
      </c>
      <c r="R27" s="231" t="s">
        <v>6</v>
      </c>
      <c r="S27" s="160">
        <v>903</v>
      </c>
      <c r="T27" s="160">
        <v>903</v>
      </c>
      <c r="U27" s="160">
        <v>0</v>
      </c>
      <c r="V27" s="160"/>
    </row>
    <row r="28" spans="1:22" ht="22.5" x14ac:dyDescent="0.2">
      <c r="A28" s="574" t="s">
        <v>490</v>
      </c>
      <c r="B28" s="575" t="s">
        <v>353</v>
      </c>
      <c r="C28" s="574" t="s">
        <v>76</v>
      </c>
      <c r="D28" s="576" t="s">
        <v>688</v>
      </c>
      <c r="E28" s="574" t="s">
        <v>473</v>
      </c>
      <c r="F28" s="578" t="s">
        <v>740</v>
      </c>
      <c r="G28" s="578" t="s">
        <v>736</v>
      </c>
      <c r="H28" s="574">
        <v>2</v>
      </c>
      <c r="I28" s="574">
        <v>8</v>
      </c>
      <c r="J28" s="574">
        <v>10</v>
      </c>
      <c r="K28" s="574">
        <v>2</v>
      </c>
      <c r="L28" s="578">
        <v>2</v>
      </c>
      <c r="M28" s="574">
        <v>0</v>
      </c>
      <c r="N28" s="579"/>
      <c r="O28" s="160">
        <v>0</v>
      </c>
      <c r="P28" s="160">
        <v>0</v>
      </c>
      <c r="Q28" s="160">
        <v>0</v>
      </c>
      <c r="R28" s="231" t="s">
        <v>79</v>
      </c>
      <c r="S28" s="160">
        <v>0</v>
      </c>
      <c r="T28" s="160">
        <v>0</v>
      </c>
      <c r="U28" s="160">
        <v>0</v>
      </c>
      <c r="V28" s="275" t="s">
        <v>1141</v>
      </c>
    </row>
    <row r="29" spans="1:22" ht="33.75" x14ac:dyDescent="0.2">
      <c r="A29" s="574" t="s">
        <v>490</v>
      </c>
      <c r="B29" s="575" t="s">
        <v>353</v>
      </c>
      <c r="C29" s="574" t="s">
        <v>76</v>
      </c>
      <c r="D29" s="576" t="s">
        <v>688</v>
      </c>
      <c r="E29" s="574" t="s">
        <v>473</v>
      </c>
      <c r="F29" s="578" t="s">
        <v>742</v>
      </c>
      <c r="G29" s="578" t="s">
        <v>743</v>
      </c>
      <c r="H29" s="574">
        <v>27</v>
      </c>
      <c r="I29" s="574">
        <v>582</v>
      </c>
      <c r="J29" s="574">
        <v>1612</v>
      </c>
      <c r="K29" s="574">
        <v>1113</v>
      </c>
      <c r="L29" s="578">
        <v>1113</v>
      </c>
      <c r="M29" s="574">
        <v>0</v>
      </c>
      <c r="N29" s="579" t="s">
        <v>744</v>
      </c>
      <c r="O29" s="160">
        <v>23</v>
      </c>
      <c r="P29" s="160">
        <v>557</v>
      </c>
      <c r="Q29" s="160">
        <v>1442</v>
      </c>
      <c r="R29" s="231" t="s">
        <v>6</v>
      </c>
      <c r="S29" s="160">
        <v>895</v>
      </c>
      <c r="T29" s="160">
        <v>895</v>
      </c>
      <c r="U29" s="160">
        <v>0</v>
      </c>
      <c r="V29" s="160"/>
    </row>
    <row r="30" spans="1:22" ht="22.5" x14ac:dyDescent="0.2">
      <c r="A30" s="574" t="s">
        <v>490</v>
      </c>
      <c r="B30" s="575" t="s">
        <v>353</v>
      </c>
      <c r="C30" s="574" t="s">
        <v>76</v>
      </c>
      <c r="D30" s="576" t="s">
        <v>688</v>
      </c>
      <c r="E30" s="574" t="s">
        <v>473</v>
      </c>
      <c r="F30" s="578" t="s">
        <v>745</v>
      </c>
      <c r="G30" s="578" t="s">
        <v>746</v>
      </c>
      <c r="H30" s="574">
        <v>12</v>
      </c>
      <c r="I30" s="574">
        <v>270</v>
      </c>
      <c r="J30" s="574">
        <v>318</v>
      </c>
      <c r="K30" s="574">
        <v>113</v>
      </c>
      <c r="L30" s="578">
        <v>113</v>
      </c>
      <c r="M30" s="574">
        <v>0</v>
      </c>
      <c r="N30" s="579"/>
      <c r="O30" s="160">
        <v>18</v>
      </c>
      <c r="P30" s="160">
        <v>663</v>
      </c>
      <c r="Q30" s="160">
        <v>741</v>
      </c>
      <c r="R30" s="231" t="s">
        <v>6</v>
      </c>
      <c r="S30" s="160">
        <v>242</v>
      </c>
      <c r="T30" s="160">
        <v>242</v>
      </c>
      <c r="U30" s="160">
        <v>0</v>
      </c>
      <c r="V30" s="160"/>
    </row>
    <row r="31" spans="1:22" ht="22.5" x14ac:dyDescent="0.2">
      <c r="A31" s="574" t="s">
        <v>490</v>
      </c>
      <c r="B31" s="579" t="s">
        <v>565</v>
      </c>
      <c r="C31" s="574" t="s">
        <v>76</v>
      </c>
      <c r="D31" s="576" t="s">
        <v>683</v>
      </c>
      <c r="E31" s="574" t="s">
        <v>473</v>
      </c>
      <c r="F31" s="578" t="s">
        <v>735</v>
      </c>
      <c r="G31" s="578" t="s">
        <v>736</v>
      </c>
      <c r="H31" s="574">
        <v>34</v>
      </c>
      <c r="I31" s="574">
        <v>84</v>
      </c>
      <c r="J31" s="574">
        <v>360</v>
      </c>
      <c r="K31" s="574">
        <v>29748</v>
      </c>
      <c r="L31" s="578">
        <v>19746</v>
      </c>
      <c r="M31" s="574">
        <v>10001</v>
      </c>
      <c r="N31" s="579"/>
      <c r="O31" s="160">
        <v>23</v>
      </c>
      <c r="P31" s="160">
        <v>44</v>
      </c>
      <c r="Q31" s="160">
        <v>224</v>
      </c>
      <c r="R31" s="231" t="s">
        <v>6</v>
      </c>
      <c r="S31" s="160">
        <v>25081</v>
      </c>
      <c r="T31" s="160">
        <v>24746</v>
      </c>
      <c r="U31" s="160">
        <v>335</v>
      </c>
      <c r="V31" s="160"/>
    </row>
    <row r="32" spans="1:22" ht="22.5" x14ac:dyDescent="0.2">
      <c r="A32" s="574" t="s">
        <v>490</v>
      </c>
      <c r="B32" s="579" t="s">
        <v>565</v>
      </c>
      <c r="C32" s="574" t="s">
        <v>76</v>
      </c>
      <c r="D32" s="576" t="s">
        <v>683</v>
      </c>
      <c r="E32" s="574" t="s">
        <v>473</v>
      </c>
      <c r="F32" s="578" t="s">
        <v>738</v>
      </c>
      <c r="G32" s="578" t="s">
        <v>442</v>
      </c>
      <c r="H32" s="574">
        <v>6</v>
      </c>
      <c r="I32" s="574">
        <v>29</v>
      </c>
      <c r="J32" s="574">
        <v>181</v>
      </c>
      <c r="K32" s="574">
        <v>378</v>
      </c>
      <c r="L32" s="578">
        <v>23</v>
      </c>
      <c r="M32" s="574">
        <v>363</v>
      </c>
      <c r="N32" s="579"/>
      <c r="O32" s="160">
        <v>7</v>
      </c>
      <c r="P32" s="160">
        <v>51</v>
      </c>
      <c r="Q32" s="160">
        <v>300</v>
      </c>
      <c r="R32" s="231" t="s">
        <v>6</v>
      </c>
      <c r="S32" s="160">
        <v>775</v>
      </c>
      <c r="T32" s="160">
        <v>11</v>
      </c>
      <c r="U32" s="160">
        <v>764</v>
      </c>
      <c r="V32" s="160"/>
    </row>
    <row r="33" spans="1:23" ht="25.5" x14ac:dyDescent="0.2">
      <c r="A33" s="574" t="s">
        <v>490</v>
      </c>
      <c r="B33" s="579" t="s">
        <v>565</v>
      </c>
      <c r="C33" s="574" t="s">
        <v>76</v>
      </c>
      <c r="D33" s="576" t="s">
        <v>683</v>
      </c>
      <c r="E33" s="574" t="s">
        <v>473</v>
      </c>
      <c r="F33" s="578" t="s">
        <v>745</v>
      </c>
      <c r="G33" s="578" t="s">
        <v>746</v>
      </c>
      <c r="H33" s="574">
        <v>4</v>
      </c>
      <c r="I33" s="574">
        <v>73</v>
      </c>
      <c r="J33" s="574">
        <v>393</v>
      </c>
      <c r="K33" s="574">
        <v>1226</v>
      </c>
      <c r="L33" s="578">
        <v>13</v>
      </c>
      <c r="M33" s="574">
        <v>1213</v>
      </c>
      <c r="N33" s="579"/>
      <c r="O33" s="160">
        <v>7</v>
      </c>
      <c r="P33" s="160">
        <v>68</v>
      </c>
      <c r="Q33" s="160">
        <v>380</v>
      </c>
      <c r="R33" s="231" t="s">
        <v>79</v>
      </c>
      <c r="S33" s="160">
        <v>1055</v>
      </c>
      <c r="T33" s="160">
        <v>8</v>
      </c>
      <c r="U33" s="160">
        <v>1047</v>
      </c>
      <c r="V33" s="275" t="s">
        <v>1142</v>
      </c>
      <c r="W33" s="477"/>
    </row>
    <row r="34" spans="1:23" ht="38.25" x14ac:dyDescent="0.2">
      <c r="A34" s="574" t="s">
        <v>490</v>
      </c>
      <c r="B34" s="579" t="s">
        <v>565</v>
      </c>
      <c r="C34" s="574" t="s">
        <v>76</v>
      </c>
      <c r="D34" s="576" t="s">
        <v>760</v>
      </c>
      <c r="E34" s="574" t="s">
        <v>473</v>
      </c>
      <c r="F34" s="578" t="s">
        <v>732</v>
      </c>
      <c r="G34" s="578" t="s">
        <v>733</v>
      </c>
      <c r="H34" s="574">
        <v>1</v>
      </c>
      <c r="I34" s="574">
        <v>4</v>
      </c>
      <c r="J34" s="574">
        <v>51</v>
      </c>
      <c r="K34" s="574">
        <v>309</v>
      </c>
      <c r="L34" s="578">
        <v>0</v>
      </c>
      <c r="M34" s="574">
        <v>309</v>
      </c>
      <c r="N34" s="579"/>
      <c r="O34" s="160">
        <v>0</v>
      </c>
      <c r="P34" s="160">
        <v>0</v>
      </c>
      <c r="Q34" s="160">
        <v>0</v>
      </c>
      <c r="R34" s="231" t="s">
        <v>79</v>
      </c>
      <c r="S34" s="160">
        <v>0</v>
      </c>
      <c r="T34" s="160">
        <v>0</v>
      </c>
      <c r="U34" s="160">
        <v>0</v>
      </c>
      <c r="V34" s="275" t="s">
        <v>1141</v>
      </c>
    </row>
    <row r="35" spans="1:23" ht="22.5" x14ac:dyDescent="0.2">
      <c r="A35" s="574" t="s">
        <v>490</v>
      </c>
      <c r="B35" s="579" t="s">
        <v>565</v>
      </c>
      <c r="C35" s="574" t="s">
        <v>76</v>
      </c>
      <c r="D35" s="576" t="s">
        <v>760</v>
      </c>
      <c r="E35" s="574" t="s">
        <v>473</v>
      </c>
      <c r="F35" s="578" t="s">
        <v>735</v>
      </c>
      <c r="G35" s="578" t="s">
        <v>736</v>
      </c>
      <c r="H35" s="574">
        <v>5</v>
      </c>
      <c r="I35" s="574">
        <v>9</v>
      </c>
      <c r="J35" s="574">
        <v>42</v>
      </c>
      <c r="K35" s="574">
        <v>2496</v>
      </c>
      <c r="L35" s="578">
        <v>1240</v>
      </c>
      <c r="M35" s="574">
        <v>2083</v>
      </c>
      <c r="N35" s="579"/>
      <c r="O35" s="160">
        <v>8</v>
      </c>
      <c r="P35" s="160">
        <v>11</v>
      </c>
      <c r="Q35" s="160">
        <v>54</v>
      </c>
      <c r="R35" s="231" t="s">
        <v>6</v>
      </c>
      <c r="S35" s="160">
        <v>2547</v>
      </c>
      <c r="T35" s="160">
        <v>122</v>
      </c>
      <c r="U35" s="160">
        <v>2425</v>
      </c>
      <c r="V35" s="160"/>
    </row>
    <row r="36" spans="1:23" ht="22.5" x14ac:dyDescent="0.2">
      <c r="A36" s="574" t="s">
        <v>490</v>
      </c>
      <c r="B36" s="579" t="s">
        <v>565</v>
      </c>
      <c r="C36" s="574" t="s">
        <v>76</v>
      </c>
      <c r="D36" s="576" t="s">
        <v>760</v>
      </c>
      <c r="E36" s="574" t="s">
        <v>473</v>
      </c>
      <c r="F36" s="578" t="s">
        <v>745</v>
      </c>
      <c r="G36" s="578" t="s">
        <v>746</v>
      </c>
      <c r="H36" s="574">
        <v>1</v>
      </c>
      <c r="I36" s="574">
        <v>1</v>
      </c>
      <c r="J36" s="574">
        <v>2</v>
      </c>
      <c r="K36" s="574">
        <v>4</v>
      </c>
      <c r="L36" s="578">
        <v>1</v>
      </c>
      <c r="M36" s="574">
        <v>4</v>
      </c>
      <c r="N36" s="579"/>
      <c r="O36" s="160">
        <v>0</v>
      </c>
      <c r="P36" s="160">
        <v>0</v>
      </c>
      <c r="Q36" s="160">
        <v>0</v>
      </c>
      <c r="R36" s="231" t="s">
        <v>79</v>
      </c>
      <c r="S36" s="160">
        <v>0</v>
      </c>
      <c r="T36" s="160">
        <v>0</v>
      </c>
      <c r="U36" s="160">
        <v>0</v>
      </c>
      <c r="V36" s="275" t="s">
        <v>1141</v>
      </c>
    </row>
    <row r="37" spans="1:23" x14ac:dyDescent="0.2">
      <c r="A37" s="54"/>
      <c r="B37" s="54"/>
      <c r="C37" s="229"/>
      <c r="D37" s="54"/>
      <c r="E37" s="54"/>
      <c r="F37" s="54"/>
      <c r="G37" s="54"/>
      <c r="H37" s="54"/>
      <c r="I37" s="54"/>
      <c r="J37" s="54"/>
      <c r="K37" s="54"/>
      <c r="L37" s="54"/>
      <c r="M37" s="54"/>
      <c r="N37" s="54"/>
    </row>
    <row r="38" spans="1:23" x14ac:dyDescent="0.2">
      <c r="A38" s="54" t="s">
        <v>761</v>
      </c>
      <c r="B38" s="54"/>
      <c r="C38" s="229"/>
      <c r="D38" s="54"/>
      <c r="E38" s="54"/>
      <c r="F38" s="54"/>
      <c r="G38" s="54"/>
      <c r="H38" s="54"/>
      <c r="I38" s="54"/>
      <c r="J38" s="54"/>
      <c r="K38" s="54"/>
      <c r="L38" s="54"/>
      <c r="M38" s="54"/>
      <c r="N38" s="54"/>
    </row>
  </sheetData>
  <pageMargins left="0.7" right="0.7" top="0.75" bottom="0.75" header="0.3" footer="0.3"/>
  <pageSetup paperSize="9" scale="31" fitToHeight="0" orientation="landscape"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pageSetUpPr fitToPage="1"/>
  </sheetPr>
  <dimension ref="A1:K28"/>
  <sheetViews>
    <sheetView workbookViewId="0">
      <selection activeCell="F8" sqref="F8"/>
    </sheetView>
  </sheetViews>
  <sheetFormatPr defaultRowHeight="12.75" x14ac:dyDescent="0.2"/>
  <cols>
    <col min="2" max="2" width="22.85546875" customWidth="1"/>
    <col min="3" max="3" width="15.28515625" customWidth="1"/>
    <col min="4" max="4" width="12.42578125" customWidth="1"/>
    <col min="5" max="5" width="15.5703125" customWidth="1"/>
    <col min="6" max="6" width="15.7109375" customWidth="1"/>
    <col min="7" max="7" width="20.5703125" customWidth="1"/>
    <col min="8" max="8" width="19" customWidth="1"/>
    <col min="9" max="9" width="16.28515625" customWidth="1"/>
    <col min="10" max="10" width="19.42578125" customWidth="1"/>
    <col min="11" max="11" width="26.85546875" customWidth="1"/>
  </cols>
  <sheetData>
    <row r="1" spans="1:11" ht="13.5" thickBot="1" x14ac:dyDescent="0.25">
      <c r="A1" s="7" t="s">
        <v>296</v>
      </c>
      <c r="B1" s="54"/>
      <c r="C1" s="54"/>
      <c r="D1" s="54"/>
      <c r="E1" s="54"/>
      <c r="F1" s="54"/>
      <c r="G1" s="54"/>
      <c r="H1" s="54"/>
      <c r="I1" s="54"/>
      <c r="J1" s="54"/>
      <c r="K1" s="54"/>
    </row>
    <row r="2" spans="1:11" x14ac:dyDescent="0.2">
      <c r="A2" s="120"/>
      <c r="B2" s="84"/>
      <c r="C2" s="84"/>
      <c r="D2" s="84"/>
      <c r="E2" s="84"/>
      <c r="F2" s="84"/>
      <c r="G2" s="84"/>
      <c r="J2" s="100" t="s">
        <v>56</v>
      </c>
      <c r="K2" s="212" t="s">
        <v>50</v>
      </c>
    </row>
    <row r="3" spans="1:11" ht="13.5" thickBot="1" x14ac:dyDescent="0.25">
      <c r="A3" s="84"/>
      <c r="B3" s="84"/>
      <c r="C3" s="84"/>
      <c r="D3" s="84"/>
      <c r="E3" s="84"/>
      <c r="F3" s="84"/>
      <c r="G3" s="84"/>
      <c r="J3" s="101" t="s">
        <v>55</v>
      </c>
      <c r="K3" s="220">
        <v>2018</v>
      </c>
    </row>
    <row r="4" spans="1:11" ht="39" thickBot="1" x14ac:dyDescent="0.25">
      <c r="A4" s="648" t="s">
        <v>0</v>
      </c>
      <c r="B4" s="648" t="s">
        <v>1</v>
      </c>
      <c r="C4" s="153" t="s">
        <v>216</v>
      </c>
      <c r="D4" s="153" t="s">
        <v>60</v>
      </c>
      <c r="E4" s="153" t="s">
        <v>694</v>
      </c>
      <c r="F4" s="153" t="s">
        <v>695</v>
      </c>
      <c r="G4" s="153" t="s">
        <v>696</v>
      </c>
      <c r="H4" s="788" t="s">
        <v>697</v>
      </c>
      <c r="I4" s="789" t="s">
        <v>297</v>
      </c>
      <c r="J4" s="789" t="s">
        <v>298</v>
      </c>
      <c r="K4" s="789" t="s">
        <v>4</v>
      </c>
    </row>
    <row r="5" spans="1:11" s="221" customFormat="1" ht="38.25" customHeight="1" x14ac:dyDescent="0.2">
      <c r="A5" s="581" t="s">
        <v>351</v>
      </c>
      <c r="B5" s="581" t="s">
        <v>679</v>
      </c>
      <c r="C5" s="581" t="s">
        <v>680</v>
      </c>
      <c r="D5" s="581" t="s">
        <v>473</v>
      </c>
      <c r="E5" s="581" t="s">
        <v>681</v>
      </c>
      <c r="F5" s="581">
        <v>12</v>
      </c>
      <c r="G5" s="581">
        <v>396</v>
      </c>
      <c r="H5" s="581">
        <v>91390</v>
      </c>
      <c r="I5" s="581">
        <v>86241</v>
      </c>
      <c r="J5" s="581">
        <v>5149</v>
      </c>
      <c r="K5" s="581" t="s">
        <v>682</v>
      </c>
    </row>
    <row r="6" spans="1:11" s="222" customFormat="1" ht="51" x14ac:dyDescent="0.2">
      <c r="A6" s="581" t="s">
        <v>351</v>
      </c>
      <c r="B6" s="581" t="s">
        <v>565</v>
      </c>
      <c r="C6" s="581" t="s">
        <v>683</v>
      </c>
      <c r="D6" s="581" t="s">
        <v>473</v>
      </c>
      <c r="E6" s="581" t="s">
        <v>684</v>
      </c>
      <c r="F6" s="581">
        <v>5</v>
      </c>
      <c r="G6" s="581">
        <v>103</v>
      </c>
      <c r="H6" s="581">
        <v>1603</v>
      </c>
      <c r="I6" s="581">
        <v>1603</v>
      </c>
      <c r="J6" s="581">
        <v>0</v>
      </c>
      <c r="K6" s="581"/>
    </row>
    <row r="7" spans="1:11" s="222" customFormat="1" ht="38.25" x14ac:dyDescent="0.2">
      <c r="A7" s="582" t="s">
        <v>351</v>
      </c>
      <c r="B7" s="582" t="s">
        <v>353</v>
      </c>
      <c r="C7" s="582" t="s">
        <v>370</v>
      </c>
      <c r="D7" s="582" t="s">
        <v>473</v>
      </c>
      <c r="E7" s="582" t="s">
        <v>685</v>
      </c>
      <c r="F7" s="582">
        <v>10</v>
      </c>
      <c r="G7" s="582">
        <v>449</v>
      </c>
      <c r="H7" s="582">
        <v>3429</v>
      </c>
      <c r="I7" s="582">
        <v>2587</v>
      </c>
      <c r="J7" s="582">
        <v>842</v>
      </c>
      <c r="K7" s="582"/>
    </row>
    <row r="8" spans="1:11" s="222" customFormat="1" ht="38.25" x14ac:dyDescent="0.2">
      <c r="A8" s="582" t="s">
        <v>351</v>
      </c>
      <c r="B8" s="582" t="s">
        <v>353</v>
      </c>
      <c r="C8" s="582" t="s">
        <v>370</v>
      </c>
      <c r="D8" s="582" t="s">
        <v>473</v>
      </c>
      <c r="E8" s="582" t="s">
        <v>684</v>
      </c>
      <c r="F8" s="582">
        <v>12</v>
      </c>
      <c r="G8" s="582">
        <v>1549</v>
      </c>
      <c r="H8" s="582">
        <v>3340</v>
      </c>
      <c r="I8" s="582">
        <v>3133</v>
      </c>
      <c r="J8" s="582">
        <v>207</v>
      </c>
      <c r="K8" s="582"/>
    </row>
    <row r="9" spans="1:11" s="222" customFormat="1" ht="38.25" x14ac:dyDescent="0.2">
      <c r="A9" s="582" t="s">
        <v>351</v>
      </c>
      <c r="B9" s="582" t="s">
        <v>353</v>
      </c>
      <c r="C9" s="582" t="s">
        <v>387</v>
      </c>
      <c r="D9" s="582" t="s">
        <v>473</v>
      </c>
      <c r="E9" s="582" t="s">
        <v>685</v>
      </c>
      <c r="F9" s="582">
        <v>3</v>
      </c>
      <c r="G9" s="582">
        <v>47</v>
      </c>
      <c r="H9" s="582">
        <v>840</v>
      </c>
      <c r="I9" s="582">
        <v>707</v>
      </c>
      <c r="J9" s="582">
        <v>133</v>
      </c>
      <c r="K9" s="582"/>
    </row>
    <row r="10" spans="1:11" s="222" customFormat="1" ht="38.25" x14ac:dyDescent="0.2">
      <c r="A10" s="582" t="s">
        <v>351</v>
      </c>
      <c r="B10" s="582" t="s">
        <v>353</v>
      </c>
      <c r="C10" s="582" t="s">
        <v>387</v>
      </c>
      <c r="D10" s="582" t="s">
        <v>473</v>
      </c>
      <c r="E10" s="582" t="s">
        <v>681</v>
      </c>
      <c r="F10" s="582">
        <v>1</v>
      </c>
      <c r="G10" s="582">
        <v>12</v>
      </c>
      <c r="H10" s="582">
        <v>3859</v>
      </c>
      <c r="I10" s="582">
        <v>3214</v>
      </c>
      <c r="J10" s="582">
        <v>645</v>
      </c>
      <c r="K10" s="582"/>
    </row>
    <row r="11" spans="1:11" s="222" customFormat="1" ht="38.25" x14ac:dyDescent="0.2">
      <c r="A11" s="582" t="s">
        <v>351</v>
      </c>
      <c r="B11" s="582" t="s">
        <v>353</v>
      </c>
      <c r="C11" s="582" t="s">
        <v>367</v>
      </c>
      <c r="D11" s="582" t="s">
        <v>473</v>
      </c>
      <c r="E11" s="582" t="s">
        <v>685</v>
      </c>
      <c r="F11" s="582">
        <v>10</v>
      </c>
      <c r="G11" s="582">
        <v>1016</v>
      </c>
      <c r="H11" s="582">
        <v>1602</v>
      </c>
      <c r="I11" s="582">
        <v>1592</v>
      </c>
      <c r="J11" s="582">
        <v>10</v>
      </c>
      <c r="K11" s="582"/>
    </row>
    <row r="12" spans="1:11" s="222" customFormat="1" ht="38.25" x14ac:dyDescent="0.2">
      <c r="A12" s="582" t="s">
        <v>351</v>
      </c>
      <c r="B12" s="582" t="s">
        <v>353</v>
      </c>
      <c r="C12" s="582" t="s">
        <v>367</v>
      </c>
      <c r="D12" s="582" t="s">
        <v>473</v>
      </c>
      <c r="E12" s="582" t="s">
        <v>684</v>
      </c>
      <c r="F12" s="582">
        <v>15</v>
      </c>
      <c r="G12" s="582">
        <v>5726</v>
      </c>
      <c r="H12" s="582">
        <v>8127</v>
      </c>
      <c r="I12" s="582">
        <v>8102</v>
      </c>
      <c r="J12" s="582">
        <v>25</v>
      </c>
      <c r="K12" s="582"/>
    </row>
    <row r="13" spans="1:11" s="222" customFormat="1" ht="38.25" x14ac:dyDescent="0.2">
      <c r="A13" s="582" t="s">
        <v>351</v>
      </c>
      <c r="B13" s="582" t="s">
        <v>353</v>
      </c>
      <c r="C13" s="582" t="s">
        <v>367</v>
      </c>
      <c r="D13" s="582" t="s">
        <v>473</v>
      </c>
      <c r="E13" s="582" t="s">
        <v>686</v>
      </c>
      <c r="F13" s="582">
        <v>8</v>
      </c>
      <c r="G13" s="582">
        <v>1234</v>
      </c>
      <c r="H13" s="582">
        <v>2584</v>
      </c>
      <c r="I13" s="582">
        <v>2584</v>
      </c>
      <c r="J13" s="582">
        <v>0</v>
      </c>
      <c r="K13" s="582"/>
    </row>
    <row r="14" spans="1:11" s="222" customFormat="1" ht="38.25" x14ac:dyDescent="0.2">
      <c r="A14" s="582" t="s">
        <v>351</v>
      </c>
      <c r="B14" s="582" t="s">
        <v>353</v>
      </c>
      <c r="C14" s="582" t="s">
        <v>367</v>
      </c>
      <c r="D14" s="582" t="s">
        <v>473</v>
      </c>
      <c r="E14" s="582" t="s">
        <v>681</v>
      </c>
      <c r="F14" s="582">
        <v>4</v>
      </c>
      <c r="G14" s="582">
        <v>378</v>
      </c>
      <c r="H14" s="582">
        <v>4600</v>
      </c>
      <c r="I14" s="582">
        <v>4580</v>
      </c>
      <c r="J14" s="582">
        <v>20</v>
      </c>
      <c r="K14" s="582"/>
    </row>
    <row r="15" spans="1:11" s="222" customFormat="1" ht="38.25" x14ac:dyDescent="0.2">
      <c r="A15" s="582" t="s">
        <v>351</v>
      </c>
      <c r="B15" s="582" t="s">
        <v>353</v>
      </c>
      <c r="C15" s="582" t="s">
        <v>687</v>
      </c>
      <c r="D15" s="582" t="s">
        <v>473</v>
      </c>
      <c r="E15" s="582" t="s">
        <v>685</v>
      </c>
      <c r="F15" s="582">
        <v>24</v>
      </c>
      <c r="G15" s="582">
        <v>4236</v>
      </c>
      <c r="H15" s="582">
        <v>41885</v>
      </c>
      <c r="I15" s="582">
        <v>28409</v>
      </c>
      <c r="J15" s="582">
        <v>13476</v>
      </c>
      <c r="K15" s="582"/>
    </row>
    <row r="16" spans="1:11" s="222" customFormat="1" ht="38.25" x14ac:dyDescent="0.2">
      <c r="A16" s="582" t="s">
        <v>351</v>
      </c>
      <c r="B16" s="582" t="s">
        <v>353</v>
      </c>
      <c r="C16" s="582" t="s">
        <v>687</v>
      </c>
      <c r="D16" s="582" t="s">
        <v>473</v>
      </c>
      <c r="E16" s="582" t="s">
        <v>684</v>
      </c>
      <c r="F16" s="582">
        <v>32</v>
      </c>
      <c r="G16" s="582">
        <v>2770</v>
      </c>
      <c r="H16" s="582">
        <v>4116</v>
      </c>
      <c r="I16" s="582">
        <v>4102</v>
      </c>
      <c r="J16" s="582">
        <v>14</v>
      </c>
      <c r="K16" s="582"/>
    </row>
    <row r="17" spans="1:11" s="222" customFormat="1" ht="38.25" x14ac:dyDescent="0.2">
      <c r="A17" s="582" t="s">
        <v>351</v>
      </c>
      <c r="B17" s="582" t="s">
        <v>353</v>
      </c>
      <c r="C17" s="582" t="s">
        <v>687</v>
      </c>
      <c r="D17" s="582" t="s">
        <v>473</v>
      </c>
      <c r="E17" s="582" t="s">
        <v>686</v>
      </c>
      <c r="F17" s="582">
        <v>16</v>
      </c>
      <c r="G17" s="582">
        <v>1650</v>
      </c>
      <c r="H17" s="582">
        <v>2070</v>
      </c>
      <c r="I17" s="582">
        <v>2054</v>
      </c>
      <c r="J17" s="582">
        <v>16</v>
      </c>
      <c r="K17" s="582"/>
    </row>
    <row r="18" spans="1:11" s="222" customFormat="1" ht="38.25" x14ac:dyDescent="0.2">
      <c r="A18" s="582" t="s">
        <v>351</v>
      </c>
      <c r="B18" s="582" t="s">
        <v>353</v>
      </c>
      <c r="C18" s="582" t="s">
        <v>687</v>
      </c>
      <c r="D18" s="582" t="s">
        <v>473</v>
      </c>
      <c r="E18" s="582" t="s">
        <v>681</v>
      </c>
      <c r="F18" s="582">
        <v>11</v>
      </c>
      <c r="G18" s="582">
        <v>590</v>
      </c>
      <c r="H18" s="582">
        <v>55600</v>
      </c>
      <c r="I18" s="582">
        <v>51831</v>
      </c>
      <c r="J18" s="582">
        <v>3769</v>
      </c>
      <c r="K18" s="582"/>
    </row>
    <row r="19" spans="1:11" s="222" customFormat="1" ht="38.25" x14ac:dyDescent="0.2">
      <c r="A19" s="582" t="s">
        <v>351</v>
      </c>
      <c r="B19" s="582" t="s">
        <v>353</v>
      </c>
      <c r="C19" s="582" t="s">
        <v>688</v>
      </c>
      <c r="D19" s="582" t="s">
        <v>473</v>
      </c>
      <c r="E19" s="582" t="s">
        <v>685</v>
      </c>
      <c r="F19" s="582">
        <v>15</v>
      </c>
      <c r="G19" s="582">
        <v>4402</v>
      </c>
      <c r="H19" s="582">
        <v>28836</v>
      </c>
      <c r="I19" s="582">
        <v>28605</v>
      </c>
      <c r="J19" s="582">
        <v>230</v>
      </c>
      <c r="K19" s="582"/>
    </row>
    <row r="20" spans="1:11" s="222" customFormat="1" ht="38.25" x14ac:dyDescent="0.2">
      <c r="A20" s="582" t="s">
        <v>351</v>
      </c>
      <c r="B20" s="582" t="s">
        <v>353</v>
      </c>
      <c r="C20" s="582" t="s">
        <v>688</v>
      </c>
      <c r="D20" s="582" t="s">
        <v>473</v>
      </c>
      <c r="E20" s="582" t="s">
        <v>684</v>
      </c>
      <c r="F20" s="582">
        <v>11</v>
      </c>
      <c r="G20" s="582">
        <v>773</v>
      </c>
      <c r="H20" s="582">
        <v>1047</v>
      </c>
      <c r="I20" s="582">
        <v>1047</v>
      </c>
      <c r="J20" s="582">
        <v>1</v>
      </c>
      <c r="K20" s="582"/>
    </row>
    <row r="21" spans="1:11" s="222" customFormat="1" ht="38.25" x14ac:dyDescent="0.2">
      <c r="A21" s="582" t="s">
        <v>351</v>
      </c>
      <c r="B21" s="582" t="s">
        <v>353</v>
      </c>
      <c r="C21" s="582" t="s">
        <v>688</v>
      </c>
      <c r="D21" s="582" t="s">
        <v>473</v>
      </c>
      <c r="E21" s="582" t="s">
        <v>686</v>
      </c>
      <c r="F21" s="582">
        <v>10</v>
      </c>
      <c r="G21" s="582">
        <v>2148</v>
      </c>
      <c r="H21" s="582">
        <v>3887</v>
      </c>
      <c r="I21" s="582">
        <v>3870</v>
      </c>
      <c r="J21" s="582">
        <v>17</v>
      </c>
      <c r="K21" s="582"/>
    </row>
    <row r="22" spans="1:11" s="222" customFormat="1" ht="38.25" x14ac:dyDescent="0.2">
      <c r="A22" s="582" t="s">
        <v>351</v>
      </c>
      <c r="B22" s="582" t="s">
        <v>353</v>
      </c>
      <c r="C22" s="582" t="s">
        <v>688</v>
      </c>
      <c r="D22" s="582" t="s">
        <v>473</v>
      </c>
      <c r="E22" s="582" t="s">
        <v>681</v>
      </c>
      <c r="F22" s="582">
        <v>9</v>
      </c>
      <c r="G22" s="582">
        <v>281</v>
      </c>
      <c r="H22" s="582">
        <v>14863</v>
      </c>
      <c r="I22" s="582">
        <v>14863</v>
      </c>
      <c r="J22" s="582">
        <v>0</v>
      </c>
      <c r="K22" s="582"/>
    </row>
    <row r="23" spans="1:11" s="222" customFormat="1" ht="25.5" x14ac:dyDescent="0.2">
      <c r="A23" s="582" t="s">
        <v>351</v>
      </c>
      <c r="B23" s="582" t="s">
        <v>425</v>
      </c>
      <c r="C23" s="582" t="s">
        <v>689</v>
      </c>
      <c r="D23" s="582" t="s">
        <v>473</v>
      </c>
      <c r="E23" s="582" t="s">
        <v>681</v>
      </c>
      <c r="F23" s="582">
        <v>2</v>
      </c>
      <c r="G23" s="582">
        <v>16</v>
      </c>
      <c r="H23" s="582">
        <v>569</v>
      </c>
      <c r="I23" s="582">
        <v>398</v>
      </c>
      <c r="J23" s="582">
        <v>172</v>
      </c>
      <c r="K23" s="582"/>
    </row>
    <row r="24" spans="1:11" s="54" customFormat="1" x14ac:dyDescent="0.2"/>
    <row r="25" spans="1:11" s="54" customFormat="1" x14ac:dyDescent="0.2">
      <c r="A25" s="54" t="s">
        <v>690</v>
      </c>
    </row>
    <row r="26" spans="1:11" s="54" customFormat="1" x14ac:dyDescent="0.2">
      <c r="A26" s="54" t="s">
        <v>691</v>
      </c>
    </row>
    <row r="27" spans="1:11" s="54" customFormat="1" x14ac:dyDescent="0.2">
      <c r="A27" s="54" t="s">
        <v>692</v>
      </c>
    </row>
    <row r="28" spans="1:11" s="54" customFormat="1" x14ac:dyDescent="0.2">
      <c r="A28" s="54" t="s">
        <v>693</v>
      </c>
    </row>
  </sheetData>
  <pageMargins left="0.7" right="0.7" top="0.75" bottom="0.75" header="0.3" footer="0.3"/>
  <pageSetup paperSize="9" scale="72" fitToHeight="0" orientation="landscape" r:id="rId1"/>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pageSetUpPr fitToPage="1"/>
  </sheetPr>
  <dimension ref="A1:T20"/>
  <sheetViews>
    <sheetView zoomScale="80" zoomScaleNormal="80" workbookViewId="0">
      <selection activeCell="G15" sqref="G15"/>
    </sheetView>
  </sheetViews>
  <sheetFormatPr defaultColWidth="8.85546875" defaultRowHeight="12.75" x14ac:dyDescent="0.2"/>
  <cols>
    <col min="1" max="1" width="7.42578125" style="62" customWidth="1"/>
    <col min="2" max="2" width="15" style="62" customWidth="1"/>
    <col min="3" max="3" width="11.42578125" style="62" customWidth="1"/>
    <col min="4" max="4" width="9.85546875" style="62" customWidth="1"/>
    <col min="5" max="5" width="11.28515625" style="62" customWidth="1"/>
    <col min="6" max="6" width="12.140625" style="62" customWidth="1"/>
    <col min="7" max="7" width="16.140625" style="62" customWidth="1"/>
    <col min="8" max="8" width="15.7109375" style="62" customWidth="1"/>
    <col min="9" max="9" width="17.140625" style="62" customWidth="1"/>
    <col min="10" max="10" width="16.7109375" style="62" customWidth="1"/>
    <col min="11" max="11" width="14.85546875" style="62" customWidth="1"/>
    <col min="12" max="12" width="20.28515625" style="62" customWidth="1"/>
    <col min="13" max="13" width="12.7109375" style="62" customWidth="1"/>
    <col min="14" max="14" width="14" style="62" customWidth="1"/>
    <col min="15" max="15" width="18.85546875" style="62" customWidth="1"/>
    <col min="16" max="16" width="21.42578125" style="62" customWidth="1"/>
    <col min="17" max="17" width="14.7109375" style="62" customWidth="1"/>
    <col min="18" max="18" width="21.85546875" style="62" customWidth="1"/>
    <col min="19" max="19" width="14" style="62" customWidth="1"/>
    <col min="20" max="20" width="25.5703125" style="62" customWidth="1"/>
    <col min="21" max="21" width="15.140625" style="62" customWidth="1"/>
    <col min="22" max="16384" width="8.85546875" style="62"/>
  </cols>
  <sheetData>
    <row r="1" spans="1:20" x14ac:dyDescent="0.2">
      <c r="A1" s="55" t="s">
        <v>49</v>
      </c>
    </row>
    <row r="2" spans="1:20" s="58" customFormat="1" x14ac:dyDescent="0.2">
      <c r="B2" s="56"/>
      <c r="C2" s="56"/>
      <c r="D2" s="56"/>
      <c r="E2" s="56"/>
      <c r="F2" s="56"/>
      <c r="G2" s="56"/>
      <c r="H2" s="56"/>
      <c r="I2" s="56"/>
      <c r="J2" s="56"/>
      <c r="K2" s="56"/>
      <c r="L2" s="56"/>
      <c r="M2" s="56"/>
      <c r="N2" s="56"/>
      <c r="O2" s="56"/>
      <c r="P2" s="56"/>
      <c r="Q2" s="56"/>
      <c r="R2" s="56"/>
      <c r="S2" s="57" t="s">
        <v>56</v>
      </c>
      <c r="T2" s="416" t="s">
        <v>50</v>
      </c>
    </row>
    <row r="3" spans="1:20" ht="13.5" thickBot="1" x14ac:dyDescent="0.25">
      <c r="A3" s="59"/>
      <c r="B3" s="60"/>
      <c r="C3" s="60"/>
      <c r="D3" s="60"/>
      <c r="E3" s="60"/>
      <c r="F3" s="60"/>
      <c r="G3" s="60"/>
      <c r="H3" s="60"/>
      <c r="I3" s="60"/>
      <c r="J3" s="60"/>
      <c r="K3" s="60"/>
      <c r="L3" s="60"/>
      <c r="M3" s="60"/>
      <c r="N3" s="60"/>
      <c r="O3" s="60"/>
      <c r="P3" s="60"/>
      <c r="Q3" s="60"/>
      <c r="R3" s="60"/>
      <c r="S3" s="61" t="s">
        <v>55</v>
      </c>
      <c r="T3" s="417">
        <v>2018</v>
      </c>
    </row>
    <row r="4" spans="1:20" ht="26.25" thickBot="1" x14ac:dyDescent="0.25">
      <c r="A4" s="754"/>
      <c r="B4" s="754"/>
      <c r="C4" s="754"/>
      <c r="D4" s="754"/>
      <c r="E4" s="754"/>
      <c r="F4" s="754"/>
      <c r="G4" s="754"/>
      <c r="H4" s="755" t="s">
        <v>12</v>
      </c>
      <c r="I4" s="756"/>
      <c r="J4" s="174" t="s">
        <v>13</v>
      </c>
      <c r="K4" s="755" t="s">
        <v>14</v>
      </c>
      <c r="L4" s="756"/>
      <c r="M4" s="755" t="s">
        <v>15</v>
      </c>
      <c r="N4" s="756"/>
      <c r="O4" s="755" t="s">
        <v>16</v>
      </c>
      <c r="P4" s="756"/>
      <c r="Q4" s="757"/>
      <c r="R4" s="757"/>
      <c r="S4" s="172"/>
      <c r="T4" s="172"/>
    </row>
    <row r="5" spans="1:20" ht="132.75" customHeight="1" thickBot="1" x14ac:dyDescent="0.25">
      <c r="A5" s="175" t="s">
        <v>0</v>
      </c>
      <c r="B5" s="176" t="s">
        <v>10</v>
      </c>
      <c r="C5" s="177" t="s">
        <v>43</v>
      </c>
      <c r="D5" s="177" t="s">
        <v>1</v>
      </c>
      <c r="E5" s="177" t="s">
        <v>5</v>
      </c>
      <c r="F5" s="178" t="s">
        <v>28</v>
      </c>
      <c r="G5" s="179" t="s">
        <v>29</v>
      </c>
      <c r="H5" s="179" t="s">
        <v>17</v>
      </c>
      <c r="I5" s="179" t="s">
        <v>30</v>
      </c>
      <c r="J5" s="179" t="s">
        <v>31</v>
      </c>
      <c r="K5" s="179" t="s">
        <v>38</v>
      </c>
      <c r="L5" s="179" t="s">
        <v>32</v>
      </c>
      <c r="M5" s="179" t="s">
        <v>33</v>
      </c>
      <c r="N5" s="179" t="s">
        <v>34</v>
      </c>
      <c r="O5" s="179" t="s">
        <v>39</v>
      </c>
      <c r="P5" s="179" t="s">
        <v>35</v>
      </c>
      <c r="Q5" s="179" t="s">
        <v>40</v>
      </c>
      <c r="R5" s="179" t="s">
        <v>41</v>
      </c>
      <c r="S5" s="179" t="s">
        <v>36</v>
      </c>
      <c r="T5" s="168" t="s">
        <v>201</v>
      </c>
    </row>
    <row r="6" spans="1:20" ht="140.25" x14ac:dyDescent="0.2">
      <c r="A6" s="268" t="s">
        <v>351</v>
      </c>
      <c r="B6" s="268" t="s">
        <v>351</v>
      </c>
      <c r="C6" s="268" t="s">
        <v>50</v>
      </c>
      <c r="D6" s="268" t="s">
        <v>429</v>
      </c>
      <c r="E6" s="268" t="s">
        <v>76</v>
      </c>
      <c r="F6" s="268" t="s">
        <v>443</v>
      </c>
      <c r="G6" s="268" t="s">
        <v>1067</v>
      </c>
      <c r="H6" s="268" t="s">
        <v>6</v>
      </c>
      <c r="I6" s="269" t="s">
        <v>1659</v>
      </c>
      <c r="J6" s="269" t="s">
        <v>6</v>
      </c>
      <c r="K6" s="268" t="s">
        <v>6</v>
      </c>
      <c r="L6" s="268" t="s">
        <v>1069</v>
      </c>
      <c r="M6" s="268" t="s">
        <v>1070</v>
      </c>
      <c r="N6" s="269" t="s">
        <v>1071</v>
      </c>
      <c r="O6" s="268" t="s">
        <v>6</v>
      </c>
      <c r="P6" s="268" t="s">
        <v>1072</v>
      </c>
      <c r="Q6" s="268" t="s">
        <v>455</v>
      </c>
      <c r="R6" s="269" t="s">
        <v>1073</v>
      </c>
      <c r="S6" s="268"/>
      <c r="T6" s="269" t="s">
        <v>1660</v>
      </c>
    </row>
    <row r="7" spans="1:20" ht="127.5" x14ac:dyDescent="0.2">
      <c r="A7" s="268" t="s">
        <v>351</v>
      </c>
      <c r="B7" s="268" t="s">
        <v>351</v>
      </c>
      <c r="C7" s="268" t="s">
        <v>50</v>
      </c>
      <c r="D7" s="268" t="s">
        <v>429</v>
      </c>
      <c r="E7" s="268" t="s">
        <v>76</v>
      </c>
      <c r="F7" s="268" t="s">
        <v>475</v>
      </c>
      <c r="G7" s="268" t="s">
        <v>1074</v>
      </c>
      <c r="H7" s="268" t="s">
        <v>6</v>
      </c>
      <c r="I7" s="269" t="s">
        <v>1659</v>
      </c>
      <c r="J7" s="269" t="s">
        <v>6</v>
      </c>
      <c r="K7" s="268" t="s">
        <v>6</v>
      </c>
      <c r="L7" s="268" t="s">
        <v>1075</v>
      </c>
      <c r="M7" s="268" t="s">
        <v>1076</v>
      </c>
      <c r="N7" s="269" t="s">
        <v>1071</v>
      </c>
      <c r="O7" s="268" t="s">
        <v>6</v>
      </c>
      <c r="P7" s="268" t="s">
        <v>1072</v>
      </c>
      <c r="Q7" s="268" t="s">
        <v>455</v>
      </c>
      <c r="R7" s="269" t="s">
        <v>1077</v>
      </c>
      <c r="S7" s="268"/>
      <c r="T7" s="269" t="s">
        <v>1660</v>
      </c>
    </row>
    <row r="8" spans="1:20" ht="140.25" x14ac:dyDescent="0.2">
      <c r="A8" s="268" t="s">
        <v>351</v>
      </c>
      <c r="B8" s="268" t="s">
        <v>351</v>
      </c>
      <c r="C8" s="268" t="s">
        <v>50</v>
      </c>
      <c r="D8" s="268" t="s">
        <v>429</v>
      </c>
      <c r="E8" s="268" t="s">
        <v>76</v>
      </c>
      <c r="F8" s="268" t="s">
        <v>477</v>
      </c>
      <c r="G8" s="268" t="s">
        <v>1078</v>
      </c>
      <c r="H8" s="268" t="s">
        <v>6</v>
      </c>
      <c r="I8" s="269" t="s">
        <v>1659</v>
      </c>
      <c r="J8" s="269" t="s">
        <v>6</v>
      </c>
      <c r="K8" s="268" t="s">
        <v>6</v>
      </c>
      <c r="L8" s="268" t="s">
        <v>1079</v>
      </c>
      <c r="M8" s="269" t="s">
        <v>1080</v>
      </c>
      <c r="N8" s="269" t="s">
        <v>1071</v>
      </c>
      <c r="O8" s="268" t="s">
        <v>6</v>
      </c>
      <c r="P8" s="268" t="s">
        <v>1081</v>
      </c>
      <c r="Q8" s="268" t="s">
        <v>455</v>
      </c>
      <c r="R8" s="269" t="s">
        <v>1073</v>
      </c>
      <c r="S8" s="268"/>
      <c r="T8" s="269" t="s">
        <v>1660</v>
      </c>
    </row>
    <row r="9" spans="1:20" ht="176.85" customHeight="1" thickBot="1" x14ac:dyDescent="0.25">
      <c r="A9" s="268" t="s">
        <v>351</v>
      </c>
      <c r="B9" s="268" t="s">
        <v>351</v>
      </c>
      <c r="C9" s="268" t="s">
        <v>50</v>
      </c>
      <c r="D9" s="268" t="s">
        <v>429</v>
      </c>
      <c r="E9" s="268" t="s">
        <v>76</v>
      </c>
      <c r="F9" s="268" t="s">
        <v>477</v>
      </c>
      <c r="G9" s="269" t="s">
        <v>1082</v>
      </c>
      <c r="H9" s="268" t="s">
        <v>6</v>
      </c>
      <c r="I9" s="269" t="s">
        <v>1068</v>
      </c>
      <c r="J9" s="415" t="s">
        <v>1668</v>
      </c>
      <c r="K9" s="268" t="s">
        <v>6</v>
      </c>
      <c r="L9" s="268" t="s">
        <v>1079</v>
      </c>
      <c r="M9" s="415" t="s">
        <v>1669</v>
      </c>
      <c r="N9" s="268" t="s">
        <v>1083</v>
      </c>
      <c r="O9" s="268" t="s">
        <v>6</v>
      </c>
      <c r="P9" s="268" t="s">
        <v>1084</v>
      </c>
      <c r="Q9" s="268" t="s">
        <v>79</v>
      </c>
      <c r="R9" s="268"/>
      <c r="S9" s="268"/>
      <c r="T9" s="269" t="s">
        <v>1670</v>
      </c>
    </row>
    <row r="10" spans="1:20" ht="141" thickBot="1" x14ac:dyDescent="0.25">
      <c r="A10" s="268" t="s">
        <v>351</v>
      </c>
      <c r="B10" s="268" t="s">
        <v>351</v>
      </c>
      <c r="C10" s="268" t="s">
        <v>50</v>
      </c>
      <c r="D10" s="268" t="s">
        <v>429</v>
      </c>
      <c r="E10" s="268" t="s">
        <v>76</v>
      </c>
      <c r="F10" s="268" t="s">
        <v>503</v>
      </c>
      <c r="G10" s="268" t="s">
        <v>1085</v>
      </c>
      <c r="H10" s="268" t="s">
        <v>6</v>
      </c>
      <c r="I10" s="269" t="s">
        <v>1068</v>
      </c>
      <c r="J10" s="415" t="s">
        <v>1668</v>
      </c>
      <c r="K10" s="268" t="s">
        <v>6</v>
      </c>
      <c r="L10" s="268" t="s">
        <v>1079</v>
      </c>
      <c r="M10" s="415" t="s">
        <v>1669</v>
      </c>
      <c r="N10" s="268" t="s">
        <v>1083</v>
      </c>
      <c r="O10" s="268" t="s">
        <v>6</v>
      </c>
      <c r="P10" s="268" t="s">
        <v>1084</v>
      </c>
      <c r="Q10" s="268" t="s">
        <v>79</v>
      </c>
      <c r="R10" s="268"/>
      <c r="S10" s="268"/>
      <c r="T10" s="269" t="s">
        <v>1670</v>
      </c>
    </row>
    <row r="11" spans="1:20" ht="141" thickBot="1" x14ac:dyDescent="0.25">
      <c r="A11" s="268" t="s">
        <v>351</v>
      </c>
      <c r="B11" s="268" t="s">
        <v>351</v>
      </c>
      <c r="C11" s="268" t="s">
        <v>50</v>
      </c>
      <c r="D11" s="268" t="s">
        <v>429</v>
      </c>
      <c r="E11" s="268" t="s">
        <v>76</v>
      </c>
      <c r="F11" s="268" t="s">
        <v>503</v>
      </c>
      <c r="G11" s="268" t="s">
        <v>1086</v>
      </c>
      <c r="H11" s="268" t="s">
        <v>6</v>
      </c>
      <c r="I11" s="269" t="s">
        <v>1068</v>
      </c>
      <c r="J11" s="415" t="s">
        <v>1668</v>
      </c>
      <c r="K11" s="268" t="s">
        <v>6</v>
      </c>
      <c r="L11" s="268" t="s">
        <v>1079</v>
      </c>
      <c r="M11" s="415" t="s">
        <v>1669</v>
      </c>
      <c r="N11" s="268" t="s">
        <v>1083</v>
      </c>
      <c r="O11" s="268" t="s">
        <v>6</v>
      </c>
      <c r="P11" s="268" t="s">
        <v>1084</v>
      </c>
      <c r="Q11" s="268" t="s">
        <v>79</v>
      </c>
      <c r="R11" s="268"/>
      <c r="S11" s="268"/>
      <c r="T11" s="269" t="s">
        <v>1670</v>
      </c>
    </row>
    <row r="12" spans="1:20" ht="152.1" customHeight="1" thickBot="1" x14ac:dyDescent="0.25">
      <c r="A12" s="268" t="s">
        <v>351</v>
      </c>
      <c r="B12" s="268" t="s">
        <v>351</v>
      </c>
      <c r="C12" s="268" t="s">
        <v>50</v>
      </c>
      <c r="D12" s="268" t="s">
        <v>429</v>
      </c>
      <c r="E12" s="268" t="s">
        <v>76</v>
      </c>
      <c r="F12" s="268" t="s">
        <v>482</v>
      </c>
      <c r="G12" s="269" t="s">
        <v>1087</v>
      </c>
      <c r="H12" s="268" t="s">
        <v>6</v>
      </c>
      <c r="I12" s="269" t="s">
        <v>1659</v>
      </c>
      <c r="J12" s="415" t="s">
        <v>1716</v>
      </c>
      <c r="K12" s="268" t="s">
        <v>6</v>
      </c>
      <c r="L12" s="269" t="s">
        <v>1088</v>
      </c>
      <c r="M12" s="269" t="s">
        <v>1089</v>
      </c>
      <c r="N12" s="269" t="s">
        <v>1071</v>
      </c>
      <c r="O12" s="268" t="s">
        <v>6</v>
      </c>
      <c r="P12" s="268" t="s">
        <v>1072</v>
      </c>
      <c r="Q12" s="268" t="s">
        <v>455</v>
      </c>
      <c r="R12" s="269" t="s">
        <v>1090</v>
      </c>
      <c r="S12" s="268"/>
      <c r="T12" s="269" t="s">
        <v>1715</v>
      </c>
    </row>
    <row r="13" spans="1:20" ht="127.5" x14ac:dyDescent="0.2">
      <c r="A13" s="268" t="s">
        <v>351</v>
      </c>
      <c r="B13" s="268" t="s">
        <v>351</v>
      </c>
      <c r="C13" s="268" t="s">
        <v>50</v>
      </c>
      <c r="D13" s="268" t="s">
        <v>429</v>
      </c>
      <c r="E13" s="268" t="s">
        <v>76</v>
      </c>
      <c r="F13" s="268" t="s">
        <v>1091</v>
      </c>
      <c r="G13" s="269" t="s">
        <v>1092</v>
      </c>
      <c r="H13" s="269" t="s">
        <v>6</v>
      </c>
      <c r="I13" s="269" t="s">
        <v>1068</v>
      </c>
      <c r="J13" s="269" t="s">
        <v>6</v>
      </c>
      <c r="K13" s="269" t="s">
        <v>6</v>
      </c>
      <c r="L13" s="268" t="s">
        <v>1093</v>
      </c>
      <c r="M13" s="269" t="s">
        <v>1094</v>
      </c>
      <c r="N13" s="269" t="s">
        <v>1083</v>
      </c>
      <c r="O13" s="268" t="s">
        <v>6</v>
      </c>
      <c r="P13" s="268" t="s">
        <v>1095</v>
      </c>
      <c r="Q13" s="268" t="s">
        <v>6</v>
      </c>
      <c r="R13" s="269" t="s">
        <v>1096</v>
      </c>
      <c r="S13" s="270"/>
      <c r="T13" s="269" t="s">
        <v>1605</v>
      </c>
    </row>
    <row r="14" spans="1:20" ht="127.5" x14ac:dyDescent="0.2">
      <c r="A14" s="268" t="s">
        <v>351</v>
      </c>
      <c r="B14" s="268" t="s">
        <v>351</v>
      </c>
      <c r="C14" s="268" t="s">
        <v>50</v>
      </c>
      <c r="D14" s="268" t="s">
        <v>429</v>
      </c>
      <c r="E14" s="268" t="s">
        <v>76</v>
      </c>
      <c r="F14" s="268" t="s">
        <v>1097</v>
      </c>
      <c r="G14" s="269" t="s">
        <v>1098</v>
      </c>
      <c r="H14" s="268" t="s">
        <v>6</v>
      </c>
      <c r="I14" s="269" t="s">
        <v>1068</v>
      </c>
      <c r="J14" s="269" t="s">
        <v>199</v>
      </c>
      <c r="K14" s="268" t="s">
        <v>6</v>
      </c>
      <c r="L14" s="268" t="s">
        <v>1093</v>
      </c>
      <c r="M14" s="268" t="s">
        <v>1099</v>
      </c>
      <c r="N14" s="269" t="s">
        <v>1083</v>
      </c>
      <c r="O14" s="268" t="s">
        <v>6</v>
      </c>
      <c r="P14" s="268" t="s">
        <v>1095</v>
      </c>
      <c r="Q14" s="268" t="s">
        <v>6</v>
      </c>
      <c r="R14" s="268" t="s">
        <v>1100</v>
      </c>
      <c r="S14" s="268"/>
      <c r="T14" s="269" t="s">
        <v>1605</v>
      </c>
    </row>
    <row r="15" spans="1:20" ht="127.5" x14ac:dyDescent="0.2">
      <c r="A15" s="268" t="s">
        <v>351</v>
      </c>
      <c r="B15" s="268" t="s">
        <v>351</v>
      </c>
      <c r="C15" s="268" t="s">
        <v>50</v>
      </c>
      <c r="D15" s="268" t="s">
        <v>429</v>
      </c>
      <c r="E15" s="268" t="s">
        <v>76</v>
      </c>
      <c r="F15" s="268" t="s">
        <v>1101</v>
      </c>
      <c r="G15" s="268" t="s">
        <v>1102</v>
      </c>
      <c r="H15" s="268" t="s">
        <v>6</v>
      </c>
      <c r="I15" s="269" t="s">
        <v>1068</v>
      </c>
      <c r="J15" s="268" t="s">
        <v>199</v>
      </c>
      <c r="K15" s="268" t="s">
        <v>6</v>
      </c>
      <c r="L15" s="268" t="s">
        <v>1093</v>
      </c>
      <c r="M15" s="269" t="s">
        <v>1103</v>
      </c>
      <c r="N15" s="268" t="s">
        <v>1104</v>
      </c>
      <c r="O15" s="268" t="s">
        <v>6</v>
      </c>
      <c r="P15" s="268" t="s">
        <v>1095</v>
      </c>
      <c r="Q15" s="268" t="s">
        <v>6</v>
      </c>
      <c r="R15" s="268" t="s">
        <v>1096</v>
      </c>
      <c r="S15" s="268"/>
      <c r="T15" s="269" t="s">
        <v>1605</v>
      </c>
    </row>
    <row r="16" spans="1:20" ht="127.5" x14ac:dyDescent="0.2">
      <c r="A16" s="268" t="s">
        <v>351</v>
      </c>
      <c r="B16" s="268" t="s">
        <v>351</v>
      </c>
      <c r="C16" s="268" t="s">
        <v>50</v>
      </c>
      <c r="D16" s="268" t="s">
        <v>429</v>
      </c>
      <c r="E16" s="268" t="s">
        <v>76</v>
      </c>
      <c r="F16" s="268" t="s">
        <v>1105</v>
      </c>
      <c r="G16" s="268" t="s">
        <v>1106</v>
      </c>
      <c r="H16" s="268" t="s">
        <v>6</v>
      </c>
      <c r="I16" s="269" t="s">
        <v>1068</v>
      </c>
      <c r="J16" s="268" t="s">
        <v>199</v>
      </c>
      <c r="K16" s="268" t="s">
        <v>6</v>
      </c>
      <c r="L16" s="268" t="s">
        <v>1093</v>
      </c>
      <c r="M16" s="269" t="s">
        <v>1107</v>
      </c>
      <c r="N16" s="268" t="s">
        <v>1083</v>
      </c>
      <c r="O16" s="268" t="s">
        <v>6</v>
      </c>
      <c r="P16" s="268" t="s">
        <v>1095</v>
      </c>
      <c r="Q16" s="268" t="s">
        <v>6</v>
      </c>
      <c r="R16" s="268" t="s">
        <v>1096</v>
      </c>
      <c r="S16" s="268"/>
      <c r="T16" s="269" t="s">
        <v>1605</v>
      </c>
    </row>
    <row r="17" spans="1:20" ht="127.5" x14ac:dyDescent="0.2">
      <c r="A17" s="268" t="s">
        <v>351</v>
      </c>
      <c r="B17" s="268" t="s">
        <v>351</v>
      </c>
      <c r="C17" s="268" t="s">
        <v>50</v>
      </c>
      <c r="D17" s="268" t="s">
        <v>429</v>
      </c>
      <c r="E17" s="268" t="s">
        <v>76</v>
      </c>
      <c r="F17" s="268" t="s">
        <v>1108</v>
      </c>
      <c r="G17" s="268" t="s">
        <v>1109</v>
      </c>
      <c r="H17" s="268" t="s">
        <v>6</v>
      </c>
      <c r="I17" s="269" t="s">
        <v>1068</v>
      </c>
      <c r="J17" s="268" t="s">
        <v>199</v>
      </c>
      <c r="K17" s="268" t="s">
        <v>6</v>
      </c>
      <c r="L17" s="268" t="s">
        <v>1093</v>
      </c>
      <c r="M17" s="269" t="s">
        <v>1110</v>
      </c>
      <c r="N17" s="268" t="s">
        <v>1083</v>
      </c>
      <c r="O17" s="268" t="s">
        <v>6</v>
      </c>
      <c r="P17" s="268" t="s">
        <v>1095</v>
      </c>
      <c r="Q17" s="268" t="s">
        <v>6</v>
      </c>
      <c r="R17" s="268" t="s">
        <v>1096</v>
      </c>
      <c r="S17" s="268"/>
      <c r="T17" s="269" t="s">
        <v>1605</v>
      </c>
    </row>
    <row r="18" spans="1:20" ht="127.5" x14ac:dyDescent="0.2">
      <c r="A18" s="268" t="s">
        <v>351</v>
      </c>
      <c r="B18" s="268" t="s">
        <v>351</v>
      </c>
      <c r="C18" s="268" t="s">
        <v>50</v>
      </c>
      <c r="D18" s="268" t="s">
        <v>429</v>
      </c>
      <c r="E18" s="268" t="s">
        <v>76</v>
      </c>
      <c r="F18" s="268" t="s">
        <v>1108</v>
      </c>
      <c r="G18" s="268" t="s">
        <v>1111</v>
      </c>
      <c r="H18" s="268" t="s">
        <v>6</v>
      </c>
      <c r="I18" s="269" t="s">
        <v>1068</v>
      </c>
      <c r="J18" s="268" t="s">
        <v>199</v>
      </c>
      <c r="K18" s="268" t="s">
        <v>6</v>
      </c>
      <c r="L18" s="268" t="s">
        <v>1093</v>
      </c>
      <c r="M18" s="269" t="s">
        <v>1110</v>
      </c>
      <c r="N18" s="268" t="s">
        <v>1083</v>
      </c>
      <c r="O18" s="268" t="s">
        <v>6</v>
      </c>
      <c r="P18" s="268" t="s">
        <v>1095</v>
      </c>
      <c r="Q18" s="268" t="s">
        <v>6</v>
      </c>
      <c r="R18" s="268" t="s">
        <v>1096</v>
      </c>
      <c r="S18" s="268"/>
      <c r="T18" s="269" t="s">
        <v>1605</v>
      </c>
    </row>
    <row r="19" spans="1:20" ht="152.1" customHeight="1" x14ac:dyDescent="0.2">
      <c r="A19" s="268" t="s">
        <v>351</v>
      </c>
      <c r="B19" s="268" t="s">
        <v>351</v>
      </c>
      <c r="C19" s="268" t="s">
        <v>50</v>
      </c>
      <c r="D19" s="268" t="s">
        <v>429</v>
      </c>
      <c r="E19" s="268" t="s">
        <v>76</v>
      </c>
      <c r="F19" s="268" t="s">
        <v>1097</v>
      </c>
      <c r="G19" s="268" t="s">
        <v>1112</v>
      </c>
      <c r="H19" s="268" t="s">
        <v>6</v>
      </c>
      <c r="I19" s="268" t="s">
        <v>1113</v>
      </c>
      <c r="J19" s="268" t="s">
        <v>199</v>
      </c>
      <c r="K19" s="268" t="s">
        <v>6</v>
      </c>
      <c r="L19" s="268" t="s">
        <v>1114</v>
      </c>
      <c r="M19" s="268" t="s">
        <v>1115</v>
      </c>
      <c r="N19" s="268" t="s">
        <v>1083</v>
      </c>
      <c r="O19" s="268" t="s">
        <v>6</v>
      </c>
      <c r="P19" s="268" t="s">
        <v>1116</v>
      </c>
      <c r="Q19" s="268" t="s">
        <v>6</v>
      </c>
      <c r="R19" s="268" t="s">
        <v>1117</v>
      </c>
      <c r="S19" s="268"/>
      <c r="T19" s="269" t="s">
        <v>1607</v>
      </c>
    </row>
    <row r="20" spans="1:20" ht="191.25" x14ac:dyDescent="0.2">
      <c r="A20" s="268" t="s">
        <v>351</v>
      </c>
      <c r="B20" s="268" t="s">
        <v>351</v>
      </c>
      <c r="C20" s="268" t="s">
        <v>50</v>
      </c>
      <c r="D20" s="268" t="s">
        <v>429</v>
      </c>
      <c r="E20" s="268" t="s">
        <v>76</v>
      </c>
      <c r="F20" s="268" t="s">
        <v>1118</v>
      </c>
      <c r="G20" s="268" t="s">
        <v>1119</v>
      </c>
      <c r="H20" s="268" t="s">
        <v>6</v>
      </c>
      <c r="I20" s="269" t="s">
        <v>1120</v>
      </c>
      <c r="J20" s="268" t="s">
        <v>199</v>
      </c>
      <c r="K20" s="268" t="s">
        <v>6</v>
      </c>
      <c r="L20" s="268" t="s">
        <v>1121</v>
      </c>
      <c r="M20" s="268" t="s">
        <v>1122</v>
      </c>
      <c r="N20" s="268" t="s">
        <v>1083</v>
      </c>
      <c r="O20" s="268" t="s">
        <v>6</v>
      </c>
      <c r="P20" s="268" t="s">
        <v>1123</v>
      </c>
      <c r="Q20" s="268" t="s">
        <v>6</v>
      </c>
      <c r="R20" s="268" t="s">
        <v>1117</v>
      </c>
      <c r="S20" s="268">
        <v>2017</v>
      </c>
      <c r="T20" s="269" t="s">
        <v>1606</v>
      </c>
    </row>
  </sheetData>
  <mergeCells count="5">
    <mergeCell ref="A4:G4"/>
    <mergeCell ref="H4:I4"/>
    <mergeCell ref="K4:L4"/>
    <mergeCell ref="M4:N4"/>
    <mergeCell ref="O4:R4"/>
  </mergeCells>
  <dataValidations disablePrompts="1" count="1">
    <dataValidation type="list" allowBlank="1" showInputMessage="1" showErrorMessage="1" sqref="A8">
      <formula1>#REF!</formula1>
    </dataValidation>
  </dataValidations>
  <pageMargins left="0.7" right="0.7" top="0.75" bottom="0.75" header="0.3" footer="0.3"/>
  <pageSetup paperSize="9" scale="42" fitToHeight="0" orientation="landscape" r:id="rId1"/>
  <headerFooter alignWithMargins="0"/>
  <legacy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pageSetUpPr fitToPage="1"/>
  </sheetPr>
  <dimension ref="A1:AI18"/>
  <sheetViews>
    <sheetView workbookViewId="0">
      <selection activeCell="F25" sqref="F25"/>
    </sheetView>
  </sheetViews>
  <sheetFormatPr defaultRowHeight="12.75" x14ac:dyDescent="0.2"/>
  <cols>
    <col min="1" max="1" width="7.140625" customWidth="1"/>
    <col min="2" max="2" width="12.140625" bestFit="1" customWidth="1"/>
    <col min="3" max="3" width="7.85546875" bestFit="1" customWidth="1"/>
    <col min="4" max="4" width="59.85546875" bestFit="1" customWidth="1"/>
    <col min="6" max="6" width="38.140625" customWidth="1"/>
    <col min="7" max="7" width="24" customWidth="1"/>
    <col min="23" max="23" width="10.140625" customWidth="1"/>
    <col min="25" max="25" width="10.140625" customWidth="1"/>
    <col min="26" max="26" width="12.5703125" customWidth="1"/>
    <col min="31" max="31" width="26.140625" customWidth="1"/>
    <col min="32" max="32" width="39.28515625" customWidth="1"/>
    <col min="33" max="33" width="28.85546875" bestFit="1" customWidth="1"/>
    <col min="34" max="34" width="20.42578125" customWidth="1"/>
    <col min="36" max="36" width="15.42578125" customWidth="1"/>
    <col min="37" max="37" width="15.140625" customWidth="1"/>
    <col min="39" max="39" width="16.28515625" customWidth="1"/>
  </cols>
  <sheetData>
    <row r="1" spans="1:35" x14ac:dyDescent="0.2">
      <c r="A1" s="7" t="s">
        <v>134</v>
      </c>
    </row>
    <row r="2" spans="1:35" ht="13.5" customHeight="1" x14ac:dyDescent="0.2">
      <c r="B2" s="7"/>
      <c r="C2" s="7"/>
      <c r="D2" s="503"/>
      <c r="E2" s="503"/>
      <c r="F2" s="503"/>
      <c r="G2" s="503"/>
      <c r="H2" s="503"/>
      <c r="I2" s="503"/>
      <c r="J2" s="503"/>
      <c r="K2" s="503"/>
      <c r="L2" s="503"/>
      <c r="M2" s="503"/>
      <c r="N2" s="503"/>
      <c r="O2" s="503"/>
      <c r="P2" s="503"/>
      <c r="Q2" s="503"/>
      <c r="R2" s="503"/>
      <c r="S2" s="503"/>
      <c r="T2" s="503"/>
      <c r="U2" s="503"/>
      <c r="V2" s="503"/>
      <c r="W2" s="503"/>
      <c r="X2" s="503"/>
      <c r="Y2" s="503"/>
      <c r="Z2" s="503"/>
      <c r="AA2" s="503"/>
      <c r="AB2" s="503"/>
      <c r="AC2" s="503"/>
      <c r="AD2" s="503"/>
      <c r="AE2" s="503"/>
      <c r="AF2" s="504" t="s">
        <v>56</v>
      </c>
      <c r="AG2" s="505" t="s">
        <v>50</v>
      </c>
    </row>
    <row r="3" spans="1:35" ht="15.75" thickBot="1" x14ac:dyDescent="0.3">
      <c r="A3" s="123"/>
      <c r="B3" s="123"/>
      <c r="C3" s="123"/>
      <c r="D3" s="123"/>
      <c r="E3" s="123"/>
      <c r="F3" s="123"/>
      <c r="G3" s="123"/>
      <c r="H3" s="123"/>
      <c r="I3" s="123"/>
      <c r="J3" s="123"/>
      <c r="K3" s="123"/>
      <c r="L3" s="123"/>
      <c r="M3" s="123"/>
      <c r="N3" s="123"/>
      <c r="O3" s="123"/>
      <c r="P3" s="123"/>
      <c r="Q3" s="123"/>
      <c r="R3" s="123"/>
      <c r="S3" s="123"/>
      <c r="T3" s="123"/>
      <c r="U3" s="123"/>
      <c r="V3" s="123"/>
      <c r="W3" s="123"/>
      <c r="X3" s="123"/>
      <c r="Y3" s="123"/>
      <c r="Z3" s="123"/>
      <c r="AA3" s="123"/>
      <c r="AB3" s="123"/>
      <c r="AC3" s="123"/>
      <c r="AD3" s="123"/>
      <c r="AE3" s="123"/>
      <c r="AF3" s="506" t="s">
        <v>55</v>
      </c>
      <c r="AG3" s="507">
        <v>2018</v>
      </c>
      <c r="AI3" s="647"/>
    </row>
    <row r="4" spans="1:35" ht="12.95" customHeight="1" x14ac:dyDescent="0.2">
      <c r="A4" s="758"/>
      <c r="B4" s="759"/>
      <c r="C4" s="759"/>
      <c r="D4" s="759"/>
      <c r="E4" s="759"/>
      <c r="F4" s="759"/>
      <c r="G4" s="760"/>
      <c r="H4" s="764" t="s">
        <v>135</v>
      </c>
      <c r="I4" s="765"/>
      <c r="J4" s="765"/>
      <c r="K4" s="765"/>
      <c r="L4" s="765"/>
      <c r="M4" s="765" t="s">
        <v>136</v>
      </c>
      <c r="N4" s="765"/>
      <c r="O4" s="765"/>
      <c r="P4" s="765"/>
      <c r="Q4" s="765"/>
      <c r="R4" s="765"/>
      <c r="S4" s="765"/>
      <c r="T4" s="765"/>
      <c r="U4" s="765"/>
      <c r="V4" s="765"/>
      <c r="W4" s="765" t="s">
        <v>137</v>
      </c>
      <c r="X4" s="765"/>
      <c r="Y4" s="765"/>
      <c r="Z4" s="765"/>
      <c r="AA4" s="765"/>
      <c r="AB4" s="765"/>
      <c r="AC4" s="765"/>
      <c r="AD4" s="765"/>
      <c r="AE4" s="766"/>
      <c r="AF4" s="508"/>
      <c r="AG4" s="508"/>
    </row>
    <row r="5" spans="1:35" ht="76.7" customHeight="1" thickBot="1" x14ac:dyDescent="0.25">
      <c r="A5" s="761"/>
      <c r="B5" s="762"/>
      <c r="C5" s="762"/>
      <c r="D5" s="762"/>
      <c r="E5" s="762"/>
      <c r="F5" s="762"/>
      <c r="G5" s="763"/>
      <c r="H5" s="767" t="s">
        <v>138</v>
      </c>
      <c r="I5" s="768"/>
      <c r="J5" s="768" t="s">
        <v>139</v>
      </c>
      <c r="K5" s="768"/>
      <c r="L5" s="768"/>
      <c r="M5" s="768" t="s">
        <v>140</v>
      </c>
      <c r="N5" s="768"/>
      <c r="O5" s="768"/>
      <c r="P5" s="768" t="s">
        <v>141</v>
      </c>
      <c r="Q5" s="768"/>
      <c r="R5" s="768"/>
      <c r="S5" s="768"/>
      <c r="T5" s="768"/>
      <c r="U5" s="614" t="s">
        <v>142</v>
      </c>
      <c r="V5" s="614" t="s">
        <v>143</v>
      </c>
      <c r="W5" s="614" t="s">
        <v>144</v>
      </c>
      <c r="X5" s="768" t="s">
        <v>145</v>
      </c>
      <c r="Y5" s="768"/>
      <c r="Z5" s="614" t="s">
        <v>146</v>
      </c>
      <c r="AA5" s="768" t="s">
        <v>147</v>
      </c>
      <c r="AB5" s="768"/>
      <c r="AC5" s="768" t="s">
        <v>148</v>
      </c>
      <c r="AD5" s="768"/>
      <c r="AE5" s="771"/>
      <c r="AF5" s="772" t="s">
        <v>4</v>
      </c>
      <c r="AG5" s="769" t="s">
        <v>201</v>
      </c>
    </row>
    <row r="6" spans="1:35" ht="113.25" thickBot="1" x14ac:dyDescent="0.25">
      <c r="A6" s="180" t="s">
        <v>0</v>
      </c>
      <c r="B6" s="181" t="s">
        <v>149</v>
      </c>
      <c r="C6" s="181" t="s">
        <v>150</v>
      </c>
      <c r="D6" s="181" t="s">
        <v>1</v>
      </c>
      <c r="E6" s="181" t="s">
        <v>151</v>
      </c>
      <c r="F6" s="181" t="s">
        <v>346</v>
      </c>
      <c r="G6" s="182" t="s">
        <v>347</v>
      </c>
      <c r="H6" s="509" t="s">
        <v>152</v>
      </c>
      <c r="I6" s="510" t="s">
        <v>153</v>
      </c>
      <c r="J6" s="510" t="s">
        <v>154</v>
      </c>
      <c r="K6" s="510" t="s">
        <v>155</v>
      </c>
      <c r="L6" s="510" t="s">
        <v>156</v>
      </c>
      <c r="M6" s="510" t="s">
        <v>157</v>
      </c>
      <c r="N6" s="510" t="s">
        <v>158</v>
      </c>
      <c r="O6" s="510" t="s">
        <v>159</v>
      </c>
      <c r="P6" s="510" t="s">
        <v>160</v>
      </c>
      <c r="Q6" s="510" t="s">
        <v>161</v>
      </c>
      <c r="R6" s="510" t="s">
        <v>162</v>
      </c>
      <c r="S6" s="510" t="s">
        <v>163</v>
      </c>
      <c r="T6" s="510" t="s">
        <v>164</v>
      </c>
      <c r="U6" s="510" t="s">
        <v>165</v>
      </c>
      <c r="V6" s="511" t="s">
        <v>166</v>
      </c>
      <c r="W6" s="511" t="s">
        <v>167</v>
      </c>
      <c r="X6" s="511" t="s">
        <v>168</v>
      </c>
      <c r="Y6" s="511" t="s">
        <v>169</v>
      </c>
      <c r="Z6" s="510" t="s">
        <v>170</v>
      </c>
      <c r="AA6" s="510" t="s">
        <v>171</v>
      </c>
      <c r="AB6" s="511" t="s">
        <v>172</v>
      </c>
      <c r="AC6" s="510" t="s">
        <v>173</v>
      </c>
      <c r="AD6" s="510" t="s">
        <v>174</v>
      </c>
      <c r="AE6" s="512" t="s">
        <v>175</v>
      </c>
      <c r="AF6" s="773"/>
      <c r="AG6" s="770"/>
    </row>
    <row r="7" spans="1:35" x14ac:dyDescent="0.2">
      <c r="A7" s="774" t="s">
        <v>351</v>
      </c>
      <c r="B7" s="775" t="s">
        <v>1755</v>
      </c>
      <c r="C7" s="776">
        <v>2017</v>
      </c>
      <c r="D7" s="776" t="s">
        <v>111</v>
      </c>
      <c r="E7" s="776" t="s">
        <v>7</v>
      </c>
      <c r="F7" s="776" t="s">
        <v>1756</v>
      </c>
      <c r="G7" s="776" t="s">
        <v>1757</v>
      </c>
      <c r="H7" s="777" t="s">
        <v>6</v>
      </c>
      <c r="I7" s="777" t="s">
        <v>6</v>
      </c>
      <c r="J7" s="777" t="s">
        <v>6</v>
      </c>
      <c r="K7" s="777" t="s">
        <v>6</v>
      </c>
      <c r="L7" s="777" t="s">
        <v>6</v>
      </c>
      <c r="M7" s="777" t="s">
        <v>6</v>
      </c>
      <c r="N7" s="777" t="s">
        <v>6</v>
      </c>
      <c r="O7" s="777" t="s">
        <v>6</v>
      </c>
      <c r="P7" s="777" t="s">
        <v>6</v>
      </c>
      <c r="Q7" s="777" t="s">
        <v>6</v>
      </c>
      <c r="R7" s="777" t="s">
        <v>6</v>
      </c>
      <c r="S7" s="777" t="s">
        <v>6</v>
      </c>
      <c r="T7" s="777" t="s">
        <v>6</v>
      </c>
      <c r="U7" s="777" t="s">
        <v>6</v>
      </c>
      <c r="V7" s="777" t="s">
        <v>79</v>
      </c>
      <c r="W7" s="777" t="s">
        <v>6</v>
      </c>
      <c r="X7" s="777" t="s">
        <v>6</v>
      </c>
      <c r="Y7" s="777" t="s">
        <v>6</v>
      </c>
      <c r="Z7" s="777" t="s">
        <v>6</v>
      </c>
      <c r="AA7" s="777" t="s">
        <v>6</v>
      </c>
      <c r="AB7" s="777" t="s">
        <v>6</v>
      </c>
      <c r="AC7" s="777" t="s">
        <v>6</v>
      </c>
      <c r="AD7" s="777" t="s">
        <v>6</v>
      </c>
      <c r="AE7" s="778" t="s">
        <v>1758</v>
      </c>
      <c r="AF7" s="513" t="s">
        <v>1759</v>
      </c>
      <c r="AG7" s="513" t="s">
        <v>1758</v>
      </c>
    </row>
    <row r="8" spans="1:35" x14ac:dyDescent="0.2">
      <c r="A8" s="774" t="s">
        <v>351</v>
      </c>
      <c r="B8" s="775" t="s">
        <v>1755</v>
      </c>
      <c r="C8" s="776">
        <v>2017</v>
      </c>
      <c r="D8" s="777" t="s">
        <v>111</v>
      </c>
      <c r="E8" s="776" t="s">
        <v>7</v>
      </c>
      <c r="F8" s="777" t="s">
        <v>1756</v>
      </c>
      <c r="G8" s="777" t="s">
        <v>914</v>
      </c>
      <c r="H8" s="777" t="s">
        <v>6</v>
      </c>
      <c r="I8" s="777" t="s">
        <v>6</v>
      </c>
      <c r="J8" s="777" t="s">
        <v>6</v>
      </c>
      <c r="K8" s="777" t="s">
        <v>6</v>
      </c>
      <c r="L8" s="777" t="s">
        <v>6</v>
      </c>
      <c r="M8" s="777" t="s">
        <v>6</v>
      </c>
      <c r="N8" s="777" t="s">
        <v>6</v>
      </c>
      <c r="O8" s="777" t="s">
        <v>6</v>
      </c>
      <c r="P8" s="777" t="s">
        <v>6</v>
      </c>
      <c r="Q8" s="777" t="s">
        <v>6</v>
      </c>
      <c r="R8" s="777" t="s">
        <v>6</v>
      </c>
      <c r="S8" s="777" t="s">
        <v>6</v>
      </c>
      <c r="T8" s="777" t="s">
        <v>6</v>
      </c>
      <c r="U8" s="777" t="s">
        <v>6</v>
      </c>
      <c r="V8" s="777" t="s">
        <v>79</v>
      </c>
      <c r="W8" s="777" t="s">
        <v>6</v>
      </c>
      <c r="X8" s="777" t="s">
        <v>6</v>
      </c>
      <c r="Y8" s="777" t="s">
        <v>6</v>
      </c>
      <c r="Z8" s="777" t="s">
        <v>6</v>
      </c>
      <c r="AA8" s="777" t="s">
        <v>6</v>
      </c>
      <c r="AB8" s="777" t="s">
        <v>6</v>
      </c>
      <c r="AC8" s="777" t="s">
        <v>6</v>
      </c>
      <c r="AD8" s="777" t="s">
        <v>6</v>
      </c>
      <c r="AE8" s="778" t="s">
        <v>1758</v>
      </c>
      <c r="AF8" s="513" t="s">
        <v>1759</v>
      </c>
      <c r="AG8" s="513" t="s">
        <v>1758</v>
      </c>
    </row>
    <row r="9" spans="1:35" x14ac:dyDescent="0.2">
      <c r="A9" s="774" t="s">
        <v>351</v>
      </c>
      <c r="B9" s="775" t="s">
        <v>1755</v>
      </c>
      <c r="C9" s="776">
        <v>2017</v>
      </c>
      <c r="D9" s="777" t="s">
        <v>111</v>
      </c>
      <c r="E9" s="776" t="s">
        <v>7</v>
      </c>
      <c r="F9" s="777" t="s">
        <v>1756</v>
      </c>
      <c r="G9" s="777" t="s">
        <v>932</v>
      </c>
      <c r="H9" s="777" t="s">
        <v>6</v>
      </c>
      <c r="I9" s="777" t="s">
        <v>6</v>
      </c>
      <c r="J9" s="777" t="s">
        <v>6</v>
      </c>
      <c r="K9" s="777" t="s">
        <v>6</v>
      </c>
      <c r="L9" s="777" t="s">
        <v>6</v>
      </c>
      <c r="M9" s="777" t="s">
        <v>6</v>
      </c>
      <c r="N9" s="777" t="s">
        <v>6</v>
      </c>
      <c r="O9" s="777" t="s">
        <v>6</v>
      </c>
      <c r="P9" s="777" t="s">
        <v>6</v>
      </c>
      <c r="Q9" s="777" t="s">
        <v>6</v>
      </c>
      <c r="R9" s="777" t="s">
        <v>6</v>
      </c>
      <c r="S9" s="777" t="s">
        <v>6</v>
      </c>
      <c r="T9" s="777" t="s">
        <v>6</v>
      </c>
      <c r="U9" s="777" t="s">
        <v>6</v>
      </c>
      <c r="V9" s="777" t="s">
        <v>79</v>
      </c>
      <c r="W9" s="777" t="s">
        <v>6</v>
      </c>
      <c r="X9" s="777" t="s">
        <v>6</v>
      </c>
      <c r="Y9" s="777" t="s">
        <v>6</v>
      </c>
      <c r="Z9" s="777" t="s">
        <v>6</v>
      </c>
      <c r="AA9" s="777" t="s">
        <v>6</v>
      </c>
      <c r="AB9" s="777" t="s">
        <v>6</v>
      </c>
      <c r="AC9" s="777" t="s">
        <v>6</v>
      </c>
      <c r="AD9" s="777" t="s">
        <v>6</v>
      </c>
      <c r="AE9" s="778" t="s">
        <v>1758</v>
      </c>
      <c r="AF9" s="513" t="s">
        <v>1759</v>
      </c>
      <c r="AG9" s="513" t="s">
        <v>1758</v>
      </c>
    </row>
    <row r="10" spans="1:35" x14ac:dyDescent="0.2">
      <c r="A10" s="774" t="s">
        <v>351</v>
      </c>
      <c r="B10" s="775" t="s">
        <v>1755</v>
      </c>
      <c r="C10" s="776">
        <v>2017</v>
      </c>
      <c r="D10" s="777" t="s">
        <v>111</v>
      </c>
      <c r="E10" s="776" t="s">
        <v>7</v>
      </c>
      <c r="F10" s="777" t="s">
        <v>1756</v>
      </c>
      <c r="G10" s="777" t="s">
        <v>1760</v>
      </c>
      <c r="H10" s="777" t="s">
        <v>6</v>
      </c>
      <c r="I10" s="777" t="s">
        <v>6</v>
      </c>
      <c r="J10" s="777" t="s">
        <v>6</v>
      </c>
      <c r="K10" s="777" t="s">
        <v>6</v>
      </c>
      <c r="L10" s="777" t="s">
        <v>6</v>
      </c>
      <c r="M10" s="777" t="s">
        <v>6</v>
      </c>
      <c r="N10" s="777" t="s">
        <v>6</v>
      </c>
      <c r="O10" s="777" t="s">
        <v>6</v>
      </c>
      <c r="P10" s="777" t="s">
        <v>6</v>
      </c>
      <c r="Q10" s="777" t="s">
        <v>6</v>
      </c>
      <c r="R10" s="777" t="s">
        <v>6</v>
      </c>
      <c r="S10" s="777" t="s">
        <v>6</v>
      </c>
      <c r="T10" s="777" t="s">
        <v>6</v>
      </c>
      <c r="U10" s="777" t="s">
        <v>6</v>
      </c>
      <c r="V10" s="777" t="s">
        <v>79</v>
      </c>
      <c r="W10" s="777" t="s">
        <v>6</v>
      </c>
      <c r="X10" s="777" t="s">
        <v>6</v>
      </c>
      <c r="Y10" s="777" t="s">
        <v>6</v>
      </c>
      <c r="Z10" s="777" t="s">
        <v>6</v>
      </c>
      <c r="AA10" s="777" t="s">
        <v>6</v>
      </c>
      <c r="AB10" s="777" t="s">
        <v>6</v>
      </c>
      <c r="AC10" s="777" t="s">
        <v>6</v>
      </c>
      <c r="AD10" s="777" t="s">
        <v>6</v>
      </c>
      <c r="AE10" s="778" t="s">
        <v>1758</v>
      </c>
      <c r="AF10" s="513" t="s">
        <v>1759</v>
      </c>
      <c r="AG10" s="513" t="s">
        <v>1758</v>
      </c>
    </row>
    <row r="11" spans="1:35" x14ac:dyDescent="0.2">
      <c r="A11" s="774" t="s">
        <v>351</v>
      </c>
      <c r="B11" s="775" t="s">
        <v>1755</v>
      </c>
      <c r="C11" s="776">
        <v>2017</v>
      </c>
      <c r="D11" s="777" t="s">
        <v>111</v>
      </c>
      <c r="E11" s="776" t="s">
        <v>7</v>
      </c>
      <c r="F11" s="777" t="s">
        <v>1756</v>
      </c>
      <c r="G11" s="777" t="s">
        <v>1761</v>
      </c>
      <c r="H11" s="777" t="s">
        <v>6</v>
      </c>
      <c r="I11" s="777" t="s">
        <v>6</v>
      </c>
      <c r="J11" s="777" t="s">
        <v>6</v>
      </c>
      <c r="K11" s="777" t="s">
        <v>6</v>
      </c>
      <c r="L11" s="777" t="s">
        <v>6</v>
      </c>
      <c r="M11" s="777" t="s">
        <v>6</v>
      </c>
      <c r="N11" s="777" t="s">
        <v>6</v>
      </c>
      <c r="O11" s="777" t="s">
        <v>6</v>
      </c>
      <c r="P11" s="777" t="s">
        <v>6</v>
      </c>
      <c r="Q11" s="777" t="s">
        <v>6</v>
      </c>
      <c r="R11" s="777" t="s">
        <v>6</v>
      </c>
      <c r="S11" s="777" t="s">
        <v>6</v>
      </c>
      <c r="T11" s="777" t="s">
        <v>6</v>
      </c>
      <c r="U11" s="777" t="s">
        <v>6</v>
      </c>
      <c r="V11" s="777" t="s">
        <v>79</v>
      </c>
      <c r="W11" s="777" t="s">
        <v>6</v>
      </c>
      <c r="X11" s="777" t="s">
        <v>6</v>
      </c>
      <c r="Y11" s="777" t="s">
        <v>6</v>
      </c>
      <c r="Z11" s="777" t="s">
        <v>6</v>
      </c>
      <c r="AA11" s="777" t="s">
        <v>6</v>
      </c>
      <c r="AB11" s="777" t="s">
        <v>6</v>
      </c>
      <c r="AC11" s="777" t="s">
        <v>6</v>
      </c>
      <c r="AD11" s="777" t="s">
        <v>6</v>
      </c>
      <c r="AE11" s="778" t="s">
        <v>1758</v>
      </c>
      <c r="AF11" s="513" t="s">
        <v>1759</v>
      </c>
      <c r="AG11" s="513" t="s">
        <v>1758</v>
      </c>
    </row>
    <row r="12" spans="1:35" x14ac:dyDescent="0.2">
      <c r="A12" s="774" t="s">
        <v>351</v>
      </c>
      <c r="B12" s="775" t="s">
        <v>1762</v>
      </c>
      <c r="C12" s="776">
        <v>2017</v>
      </c>
      <c r="D12" s="777" t="s">
        <v>111</v>
      </c>
      <c r="E12" s="776" t="s">
        <v>7</v>
      </c>
      <c r="F12" s="777" t="s">
        <v>1763</v>
      </c>
      <c r="G12" s="777" t="s">
        <v>955</v>
      </c>
      <c r="H12" s="777" t="s">
        <v>6</v>
      </c>
      <c r="I12" s="777" t="s">
        <v>6</v>
      </c>
      <c r="J12" s="777" t="s">
        <v>6</v>
      </c>
      <c r="K12" s="777" t="s">
        <v>6</v>
      </c>
      <c r="L12" s="777" t="s">
        <v>6</v>
      </c>
      <c r="M12" s="777" t="s">
        <v>6</v>
      </c>
      <c r="N12" s="777" t="s">
        <v>6</v>
      </c>
      <c r="O12" s="777" t="s">
        <v>6</v>
      </c>
      <c r="P12" s="777" t="s">
        <v>6</v>
      </c>
      <c r="Q12" s="777" t="s">
        <v>79</v>
      </c>
      <c r="R12" s="777" t="s">
        <v>6</v>
      </c>
      <c r="S12" s="777" t="s">
        <v>6</v>
      </c>
      <c r="T12" s="777" t="s">
        <v>6</v>
      </c>
      <c r="U12" s="777" t="s">
        <v>6</v>
      </c>
      <c r="V12" s="777" t="s">
        <v>79</v>
      </c>
      <c r="W12" s="777" t="s">
        <v>6</v>
      </c>
      <c r="X12" s="777" t="s">
        <v>6</v>
      </c>
      <c r="Y12" s="777" t="s">
        <v>6</v>
      </c>
      <c r="Z12" s="777" t="s">
        <v>6</v>
      </c>
      <c r="AA12" s="777" t="s">
        <v>6</v>
      </c>
      <c r="AB12" s="777" t="s">
        <v>6</v>
      </c>
      <c r="AC12" s="777" t="s">
        <v>6</v>
      </c>
      <c r="AD12" s="777" t="s">
        <v>6</v>
      </c>
      <c r="AE12" s="778" t="s">
        <v>1758</v>
      </c>
      <c r="AF12" s="513" t="s">
        <v>1759</v>
      </c>
      <c r="AG12" s="513" t="s">
        <v>1758</v>
      </c>
    </row>
    <row r="13" spans="1:35" x14ac:dyDescent="0.2">
      <c r="A13" s="774" t="s">
        <v>351</v>
      </c>
      <c r="B13" s="775" t="s">
        <v>1762</v>
      </c>
      <c r="C13" s="776">
        <v>2017</v>
      </c>
      <c r="D13" s="777" t="s">
        <v>111</v>
      </c>
      <c r="E13" s="776" t="s">
        <v>7</v>
      </c>
      <c r="F13" s="777" t="s">
        <v>1763</v>
      </c>
      <c r="G13" s="777" t="s">
        <v>124</v>
      </c>
      <c r="H13" s="777" t="s">
        <v>6</v>
      </c>
      <c r="I13" s="777" t="s">
        <v>6</v>
      </c>
      <c r="J13" s="777" t="s">
        <v>6</v>
      </c>
      <c r="K13" s="777" t="s">
        <v>6</v>
      </c>
      <c r="L13" s="777" t="s">
        <v>6</v>
      </c>
      <c r="M13" s="777" t="s">
        <v>6</v>
      </c>
      <c r="N13" s="777" t="s">
        <v>6</v>
      </c>
      <c r="O13" s="777" t="s">
        <v>6</v>
      </c>
      <c r="P13" s="777" t="s">
        <v>6</v>
      </c>
      <c r="Q13" s="777" t="s">
        <v>79</v>
      </c>
      <c r="R13" s="777" t="s">
        <v>6</v>
      </c>
      <c r="S13" s="777" t="s">
        <v>6</v>
      </c>
      <c r="T13" s="777" t="s">
        <v>6</v>
      </c>
      <c r="U13" s="777" t="s">
        <v>6</v>
      </c>
      <c r="V13" s="777" t="s">
        <v>79</v>
      </c>
      <c r="W13" s="777" t="s">
        <v>6</v>
      </c>
      <c r="X13" s="777" t="s">
        <v>6</v>
      </c>
      <c r="Y13" s="777" t="s">
        <v>6</v>
      </c>
      <c r="Z13" s="777" t="s">
        <v>6</v>
      </c>
      <c r="AA13" s="777" t="s">
        <v>6</v>
      </c>
      <c r="AB13" s="777" t="s">
        <v>6</v>
      </c>
      <c r="AC13" s="777" t="s">
        <v>6</v>
      </c>
      <c r="AD13" s="777" t="s">
        <v>6</v>
      </c>
      <c r="AE13" s="778" t="s">
        <v>1758</v>
      </c>
      <c r="AF13" s="513" t="s">
        <v>1759</v>
      </c>
      <c r="AG13" s="513" t="s">
        <v>1758</v>
      </c>
    </row>
    <row r="14" spans="1:35" x14ac:dyDescent="0.2">
      <c r="A14" s="774" t="s">
        <v>351</v>
      </c>
      <c r="B14" s="775" t="s">
        <v>1762</v>
      </c>
      <c r="C14" s="776">
        <v>2017</v>
      </c>
      <c r="D14" s="777" t="s">
        <v>111</v>
      </c>
      <c r="E14" s="776" t="s">
        <v>7</v>
      </c>
      <c r="F14" s="777" t="s">
        <v>1763</v>
      </c>
      <c r="G14" s="777" t="s">
        <v>947</v>
      </c>
      <c r="H14" s="777" t="s">
        <v>6</v>
      </c>
      <c r="I14" s="777" t="s">
        <v>6</v>
      </c>
      <c r="J14" s="777" t="s">
        <v>6</v>
      </c>
      <c r="K14" s="777" t="s">
        <v>6</v>
      </c>
      <c r="L14" s="777" t="s">
        <v>6</v>
      </c>
      <c r="M14" s="777" t="s">
        <v>6</v>
      </c>
      <c r="N14" s="777" t="s">
        <v>6</v>
      </c>
      <c r="O14" s="777" t="s">
        <v>6</v>
      </c>
      <c r="P14" s="777" t="s">
        <v>6</v>
      </c>
      <c r="Q14" s="777" t="s">
        <v>79</v>
      </c>
      <c r="R14" s="777" t="s">
        <v>6</v>
      </c>
      <c r="S14" s="777" t="s">
        <v>6</v>
      </c>
      <c r="T14" s="777" t="s">
        <v>6</v>
      </c>
      <c r="U14" s="777" t="s">
        <v>6</v>
      </c>
      <c r="V14" s="777" t="s">
        <v>79</v>
      </c>
      <c r="W14" s="777" t="s">
        <v>6</v>
      </c>
      <c r="X14" s="777" t="s">
        <v>6</v>
      </c>
      <c r="Y14" s="777" t="s">
        <v>6</v>
      </c>
      <c r="Z14" s="777" t="s">
        <v>6</v>
      </c>
      <c r="AA14" s="777" t="s">
        <v>6</v>
      </c>
      <c r="AB14" s="777" t="s">
        <v>6</v>
      </c>
      <c r="AC14" s="777" t="s">
        <v>6</v>
      </c>
      <c r="AD14" s="777" t="s">
        <v>6</v>
      </c>
      <c r="AE14" s="778" t="s">
        <v>1758</v>
      </c>
      <c r="AF14" s="513" t="s">
        <v>1759</v>
      </c>
      <c r="AG14" s="513" t="s">
        <v>1758</v>
      </c>
    </row>
    <row r="15" spans="1:35" x14ac:dyDescent="0.2">
      <c r="A15" s="774" t="s">
        <v>351</v>
      </c>
      <c r="B15" s="775" t="s">
        <v>1762</v>
      </c>
      <c r="C15" s="776">
        <v>2017</v>
      </c>
      <c r="D15" s="777" t="s">
        <v>111</v>
      </c>
      <c r="E15" s="776" t="s">
        <v>7</v>
      </c>
      <c r="F15" s="777" t="s">
        <v>1763</v>
      </c>
      <c r="G15" s="777" t="s">
        <v>944</v>
      </c>
      <c r="H15" s="777" t="s">
        <v>6</v>
      </c>
      <c r="I15" s="777" t="s">
        <v>6</v>
      </c>
      <c r="J15" s="777" t="s">
        <v>6</v>
      </c>
      <c r="K15" s="777" t="s">
        <v>6</v>
      </c>
      <c r="L15" s="777" t="s">
        <v>6</v>
      </c>
      <c r="M15" s="777" t="s">
        <v>6</v>
      </c>
      <c r="N15" s="777" t="s">
        <v>6</v>
      </c>
      <c r="O15" s="777" t="s">
        <v>6</v>
      </c>
      <c r="P15" s="777" t="s">
        <v>6</v>
      </c>
      <c r="Q15" s="777" t="s">
        <v>79</v>
      </c>
      <c r="R15" s="777" t="s">
        <v>6</v>
      </c>
      <c r="S15" s="777" t="s">
        <v>6</v>
      </c>
      <c r="T15" s="777" t="s">
        <v>6</v>
      </c>
      <c r="U15" s="777" t="s">
        <v>6</v>
      </c>
      <c r="V15" s="777" t="s">
        <v>79</v>
      </c>
      <c r="W15" s="777" t="s">
        <v>6</v>
      </c>
      <c r="X15" s="777" t="s">
        <v>6</v>
      </c>
      <c r="Y15" s="777" t="s">
        <v>6</v>
      </c>
      <c r="Z15" s="777" t="s">
        <v>6</v>
      </c>
      <c r="AA15" s="777" t="s">
        <v>6</v>
      </c>
      <c r="AB15" s="777" t="s">
        <v>6</v>
      </c>
      <c r="AC15" s="777" t="s">
        <v>6</v>
      </c>
      <c r="AD15" s="777" t="s">
        <v>6</v>
      </c>
      <c r="AE15" s="778" t="s">
        <v>1758</v>
      </c>
      <c r="AF15" s="513" t="s">
        <v>1759</v>
      </c>
      <c r="AG15" s="513" t="s">
        <v>1758</v>
      </c>
    </row>
    <row r="16" spans="1:35" x14ac:dyDescent="0.2">
      <c r="A16" s="774" t="s">
        <v>351</v>
      </c>
      <c r="B16" s="775" t="s">
        <v>1764</v>
      </c>
      <c r="C16" s="776">
        <v>2017</v>
      </c>
      <c r="D16" s="777" t="s">
        <v>111</v>
      </c>
      <c r="E16" s="776" t="s">
        <v>7</v>
      </c>
      <c r="F16" s="777" t="s">
        <v>1765</v>
      </c>
      <c r="G16" s="777" t="s">
        <v>1766</v>
      </c>
      <c r="H16" s="777" t="s">
        <v>6</v>
      </c>
      <c r="I16" s="777" t="s">
        <v>6</v>
      </c>
      <c r="J16" s="777" t="s">
        <v>6</v>
      </c>
      <c r="K16" s="777" t="s">
        <v>6</v>
      </c>
      <c r="L16" s="777" t="s">
        <v>6</v>
      </c>
      <c r="M16" s="777" t="s">
        <v>6</v>
      </c>
      <c r="N16" s="777" t="s">
        <v>6</v>
      </c>
      <c r="O16" s="777" t="s">
        <v>6</v>
      </c>
      <c r="P16" s="777" t="s">
        <v>6</v>
      </c>
      <c r="Q16" s="777" t="s">
        <v>79</v>
      </c>
      <c r="R16" s="777" t="s">
        <v>6</v>
      </c>
      <c r="S16" s="777" t="s">
        <v>6</v>
      </c>
      <c r="T16" s="777" t="s">
        <v>6</v>
      </c>
      <c r="U16" s="777" t="s">
        <v>6</v>
      </c>
      <c r="V16" s="777" t="s">
        <v>79</v>
      </c>
      <c r="W16" s="777" t="s">
        <v>6</v>
      </c>
      <c r="X16" s="777" t="s">
        <v>6</v>
      </c>
      <c r="Y16" s="777" t="s">
        <v>6</v>
      </c>
      <c r="Z16" s="777" t="s">
        <v>6</v>
      </c>
      <c r="AA16" s="777" t="s">
        <v>6</v>
      </c>
      <c r="AB16" s="777" t="s">
        <v>6</v>
      </c>
      <c r="AC16" s="777" t="s">
        <v>6</v>
      </c>
      <c r="AD16" s="777" t="s">
        <v>6</v>
      </c>
      <c r="AE16" s="778" t="s">
        <v>1758</v>
      </c>
      <c r="AF16" s="513" t="s">
        <v>1759</v>
      </c>
      <c r="AG16" s="513" t="s">
        <v>1758</v>
      </c>
    </row>
    <row r="17" spans="1:33" x14ac:dyDescent="0.2">
      <c r="A17" s="774" t="s">
        <v>351</v>
      </c>
      <c r="B17" s="775" t="s">
        <v>1764</v>
      </c>
      <c r="C17" s="776">
        <v>2017</v>
      </c>
      <c r="D17" s="777" t="s">
        <v>111</v>
      </c>
      <c r="E17" s="776" t="s">
        <v>7</v>
      </c>
      <c r="F17" s="777" t="s">
        <v>1765</v>
      </c>
      <c r="G17" s="777" t="s">
        <v>1760</v>
      </c>
      <c r="H17" s="777" t="s">
        <v>6</v>
      </c>
      <c r="I17" s="777" t="s">
        <v>6</v>
      </c>
      <c r="J17" s="777" t="s">
        <v>6</v>
      </c>
      <c r="K17" s="777" t="s">
        <v>6</v>
      </c>
      <c r="L17" s="777" t="s">
        <v>6</v>
      </c>
      <c r="M17" s="777" t="s">
        <v>6</v>
      </c>
      <c r="N17" s="777" t="s">
        <v>6</v>
      </c>
      <c r="O17" s="777" t="s">
        <v>6</v>
      </c>
      <c r="P17" s="777" t="s">
        <v>6</v>
      </c>
      <c r="Q17" s="777" t="s">
        <v>79</v>
      </c>
      <c r="R17" s="777" t="s">
        <v>6</v>
      </c>
      <c r="S17" s="777" t="s">
        <v>6</v>
      </c>
      <c r="T17" s="777" t="s">
        <v>6</v>
      </c>
      <c r="U17" s="777" t="s">
        <v>6</v>
      </c>
      <c r="V17" s="777" t="s">
        <v>79</v>
      </c>
      <c r="W17" s="777" t="s">
        <v>6</v>
      </c>
      <c r="X17" s="777" t="s">
        <v>6</v>
      </c>
      <c r="Y17" s="777" t="s">
        <v>6</v>
      </c>
      <c r="Z17" s="777" t="s">
        <v>6</v>
      </c>
      <c r="AA17" s="777" t="s">
        <v>6</v>
      </c>
      <c r="AB17" s="777" t="s">
        <v>6</v>
      </c>
      <c r="AC17" s="777" t="s">
        <v>6</v>
      </c>
      <c r="AD17" s="777" t="s">
        <v>6</v>
      </c>
      <c r="AE17" s="778" t="s">
        <v>1758</v>
      </c>
      <c r="AF17" s="513" t="s">
        <v>1759</v>
      </c>
      <c r="AG17" s="513" t="s">
        <v>1758</v>
      </c>
    </row>
    <row r="18" spans="1:33" x14ac:dyDescent="0.2">
      <c r="A18" s="477"/>
      <c r="B18" s="477"/>
      <c r="C18" s="477"/>
      <c r="D18" s="477"/>
      <c r="E18" s="477"/>
      <c r="F18" s="477"/>
      <c r="G18" s="477"/>
      <c r="H18" s="477"/>
      <c r="I18" s="477"/>
      <c r="J18" s="477"/>
      <c r="K18" s="477"/>
      <c r="L18" s="477"/>
      <c r="M18" s="477"/>
      <c r="N18" s="477"/>
      <c r="O18" s="477"/>
      <c r="P18" s="477"/>
      <c r="Q18" s="477"/>
      <c r="R18" s="477"/>
      <c r="S18" s="477"/>
      <c r="T18" s="477"/>
      <c r="U18" s="477"/>
      <c r="V18" s="477"/>
      <c r="W18" s="477"/>
      <c r="X18" s="477"/>
      <c r="Y18" s="477"/>
      <c r="Z18" s="477"/>
      <c r="AA18" s="477"/>
      <c r="AB18" s="477"/>
      <c r="AC18" s="477"/>
      <c r="AD18" s="477"/>
      <c r="AE18" s="477"/>
    </row>
  </sheetData>
  <mergeCells count="13">
    <mergeCell ref="AG5:AG6"/>
    <mergeCell ref="P5:T5"/>
    <mergeCell ref="X5:Y5"/>
    <mergeCell ref="AA5:AB5"/>
    <mergeCell ref="AC5:AE5"/>
    <mergeCell ref="AF5:AF6"/>
    <mergeCell ref="A4:G5"/>
    <mergeCell ref="H4:L4"/>
    <mergeCell ref="M4:V4"/>
    <mergeCell ref="W4:AE4"/>
    <mergeCell ref="H5:I5"/>
    <mergeCell ref="J5:L5"/>
    <mergeCell ref="M5:O5"/>
  </mergeCells>
  <hyperlinks>
    <hyperlink ref="AG7" r:id="rId1"/>
    <hyperlink ref="AG8:AG17" r:id="rId2" display="https://www.dcmap-ireland.ie/"/>
    <hyperlink ref="AE7:AE17" r:id="rId3" display="https://www.dcmap-ireland.ie/"/>
  </hyperlinks>
  <pageMargins left="0.25" right="0.25" top="0.75" bottom="0.75" header="0.3" footer="0.3"/>
  <pageSetup paperSize="9" scale="42" fitToHeight="0" orientation="landscape" r:id="rId4"/>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pageSetUpPr fitToPage="1"/>
  </sheetPr>
  <dimension ref="A1:J40"/>
  <sheetViews>
    <sheetView topLeftCell="B1" zoomScale="70" zoomScaleNormal="70" workbookViewId="0">
      <selection activeCell="I24" sqref="I24"/>
    </sheetView>
  </sheetViews>
  <sheetFormatPr defaultColWidth="8.85546875" defaultRowHeight="12.75" x14ac:dyDescent="0.2"/>
  <cols>
    <col min="1" max="1" width="8.42578125" style="1" customWidth="1"/>
    <col min="2" max="2" width="29.5703125" style="1" customWidth="1"/>
    <col min="3" max="3" width="18.140625" style="1" customWidth="1"/>
    <col min="4" max="4" width="47" style="29" customWidth="1"/>
    <col min="5" max="5" width="15.85546875" style="1" customWidth="1"/>
    <col min="6" max="6" width="25.42578125" style="1" customWidth="1"/>
    <col min="7" max="7" width="24.28515625" style="1" bestFit="1" customWidth="1"/>
    <col min="8" max="8" width="101.42578125" style="1" customWidth="1"/>
    <col min="9" max="9" width="15.85546875" style="1" customWidth="1"/>
    <col min="10" max="10" width="14.7109375" style="1" customWidth="1"/>
    <col min="11" max="16384" width="8.85546875" style="1"/>
  </cols>
  <sheetData>
    <row r="1" spans="1:10" ht="13.5" thickBot="1" x14ac:dyDescent="0.25">
      <c r="A1" s="7" t="s">
        <v>244</v>
      </c>
      <c r="B1" s="45"/>
      <c r="C1" s="8"/>
      <c r="D1" s="6"/>
    </row>
    <row r="2" spans="1:10" x14ac:dyDescent="0.2">
      <c r="A2" s="8"/>
      <c r="B2" s="8"/>
      <c r="C2" s="8"/>
      <c r="D2" s="8"/>
      <c r="E2" s="8"/>
      <c r="F2" s="8"/>
      <c r="G2" s="8"/>
      <c r="H2" s="8"/>
      <c r="I2" s="100" t="s">
        <v>56</v>
      </c>
      <c r="J2" s="212" t="s">
        <v>50</v>
      </c>
    </row>
    <row r="3" spans="1:10" ht="13.5" thickBot="1" x14ac:dyDescent="0.25">
      <c r="A3" s="8"/>
      <c r="B3" s="8"/>
      <c r="C3" s="8"/>
      <c r="D3" s="8"/>
      <c r="E3" s="8"/>
      <c r="F3" s="8"/>
      <c r="G3" s="8"/>
      <c r="H3" s="8"/>
      <c r="I3" s="80" t="s">
        <v>55</v>
      </c>
      <c r="J3" s="220">
        <v>2018</v>
      </c>
    </row>
    <row r="4" spans="1:10" ht="43.5" customHeight="1" thickBot="1" x14ac:dyDescent="0.25">
      <c r="A4" s="104" t="s">
        <v>0</v>
      </c>
      <c r="B4" s="104" t="s">
        <v>245</v>
      </c>
      <c r="C4" s="104" t="s">
        <v>246</v>
      </c>
      <c r="D4" s="86" t="s">
        <v>247</v>
      </c>
      <c r="E4" s="104" t="s">
        <v>248</v>
      </c>
      <c r="F4" s="104" t="s">
        <v>249</v>
      </c>
      <c r="G4" s="104" t="s">
        <v>250</v>
      </c>
      <c r="H4" s="184" t="s">
        <v>4</v>
      </c>
      <c r="I4" s="168" t="s">
        <v>274</v>
      </c>
      <c r="J4" s="169" t="s">
        <v>201</v>
      </c>
    </row>
    <row r="5" spans="1:10" ht="62.85" customHeight="1" x14ac:dyDescent="0.2">
      <c r="A5" s="583" t="s">
        <v>351</v>
      </c>
      <c r="B5" s="248" t="s">
        <v>986</v>
      </c>
      <c r="C5" s="143" t="s">
        <v>987</v>
      </c>
      <c r="D5" s="249" t="s">
        <v>1774</v>
      </c>
      <c r="E5" s="248" t="s">
        <v>50</v>
      </c>
      <c r="F5" s="250" t="s">
        <v>988</v>
      </c>
      <c r="G5" s="250" t="s">
        <v>989</v>
      </c>
      <c r="H5" s="584" t="s">
        <v>990</v>
      </c>
      <c r="I5" s="554" t="s">
        <v>1780</v>
      </c>
      <c r="J5" s="555" t="s">
        <v>1781</v>
      </c>
    </row>
    <row r="6" spans="1:10" x14ac:dyDescent="0.2">
      <c r="A6" s="583" t="s">
        <v>351</v>
      </c>
      <c r="B6" s="248" t="s">
        <v>986</v>
      </c>
      <c r="C6" s="143" t="s">
        <v>991</v>
      </c>
      <c r="D6" s="249" t="s">
        <v>1775</v>
      </c>
      <c r="E6" s="248" t="s">
        <v>50</v>
      </c>
      <c r="F6" s="250" t="s">
        <v>988</v>
      </c>
      <c r="G6" s="250" t="s">
        <v>989</v>
      </c>
      <c r="H6" s="584" t="s">
        <v>992</v>
      </c>
      <c r="I6" s="554">
        <v>43553</v>
      </c>
      <c r="J6" s="556"/>
    </row>
    <row r="7" spans="1:10" ht="12" customHeight="1" x14ac:dyDescent="0.2">
      <c r="A7" s="583" t="s">
        <v>351</v>
      </c>
      <c r="B7" s="248" t="s">
        <v>986</v>
      </c>
      <c r="C7" s="143" t="s">
        <v>987</v>
      </c>
      <c r="D7" s="249" t="s">
        <v>1776</v>
      </c>
      <c r="E7" s="248" t="s">
        <v>50</v>
      </c>
      <c r="F7" s="250" t="s">
        <v>988</v>
      </c>
      <c r="G7" s="143" t="s">
        <v>993</v>
      </c>
      <c r="H7" s="584" t="s">
        <v>994</v>
      </c>
      <c r="I7" s="558">
        <v>43586</v>
      </c>
      <c r="J7" s="556"/>
    </row>
    <row r="8" spans="1:10" ht="25.5" x14ac:dyDescent="0.2">
      <c r="A8" s="583" t="s">
        <v>351</v>
      </c>
      <c r="B8" s="248" t="s">
        <v>986</v>
      </c>
      <c r="C8" s="143" t="s">
        <v>987</v>
      </c>
      <c r="D8" s="249" t="s">
        <v>995</v>
      </c>
      <c r="E8" s="248" t="s">
        <v>50</v>
      </c>
      <c r="F8" s="250" t="s">
        <v>988</v>
      </c>
      <c r="G8" s="143" t="s">
        <v>996</v>
      </c>
      <c r="H8" s="584" t="s">
        <v>990</v>
      </c>
      <c r="I8" s="557"/>
      <c r="J8" s="556"/>
    </row>
    <row r="9" spans="1:10" ht="45.6" customHeight="1" x14ac:dyDescent="0.2">
      <c r="A9" s="583" t="s">
        <v>351</v>
      </c>
      <c r="B9" s="248" t="s">
        <v>986</v>
      </c>
      <c r="C9" s="143" t="s">
        <v>987</v>
      </c>
      <c r="D9" s="251" t="s">
        <v>1777</v>
      </c>
      <c r="E9" s="248" t="s">
        <v>50</v>
      </c>
      <c r="F9" s="250" t="s">
        <v>988</v>
      </c>
      <c r="G9" s="250" t="s">
        <v>997</v>
      </c>
      <c r="H9" s="585" t="s">
        <v>998</v>
      </c>
      <c r="I9" s="554" t="s">
        <v>1780</v>
      </c>
      <c r="J9" s="555"/>
    </row>
    <row r="10" spans="1:10" ht="25.5" x14ac:dyDescent="0.2">
      <c r="A10" s="583" t="s">
        <v>351</v>
      </c>
      <c r="B10" s="248" t="s">
        <v>986</v>
      </c>
      <c r="C10" s="143" t="s">
        <v>987</v>
      </c>
      <c r="D10" s="249" t="s">
        <v>999</v>
      </c>
      <c r="E10" s="248" t="s">
        <v>50</v>
      </c>
      <c r="F10" s="250" t="s">
        <v>988</v>
      </c>
      <c r="G10" s="250" t="s">
        <v>1000</v>
      </c>
      <c r="H10" s="584" t="s">
        <v>1001</v>
      </c>
      <c r="I10" s="554">
        <v>43483</v>
      </c>
      <c r="J10" s="556"/>
    </row>
    <row r="11" spans="1:10" ht="25.5" x14ac:dyDescent="0.2">
      <c r="A11" s="583" t="s">
        <v>351</v>
      </c>
      <c r="B11" s="248" t="s">
        <v>986</v>
      </c>
      <c r="C11" s="143" t="s">
        <v>987</v>
      </c>
      <c r="D11" s="249" t="s">
        <v>999</v>
      </c>
      <c r="E11" s="248" t="s">
        <v>50</v>
      </c>
      <c r="F11" s="250" t="s">
        <v>988</v>
      </c>
      <c r="G11" s="250" t="s">
        <v>1002</v>
      </c>
      <c r="H11" s="586" t="s">
        <v>1003</v>
      </c>
      <c r="I11" s="558">
        <v>43616</v>
      </c>
      <c r="J11" s="556"/>
    </row>
    <row r="12" spans="1:10" ht="25.5" x14ac:dyDescent="0.2">
      <c r="A12" s="583" t="s">
        <v>351</v>
      </c>
      <c r="B12" s="248" t="s">
        <v>986</v>
      </c>
      <c r="C12" s="143" t="s">
        <v>987</v>
      </c>
      <c r="D12" s="249" t="s">
        <v>1004</v>
      </c>
      <c r="E12" s="248" t="s">
        <v>50</v>
      </c>
      <c r="F12" s="250" t="s">
        <v>988</v>
      </c>
      <c r="G12" s="250" t="s">
        <v>1002</v>
      </c>
      <c r="H12" s="584" t="s">
        <v>1005</v>
      </c>
      <c r="I12" s="558">
        <v>43616</v>
      </c>
      <c r="J12" s="556"/>
    </row>
    <row r="13" spans="1:10" ht="25.5" x14ac:dyDescent="0.2">
      <c r="A13" s="583" t="s">
        <v>351</v>
      </c>
      <c r="B13" s="248" t="s">
        <v>986</v>
      </c>
      <c r="C13" s="143" t="s">
        <v>987</v>
      </c>
      <c r="D13" s="249" t="s">
        <v>999</v>
      </c>
      <c r="E13" s="248" t="s">
        <v>50</v>
      </c>
      <c r="F13" s="250" t="s">
        <v>988</v>
      </c>
      <c r="G13" s="250" t="s">
        <v>1006</v>
      </c>
      <c r="H13" s="586" t="s">
        <v>1007</v>
      </c>
      <c r="I13" s="609">
        <v>43617</v>
      </c>
      <c r="J13" s="556"/>
    </row>
    <row r="14" spans="1:10" ht="25.5" x14ac:dyDescent="0.2">
      <c r="A14" s="583" t="s">
        <v>351</v>
      </c>
      <c r="B14" s="248" t="s">
        <v>986</v>
      </c>
      <c r="C14" s="143" t="s">
        <v>987</v>
      </c>
      <c r="D14" s="249" t="s">
        <v>1008</v>
      </c>
      <c r="E14" s="248" t="s">
        <v>50</v>
      </c>
      <c r="F14" s="250" t="s">
        <v>988</v>
      </c>
      <c r="G14" s="250" t="s">
        <v>1009</v>
      </c>
      <c r="H14" s="584" t="s">
        <v>1010</v>
      </c>
      <c r="I14" s="609">
        <v>43617</v>
      </c>
      <c r="J14" s="556"/>
    </row>
    <row r="15" spans="1:10" ht="25.5" x14ac:dyDescent="0.2">
      <c r="A15" s="583" t="s">
        <v>351</v>
      </c>
      <c r="B15" s="248" t="s">
        <v>986</v>
      </c>
      <c r="C15" s="143" t="s">
        <v>987</v>
      </c>
      <c r="D15" s="249" t="s">
        <v>1011</v>
      </c>
      <c r="E15" s="248" t="s">
        <v>50</v>
      </c>
      <c r="F15" s="250" t="s">
        <v>988</v>
      </c>
      <c r="G15" s="250" t="s">
        <v>1000</v>
      </c>
      <c r="H15" s="584" t="s">
        <v>1012</v>
      </c>
      <c r="I15" s="554">
        <v>43483</v>
      </c>
      <c r="J15" s="556"/>
    </row>
    <row r="16" spans="1:10" ht="25.5" x14ac:dyDescent="0.2">
      <c r="A16" s="583" t="s">
        <v>351</v>
      </c>
      <c r="B16" s="248" t="s">
        <v>986</v>
      </c>
      <c r="C16" s="143" t="s">
        <v>987</v>
      </c>
      <c r="D16" s="249" t="s">
        <v>1011</v>
      </c>
      <c r="E16" s="248" t="s">
        <v>50</v>
      </c>
      <c r="F16" s="250" t="s">
        <v>988</v>
      </c>
      <c r="G16" s="143" t="s">
        <v>1013</v>
      </c>
      <c r="H16" s="586" t="s">
        <v>1003</v>
      </c>
      <c r="I16" s="558">
        <v>43616</v>
      </c>
      <c r="J16" s="556"/>
    </row>
    <row r="17" spans="1:10" ht="25.5" x14ac:dyDescent="0.2">
      <c r="A17" s="583" t="s">
        <v>351</v>
      </c>
      <c r="B17" s="248" t="s">
        <v>986</v>
      </c>
      <c r="C17" s="143" t="s">
        <v>987</v>
      </c>
      <c r="D17" s="249" t="s">
        <v>1014</v>
      </c>
      <c r="E17" s="248" t="s">
        <v>50</v>
      </c>
      <c r="F17" s="250" t="s">
        <v>988</v>
      </c>
      <c r="G17" s="143" t="s">
        <v>1013</v>
      </c>
      <c r="H17" s="584" t="s">
        <v>1005</v>
      </c>
      <c r="I17" s="558">
        <v>43616</v>
      </c>
      <c r="J17" s="556"/>
    </row>
    <row r="18" spans="1:10" ht="38.25" x14ac:dyDescent="0.2">
      <c r="A18" s="583" t="s">
        <v>351</v>
      </c>
      <c r="B18" s="248" t="s">
        <v>986</v>
      </c>
      <c r="C18" s="143" t="s">
        <v>1015</v>
      </c>
      <c r="D18" s="583" t="s">
        <v>1016</v>
      </c>
      <c r="E18" s="248">
        <v>2019</v>
      </c>
      <c r="F18" s="143" t="s">
        <v>988</v>
      </c>
      <c r="G18" s="250" t="s">
        <v>1017</v>
      </c>
      <c r="H18" s="585" t="s">
        <v>1018</v>
      </c>
      <c r="I18" s="557"/>
      <c r="J18" s="556" t="s">
        <v>1782</v>
      </c>
    </row>
    <row r="19" spans="1:10" x14ac:dyDescent="0.2">
      <c r="A19" s="583" t="s">
        <v>351</v>
      </c>
      <c r="B19" s="248" t="s">
        <v>1019</v>
      </c>
      <c r="C19" s="551" t="s">
        <v>1020</v>
      </c>
      <c r="D19" s="583" t="s">
        <v>1019</v>
      </c>
      <c r="E19" s="248" t="s">
        <v>50</v>
      </c>
      <c r="F19" s="250" t="s">
        <v>1021</v>
      </c>
      <c r="G19" s="250" t="s">
        <v>1022</v>
      </c>
      <c r="H19" s="587"/>
      <c r="I19" s="558">
        <v>43496</v>
      </c>
      <c r="J19" s="556"/>
    </row>
    <row r="20" spans="1:10" ht="38.25" x14ac:dyDescent="0.2">
      <c r="A20" s="583" t="s">
        <v>351</v>
      </c>
      <c r="B20" s="252" t="s">
        <v>1023</v>
      </c>
      <c r="C20" s="551" t="s">
        <v>1015</v>
      </c>
      <c r="D20" s="583" t="s">
        <v>1024</v>
      </c>
      <c r="E20" s="248">
        <v>2019</v>
      </c>
      <c r="F20" s="143" t="s">
        <v>988</v>
      </c>
      <c r="G20" s="143" t="s">
        <v>1025</v>
      </c>
      <c r="H20" s="585" t="s">
        <v>1018</v>
      </c>
      <c r="I20" s="557"/>
      <c r="J20" s="556" t="s">
        <v>1782</v>
      </c>
    </row>
    <row r="21" spans="1:10" ht="38.25" x14ac:dyDescent="0.2">
      <c r="A21" s="583" t="s">
        <v>351</v>
      </c>
      <c r="B21" s="252" t="s">
        <v>1026</v>
      </c>
      <c r="C21" s="551" t="s">
        <v>1015</v>
      </c>
      <c r="D21" s="583" t="s">
        <v>1027</v>
      </c>
      <c r="E21" s="248">
        <v>2019</v>
      </c>
      <c r="F21" s="143" t="s">
        <v>988</v>
      </c>
      <c r="G21" s="143" t="s">
        <v>1025</v>
      </c>
      <c r="H21" s="585" t="s">
        <v>1028</v>
      </c>
      <c r="I21" s="557"/>
      <c r="J21" s="556" t="s">
        <v>1782</v>
      </c>
    </row>
    <row r="22" spans="1:10" ht="38.25" x14ac:dyDescent="0.2">
      <c r="A22" s="583" t="s">
        <v>351</v>
      </c>
      <c r="B22" s="252" t="s">
        <v>1029</v>
      </c>
      <c r="C22" s="551" t="s">
        <v>1015</v>
      </c>
      <c r="D22" s="583" t="s">
        <v>1030</v>
      </c>
      <c r="E22" s="248">
        <v>2019</v>
      </c>
      <c r="F22" s="143" t="s">
        <v>988</v>
      </c>
      <c r="G22" s="143" t="s">
        <v>1025</v>
      </c>
      <c r="H22" s="586"/>
      <c r="I22" s="557"/>
      <c r="J22" s="556" t="s">
        <v>1782</v>
      </c>
    </row>
    <row r="23" spans="1:10" ht="51" x14ac:dyDescent="0.2">
      <c r="A23" s="583" t="s">
        <v>351</v>
      </c>
      <c r="B23" s="253" t="s">
        <v>1031</v>
      </c>
      <c r="C23" s="551" t="s">
        <v>1015</v>
      </c>
      <c r="D23" s="583" t="s">
        <v>1032</v>
      </c>
      <c r="E23" s="248" t="s">
        <v>50</v>
      </c>
      <c r="F23" s="250" t="s">
        <v>988</v>
      </c>
      <c r="G23" s="143" t="s">
        <v>1033</v>
      </c>
      <c r="H23" s="585" t="s">
        <v>1034</v>
      </c>
      <c r="I23" s="558" t="s">
        <v>1788</v>
      </c>
      <c r="J23" s="556"/>
    </row>
    <row r="24" spans="1:10" x14ac:dyDescent="0.2">
      <c r="A24" s="583" t="s">
        <v>351</v>
      </c>
      <c r="B24" s="252" t="s">
        <v>1035</v>
      </c>
      <c r="C24" s="551" t="s">
        <v>1015</v>
      </c>
      <c r="D24" s="583" t="s">
        <v>1036</v>
      </c>
      <c r="E24" s="248" t="s">
        <v>50</v>
      </c>
      <c r="F24" s="143" t="s">
        <v>988</v>
      </c>
      <c r="G24" s="588" t="s">
        <v>1037</v>
      </c>
      <c r="H24" s="586"/>
      <c r="I24" s="558">
        <v>43370</v>
      </c>
      <c r="J24" s="556"/>
    </row>
    <row r="25" spans="1:10" x14ac:dyDescent="0.2">
      <c r="A25" s="583" t="s">
        <v>351</v>
      </c>
      <c r="B25" s="253" t="s">
        <v>1035</v>
      </c>
      <c r="C25" s="551" t="s">
        <v>1015</v>
      </c>
      <c r="D25" s="583" t="s">
        <v>1038</v>
      </c>
      <c r="E25" s="248" t="s">
        <v>50</v>
      </c>
      <c r="F25" s="143" t="s">
        <v>988</v>
      </c>
      <c r="G25" s="250" t="s">
        <v>989</v>
      </c>
      <c r="H25" s="586"/>
      <c r="I25" s="554">
        <v>43553</v>
      </c>
      <c r="J25" s="556"/>
    </row>
    <row r="26" spans="1:10" ht="53.85" customHeight="1" x14ac:dyDescent="0.2">
      <c r="A26" s="583" t="s">
        <v>351</v>
      </c>
      <c r="B26" s="248" t="s">
        <v>986</v>
      </c>
      <c r="C26" s="551" t="s">
        <v>1015</v>
      </c>
      <c r="D26" s="254" t="s">
        <v>1039</v>
      </c>
      <c r="E26" s="248" t="s">
        <v>50</v>
      </c>
      <c r="F26" s="250" t="s">
        <v>988</v>
      </c>
      <c r="G26" s="250" t="s">
        <v>997</v>
      </c>
      <c r="H26" s="584" t="s">
        <v>1040</v>
      </c>
      <c r="I26" s="554" t="s">
        <v>1780</v>
      </c>
      <c r="J26" s="555"/>
    </row>
    <row r="27" spans="1:10" ht="25.5" x14ac:dyDescent="0.2">
      <c r="A27" s="583" t="s">
        <v>351</v>
      </c>
      <c r="B27" s="248" t="s">
        <v>986</v>
      </c>
      <c r="C27" s="551" t="s">
        <v>1015</v>
      </c>
      <c r="D27" s="254" t="s">
        <v>1041</v>
      </c>
      <c r="E27" s="248" t="s">
        <v>50</v>
      </c>
      <c r="F27" s="143" t="s">
        <v>988</v>
      </c>
      <c r="G27" s="250" t="s">
        <v>997</v>
      </c>
      <c r="H27" s="584" t="s">
        <v>1040</v>
      </c>
      <c r="I27" s="554" t="s">
        <v>1780</v>
      </c>
      <c r="J27" s="555"/>
    </row>
    <row r="28" spans="1:10" ht="25.5" x14ac:dyDescent="0.2">
      <c r="A28" s="583" t="s">
        <v>351</v>
      </c>
      <c r="B28" s="248" t="s">
        <v>986</v>
      </c>
      <c r="C28" s="551" t="s">
        <v>1015</v>
      </c>
      <c r="D28" s="254" t="s">
        <v>1042</v>
      </c>
      <c r="E28" s="248" t="s">
        <v>50</v>
      </c>
      <c r="F28" s="143" t="s">
        <v>988</v>
      </c>
      <c r="G28" s="143" t="s">
        <v>993</v>
      </c>
      <c r="H28" s="584" t="s">
        <v>1040</v>
      </c>
      <c r="I28" s="554" t="s">
        <v>1780</v>
      </c>
      <c r="J28" s="555"/>
    </row>
    <row r="29" spans="1:10" x14ac:dyDescent="0.2">
      <c r="A29" s="589" t="s">
        <v>351</v>
      </c>
      <c r="B29" s="250" t="s">
        <v>911</v>
      </c>
      <c r="C29" s="551" t="s">
        <v>1043</v>
      </c>
      <c r="D29" s="589" t="s">
        <v>1044</v>
      </c>
      <c r="E29" s="250" t="s">
        <v>50</v>
      </c>
      <c r="F29" s="250" t="s">
        <v>988</v>
      </c>
      <c r="G29" s="143" t="s">
        <v>1045</v>
      </c>
      <c r="H29" s="585"/>
      <c r="I29" s="558">
        <v>43599</v>
      </c>
      <c r="J29" s="556"/>
    </row>
    <row r="30" spans="1:10" ht="25.5" x14ac:dyDescent="0.2">
      <c r="A30" s="583" t="s">
        <v>351</v>
      </c>
      <c r="B30" s="252" t="s">
        <v>911</v>
      </c>
      <c r="C30" s="551" t="s">
        <v>1043</v>
      </c>
      <c r="D30" s="590" t="s">
        <v>1046</v>
      </c>
      <c r="E30" s="248">
        <v>2018</v>
      </c>
      <c r="F30" s="250" t="s">
        <v>988</v>
      </c>
      <c r="G30" s="143" t="s">
        <v>1047</v>
      </c>
      <c r="H30" s="591" t="s">
        <v>1048</v>
      </c>
      <c r="I30" s="554">
        <v>43553</v>
      </c>
      <c r="J30" s="556"/>
    </row>
    <row r="31" spans="1:10" x14ac:dyDescent="0.2">
      <c r="A31" s="583" t="s">
        <v>351</v>
      </c>
      <c r="B31" s="252" t="s">
        <v>911</v>
      </c>
      <c r="C31" s="589" t="s">
        <v>1049</v>
      </c>
      <c r="D31" s="590" t="s">
        <v>1050</v>
      </c>
      <c r="E31" s="248" t="s">
        <v>50</v>
      </c>
      <c r="F31" s="143" t="s">
        <v>988</v>
      </c>
      <c r="G31" s="143" t="s">
        <v>1045</v>
      </c>
      <c r="H31" s="591"/>
      <c r="I31" s="558">
        <v>43599</v>
      </c>
      <c r="J31" s="556"/>
    </row>
    <row r="32" spans="1:10" x14ac:dyDescent="0.2">
      <c r="A32" s="583" t="s">
        <v>351</v>
      </c>
      <c r="B32" s="252" t="s">
        <v>911</v>
      </c>
      <c r="C32" s="589" t="s">
        <v>1049</v>
      </c>
      <c r="D32" s="590" t="s">
        <v>1051</v>
      </c>
      <c r="E32" s="248" t="s">
        <v>50</v>
      </c>
      <c r="F32" s="143" t="s">
        <v>988</v>
      </c>
      <c r="G32" s="143" t="s">
        <v>1045</v>
      </c>
      <c r="H32" s="591"/>
      <c r="I32" s="558">
        <v>43599</v>
      </c>
      <c r="J32" s="556"/>
    </row>
    <row r="33" spans="1:10" x14ac:dyDescent="0.2">
      <c r="A33" s="592" t="s">
        <v>490</v>
      </c>
      <c r="B33" s="592" t="s">
        <v>102</v>
      </c>
      <c r="C33" s="592" t="s">
        <v>1052</v>
      </c>
      <c r="D33" s="592" t="s">
        <v>1053</v>
      </c>
      <c r="E33" s="592" t="s">
        <v>50</v>
      </c>
      <c r="F33" s="592" t="s">
        <v>988</v>
      </c>
      <c r="G33" s="593" t="s">
        <v>1054</v>
      </c>
      <c r="H33" s="594" t="s">
        <v>1055</v>
      </c>
      <c r="I33" s="514">
        <v>43101</v>
      </c>
      <c r="J33" s="183"/>
    </row>
    <row r="34" spans="1:10" x14ac:dyDescent="0.2">
      <c r="A34" s="592" t="s">
        <v>490</v>
      </c>
      <c r="B34" s="592" t="s">
        <v>98</v>
      </c>
      <c r="C34" s="592" t="s">
        <v>1052</v>
      </c>
      <c r="D34" s="592" t="s">
        <v>98</v>
      </c>
      <c r="E34" s="592" t="s">
        <v>50</v>
      </c>
      <c r="F34" s="592" t="s">
        <v>988</v>
      </c>
      <c r="G34" s="593" t="s">
        <v>1054</v>
      </c>
      <c r="H34" s="594" t="s">
        <v>1055</v>
      </c>
      <c r="I34" s="514">
        <v>43497</v>
      </c>
      <c r="J34" s="183"/>
    </row>
    <row r="35" spans="1:10" x14ac:dyDescent="0.2">
      <c r="A35" s="592" t="s">
        <v>490</v>
      </c>
      <c r="B35" s="592" t="s">
        <v>485</v>
      </c>
      <c r="C35" s="592" t="s">
        <v>1052</v>
      </c>
      <c r="D35" s="592" t="s">
        <v>485</v>
      </c>
      <c r="E35" s="592" t="s">
        <v>50</v>
      </c>
      <c r="F35" s="592" t="s">
        <v>988</v>
      </c>
      <c r="G35" s="593" t="s">
        <v>1056</v>
      </c>
      <c r="H35" s="595" t="s">
        <v>1057</v>
      </c>
      <c r="I35" s="514">
        <v>43497</v>
      </c>
      <c r="J35" s="183"/>
    </row>
    <row r="36" spans="1:10" x14ac:dyDescent="0.2">
      <c r="A36" s="239" t="s">
        <v>351</v>
      </c>
      <c r="B36" s="257" t="s">
        <v>251</v>
      </c>
      <c r="C36" s="257" t="s">
        <v>252</v>
      </c>
      <c r="D36" s="258" t="s">
        <v>253</v>
      </c>
      <c r="E36" s="257" t="s">
        <v>79</v>
      </c>
      <c r="F36" s="559" t="s">
        <v>254</v>
      </c>
      <c r="G36" s="257" t="s">
        <v>255</v>
      </c>
      <c r="H36" s="596"/>
      <c r="I36" s="514">
        <v>43497</v>
      </c>
      <c r="J36" s="183"/>
    </row>
    <row r="37" spans="1:10" x14ac:dyDescent="0.2">
      <c r="A37" s="239" t="s">
        <v>351</v>
      </c>
      <c r="B37" s="597" t="s">
        <v>256</v>
      </c>
      <c r="C37" s="597" t="s">
        <v>1058</v>
      </c>
      <c r="D37" s="598" t="s">
        <v>189</v>
      </c>
      <c r="E37" s="597" t="s">
        <v>79</v>
      </c>
      <c r="F37" s="599" t="s">
        <v>254</v>
      </c>
      <c r="G37" s="597" t="s">
        <v>255</v>
      </c>
      <c r="H37" s="600"/>
      <c r="I37" s="514">
        <v>43132</v>
      </c>
      <c r="J37" s="183"/>
    </row>
    <row r="38" spans="1:10" x14ac:dyDescent="0.2">
      <c r="A38" s="239" t="s">
        <v>351</v>
      </c>
      <c r="B38" s="597" t="s">
        <v>257</v>
      </c>
      <c r="C38" s="597" t="s">
        <v>1059</v>
      </c>
      <c r="D38" s="598" t="s">
        <v>258</v>
      </c>
      <c r="E38" s="597" t="s">
        <v>79</v>
      </c>
      <c r="F38" s="599" t="s">
        <v>79</v>
      </c>
      <c r="G38" s="597" t="s">
        <v>259</v>
      </c>
      <c r="H38" s="600"/>
      <c r="I38" s="514">
        <v>43497</v>
      </c>
      <c r="J38" s="183"/>
    </row>
    <row r="39" spans="1:10" x14ac:dyDescent="0.2">
      <c r="A39" s="239" t="s">
        <v>351</v>
      </c>
      <c r="B39" s="597" t="s">
        <v>257</v>
      </c>
      <c r="C39" s="597" t="s">
        <v>1059</v>
      </c>
      <c r="D39" s="598" t="s">
        <v>260</v>
      </c>
      <c r="E39" s="597" t="s">
        <v>79</v>
      </c>
      <c r="F39" s="599" t="s">
        <v>79</v>
      </c>
      <c r="G39" s="597" t="s">
        <v>261</v>
      </c>
      <c r="H39" s="600"/>
      <c r="I39" s="514">
        <v>43497</v>
      </c>
      <c r="J39" s="183"/>
    </row>
    <row r="40" spans="1:10" x14ac:dyDescent="0.2">
      <c r="A40" s="239" t="s">
        <v>351</v>
      </c>
      <c r="B40" s="597" t="s">
        <v>262</v>
      </c>
      <c r="C40" s="597" t="s">
        <v>1060</v>
      </c>
      <c r="D40" s="598" t="s">
        <v>189</v>
      </c>
      <c r="E40" s="597" t="s">
        <v>79</v>
      </c>
      <c r="F40" s="599" t="s">
        <v>263</v>
      </c>
      <c r="G40" s="597" t="s">
        <v>264</v>
      </c>
      <c r="H40" s="600"/>
      <c r="I40" s="514">
        <v>43770</v>
      </c>
      <c r="J40" s="183"/>
    </row>
  </sheetData>
  <dataValidations count="1">
    <dataValidation type="textLength" showInputMessage="1" showErrorMessage="1" sqref="H5:H8 H15 I5:J40">
      <formula1>0</formula1>
      <formula2>150</formula2>
    </dataValidation>
  </dataValidations>
  <pageMargins left="0.7" right="0.7" top="0.75" bottom="0.75" header="0.3" footer="0.3"/>
  <pageSetup paperSize="9" scale="72" fitToHeight="0" orientation="landscape"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pageSetUpPr fitToPage="1"/>
  </sheetPr>
  <dimension ref="A1:H88"/>
  <sheetViews>
    <sheetView zoomScaleNormal="100" workbookViewId="0">
      <selection activeCell="C32" sqref="A32:XFD32"/>
    </sheetView>
  </sheetViews>
  <sheetFormatPr defaultColWidth="8.85546875" defaultRowHeight="12.75" x14ac:dyDescent="0.2"/>
  <cols>
    <col min="1" max="1" width="22.42578125" style="1" customWidth="1"/>
    <col min="2" max="2" width="25.140625" style="1" bestFit="1" customWidth="1"/>
    <col min="3" max="3" width="93.42578125" style="1" bestFit="1" customWidth="1"/>
    <col min="4" max="4" width="24.140625" style="1" bestFit="1" customWidth="1"/>
    <col min="5" max="5" width="22.28515625" style="1" customWidth="1"/>
    <col min="6" max="6" width="18.140625" style="1" customWidth="1"/>
    <col min="7" max="7" width="17.7109375" style="1" customWidth="1"/>
    <col min="8" max="8" width="34.42578125" style="1" customWidth="1"/>
    <col min="9" max="16384" width="8.85546875" style="1"/>
  </cols>
  <sheetData>
    <row r="1" spans="1:8" ht="13.5" thickBot="1" x14ac:dyDescent="0.25">
      <c r="A1" s="7" t="s">
        <v>176</v>
      </c>
    </row>
    <row r="2" spans="1:8" x14ac:dyDescent="0.2">
      <c r="A2" s="124"/>
      <c r="B2" s="46"/>
      <c r="C2" s="46"/>
      <c r="D2" s="46"/>
      <c r="E2" s="46"/>
      <c r="G2" s="100" t="s">
        <v>56</v>
      </c>
      <c r="H2" s="212" t="s">
        <v>50</v>
      </c>
    </row>
    <row r="3" spans="1:8" ht="13.5" thickBot="1" x14ac:dyDescent="0.25">
      <c r="A3" s="125"/>
      <c r="B3" s="126"/>
      <c r="C3" s="126"/>
      <c r="D3" s="126"/>
      <c r="E3" s="126"/>
      <c r="G3" s="393" t="s">
        <v>55</v>
      </c>
      <c r="H3" s="420">
        <v>2018</v>
      </c>
    </row>
    <row r="4" spans="1:8" ht="26.25" thickBot="1" x14ac:dyDescent="0.25">
      <c r="A4" s="104" t="s">
        <v>0</v>
      </c>
      <c r="B4" s="394" t="s">
        <v>177</v>
      </c>
      <c r="C4" s="391" t="s">
        <v>178</v>
      </c>
      <c r="D4" s="104" t="s">
        <v>5</v>
      </c>
      <c r="E4" s="104" t="s">
        <v>179</v>
      </c>
      <c r="F4" s="173" t="s">
        <v>4</v>
      </c>
      <c r="G4" s="167" t="s">
        <v>348</v>
      </c>
      <c r="H4" s="167" t="s">
        <v>201</v>
      </c>
    </row>
    <row r="5" spans="1:8" x14ac:dyDescent="0.2">
      <c r="A5" s="239" t="s">
        <v>351</v>
      </c>
      <c r="B5" s="395"/>
      <c r="C5" s="396" t="s">
        <v>762</v>
      </c>
      <c r="D5" s="257" t="s">
        <v>7</v>
      </c>
      <c r="E5" s="392" t="s">
        <v>1608</v>
      </c>
      <c r="F5" s="397"/>
      <c r="G5" s="398">
        <v>9</v>
      </c>
      <c r="H5" s="398"/>
    </row>
    <row r="6" spans="1:8" x14ac:dyDescent="0.2">
      <c r="A6" s="239" t="s">
        <v>351</v>
      </c>
      <c r="B6" s="399" t="s">
        <v>763</v>
      </c>
      <c r="C6" s="400" t="s">
        <v>764</v>
      </c>
      <c r="D6" s="401" t="s">
        <v>7</v>
      </c>
      <c r="E6" s="392" t="s">
        <v>1608</v>
      </c>
      <c r="F6" s="402"/>
      <c r="G6" s="403">
        <v>1</v>
      </c>
      <c r="H6" s="398"/>
    </row>
    <row r="7" spans="1:8" x14ac:dyDescent="0.2">
      <c r="A7" s="239" t="s">
        <v>351</v>
      </c>
      <c r="B7" s="399" t="s">
        <v>765</v>
      </c>
      <c r="C7" s="404" t="s">
        <v>1609</v>
      </c>
      <c r="D7" s="401" t="s">
        <v>7</v>
      </c>
      <c r="E7" s="392" t="s">
        <v>1608</v>
      </c>
      <c r="F7" s="402"/>
      <c r="G7" s="403">
        <v>4</v>
      </c>
      <c r="H7" s="398"/>
    </row>
    <row r="8" spans="1:8" x14ac:dyDescent="0.2">
      <c r="A8" s="239" t="s">
        <v>351</v>
      </c>
      <c r="B8" s="399"/>
      <c r="C8" s="400" t="s">
        <v>766</v>
      </c>
      <c r="D8" s="401" t="s">
        <v>7</v>
      </c>
      <c r="E8" s="392" t="s">
        <v>1608</v>
      </c>
      <c r="F8" s="402"/>
      <c r="G8" s="403">
        <v>1</v>
      </c>
      <c r="H8" s="398"/>
    </row>
    <row r="9" spans="1:8" x14ac:dyDescent="0.2">
      <c r="A9" s="239" t="s">
        <v>351</v>
      </c>
      <c r="B9" s="399" t="s">
        <v>1610</v>
      </c>
      <c r="C9" s="400" t="s">
        <v>1611</v>
      </c>
      <c r="D9" s="401" t="s">
        <v>7</v>
      </c>
      <c r="E9" s="392" t="s">
        <v>1608</v>
      </c>
      <c r="F9" s="402"/>
      <c r="G9" s="403">
        <v>4</v>
      </c>
      <c r="H9" s="398"/>
    </row>
    <row r="10" spans="1:8" x14ac:dyDescent="0.2">
      <c r="A10" s="239" t="s">
        <v>351</v>
      </c>
      <c r="B10" s="399" t="s">
        <v>1612</v>
      </c>
      <c r="C10" s="400" t="s">
        <v>1612</v>
      </c>
      <c r="D10" s="401" t="s">
        <v>7</v>
      </c>
      <c r="E10" s="392" t="s">
        <v>1608</v>
      </c>
      <c r="F10" s="402"/>
      <c r="G10" s="403">
        <v>1</v>
      </c>
      <c r="H10" s="398"/>
    </row>
    <row r="11" spans="1:8" x14ac:dyDescent="0.2">
      <c r="A11" s="239" t="s">
        <v>351</v>
      </c>
      <c r="B11" s="399" t="s">
        <v>1613</v>
      </c>
      <c r="C11" s="400" t="s">
        <v>1613</v>
      </c>
      <c r="D11" s="401" t="s">
        <v>7</v>
      </c>
      <c r="E11" s="392" t="s">
        <v>1608</v>
      </c>
      <c r="F11" s="402"/>
      <c r="G11" s="403">
        <v>1</v>
      </c>
      <c r="H11" s="398"/>
    </row>
    <row r="12" spans="1:8" x14ac:dyDescent="0.2">
      <c r="A12" s="239" t="s">
        <v>351</v>
      </c>
      <c r="B12" s="399" t="s">
        <v>1614</v>
      </c>
      <c r="C12" s="400" t="s">
        <v>1614</v>
      </c>
      <c r="D12" s="401" t="s">
        <v>7</v>
      </c>
      <c r="E12" s="392" t="s">
        <v>1608</v>
      </c>
      <c r="F12" s="402"/>
      <c r="G12" s="403">
        <v>1</v>
      </c>
      <c r="H12" s="398"/>
    </row>
    <row r="13" spans="1:8" x14ac:dyDescent="0.2">
      <c r="A13" s="239" t="s">
        <v>351</v>
      </c>
      <c r="B13" s="399" t="s">
        <v>1615</v>
      </c>
      <c r="C13" s="400" t="s">
        <v>1616</v>
      </c>
      <c r="D13" s="401" t="s">
        <v>7</v>
      </c>
      <c r="E13" s="392" t="s">
        <v>1608</v>
      </c>
      <c r="F13" s="402"/>
      <c r="G13" s="403">
        <v>1</v>
      </c>
      <c r="H13" s="398"/>
    </row>
    <row r="14" spans="1:8" x14ac:dyDescent="0.2">
      <c r="A14" s="239" t="s">
        <v>351</v>
      </c>
      <c r="B14" s="399" t="s">
        <v>767</v>
      </c>
      <c r="C14" s="400" t="s">
        <v>768</v>
      </c>
      <c r="D14" s="401" t="s">
        <v>76</v>
      </c>
      <c r="E14" s="392" t="s">
        <v>1608</v>
      </c>
      <c r="F14" s="402"/>
      <c r="G14" s="403">
        <v>1</v>
      </c>
      <c r="H14" s="398"/>
    </row>
    <row r="15" spans="1:8" x14ac:dyDescent="0.2">
      <c r="A15" s="239" t="s">
        <v>351</v>
      </c>
      <c r="B15" s="399" t="s">
        <v>769</v>
      </c>
      <c r="C15" s="400" t="s">
        <v>770</v>
      </c>
      <c r="D15" s="401" t="s">
        <v>7</v>
      </c>
      <c r="E15" s="392" t="s">
        <v>1608</v>
      </c>
      <c r="F15" s="402"/>
      <c r="G15" s="403">
        <v>1</v>
      </c>
      <c r="H15" s="398"/>
    </row>
    <row r="16" spans="1:8" x14ac:dyDescent="0.2">
      <c r="A16" s="239" t="s">
        <v>351</v>
      </c>
      <c r="B16" s="399" t="s">
        <v>771</v>
      </c>
      <c r="C16" s="400" t="s">
        <v>772</v>
      </c>
      <c r="D16" s="401" t="s">
        <v>76</v>
      </c>
      <c r="E16" s="392" t="s">
        <v>1608</v>
      </c>
      <c r="F16" s="402"/>
      <c r="G16" s="403">
        <v>1</v>
      </c>
      <c r="H16" s="398"/>
    </row>
    <row r="17" spans="1:8" x14ac:dyDescent="0.2">
      <c r="A17" s="239" t="s">
        <v>351</v>
      </c>
      <c r="B17" s="399" t="s">
        <v>773</v>
      </c>
      <c r="C17" s="400" t="s">
        <v>774</v>
      </c>
      <c r="D17" s="401" t="s">
        <v>76</v>
      </c>
      <c r="E17" s="392" t="s">
        <v>1608</v>
      </c>
      <c r="F17" s="402"/>
      <c r="G17" s="403">
        <v>1</v>
      </c>
      <c r="H17" s="398"/>
    </row>
    <row r="18" spans="1:8" x14ac:dyDescent="0.2">
      <c r="A18" s="239" t="s">
        <v>351</v>
      </c>
      <c r="B18" s="399" t="s">
        <v>775</v>
      </c>
      <c r="C18" s="400" t="s">
        <v>776</v>
      </c>
      <c r="D18" s="401" t="s">
        <v>76</v>
      </c>
      <c r="E18" s="405" t="s">
        <v>1617</v>
      </c>
      <c r="F18" s="402"/>
      <c r="G18" s="403">
        <v>0</v>
      </c>
      <c r="H18" s="398"/>
    </row>
    <row r="19" spans="1:8" x14ac:dyDescent="0.2">
      <c r="A19" s="239" t="s">
        <v>351</v>
      </c>
      <c r="B19" s="399" t="s">
        <v>777</v>
      </c>
      <c r="C19" s="400" t="s">
        <v>778</v>
      </c>
      <c r="D19" s="401" t="s">
        <v>76</v>
      </c>
      <c r="E19" s="392" t="s">
        <v>1608</v>
      </c>
      <c r="F19" s="402"/>
      <c r="G19" s="403">
        <v>1</v>
      </c>
      <c r="H19" s="398"/>
    </row>
    <row r="20" spans="1:8" x14ac:dyDescent="0.2">
      <c r="A20" s="239" t="s">
        <v>351</v>
      </c>
      <c r="B20" s="399" t="s">
        <v>779</v>
      </c>
      <c r="C20" s="400" t="s">
        <v>780</v>
      </c>
      <c r="D20" s="401" t="s">
        <v>76</v>
      </c>
      <c r="E20" s="405" t="s">
        <v>1617</v>
      </c>
      <c r="F20" s="402"/>
      <c r="G20" s="403">
        <v>0</v>
      </c>
      <c r="H20" s="398"/>
    </row>
    <row r="21" spans="1:8" x14ac:dyDescent="0.2">
      <c r="A21" s="239" t="s">
        <v>351</v>
      </c>
      <c r="B21" s="399" t="s">
        <v>781</v>
      </c>
      <c r="C21" s="400" t="s">
        <v>782</v>
      </c>
      <c r="D21" s="401" t="s">
        <v>76</v>
      </c>
      <c r="E21" s="392" t="s">
        <v>1608</v>
      </c>
      <c r="F21" s="402"/>
      <c r="G21" s="403">
        <v>1</v>
      </c>
      <c r="H21" s="398"/>
    </row>
    <row r="22" spans="1:8" x14ac:dyDescent="0.2">
      <c r="A22" s="239" t="s">
        <v>351</v>
      </c>
      <c r="B22" s="399" t="s">
        <v>783</v>
      </c>
      <c r="C22" s="400" t="s">
        <v>784</v>
      </c>
      <c r="D22" s="401" t="s">
        <v>76</v>
      </c>
      <c r="E22" s="392" t="s">
        <v>1608</v>
      </c>
      <c r="F22" s="402"/>
      <c r="G22" s="403">
        <v>1</v>
      </c>
      <c r="H22" s="398"/>
    </row>
    <row r="23" spans="1:8" x14ac:dyDescent="0.2">
      <c r="A23" s="239" t="s">
        <v>351</v>
      </c>
      <c r="B23" s="399" t="s">
        <v>785</v>
      </c>
      <c r="C23" s="400" t="s">
        <v>786</v>
      </c>
      <c r="D23" s="401" t="s">
        <v>76</v>
      </c>
      <c r="E23" s="392" t="s">
        <v>1608</v>
      </c>
      <c r="F23" s="402"/>
      <c r="G23" s="403">
        <v>1</v>
      </c>
      <c r="H23" s="398"/>
    </row>
    <row r="24" spans="1:8" x14ac:dyDescent="0.2">
      <c r="A24" s="239" t="s">
        <v>351</v>
      </c>
      <c r="B24" s="399" t="s">
        <v>787</v>
      </c>
      <c r="C24" s="400" t="s">
        <v>788</v>
      </c>
      <c r="D24" s="401" t="s">
        <v>76</v>
      </c>
      <c r="E24" s="392" t="s">
        <v>1608</v>
      </c>
      <c r="F24" s="402"/>
      <c r="G24" s="403">
        <v>5</v>
      </c>
      <c r="H24" s="398"/>
    </row>
    <row r="25" spans="1:8" x14ac:dyDescent="0.2">
      <c r="A25" s="239" t="s">
        <v>351</v>
      </c>
      <c r="B25" s="399" t="s">
        <v>789</v>
      </c>
      <c r="C25" s="400" t="s">
        <v>790</v>
      </c>
      <c r="D25" s="401" t="s">
        <v>76</v>
      </c>
      <c r="E25" s="392" t="s">
        <v>1608</v>
      </c>
      <c r="F25" s="402"/>
      <c r="G25" s="403">
        <v>2</v>
      </c>
      <c r="H25" s="398"/>
    </row>
    <row r="26" spans="1:8" x14ac:dyDescent="0.2">
      <c r="A26" s="239" t="s">
        <v>351</v>
      </c>
      <c r="B26" s="399" t="s">
        <v>791</v>
      </c>
      <c r="C26" s="400" t="s">
        <v>792</v>
      </c>
      <c r="D26" s="401" t="s">
        <v>76</v>
      </c>
      <c r="E26" s="405" t="s">
        <v>1617</v>
      </c>
      <c r="F26" s="402"/>
      <c r="G26" s="403">
        <v>0</v>
      </c>
      <c r="H26" s="398"/>
    </row>
    <row r="27" spans="1:8" x14ac:dyDescent="0.2">
      <c r="A27" s="239" t="s">
        <v>351</v>
      </c>
      <c r="B27" s="399" t="s">
        <v>793</v>
      </c>
      <c r="C27" s="400" t="s">
        <v>794</v>
      </c>
      <c r="D27" s="401" t="s">
        <v>76</v>
      </c>
      <c r="E27" s="392" t="s">
        <v>1608</v>
      </c>
      <c r="F27" s="402"/>
      <c r="G27" s="403">
        <v>1</v>
      </c>
      <c r="H27" s="398"/>
    </row>
    <row r="28" spans="1:8" x14ac:dyDescent="0.2">
      <c r="A28" s="239" t="s">
        <v>351</v>
      </c>
      <c r="B28" s="399" t="s">
        <v>795</v>
      </c>
      <c r="C28" s="400" t="s">
        <v>796</v>
      </c>
      <c r="D28" s="401" t="s">
        <v>76</v>
      </c>
      <c r="E28" s="392" t="s">
        <v>1608</v>
      </c>
      <c r="F28" s="402"/>
      <c r="G28" s="403">
        <v>2</v>
      </c>
      <c r="H28" s="398"/>
    </row>
    <row r="29" spans="1:8" x14ac:dyDescent="0.2">
      <c r="A29" s="239" t="s">
        <v>351</v>
      </c>
      <c r="B29" s="399" t="s">
        <v>797</v>
      </c>
      <c r="C29" s="400" t="s">
        <v>798</v>
      </c>
      <c r="D29" s="401" t="s">
        <v>76</v>
      </c>
      <c r="E29" s="392" t="s">
        <v>1608</v>
      </c>
      <c r="F29" s="402"/>
      <c r="G29" s="403">
        <v>1</v>
      </c>
      <c r="H29" s="398"/>
    </row>
    <row r="30" spans="1:8" x14ac:dyDescent="0.2">
      <c r="A30" s="239" t="s">
        <v>351</v>
      </c>
      <c r="B30" s="399" t="s">
        <v>799</v>
      </c>
      <c r="C30" s="400" t="s">
        <v>800</v>
      </c>
      <c r="D30" s="401" t="s">
        <v>76</v>
      </c>
      <c r="E30" s="392" t="s">
        <v>1608</v>
      </c>
      <c r="F30" s="402"/>
      <c r="G30" s="403">
        <v>2</v>
      </c>
      <c r="H30" s="398"/>
    </row>
    <row r="31" spans="1:8" x14ac:dyDescent="0.2">
      <c r="A31" s="239" t="s">
        <v>351</v>
      </c>
      <c r="B31" s="399" t="s">
        <v>801</v>
      </c>
      <c r="C31" s="400" t="s">
        <v>802</v>
      </c>
      <c r="D31" s="401" t="s">
        <v>76</v>
      </c>
      <c r="E31" s="392" t="s">
        <v>1608</v>
      </c>
      <c r="F31" s="402"/>
      <c r="G31" s="403">
        <v>1</v>
      </c>
      <c r="H31" s="398"/>
    </row>
    <row r="32" spans="1:8" x14ac:dyDescent="0.2">
      <c r="A32" s="239" t="s">
        <v>351</v>
      </c>
      <c r="B32" s="399" t="s">
        <v>803</v>
      </c>
      <c r="C32" s="400" t="s">
        <v>804</v>
      </c>
      <c r="D32" s="401" t="s">
        <v>76</v>
      </c>
      <c r="E32" s="405" t="s">
        <v>1608</v>
      </c>
      <c r="F32" s="402"/>
      <c r="G32" s="403">
        <v>0</v>
      </c>
      <c r="H32" s="398" t="s">
        <v>1752</v>
      </c>
    </row>
    <row r="33" spans="1:8" x14ac:dyDescent="0.2">
      <c r="A33" s="239" t="s">
        <v>351</v>
      </c>
      <c r="B33" s="399" t="s">
        <v>805</v>
      </c>
      <c r="C33" s="400" t="s">
        <v>806</v>
      </c>
      <c r="D33" s="401" t="s">
        <v>76</v>
      </c>
      <c r="E33" s="392" t="s">
        <v>1608</v>
      </c>
      <c r="F33" s="402"/>
      <c r="G33" s="403">
        <v>7</v>
      </c>
      <c r="H33" s="398"/>
    </row>
    <row r="34" spans="1:8" x14ac:dyDescent="0.2">
      <c r="A34" s="239" t="s">
        <v>351</v>
      </c>
      <c r="B34" s="399" t="s">
        <v>807</v>
      </c>
      <c r="C34" s="400" t="s">
        <v>808</v>
      </c>
      <c r="D34" s="401" t="s">
        <v>76</v>
      </c>
      <c r="E34" s="405" t="s">
        <v>1617</v>
      </c>
      <c r="F34" s="402"/>
      <c r="G34" s="403">
        <v>0</v>
      </c>
      <c r="H34" s="398"/>
    </row>
    <row r="35" spans="1:8" x14ac:dyDescent="0.2">
      <c r="A35" s="239" t="s">
        <v>351</v>
      </c>
      <c r="B35" s="399" t="s">
        <v>809</v>
      </c>
      <c r="C35" s="400" t="s">
        <v>810</v>
      </c>
      <c r="D35" s="401" t="s">
        <v>76</v>
      </c>
      <c r="E35" s="392" t="s">
        <v>1608</v>
      </c>
      <c r="F35" s="402"/>
      <c r="G35" s="403">
        <v>1</v>
      </c>
      <c r="H35" s="398"/>
    </row>
    <row r="36" spans="1:8" x14ac:dyDescent="0.2">
      <c r="A36" s="239" t="s">
        <v>351</v>
      </c>
      <c r="B36" s="399" t="s">
        <v>811</v>
      </c>
      <c r="C36" s="400" t="s">
        <v>812</v>
      </c>
      <c r="D36" s="401" t="s">
        <v>76</v>
      </c>
      <c r="E36" s="392" t="s">
        <v>1608</v>
      </c>
      <c r="F36" s="402"/>
      <c r="G36" s="403">
        <v>1</v>
      </c>
      <c r="H36" s="398"/>
    </row>
    <row r="37" spans="1:8" x14ac:dyDescent="0.2">
      <c r="A37" s="239" t="s">
        <v>351</v>
      </c>
      <c r="B37" s="399" t="s">
        <v>813</v>
      </c>
      <c r="C37" s="400" t="s">
        <v>814</v>
      </c>
      <c r="D37" s="401" t="s">
        <v>76</v>
      </c>
      <c r="E37" s="392" t="s">
        <v>1608</v>
      </c>
      <c r="F37" s="402"/>
      <c r="G37" s="403">
        <v>1</v>
      </c>
      <c r="H37" s="398"/>
    </row>
    <row r="38" spans="1:8" x14ac:dyDescent="0.2">
      <c r="A38" s="239" t="s">
        <v>351</v>
      </c>
      <c r="B38" s="399" t="s">
        <v>815</v>
      </c>
      <c r="C38" s="400" t="s">
        <v>816</v>
      </c>
      <c r="D38" s="401" t="s">
        <v>76</v>
      </c>
      <c r="E38" s="392" t="s">
        <v>1608</v>
      </c>
      <c r="F38" s="402"/>
      <c r="G38" s="403">
        <v>1</v>
      </c>
      <c r="H38" s="398"/>
    </row>
    <row r="39" spans="1:8" x14ac:dyDescent="0.2">
      <c r="A39" s="239" t="s">
        <v>351</v>
      </c>
      <c r="B39" s="399" t="s">
        <v>817</v>
      </c>
      <c r="C39" s="400" t="s">
        <v>818</v>
      </c>
      <c r="D39" s="401" t="s">
        <v>76</v>
      </c>
      <c r="E39" s="405" t="s">
        <v>1617</v>
      </c>
      <c r="F39" s="402"/>
      <c r="G39" s="403">
        <v>0</v>
      </c>
      <c r="H39" s="398"/>
    </row>
    <row r="40" spans="1:8" x14ac:dyDescent="0.2">
      <c r="A40" s="239" t="s">
        <v>351</v>
      </c>
      <c r="B40" s="399" t="s">
        <v>819</v>
      </c>
      <c r="C40" s="400" t="s">
        <v>820</v>
      </c>
      <c r="D40" s="401" t="s">
        <v>76</v>
      </c>
      <c r="E40" s="392" t="s">
        <v>1608</v>
      </c>
      <c r="F40" s="402"/>
      <c r="G40" s="403">
        <v>1</v>
      </c>
      <c r="H40" s="398"/>
    </row>
    <row r="41" spans="1:8" x14ac:dyDescent="0.2">
      <c r="A41" s="239" t="s">
        <v>351</v>
      </c>
      <c r="B41" s="399" t="s">
        <v>821</v>
      </c>
      <c r="C41" s="400" t="s">
        <v>822</v>
      </c>
      <c r="D41" s="401" t="s">
        <v>76</v>
      </c>
      <c r="E41" s="392" t="s">
        <v>1608</v>
      </c>
      <c r="F41" s="402"/>
      <c r="G41" s="403">
        <v>2</v>
      </c>
      <c r="H41" s="398"/>
    </row>
    <row r="42" spans="1:8" x14ac:dyDescent="0.2">
      <c r="A42" s="239" t="s">
        <v>351</v>
      </c>
      <c r="B42" s="399" t="s">
        <v>823</v>
      </c>
      <c r="C42" s="400" t="s">
        <v>824</v>
      </c>
      <c r="D42" s="401" t="s">
        <v>76</v>
      </c>
      <c r="E42" s="405" t="s">
        <v>1617</v>
      </c>
      <c r="F42" s="402"/>
      <c r="G42" s="403">
        <v>0</v>
      </c>
      <c r="H42" s="398"/>
    </row>
    <row r="43" spans="1:8" x14ac:dyDescent="0.2">
      <c r="A43" s="239" t="s">
        <v>351</v>
      </c>
      <c r="B43" s="399" t="s">
        <v>825</v>
      </c>
      <c r="C43" s="400" t="s">
        <v>826</v>
      </c>
      <c r="D43" s="401" t="s">
        <v>76</v>
      </c>
      <c r="E43" s="392" t="s">
        <v>1608</v>
      </c>
      <c r="F43" s="402"/>
      <c r="G43" s="403">
        <v>1</v>
      </c>
      <c r="H43" s="398"/>
    </row>
    <row r="44" spans="1:8" x14ac:dyDescent="0.2">
      <c r="A44" s="239" t="s">
        <v>351</v>
      </c>
      <c r="B44" s="399" t="s">
        <v>827</v>
      </c>
      <c r="C44" s="400" t="s">
        <v>828</v>
      </c>
      <c r="D44" s="401" t="s">
        <v>76</v>
      </c>
      <c r="E44" s="392" t="s">
        <v>1608</v>
      </c>
      <c r="F44" s="402"/>
      <c r="G44" s="403">
        <v>2</v>
      </c>
      <c r="H44" s="398"/>
    </row>
    <row r="45" spans="1:8" x14ac:dyDescent="0.2">
      <c r="A45" s="239" t="s">
        <v>351</v>
      </c>
      <c r="B45" s="399" t="s">
        <v>829</v>
      </c>
      <c r="C45" s="400" t="s">
        <v>830</v>
      </c>
      <c r="D45" s="401" t="s">
        <v>76</v>
      </c>
      <c r="E45" s="405" t="s">
        <v>1617</v>
      </c>
      <c r="F45" s="402"/>
      <c r="G45" s="403">
        <v>0</v>
      </c>
      <c r="H45" s="398"/>
    </row>
    <row r="46" spans="1:8" x14ac:dyDescent="0.2">
      <c r="A46" s="239" t="s">
        <v>351</v>
      </c>
      <c r="B46" s="399" t="s">
        <v>831</v>
      </c>
      <c r="C46" s="400" t="s">
        <v>832</v>
      </c>
      <c r="D46" s="401" t="s">
        <v>76</v>
      </c>
      <c r="E46" s="405" t="s">
        <v>1617</v>
      </c>
      <c r="F46" s="402"/>
      <c r="G46" s="403">
        <v>0</v>
      </c>
      <c r="H46" s="398"/>
    </row>
    <row r="47" spans="1:8" x14ac:dyDescent="0.2">
      <c r="A47" s="239" t="s">
        <v>351</v>
      </c>
      <c r="B47" s="399" t="s">
        <v>833</v>
      </c>
      <c r="C47" s="400" t="s">
        <v>834</v>
      </c>
      <c r="D47" s="401" t="s">
        <v>76</v>
      </c>
      <c r="E47" s="392" t="s">
        <v>1608</v>
      </c>
      <c r="F47" s="402"/>
      <c r="G47" s="403">
        <v>1</v>
      </c>
      <c r="H47" s="398"/>
    </row>
    <row r="48" spans="1:8" x14ac:dyDescent="0.2">
      <c r="A48" s="239" t="s">
        <v>351</v>
      </c>
      <c r="B48" s="399" t="s">
        <v>835</v>
      </c>
      <c r="C48" s="400" t="s">
        <v>836</v>
      </c>
      <c r="D48" s="401" t="s">
        <v>76</v>
      </c>
      <c r="E48" s="392" t="s">
        <v>1608</v>
      </c>
      <c r="F48" s="402"/>
      <c r="G48" s="403">
        <v>1</v>
      </c>
      <c r="H48" s="398"/>
    </row>
    <row r="49" spans="1:8" x14ac:dyDescent="0.2">
      <c r="A49" s="239" t="s">
        <v>351</v>
      </c>
      <c r="B49" s="399" t="s">
        <v>837</v>
      </c>
      <c r="C49" s="400" t="s">
        <v>838</v>
      </c>
      <c r="D49" s="401" t="s">
        <v>76</v>
      </c>
      <c r="E49" s="392" t="s">
        <v>1608</v>
      </c>
      <c r="F49" s="402"/>
      <c r="G49" s="403">
        <v>1</v>
      </c>
      <c r="H49" s="398"/>
    </row>
    <row r="50" spans="1:8" x14ac:dyDescent="0.2">
      <c r="A50" s="239" t="s">
        <v>351</v>
      </c>
      <c r="B50" s="399" t="s">
        <v>839</v>
      </c>
      <c r="C50" s="400" t="s">
        <v>840</v>
      </c>
      <c r="D50" s="401" t="s">
        <v>76</v>
      </c>
      <c r="E50" s="392" t="s">
        <v>1608</v>
      </c>
      <c r="F50" s="402"/>
      <c r="G50" s="403">
        <v>2</v>
      </c>
      <c r="H50" s="398"/>
    </row>
    <row r="51" spans="1:8" x14ac:dyDescent="0.2">
      <c r="A51" s="239" t="s">
        <v>351</v>
      </c>
      <c r="B51" s="399" t="s">
        <v>841</v>
      </c>
      <c r="C51" s="400" t="s">
        <v>842</v>
      </c>
      <c r="D51" s="401" t="s">
        <v>76</v>
      </c>
      <c r="E51" s="392" t="s">
        <v>1608</v>
      </c>
      <c r="F51" s="402"/>
      <c r="G51" s="403">
        <v>1</v>
      </c>
      <c r="H51" s="398"/>
    </row>
    <row r="52" spans="1:8" x14ac:dyDescent="0.2">
      <c r="A52" s="239" t="s">
        <v>351</v>
      </c>
      <c r="B52" s="399" t="s">
        <v>843</v>
      </c>
      <c r="C52" s="400" t="s">
        <v>844</v>
      </c>
      <c r="D52" s="401" t="s">
        <v>76</v>
      </c>
      <c r="E52" s="405" t="s">
        <v>1617</v>
      </c>
      <c r="F52" s="402"/>
      <c r="G52" s="403">
        <v>0</v>
      </c>
      <c r="H52" s="398" t="s">
        <v>1618</v>
      </c>
    </row>
    <row r="53" spans="1:8" x14ac:dyDescent="0.2">
      <c r="A53" s="239" t="s">
        <v>351</v>
      </c>
      <c r="B53" s="399" t="s">
        <v>845</v>
      </c>
      <c r="C53" s="400" t="s">
        <v>846</v>
      </c>
      <c r="D53" s="401" t="s">
        <v>76</v>
      </c>
      <c r="E53" s="405" t="s">
        <v>1617</v>
      </c>
      <c r="F53" s="402"/>
      <c r="G53" s="403">
        <v>0</v>
      </c>
      <c r="H53" s="398" t="s">
        <v>1618</v>
      </c>
    </row>
    <row r="54" spans="1:8" x14ac:dyDescent="0.2">
      <c r="A54" s="239" t="s">
        <v>351</v>
      </c>
      <c r="B54" s="399" t="s">
        <v>847</v>
      </c>
      <c r="C54" s="400" t="s">
        <v>848</v>
      </c>
      <c r="D54" s="401" t="s">
        <v>76</v>
      </c>
      <c r="E54" s="392" t="s">
        <v>1608</v>
      </c>
      <c r="F54" s="402"/>
      <c r="G54" s="403">
        <v>2</v>
      </c>
      <c r="H54" s="398"/>
    </row>
    <row r="55" spans="1:8" x14ac:dyDescent="0.2">
      <c r="A55" s="239" t="s">
        <v>351</v>
      </c>
      <c r="B55" s="399" t="s">
        <v>849</v>
      </c>
      <c r="C55" s="400" t="s">
        <v>850</v>
      </c>
      <c r="D55" s="401" t="s">
        <v>76</v>
      </c>
      <c r="E55" s="405" t="s">
        <v>1617</v>
      </c>
      <c r="F55" s="402"/>
      <c r="G55" s="403">
        <v>0</v>
      </c>
      <c r="H55" s="398" t="s">
        <v>1618</v>
      </c>
    </row>
    <row r="56" spans="1:8" x14ac:dyDescent="0.2">
      <c r="A56" s="239" t="s">
        <v>351</v>
      </c>
      <c r="B56" s="399" t="s">
        <v>1619</v>
      </c>
      <c r="C56" s="400" t="s">
        <v>1620</v>
      </c>
      <c r="D56" s="401" t="s">
        <v>76</v>
      </c>
      <c r="E56" s="392" t="s">
        <v>1608</v>
      </c>
      <c r="F56" s="402"/>
      <c r="G56" s="403">
        <v>4</v>
      </c>
      <c r="H56" s="398"/>
    </row>
    <row r="57" spans="1:8" x14ac:dyDescent="0.2">
      <c r="A57" s="239" t="s">
        <v>351</v>
      </c>
      <c r="B57" s="399" t="s">
        <v>851</v>
      </c>
      <c r="C57" s="400" t="s">
        <v>852</v>
      </c>
      <c r="D57" s="401" t="s">
        <v>76</v>
      </c>
      <c r="E57" s="392" t="s">
        <v>1608</v>
      </c>
      <c r="F57" s="402"/>
      <c r="G57" s="403">
        <v>2</v>
      </c>
      <c r="H57" s="398"/>
    </row>
    <row r="58" spans="1:8" x14ac:dyDescent="0.2">
      <c r="A58" s="239" t="s">
        <v>351</v>
      </c>
      <c r="B58" s="399" t="s">
        <v>853</v>
      </c>
      <c r="C58" s="400" t="s">
        <v>854</v>
      </c>
      <c r="D58" s="401" t="s">
        <v>76</v>
      </c>
      <c r="E58" s="405" t="s">
        <v>1617</v>
      </c>
      <c r="F58" s="402"/>
      <c r="G58" s="403">
        <v>0</v>
      </c>
      <c r="H58" s="398" t="s">
        <v>1618</v>
      </c>
    </row>
    <row r="59" spans="1:8" x14ac:dyDescent="0.2">
      <c r="A59" s="239" t="s">
        <v>351</v>
      </c>
      <c r="B59" s="399" t="s">
        <v>855</v>
      </c>
      <c r="C59" s="400" t="s">
        <v>856</v>
      </c>
      <c r="D59" s="401" t="s">
        <v>76</v>
      </c>
      <c r="E59" s="392" t="s">
        <v>1608</v>
      </c>
      <c r="F59" s="402"/>
      <c r="G59" s="403">
        <v>2</v>
      </c>
      <c r="H59" s="398"/>
    </row>
    <row r="60" spans="1:8" x14ac:dyDescent="0.2">
      <c r="A60" s="239" t="s">
        <v>351</v>
      </c>
      <c r="B60" s="399" t="s">
        <v>857</v>
      </c>
      <c r="C60" s="400" t="s">
        <v>858</v>
      </c>
      <c r="D60" s="401" t="s">
        <v>76</v>
      </c>
      <c r="E60" s="405" t="s">
        <v>1617</v>
      </c>
      <c r="F60" s="402"/>
      <c r="G60" s="403">
        <v>0</v>
      </c>
      <c r="H60" s="398" t="s">
        <v>1618</v>
      </c>
    </row>
    <row r="61" spans="1:8" x14ac:dyDescent="0.2">
      <c r="A61" s="239" t="s">
        <v>351</v>
      </c>
      <c r="B61" s="399"/>
      <c r="C61" s="400" t="s">
        <v>859</v>
      </c>
      <c r="D61" s="401" t="s">
        <v>860</v>
      </c>
      <c r="E61" s="392" t="s">
        <v>1608</v>
      </c>
      <c r="F61" s="402"/>
      <c r="G61" s="403">
        <v>1</v>
      </c>
      <c r="H61" s="398"/>
    </row>
    <row r="62" spans="1:8" x14ac:dyDescent="0.2">
      <c r="A62" s="239" t="s">
        <v>351</v>
      </c>
      <c r="B62" s="399"/>
      <c r="C62" s="400" t="s">
        <v>861</v>
      </c>
      <c r="D62" s="401" t="s">
        <v>860</v>
      </c>
      <c r="E62" s="392" t="s">
        <v>1608</v>
      </c>
      <c r="F62" s="402"/>
      <c r="G62" s="403">
        <v>1</v>
      </c>
      <c r="H62" s="398"/>
    </row>
    <row r="63" spans="1:8" x14ac:dyDescent="0.2">
      <c r="A63" s="239" t="s">
        <v>351</v>
      </c>
      <c r="B63" s="399"/>
      <c r="C63" s="400" t="s">
        <v>862</v>
      </c>
      <c r="D63" s="401" t="s">
        <v>426</v>
      </c>
      <c r="E63" s="405" t="s">
        <v>1617</v>
      </c>
      <c r="F63" s="402"/>
      <c r="G63" s="403">
        <v>0</v>
      </c>
      <c r="H63" s="398"/>
    </row>
    <row r="64" spans="1:8" x14ac:dyDescent="0.2">
      <c r="A64" s="239" t="s">
        <v>351</v>
      </c>
      <c r="B64" s="399"/>
      <c r="C64" s="400" t="s">
        <v>863</v>
      </c>
      <c r="D64" s="401" t="s">
        <v>426</v>
      </c>
      <c r="E64" s="405" t="s">
        <v>1617</v>
      </c>
      <c r="F64" s="402"/>
      <c r="G64" s="403">
        <v>0</v>
      </c>
      <c r="H64" s="398"/>
    </row>
    <row r="65" spans="1:8" x14ac:dyDescent="0.2">
      <c r="A65" s="239" t="s">
        <v>351</v>
      </c>
      <c r="B65" s="399"/>
      <c r="C65" s="400" t="s">
        <v>864</v>
      </c>
      <c r="D65" s="401" t="s">
        <v>426</v>
      </c>
      <c r="E65" s="405" t="s">
        <v>1617</v>
      </c>
      <c r="F65" s="402"/>
      <c r="G65" s="403">
        <v>0</v>
      </c>
      <c r="H65" s="398"/>
    </row>
    <row r="66" spans="1:8" x14ac:dyDescent="0.2">
      <c r="A66" s="239" t="s">
        <v>351</v>
      </c>
      <c r="B66" s="399"/>
      <c r="C66" s="400" t="s">
        <v>865</v>
      </c>
      <c r="D66" s="401" t="s">
        <v>426</v>
      </c>
      <c r="E66" s="392" t="s">
        <v>1608</v>
      </c>
      <c r="F66" s="402"/>
      <c r="G66" s="403">
        <v>1</v>
      </c>
      <c r="H66" s="398"/>
    </row>
    <row r="67" spans="1:8" x14ac:dyDescent="0.2">
      <c r="A67" s="239"/>
      <c r="B67" s="399"/>
      <c r="C67" s="400"/>
      <c r="D67" s="401"/>
      <c r="E67" s="405"/>
      <c r="F67" s="402"/>
      <c r="G67" s="403"/>
      <c r="H67" s="398"/>
    </row>
    <row r="68" spans="1:8" x14ac:dyDescent="0.2">
      <c r="A68" s="406" t="s">
        <v>351</v>
      </c>
      <c r="B68" s="407" t="s">
        <v>1621</v>
      </c>
      <c r="C68" s="407" t="s">
        <v>1622</v>
      </c>
      <c r="D68" s="408" t="s">
        <v>76</v>
      </c>
      <c r="E68" s="408" t="s">
        <v>1608</v>
      </c>
      <c r="F68" s="409"/>
      <c r="G68" s="403">
        <v>1</v>
      </c>
      <c r="H68" s="398"/>
    </row>
    <row r="69" spans="1:8" x14ac:dyDescent="0.2">
      <c r="A69" s="406" t="s">
        <v>351</v>
      </c>
      <c r="B69" s="407" t="s">
        <v>1623</v>
      </c>
      <c r="C69" s="407" t="s">
        <v>1624</v>
      </c>
      <c r="D69" s="408" t="s">
        <v>76</v>
      </c>
      <c r="E69" s="408" t="s">
        <v>1608</v>
      </c>
      <c r="F69" s="409"/>
      <c r="G69" s="403">
        <v>1</v>
      </c>
      <c r="H69" s="398"/>
    </row>
    <row r="70" spans="1:8" x14ac:dyDescent="0.2">
      <c r="A70" s="406" t="s">
        <v>351</v>
      </c>
      <c r="B70" s="407" t="s">
        <v>1625</v>
      </c>
      <c r="C70" s="407" t="s">
        <v>1626</v>
      </c>
      <c r="D70" s="408" t="s">
        <v>76</v>
      </c>
      <c r="E70" s="408" t="s">
        <v>1608</v>
      </c>
      <c r="F70" s="409"/>
      <c r="G70" s="403">
        <v>2</v>
      </c>
      <c r="H70" s="398"/>
    </row>
    <row r="71" spans="1:8" x14ac:dyDescent="0.2">
      <c r="A71" s="406" t="s">
        <v>351</v>
      </c>
      <c r="B71" s="407" t="s">
        <v>1627</v>
      </c>
      <c r="C71" s="407" t="s">
        <v>1628</v>
      </c>
      <c r="D71" s="408" t="s">
        <v>76</v>
      </c>
      <c r="E71" s="408" t="s">
        <v>1608</v>
      </c>
      <c r="F71" s="409"/>
      <c r="G71" s="403">
        <v>5</v>
      </c>
      <c r="H71" s="398"/>
    </row>
    <row r="72" spans="1:8" x14ac:dyDescent="0.2">
      <c r="A72" s="406" t="s">
        <v>351</v>
      </c>
      <c r="B72" s="407" t="s">
        <v>1629</v>
      </c>
      <c r="C72" s="407" t="s">
        <v>1630</v>
      </c>
      <c r="D72" s="408" t="s">
        <v>76</v>
      </c>
      <c r="E72" s="408" t="s">
        <v>1608</v>
      </c>
      <c r="F72" s="409"/>
      <c r="G72" s="403">
        <v>1</v>
      </c>
      <c r="H72" s="398"/>
    </row>
    <row r="73" spans="1:8" x14ac:dyDescent="0.2">
      <c r="A73" s="406" t="s">
        <v>351</v>
      </c>
      <c r="B73" s="407" t="s">
        <v>1631</v>
      </c>
      <c r="C73" s="407" t="s">
        <v>1632</v>
      </c>
      <c r="D73" s="408" t="s">
        <v>76</v>
      </c>
      <c r="E73" s="408" t="s">
        <v>1608</v>
      </c>
      <c r="F73" s="409"/>
      <c r="G73" s="403">
        <v>1</v>
      </c>
      <c r="H73" s="398"/>
    </row>
    <row r="74" spans="1:8" x14ac:dyDescent="0.2">
      <c r="A74" s="406" t="s">
        <v>351</v>
      </c>
      <c r="B74" s="407" t="s">
        <v>1633</v>
      </c>
      <c r="C74" s="407" t="s">
        <v>1634</v>
      </c>
      <c r="D74" s="408" t="s">
        <v>76</v>
      </c>
      <c r="E74" s="408" t="s">
        <v>1608</v>
      </c>
      <c r="F74" s="409"/>
      <c r="G74" s="403">
        <v>2</v>
      </c>
      <c r="H74" s="398"/>
    </row>
    <row r="75" spans="1:8" x14ac:dyDescent="0.2">
      <c r="A75" s="406" t="s">
        <v>351</v>
      </c>
      <c r="B75" s="407" t="s">
        <v>1635</v>
      </c>
      <c r="C75" s="407" t="s">
        <v>1636</v>
      </c>
      <c r="D75" s="408" t="s">
        <v>76</v>
      </c>
      <c r="E75" s="408" t="s">
        <v>1608</v>
      </c>
      <c r="F75" s="409"/>
      <c r="G75" s="403">
        <v>1</v>
      </c>
      <c r="H75" s="398"/>
    </row>
    <row r="76" spans="1:8" x14ac:dyDescent="0.2">
      <c r="A76" s="406" t="s">
        <v>351</v>
      </c>
      <c r="B76" s="407" t="s">
        <v>1637</v>
      </c>
      <c r="C76" s="407" t="s">
        <v>1638</v>
      </c>
      <c r="D76" s="408" t="s">
        <v>76</v>
      </c>
      <c r="E76" s="408" t="s">
        <v>1608</v>
      </c>
      <c r="F76" s="409"/>
      <c r="G76" s="403">
        <v>1</v>
      </c>
      <c r="H76" s="398"/>
    </row>
    <row r="77" spans="1:8" x14ac:dyDescent="0.2">
      <c r="A77" s="406" t="s">
        <v>351</v>
      </c>
      <c r="B77" s="407" t="s">
        <v>1639</v>
      </c>
      <c r="C77" s="407" t="s">
        <v>1640</v>
      </c>
      <c r="D77" s="408" t="s">
        <v>76</v>
      </c>
      <c r="E77" s="408" t="s">
        <v>1608</v>
      </c>
      <c r="F77" s="409"/>
      <c r="G77" s="403">
        <v>1</v>
      </c>
      <c r="H77" s="398"/>
    </row>
    <row r="78" spans="1:8" x14ac:dyDescent="0.2">
      <c r="A78" s="406" t="s">
        <v>351</v>
      </c>
      <c r="B78" s="407" t="s">
        <v>1641</v>
      </c>
      <c r="C78" s="407" t="s">
        <v>1642</v>
      </c>
      <c r="D78" s="408" t="s">
        <v>76</v>
      </c>
      <c r="E78" s="408" t="s">
        <v>1608</v>
      </c>
      <c r="F78" s="409"/>
      <c r="G78" s="403">
        <v>1</v>
      </c>
      <c r="H78" s="398"/>
    </row>
    <row r="79" spans="1:8" x14ac:dyDescent="0.2">
      <c r="A79" s="406" t="s">
        <v>351</v>
      </c>
      <c r="B79" s="407" t="s">
        <v>1643</v>
      </c>
      <c r="C79" s="407" t="s">
        <v>1644</v>
      </c>
      <c r="D79" s="408" t="s">
        <v>76</v>
      </c>
      <c r="E79" s="408" t="s">
        <v>1608</v>
      </c>
      <c r="F79" s="409"/>
      <c r="G79" s="403">
        <v>1</v>
      </c>
      <c r="H79" s="398"/>
    </row>
    <row r="80" spans="1:8" x14ac:dyDescent="0.2">
      <c r="A80" s="406" t="s">
        <v>351</v>
      </c>
      <c r="B80" s="407"/>
      <c r="C80" s="407" t="s">
        <v>1645</v>
      </c>
      <c r="D80" s="408" t="s">
        <v>7</v>
      </c>
      <c r="E80" s="408" t="s">
        <v>1608</v>
      </c>
      <c r="F80" s="409"/>
      <c r="G80" s="403">
        <v>2</v>
      </c>
      <c r="H80" s="398"/>
    </row>
    <row r="81" spans="1:8" x14ac:dyDescent="0.2">
      <c r="A81" s="406" t="s">
        <v>351</v>
      </c>
      <c r="B81" s="407" t="s">
        <v>1646</v>
      </c>
      <c r="C81" s="407" t="s">
        <v>1647</v>
      </c>
      <c r="D81" s="408" t="s">
        <v>76</v>
      </c>
      <c r="E81" s="408" t="s">
        <v>1608</v>
      </c>
      <c r="F81" s="409"/>
      <c r="G81" s="403">
        <v>1</v>
      </c>
      <c r="H81" s="398"/>
    </row>
    <row r="82" spans="1:8" x14ac:dyDescent="0.2">
      <c r="A82" s="406" t="s">
        <v>351</v>
      </c>
      <c r="B82" s="407"/>
      <c r="C82" s="407" t="s">
        <v>1648</v>
      </c>
      <c r="D82" s="408" t="s">
        <v>76</v>
      </c>
      <c r="E82" s="408" t="s">
        <v>1608</v>
      </c>
      <c r="F82" s="409"/>
      <c r="G82" s="403">
        <v>1</v>
      </c>
      <c r="H82" s="398"/>
    </row>
    <row r="83" spans="1:8" x14ac:dyDescent="0.2">
      <c r="A83" s="406" t="s">
        <v>351</v>
      </c>
      <c r="B83" s="407" t="s">
        <v>823</v>
      </c>
      <c r="C83" s="407" t="s">
        <v>1649</v>
      </c>
      <c r="D83" s="408" t="s">
        <v>426</v>
      </c>
      <c r="E83" s="408" t="s">
        <v>1608</v>
      </c>
      <c r="F83" s="409"/>
      <c r="G83" s="403">
        <v>1</v>
      </c>
      <c r="H83" s="398"/>
    </row>
    <row r="84" spans="1:8" x14ac:dyDescent="0.2">
      <c r="A84" s="406" t="s">
        <v>351</v>
      </c>
      <c r="B84" s="407" t="s">
        <v>1650</v>
      </c>
      <c r="C84" s="407" t="s">
        <v>1651</v>
      </c>
      <c r="D84" s="408" t="s">
        <v>426</v>
      </c>
      <c r="E84" s="408" t="s">
        <v>1608</v>
      </c>
      <c r="F84" s="409"/>
      <c r="G84" s="403">
        <v>1</v>
      </c>
      <c r="H84" s="398"/>
    </row>
    <row r="85" spans="1:8" x14ac:dyDescent="0.2">
      <c r="A85" s="406" t="s">
        <v>351</v>
      </c>
      <c r="B85" s="407" t="s">
        <v>1652</v>
      </c>
      <c r="C85" s="407" t="s">
        <v>1653</v>
      </c>
      <c r="D85" s="408" t="s">
        <v>1654</v>
      </c>
      <c r="E85" s="408" t="s">
        <v>1608</v>
      </c>
      <c r="F85" s="409"/>
      <c r="G85" s="403">
        <v>1</v>
      </c>
      <c r="H85" s="398"/>
    </row>
    <row r="86" spans="1:8" x14ac:dyDescent="0.2">
      <c r="A86" s="406" t="s">
        <v>351</v>
      </c>
      <c r="B86" s="407" t="s">
        <v>1655</v>
      </c>
      <c r="C86" s="407" t="s">
        <v>1656</v>
      </c>
      <c r="D86" s="408" t="s">
        <v>1654</v>
      </c>
      <c r="E86" s="408" t="s">
        <v>1608</v>
      </c>
      <c r="F86" s="409"/>
      <c r="G86" s="403">
        <v>1</v>
      </c>
      <c r="H86" s="398"/>
    </row>
    <row r="87" spans="1:8" x14ac:dyDescent="0.2">
      <c r="A87" s="406" t="s">
        <v>351</v>
      </c>
      <c r="B87" s="407" t="s">
        <v>1657</v>
      </c>
      <c r="C87" s="407" t="s">
        <v>1658</v>
      </c>
      <c r="D87" s="408" t="s">
        <v>1654</v>
      </c>
      <c r="E87" s="408" t="s">
        <v>1608</v>
      </c>
      <c r="F87" s="409"/>
      <c r="G87" s="403">
        <v>1</v>
      </c>
      <c r="H87" s="398"/>
    </row>
    <row r="88" spans="1:8" x14ac:dyDescent="0.2">
      <c r="A88" s="406" t="s">
        <v>351</v>
      </c>
      <c r="B88" s="407"/>
      <c r="C88" s="407" t="s">
        <v>1767</v>
      </c>
      <c r="D88" s="408" t="s">
        <v>7</v>
      </c>
      <c r="E88" s="408" t="s">
        <v>1608</v>
      </c>
      <c r="F88" s="409"/>
      <c r="G88" s="403">
        <v>1</v>
      </c>
      <c r="H88" s="398"/>
    </row>
  </sheetData>
  <dataValidations count="1">
    <dataValidation type="textLength" showInputMessage="1" showErrorMessage="1" sqref="F6:G7">
      <formula1>0</formula1>
      <formula2>150</formula2>
    </dataValidation>
  </dataValidations>
  <pageMargins left="0.7" right="0.7" top="0.75" bottom="0.75" header="0.3" footer="0.3"/>
  <pageSetup paperSize="9" scale="86" fitToHeight="0" orientation="landscape"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pageSetUpPr fitToPage="1"/>
  </sheetPr>
  <dimension ref="A1:K11"/>
  <sheetViews>
    <sheetView topLeftCell="H1" zoomScaleNormal="100" workbookViewId="0">
      <selection activeCell="I25" sqref="I25"/>
    </sheetView>
  </sheetViews>
  <sheetFormatPr defaultColWidth="8.85546875" defaultRowHeight="12.75" x14ac:dyDescent="0.2"/>
  <cols>
    <col min="1" max="1" width="9" style="1" customWidth="1"/>
    <col min="2" max="2" width="9.28515625" style="1" customWidth="1"/>
    <col min="3" max="3" width="16.7109375" style="5" customWidth="1"/>
    <col min="4" max="4" width="12.140625" style="1" customWidth="1"/>
    <col min="5" max="5" width="11.85546875" style="1" customWidth="1"/>
    <col min="6" max="6" width="18.140625" style="1" customWidth="1"/>
    <col min="7" max="7" width="16" style="1" customWidth="1"/>
    <col min="8" max="8" width="54.5703125" style="1" customWidth="1"/>
    <col min="9" max="9" width="62.5703125" style="1" customWidth="1"/>
    <col min="10" max="10" width="35.140625" style="1" customWidth="1"/>
    <col min="11" max="11" width="44.85546875" style="1" customWidth="1"/>
    <col min="12" max="16384" width="8.85546875" style="1"/>
  </cols>
  <sheetData>
    <row r="1" spans="1:11" ht="13.5" thickBot="1" x14ac:dyDescent="0.25">
      <c r="A1" s="8" t="s">
        <v>181</v>
      </c>
    </row>
    <row r="2" spans="1:11" x14ac:dyDescent="0.2">
      <c r="A2" s="92"/>
      <c r="B2" s="46"/>
      <c r="C2" s="46"/>
      <c r="D2" s="46"/>
      <c r="E2" s="46"/>
      <c r="F2" s="46"/>
      <c r="G2" s="46"/>
      <c r="H2" s="46"/>
      <c r="I2" s="46"/>
      <c r="J2" s="100" t="s">
        <v>56</v>
      </c>
      <c r="K2" s="212" t="s">
        <v>50</v>
      </c>
    </row>
    <row r="3" spans="1:11" ht="13.5" thickBot="1" x14ac:dyDescent="0.25">
      <c r="A3" s="127"/>
      <c r="B3" s="126"/>
      <c r="C3" s="126"/>
      <c r="D3" s="126"/>
      <c r="E3" s="126"/>
      <c r="F3" s="126"/>
      <c r="G3" s="126"/>
      <c r="H3" s="126"/>
      <c r="I3" s="46"/>
      <c r="J3" s="430" t="s">
        <v>55</v>
      </c>
      <c r="K3" s="431">
        <v>2018</v>
      </c>
    </row>
    <row r="4" spans="1:11" ht="26.25" thickBot="1" x14ac:dyDescent="0.25">
      <c r="A4" s="168" t="s">
        <v>0</v>
      </c>
      <c r="B4" s="168" t="s">
        <v>1</v>
      </c>
      <c r="C4" s="168" t="s">
        <v>5</v>
      </c>
      <c r="D4" s="168" t="s">
        <v>182</v>
      </c>
      <c r="E4" s="168" t="s">
        <v>183</v>
      </c>
      <c r="F4" s="421" t="s">
        <v>184</v>
      </c>
      <c r="G4" s="421" t="s">
        <v>185</v>
      </c>
      <c r="H4" s="432" t="s">
        <v>186</v>
      </c>
      <c r="I4" s="433" t="s">
        <v>187</v>
      </c>
      <c r="J4" s="434" t="s">
        <v>4</v>
      </c>
      <c r="K4" s="422" t="s">
        <v>349</v>
      </c>
    </row>
    <row r="5" spans="1:11" ht="102" x14ac:dyDescent="0.2">
      <c r="A5" s="435" t="s">
        <v>351</v>
      </c>
      <c r="B5" s="436" t="s">
        <v>909</v>
      </c>
      <c r="C5" s="436" t="s">
        <v>76</v>
      </c>
      <c r="D5" s="436" t="s">
        <v>1673</v>
      </c>
      <c r="E5" s="437" t="s">
        <v>1674</v>
      </c>
      <c r="F5" s="438" t="s">
        <v>1675</v>
      </c>
      <c r="G5" s="439">
        <v>1</v>
      </c>
      <c r="H5" s="440" t="s">
        <v>1676</v>
      </c>
      <c r="I5" s="438"/>
      <c r="J5" s="441" t="s">
        <v>1677</v>
      </c>
      <c r="K5" s="442" t="s">
        <v>1678</v>
      </c>
    </row>
    <row r="6" spans="1:11" ht="140.25" x14ac:dyDescent="0.2">
      <c r="A6" s="438" t="s">
        <v>351</v>
      </c>
      <c r="B6" s="438" t="s">
        <v>1679</v>
      </c>
      <c r="C6" s="438" t="s">
        <v>76</v>
      </c>
      <c r="D6" s="438" t="s">
        <v>1673</v>
      </c>
      <c r="E6" s="438" t="s">
        <v>1610</v>
      </c>
      <c r="F6" s="438" t="s">
        <v>1680</v>
      </c>
      <c r="G6" s="438">
        <v>3</v>
      </c>
      <c r="H6" s="438" t="s">
        <v>1681</v>
      </c>
      <c r="I6" s="438" t="s">
        <v>1682</v>
      </c>
      <c r="J6" s="438" t="s">
        <v>1683</v>
      </c>
      <c r="K6" s="438" t="s">
        <v>1684</v>
      </c>
    </row>
    <row r="7" spans="1:11" ht="140.25" x14ac:dyDescent="0.2">
      <c r="A7" s="438" t="s">
        <v>351</v>
      </c>
      <c r="B7" s="438" t="s">
        <v>1685</v>
      </c>
      <c r="C7" s="438" t="s">
        <v>76</v>
      </c>
      <c r="D7" s="438" t="s">
        <v>1673</v>
      </c>
      <c r="E7" s="438" t="s">
        <v>1686</v>
      </c>
      <c r="F7" s="438" t="s">
        <v>1687</v>
      </c>
      <c r="G7" s="438">
        <v>4</v>
      </c>
      <c r="H7" s="438" t="s">
        <v>1688</v>
      </c>
      <c r="I7" s="438" t="s">
        <v>1689</v>
      </c>
      <c r="J7" s="438"/>
      <c r="K7" s="438" t="s">
        <v>1690</v>
      </c>
    </row>
    <row r="8" spans="1:11" ht="135" x14ac:dyDescent="0.2">
      <c r="A8" s="435" t="s">
        <v>351</v>
      </c>
      <c r="B8" s="438" t="s">
        <v>1679</v>
      </c>
      <c r="C8" s="438" t="s">
        <v>76</v>
      </c>
      <c r="D8" s="436" t="s">
        <v>1673</v>
      </c>
      <c r="E8" s="437" t="s">
        <v>1686</v>
      </c>
      <c r="F8" s="438" t="s">
        <v>1691</v>
      </c>
      <c r="G8" s="438">
        <v>10</v>
      </c>
      <c r="H8" s="443" t="s">
        <v>1692</v>
      </c>
      <c r="I8" s="443" t="s">
        <v>1693</v>
      </c>
      <c r="J8" s="438"/>
      <c r="K8" s="438" t="s">
        <v>1694</v>
      </c>
    </row>
    <row r="9" spans="1:11" ht="180" x14ac:dyDescent="0.2">
      <c r="A9" s="444" t="s">
        <v>351</v>
      </c>
      <c r="B9" s="444" t="s">
        <v>1679</v>
      </c>
      <c r="C9" s="444" t="s">
        <v>76</v>
      </c>
      <c r="D9" s="445" t="s">
        <v>1673</v>
      </c>
      <c r="E9" s="437" t="s">
        <v>1695</v>
      </c>
      <c r="F9" s="444" t="s">
        <v>1696</v>
      </c>
      <c r="G9" s="444">
        <v>2</v>
      </c>
      <c r="H9" s="446" t="s">
        <v>1697</v>
      </c>
      <c r="I9" s="446" t="s">
        <v>1698</v>
      </c>
      <c r="J9" s="444"/>
      <c r="K9" s="438" t="s">
        <v>1699</v>
      </c>
    </row>
    <row r="10" spans="1:11" ht="63.75" x14ac:dyDescent="0.2">
      <c r="A10" s="435" t="s">
        <v>351</v>
      </c>
      <c r="B10" s="438" t="s">
        <v>1679</v>
      </c>
      <c r="C10" s="438" t="s">
        <v>76</v>
      </c>
      <c r="D10" s="438" t="s">
        <v>769</v>
      </c>
      <c r="E10" s="438" t="s">
        <v>1700</v>
      </c>
      <c r="F10" s="438" t="s">
        <v>1701</v>
      </c>
      <c r="G10" s="438">
        <v>3</v>
      </c>
      <c r="H10" s="447" t="s">
        <v>1702</v>
      </c>
      <c r="I10" s="438" t="s">
        <v>1703</v>
      </c>
      <c r="J10" s="438"/>
      <c r="K10" s="438" t="s">
        <v>1768</v>
      </c>
    </row>
    <row r="11" spans="1:11" ht="76.5" x14ac:dyDescent="0.2">
      <c r="A11" s="435" t="s">
        <v>351</v>
      </c>
      <c r="B11" s="436" t="s">
        <v>909</v>
      </c>
      <c r="C11" s="444" t="s">
        <v>76</v>
      </c>
      <c r="D11" s="438" t="s">
        <v>1704</v>
      </c>
      <c r="E11" s="438" t="s">
        <v>1705</v>
      </c>
      <c r="F11" s="438" t="s">
        <v>1706</v>
      </c>
      <c r="G11" s="438">
        <v>2</v>
      </c>
      <c r="H11" s="447" t="s">
        <v>1707</v>
      </c>
      <c r="I11" s="438" t="s">
        <v>1708</v>
      </c>
      <c r="J11" s="438" t="s">
        <v>1709</v>
      </c>
      <c r="K11" s="515" t="s">
        <v>1769</v>
      </c>
    </row>
  </sheetData>
  <dataValidations count="1">
    <dataValidation type="textLength" showInputMessage="1" showErrorMessage="1" sqref="K5:K8 J7:J11">
      <formula1>0</formula1>
      <formula2>150</formula2>
    </dataValidation>
  </dataValidations>
  <pageMargins left="0.7" right="0.7" top="0.75" bottom="0.75" header="0.3" footer="0.3"/>
  <pageSetup paperSize="9" scale="64" fitToHeight="0" orientation="landscape"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pageSetUpPr fitToPage="1"/>
  </sheetPr>
  <dimension ref="A1:J11"/>
  <sheetViews>
    <sheetView topLeftCell="A4" zoomScale="70" zoomScaleNormal="70" workbookViewId="0">
      <selection activeCell="M8" sqref="M8"/>
    </sheetView>
  </sheetViews>
  <sheetFormatPr defaultColWidth="8.85546875" defaultRowHeight="12.75" x14ac:dyDescent="0.2"/>
  <cols>
    <col min="1" max="1" width="23.42578125" style="1" customWidth="1"/>
    <col min="2" max="2" width="23.140625" style="1" customWidth="1"/>
    <col min="3" max="3" width="15.5703125" style="1" customWidth="1"/>
    <col min="4" max="4" width="19" style="1" bestFit="1" customWidth="1"/>
    <col min="5" max="5" width="21.85546875" style="1" customWidth="1"/>
    <col min="6" max="6" width="18.85546875" style="1" bestFit="1" customWidth="1"/>
    <col min="7" max="7" width="24.140625" style="1" bestFit="1" customWidth="1"/>
    <col min="8" max="8" width="18.5703125" style="1" customWidth="1"/>
    <col min="9" max="9" width="17" style="1" customWidth="1"/>
    <col min="10" max="10" width="18.28515625" style="1" customWidth="1"/>
    <col min="11" max="16384" width="8.85546875" style="1"/>
  </cols>
  <sheetData>
    <row r="1" spans="1:10" x14ac:dyDescent="0.2">
      <c r="A1" s="31" t="s">
        <v>190</v>
      </c>
    </row>
    <row r="2" spans="1:10" ht="13.5" thickBot="1" x14ac:dyDescent="0.25">
      <c r="A2" s="31"/>
    </row>
    <row r="3" spans="1:10" x14ac:dyDescent="0.2">
      <c r="A3" s="31"/>
      <c r="I3" s="100" t="s">
        <v>56</v>
      </c>
      <c r="J3" s="212" t="s">
        <v>50</v>
      </c>
    </row>
    <row r="4" spans="1:10" ht="13.5" thickBot="1" x14ac:dyDescent="0.25">
      <c r="A4" s="92"/>
      <c r="B4" s="46"/>
      <c r="C4" s="46"/>
      <c r="D4" s="46"/>
      <c r="E4" s="46"/>
      <c r="F4" s="46"/>
      <c r="G4" s="46"/>
      <c r="H4" s="46"/>
      <c r="I4" s="80" t="s">
        <v>55</v>
      </c>
      <c r="J4" s="220">
        <v>2018</v>
      </c>
    </row>
    <row r="5" spans="1:10" ht="51.75" thickBot="1" x14ac:dyDescent="0.25">
      <c r="A5" s="104" t="s">
        <v>191</v>
      </c>
      <c r="B5" s="104" t="s">
        <v>192</v>
      </c>
      <c r="C5" s="104" t="s">
        <v>193</v>
      </c>
      <c r="D5" s="104" t="s">
        <v>194</v>
      </c>
      <c r="E5" s="104" t="s">
        <v>195</v>
      </c>
      <c r="F5" s="104" t="s">
        <v>196</v>
      </c>
      <c r="G5" s="104" t="s">
        <v>197</v>
      </c>
      <c r="H5" s="104" t="s">
        <v>198</v>
      </c>
      <c r="I5" s="86" t="s">
        <v>4</v>
      </c>
      <c r="J5" s="168" t="s">
        <v>201</v>
      </c>
    </row>
    <row r="6" spans="1:10" ht="331.5" x14ac:dyDescent="0.2">
      <c r="A6" s="223" t="s">
        <v>698</v>
      </c>
      <c r="B6" s="224" t="s">
        <v>699</v>
      </c>
      <c r="C6" s="225" t="s">
        <v>700</v>
      </c>
      <c r="D6" s="226" t="s">
        <v>199</v>
      </c>
      <c r="E6" s="226" t="s">
        <v>701</v>
      </c>
      <c r="F6" s="226" t="s">
        <v>702</v>
      </c>
      <c r="G6" s="226" t="s">
        <v>703</v>
      </c>
      <c r="H6" s="225" t="s">
        <v>704</v>
      </c>
      <c r="I6" s="225" t="s">
        <v>705</v>
      </c>
      <c r="J6" s="227" t="s">
        <v>706</v>
      </c>
    </row>
    <row r="7" spans="1:10" ht="331.5" x14ac:dyDescent="0.2">
      <c r="A7" s="75" t="s">
        <v>698</v>
      </c>
      <c r="B7" s="224" t="s">
        <v>699</v>
      </c>
      <c r="C7" s="225" t="s">
        <v>707</v>
      </c>
      <c r="D7" s="226" t="s">
        <v>199</v>
      </c>
      <c r="E7" s="226" t="s">
        <v>708</v>
      </c>
      <c r="F7" s="225" t="s">
        <v>709</v>
      </c>
      <c r="G7" s="226" t="s">
        <v>703</v>
      </c>
      <c r="H7" s="225" t="s">
        <v>704</v>
      </c>
      <c r="I7" s="225" t="s">
        <v>710</v>
      </c>
      <c r="J7" s="227" t="s">
        <v>706</v>
      </c>
    </row>
    <row r="8" spans="1:10" ht="331.5" x14ac:dyDescent="0.2">
      <c r="A8" s="226" t="s">
        <v>711</v>
      </c>
      <c r="B8" s="224" t="s">
        <v>712</v>
      </c>
      <c r="C8" s="226" t="s">
        <v>713</v>
      </c>
      <c r="D8" s="226"/>
      <c r="E8" s="226" t="s">
        <v>714</v>
      </c>
      <c r="F8" s="226" t="s">
        <v>715</v>
      </c>
      <c r="G8" s="226" t="s">
        <v>703</v>
      </c>
      <c r="H8" s="225" t="s">
        <v>704</v>
      </c>
      <c r="I8" s="226" t="s">
        <v>716</v>
      </c>
      <c r="J8" s="227" t="s">
        <v>706</v>
      </c>
    </row>
    <row r="9" spans="1:10" ht="357" x14ac:dyDescent="0.2">
      <c r="A9" s="226" t="s">
        <v>717</v>
      </c>
      <c r="B9" s="225" t="s">
        <v>718</v>
      </c>
      <c r="C9" s="225" t="s">
        <v>719</v>
      </c>
      <c r="D9" s="226"/>
      <c r="E9" s="226" t="s">
        <v>720</v>
      </c>
      <c r="F9" s="225" t="s">
        <v>721</v>
      </c>
      <c r="G9" s="226"/>
      <c r="H9" s="225" t="s">
        <v>722</v>
      </c>
      <c r="I9" s="225" t="s">
        <v>716</v>
      </c>
      <c r="J9" s="227" t="s">
        <v>706</v>
      </c>
    </row>
    <row r="10" spans="1:10" ht="369.75" x14ac:dyDescent="0.2">
      <c r="A10" s="226"/>
      <c r="B10" s="225" t="s">
        <v>718</v>
      </c>
      <c r="C10" s="225" t="s">
        <v>723</v>
      </c>
      <c r="D10" s="226"/>
      <c r="E10" s="225" t="s">
        <v>724</v>
      </c>
      <c r="F10" s="228" t="s">
        <v>725</v>
      </c>
      <c r="G10" s="226"/>
      <c r="H10" s="225" t="s">
        <v>722</v>
      </c>
      <c r="I10" s="226" t="s">
        <v>716</v>
      </c>
      <c r="J10" s="227" t="s">
        <v>706</v>
      </c>
    </row>
    <row r="11" spans="1:10" ht="318.75" x14ac:dyDescent="0.2">
      <c r="A11" s="601" t="s">
        <v>726</v>
      </c>
      <c r="B11" s="224" t="s">
        <v>712</v>
      </c>
      <c r="C11" s="226" t="s">
        <v>727</v>
      </c>
      <c r="D11" s="226" t="s">
        <v>199</v>
      </c>
      <c r="E11" s="226" t="s">
        <v>728</v>
      </c>
      <c r="F11" s="226" t="s">
        <v>715</v>
      </c>
      <c r="G11" s="226" t="s">
        <v>703</v>
      </c>
      <c r="H11" s="225" t="s">
        <v>729</v>
      </c>
      <c r="I11" s="225" t="s">
        <v>730</v>
      </c>
      <c r="J11" s="227" t="s">
        <v>706</v>
      </c>
    </row>
  </sheetData>
  <hyperlinks>
    <hyperlink ref="B7" r:id="rId1" display="leonie.odowd@marine.ie     "/>
    <hyperlink ref="B11" r:id="rId2" display="leonie.odowd@marine.ie "/>
    <hyperlink ref="B8" r:id="rId3" display="leonie.odowd@marine.ie "/>
    <hyperlink ref="B6" r:id="rId4" display="leonie.odowd@marine.ie     "/>
  </hyperlinks>
  <pageMargins left="0.7" right="0.7" top="0.75" bottom="0.75" header="0.3" footer="0.3"/>
  <pageSetup paperSize="9" scale="59" fitToHeight="0" orientation="landscape" r:id="rId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22</vt:i4>
      </vt:variant>
      <vt:variant>
        <vt:lpstr>Named Ranges</vt:lpstr>
      </vt:variant>
      <vt:variant>
        <vt:i4>2</vt:i4>
      </vt:variant>
    </vt:vector>
  </HeadingPairs>
  <TitlesOfParts>
    <vt:vector size="24" baseType="lpstr">
      <vt:lpstr>Table1A List of required stocks</vt:lpstr>
      <vt:lpstr>Table1B Planning of sampling </vt:lpstr>
      <vt:lpstr>Table1C Sampling intensity </vt:lpstr>
      <vt:lpstr>Table1D Recreational Fisheries</vt:lpstr>
      <vt:lpstr>Table1E Anadromous catadromous</vt:lpstr>
      <vt:lpstr>Table1F Incidental by catch</vt:lpstr>
      <vt:lpstr>Table1G List of research survey</vt:lpstr>
      <vt:lpstr>Table1H Research survey data</vt:lpstr>
      <vt:lpstr>Table2A Fishing activity variab</vt:lpstr>
      <vt:lpstr>Table3A  Pop segment fisheries</vt:lpstr>
      <vt:lpstr>Table3B Pop segments aquacultur</vt:lpstr>
      <vt:lpstr>Table3C Pop segments processin</vt:lpstr>
      <vt:lpstr>Table4A Sampling plan descripti</vt:lpstr>
      <vt:lpstr>Table4B Sampling frame descrip</vt:lpstr>
      <vt:lpstr>Table4C Data on the fisheries</vt:lpstr>
      <vt:lpstr>Table4D Landing locations</vt:lpstr>
      <vt:lpstr>Table5A Quality assurance frame</vt:lpstr>
      <vt:lpstr>Table5B Quality assurance frame</vt:lpstr>
      <vt:lpstr>Table6A_Data_availability</vt:lpstr>
      <vt:lpstr>Table7A_Planned Regional_coord</vt:lpstr>
      <vt:lpstr>Table7B_Follow up of Recommenda</vt:lpstr>
      <vt:lpstr>Table7C_Bi- and multilateral </vt:lpstr>
      <vt:lpstr>'Table1G List of research survey'!Print_Area</vt:lpstr>
      <vt:lpstr>'Table1H Research survey data'!Print_Area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KOSTOPOULOU Venetia (MARE)</dc:creator>
  <cp:lastModifiedBy>Niamh Slattery</cp:lastModifiedBy>
  <cp:lastPrinted>2019-04-25T14:32:57Z</cp:lastPrinted>
  <dcterms:created xsi:type="dcterms:W3CDTF">2014-09-03T13:43:33Z</dcterms:created>
  <dcterms:modified xsi:type="dcterms:W3CDTF">2020-06-19T12:05:17Z</dcterms:modified>
</cp:coreProperties>
</file>