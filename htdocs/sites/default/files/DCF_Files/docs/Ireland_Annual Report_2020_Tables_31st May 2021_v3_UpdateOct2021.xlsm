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Z:\Data Collection Regulation\DCF 2014-2021\Annual Report 2020\DCF AR_2020_FINAL\DCF AR with edits after STECF_and replies to the COM\"/>
    </mc:Choice>
  </mc:AlternateContent>
  <bookViews>
    <workbookView xWindow="0" yWindow="0" windowWidth="20490" windowHeight="7050" tabRatio="596" firstSheet="2" activeTab="5"/>
  </bookViews>
  <sheets>
    <sheet name="Table1A List of required stocks" sheetId="45" r:id="rId1"/>
    <sheet name="Table1B Planning of sampling " sheetId="46" r:id="rId2"/>
    <sheet name="Table1C Sampling intensity " sheetId="47" r:id="rId3"/>
    <sheet name="Table1D Recreational Fisheries" sheetId="55" r:id="rId4"/>
    <sheet name="Table1E Anadromous catadromous" sheetId="64" r:id="rId5"/>
    <sheet name="Table1F Incidental by catch" sheetId="65" r:id="rId6"/>
    <sheet name="Table1G List of research survey" sheetId="79" r:id="rId7"/>
    <sheet name="Table1H Research survey data" sheetId="81" r:id="rId8"/>
    <sheet name="Table2A Fishing activity variab" sheetId="56" r:id="rId9"/>
    <sheet name="Table3A  Pop segment fisheries" sheetId="76" r:id="rId10"/>
    <sheet name="Table3B Pop segments aquacultur" sheetId="77" r:id="rId11"/>
    <sheet name="Table3C Pop segments processin" sheetId="78" r:id="rId12"/>
    <sheet name="Table4A Sampling plan descripti" sheetId="71" r:id="rId13"/>
    <sheet name="Table4B Sampling frame descrip" sheetId="72" r:id="rId14"/>
    <sheet name="Table4C Data on the fisheries" sheetId="73" r:id="rId15"/>
    <sheet name="Table4D Landing locations" sheetId="74" r:id="rId16"/>
    <sheet name="Table5A Quality assurance frame" sheetId="44" r:id="rId17"/>
    <sheet name="Table5B Quality assurance frame" sheetId="60" r:id="rId18"/>
    <sheet name="Table6A_Data_availability" sheetId="70" r:id="rId19"/>
    <sheet name="Table7A_Planned Regional_coord" sheetId="61" r:id="rId20"/>
    <sheet name="Table7B_Follow up of Recommenda" sheetId="62" r:id="rId21"/>
    <sheet name="Table7C_Bi- and multilateral " sheetId="63" r:id="rId22"/>
    <sheet name="Sheet1" sheetId="82" state="hidden" r:id="rId23"/>
  </sheets>
  <externalReferences>
    <externalReference r:id="rId24"/>
  </externalReferences>
  <definedNames>
    <definedName name="_xlnm._FilterDatabase" localSheetId="0" hidden="1">'Table1A List of required stocks'!$A$4:$W$239</definedName>
    <definedName name="_xlnm._FilterDatabase" localSheetId="1" hidden="1">'Table1B Planning of sampling '!$A$4:$Y$53</definedName>
    <definedName name="_xlnm._FilterDatabase" localSheetId="2" hidden="1">'Table1C Sampling intensity '!$A$4:$Y$479</definedName>
    <definedName name="_xlnm._FilterDatabase" localSheetId="4" hidden="1">'Table1E Anadromous catadromous'!$A$4:$AG$29</definedName>
    <definedName name="_xlnm._FilterDatabase" localSheetId="5" hidden="1">'Table1F Incidental by catch'!$A$6:$Y$36</definedName>
    <definedName name="_xlnm._FilterDatabase" localSheetId="6" hidden="1">'Table1G List of research survey'!$AB$5:$AM$23</definedName>
    <definedName name="_xlnm._FilterDatabase" localSheetId="7" hidden="1">'Table1H Research survey data'!$A$4:$U$61</definedName>
    <definedName name="_xlnm._FilterDatabase" localSheetId="8" hidden="1">'Table2A Fishing activity variab'!$A$4:$Y$15</definedName>
    <definedName name="_xlnm._FilterDatabase" localSheetId="9" hidden="1">'Table3A  Pop segment fisheries'!$A$4:$R$1270</definedName>
    <definedName name="_xlnm._FilterDatabase" localSheetId="10" hidden="1">'Table3B Pop segments aquacultur'!$A$4:$R$415</definedName>
    <definedName name="_xlnm._FilterDatabase" localSheetId="12" hidden="1">'Table4A Sampling plan descripti'!$A$5:$Z$42</definedName>
    <definedName name="_xlnm._FilterDatabase" localSheetId="13" hidden="1">'Table4B Sampling frame descrip'!$A$36:$F$36</definedName>
    <definedName name="_xlnm._FilterDatabase" localSheetId="14" hidden="1">'Table4C Data on the fisheries'!$A$4:$Y$38</definedName>
    <definedName name="_xlnm._FilterDatabase" localSheetId="16" hidden="1">'Table5A Quality assurance frame'!$A$8:$Z$23</definedName>
    <definedName name="_xlnm._FilterDatabase" localSheetId="19" hidden="1">'Table7A_Planned Regional_coord'!$A$4:$Y$91</definedName>
    <definedName name="aa">#REF!</definedName>
    <definedName name="Edd" localSheetId="8">#REF!</definedName>
    <definedName name="Edd">#REF!</definedName>
    <definedName name="Excel_BuiltIn_Print_Area_1_1" localSheetId="3">#REF!</definedName>
    <definedName name="Excel_BuiltIn_Print_Area_1_1" localSheetId="4">#REF!</definedName>
    <definedName name="Excel_BuiltIn_Print_Area_1_1" localSheetId="5">#REF!</definedName>
    <definedName name="Excel_BuiltIn_Print_Area_1_1" localSheetId="6">#REF!</definedName>
    <definedName name="Excel_BuiltIn_Print_Area_1_1" localSheetId="7">#REF!</definedName>
    <definedName name="Excel_BuiltIn_Print_Area_1_1" localSheetId="8">#REF!</definedName>
    <definedName name="Excel_BuiltIn_Print_Area_1_1" localSheetId="16">#REF!</definedName>
    <definedName name="Excel_BuiltIn_Print_Area_1_1" localSheetId="18">#REF!</definedName>
    <definedName name="Excel_BuiltIn_Print_Area_1_1">#REF!</definedName>
    <definedName name="Excel_BuiltIn_Print_Area_1_1_1" localSheetId="3">#REF!</definedName>
    <definedName name="Excel_BuiltIn_Print_Area_1_1_1" localSheetId="5">#REF!</definedName>
    <definedName name="Excel_BuiltIn_Print_Area_1_1_1" localSheetId="6">#REF!</definedName>
    <definedName name="Excel_BuiltIn_Print_Area_1_1_1" localSheetId="7">#REF!</definedName>
    <definedName name="Excel_BuiltIn_Print_Area_1_1_1" localSheetId="8">#REF!</definedName>
    <definedName name="Excel_BuiltIn_Print_Area_1_1_1" localSheetId="16">#REF!</definedName>
    <definedName name="Excel_BuiltIn_Print_Area_1_1_1">#REF!</definedName>
    <definedName name="Excel_BuiltIn_Print_Area_10_1" localSheetId="3">#REF!</definedName>
    <definedName name="Excel_BuiltIn_Print_Area_10_1" localSheetId="5">#REF!</definedName>
    <definedName name="Excel_BuiltIn_Print_Area_10_1" localSheetId="6">#REF!</definedName>
    <definedName name="Excel_BuiltIn_Print_Area_10_1" localSheetId="7">#REF!</definedName>
    <definedName name="Excel_BuiltIn_Print_Area_10_1">#REF!</definedName>
    <definedName name="Excel_BuiltIn_Print_Area_10_1_1" localSheetId="3">#REF!</definedName>
    <definedName name="Excel_BuiltIn_Print_Area_10_1_1" localSheetId="5">#REF!</definedName>
    <definedName name="Excel_BuiltIn_Print_Area_10_1_1" localSheetId="6">#REF!</definedName>
    <definedName name="Excel_BuiltIn_Print_Area_10_1_1" localSheetId="7">#REF!</definedName>
    <definedName name="Excel_BuiltIn_Print_Area_10_1_1" localSheetId="16">#REF!</definedName>
    <definedName name="Excel_BuiltIn_Print_Area_10_1_1">#REF!</definedName>
    <definedName name="Excel_BuiltIn_Print_Area_11_1" localSheetId="3">#REF!</definedName>
    <definedName name="Excel_BuiltIn_Print_Area_11_1" localSheetId="5">#REF!</definedName>
    <definedName name="Excel_BuiltIn_Print_Area_11_1" localSheetId="6">#REF!</definedName>
    <definedName name="Excel_BuiltIn_Print_Area_11_1" localSheetId="7">#REF!</definedName>
    <definedName name="Excel_BuiltIn_Print_Area_11_1">#REF!</definedName>
    <definedName name="Excel_BuiltIn_Print_Area_12_1" localSheetId="3">#REF!</definedName>
    <definedName name="Excel_BuiltIn_Print_Area_12_1" localSheetId="5">#REF!</definedName>
    <definedName name="Excel_BuiltIn_Print_Area_12_1" localSheetId="6">#REF!</definedName>
    <definedName name="Excel_BuiltIn_Print_Area_12_1" localSheetId="7">#REF!</definedName>
    <definedName name="Excel_BuiltIn_Print_Area_12_1">#REF!</definedName>
    <definedName name="Excel_BuiltIn_Print_Area_12_1_1" localSheetId="3">#REF!</definedName>
    <definedName name="Excel_BuiltIn_Print_Area_12_1_1" localSheetId="5">#REF!</definedName>
    <definedName name="Excel_BuiltIn_Print_Area_12_1_1" localSheetId="6">#REF!</definedName>
    <definedName name="Excel_BuiltIn_Print_Area_12_1_1" localSheetId="7">#REF!</definedName>
    <definedName name="Excel_BuiltIn_Print_Area_12_1_1">#REF!</definedName>
    <definedName name="Excel_BuiltIn_Print_Area_14_1" localSheetId="3">#REF!</definedName>
    <definedName name="Excel_BuiltIn_Print_Area_14_1" localSheetId="5">#REF!</definedName>
    <definedName name="Excel_BuiltIn_Print_Area_14_1" localSheetId="6">#REF!</definedName>
    <definedName name="Excel_BuiltIn_Print_Area_14_1" localSheetId="7">#REF!</definedName>
    <definedName name="Excel_BuiltIn_Print_Area_14_1">#REF!</definedName>
    <definedName name="Excel_BuiltIn_Print_Area_15_1" localSheetId="3">#REF!</definedName>
    <definedName name="Excel_BuiltIn_Print_Area_15_1" localSheetId="5">#REF!</definedName>
    <definedName name="Excel_BuiltIn_Print_Area_15_1" localSheetId="6">#REF!</definedName>
    <definedName name="Excel_BuiltIn_Print_Area_15_1" localSheetId="7">#REF!</definedName>
    <definedName name="Excel_BuiltIn_Print_Area_15_1">#REF!</definedName>
    <definedName name="Excel_BuiltIn_Print_Area_24_1" localSheetId="3">#REF!</definedName>
    <definedName name="Excel_BuiltIn_Print_Area_24_1" localSheetId="5">#REF!</definedName>
    <definedName name="Excel_BuiltIn_Print_Area_24_1" localSheetId="6">#REF!</definedName>
    <definedName name="Excel_BuiltIn_Print_Area_24_1" localSheetId="7">#REF!</definedName>
    <definedName name="Excel_BuiltIn_Print_Area_24_1">#REF!</definedName>
    <definedName name="Excel_BuiltIn_Print_Area_4_1" localSheetId="3">#REF!</definedName>
    <definedName name="Excel_BuiltIn_Print_Area_4_1" localSheetId="5">#REF!</definedName>
    <definedName name="Excel_BuiltIn_Print_Area_4_1" localSheetId="6">#REF!</definedName>
    <definedName name="Excel_BuiltIn_Print_Area_4_1" localSheetId="7">#REF!</definedName>
    <definedName name="Excel_BuiltIn_Print_Area_4_1">#REF!</definedName>
    <definedName name="Excel_BuiltIn_Print_Area_5_1" localSheetId="3">#REF!</definedName>
    <definedName name="Excel_BuiltIn_Print_Area_5_1" localSheetId="5">#REF!</definedName>
    <definedName name="Excel_BuiltIn_Print_Area_5_1" localSheetId="6">#REF!</definedName>
    <definedName name="Excel_BuiltIn_Print_Area_5_1" localSheetId="7">#REF!</definedName>
    <definedName name="Excel_BuiltIn_Print_Area_5_1">#REF!</definedName>
    <definedName name="Excel_BuiltIn_Print_Area_7_1" localSheetId="3">#REF!</definedName>
    <definedName name="Excel_BuiltIn_Print_Area_7_1" localSheetId="5">#REF!</definedName>
    <definedName name="Excel_BuiltIn_Print_Area_7_1" localSheetId="6">#REF!</definedName>
    <definedName name="Excel_BuiltIn_Print_Area_7_1" localSheetId="7">#REF!</definedName>
    <definedName name="Excel_BuiltIn_Print_Area_7_1">#REF!</definedName>
    <definedName name="Excel_BuiltIn_Print_Area_8_1" localSheetId="3">#REF!</definedName>
    <definedName name="Excel_BuiltIn_Print_Area_8_1" localSheetId="5">#REF!</definedName>
    <definedName name="Excel_BuiltIn_Print_Area_8_1" localSheetId="6">#REF!</definedName>
    <definedName name="Excel_BuiltIn_Print_Area_8_1" localSheetId="7">#REF!</definedName>
    <definedName name="Excel_BuiltIn_Print_Area_8_1">#REF!</definedName>
    <definedName name="Excel_BuiltIn_Print_Area_9_1" localSheetId="3">#REF!</definedName>
    <definedName name="Excel_BuiltIn_Print_Area_9_1" localSheetId="5">#REF!</definedName>
    <definedName name="Excel_BuiltIn_Print_Area_9_1" localSheetId="6">#REF!</definedName>
    <definedName name="Excel_BuiltIn_Print_Area_9_1" localSheetId="7">#REF!</definedName>
    <definedName name="Excel_BuiltIn_Print_Area_9_1">#REF!</definedName>
    <definedName name="Excel_Builtin_PrintArea_10_1_2">#REF!</definedName>
    <definedName name="fffff">#REF!</definedName>
    <definedName name="g">#REF!</definedName>
    <definedName name="GSA">[1]codification!$A$51:$A$81</definedName>
    <definedName name="nuevo">#REF!</definedName>
    <definedName name="print" localSheetId="3">#REF!</definedName>
    <definedName name="print" localSheetId="4">#REF!</definedName>
    <definedName name="print" localSheetId="5">#REF!</definedName>
    <definedName name="print" localSheetId="6">#REF!</definedName>
    <definedName name="print" localSheetId="7">#REF!</definedName>
    <definedName name="print" localSheetId="18">#REF!</definedName>
    <definedName name="print">#REF!</definedName>
    <definedName name="_xlnm.Print_Area" localSheetId="6">'Table1G List of research survey'!$A$4:$AA$7</definedName>
    <definedName name="_xlnm.Print_Area" localSheetId="7">'Table1H Research survey data'!$A$1:$M$4</definedName>
    <definedName name="_xlnm.Print_Area" localSheetId="9">'Table3A  Pop segment fisheries'!#REF!</definedName>
  </definedNames>
  <calcPr calcId="162913" calcMode="manual"/>
</workbook>
</file>

<file path=xl/calcChain.xml><?xml version="1.0" encoding="utf-8"?>
<calcChain xmlns="http://schemas.openxmlformats.org/spreadsheetml/2006/main">
  <c r="P5" i="77" l="1"/>
  <c r="O5" i="77"/>
  <c r="Q6" i="77"/>
  <c r="Q7" i="77"/>
  <c r="Q8" i="77"/>
  <c r="Q9" i="77"/>
  <c r="Q10" i="77"/>
  <c r="Q11" i="77"/>
  <c r="Q12" i="77"/>
  <c r="Q13" i="77"/>
  <c r="Q14" i="77"/>
  <c r="Q15" i="77"/>
  <c r="Q16" i="77"/>
  <c r="Q17" i="77"/>
  <c r="Q18" i="77"/>
  <c r="Q19" i="77"/>
  <c r="Q20" i="77"/>
  <c r="Q21" i="77"/>
  <c r="Q22" i="77"/>
  <c r="Q23" i="77"/>
  <c r="Q24" i="77"/>
  <c r="Q25" i="77"/>
  <c r="Q26" i="77"/>
  <c r="Q27" i="77"/>
  <c r="Q28" i="77"/>
  <c r="Q29" i="77"/>
  <c r="Q30" i="77"/>
  <c r="Q31" i="77"/>
  <c r="Q32" i="77"/>
  <c r="Q33" i="77"/>
  <c r="Q34" i="77"/>
  <c r="Q35" i="77"/>
  <c r="Q36" i="77"/>
  <c r="Q37" i="77"/>
  <c r="Q38" i="77"/>
  <c r="Q39" i="77"/>
  <c r="Q40" i="77"/>
  <c r="Q41" i="77"/>
  <c r="Q42" i="77"/>
  <c r="Q43" i="77"/>
  <c r="Q44" i="77"/>
  <c r="Q45" i="77"/>
  <c r="Q46" i="77"/>
  <c r="Q47" i="77"/>
  <c r="Q48" i="77"/>
  <c r="Q49" i="77"/>
  <c r="Q50" i="77"/>
  <c r="Q51" i="77"/>
  <c r="Q52" i="77"/>
  <c r="Q53" i="77"/>
  <c r="Q54" i="77"/>
  <c r="Q55" i="77"/>
  <c r="Q56" i="77"/>
  <c r="Q57" i="77"/>
  <c r="Q58" i="77"/>
  <c r="Q59" i="77"/>
  <c r="Q60" i="77"/>
  <c r="Q61" i="77"/>
  <c r="Q62" i="77"/>
  <c r="Q63" i="77"/>
  <c r="Q64" i="77"/>
  <c r="Q65" i="77"/>
  <c r="Q66" i="77"/>
  <c r="Q67" i="77"/>
  <c r="Q68" i="77"/>
  <c r="Q69" i="77"/>
  <c r="Q70" i="77"/>
  <c r="Q71" i="77"/>
  <c r="Q72" i="77"/>
  <c r="Q73" i="77"/>
  <c r="Q74" i="77"/>
  <c r="Q75" i="77"/>
  <c r="Q76" i="77"/>
  <c r="Q77" i="77"/>
  <c r="Q78" i="77"/>
  <c r="Q79" i="77"/>
  <c r="Q80" i="77"/>
  <c r="Q81" i="77"/>
  <c r="Q82" i="77"/>
  <c r="Q83" i="77"/>
  <c r="Q84" i="77"/>
  <c r="Q85" i="77"/>
  <c r="Q86" i="77"/>
  <c r="Q87" i="77"/>
  <c r="Q88" i="77"/>
  <c r="Q89" i="77"/>
  <c r="Q90" i="77"/>
  <c r="Q91" i="77"/>
  <c r="Q92" i="77"/>
  <c r="Q93" i="77"/>
  <c r="Q94" i="77"/>
  <c r="Q95" i="77"/>
  <c r="Q96" i="77"/>
  <c r="Q97" i="77"/>
  <c r="Q98" i="77"/>
  <c r="Q99" i="77"/>
  <c r="Q100" i="77"/>
  <c r="Q101" i="77"/>
  <c r="Q102" i="77"/>
  <c r="Q103" i="77"/>
  <c r="Q104" i="77"/>
  <c r="Q105" i="77"/>
  <c r="Q106" i="77"/>
  <c r="Q107" i="77"/>
  <c r="Q108" i="77"/>
  <c r="Q109" i="77"/>
  <c r="Q110" i="77"/>
  <c r="Q111" i="77"/>
  <c r="Q112" i="77"/>
  <c r="Q113" i="77"/>
  <c r="Q114" i="77"/>
  <c r="Q115" i="77"/>
  <c r="Q116" i="77"/>
  <c r="Q117" i="77"/>
  <c r="Q118" i="77"/>
  <c r="Q119" i="77"/>
  <c r="Q120" i="77"/>
  <c r="Q121" i="77"/>
  <c r="Q122" i="77"/>
  <c r="Q123" i="77"/>
  <c r="Q124" i="77"/>
  <c r="Q125" i="77"/>
  <c r="Q126" i="77"/>
  <c r="Q127" i="77"/>
  <c r="Q128" i="77"/>
  <c r="Q129" i="77"/>
  <c r="Q130" i="77"/>
  <c r="Q131" i="77"/>
  <c r="Q132" i="77"/>
  <c r="Q133" i="77"/>
  <c r="Q134" i="77"/>
  <c r="Q135" i="77"/>
  <c r="Q136" i="77"/>
  <c r="Q137" i="77"/>
  <c r="Q138" i="77"/>
  <c r="Q139" i="77"/>
  <c r="Q140" i="77"/>
  <c r="Q141" i="77"/>
  <c r="Q142" i="77"/>
  <c r="Q143" i="77"/>
  <c r="Q144" i="77"/>
  <c r="Q145" i="77"/>
  <c r="Q146" i="77"/>
  <c r="Q147" i="77"/>
  <c r="Q148" i="77"/>
  <c r="Q149" i="77"/>
  <c r="Q150" i="77"/>
  <c r="Q151" i="77"/>
  <c r="Q152" i="77"/>
  <c r="Q153" i="77"/>
  <c r="Q154" i="77"/>
  <c r="Q155" i="77"/>
  <c r="Q156" i="77"/>
  <c r="Q157" i="77"/>
  <c r="Q158" i="77"/>
  <c r="Q159" i="77"/>
  <c r="Q160" i="77"/>
  <c r="Q161" i="77"/>
  <c r="Q162" i="77"/>
  <c r="Q163" i="77"/>
  <c r="Q164" i="77"/>
  <c r="Q165" i="77"/>
  <c r="Q166" i="77"/>
  <c r="Q167" i="77"/>
  <c r="Q168" i="77"/>
  <c r="Q169" i="77"/>
  <c r="Q170" i="77"/>
  <c r="Q171" i="77"/>
  <c r="Q172" i="77"/>
  <c r="Q173" i="77"/>
  <c r="Q174" i="77"/>
  <c r="Q175" i="77"/>
  <c r="Q176" i="77"/>
  <c r="Q177" i="77"/>
  <c r="Q178" i="77"/>
  <c r="Q179" i="77"/>
  <c r="Q180" i="77"/>
  <c r="Q181" i="77"/>
  <c r="Q182" i="77"/>
  <c r="Q183" i="77"/>
  <c r="Q184" i="77"/>
  <c r="Q185" i="77"/>
  <c r="Q186" i="77"/>
  <c r="Q187" i="77"/>
  <c r="Q188" i="77"/>
  <c r="Q189" i="77"/>
  <c r="Q190" i="77"/>
  <c r="Q191" i="77"/>
  <c r="Q192" i="77"/>
  <c r="Q193" i="77"/>
  <c r="Q194" i="77"/>
  <c r="Q195" i="77"/>
  <c r="Q196" i="77"/>
  <c r="Q197" i="77"/>
  <c r="Q198" i="77"/>
  <c r="Q199" i="77"/>
  <c r="Q200" i="77"/>
  <c r="Q201" i="77"/>
  <c r="Q202" i="77"/>
  <c r="Q203" i="77"/>
  <c r="Q204" i="77"/>
  <c r="Q205" i="77"/>
  <c r="Q206" i="77"/>
  <c r="Q207" i="77"/>
  <c r="Q208" i="77"/>
  <c r="Q209" i="77"/>
  <c r="Q210" i="77"/>
  <c r="Q211" i="77"/>
  <c r="Q212" i="77"/>
  <c r="Q213" i="77"/>
  <c r="Q214" i="77"/>
  <c r="Q215" i="77"/>
  <c r="Q216" i="77"/>
  <c r="Q217" i="77"/>
  <c r="Q218" i="77"/>
  <c r="Q219" i="77"/>
  <c r="Q220" i="77"/>
  <c r="Q221" i="77"/>
  <c r="Q222" i="77"/>
  <c r="Q223" i="77"/>
  <c r="Q224" i="77"/>
  <c r="Q225" i="77"/>
  <c r="Q226" i="77"/>
  <c r="Q227" i="77"/>
  <c r="Q228" i="77"/>
  <c r="Q229" i="77"/>
  <c r="Q230" i="77"/>
  <c r="Q231" i="77"/>
  <c r="Q232" i="77"/>
  <c r="Q233" i="77"/>
  <c r="Q234" i="77"/>
  <c r="Q235" i="77"/>
  <c r="Q236" i="77"/>
  <c r="Q237" i="77"/>
  <c r="Q238" i="77"/>
  <c r="Q239" i="77"/>
  <c r="Q240" i="77"/>
  <c r="Q241" i="77"/>
  <c r="Q242" i="77"/>
  <c r="Q243" i="77"/>
  <c r="Q244" i="77"/>
  <c r="Q245" i="77"/>
  <c r="Q246" i="77"/>
  <c r="Q247" i="77"/>
  <c r="Q248" i="77"/>
  <c r="Q249" i="77"/>
  <c r="Q250" i="77"/>
  <c r="Q251" i="77"/>
  <c r="Q252" i="77"/>
  <c r="Q253" i="77"/>
  <c r="Q254" i="77"/>
  <c r="Q255" i="77"/>
  <c r="Q256" i="77"/>
  <c r="Q257" i="77"/>
  <c r="Q258" i="77"/>
  <c r="Q259" i="77"/>
  <c r="Q260" i="77"/>
  <c r="Q261" i="77"/>
  <c r="Q262" i="77"/>
  <c r="Q263" i="77"/>
  <c r="Q264" i="77"/>
  <c r="Q265" i="77"/>
  <c r="Q266" i="77"/>
  <c r="Q267" i="77"/>
  <c r="Q268" i="77"/>
  <c r="Q269" i="77"/>
  <c r="Q270" i="77"/>
  <c r="Q271" i="77"/>
  <c r="Q272" i="77"/>
  <c r="Q273" i="77"/>
  <c r="Q274" i="77"/>
  <c r="Q275" i="77"/>
  <c r="Q276" i="77"/>
  <c r="Q277" i="77"/>
  <c r="Q278" i="77"/>
  <c r="Q279" i="77"/>
  <c r="Q280" i="77"/>
  <c r="Q281" i="77"/>
  <c r="Q282" i="77"/>
  <c r="Q283" i="77"/>
  <c r="Q284" i="77"/>
  <c r="Q285" i="77"/>
  <c r="Q286" i="77"/>
  <c r="Q287" i="77"/>
  <c r="Q288" i="77"/>
  <c r="Q289" i="77"/>
  <c r="Q290" i="77"/>
  <c r="Q291" i="77"/>
  <c r="Q292" i="77"/>
  <c r="Q293" i="77"/>
  <c r="Q294" i="77"/>
  <c r="Q295" i="77"/>
  <c r="Q296" i="77"/>
  <c r="Q297" i="77"/>
  <c r="Q298" i="77"/>
  <c r="Q299" i="77"/>
  <c r="Q300" i="77"/>
  <c r="Q301" i="77"/>
  <c r="Q302" i="77"/>
  <c r="Q303" i="77"/>
  <c r="Q304" i="77"/>
  <c r="Q305" i="77"/>
  <c r="Q306" i="77"/>
  <c r="Q307" i="77"/>
  <c r="Q308" i="77"/>
  <c r="P6" i="77"/>
  <c r="P7" i="77"/>
  <c r="P8" i="77"/>
  <c r="P9" i="77"/>
  <c r="P10" i="77"/>
  <c r="P11" i="77"/>
  <c r="P12" i="77"/>
  <c r="P13" i="77"/>
  <c r="P14" i="77"/>
  <c r="P15" i="77"/>
  <c r="P16" i="77"/>
  <c r="P17" i="77"/>
  <c r="P18" i="77"/>
  <c r="P19" i="77"/>
  <c r="P20" i="77"/>
  <c r="P21" i="77"/>
  <c r="P22" i="77"/>
  <c r="P23" i="77"/>
  <c r="P24" i="77"/>
  <c r="P25" i="77"/>
  <c r="P26" i="77"/>
  <c r="P27" i="77"/>
  <c r="P28" i="77"/>
  <c r="P29" i="77"/>
  <c r="P30" i="77"/>
  <c r="P31" i="77"/>
  <c r="P32" i="77"/>
  <c r="P33" i="77"/>
  <c r="P34" i="77"/>
  <c r="P35" i="77"/>
  <c r="P36" i="77"/>
  <c r="P37" i="77"/>
  <c r="P38" i="77"/>
  <c r="P39" i="77"/>
  <c r="P40" i="77"/>
  <c r="P41" i="77"/>
  <c r="P42" i="77"/>
  <c r="P43" i="77"/>
  <c r="P44" i="77"/>
  <c r="P45" i="77"/>
  <c r="P46" i="77"/>
  <c r="P47" i="77"/>
  <c r="P48" i="77"/>
  <c r="P49" i="77"/>
  <c r="P50" i="77"/>
  <c r="P51" i="77"/>
  <c r="P52" i="77"/>
  <c r="P53" i="77"/>
  <c r="P54" i="77"/>
  <c r="P55" i="77"/>
  <c r="P56" i="77"/>
  <c r="P57" i="77"/>
  <c r="P58" i="77"/>
  <c r="P59" i="77"/>
  <c r="P60" i="77"/>
  <c r="P61" i="77"/>
  <c r="P62" i="77"/>
  <c r="P63" i="77"/>
  <c r="P64" i="77"/>
  <c r="P65" i="77"/>
  <c r="P66" i="77"/>
  <c r="P67" i="77"/>
  <c r="P68" i="77"/>
  <c r="P69" i="77"/>
  <c r="P70" i="77"/>
  <c r="P71" i="77"/>
  <c r="P72" i="77"/>
  <c r="P73" i="77"/>
  <c r="P74" i="77"/>
  <c r="P75" i="77"/>
  <c r="P76" i="77"/>
  <c r="P77" i="77"/>
  <c r="P78" i="77"/>
  <c r="P79" i="77"/>
  <c r="P80" i="77"/>
  <c r="P81" i="77"/>
  <c r="P82" i="77"/>
  <c r="P83" i="77"/>
  <c r="P84" i="77"/>
  <c r="P85" i="77"/>
  <c r="P86" i="77"/>
  <c r="P87" i="77"/>
  <c r="P88" i="77"/>
  <c r="P89" i="77"/>
  <c r="P90" i="77"/>
  <c r="P91" i="77"/>
  <c r="P92" i="77"/>
  <c r="P93" i="77"/>
  <c r="P94" i="77"/>
  <c r="P95" i="77"/>
  <c r="P96" i="77"/>
  <c r="P97" i="77"/>
  <c r="P98" i="77"/>
  <c r="P99" i="77"/>
  <c r="P100" i="77"/>
  <c r="P101" i="77"/>
  <c r="P102" i="77"/>
  <c r="P103" i="77"/>
  <c r="P104" i="77"/>
  <c r="P105" i="77"/>
  <c r="P106" i="77"/>
  <c r="P107" i="77"/>
  <c r="P108" i="77"/>
  <c r="P109" i="77"/>
  <c r="P110" i="77"/>
  <c r="P111" i="77"/>
  <c r="P112" i="77"/>
  <c r="P113" i="77"/>
  <c r="P114" i="77"/>
  <c r="P115" i="77"/>
  <c r="P116" i="77"/>
  <c r="P117" i="77"/>
  <c r="P118" i="77"/>
  <c r="P119" i="77"/>
  <c r="P120" i="77"/>
  <c r="P121" i="77"/>
  <c r="P122" i="77"/>
  <c r="P123" i="77"/>
  <c r="P124" i="77"/>
  <c r="P125" i="77"/>
  <c r="P126" i="77"/>
  <c r="P127" i="77"/>
  <c r="P128" i="77"/>
  <c r="P129" i="77"/>
  <c r="P130" i="77"/>
  <c r="P131" i="77"/>
  <c r="P132" i="77"/>
  <c r="P133" i="77"/>
  <c r="P134" i="77"/>
  <c r="P135" i="77"/>
  <c r="P136" i="77"/>
  <c r="P137" i="77"/>
  <c r="P138" i="77"/>
  <c r="P139" i="77"/>
  <c r="P140" i="77"/>
  <c r="P141" i="77"/>
  <c r="P142" i="77"/>
  <c r="P143" i="77"/>
  <c r="P144" i="77"/>
  <c r="P145" i="77"/>
  <c r="P146" i="77"/>
  <c r="P147" i="77"/>
  <c r="P148" i="77"/>
  <c r="P149" i="77"/>
  <c r="P150" i="77"/>
  <c r="P151" i="77"/>
  <c r="P152" i="77"/>
  <c r="P153" i="77"/>
  <c r="P154" i="77"/>
  <c r="P155" i="77"/>
  <c r="P156" i="77"/>
  <c r="P157" i="77"/>
  <c r="P158" i="77"/>
  <c r="P159" i="77"/>
  <c r="P160" i="77"/>
  <c r="P161" i="77"/>
  <c r="P162" i="77"/>
  <c r="P163" i="77"/>
  <c r="P164" i="77"/>
  <c r="P165" i="77"/>
  <c r="P166" i="77"/>
  <c r="P167" i="77"/>
  <c r="P168" i="77"/>
  <c r="P169" i="77"/>
  <c r="P170" i="77"/>
  <c r="P171" i="77"/>
  <c r="P172" i="77"/>
  <c r="P173" i="77"/>
  <c r="P174" i="77"/>
  <c r="P175" i="77"/>
  <c r="P176" i="77"/>
  <c r="P177" i="77"/>
  <c r="P178" i="77"/>
  <c r="P179" i="77"/>
  <c r="P180" i="77"/>
  <c r="P181" i="77"/>
  <c r="P182" i="77"/>
  <c r="P183" i="77"/>
  <c r="P184" i="77"/>
  <c r="P185" i="77"/>
  <c r="P186" i="77"/>
  <c r="P187" i="77"/>
  <c r="P188" i="77"/>
  <c r="P189" i="77"/>
  <c r="P190" i="77"/>
  <c r="P191" i="77"/>
  <c r="P192" i="77"/>
  <c r="P193" i="77"/>
  <c r="P194" i="77"/>
  <c r="P195" i="77"/>
  <c r="P196" i="77"/>
  <c r="P197" i="77"/>
  <c r="P198" i="77"/>
  <c r="P199" i="77"/>
  <c r="P200" i="77"/>
  <c r="P201" i="77"/>
  <c r="P202" i="77"/>
  <c r="P203" i="77"/>
  <c r="P204" i="77"/>
  <c r="P205" i="77"/>
  <c r="P206" i="77"/>
  <c r="P207" i="77"/>
  <c r="P208" i="77"/>
  <c r="P209" i="77"/>
  <c r="P210" i="77"/>
  <c r="P211" i="77"/>
  <c r="P212" i="77"/>
  <c r="P213" i="77"/>
  <c r="P214" i="77"/>
  <c r="P215" i="77"/>
  <c r="P216" i="77"/>
  <c r="P217" i="77"/>
  <c r="P218" i="77"/>
  <c r="P219" i="77"/>
  <c r="P220" i="77"/>
  <c r="P221" i="77"/>
  <c r="P222" i="77"/>
  <c r="P223" i="77"/>
  <c r="P224" i="77"/>
  <c r="P225" i="77"/>
  <c r="P226" i="77"/>
  <c r="P227" i="77"/>
  <c r="P228" i="77"/>
  <c r="P229" i="77"/>
  <c r="P230" i="77"/>
  <c r="P231" i="77"/>
  <c r="P232" i="77"/>
  <c r="P233" i="77"/>
  <c r="P234" i="77"/>
  <c r="P235" i="77"/>
  <c r="P236" i="77"/>
  <c r="P237" i="77"/>
  <c r="P238" i="77"/>
  <c r="P239" i="77"/>
  <c r="P240" i="77"/>
  <c r="P241" i="77"/>
  <c r="P242" i="77"/>
  <c r="P243" i="77"/>
  <c r="P244" i="77"/>
  <c r="P245" i="77"/>
  <c r="P246" i="77"/>
  <c r="P247" i="77"/>
  <c r="P248" i="77"/>
  <c r="P249" i="77"/>
  <c r="P250" i="77"/>
  <c r="P251" i="77"/>
  <c r="P252" i="77"/>
  <c r="P253" i="77"/>
  <c r="P254" i="77"/>
  <c r="P255" i="77"/>
  <c r="P256" i="77"/>
  <c r="P257" i="77"/>
  <c r="P258" i="77"/>
  <c r="P259" i="77"/>
  <c r="P260" i="77"/>
  <c r="P261" i="77"/>
  <c r="P262" i="77"/>
  <c r="P263" i="77"/>
  <c r="P264" i="77"/>
  <c r="P265" i="77"/>
  <c r="P266" i="77"/>
  <c r="P267" i="77"/>
  <c r="P268" i="77"/>
  <c r="P269" i="77"/>
  <c r="P270" i="77"/>
  <c r="P271" i="77"/>
  <c r="P272" i="77"/>
  <c r="P273" i="77"/>
  <c r="P274" i="77"/>
  <c r="P275" i="77"/>
  <c r="P276" i="77"/>
  <c r="P277" i="77"/>
  <c r="P278" i="77"/>
  <c r="P279" i="77"/>
  <c r="P280" i="77"/>
  <c r="P281" i="77"/>
  <c r="P282" i="77"/>
  <c r="P283" i="77"/>
  <c r="P284" i="77"/>
  <c r="P285" i="77"/>
  <c r="P286" i="77"/>
  <c r="P287" i="77"/>
  <c r="P288" i="77"/>
  <c r="P289" i="77"/>
  <c r="P290" i="77"/>
  <c r="P291" i="77"/>
  <c r="P292" i="77"/>
  <c r="P293" i="77"/>
  <c r="P294" i="77"/>
  <c r="P295" i="77"/>
  <c r="P296" i="77"/>
  <c r="P297" i="77"/>
  <c r="P298" i="77"/>
  <c r="P299" i="77"/>
  <c r="P300" i="77"/>
  <c r="P301" i="77"/>
  <c r="P302" i="77"/>
  <c r="P303" i="77"/>
  <c r="P304" i="77"/>
  <c r="P305" i="77"/>
  <c r="P306" i="77"/>
  <c r="P307" i="77"/>
  <c r="P308" i="77"/>
  <c r="O8" i="77"/>
  <c r="O9" i="77"/>
  <c r="O10" i="77"/>
  <c r="O11" i="77"/>
  <c r="O12" i="77"/>
  <c r="O13" i="77"/>
  <c r="O14" i="77"/>
  <c r="O15" i="77"/>
  <c r="O16" i="77"/>
  <c r="O17" i="77"/>
  <c r="O18" i="77"/>
  <c r="O19" i="77"/>
  <c r="O20" i="77"/>
  <c r="O21" i="77"/>
  <c r="O22" i="77"/>
  <c r="O23" i="77"/>
  <c r="O24" i="77"/>
  <c r="O25" i="77"/>
  <c r="O26" i="77"/>
  <c r="O27" i="77"/>
  <c r="O28" i="77"/>
  <c r="O29" i="77"/>
  <c r="O30" i="77"/>
  <c r="O31" i="77"/>
  <c r="O32" i="77"/>
  <c r="O33" i="77"/>
  <c r="O34" i="77"/>
  <c r="O35" i="77"/>
  <c r="O36" i="77"/>
  <c r="O37" i="77"/>
  <c r="O38" i="77"/>
  <c r="O39" i="77"/>
  <c r="O40" i="77"/>
  <c r="O41" i="77"/>
  <c r="O42" i="77"/>
  <c r="O43" i="77"/>
  <c r="O44" i="77"/>
  <c r="O45" i="77"/>
  <c r="O46" i="77"/>
  <c r="O47" i="77"/>
  <c r="O48" i="77"/>
  <c r="O49" i="77"/>
  <c r="O50" i="77"/>
  <c r="O51" i="77"/>
  <c r="O52" i="77"/>
  <c r="O53" i="77"/>
  <c r="O54" i="77"/>
  <c r="O55" i="77"/>
  <c r="O56" i="77"/>
  <c r="O57" i="77"/>
  <c r="O58" i="77"/>
  <c r="O59" i="77"/>
  <c r="O60" i="77"/>
  <c r="O61" i="77"/>
  <c r="O62" i="77"/>
  <c r="O63" i="77"/>
  <c r="O64" i="77"/>
  <c r="O65" i="77"/>
  <c r="O66" i="77"/>
  <c r="O67" i="77"/>
  <c r="O68" i="77"/>
  <c r="O69" i="77"/>
  <c r="O70" i="77"/>
  <c r="O71" i="77"/>
  <c r="O72" i="77"/>
  <c r="O73" i="77"/>
  <c r="O74" i="77"/>
  <c r="O75" i="77"/>
  <c r="O76" i="77"/>
  <c r="O77" i="77"/>
  <c r="O78" i="77"/>
  <c r="O79" i="77"/>
  <c r="O80" i="77"/>
  <c r="O81" i="77"/>
  <c r="O82" i="77"/>
  <c r="O83" i="77"/>
  <c r="O84" i="77"/>
  <c r="O85" i="77"/>
  <c r="O86" i="77"/>
  <c r="O87" i="77"/>
  <c r="O88" i="77"/>
  <c r="O89" i="77"/>
  <c r="O90" i="77"/>
  <c r="O91" i="77"/>
  <c r="O92" i="77"/>
  <c r="O93" i="77"/>
  <c r="O94" i="77"/>
  <c r="O95" i="77"/>
  <c r="O96" i="77"/>
  <c r="O97" i="77"/>
  <c r="O98" i="77"/>
  <c r="O99" i="77"/>
  <c r="O100" i="77"/>
  <c r="O101" i="77"/>
  <c r="O102" i="77"/>
  <c r="O103" i="77"/>
  <c r="O104" i="77"/>
  <c r="O105" i="77"/>
  <c r="O106" i="77"/>
  <c r="O107" i="77"/>
  <c r="O108" i="77"/>
  <c r="O109" i="77"/>
  <c r="O110" i="77"/>
  <c r="O111" i="77"/>
  <c r="O112" i="77"/>
  <c r="O113" i="77"/>
  <c r="O114" i="77"/>
  <c r="O115" i="77"/>
  <c r="O116" i="77"/>
  <c r="O117" i="77"/>
  <c r="O118" i="77"/>
  <c r="O119" i="77"/>
  <c r="O120" i="77"/>
  <c r="O121" i="77"/>
  <c r="O122" i="77"/>
  <c r="O123" i="77"/>
  <c r="O124" i="77"/>
  <c r="O125" i="77"/>
  <c r="O126" i="77"/>
  <c r="O127" i="77"/>
  <c r="O128" i="77"/>
  <c r="O129" i="77"/>
  <c r="O130" i="77"/>
  <c r="O131" i="77"/>
  <c r="O132" i="77"/>
  <c r="O133" i="77"/>
  <c r="O134" i="77"/>
  <c r="O135" i="77"/>
  <c r="O136" i="77"/>
  <c r="O137" i="77"/>
  <c r="O138" i="77"/>
  <c r="O139" i="77"/>
  <c r="O140" i="77"/>
  <c r="O141" i="77"/>
  <c r="O142" i="77"/>
  <c r="O143" i="77"/>
  <c r="O144" i="77"/>
  <c r="O145" i="77"/>
  <c r="O146" i="77"/>
  <c r="O147" i="77"/>
  <c r="O148" i="77"/>
  <c r="O149" i="77"/>
  <c r="O150" i="77"/>
  <c r="O151" i="77"/>
  <c r="O152" i="77"/>
  <c r="O153" i="77"/>
  <c r="O154" i="77"/>
  <c r="O155" i="77"/>
  <c r="O156" i="77"/>
  <c r="O157" i="77"/>
  <c r="O158" i="77"/>
  <c r="O159" i="77"/>
  <c r="O160" i="77"/>
  <c r="O161" i="77"/>
  <c r="O162" i="77"/>
  <c r="O163" i="77"/>
  <c r="O164" i="77"/>
  <c r="O165" i="77"/>
  <c r="O166" i="77"/>
  <c r="O167" i="77"/>
  <c r="O168" i="77"/>
  <c r="O169" i="77"/>
  <c r="O170" i="77"/>
  <c r="O171" i="77"/>
  <c r="O172" i="77"/>
  <c r="O173" i="77"/>
  <c r="O174" i="77"/>
  <c r="O175" i="77"/>
  <c r="O176" i="77"/>
  <c r="O177" i="77"/>
  <c r="O178" i="77"/>
  <c r="O179" i="77"/>
  <c r="O180" i="77"/>
  <c r="O181" i="77"/>
  <c r="O182" i="77"/>
  <c r="O183" i="77"/>
  <c r="O184" i="77"/>
  <c r="O185" i="77"/>
  <c r="O186" i="77"/>
  <c r="O187" i="77"/>
  <c r="O188" i="77"/>
  <c r="O189" i="77"/>
  <c r="O190" i="77"/>
  <c r="O191" i="77"/>
  <c r="O192" i="77"/>
  <c r="O193" i="77"/>
  <c r="O194" i="77"/>
  <c r="O195" i="77"/>
  <c r="O196" i="77"/>
  <c r="O197" i="77"/>
  <c r="O198" i="77"/>
  <c r="O199" i="77"/>
  <c r="O200" i="77"/>
  <c r="O201" i="77"/>
  <c r="O202" i="77"/>
  <c r="O203" i="77"/>
  <c r="O204" i="77"/>
  <c r="O205" i="77"/>
  <c r="O206" i="77"/>
  <c r="O207" i="77"/>
  <c r="O208" i="77"/>
  <c r="O209" i="77"/>
  <c r="O210" i="77"/>
  <c r="O211" i="77"/>
  <c r="O212" i="77"/>
  <c r="O213" i="77"/>
  <c r="O214" i="77"/>
  <c r="O215" i="77"/>
  <c r="O216" i="77"/>
  <c r="O217" i="77"/>
  <c r="O218" i="77"/>
  <c r="O219" i="77"/>
  <c r="O220" i="77"/>
  <c r="O221" i="77"/>
  <c r="O222" i="77"/>
  <c r="O223" i="77"/>
  <c r="O224" i="77"/>
  <c r="O225" i="77"/>
  <c r="O226" i="77"/>
  <c r="O227" i="77"/>
  <c r="O228" i="77"/>
  <c r="O229" i="77"/>
  <c r="O230" i="77"/>
  <c r="O231" i="77"/>
  <c r="O232" i="77"/>
  <c r="O233" i="77"/>
  <c r="O234" i="77"/>
  <c r="O235" i="77"/>
  <c r="O236" i="77"/>
  <c r="O237" i="77"/>
  <c r="O238" i="77"/>
  <c r="O239" i="77"/>
  <c r="O240" i="77"/>
  <c r="O241" i="77"/>
  <c r="O242" i="77"/>
  <c r="O243" i="77"/>
  <c r="O244" i="77"/>
  <c r="O245" i="77"/>
  <c r="O246" i="77"/>
  <c r="O247" i="77"/>
  <c r="O248" i="77"/>
  <c r="O249" i="77"/>
  <c r="O250" i="77"/>
  <c r="O251" i="77"/>
  <c r="O252" i="77"/>
  <c r="O253" i="77"/>
  <c r="O254" i="77"/>
  <c r="O255" i="77"/>
  <c r="O256" i="77"/>
  <c r="O257" i="77"/>
  <c r="O258" i="77"/>
  <c r="O259" i="77"/>
  <c r="O260" i="77"/>
  <c r="O261" i="77"/>
  <c r="O262" i="77"/>
  <c r="O263" i="77"/>
  <c r="O264" i="77"/>
  <c r="O265" i="77"/>
  <c r="O266" i="77"/>
  <c r="O267" i="77"/>
  <c r="O268" i="77"/>
  <c r="O269" i="77"/>
  <c r="O270" i="77"/>
  <c r="O271" i="77"/>
  <c r="O272" i="77"/>
  <c r="O273" i="77"/>
  <c r="O274" i="77"/>
  <c r="O275" i="77"/>
  <c r="O276" i="77"/>
  <c r="O277" i="77"/>
  <c r="O278" i="77"/>
  <c r="O279" i="77"/>
  <c r="O280" i="77"/>
  <c r="O281" i="77"/>
  <c r="O282" i="77"/>
  <c r="O283" i="77"/>
  <c r="O284" i="77"/>
  <c r="O285" i="77"/>
  <c r="O286" i="77"/>
  <c r="O287" i="77"/>
  <c r="O288" i="77"/>
  <c r="O289" i="77"/>
  <c r="O290" i="77"/>
  <c r="O291" i="77"/>
  <c r="O292" i="77"/>
  <c r="O293" i="77"/>
  <c r="O294" i="77"/>
  <c r="O295" i="77"/>
  <c r="O296" i="77"/>
  <c r="O297" i="77"/>
  <c r="O298" i="77"/>
  <c r="O299" i="77"/>
  <c r="O300" i="77"/>
  <c r="O301" i="77"/>
  <c r="O302" i="77"/>
  <c r="O303" i="77"/>
  <c r="O304" i="77"/>
  <c r="O305" i="77"/>
  <c r="O306" i="77"/>
  <c r="O307" i="77"/>
  <c r="O308" i="77"/>
  <c r="O6" i="77"/>
  <c r="O7" i="77"/>
  <c r="Q5" i="77"/>
  <c r="Q1270" i="76"/>
  <c r="P1270" i="76"/>
  <c r="O1270" i="76"/>
  <c r="Q1269" i="76"/>
  <c r="P1269" i="76"/>
  <c r="O1269" i="76"/>
  <c r="Q1268" i="76"/>
  <c r="P1268" i="76"/>
  <c r="O1268" i="76"/>
  <c r="Q1267" i="76"/>
  <c r="P1267" i="76"/>
  <c r="O1267" i="76"/>
  <c r="Q1266" i="76"/>
  <c r="P1266" i="76"/>
  <c r="O1266" i="76"/>
  <c r="Q1265" i="76"/>
  <c r="P1265" i="76"/>
  <c r="O1265" i="76"/>
  <c r="Q1264" i="76"/>
  <c r="P1264" i="76"/>
  <c r="O1264" i="76"/>
  <c r="Q1263" i="76"/>
  <c r="P1263" i="76"/>
  <c r="O1263" i="76"/>
  <c r="Q1262" i="76"/>
  <c r="P1262" i="76"/>
  <c r="O1262" i="76"/>
  <c r="Q1261" i="76"/>
  <c r="P1261" i="76"/>
  <c r="O1261" i="76"/>
  <c r="Q1260" i="76"/>
  <c r="P1260" i="76"/>
  <c r="O1260" i="76"/>
  <c r="Q1259" i="76"/>
  <c r="P1259" i="76"/>
  <c r="O1259" i="76"/>
  <c r="Q1258" i="76"/>
  <c r="P1258" i="76"/>
  <c r="O1258" i="76"/>
  <c r="Q1257" i="76"/>
  <c r="P1257" i="76"/>
  <c r="O1257" i="76"/>
  <c r="Q1256" i="76"/>
  <c r="P1256" i="76"/>
  <c r="O1256" i="76"/>
  <c r="Q1255" i="76"/>
  <c r="P1255" i="76"/>
  <c r="O1255" i="76"/>
  <c r="Q1254" i="76"/>
  <c r="P1254" i="76"/>
  <c r="O1254" i="76"/>
  <c r="Q1253" i="76"/>
  <c r="P1253" i="76"/>
  <c r="O1253" i="76"/>
  <c r="Q1252" i="76"/>
  <c r="P1252" i="76"/>
  <c r="O1252" i="76"/>
  <c r="Q1251" i="76"/>
  <c r="P1251" i="76"/>
  <c r="O1251" i="76"/>
  <c r="Q1250" i="76"/>
  <c r="P1250" i="76"/>
  <c r="O1250" i="76"/>
  <c r="Q1249" i="76"/>
  <c r="P1249" i="76"/>
  <c r="O1249" i="76"/>
  <c r="Q1248" i="76"/>
  <c r="P1248" i="76"/>
  <c r="O1248" i="76"/>
  <c r="Q1247" i="76"/>
  <c r="P1247" i="76"/>
  <c r="O1247" i="76"/>
  <c r="Q1246" i="76"/>
  <c r="P1246" i="76"/>
  <c r="O1246" i="76"/>
  <c r="Q1245" i="76"/>
  <c r="P1245" i="76"/>
  <c r="O1245" i="76"/>
  <c r="Q1244" i="76"/>
  <c r="P1244" i="76"/>
  <c r="O1244" i="76"/>
  <c r="Q1243" i="76"/>
  <c r="P1243" i="76"/>
  <c r="O1243" i="76"/>
  <c r="Q1242" i="76"/>
  <c r="P1242" i="76"/>
  <c r="O1242" i="76"/>
  <c r="Q1241" i="76"/>
  <c r="P1241" i="76"/>
  <c r="O1241" i="76"/>
  <c r="Q1240" i="76"/>
  <c r="P1240" i="76"/>
  <c r="O1240" i="76"/>
  <c r="Q1239" i="76"/>
  <c r="P1239" i="76"/>
  <c r="O1239" i="76"/>
  <c r="Q1238" i="76"/>
  <c r="P1238" i="76"/>
  <c r="O1238" i="76"/>
  <c r="Q1237" i="76"/>
  <c r="P1237" i="76"/>
  <c r="O1237" i="76"/>
  <c r="Q1236" i="76"/>
  <c r="P1236" i="76"/>
  <c r="O1236" i="76"/>
  <c r="Q1235" i="76"/>
  <c r="P1235" i="76"/>
  <c r="O1235" i="76"/>
  <c r="Q1234" i="76"/>
  <c r="P1234" i="76"/>
  <c r="O1234" i="76"/>
  <c r="Q1233" i="76"/>
  <c r="P1233" i="76"/>
  <c r="O1233" i="76"/>
  <c r="Q1232" i="76"/>
  <c r="P1232" i="76"/>
  <c r="O1232" i="76"/>
  <c r="Q1231" i="76"/>
  <c r="P1231" i="76"/>
  <c r="O1231" i="76"/>
  <c r="Q1230" i="76"/>
  <c r="P1230" i="76"/>
  <c r="O1230" i="76"/>
  <c r="Q1229" i="76"/>
  <c r="P1229" i="76"/>
  <c r="O1229" i="76"/>
  <c r="Q1228" i="76"/>
  <c r="P1228" i="76"/>
  <c r="O1228" i="76"/>
  <c r="Q1227" i="76"/>
  <c r="P1227" i="76"/>
  <c r="O1227" i="76"/>
  <c r="Q1226" i="76"/>
  <c r="P1226" i="76"/>
  <c r="O1226" i="76"/>
  <c r="Q1225" i="76"/>
  <c r="P1225" i="76"/>
  <c r="O1225" i="76"/>
  <c r="Q1224" i="76"/>
  <c r="P1224" i="76"/>
  <c r="O1224" i="76"/>
  <c r="Q1223" i="76"/>
  <c r="P1223" i="76"/>
  <c r="O1223" i="76"/>
  <c r="Q1222" i="76"/>
  <c r="P1222" i="76"/>
  <c r="O1222" i="76"/>
  <c r="Q1221" i="76"/>
  <c r="P1221" i="76"/>
  <c r="O1221" i="76"/>
  <c r="Q1220" i="76"/>
  <c r="P1220" i="76"/>
  <c r="O1220" i="76"/>
  <c r="Q1219" i="76"/>
  <c r="P1219" i="76"/>
  <c r="O1219" i="76"/>
  <c r="Q1218" i="76"/>
  <c r="P1218" i="76"/>
  <c r="O1218" i="76"/>
  <c r="Q1217" i="76"/>
  <c r="P1217" i="76"/>
  <c r="O1217" i="76"/>
  <c r="Q1216" i="76"/>
  <c r="P1216" i="76"/>
  <c r="O1216" i="76"/>
  <c r="Q1215" i="76"/>
  <c r="P1215" i="76"/>
  <c r="O1215" i="76"/>
  <c r="Q1214" i="76"/>
  <c r="P1214" i="76"/>
  <c r="O1214" i="76"/>
  <c r="Q1213" i="76"/>
  <c r="P1213" i="76"/>
  <c r="O1213" i="76"/>
  <c r="Q1212" i="76"/>
  <c r="P1212" i="76"/>
  <c r="O1212" i="76"/>
  <c r="Q1211" i="76"/>
  <c r="P1211" i="76"/>
  <c r="O1211" i="76"/>
  <c r="Q1210" i="76"/>
  <c r="P1210" i="76"/>
  <c r="O1210" i="76"/>
  <c r="Q1209" i="76"/>
  <c r="P1209" i="76"/>
  <c r="O1209" i="76"/>
  <c r="Q1208" i="76"/>
  <c r="P1208" i="76"/>
  <c r="O1208" i="76"/>
  <c r="Q1207" i="76"/>
  <c r="P1207" i="76"/>
  <c r="O1207" i="76"/>
  <c r="Q1206" i="76"/>
  <c r="P1206" i="76"/>
  <c r="O1206" i="76"/>
  <c r="Q1205" i="76"/>
  <c r="P1205" i="76"/>
  <c r="O1205" i="76"/>
  <c r="Q1204" i="76"/>
  <c r="P1204" i="76"/>
  <c r="O1204" i="76"/>
  <c r="Q1203" i="76"/>
  <c r="P1203" i="76"/>
  <c r="O1203" i="76"/>
  <c r="Q1202" i="76"/>
  <c r="P1202" i="76"/>
  <c r="O1202" i="76"/>
  <c r="Q1201" i="76"/>
  <c r="P1201" i="76"/>
  <c r="O1201" i="76"/>
  <c r="P38" i="76" l="1"/>
  <c r="P39" i="76"/>
  <c r="P40" i="76"/>
  <c r="N478" i="47" l="1"/>
  <c r="N477" i="47"/>
  <c r="N476" i="47"/>
  <c r="N475" i="47"/>
  <c r="N351" i="47"/>
  <c r="N352" i="47"/>
  <c r="N353" i="47"/>
  <c r="N350" i="47"/>
  <c r="R42" i="71" l="1"/>
  <c r="R41" i="71" l="1"/>
  <c r="Q1200" i="76" l="1"/>
  <c r="P1200" i="76"/>
  <c r="O1200" i="76"/>
  <c r="Q1199" i="76"/>
  <c r="P1199" i="76"/>
  <c r="O1199" i="76"/>
  <c r="Q1198" i="76"/>
  <c r="P1198" i="76"/>
  <c r="O1198" i="76"/>
  <c r="Q1197" i="76"/>
  <c r="P1197" i="76"/>
  <c r="O1197" i="76"/>
  <c r="Q1196" i="76"/>
  <c r="P1196" i="76"/>
  <c r="O1196" i="76"/>
  <c r="Q1195" i="76"/>
  <c r="P1195" i="76"/>
  <c r="O1195" i="76"/>
  <c r="Q1194" i="76"/>
  <c r="P1194" i="76"/>
  <c r="O1194" i="76"/>
  <c r="Q1193" i="76"/>
  <c r="P1193" i="76"/>
  <c r="O1193" i="76"/>
  <c r="Q1192" i="76"/>
  <c r="P1192" i="76"/>
  <c r="O1192" i="76"/>
  <c r="Q1191" i="76"/>
  <c r="P1191" i="76"/>
  <c r="O1191" i="76"/>
  <c r="Q1190" i="76"/>
  <c r="P1190" i="76"/>
  <c r="O1190" i="76"/>
  <c r="Q1189" i="76"/>
  <c r="P1189" i="76"/>
  <c r="O1189" i="76"/>
  <c r="Q1188" i="76"/>
  <c r="P1188" i="76"/>
  <c r="O1188" i="76"/>
  <c r="Q1187" i="76"/>
  <c r="P1187" i="76"/>
  <c r="O1187" i="76"/>
  <c r="Q1186" i="76"/>
  <c r="P1186" i="76"/>
  <c r="O1186" i="76"/>
  <c r="Q1185" i="76"/>
  <c r="P1185" i="76"/>
  <c r="O1185" i="76"/>
  <c r="Q1184" i="76"/>
  <c r="P1184" i="76"/>
  <c r="O1184" i="76"/>
  <c r="Q1183" i="76"/>
  <c r="P1183" i="76"/>
  <c r="O1183" i="76"/>
  <c r="Q1182" i="76"/>
  <c r="P1182" i="76"/>
  <c r="O1182" i="76"/>
  <c r="Q1181" i="76"/>
  <c r="P1181" i="76"/>
  <c r="O1181" i="76"/>
  <c r="Q1180" i="76"/>
  <c r="P1180" i="76"/>
  <c r="O1180" i="76"/>
  <c r="Q1179" i="76"/>
  <c r="P1179" i="76"/>
  <c r="O1179" i="76"/>
  <c r="Q1178" i="76"/>
  <c r="P1178" i="76"/>
  <c r="O1178" i="76"/>
  <c r="Q1177" i="76"/>
  <c r="P1177" i="76"/>
  <c r="O1177" i="76"/>
  <c r="Q1176" i="76"/>
  <c r="P1176" i="76"/>
  <c r="O1176" i="76"/>
  <c r="Q1175" i="76"/>
  <c r="P1175" i="76"/>
  <c r="O1175" i="76"/>
  <c r="Q1174" i="76"/>
  <c r="P1174" i="76"/>
  <c r="O1174" i="76"/>
  <c r="Q1173" i="76"/>
  <c r="P1173" i="76"/>
  <c r="O1173" i="76"/>
  <c r="Q1172" i="76"/>
  <c r="P1172" i="76"/>
  <c r="O1172" i="76"/>
  <c r="Q1171" i="76"/>
  <c r="P1171" i="76"/>
  <c r="O1171" i="76"/>
  <c r="Q1170" i="76"/>
  <c r="P1170" i="76"/>
  <c r="O1170" i="76"/>
  <c r="Q1169" i="76"/>
  <c r="P1169" i="76"/>
  <c r="O1169" i="76"/>
  <c r="Q1168" i="76"/>
  <c r="P1168" i="76"/>
  <c r="O1168" i="76"/>
  <c r="Q1167" i="76"/>
  <c r="P1167" i="76"/>
  <c r="O1167" i="76"/>
  <c r="Q1166" i="76"/>
  <c r="P1166" i="76"/>
  <c r="O1166" i="76"/>
  <c r="Q1165" i="76"/>
  <c r="P1165" i="76"/>
  <c r="O1165" i="76"/>
  <c r="Q1164" i="76"/>
  <c r="P1164" i="76"/>
  <c r="O1164" i="76"/>
  <c r="Q1163" i="76"/>
  <c r="P1163" i="76"/>
  <c r="O1163" i="76"/>
  <c r="Q1162" i="76"/>
  <c r="P1162" i="76"/>
  <c r="O1162" i="76"/>
  <c r="Q1161" i="76"/>
  <c r="P1161" i="76"/>
  <c r="O1161" i="76"/>
  <c r="Q1160" i="76"/>
  <c r="P1160" i="76"/>
  <c r="O1160" i="76"/>
  <c r="Q1159" i="76"/>
  <c r="P1159" i="76"/>
  <c r="O1159" i="76"/>
  <c r="Q1158" i="76"/>
  <c r="P1158" i="76"/>
  <c r="O1158" i="76"/>
  <c r="Q1157" i="76"/>
  <c r="P1157" i="76"/>
  <c r="O1157" i="76"/>
  <c r="Q1156" i="76"/>
  <c r="P1156" i="76"/>
  <c r="O1156" i="76"/>
  <c r="Q1155" i="76"/>
  <c r="P1155" i="76"/>
  <c r="O1155" i="76"/>
  <c r="Q1154" i="76"/>
  <c r="P1154" i="76"/>
  <c r="O1154" i="76"/>
  <c r="Q1153" i="76"/>
  <c r="P1153" i="76"/>
  <c r="O1153" i="76"/>
  <c r="Q1152" i="76"/>
  <c r="P1152" i="76"/>
  <c r="O1152" i="76"/>
  <c r="Q1151" i="76"/>
  <c r="P1151" i="76"/>
  <c r="O1151" i="76"/>
  <c r="Q1150" i="76"/>
  <c r="P1150" i="76"/>
  <c r="O1150" i="76"/>
  <c r="Q1149" i="76"/>
  <c r="P1149" i="76"/>
  <c r="O1149" i="76"/>
  <c r="Q1148" i="76"/>
  <c r="P1148" i="76"/>
  <c r="O1148" i="76"/>
  <c r="Q1147" i="76"/>
  <c r="P1147" i="76"/>
  <c r="O1147" i="76"/>
  <c r="Q1146" i="76"/>
  <c r="P1146" i="76"/>
  <c r="O1146" i="76"/>
  <c r="Q1145" i="76"/>
  <c r="P1145" i="76"/>
  <c r="O1145" i="76"/>
  <c r="Q1144" i="76"/>
  <c r="P1144" i="76"/>
  <c r="O1144" i="76"/>
  <c r="Q1143" i="76"/>
  <c r="P1143" i="76"/>
  <c r="O1143" i="76"/>
  <c r="Q1142" i="76"/>
  <c r="P1142" i="76"/>
  <c r="O1142" i="76"/>
  <c r="Q1141" i="76"/>
  <c r="P1141" i="76"/>
  <c r="O1141" i="76"/>
  <c r="Q1140" i="76"/>
  <c r="P1140" i="76"/>
  <c r="O1140" i="76"/>
  <c r="Q1139" i="76"/>
  <c r="P1139" i="76"/>
  <c r="O1139" i="76"/>
  <c r="Q1138" i="76"/>
  <c r="P1138" i="76"/>
  <c r="O1138" i="76"/>
  <c r="Q1137" i="76"/>
  <c r="P1137" i="76"/>
  <c r="O1137" i="76"/>
  <c r="Q1136" i="76"/>
  <c r="P1136" i="76"/>
  <c r="O1136" i="76"/>
  <c r="Q1135" i="76"/>
  <c r="P1135" i="76"/>
  <c r="O1135" i="76"/>
  <c r="Q1134" i="76"/>
  <c r="P1134" i="76"/>
  <c r="O1134" i="76"/>
  <c r="Q1133" i="76"/>
  <c r="P1133" i="76"/>
  <c r="O1133" i="76"/>
  <c r="Q1132" i="76"/>
  <c r="P1132" i="76"/>
  <c r="O1132" i="76"/>
  <c r="Q1131" i="76"/>
  <c r="P1131" i="76"/>
  <c r="O1131" i="76"/>
  <c r="Q1130" i="76"/>
  <c r="P1130" i="76"/>
  <c r="O1130" i="76"/>
  <c r="Q1129" i="76"/>
  <c r="P1129" i="76"/>
  <c r="O1129" i="76"/>
  <c r="Q1128" i="76"/>
  <c r="P1128" i="76"/>
  <c r="O1128" i="76"/>
  <c r="Q1127" i="76"/>
  <c r="P1127" i="76"/>
  <c r="O1127" i="76"/>
  <c r="Q1126" i="76"/>
  <c r="P1126" i="76"/>
  <c r="O1126" i="76"/>
  <c r="Q1125" i="76"/>
  <c r="P1125" i="76"/>
  <c r="O1125" i="76"/>
  <c r="Q1124" i="76"/>
  <c r="P1124" i="76"/>
  <c r="O1124" i="76"/>
  <c r="Q1123" i="76"/>
  <c r="P1123" i="76"/>
  <c r="O1123" i="76"/>
  <c r="Q1122" i="76"/>
  <c r="P1122" i="76"/>
  <c r="O1122" i="76"/>
  <c r="Q1121" i="76"/>
  <c r="P1121" i="76"/>
  <c r="O1121" i="76"/>
  <c r="Q1120" i="76"/>
  <c r="P1120" i="76"/>
  <c r="O1120" i="76"/>
  <c r="Q1119" i="76"/>
  <c r="P1119" i="76"/>
  <c r="O1119" i="76"/>
  <c r="Q1118" i="76"/>
  <c r="P1118" i="76"/>
  <c r="O1118" i="76"/>
  <c r="Q1117" i="76"/>
  <c r="P1117" i="76"/>
  <c r="O1117" i="76"/>
  <c r="Q1116" i="76"/>
  <c r="P1116" i="76"/>
  <c r="O1116" i="76"/>
  <c r="Q1115" i="76"/>
  <c r="P1115" i="76"/>
  <c r="O1115" i="76"/>
  <c r="Q1114" i="76"/>
  <c r="P1114" i="76"/>
  <c r="O1114" i="76"/>
  <c r="Q1113" i="76"/>
  <c r="P1113" i="76"/>
  <c r="O1113" i="76"/>
  <c r="Q1112" i="76"/>
  <c r="P1112" i="76"/>
  <c r="O1112" i="76"/>
  <c r="Q1111" i="76"/>
  <c r="P1111" i="76"/>
  <c r="O1111" i="76"/>
  <c r="Q1110" i="76"/>
  <c r="P1110" i="76"/>
  <c r="O1110" i="76"/>
  <c r="Q1109" i="76"/>
  <c r="P1109" i="76"/>
  <c r="O1109" i="76"/>
  <c r="Q1108" i="76"/>
  <c r="P1108" i="76"/>
  <c r="O1108" i="76"/>
  <c r="Q1107" i="76"/>
  <c r="P1107" i="76"/>
  <c r="O1107" i="76"/>
  <c r="Q1106" i="76"/>
  <c r="P1106" i="76"/>
  <c r="O1106" i="76"/>
  <c r="Q1105" i="76"/>
  <c r="P1105" i="76"/>
  <c r="O1105" i="76"/>
  <c r="Q1104" i="76"/>
  <c r="P1104" i="76"/>
  <c r="O1104" i="76"/>
  <c r="Q1103" i="76"/>
  <c r="P1103" i="76"/>
  <c r="O1103" i="76"/>
  <c r="Q1102" i="76"/>
  <c r="P1102" i="76"/>
  <c r="O1102" i="76"/>
  <c r="Q1101" i="76"/>
  <c r="P1101" i="76"/>
  <c r="O1101" i="76"/>
  <c r="Q1100" i="76"/>
  <c r="P1100" i="76"/>
  <c r="O1100" i="76"/>
  <c r="Q1099" i="76"/>
  <c r="P1099" i="76"/>
  <c r="O1099" i="76"/>
  <c r="Q1098" i="76"/>
  <c r="P1098" i="76"/>
  <c r="O1098" i="76"/>
  <c r="Q1097" i="76"/>
  <c r="P1097" i="76"/>
  <c r="O1097" i="76"/>
  <c r="Q1096" i="76"/>
  <c r="P1096" i="76"/>
  <c r="O1096" i="76"/>
  <c r="Q1095" i="76"/>
  <c r="P1095" i="76"/>
  <c r="O1095" i="76"/>
  <c r="Q1094" i="76"/>
  <c r="P1094" i="76"/>
  <c r="O1094" i="76"/>
  <c r="Q1093" i="76"/>
  <c r="P1093" i="76"/>
  <c r="O1093" i="76"/>
  <c r="Q1092" i="76"/>
  <c r="P1092" i="76"/>
  <c r="O1092" i="76"/>
  <c r="Q1091" i="76"/>
  <c r="P1091" i="76"/>
  <c r="O1091" i="76"/>
  <c r="Q1090" i="76"/>
  <c r="P1090" i="76"/>
  <c r="O1090" i="76"/>
  <c r="Q1089" i="76"/>
  <c r="P1089" i="76"/>
  <c r="O1089" i="76"/>
  <c r="Q1088" i="76"/>
  <c r="P1088" i="76"/>
  <c r="O1088" i="76"/>
  <c r="Q1087" i="76"/>
  <c r="P1087" i="76"/>
  <c r="O1087" i="76"/>
  <c r="Q1086" i="76"/>
  <c r="P1086" i="76"/>
  <c r="O1086" i="76"/>
  <c r="Q1085" i="76"/>
  <c r="P1085" i="76"/>
  <c r="O1085" i="76"/>
  <c r="Q1084" i="76"/>
  <c r="P1084" i="76"/>
  <c r="O1084" i="76"/>
  <c r="Q1083" i="76"/>
  <c r="P1083" i="76"/>
  <c r="O1083" i="76"/>
  <c r="Q1082" i="76"/>
  <c r="P1082" i="76"/>
  <c r="O1082" i="76"/>
  <c r="Q1081" i="76"/>
  <c r="P1081" i="76"/>
  <c r="O1081" i="76"/>
  <c r="Q1080" i="76"/>
  <c r="P1080" i="76"/>
  <c r="O1080" i="76"/>
  <c r="Q1079" i="76"/>
  <c r="P1079" i="76"/>
  <c r="O1079" i="76"/>
  <c r="Q1078" i="76"/>
  <c r="P1078" i="76"/>
  <c r="O1078" i="76"/>
  <c r="Q1077" i="76"/>
  <c r="P1077" i="76"/>
  <c r="O1077" i="76"/>
  <c r="Q1076" i="76"/>
  <c r="P1076" i="76"/>
  <c r="O1076" i="76"/>
  <c r="Q1075" i="76"/>
  <c r="P1075" i="76"/>
  <c r="O1075" i="76"/>
  <c r="Q1074" i="76"/>
  <c r="P1074" i="76"/>
  <c r="O1074" i="76"/>
  <c r="Q1073" i="76"/>
  <c r="P1073" i="76"/>
  <c r="O1073" i="76"/>
  <c r="Q1072" i="76"/>
  <c r="P1072" i="76"/>
  <c r="O1072" i="76"/>
  <c r="Q1071" i="76"/>
  <c r="P1071" i="76"/>
  <c r="O1071" i="76"/>
  <c r="Q1070" i="76"/>
  <c r="P1070" i="76"/>
  <c r="O1070" i="76"/>
  <c r="Q1069" i="76"/>
  <c r="P1069" i="76"/>
  <c r="O1069" i="76"/>
  <c r="Q1068" i="76"/>
  <c r="P1068" i="76"/>
  <c r="O1068" i="76"/>
  <c r="Q1067" i="76"/>
  <c r="P1067" i="76"/>
  <c r="O1067" i="76"/>
  <c r="Q1066" i="76"/>
  <c r="P1066" i="76"/>
  <c r="O1066" i="76"/>
  <c r="Q1065" i="76"/>
  <c r="P1065" i="76"/>
  <c r="O1065" i="76"/>
  <c r="Q1064" i="76"/>
  <c r="P1064" i="76"/>
  <c r="O1064" i="76"/>
  <c r="Q1063" i="76"/>
  <c r="P1063" i="76"/>
  <c r="O1063" i="76"/>
  <c r="Q1062" i="76"/>
  <c r="P1062" i="76"/>
  <c r="O1062" i="76"/>
  <c r="Q1061" i="76"/>
  <c r="P1061" i="76"/>
  <c r="O1061" i="76"/>
  <c r="Q1060" i="76"/>
  <c r="P1060" i="76"/>
  <c r="O1060" i="76"/>
  <c r="Q1059" i="76"/>
  <c r="P1059" i="76"/>
  <c r="O1059" i="76"/>
  <c r="Q1058" i="76"/>
  <c r="P1058" i="76"/>
  <c r="O1058" i="76"/>
  <c r="Q1057" i="76"/>
  <c r="P1057" i="76"/>
  <c r="O1057" i="76"/>
  <c r="Q1056" i="76"/>
  <c r="P1056" i="76"/>
  <c r="O1056" i="76"/>
  <c r="Q1055" i="76"/>
  <c r="P1055" i="76"/>
  <c r="O1055" i="76"/>
  <c r="Q1054" i="76"/>
  <c r="P1054" i="76"/>
  <c r="O1054" i="76"/>
  <c r="Q1053" i="76"/>
  <c r="P1053" i="76"/>
  <c r="O1053" i="76"/>
  <c r="Q1052" i="76"/>
  <c r="P1052" i="76"/>
  <c r="O1052" i="76"/>
  <c r="Q1051" i="76"/>
  <c r="P1051" i="76"/>
  <c r="O1051" i="76"/>
  <c r="Q1050" i="76"/>
  <c r="P1050" i="76"/>
  <c r="O1050" i="76"/>
  <c r="Q1049" i="76"/>
  <c r="P1049" i="76"/>
  <c r="O1049" i="76"/>
  <c r="Q1048" i="76"/>
  <c r="P1048" i="76"/>
  <c r="O1048" i="76"/>
  <c r="Q1047" i="76"/>
  <c r="P1047" i="76"/>
  <c r="O1047" i="76"/>
  <c r="Q1046" i="76"/>
  <c r="P1046" i="76"/>
  <c r="O1046" i="76"/>
  <c r="Q1045" i="76"/>
  <c r="P1045" i="76"/>
  <c r="O1045" i="76"/>
  <c r="Q1044" i="76"/>
  <c r="P1044" i="76"/>
  <c r="O1044" i="76"/>
  <c r="Q1043" i="76"/>
  <c r="P1043" i="76"/>
  <c r="O1043" i="76"/>
  <c r="Q1042" i="76"/>
  <c r="P1042" i="76"/>
  <c r="O1042" i="76"/>
  <c r="Q1041" i="76"/>
  <c r="P1041" i="76"/>
  <c r="O1041" i="76"/>
  <c r="Q1040" i="76"/>
  <c r="P1040" i="76"/>
  <c r="O1040" i="76"/>
  <c r="Q1039" i="76"/>
  <c r="P1039" i="76"/>
  <c r="O1039" i="76"/>
  <c r="Q1038" i="76"/>
  <c r="P1038" i="76"/>
  <c r="O1038" i="76"/>
  <c r="Q1037" i="76"/>
  <c r="P1037" i="76"/>
  <c r="O1037" i="76"/>
  <c r="Q1036" i="76"/>
  <c r="P1036" i="76"/>
  <c r="O1036" i="76"/>
  <c r="Q1035" i="76"/>
  <c r="P1035" i="76"/>
  <c r="O1035" i="76"/>
  <c r="Q1034" i="76"/>
  <c r="P1034" i="76"/>
  <c r="O1034" i="76"/>
  <c r="Q1033" i="76"/>
  <c r="P1033" i="76"/>
  <c r="O1033" i="76"/>
  <c r="Q1032" i="76"/>
  <c r="P1032" i="76"/>
  <c r="O1032" i="76"/>
  <c r="Q1031" i="76"/>
  <c r="P1031" i="76"/>
  <c r="O1031" i="76"/>
  <c r="Q1030" i="76"/>
  <c r="P1030" i="76"/>
  <c r="O1030" i="76"/>
  <c r="Q1029" i="76"/>
  <c r="P1029" i="76"/>
  <c r="O1029" i="76"/>
  <c r="Q1028" i="76"/>
  <c r="P1028" i="76"/>
  <c r="O1028" i="76"/>
  <c r="Q1027" i="76"/>
  <c r="P1027" i="76"/>
  <c r="O1027" i="76"/>
  <c r="Q1026" i="76"/>
  <c r="P1026" i="76"/>
  <c r="O1026" i="76"/>
  <c r="Q1025" i="76"/>
  <c r="P1025" i="76"/>
  <c r="O1025" i="76"/>
  <c r="Q1024" i="76"/>
  <c r="P1024" i="76"/>
  <c r="O1024" i="76"/>
  <c r="Q1023" i="76"/>
  <c r="P1023" i="76"/>
  <c r="O1023" i="76"/>
  <c r="Q1022" i="76"/>
  <c r="P1022" i="76"/>
  <c r="O1022" i="76"/>
  <c r="Q1021" i="76"/>
  <c r="P1021" i="76"/>
  <c r="O1021" i="76"/>
  <c r="Q1020" i="76"/>
  <c r="P1020" i="76"/>
  <c r="O1020" i="76"/>
  <c r="Q1019" i="76"/>
  <c r="P1019" i="76"/>
  <c r="O1019" i="76"/>
  <c r="Q1018" i="76"/>
  <c r="P1018" i="76"/>
  <c r="O1018" i="76"/>
  <c r="Q1017" i="76"/>
  <c r="P1017" i="76"/>
  <c r="O1017" i="76"/>
  <c r="Q1016" i="76"/>
  <c r="P1016" i="76"/>
  <c r="O1016" i="76"/>
  <c r="Q1015" i="76"/>
  <c r="P1015" i="76"/>
  <c r="O1015" i="76"/>
  <c r="Q1014" i="76"/>
  <c r="P1014" i="76"/>
  <c r="O1014" i="76"/>
  <c r="Q1013" i="76"/>
  <c r="P1013" i="76"/>
  <c r="O1013" i="76"/>
  <c r="Q1012" i="76"/>
  <c r="P1012" i="76"/>
  <c r="O1012" i="76"/>
  <c r="Q1011" i="76"/>
  <c r="P1011" i="76"/>
  <c r="O1011" i="76"/>
  <c r="Q1010" i="76"/>
  <c r="P1010" i="76"/>
  <c r="O1010" i="76"/>
  <c r="Q1009" i="76"/>
  <c r="P1009" i="76"/>
  <c r="O1009" i="76"/>
  <c r="Q1008" i="76"/>
  <c r="P1008" i="76"/>
  <c r="O1008" i="76"/>
  <c r="Q1007" i="76"/>
  <c r="P1007" i="76"/>
  <c r="O1007" i="76"/>
  <c r="Q1006" i="76"/>
  <c r="P1006" i="76"/>
  <c r="O1006" i="76"/>
  <c r="Q1005" i="76"/>
  <c r="P1005" i="76"/>
  <c r="O1005" i="76"/>
  <c r="Q1004" i="76"/>
  <c r="P1004" i="76"/>
  <c r="O1004" i="76"/>
  <c r="Q1003" i="76"/>
  <c r="P1003" i="76"/>
  <c r="O1003" i="76"/>
  <c r="Q1002" i="76"/>
  <c r="P1002" i="76"/>
  <c r="O1002" i="76"/>
  <c r="Q1001" i="76"/>
  <c r="P1001" i="76"/>
  <c r="O1001" i="76"/>
  <c r="Q1000" i="76"/>
  <c r="P1000" i="76"/>
  <c r="O1000" i="76"/>
  <c r="Q999" i="76"/>
  <c r="P999" i="76"/>
  <c r="O999" i="76"/>
  <c r="Q998" i="76"/>
  <c r="P998" i="76"/>
  <c r="O998" i="76"/>
  <c r="Q997" i="76"/>
  <c r="P997" i="76"/>
  <c r="O997" i="76"/>
  <c r="Q996" i="76"/>
  <c r="P996" i="76"/>
  <c r="O996" i="76"/>
  <c r="Q995" i="76"/>
  <c r="P995" i="76"/>
  <c r="O995" i="76"/>
  <c r="Q994" i="76"/>
  <c r="P994" i="76"/>
  <c r="O994" i="76"/>
  <c r="Q993" i="76"/>
  <c r="P993" i="76"/>
  <c r="O993" i="76"/>
  <c r="Q992" i="76"/>
  <c r="P992" i="76"/>
  <c r="O992" i="76"/>
  <c r="Q991" i="76"/>
  <c r="P991" i="76"/>
  <c r="O991" i="76"/>
  <c r="Q990" i="76"/>
  <c r="P990" i="76"/>
  <c r="O990" i="76"/>
  <c r="Q989" i="76"/>
  <c r="P989" i="76"/>
  <c r="O989" i="76"/>
  <c r="Q988" i="76"/>
  <c r="P988" i="76"/>
  <c r="O988" i="76"/>
  <c r="Q987" i="76"/>
  <c r="P987" i="76"/>
  <c r="O987" i="76"/>
  <c r="Q986" i="76"/>
  <c r="P986" i="76"/>
  <c r="O986" i="76"/>
  <c r="Q985" i="76"/>
  <c r="P985" i="76"/>
  <c r="O985" i="76"/>
  <c r="Q984" i="76"/>
  <c r="P984" i="76"/>
  <c r="O984" i="76"/>
  <c r="Q983" i="76"/>
  <c r="P983" i="76"/>
  <c r="O983" i="76"/>
  <c r="Q982" i="76"/>
  <c r="P982" i="76"/>
  <c r="O982" i="76"/>
  <c r="Q981" i="76"/>
  <c r="P981" i="76"/>
  <c r="O981" i="76"/>
  <c r="Q980" i="76"/>
  <c r="P980" i="76"/>
  <c r="O980" i="76"/>
  <c r="Q979" i="76"/>
  <c r="P979" i="76"/>
  <c r="O979" i="76"/>
  <c r="Q978" i="76"/>
  <c r="P978" i="76"/>
  <c r="O978" i="76"/>
  <c r="Q977" i="76"/>
  <c r="P977" i="76"/>
  <c r="O977" i="76"/>
  <c r="Q976" i="76"/>
  <c r="P976" i="76"/>
  <c r="O976" i="76"/>
  <c r="Q975" i="76"/>
  <c r="P975" i="76"/>
  <c r="O975" i="76"/>
  <c r="Q974" i="76"/>
  <c r="P974" i="76"/>
  <c r="O974" i="76"/>
  <c r="Q973" i="76"/>
  <c r="P973" i="76"/>
  <c r="O973" i="76"/>
  <c r="Q972" i="76"/>
  <c r="P972" i="76"/>
  <c r="O972" i="76"/>
  <c r="Q971" i="76"/>
  <c r="P971" i="76"/>
  <c r="O971" i="76"/>
  <c r="Q970" i="76"/>
  <c r="P970" i="76"/>
  <c r="O970" i="76"/>
  <c r="Q969" i="76"/>
  <c r="P969" i="76"/>
  <c r="O969" i="76"/>
  <c r="Q968" i="76"/>
  <c r="P968" i="76"/>
  <c r="O968" i="76"/>
  <c r="Q967" i="76"/>
  <c r="P967" i="76"/>
  <c r="O967" i="76"/>
  <c r="Q966" i="76"/>
  <c r="P966" i="76"/>
  <c r="O966" i="76"/>
  <c r="Q965" i="76"/>
  <c r="P965" i="76"/>
  <c r="O965" i="76"/>
  <c r="Q964" i="76"/>
  <c r="P964" i="76"/>
  <c r="O964" i="76"/>
  <c r="Q963" i="76"/>
  <c r="P963" i="76"/>
  <c r="O963" i="76"/>
  <c r="Q962" i="76"/>
  <c r="P962" i="76"/>
  <c r="O962" i="76"/>
  <c r="Q961" i="76"/>
  <c r="P961" i="76"/>
  <c r="O961" i="76"/>
  <c r="Q960" i="76"/>
  <c r="P960" i="76"/>
  <c r="O960" i="76"/>
  <c r="Q959" i="76"/>
  <c r="P959" i="76"/>
  <c r="O959" i="76"/>
  <c r="Q958" i="76"/>
  <c r="P958" i="76"/>
  <c r="O958" i="76"/>
  <c r="Q957" i="76"/>
  <c r="P957" i="76"/>
  <c r="O957" i="76"/>
  <c r="Q956" i="76"/>
  <c r="P956" i="76"/>
  <c r="O956" i="76"/>
  <c r="Q955" i="76"/>
  <c r="P955" i="76"/>
  <c r="O955" i="76"/>
  <c r="Q954" i="76"/>
  <c r="P954" i="76"/>
  <c r="O954" i="76"/>
  <c r="Q953" i="76"/>
  <c r="P953" i="76"/>
  <c r="O953" i="76"/>
  <c r="Q952" i="76"/>
  <c r="P952" i="76"/>
  <c r="O952" i="76"/>
  <c r="Q951" i="76"/>
  <c r="P951" i="76"/>
  <c r="O951" i="76"/>
  <c r="Q950" i="76"/>
  <c r="P950" i="76"/>
  <c r="O950" i="76"/>
  <c r="Q949" i="76"/>
  <c r="P949" i="76"/>
  <c r="O949" i="76"/>
  <c r="Q948" i="76"/>
  <c r="P948" i="76"/>
  <c r="O948" i="76"/>
  <c r="Q947" i="76"/>
  <c r="P947" i="76"/>
  <c r="O947" i="76"/>
  <c r="Q946" i="76"/>
  <c r="P946" i="76"/>
  <c r="O946" i="76"/>
  <c r="Q945" i="76"/>
  <c r="P945" i="76"/>
  <c r="O945" i="76"/>
  <c r="Q944" i="76"/>
  <c r="P944" i="76"/>
  <c r="O944" i="76"/>
  <c r="Q943" i="76"/>
  <c r="P943" i="76"/>
  <c r="O943" i="76"/>
  <c r="Q942" i="76"/>
  <c r="P942" i="76"/>
  <c r="O942" i="76"/>
  <c r="Q941" i="76"/>
  <c r="P941" i="76"/>
  <c r="O941" i="76"/>
  <c r="Q940" i="76"/>
  <c r="P940" i="76"/>
  <c r="O940" i="76"/>
  <c r="Q939" i="76"/>
  <c r="P939" i="76"/>
  <c r="O939" i="76"/>
  <c r="Q938" i="76"/>
  <c r="P938" i="76"/>
  <c r="O938" i="76"/>
  <c r="Q937" i="76"/>
  <c r="P937" i="76"/>
  <c r="O937" i="76"/>
  <c r="Q936" i="76"/>
  <c r="P936" i="76"/>
  <c r="O936" i="76"/>
  <c r="Q935" i="76"/>
  <c r="P935" i="76"/>
  <c r="O935" i="76"/>
  <c r="Q934" i="76"/>
  <c r="P934" i="76"/>
  <c r="O934" i="76"/>
  <c r="Q933" i="76"/>
  <c r="P933" i="76"/>
  <c r="O933" i="76"/>
  <c r="Q932" i="76"/>
  <c r="P932" i="76"/>
  <c r="O932" i="76"/>
  <c r="Q931" i="76"/>
  <c r="P931" i="76"/>
  <c r="O931" i="76"/>
  <c r="Q930" i="76"/>
  <c r="P930" i="76"/>
  <c r="O930" i="76"/>
  <c r="Q929" i="76"/>
  <c r="P929" i="76"/>
  <c r="O929" i="76"/>
  <c r="Q928" i="76"/>
  <c r="P928" i="76"/>
  <c r="O928" i="76"/>
  <c r="Q927" i="76"/>
  <c r="P927" i="76"/>
  <c r="O927" i="76"/>
  <c r="Q926" i="76"/>
  <c r="P926" i="76"/>
  <c r="O926" i="76"/>
  <c r="Q925" i="76"/>
  <c r="P925" i="76"/>
  <c r="O925" i="76"/>
  <c r="Q924" i="76"/>
  <c r="P924" i="76"/>
  <c r="O924" i="76"/>
  <c r="Q923" i="76"/>
  <c r="P923" i="76"/>
  <c r="O923" i="76"/>
  <c r="Q922" i="76"/>
  <c r="P922" i="76"/>
  <c r="O922" i="76"/>
  <c r="Q921" i="76"/>
  <c r="P921" i="76"/>
  <c r="O921" i="76"/>
  <c r="Q920" i="76"/>
  <c r="P920" i="76"/>
  <c r="O920" i="76"/>
  <c r="Q919" i="76"/>
  <c r="P919" i="76"/>
  <c r="O919" i="76"/>
  <c r="Q918" i="76"/>
  <c r="P918" i="76"/>
  <c r="O918" i="76"/>
  <c r="Q917" i="76"/>
  <c r="P917" i="76"/>
  <c r="O917" i="76"/>
  <c r="Q916" i="76"/>
  <c r="P916" i="76"/>
  <c r="O916" i="76"/>
  <c r="Q915" i="76"/>
  <c r="P915" i="76"/>
  <c r="O915" i="76"/>
  <c r="Q914" i="76"/>
  <c r="P914" i="76"/>
  <c r="O914" i="76"/>
  <c r="Q913" i="76"/>
  <c r="P913" i="76"/>
  <c r="O913" i="76"/>
  <c r="Q912" i="76"/>
  <c r="P912" i="76"/>
  <c r="O912" i="76"/>
  <c r="Q911" i="76"/>
  <c r="P911" i="76"/>
  <c r="O911" i="76"/>
  <c r="Q910" i="76"/>
  <c r="P910" i="76"/>
  <c r="O910" i="76"/>
  <c r="Q909" i="76"/>
  <c r="P909" i="76"/>
  <c r="O909" i="76"/>
  <c r="Q908" i="76"/>
  <c r="P908" i="76"/>
  <c r="O908" i="76"/>
  <c r="Q907" i="76"/>
  <c r="P907" i="76"/>
  <c r="O907" i="76"/>
  <c r="Q906" i="76"/>
  <c r="P906" i="76"/>
  <c r="O906" i="76"/>
  <c r="Q905" i="76"/>
  <c r="P905" i="76"/>
  <c r="O905" i="76"/>
  <c r="Q904" i="76"/>
  <c r="P904" i="76"/>
  <c r="O904" i="76"/>
  <c r="Q903" i="76"/>
  <c r="P903" i="76"/>
  <c r="O903" i="76"/>
  <c r="Q902" i="76"/>
  <c r="P902" i="76"/>
  <c r="O902" i="76"/>
  <c r="Q901" i="76"/>
  <c r="P901" i="76"/>
  <c r="O901" i="76"/>
  <c r="Q900" i="76"/>
  <c r="P900" i="76"/>
  <c r="O900" i="76"/>
  <c r="Q899" i="76"/>
  <c r="P899" i="76"/>
  <c r="O899" i="76"/>
  <c r="Q898" i="76"/>
  <c r="P898" i="76"/>
  <c r="O898" i="76"/>
  <c r="Q897" i="76"/>
  <c r="P897" i="76"/>
  <c r="O897" i="76"/>
  <c r="Q896" i="76"/>
  <c r="P896" i="76"/>
  <c r="O896" i="76"/>
  <c r="Q895" i="76"/>
  <c r="P895" i="76"/>
  <c r="O895" i="76"/>
  <c r="Q894" i="76"/>
  <c r="P894" i="76"/>
  <c r="O894" i="76"/>
  <c r="Q893" i="76"/>
  <c r="P893" i="76"/>
  <c r="O893" i="76"/>
  <c r="Q892" i="76"/>
  <c r="P892" i="76"/>
  <c r="O892" i="76"/>
  <c r="Q891" i="76"/>
  <c r="P891" i="76"/>
  <c r="O891" i="76"/>
  <c r="Q890" i="76"/>
  <c r="P890" i="76"/>
  <c r="O890" i="76"/>
  <c r="Q889" i="76"/>
  <c r="P889" i="76"/>
  <c r="O889" i="76"/>
  <c r="Q888" i="76"/>
  <c r="P888" i="76"/>
  <c r="O888" i="76"/>
  <c r="Q887" i="76"/>
  <c r="P887" i="76"/>
  <c r="O887" i="76"/>
  <c r="Q886" i="76"/>
  <c r="P886" i="76"/>
  <c r="O886" i="76"/>
  <c r="Q885" i="76"/>
  <c r="P885" i="76"/>
  <c r="O885" i="76"/>
  <c r="Q884" i="76"/>
  <c r="P884" i="76"/>
  <c r="O884" i="76"/>
  <c r="Q883" i="76"/>
  <c r="P883" i="76"/>
  <c r="O883" i="76"/>
  <c r="Q882" i="76"/>
  <c r="P882" i="76"/>
  <c r="O882" i="76"/>
  <c r="Q881" i="76"/>
  <c r="P881" i="76"/>
  <c r="O881" i="76"/>
  <c r="Q880" i="76"/>
  <c r="P880" i="76"/>
  <c r="O880" i="76"/>
  <c r="Q879" i="76"/>
  <c r="P879" i="76"/>
  <c r="O879" i="76"/>
  <c r="Q878" i="76"/>
  <c r="P878" i="76"/>
  <c r="O878" i="76"/>
  <c r="Q877" i="76"/>
  <c r="P877" i="76"/>
  <c r="O877" i="76"/>
  <c r="Q876" i="76"/>
  <c r="P876" i="76"/>
  <c r="O876" i="76"/>
  <c r="Q875" i="76"/>
  <c r="P875" i="76"/>
  <c r="O875" i="76"/>
  <c r="Q874" i="76"/>
  <c r="P874" i="76"/>
  <c r="O874" i="76"/>
  <c r="Q873" i="76"/>
  <c r="P873" i="76"/>
  <c r="O873" i="76"/>
  <c r="Q872" i="76"/>
  <c r="P872" i="76"/>
  <c r="O872" i="76"/>
  <c r="Q871" i="76"/>
  <c r="P871" i="76"/>
  <c r="O871" i="76"/>
  <c r="Q870" i="76"/>
  <c r="P870" i="76"/>
  <c r="O870" i="76"/>
  <c r="Q869" i="76"/>
  <c r="P869" i="76"/>
  <c r="O869" i="76"/>
  <c r="Q868" i="76"/>
  <c r="P868" i="76"/>
  <c r="O868" i="76"/>
  <c r="Q867" i="76"/>
  <c r="P867" i="76"/>
  <c r="O867" i="76"/>
  <c r="Q866" i="76"/>
  <c r="P866" i="76"/>
  <c r="O866" i="76"/>
  <c r="Q865" i="76"/>
  <c r="P865" i="76"/>
  <c r="O865" i="76"/>
  <c r="Q864" i="76"/>
  <c r="P864" i="76"/>
  <c r="O864" i="76"/>
  <c r="Q863" i="76"/>
  <c r="P863" i="76"/>
  <c r="O863" i="76"/>
  <c r="Q862" i="76"/>
  <c r="P862" i="76"/>
  <c r="O862" i="76"/>
  <c r="Q861" i="76"/>
  <c r="P861" i="76"/>
  <c r="O861" i="76"/>
  <c r="Q860" i="76"/>
  <c r="P860" i="76"/>
  <c r="O860" i="76"/>
  <c r="Q859" i="76"/>
  <c r="P859" i="76"/>
  <c r="O859" i="76"/>
  <c r="Q858" i="76"/>
  <c r="P858" i="76"/>
  <c r="O858" i="76"/>
  <c r="Q857" i="76"/>
  <c r="P857" i="76"/>
  <c r="O857" i="76"/>
  <c r="Q856" i="76"/>
  <c r="P856" i="76"/>
  <c r="O856" i="76"/>
  <c r="Q855" i="76"/>
  <c r="P855" i="76"/>
  <c r="O855" i="76"/>
  <c r="Q854" i="76"/>
  <c r="P854" i="76"/>
  <c r="O854" i="76"/>
  <c r="Q853" i="76"/>
  <c r="P853" i="76"/>
  <c r="O853" i="76"/>
  <c r="Q852" i="76"/>
  <c r="P852" i="76"/>
  <c r="O852" i="76"/>
  <c r="Q851" i="76"/>
  <c r="P851" i="76"/>
  <c r="O851" i="76"/>
  <c r="Q850" i="76"/>
  <c r="P850" i="76"/>
  <c r="O850" i="76"/>
  <c r="Q849" i="76"/>
  <c r="P849" i="76"/>
  <c r="O849" i="76"/>
  <c r="Q848" i="76"/>
  <c r="P848" i="76"/>
  <c r="O848" i="76"/>
  <c r="Q847" i="76"/>
  <c r="P847" i="76"/>
  <c r="O847" i="76"/>
  <c r="Q846" i="76"/>
  <c r="P846" i="76"/>
  <c r="O846" i="76"/>
  <c r="Q845" i="76"/>
  <c r="P845" i="76"/>
  <c r="O845" i="76"/>
  <c r="Q844" i="76"/>
  <c r="P844" i="76"/>
  <c r="O844" i="76"/>
  <c r="Q843" i="76"/>
  <c r="P843" i="76"/>
  <c r="O843" i="76"/>
  <c r="Q842" i="76"/>
  <c r="P842" i="76"/>
  <c r="O842" i="76"/>
  <c r="Q841" i="76"/>
  <c r="P841" i="76"/>
  <c r="O841" i="76"/>
  <c r="Q840" i="76"/>
  <c r="P840" i="76"/>
  <c r="O840" i="76"/>
  <c r="Q839" i="76"/>
  <c r="P839" i="76"/>
  <c r="O839" i="76"/>
  <c r="Q838" i="76"/>
  <c r="P838" i="76"/>
  <c r="O838" i="76"/>
  <c r="Q837" i="76"/>
  <c r="P837" i="76"/>
  <c r="O837" i="76"/>
  <c r="Q836" i="76"/>
  <c r="P836" i="76"/>
  <c r="O836" i="76"/>
  <c r="Q835" i="76"/>
  <c r="P835" i="76"/>
  <c r="O835" i="76"/>
  <c r="Q834" i="76"/>
  <c r="P834" i="76"/>
  <c r="O834" i="76"/>
  <c r="Q833" i="76"/>
  <c r="P833" i="76"/>
  <c r="O833" i="76"/>
  <c r="Q832" i="76"/>
  <c r="P832" i="76"/>
  <c r="O832" i="76"/>
  <c r="Q831" i="76"/>
  <c r="P831" i="76"/>
  <c r="O831" i="76"/>
  <c r="Q830" i="76"/>
  <c r="P830" i="76"/>
  <c r="O830" i="76"/>
  <c r="Q829" i="76"/>
  <c r="P829" i="76"/>
  <c r="O829" i="76"/>
  <c r="Q828" i="76"/>
  <c r="P828" i="76"/>
  <c r="O828" i="76"/>
  <c r="Q827" i="76"/>
  <c r="P827" i="76"/>
  <c r="O827" i="76"/>
  <c r="Q826" i="76"/>
  <c r="P826" i="76"/>
  <c r="O826" i="76"/>
  <c r="Q825" i="76"/>
  <c r="P825" i="76"/>
  <c r="O825" i="76"/>
  <c r="Q824" i="76"/>
  <c r="P824" i="76"/>
  <c r="O824" i="76"/>
  <c r="Q823" i="76"/>
  <c r="P823" i="76"/>
  <c r="O823" i="76"/>
  <c r="Q822" i="76"/>
  <c r="P822" i="76"/>
  <c r="O822" i="76"/>
  <c r="Q821" i="76"/>
  <c r="P821" i="76"/>
  <c r="O821" i="76"/>
  <c r="Q820" i="76"/>
  <c r="P820" i="76"/>
  <c r="O820" i="76"/>
  <c r="Q819" i="76"/>
  <c r="P819" i="76"/>
  <c r="O819" i="76"/>
  <c r="Q818" i="76"/>
  <c r="P818" i="76"/>
  <c r="O818" i="76"/>
  <c r="Q817" i="76"/>
  <c r="P817" i="76"/>
  <c r="O817" i="76"/>
  <c r="Q816" i="76"/>
  <c r="P816" i="76"/>
  <c r="O816" i="76"/>
  <c r="Q815" i="76"/>
  <c r="P815" i="76"/>
  <c r="O815" i="76"/>
  <c r="Q814" i="76"/>
  <c r="P814" i="76"/>
  <c r="O814" i="76"/>
  <c r="Q813" i="76"/>
  <c r="P813" i="76"/>
  <c r="O813" i="76"/>
  <c r="Q812" i="76"/>
  <c r="P812" i="76"/>
  <c r="O812" i="76"/>
  <c r="Q811" i="76"/>
  <c r="P811" i="76"/>
  <c r="O811" i="76"/>
  <c r="Q810" i="76"/>
  <c r="P810" i="76"/>
  <c r="O810" i="76"/>
  <c r="Q809" i="76"/>
  <c r="P809" i="76"/>
  <c r="O809" i="76"/>
  <c r="Q808" i="76"/>
  <c r="P808" i="76"/>
  <c r="O808" i="76"/>
  <c r="Q807" i="76"/>
  <c r="P807" i="76"/>
  <c r="O807" i="76"/>
  <c r="Q806" i="76"/>
  <c r="P806" i="76"/>
  <c r="O806" i="76"/>
  <c r="Q805" i="76"/>
  <c r="P805" i="76"/>
  <c r="O805" i="76"/>
  <c r="Q804" i="76"/>
  <c r="P804" i="76"/>
  <c r="O804" i="76"/>
  <c r="Q803" i="76"/>
  <c r="P803" i="76"/>
  <c r="O803" i="76"/>
  <c r="Q802" i="76"/>
  <c r="P802" i="76"/>
  <c r="O802" i="76"/>
  <c r="Q801" i="76"/>
  <c r="P801" i="76"/>
  <c r="O801" i="76"/>
  <c r="Q800" i="76"/>
  <c r="P800" i="76"/>
  <c r="O800" i="76"/>
  <c r="Q799" i="76"/>
  <c r="P799" i="76"/>
  <c r="O799" i="76"/>
  <c r="Q798" i="76"/>
  <c r="P798" i="76"/>
  <c r="O798" i="76"/>
  <c r="Q797" i="76"/>
  <c r="P797" i="76"/>
  <c r="O797" i="76"/>
  <c r="Q796" i="76"/>
  <c r="P796" i="76"/>
  <c r="O796" i="76"/>
  <c r="Q795" i="76"/>
  <c r="P795" i="76"/>
  <c r="O795" i="76"/>
  <c r="Q794" i="76"/>
  <c r="P794" i="76"/>
  <c r="O794" i="76"/>
  <c r="Q793" i="76"/>
  <c r="P793" i="76"/>
  <c r="O793" i="76"/>
  <c r="Q792" i="76"/>
  <c r="P792" i="76"/>
  <c r="O792" i="76"/>
  <c r="Q791" i="76"/>
  <c r="P791" i="76"/>
  <c r="O791" i="76"/>
  <c r="Q790" i="76"/>
  <c r="P790" i="76"/>
  <c r="O790" i="76"/>
  <c r="Q789" i="76"/>
  <c r="P789" i="76"/>
  <c r="O789" i="76"/>
  <c r="Q788" i="76"/>
  <c r="P788" i="76"/>
  <c r="O788" i="76"/>
  <c r="Q787" i="76"/>
  <c r="P787" i="76"/>
  <c r="O787" i="76"/>
  <c r="Q786" i="76"/>
  <c r="P786" i="76"/>
  <c r="O786" i="76"/>
  <c r="Q785" i="76"/>
  <c r="P785" i="76"/>
  <c r="O785" i="76"/>
  <c r="Q784" i="76"/>
  <c r="P784" i="76"/>
  <c r="O784" i="76"/>
  <c r="Q783" i="76"/>
  <c r="P783" i="76"/>
  <c r="O783" i="76"/>
  <c r="Q782" i="76"/>
  <c r="P782" i="76"/>
  <c r="O782" i="76"/>
  <c r="Q781" i="76"/>
  <c r="P781" i="76"/>
  <c r="O781" i="76"/>
  <c r="Q780" i="76"/>
  <c r="P780" i="76"/>
  <c r="O780" i="76"/>
  <c r="Q779" i="76"/>
  <c r="P779" i="76"/>
  <c r="O779" i="76"/>
  <c r="Q778" i="76"/>
  <c r="P778" i="76"/>
  <c r="O778" i="76"/>
  <c r="Q777" i="76"/>
  <c r="P777" i="76"/>
  <c r="O777" i="76"/>
  <c r="Q776" i="76"/>
  <c r="P776" i="76"/>
  <c r="O776" i="76"/>
  <c r="Q775" i="76"/>
  <c r="P775" i="76"/>
  <c r="O775" i="76"/>
  <c r="Q774" i="76"/>
  <c r="P774" i="76"/>
  <c r="O774" i="76"/>
  <c r="Q773" i="76"/>
  <c r="P773" i="76"/>
  <c r="O773" i="76"/>
  <c r="Q772" i="76"/>
  <c r="P772" i="76"/>
  <c r="O772" i="76"/>
  <c r="Q771" i="76"/>
  <c r="P771" i="76"/>
  <c r="O771" i="76"/>
  <c r="Q770" i="76"/>
  <c r="P770" i="76"/>
  <c r="O770" i="76"/>
  <c r="Q769" i="76"/>
  <c r="P769" i="76"/>
  <c r="O769" i="76"/>
  <c r="Q768" i="76"/>
  <c r="P768" i="76"/>
  <c r="O768" i="76"/>
  <c r="Q767" i="76"/>
  <c r="P767" i="76"/>
  <c r="O767" i="76"/>
  <c r="Q766" i="76"/>
  <c r="P766" i="76"/>
  <c r="O766" i="76"/>
  <c r="Q765" i="76"/>
  <c r="P765" i="76"/>
  <c r="O765" i="76"/>
  <c r="Q764" i="76"/>
  <c r="P764" i="76"/>
  <c r="O764" i="76"/>
  <c r="Q763" i="76"/>
  <c r="P763" i="76"/>
  <c r="O763" i="76"/>
  <c r="Q762" i="76"/>
  <c r="P762" i="76"/>
  <c r="O762" i="76"/>
  <c r="Q761" i="76"/>
  <c r="P761" i="76"/>
  <c r="O761" i="76"/>
  <c r="Q760" i="76"/>
  <c r="P760" i="76"/>
  <c r="O760" i="76"/>
  <c r="Q759" i="76"/>
  <c r="P759" i="76"/>
  <c r="O759" i="76"/>
  <c r="Q758" i="76"/>
  <c r="P758" i="76"/>
  <c r="O758" i="76"/>
  <c r="Q757" i="76"/>
  <c r="P757" i="76"/>
  <c r="O757" i="76"/>
  <c r="Q756" i="76"/>
  <c r="P756" i="76"/>
  <c r="O756" i="76"/>
  <c r="Q755" i="76"/>
  <c r="P755" i="76"/>
  <c r="O755" i="76"/>
  <c r="Q754" i="76"/>
  <c r="P754" i="76"/>
  <c r="O754" i="76"/>
  <c r="Q753" i="76"/>
  <c r="P753" i="76"/>
  <c r="O753" i="76"/>
  <c r="Q752" i="76"/>
  <c r="P752" i="76"/>
  <c r="O752" i="76"/>
  <c r="Q751" i="76"/>
  <c r="P751" i="76"/>
  <c r="O751" i="76"/>
  <c r="Q750" i="76"/>
  <c r="P750" i="76"/>
  <c r="O750" i="76"/>
  <c r="Q749" i="76"/>
  <c r="P749" i="76"/>
  <c r="O749" i="76"/>
  <c r="Q748" i="76"/>
  <c r="P748" i="76"/>
  <c r="O748" i="76"/>
  <c r="Q747" i="76"/>
  <c r="P747" i="76"/>
  <c r="O747" i="76"/>
  <c r="Q746" i="76"/>
  <c r="P746" i="76"/>
  <c r="O746" i="76"/>
  <c r="Q745" i="76"/>
  <c r="P745" i="76"/>
  <c r="O745" i="76"/>
  <c r="Q744" i="76"/>
  <c r="P744" i="76"/>
  <c r="O744" i="76"/>
  <c r="Q743" i="76"/>
  <c r="P743" i="76"/>
  <c r="O743" i="76"/>
  <c r="Q742" i="76"/>
  <c r="P742" i="76"/>
  <c r="O742" i="76"/>
  <c r="Q741" i="76"/>
  <c r="P741" i="76"/>
  <c r="O741" i="76"/>
  <c r="Q740" i="76"/>
  <c r="P740" i="76"/>
  <c r="O740" i="76"/>
  <c r="Q739" i="76"/>
  <c r="P739" i="76"/>
  <c r="O739" i="76"/>
  <c r="Q738" i="76"/>
  <c r="P738" i="76"/>
  <c r="O738" i="76"/>
  <c r="Q737" i="76"/>
  <c r="P737" i="76"/>
  <c r="O737" i="76"/>
  <c r="Q736" i="76"/>
  <c r="P736" i="76"/>
  <c r="O736" i="76"/>
  <c r="Q735" i="76"/>
  <c r="P735" i="76"/>
  <c r="O735" i="76"/>
  <c r="Q734" i="76"/>
  <c r="P734" i="76"/>
  <c r="O734" i="76"/>
  <c r="Q733" i="76"/>
  <c r="P733" i="76"/>
  <c r="O733" i="76"/>
  <c r="Q732" i="76"/>
  <c r="P732" i="76"/>
  <c r="O732" i="76"/>
  <c r="Q731" i="76"/>
  <c r="P731" i="76"/>
  <c r="O731" i="76"/>
  <c r="Q730" i="76"/>
  <c r="P730" i="76"/>
  <c r="O730" i="76"/>
  <c r="Q729" i="76"/>
  <c r="P729" i="76"/>
  <c r="O729" i="76"/>
  <c r="Q728" i="76"/>
  <c r="P728" i="76"/>
  <c r="O728" i="76"/>
  <c r="Q727" i="76"/>
  <c r="P727" i="76"/>
  <c r="O727" i="76"/>
  <c r="Q726" i="76"/>
  <c r="P726" i="76"/>
  <c r="O726" i="76"/>
  <c r="Q725" i="76"/>
  <c r="P725" i="76"/>
  <c r="O725" i="76"/>
  <c r="Q724" i="76"/>
  <c r="P724" i="76"/>
  <c r="O724" i="76"/>
  <c r="Q723" i="76"/>
  <c r="P723" i="76"/>
  <c r="O723" i="76"/>
  <c r="Q722" i="76"/>
  <c r="P722" i="76"/>
  <c r="O722" i="76"/>
  <c r="Q721" i="76"/>
  <c r="P721" i="76"/>
  <c r="O721" i="76"/>
  <c r="Q720" i="76"/>
  <c r="P720" i="76"/>
  <c r="O720" i="76"/>
  <c r="Q719" i="76"/>
  <c r="P719" i="76"/>
  <c r="O719" i="76"/>
  <c r="Q718" i="76"/>
  <c r="P718" i="76"/>
  <c r="O718" i="76"/>
  <c r="Q717" i="76"/>
  <c r="P717" i="76"/>
  <c r="O717" i="76"/>
  <c r="Q716" i="76"/>
  <c r="P716" i="76"/>
  <c r="O716" i="76"/>
  <c r="Q715" i="76"/>
  <c r="P715" i="76"/>
  <c r="O715" i="76"/>
  <c r="Q714" i="76"/>
  <c r="P714" i="76"/>
  <c r="O714" i="76"/>
  <c r="Q713" i="76"/>
  <c r="P713" i="76"/>
  <c r="O713" i="76"/>
  <c r="Q712" i="76"/>
  <c r="P712" i="76"/>
  <c r="O712" i="76"/>
  <c r="Q711" i="76"/>
  <c r="P711" i="76"/>
  <c r="O711" i="76"/>
  <c r="Q710" i="76"/>
  <c r="P710" i="76"/>
  <c r="O710" i="76"/>
  <c r="Q709" i="76"/>
  <c r="P709" i="76"/>
  <c r="O709" i="76"/>
  <c r="Q708" i="76"/>
  <c r="P708" i="76"/>
  <c r="O708" i="76"/>
  <c r="Q707" i="76"/>
  <c r="P707" i="76"/>
  <c r="O707" i="76"/>
  <c r="Q706" i="76"/>
  <c r="P706" i="76"/>
  <c r="O706" i="76"/>
  <c r="Q705" i="76"/>
  <c r="P705" i="76"/>
  <c r="O705" i="76"/>
  <c r="Q704" i="76"/>
  <c r="P704" i="76"/>
  <c r="O704" i="76"/>
  <c r="Q703" i="76"/>
  <c r="P703" i="76"/>
  <c r="O703" i="76"/>
  <c r="Q702" i="76"/>
  <c r="P702" i="76"/>
  <c r="O702" i="76"/>
  <c r="Q701" i="76"/>
  <c r="P701" i="76"/>
  <c r="O701" i="76"/>
  <c r="Q700" i="76"/>
  <c r="P700" i="76"/>
  <c r="O700" i="76"/>
  <c r="Q699" i="76"/>
  <c r="P699" i="76"/>
  <c r="O699" i="76"/>
  <c r="Q698" i="76"/>
  <c r="P698" i="76"/>
  <c r="O698" i="76"/>
  <c r="Q697" i="76"/>
  <c r="P697" i="76"/>
  <c r="O697" i="76"/>
  <c r="Q696" i="76"/>
  <c r="P696" i="76"/>
  <c r="O696" i="76"/>
  <c r="Q695" i="76"/>
  <c r="P695" i="76"/>
  <c r="O695" i="76"/>
  <c r="Q694" i="76"/>
  <c r="P694" i="76"/>
  <c r="O694" i="76"/>
  <c r="Q693" i="76"/>
  <c r="P693" i="76"/>
  <c r="O693" i="76"/>
  <c r="Q692" i="76"/>
  <c r="P692" i="76"/>
  <c r="O692" i="76"/>
  <c r="Q691" i="76"/>
  <c r="P691" i="76"/>
  <c r="O691" i="76"/>
  <c r="Q690" i="76"/>
  <c r="P690" i="76"/>
  <c r="O690" i="76"/>
  <c r="Q689" i="76"/>
  <c r="P689" i="76"/>
  <c r="O689" i="76"/>
  <c r="Q688" i="76"/>
  <c r="P688" i="76"/>
  <c r="O688" i="76"/>
  <c r="Q687" i="76"/>
  <c r="P687" i="76"/>
  <c r="O687" i="76"/>
  <c r="Q686" i="76"/>
  <c r="P686" i="76"/>
  <c r="O686" i="76"/>
  <c r="Q685" i="76"/>
  <c r="P685" i="76"/>
  <c r="O685" i="76"/>
  <c r="Q684" i="76"/>
  <c r="P684" i="76"/>
  <c r="O684" i="76"/>
  <c r="Q683" i="76"/>
  <c r="P683" i="76"/>
  <c r="O683" i="76"/>
  <c r="Q682" i="76"/>
  <c r="P682" i="76"/>
  <c r="O682" i="76"/>
  <c r="Q681" i="76"/>
  <c r="P681" i="76"/>
  <c r="O681" i="76"/>
  <c r="Q680" i="76"/>
  <c r="P680" i="76"/>
  <c r="O680" i="76"/>
  <c r="Q679" i="76"/>
  <c r="P679" i="76"/>
  <c r="O679" i="76"/>
  <c r="Q678" i="76"/>
  <c r="P678" i="76"/>
  <c r="O678" i="76"/>
  <c r="Q677" i="76"/>
  <c r="P677" i="76"/>
  <c r="O677" i="76"/>
  <c r="Q676" i="76"/>
  <c r="P676" i="76"/>
  <c r="O676" i="76"/>
  <c r="Q675" i="76"/>
  <c r="P675" i="76"/>
  <c r="O675" i="76"/>
  <c r="Q674" i="76"/>
  <c r="P674" i="76"/>
  <c r="O674" i="76"/>
  <c r="Q673" i="76"/>
  <c r="P673" i="76"/>
  <c r="O673" i="76"/>
  <c r="Q672" i="76"/>
  <c r="P672" i="76"/>
  <c r="O672" i="76"/>
  <c r="Q671" i="76"/>
  <c r="P671" i="76"/>
  <c r="O671" i="76"/>
  <c r="Q670" i="76"/>
  <c r="P670" i="76"/>
  <c r="O670" i="76"/>
  <c r="Q669" i="76"/>
  <c r="P669" i="76"/>
  <c r="O669" i="76"/>
  <c r="Q668" i="76"/>
  <c r="P668" i="76"/>
  <c r="O668" i="76"/>
  <c r="Q667" i="76"/>
  <c r="P667" i="76"/>
  <c r="O667" i="76"/>
  <c r="Q666" i="76"/>
  <c r="P666" i="76"/>
  <c r="O666" i="76"/>
  <c r="Q665" i="76"/>
  <c r="P665" i="76"/>
  <c r="O665" i="76"/>
  <c r="Q664" i="76"/>
  <c r="P664" i="76"/>
  <c r="O664" i="76"/>
  <c r="Q663" i="76"/>
  <c r="P663" i="76"/>
  <c r="O663" i="76"/>
  <c r="Q662" i="76"/>
  <c r="P662" i="76"/>
  <c r="O662" i="76"/>
  <c r="Q661" i="76"/>
  <c r="P661" i="76"/>
  <c r="O661" i="76"/>
  <c r="Q660" i="76"/>
  <c r="P660" i="76"/>
  <c r="O660" i="76"/>
  <c r="Q659" i="76"/>
  <c r="P659" i="76"/>
  <c r="O659" i="76"/>
  <c r="Q658" i="76"/>
  <c r="P658" i="76"/>
  <c r="O658" i="76"/>
  <c r="Q657" i="76"/>
  <c r="P657" i="76"/>
  <c r="O657" i="76"/>
  <c r="Q656" i="76"/>
  <c r="P656" i="76"/>
  <c r="O656" i="76"/>
  <c r="Q655" i="76"/>
  <c r="P655" i="76"/>
  <c r="O655" i="76"/>
  <c r="Q654" i="76"/>
  <c r="P654" i="76"/>
  <c r="O654" i="76"/>
  <c r="Q653" i="76"/>
  <c r="P653" i="76"/>
  <c r="O653" i="76"/>
  <c r="Q652" i="76"/>
  <c r="P652" i="76"/>
  <c r="O652" i="76"/>
  <c r="Q651" i="76"/>
  <c r="P651" i="76"/>
  <c r="O651" i="76"/>
  <c r="Q650" i="76"/>
  <c r="P650" i="76"/>
  <c r="O650" i="76"/>
  <c r="Q649" i="76"/>
  <c r="P649" i="76"/>
  <c r="O649" i="76"/>
  <c r="Q648" i="76"/>
  <c r="P648" i="76"/>
  <c r="O648" i="76"/>
  <c r="Q647" i="76"/>
  <c r="P647" i="76"/>
  <c r="O647" i="76"/>
  <c r="Q646" i="76"/>
  <c r="P646" i="76"/>
  <c r="O646" i="76"/>
  <c r="Q645" i="76"/>
  <c r="P645" i="76"/>
  <c r="O645" i="76"/>
  <c r="Q644" i="76"/>
  <c r="P644" i="76"/>
  <c r="O644" i="76"/>
  <c r="Q643" i="76"/>
  <c r="P643" i="76"/>
  <c r="O643" i="76"/>
  <c r="Q642" i="76"/>
  <c r="P642" i="76"/>
  <c r="O642" i="76"/>
  <c r="Q641" i="76"/>
  <c r="P641" i="76"/>
  <c r="O641" i="76"/>
  <c r="Q640" i="76"/>
  <c r="P640" i="76"/>
  <c r="O640" i="76"/>
  <c r="Q639" i="76"/>
  <c r="P639" i="76"/>
  <c r="O639" i="76"/>
  <c r="Q638" i="76"/>
  <c r="P638" i="76"/>
  <c r="O638" i="76"/>
  <c r="Q637" i="76"/>
  <c r="P637" i="76"/>
  <c r="O637" i="76"/>
  <c r="Q636" i="76"/>
  <c r="P636" i="76"/>
  <c r="O636" i="76"/>
  <c r="Q635" i="76"/>
  <c r="P635" i="76"/>
  <c r="O635" i="76"/>
  <c r="Q634" i="76"/>
  <c r="P634" i="76"/>
  <c r="O634" i="76"/>
  <c r="Q633" i="76"/>
  <c r="P633" i="76"/>
  <c r="O633" i="76"/>
  <c r="Q632" i="76"/>
  <c r="P632" i="76"/>
  <c r="O632" i="76"/>
  <c r="Q631" i="76"/>
  <c r="P631" i="76"/>
  <c r="O631" i="76"/>
  <c r="Q630" i="76"/>
  <c r="P630" i="76"/>
  <c r="O630" i="76"/>
  <c r="Q629" i="76"/>
  <c r="P629" i="76"/>
  <c r="O629" i="76"/>
  <c r="Q628" i="76"/>
  <c r="P628" i="76"/>
  <c r="O628" i="76"/>
  <c r="Q627" i="76"/>
  <c r="P627" i="76"/>
  <c r="O627" i="76"/>
  <c r="Q626" i="76"/>
  <c r="P626" i="76"/>
  <c r="O626" i="76"/>
  <c r="Q625" i="76"/>
  <c r="P625" i="76"/>
  <c r="O625" i="76"/>
  <c r="Q624" i="76"/>
  <c r="P624" i="76"/>
  <c r="O624" i="76"/>
  <c r="Q623" i="76"/>
  <c r="P623" i="76"/>
  <c r="O623" i="76"/>
  <c r="Q622" i="76"/>
  <c r="P622" i="76"/>
  <c r="O622" i="76"/>
  <c r="Q621" i="76"/>
  <c r="P621" i="76"/>
  <c r="O621" i="76"/>
  <c r="Q620" i="76"/>
  <c r="P620" i="76"/>
  <c r="O620" i="76"/>
  <c r="Q619" i="76"/>
  <c r="P619" i="76"/>
  <c r="O619" i="76"/>
  <c r="Q618" i="76"/>
  <c r="P618" i="76"/>
  <c r="O618" i="76"/>
  <c r="Q617" i="76"/>
  <c r="P617" i="76"/>
  <c r="O617" i="76"/>
  <c r="Q616" i="76"/>
  <c r="P616" i="76"/>
  <c r="O616" i="76"/>
  <c r="Q615" i="76"/>
  <c r="P615" i="76"/>
  <c r="O615" i="76"/>
  <c r="Q614" i="76"/>
  <c r="P614" i="76"/>
  <c r="O614" i="76"/>
  <c r="Q613" i="76"/>
  <c r="P613" i="76"/>
  <c r="O613" i="76"/>
  <c r="Q612" i="76"/>
  <c r="P612" i="76"/>
  <c r="O612" i="76"/>
  <c r="Q611" i="76"/>
  <c r="P611" i="76"/>
  <c r="O611" i="76"/>
  <c r="Q610" i="76"/>
  <c r="P610" i="76"/>
  <c r="O610" i="76"/>
  <c r="Q609" i="76"/>
  <c r="P609" i="76"/>
  <c r="O609" i="76"/>
  <c r="Q608" i="76"/>
  <c r="P608" i="76"/>
  <c r="O608" i="76"/>
  <c r="Q607" i="76"/>
  <c r="P607" i="76"/>
  <c r="O607" i="76"/>
  <c r="Q606" i="76"/>
  <c r="P606" i="76"/>
  <c r="O606" i="76"/>
  <c r="Q605" i="76"/>
  <c r="P605" i="76"/>
  <c r="O605" i="76"/>
  <c r="Q604" i="76"/>
  <c r="P604" i="76"/>
  <c r="O604" i="76"/>
  <c r="Q603" i="76"/>
  <c r="P603" i="76"/>
  <c r="O603" i="76"/>
  <c r="Q602" i="76"/>
  <c r="P602" i="76"/>
  <c r="O602" i="76"/>
  <c r="Q601" i="76"/>
  <c r="P601" i="76"/>
  <c r="O601" i="76"/>
  <c r="Q600" i="76"/>
  <c r="P600" i="76"/>
  <c r="O600" i="76"/>
  <c r="Q599" i="76"/>
  <c r="P599" i="76"/>
  <c r="O599" i="76"/>
  <c r="Q598" i="76"/>
  <c r="P598" i="76"/>
  <c r="O598" i="76"/>
  <c r="Q597" i="76"/>
  <c r="P597" i="76"/>
  <c r="O597" i="76"/>
  <c r="Q596" i="76"/>
  <c r="P596" i="76"/>
  <c r="O596" i="76"/>
  <c r="Q595" i="76"/>
  <c r="P595" i="76"/>
  <c r="O595" i="76"/>
  <c r="Q594" i="76"/>
  <c r="P594" i="76"/>
  <c r="O594" i="76"/>
  <c r="Q593" i="76"/>
  <c r="P593" i="76"/>
  <c r="O593" i="76"/>
  <c r="Q592" i="76"/>
  <c r="P592" i="76"/>
  <c r="O592" i="76"/>
  <c r="Q591" i="76"/>
  <c r="P591" i="76"/>
  <c r="O591" i="76"/>
  <c r="Q590" i="76"/>
  <c r="P590" i="76"/>
  <c r="O590" i="76"/>
  <c r="Q589" i="76"/>
  <c r="P589" i="76"/>
  <c r="O589" i="76"/>
  <c r="Q588" i="76"/>
  <c r="P588" i="76"/>
  <c r="O588" i="76"/>
  <c r="Q587" i="76"/>
  <c r="P587" i="76"/>
  <c r="O587" i="76"/>
  <c r="Q586" i="76"/>
  <c r="P586" i="76"/>
  <c r="O586" i="76"/>
  <c r="Q585" i="76"/>
  <c r="P585" i="76"/>
  <c r="O585" i="76"/>
  <c r="Q584" i="76"/>
  <c r="P584" i="76"/>
  <c r="O584" i="76"/>
  <c r="Q583" i="76"/>
  <c r="P583" i="76"/>
  <c r="O583" i="76"/>
  <c r="Q582" i="76"/>
  <c r="P582" i="76"/>
  <c r="O582" i="76"/>
  <c r="Q581" i="76"/>
  <c r="P581" i="76"/>
  <c r="O581" i="76"/>
  <c r="Q580" i="76"/>
  <c r="P580" i="76"/>
  <c r="O580" i="76"/>
  <c r="Q579" i="76"/>
  <c r="P579" i="76"/>
  <c r="O579" i="76"/>
  <c r="Q578" i="76"/>
  <c r="P578" i="76"/>
  <c r="O578" i="76"/>
  <c r="Q577" i="76"/>
  <c r="P577" i="76"/>
  <c r="O577" i="76"/>
  <c r="Q576" i="76"/>
  <c r="P576" i="76"/>
  <c r="O576" i="76"/>
  <c r="Q575" i="76"/>
  <c r="P575" i="76"/>
  <c r="O575" i="76"/>
  <c r="Q574" i="76"/>
  <c r="P574" i="76"/>
  <c r="O574" i="76"/>
  <c r="Q573" i="76"/>
  <c r="P573" i="76"/>
  <c r="O573" i="76"/>
  <c r="Q572" i="76"/>
  <c r="P572" i="76"/>
  <c r="O572" i="76"/>
  <c r="Q571" i="76"/>
  <c r="P571" i="76"/>
  <c r="O571" i="76"/>
  <c r="Q570" i="76"/>
  <c r="P570" i="76"/>
  <c r="O570" i="76"/>
  <c r="Q569" i="76"/>
  <c r="P569" i="76"/>
  <c r="O569" i="76"/>
  <c r="Q568" i="76"/>
  <c r="P568" i="76"/>
  <c r="O568" i="76"/>
  <c r="Q567" i="76"/>
  <c r="P567" i="76"/>
  <c r="O567" i="76"/>
  <c r="Q566" i="76"/>
  <c r="P566" i="76"/>
  <c r="O566" i="76"/>
  <c r="Q565" i="76"/>
  <c r="P565" i="76"/>
  <c r="O565" i="76"/>
  <c r="Q564" i="76"/>
  <c r="P564" i="76"/>
  <c r="O564" i="76"/>
  <c r="Q563" i="76"/>
  <c r="P563" i="76"/>
  <c r="O563" i="76"/>
  <c r="Q562" i="76"/>
  <c r="P562" i="76"/>
  <c r="O562" i="76"/>
  <c r="Q561" i="76"/>
  <c r="P561" i="76"/>
  <c r="O561" i="76"/>
  <c r="Q560" i="76"/>
  <c r="P560" i="76"/>
  <c r="O560" i="76"/>
  <c r="Q559" i="76"/>
  <c r="P559" i="76"/>
  <c r="O559" i="76"/>
  <c r="Q558" i="76"/>
  <c r="P558" i="76"/>
  <c r="O558" i="76"/>
  <c r="Q557" i="76"/>
  <c r="P557" i="76"/>
  <c r="O557" i="76"/>
  <c r="Q556" i="76"/>
  <c r="P556" i="76"/>
  <c r="O556" i="76"/>
  <c r="Q555" i="76"/>
  <c r="P555" i="76"/>
  <c r="O555" i="76"/>
  <c r="Q554" i="76"/>
  <c r="P554" i="76"/>
  <c r="O554" i="76"/>
  <c r="Q553" i="76"/>
  <c r="P553" i="76"/>
  <c r="O553" i="76"/>
  <c r="Q552" i="76"/>
  <c r="P552" i="76"/>
  <c r="O552" i="76"/>
  <c r="Q551" i="76"/>
  <c r="P551" i="76"/>
  <c r="O551" i="76"/>
  <c r="Q550" i="76"/>
  <c r="P550" i="76"/>
  <c r="O550" i="76"/>
  <c r="Q549" i="76"/>
  <c r="P549" i="76"/>
  <c r="O549" i="76"/>
  <c r="Q548" i="76"/>
  <c r="P548" i="76"/>
  <c r="O548" i="76"/>
  <c r="Q547" i="76"/>
  <c r="P547" i="76"/>
  <c r="O547" i="76"/>
  <c r="Q546" i="76"/>
  <c r="P546" i="76"/>
  <c r="O546" i="76"/>
  <c r="Q545" i="76"/>
  <c r="P545" i="76"/>
  <c r="O545" i="76"/>
  <c r="Q544" i="76"/>
  <c r="P544" i="76"/>
  <c r="O544" i="76"/>
  <c r="Q543" i="76"/>
  <c r="P543" i="76"/>
  <c r="O543" i="76"/>
  <c r="Q542" i="76"/>
  <c r="P542" i="76"/>
  <c r="O542" i="76"/>
  <c r="Q541" i="76"/>
  <c r="P541" i="76"/>
  <c r="O541" i="76"/>
  <c r="Q540" i="76"/>
  <c r="P540" i="76"/>
  <c r="O540" i="76"/>
  <c r="Q539" i="76"/>
  <c r="P539" i="76"/>
  <c r="O539" i="76"/>
  <c r="Q538" i="76"/>
  <c r="P538" i="76"/>
  <c r="O538" i="76"/>
  <c r="Q537" i="76"/>
  <c r="P537" i="76"/>
  <c r="O537" i="76"/>
  <c r="Q536" i="76"/>
  <c r="P536" i="76"/>
  <c r="O536" i="76"/>
  <c r="Q535" i="76"/>
  <c r="P535" i="76"/>
  <c r="O535" i="76"/>
  <c r="Q534" i="76"/>
  <c r="P534" i="76"/>
  <c r="O534" i="76"/>
  <c r="Q533" i="76"/>
  <c r="P533" i="76"/>
  <c r="O533" i="76"/>
  <c r="Q532" i="76"/>
  <c r="P532" i="76"/>
  <c r="O532" i="76"/>
  <c r="Q531" i="76"/>
  <c r="P531" i="76"/>
  <c r="O531" i="76"/>
  <c r="Q530" i="76"/>
  <c r="P530" i="76"/>
  <c r="O530" i="76"/>
  <c r="Q529" i="76"/>
  <c r="P529" i="76"/>
  <c r="O529" i="76"/>
  <c r="Q528" i="76"/>
  <c r="P528" i="76"/>
  <c r="O528" i="76"/>
  <c r="Q527" i="76"/>
  <c r="P527" i="76"/>
  <c r="O527" i="76"/>
  <c r="Q526" i="76"/>
  <c r="P526" i="76"/>
  <c r="O526" i="76"/>
  <c r="Q525" i="76"/>
  <c r="P525" i="76"/>
  <c r="O525" i="76"/>
  <c r="Q524" i="76"/>
  <c r="P524" i="76"/>
  <c r="O524" i="76"/>
  <c r="Q523" i="76"/>
  <c r="P523" i="76"/>
  <c r="O523" i="76"/>
  <c r="Q522" i="76"/>
  <c r="P522" i="76"/>
  <c r="O522" i="76"/>
  <c r="Q521" i="76"/>
  <c r="P521" i="76"/>
  <c r="O521" i="76"/>
  <c r="Q520" i="76"/>
  <c r="P520" i="76"/>
  <c r="O520" i="76"/>
  <c r="Q519" i="76"/>
  <c r="P519" i="76"/>
  <c r="O519" i="76"/>
  <c r="Q518" i="76"/>
  <c r="P518" i="76"/>
  <c r="O518" i="76"/>
  <c r="Q517" i="76"/>
  <c r="P517" i="76"/>
  <c r="O517" i="76"/>
  <c r="Q516" i="76"/>
  <c r="P516" i="76"/>
  <c r="O516" i="76"/>
  <c r="Q515" i="76"/>
  <c r="P515" i="76"/>
  <c r="O515" i="76"/>
  <c r="Q514" i="76"/>
  <c r="P514" i="76"/>
  <c r="O514" i="76"/>
  <c r="Q513" i="76"/>
  <c r="P513" i="76"/>
  <c r="O513" i="76"/>
  <c r="Q512" i="76"/>
  <c r="P512" i="76"/>
  <c r="O512" i="76"/>
  <c r="Q511" i="76"/>
  <c r="P511" i="76"/>
  <c r="O511" i="76"/>
  <c r="Q510" i="76"/>
  <c r="P510" i="76"/>
  <c r="O510" i="76"/>
  <c r="Q509" i="76"/>
  <c r="P509" i="76"/>
  <c r="O509" i="76"/>
  <c r="Q508" i="76"/>
  <c r="P508" i="76"/>
  <c r="O508" i="76"/>
  <c r="Q507" i="76"/>
  <c r="P507" i="76"/>
  <c r="O507" i="76"/>
  <c r="Q506" i="76"/>
  <c r="P506" i="76"/>
  <c r="O506" i="76"/>
  <c r="Q505" i="76"/>
  <c r="P505" i="76"/>
  <c r="O505" i="76"/>
  <c r="Q504" i="76"/>
  <c r="P504" i="76"/>
  <c r="O504" i="76"/>
  <c r="Q503" i="76"/>
  <c r="P503" i="76"/>
  <c r="O503" i="76"/>
  <c r="Q502" i="76"/>
  <c r="P502" i="76"/>
  <c r="O502" i="76"/>
  <c r="Q501" i="76"/>
  <c r="P501" i="76"/>
  <c r="O501" i="76"/>
  <c r="Q500" i="76"/>
  <c r="P500" i="76"/>
  <c r="O500" i="76"/>
  <c r="Q499" i="76"/>
  <c r="P499" i="76"/>
  <c r="O499" i="76"/>
  <c r="Q498" i="76"/>
  <c r="P498" i="76"/>
  <c r="O498" i="76"/>
  <c r="Q497" i="76"/>
  <c r="P497" i="76"/>
  <c r="O497" i="76"/>
  <c r="Q496" i="76"/>
  <c r="P496" i="76"/>
  <c r="O496" i="76"/>
  <c r="Q495" i="76"/>
  <c r="P495" i="76"/>
  <c r="O495" i="76"/>
  <c r="Q494" i="76"/>
  <c r="P494" i="76"/>
  <c r="O494" i="76"/>
  <c r="Q493" i="76"/>
  <c r="P493" i="76"/>
  <c r="O493" i="76"/>
  <c r="Q492" i="76"/>
  <c r="P492" i="76"/>
  <c r="O492" i="76"/>
  <c r="Q491" i="76"/>
  <c r="P491" i="76"/>
  <c r="O491" i="76"/>
  <c r="Q490" i="76"/>
  <c r="P490" i="76"/>
  <c r="O490" i="76"/>
  <c r="Q489" i="76"/>
  <c r="P489" i="76"/>
  <c r="O489" i="76"/>
  <c r="Q488" i="76"/>
  <c r="P488" i="76"/>
  <c r="O488" i="76"/>
  <c r="Q487" i="76"/>
  <c r="P487" i="76"/>
  <c r="O487" i="76"/>
  <c r="Q486" i="76"/>
  <c r="P486" i="76"/>
  <c r="O486" i="76"/>
  <c r="Q485" i="76"/>
  <c r="P485" i="76"/>
  <c r="O485" i="76"/>
  <c r="Q484" i="76"/>
  <c r="P484" i="76"/>
  <c r="O484" i="76"/>
  <c r="Q483" i="76"/>
  <c r="P483" i="76"/>
  <c r="O483" i="76"/>
  <c r="Q482" i="76"/>
  <c r="P482" i="76"/>
  <c r="O482" i="76"/>
  <c r="Q481" i="76"/>
  <c r="P481" i="76"/>
  <c r="O481" i="76"/>
  <c r="Q480" i="76"/>
  <c r="P480" i="76"/>
  <c r="O480" i="76"/>
  <c r="Q479" i="76"/>
  <c r="P479" i="76"/>
  <c r="O479" i="76"/>
  <c r="Q478" i="76"/>
  <c r="P478" i="76"/>
  <c r="O478" i="76"/>
  <c r="Q477" i="76"/>
  <c r="P477" i="76"/>
  <c r="O477" i="76"/>
  <c r="Q476" i="76"/>
  <c r="P476" i="76"/>
  <c r="O476" i="76"/>
  <c r="Q475" i="76"/>
  <c r="P475" i="76"/>
  <c r="O475" i="76"/>
  <c r="Q474" i="76"/>
  <c r="P474" i="76"/>
  <c r="O474" i="76"/>
  <c r="Q473" i="76"/>
  <c r="P473" i="76"/>
  <c r="O473" i="76"/>
  <c r="Q472" i="76"/>
  <c r="P472" i="76"/>
  <c r="O472" i="76"/>
  <c r="Q471" i="76"/>
  <c r="P471" i="76"/>
  <c r="O471" i="76"/>
  <c r="Q470" i="76"/>
  <c r="P470" i="76"/>
  <c r="O470" i="76"/>
  <c r="Q469" i="76"/>
  <c r="P469" i="76"/>
  <c r="O469" i="76"/>
  <c r="Q468" i="76"/>
  <c r="P468" i="76"/>
  <c r="O468" i="76"/>
  <c r="Q467" i="76"/>
  <c r="P467" i="76"/>
  <c r="O467" i="76"/>
  <c r="Q466" i="76"/>
  <c r="P466" i="76"/>
  <c r="O466" i="76"/>
  <c r="Q465" i="76"/>
  <c r="P465" i="76"/>
  <c r="O465" i="76"/>
  <c r="Q464" i="76"/>
  <c r="P464" i="76"/>
  <c r="O464" i="76"/>
  <c r="Q463" i="76"/>
  <c r="P463" i="76"/>
  <c r="O463" i="76"/>
  <c r="Q462" i="76"/>
  <c r="P462" i="76"/>
  <c r="O462" i="76"/>
  <c r="Q461" i="76"/>
  <c r="P461" i="76"/>
  <c r="O461" i="76"/>
  <c r="Q460" i="76"/>
  <c r="P460" i="76"/>
  <c r="O460" i="76"/>
  <c r="Q459" i="76"/>
  <c r="P459" i="76"/>
  <c r="O459" i="76"/>
  <c r="Q458" i="76"/>
  <c r="P458" i="76"/>
  <c r="O458" i="76"/>
  <c r="Q457" i="76"/>
  <c r="P457" i="76"/>
  <c r="O457" i="76"/>
  <c r="Q456" i="76"/>
  <c r="P456" i="76"/>
  <c r="O456" i="76"/>
  <c r="Q455" i="76"/>
  <c r="P455" i="76"/>
  <c r="O455" i="76"/>
  <c r="Q454" i="76"/>
  <c r="P454" i="76"/>
  <c r="O454" i="76"/>
  <c r="Q453" i="76"/>
  <c r="P453" i="76"/>
  <c r="O453" i="76"/>
  <c r="Q452" i="76"/>
  <c r="P452" i="76"/>
  <c r="O452" i="76"/>
  <c r="Q451" i="76"/>
  <c r="P451" i="76"/>
  <c r="O451" i="76"/>
  <c r="Q450" i="76"/>
  <c r="P450" i="76"/>
  <c r="O450" i="76"/>
  <c r="Q449" i="76"/>
  <c r="P449" i="76"/>
  <c r="O449" i="76"/>
  <c r="Q448" i="76"/>
  <c r="P448" i="76"/>
  <c r="O448" i="76"/>
  <c r="Q447" i="76"/>
  <c r="P447" i="76"/>
  <c r="O447" i="76"/>
  <c r="Q446" i="76"/>
  <c r="P446" i="76"/>
  <c r="O446" i="76"/>
  <c r="Q445" i="76"/>
  <c r="P445" i="76"/>
  <c r="O445" i="76"/>
  <c r="Q444" i="76"/>
  <c r="P444" i="76"/>
  <c r="O444" i="76"/>
  <c r="Q443" i="76"/>
  <c r="P443" i="76"/>
  <c r="O443" i="76"/>
  <c r="Q442" i="76"/>
  <c r="P442" i="76"/>
  <c r="O442" i="76"/>
  <c r="Q441" i="76"/>
  <c r="P441" i="76"/>
  <c r="O441" i="76"/>
  <c r="Q440" i="76"/>
  <c r="P440" i="76"/>
  <c r="O440" i="76"/>
  <c r="Q439" i="76"/>
  <c r="P439" i="76"/>
  <c r="O439" i="76"/>
  <c r="Q438" i="76"/>
  <c r="P438" i="76"/>
  <c r="O438" i="76"/>
  <c r="Q437" i="76"/>
  <c r="P437" i="76"/>
  <c r="O437" i="76"/>
  <c r="Q436" i="76"/>
  <c r="P436" i="76"/>
  <c r="O436" i="76"/>
  <c r="Q435" i="76"/>
  <c r="P435" i="76"/>
  <c r="O435" i="76"/>
  <c r="Q434" i="76"/>
  <c r="P434" i="76"/>
  <c r="O434" i="76"/>
  <c r="Q433" i="76"/>
  <c r="P433" i="76"/>
  <c r="O433" i="76"/>
  <c r="Q432" i="76"/>
  <c r="P432" i="76"/>
  <c r="O432" i="76"/>
  <c r="Q431" i="76"/>
  <c r="P431" i="76"/>
  <c r="O431" i="76"/>
  <c r="Q430" i="76"/>
  <c r="P430" i="76"/>
  <c r="O430" i="76"/>
  <c r="Q429" i="76"/>
  <c r="P429" i="76"/>
  <c r="O429" i="76"/>
  <c r="Q428" i="76"/>
  <c r="P428" i="76"/>
  <c r="O428" i="76"/>
  <c r="Q427" i="76"/>
  <c r="P427" i="76"/>
  <c r="O427" i="76"/>
  <c r="Q426" i="76"/>
  <c r="P426" i="76"/>
  <c r="O426" i="76"/>
  <c r="Q425" i="76"/>
  <c r="P425" i="76"/>
  <c r="O425" i="76"/>
  <c r="Q424" i="76"/>
  <c r="P424" i="76"/>
  <c r="O424" i="76"/>
  <c r="Q423" i="76"/>
  <c r="P423" i="76"/>
  <c r="O423" i="76"/>
  <c r="Q422" i="76"/>
  <c r="P422" i="76"/>
  <c r="O422" i="76"/>
  <c r="Q421" i="76"/>
  <c r="P421" i="76"/>
  <c r="O421" i="76"/>
  <c r="Q420" i="76"/>
  <c r="P420" i="76"/>
  <c r="O420" i="76"/>
  <c r="Q419" i="76"/>
  <c r="P419" i="76"/>
  <c r="O419" i="76"/>
  <c r="Q418" i="76"/>
  <c r="P418" i="76"/>
  <c r="O418" i="76"/>
  <c r="Q417" i="76"/>
  <c r="P417" i="76"/>
  <c r="O417" i="76"/>
  <c r="Q416" i="76"/>
  <c r="P416" i="76"/>
  <c r="O416" i="76"/>
  <c r="Q415" i="76"/>
  <c r="P415" i="76"/>
  <c r="O415" i="76"/>
  <c r="Q414" i="76"/>
  <c r="P414" i="76"/>
  <c r="O414" i="76"/>
  <c r="Q413" i="76"/>
  <c r="P413" i="76"/>
  <c r="O413" i="76"/>
  <c r="Q412" i="76"/>
  <c r="P412" i="76"/>
  <c r="O412" i="76"/>
  <c r="Q411" i="76"/>
  <c r="P411" i="76"/>
  <c r="O411" i="76"/>
  <c r="Q410" i="76"/>
  <c r="P410" i="76"/>
  <c r="O410" i="76"/>
  <c r="Q409" i="76"/>
  <c r="P409" i="76"/>
  <c r="O409" i="76"/>
  <c r="Q408" i="76"/>
  <c r="P408" i="76"/>
  <c r="O408" i="76"/>
  <c r="Q407" i="76"/>
  <c r="P407" i="76"/>
  <c r="O407" i="76"/>
  <c r="Q406" i="76"/>
  <c r="P406" i="76"/>
  <c r="O406" i="76"/>
  <c r="Q405" i="76"/>
  <c r="P405" i="76"/>
  <c r="O405" i="76"/>
  <c r="Q404" i="76"/>
  <c r="P404" i="76"/>
  <c r="O404" i="76"/>
  <c r="Q403" i="76"/>
  <c r="P403" i="76"/>
  <c r="O403" i="76"/>
  <c r="Q402" i="76"/>
  <c r="P402" i="76"/>
  <c r="O402" i="76"/>
  <c r="Q401" i="76"/>
  <c r="P401" i="76"/>
  <c r="O401" i="76"/>
  <c r="Q400" i="76"/>
  <c r="P400" i="76"/>
  <c r="O400" i="76"/>
  <c r="Q399" i="76"/>
  <c r="P399" i="76"/>
  <c r="O399" i="76"/>
  <c r="Q398" i="76"/>
  <c r="P398" i="76"/>
  <c r="O398" i="76"/>
  <c r="Q397" i="76"/>
  <c r="P397" i="76"/>
  <c r="O397" i="76"/>
  <c r="Q396" i="76"/>
  <c r="P396" i="76"/>
  <c r="O396" i="76"/>
  <c r="Q395" i="76"/>
  <c r="P395" i="76"/>
  <c r="O395" i="76"/>
  <c r="Q394" i="76"/>
  <c r="P394" i="76"/>
  <c r="O394" i="76"/>
  <c r="Q393" i="76"/>
  <c r="P393" i="76"/>
  <c r="O393" i="76"/>
  <c r="Q392" i="76"/>
  <c r="P392" i="76"/>
  <c r="O392" i="76"/>
  <c r="Q391" i="76"/>
  <c r="P391" i="76"/>
  <c r="O391" i="76"/>
  <c r="Q390" i="76"/>
  <c r="P390" i="76"/>
  <c r="O390" i="76"/>
  <c r="Q389" i="76"/>
  <c r="P389" i="76"/>
  <c r="O389" i="76"/>
  <c r="Q388" i="76"/>
  <c r="P388" i="76"/>
  <c r="O388" i="76"/>
  <c r="Q387" i="76"/>
  <c r="P387" i="76"/>
  <c r="O387" i="76"/>
  <c r="Q386" i="76"/>
  <c r="P386" i="76"/>
  <c r="O386" i="76"/>
  <c r="Q385" i="76"/>
  <c r="P385" i="76"/>
  <c r="O385" i="76"/>
  <c r="Q384" i="76"/>
  <c r="P384" i="76"/>
  <c r="O384" i="76"/>
  <c r="Q383" i="76"/>
  <c r="P383" i="76"/>
  <c r="O383" i="76"/>
  <c r="Q382" i="76"/>
  <c r="P382" i="76"/>
  <c r="O382" i="76"/>
  <c r="Q381" i="76"/>
  <c r="P381" i="76"/>
  <c r="O381" i="76"/>
  <c r="Q380" i="76"/>
  <c r="P380" i="76"/>
  <c r="O380" i="76"/>
  <c r="Q379" i="76"/>
  <c r="P379" i="76"/>
  <c r="O379" i="76"/>
  <c r="Q378" i="76"/>
  <c r="P378" i="76"/>
  <c r="O378" i="76"/>
  <c r="Q377" i="76"/>
  <c r="P377" i="76"/>
  <c r="O377" i="76"/>
  <c r="Q376" i="76"/>
  <c r="P376" i="76"/>
  <c r="O376" i="76"/>
  <c r="Q375" i="76"/>
  <c r="P375" i="76"/>
  <c r="O375" i="76"/>
  <c r="Q374" i="76"/>
  <c r="P374" i="76"/>
  <c r="O374" i="76"/>
  <c r="Q373" i="76"/>
  <c r="P373" i="76"/>
  <c r="O373" i="76"/>
  <c r="Q372" i="76"/>
  <c r="P372" i="76"/>
  <c r="O372" i="76"/>
  <c r="Q371" i="76"/>
  <c r="P371" i="76"/>
  <c r="O371" i="76"/>
  <c r="Q370" i="76"/>
  <c r="P370" i="76"/>
  <c r="O370" i="76"/>
  <c r="Q369" i="76"/>
  <c r="P369" i="76"/>
  <c r="O369" i="76"/>
  <c r="Q368" i="76"/>
  <c r="P368" i="76"/>
  <c r="O368" i="76"/>
  <c r="Q367" i="76"/>
  <c r="P367" i="76"/>
  <c r="O367" i="76"/>
  <c r="Q366" i="76"/>
  <c r="P366" i="76"/>
  <c r="O366" i="76"/>
  <c r="Q365" i="76"/>
  <c r="P365" i="76"/>
  <c r="O365" i="76"/>
  <c r="Q364" i="76"/>
  <c r="P364" i="76"/>
  <c r="O364" i="76"/>
  <c r="Q363" i="76"/>
  <c r="P363" i="76"/>
  <c r="O363" i="76"/>
  <c r="Q362" i="76"/>
  <c r="P362" i="76"/>
  <c r="O362" i="76"/>
  <c r="Q361" i="76"/>
  <c r="P361" i="76"/>
  <c r="O361" i="76"/>
  <c r="Q360" i="76"/>
  <c r="P360" i="76"/>
  <c r="O360" i="76"/>
  <c r="Q359" i="76"/>
  <c r="P359" i="76"/>
  <c r="O359" i="76"/>
  <c r="Q358" i="76"/>
  <c r="P358" i="76"/>
  <c r="O358" i="76"/>
  <c r="Q357" i="76"/>
  <c r="P357" i="76"/>
  <c r="O357" i="76"/>
  <c r="Q356" i="76"/>
  <c r="P356" i="76"/>
  <c r="O356" i="76"/>
  <c r="Q355" i="76"/>
  <c r="P355" i="76"/>
  <c r="O355" i="76"/>
  <c r="Q354" i="76"/>
  <c r="P354" i="76"/>
  <c r="O354" i="76"/>
  <c r="Q353" i="76"/>
  <c r="P353" i="76"/>
  <c r="O353" i="76"/>
  <c r="Q352" i="76"/>
  <c r="P352" i="76"/>
  <c r="O352" i="76"/>
  <c r="Q351" i="76"/>
  <c r="P351" i="76"/>
  <c r="O351" i="76"/>
  <c r="Q350" i="76"/>
  <c r="P350" i="76"/>
  <c r="O350" i="76"/>
  <c r="Q349" i="76"/>
  <c r="P349" i="76"/>
  <c r="O349" i="76"/>
  <c r="Q348" i="76"/>
  <c r="P348" i="76"/>
  <c r="O348" i="76"/>
  <c r="Q347" i="76"/>
  <c r="P347" i="76"/>
  <c r="O347" i="76"/>
  <c r="Q346" i="76"/>
  <c r="P346" i="76"/>
  <c r="O346" i="76"/>
  <c r="Q345" i="76"/>
  <c r="P345" i="76"/>
  <c r="O345" i="76"/>
  <c r="Q344" i="76"/>
  <c r="P344" i="76"/>
  <c r="O344" i="76"/>
  <c r="Q343" i="76"/>
  <c r="P343" i="76"/>
  <c r="O343" i="76"/>
  <c r="Q342" i="76"/>
  <c r="P342" i="76"/>
  <c r="O342" i="76"/>
  <c r="Q341" i="76"/>
  <c r="P341" i="76"/>
  <c r="O341" i="76"/>
  <c r="Q340" i="76"/>
  <c r="P340" i="76"/>
  <c r="O340" i="76"/>
  <c r="Q339" i="76"/>
  <c r="P339" i="76"/>
  <c r="O339" i="76"/>
  <c r="Q338" i="76"/>
  <c r="P338" i="76"/>
  <c r="O338" i="76"/>
  <c r="Q337" i="76"/>
  <c r="P337" i="76"/>
  <c r="O337" i="76"/>
  <c r="Q336" i="76"/>
  <c r="P336" i="76"/>
  <c r="O336" i="76"/>
  <c r="Q335" i="76"/>
  <c r="P335" i="76"/>
  <c r="O335" i="76"/>
  <c r="Q334" i="76"/>
  <c r="P334" i="76"/>
  <c r="O334" i="76"/>
  <c r="Q333" i="76"/>
  <c r="P333" i="76"/>
  <c r="O333" i="76"/>
  <c r="Q332" i="76"/>
  <c r="P332" i="76"/>
  <c r="O332" i="76"/>
  <c r="Q331" i="76"/>
  <c r="P331" i="76"/>
  <c r="O331" i="76"/>
  <c r="Q330" i="76"/>
  <c r="P330" i="76"/>
  <c r="O330" i="76"/>
  <c r="Q329" i="76"/>
  <c r="P329" i="76"/>
  <c r="O329" i="76"/>
  <c r="Q328" i="76"/>
  <c r="P328" i="76"/>
  <c r="O328" i="76"/>
  <c r="Q327" i="76"/>
  <c r="P327" i="76"/>
  <c r="O327" i="76"/>
  <c r="Q326" i="76"/>
  <c r="P326" i="76"/>
  <c r="O326" i="76"/>
  <c r="Q325" i="76"/>
  <c r="P325" i="76"/>
  <c r="O325" i="76"/>
  <c r="Q324" i="76"/>
  <c r="P324" i="76"/>
  <c r="O324" i="76"/>
  <c r="Q323" i="76"/>
  <c r="P323" i="76"/>
  <c r="O323" i="76"/>
  <c r="Q322" i="76"/>
  <c r="P322" i="76"/>
  <c r="O322" i="76"/>
  <c r="Q321" i="76"/>
  <c r="P321" i="76"/>
  <c r="O321" i="76"/>
  <c r="Q320" i="76"/>
  <c r="P320" i="76"/>
  <c r="O320" i="76"/>
  <c r="Q319" i="76"/>
  <c r="P319" i="76"/>
  <c r="O319" i="76"/>
  <c r="Q318" i="76"/>
  <c r="P318" i="76"/>
  <c r="O318" i="76"/>
  <c r="Q317" i="76"/>
  <c r="P317" i="76"/>
  <c r="O317" i="76"/>
  <c r="Q316" i="76"/>
  <c r="P316" i="76"/>
  <c r="O316" i="76"/>
  <c r="Q315" i="76"/>
  <c r="P315" i="76"/>
  <c r="O315" i="76"/>
  <c r="Q314" i="76"/>
  <c r="P314" i="76"/>
  <c r="O314" i="76"/>
  <c r="Q313" i="76"/>
  <c r="P313" i="76"/>
  <c r="O313" i="76"/>
  <c r="Q312" i="76"/>
  <c r="P312" i="76"/>
  <c r="O312" i="76"/>
  <c r="Q311" i="76"/>
  <c r="P311" i="76"/>
  <c r="O311" i="76"/>
  <c r="Q310" i="76"/>
  <c r="P310" i="76"/>
  <c r="O310" i="76"/>
  <c r="Q309" i="76"/>
  <c r="P309" i="76"/>
  <c r="O309" i="76"/>
  <c r="Q308" i="76"/>
  <c r="P308" i="76"/>
  <c r="O308" i="76"/>
  <c r="Q307" i="76"/>
  <c r="P307" i="76"/>
  <c r="O307" i="76"/>
  <c r="Q306" i="76"/>
  <c r="P306" i="76"/>
  <c r="O306" i="76"/>
  <c r="Q305" i="76"/>
  <c r="P305" i="76"/>
  <c r="O305" i="76"/>
  <c r="Q304" i="76"/>
  <c r="P304" i="76"/>
  <c r="O304" i="76"/>
  <c r="Q303" i="76"/>
  <c r="P303" i="76"/>
  <c r="O303" i="76"/>
  <c r="Q302" i="76"/>
  <c r="P302" i="76"/>
  <c r="O302" i="76"/>
  <c r="Q301" i="76"/>
  <c r="P301" i="76"/>
  <c r="O301" i="76"/>
  <c r="Q300" i="76"/>
  <c r="P300" i="76"/>
  <c r="O300" i="76"/>
  <c r="Q299" i="76"/>
  <c r="P299" i="76"/>
  <c r="O299" i="76"/>
  <c r="Q298" i="76"/>
  <c r="P298" i="76"/>
  <c r="O298" i="76"/>
  <c r="Q297" i="76"/>
  <c r="P297" i="76"/>
  <c r="O297" i="76"/>
  <c r="Q296" i="76"/>
  <c r="P296" i="76"/>
  <c r="O296" i="76"/>
  <c r="Q295" i="76"/>
  <c r="P295" i="76"/>
  <c r="O295" i="76"/>
  <c r="Q294" i="76"/>
  <c r="P294" i="76"/>
  <c r="O294" i="76"/>
  <c r="Q293" i="76"/>
  <c r="P293" i="76"/>
  <c r="O293" i="76"/>
  <c r="Q292" i="76"/>
  <c r="P292" i="76"/>
  <c r="O292" i="76"/>
  <c r="Q291" i="76"/>
  <c r="P291" i="76"/>
  <c r="O291" i="76"/>
  <c r="Q290" i="76"/>
  <c r="P290" i="76"/>
  <c r="O290" i="76"/>
  <c r="Q289" i="76"/>
  <c r="P289" i="76"/>
  <c r="O289" i="76"/>
  <c r="Q288" i="76"/>
  <c r="P288" i="76"/>
  <c r="O288" i="76"/>
  <c r="Q287" i="76"/>
  <c r="P287" i="76"/>
  <c r="O287" i="76"/>
  <c r="Q286" i="76"/>
  <c r="P286" i="76"/>
  <c r="O286" i="76"/>
  <c r="Q285" i="76"/>
  <c r="P285" i="76"/>
  <c r="O285" i="76"/>
  <c r="Q284" i="76"/>
  <c r="P284" i="76"/>
  <c r="O284" i="76"/>
  <c r="Q283" i="76"/>
  <c r="P283" i="76"/>
  <c r="O283" i="76"/>
  <c r="Q282" i="76"/>
  <c r="P282" i="76"/>
  <c r="O282" i="76"/>
  <c r="Q281" i="76"/>
  <c r="P281" i="76"/>
  <c r="O281" i="76"/>
  <c r="Q280" i="76"/>
  <c r="P280" i="76"/>
  <c r="O280" i="76"/>
  <c r="Q279" i="76"/>
  <c r="P279" i="76"/>
  <c r="O279" i="76"/>
  <c r="Q278" i="76"/>
  <c r="P278" i="76"/>
  <c r="O278" i="76"/>
  <c r="Q277" i="76"/>
  <c r="P277" i="76"/>
  <c r="O277" i="76"/>
  <c r="Q276" i="76"/>
  <c r="P276" i="76"/>
  <c r="O276" i="76"/>
  <c r="Q275" i="76"/>
  <c r="P275" i="76"/>
  <c r="O275" i="76"/>
  <c r="Q274" i="76"/>
  <c r="P274" i="76"/>
  <c r="O274" i="76"/>
  <c r="Q273" i="76"/>
  <c r="P273" i="76"/>
  <c r="O273" i="76"/>
  <c r="Q272" i="76"/>
  <c r="P272" i="76"/>
  <c r="O272" i="76"/>
  <c r="Q271" i="76"/>
  <c r="P271" i="76"/>
  <c r="O271" i="76"/>
  <c r="Q270" i="76"/>
  <c r="P270" i="76"/>
  <c r="O270" i="76"/>
  <c r="Q269" i="76"/>
  <c r="P269" i="76"/>
  <c r="O269" i="76"/>
  <c r="Q268" i="76"/>
  <c r="P268" i="76"/>
  <c r="O268" i="76"/>
  <c r="Q267" i="76"/>
  <c r="P267" i="76"/>
  <c r="O267" i="76"/>
  <c r="Q266" i="76"/>
  <c r="P266" i="76"/>
  <c r="O266" i="76"/>
  <c r="Q265" i="76"/>
  <c r="P265" i="76"/>
  <c r="O265" i="76"/>
  <c r="Q264" i="76"/>
  <c r="P264" i="76"/>
  <c r="O264" i="76"/>
  <c r="Q263" i="76"/>
  <c r="P263" i="76"/>
  <c r="O263" i="76"/>
  <c r="Q262" i="76"/>
  <c r="P262" i="76"/>
  <c r="O262" i="76"/>
  <c r="Q261" i="76"/>
  <c r="P261" i="76"/>
  <c r="O261" i="76"/>
  <c r="Q260" i="76"/>
  <c r="P260" i="76"/>
  <c r="O260" i="76"/>
  <c r="Q259" i="76"/>
  <c r="P259" i="76"/>
  <c r="O259" i="76"/>
  <c r="Q258" i="76"/>
  <c r="P258" i="76"/>
  <c r="O258" i="76"/>
  <c r="Q257" i="76"/>
  <c r="P257" i="76"/>
  <c r="O257" i="76"/>
  <c r="Q256" i="76"/>
  <c r="P256" i="76"/>
  <c r="O256" i="76"/>
  <c r="Q255" i="76"/>
  <c r="P255" i="76"/>
  <c r="O255" i="76"/>
  <c r="Q254" i="76"/>
  <c r="P254" i="76"/>
  <c r="O254" i="76"/>
  <c r="Q253" i="76"/>
  <c r="P253" i="76"/>
  <c r="O253" i="76"/>
  <c r="Q252" i="76"/>
  <c r="P252" i="76"/>
  <c r="O252" i="76"/>
  <c r="Q251" i="76"/>
  <c r="P251" i="76"/>
  <c r="O251" i="76"/>
  <c r="Q250" i="76"/>
  <c r="P250" i="76"/>
  <c r="O250" i="76"/>
  <c r="Q249" i="76"/>
  <c r="P249" i="76"/>
  <c r="O249" i="76"/>
  <c r="Q248" i="76"/>
  <c r="P248" i="76"/>
  <c r="O248" i="76"/>
  <c r="Q247" i="76"/>
  <c r="P247" i="76"/>
  <c r="O247" i="76"/>
  <c r="Q246" i="76"/>
  <c r="P246" i="76"/>
  <c r="O246" i="76"/>
  <c r="Q245" i="76"/>
  <c r="P245" i="76"/>
  <c r="O245" i="76"/>
  <c r="Q244" i="76"/>
  <c r="P244" i="76"/>
  <c r="O244" i="76"/>
  <c r="Q243" i="76"/>
  <c r="P243" i="76"/>
  <c r="O243" i="76"/>
  <c r="Q242" i="76"/>
  <c r="P242" i="76"/>
  <c r="O242" i="76"/>
  <c r="Q241" i="76"/>
  <c r="P241" i="76"/>
  <c r="O241" i="76"/>
  <c r="Q240" i="76"/>
  <c r="P240" i="76"/>
  <c r="O240" i="76"/>
  <c r="Q239" i="76"/>
  <c r="P239" i="76"/>
  <c r="O239" i="76"/>
  <c r="Q238" i="76"/>
  <c r="P238" i="76"/>
  <c r="O238" i="76"/>
  <c r="Q237" i="76"/>
  <c r="P237" i="76"/>
  <c r="O237" i="76"/>
  <c r="Q236" i="76"/>
  <c r="P236" i="76"/>
  <c r="O236" i="76"/>
  <c r="Q235" i="76"/>
  <c r="P235" i="76"/>
  <c r="O235" i="76"/>
  <c r="Q234" i="76"/>
  <c r="P234" i="76"/>
  <c r="O234" i="76"/>
  <c r="Q233" i="76"/>
  <c r="P233" i="76"/>
  <c r="O233" i="76"/>
  <c r="Q232" i="76"/>
  <c r="P232" i="76"/>
  <c r="O232" i="76"/>
  <c r="Q231" i="76"/>
  <c r="P231" i="76"/>
  <c r="O231" i="76"/>
  <c r="Q230" i="76"/>
  <c r="P230" i="76"/>
  <c r="O230" i="76"/>
  <c r="Q229" i="76"/>
  <c r="P229" i="76"/>
  <c r="O229" i="76"/>
  <c r="Q228" i="76"/>
  <c r="P228" i="76"/>
  <c r="O228" i="76"/>
  <c r="Q227" i="76"/>
  <c r="P227" i="76"/>
  <c r="O227" i="76"/>
  <c r="Q226" i="76"/>
  <c r="P226" i="76"/>
  <c r="O226" i="76"/>
  <c r="Q225" i="76"/>
  <c r="P225" i="76"/>
  <c r="O225" i="76"/>
  <c r="Q224" i="76"/>
  <c r="P224" i="76"/>
  <c r="O224" i="76"/>
  <c r="Q223" i="76"/>
  <c r="P223" i="76"/>
  <c r="O223" i="76"/>
  <c r="Q222" i="76"/>
  <c r="P222" i="76"/>
  <c r="O222" i="76"/>
  <c r="Q221" i="76"/>
  <c r="P221" i="76"/>
  <c r="O221" i="76"/>
  <c r="Q220" i="76"/>
  <c r="P220" i="76"/>
  <c r="O220" i="76"/>
  <c r="Q219" i="76"/>
  <c r="P219" i="76"/>
  <c r="O219" i="76"/>
  <c r="Q218" i="76"/>
  <c r="P218" i="76"/>
  <c r="O218" i="76"/>
  <c r="Q217" i="76"/>
  <c r="P217" i="76"/>
  <c r="O217" i="76"/>
  <c r="Q216" i="76"/>
  <c r="P216" i="76"/>
  <c r="O216" i="76"/>
  <c r="Q215" i="76"/>
  <c r="P215" i="76"/>
  <c r="O215" i="76"/>
  <c r="Q214" i="76"/>
  <c r="P214" i="76"/>
  <c r="O214" i="76"/>
  <c r="Q213" i="76"/>
  <c r="P213" i="76"/>
  <c r="O213" i="76"/>
  <c r="Q212" i="76"/>
  <c r="P212" i="76"/>
  <c r="O212" i="76"/>
  <c r="Q211" i="76"/>
  <c r="P211" i="76"/>
  <c r="O211" i="76"/>
  <c r="Q210" i="76"/>
  <c r="P210" i="76"/>
  <c r="O210" i="76"/>
  <c r="Q209" i="76"/>
  <c r="P209" i="76"/>
  <c r="O209" i="76"/>
  <c r="Q208" i="76"/>
  <c r="P208" i="76"/>
  <c r="O208" i="76"/>
  <c r="Q207" i="76"/>
  <c r="P207" i="76"/>
  <c r="O207" i="76"/>
  <c r="Q206" i="76"/>
  <c r="P206" i="76"/>
  <c r="O206" i="76"/>
  <c r="Q205" i="76"/>
  <c r="P205" i="76"/>
  <c r="O205" i="76"/>
  <c r="Q204" i="76"/>
  <c r="P204" i="76"/>
  <c r="O204" i="76"/>
  <c r="Q203" i="76"/>
  <c r="P203" i="76"/>
  <c r="O203" i="76"/>
  <c r="Q202" i="76"/>
  <c r="P202" i="76"/>
  <c r="O202" i="76"/>
  <c r="Q201" i="76"/>
  <c r="P201" i="76"/>
  <c r="O201" i="76"/>
  <c r="Q200" i="76"/>
  <c r="P200" i="76"/>
  <c r="O200" i="76"/>
  <c r="Q199" i="76"/>
  <c r="P199" i="76"/>
  <c r="O199" i="76"/>
  <c r="Q198" i="76"/>
  <c r="P198" i="76"/>
  <c r="O198" i="76"/>
  <c r="Q197" i="76"/>
  <c r="P197" i="76"/>
  <c r="O197" i="76"/>
  <c r="Q196" i="76"/>
  <c r="P196" i="76"/>
  <c r="O196" i="76"/>
  <c r="Q195" i="76"/>
  <c r="P195" i="76"/>
  <c r="O195" i="76"/>
  <c r="Q194" i="76"/>
  <c r="P194" i="76"/>
  <c r="O194" i="76"/>
  <c r="Q193" i="76"/>
  <c r="P193" i="76"/>
  <c r="O193" i="76"/>
  <c r="Q192" i="76"/>
  <c r="P192" i="76"/>
  <c r="O192" i="76"/>
  <c r="Q191" i="76"/>
  <c r="P191" i="76"/>
  <c r="O191" i="76"/>
  <c r="Q190" i="76"/>
  <c r="P190" i="76"/>
  <c r="O190" i="76"/>
  <c r="Q189" i="76"/>
  <c r="P189" i="76"/>
  <c r="O189" i="76"/>
  <c r="Q188" i="76"/>
  <c r="P188" i="76"/>
  <c r="O188" i="76"/>
  <c r="Q187" i="76"/>
  <c r="P187" i="76"/>
  <c r="O187" i="76"/>
  <c r="Q186" i="76"/>
  <c r="P186" i="76"/>
  <c r="O186" i="76"/>
  <c r="Q185" i="76"/>
  <c r="P185" i="76"/>
  <c r="O185" i="76"/>
  <c r="Q184" i="76"/>
  <c r="P184" i="76"/>
  <c r="O184" i="76"/>
  <c r="Q183" i="76"/>
  <c r="P183" i="76"/>
  <c r="O183" i="76"/>
  <c r="Q182" i="76"/>
  <c r="P182" i="76"/>
  <c r="O182" i="76"/>
  <c r="Q181" i="76"/>
  <c r="P181" i="76"/>
  <c r="O181" i="76"/>
  <c r="Q180" i="76"/>
  <c r="P180" i="76"/>
  <c r="O180" i="76"/>
  <c r="Q179" i="76"/>
  <c r="P179" i="76"/>
  <c r="O179" i="76"/>
  <c r="Q178" i="76"/>
  <c r="P178" i="76"/>
  <c r="O178" i="76"/>
  <c r="Q177" i="76"/>
  <c r="P177" i="76"/>
  <c r="O177" i="76"/>
  <c r="Q176" i="76"/>
  <c r="P176" i="76"/>
  <c r="O176" i="76"/>
  <c r="Q175" i="76"/>
  <c r="P175" i="76"/>
  <c r="O175" i="76"/>
  <c r="Q174" i="76"/>
  <c r="P174" i="76"/>
  <c r="O174" i="76"/>
  <c r="Q173" i="76"/>
  <c r="P173" i="76"/>
  <c r="O173" i="76"/>
  <c r="Q172" i="76"/>
  <c r="P172" i="76"/>
  <c r="O172" i="76"/>
  <c r="Q171" i="76"/>
  <c r="P171" i="76"/>
  <c r="O171" i="76"/>
  <c r="Q170" i="76"/>
  <c r="P170" i="76"/>
  <c r="O170" i="76"/>
  <c r="Q169" i="76"/>
  <c r="P169" i="76"/>
  <c r="O169" i="76"/>
  <c r="Q168" i="76"/>
  <c r="P168" i="76"/>
  <c r="O168" i="76"/>
  <c r="Q167" i="76"/>
  <c r="P167" i="76"/>
  <c r="O167" i="76"/>
  <c r="Q166" i="76"/>
  <c r="P166" i="76"/>
  <c r="O166" i="76"/>
  <c r="Q165" i="76"/>
  <c r="P165" i="76"/>
  <c r="O165" i="76"/>
  <c r="Q164" i="76"/>
  <c r="P164" i="76"/>
  <c r="O164" i="76"/>
  <c r="Q163" i="76"/>
  <c r="P163" i="76"/>
  <c r="O163" i="76"/>
  <c r="Q162" i="76"/>
  <c r="P162" i="76"/>
  <c r="O162" i="76"/>
  <c r="Q161" i="76"/>
  <c r="P161" i="76"/>
  <c r="O161" i="76"/>
  <c r="Q160" i="76"/>
  <c r="P160" i="76"/>
  <c r="O160" i="76"/>
  <c r="Q159" i="76"/>
  <c r="P159" i="76"/>
  <c r="O159" i="76"/>
  <c r="Q158" i="76"/>
  <c r="P158" i="76"/>
  <c r="O158" i="76"/>
  <c r="Q157" i="76"/>
  <c r="P157" i="76"/>
  <c r="O157" i="76"/>
  <c r="Q156" i="76"/>
  <c r="P156" i="76"/>
  <c r="O156" i="76"/>
  <c r="Q155" i="76"/>
  <c r="P155" i="76"/>
  <c r="O155" i="76"/>
  <c r="Q154" i="76"/>
  <c r="P154" i="76"/>
  <c r="O154" i="76"/>
  <c r="Q153" i="76"/>
  <c r="P153" i="76"/>
  <c r="O153" i="76"/>
  <c r="Q152" i="76"/>
  <c r="P152" i="76"/>
  <c r="O152" i="76"/>
  <c r="Q151" i="76"/>
  <c r="P151" i="76"/>
  <c r="O151" i="76"/>
  <c r="Q150" i="76"/>
  <c r="P150" i="76"/>
  <c r="O150" i="76"/>
  <c r="Q149" i="76"/>
  <c r="P149" i="76"/>
  <c r="O149" i="76"/>
  <c r="Q148" i="76"/>
  <c r="P148" i="76"/>
  <c r="O148" i="76"/>
  <c r="Q147" i="76"/>
  <c r="P147" i="76"/>
  <c r="O147" i="76"/>
  <c r="Q146" i="76"/>
  <c r="P146" i="76"/>
  <c r="O146" i="76"/>
  <c r="Q145" i="76"/>
  <c r="P145" i="76"/>
  <c r="O145" i="76"/>
  <c r="Q144" i="76"/>
  <c r="P144" i="76"/>
  <c r="O144" i="76"/>
  <c r="Q143" i="76"/>
  <c r="P143" i="76"/>
  <c r="O143" i="76"/>
  <c r="Q142" i="76"/>
  <c r="P142" i="76"/>
  <c r="O142" i="76"/>
  <c r="Q141" i="76"/>
  <c r="P141" i="76"/>
  <c r="O141" i="76"/>
  <c r="Q140" i="76"/>
  <c r="P140" i="76"/>
  <c r="O140" i="76"/>
  <c r="Q139" i="76"/>
  <c r="P139" i="76"/>
  <c r="O139" i="76"/>
  <c r="Q138" i="76"/>
  <c r="P138" i="76"/>
  <c r="O138" i="76"/>
  <c r="Q137" i="76"/>
  <c r="P137" i="76"/>
  <c r="O137" i="76"/>
  <c r="Q136" i="76"/>
  <c r="P136" i="76"/>
  <c r="O136" i="76"/>
  <c r="Q135" i="76"/>
  <c r="P135" i="76"/>
  <c r="O135" i="76"/>
  <c r="Q134" i="76"/>
  <c r="P134" i="76"/>
  <c r="O134" i="76"/>
  <c r="Q133" i="76"/>
  <c r="P133" i="76"/>
  <c r="O133" i="76"/>
  <c r="Q132" i="76"/>
  <c r="P132" i="76"/>
  <c r="O132" i="76"/>
  <c r="Q131" i="76"/>
  <c r="P131" i="76"/>
  <c r="O131" i="76"/>
  <c r="Q130" i="76"/>
  <c r="P130" i="76"/>
  <c r="O130" i="76"/>
  <c r="Q129" i="76"/>
  <c r="P129" i="76"/>
  <c r="O129" i="76"/>
  <c r="Q128" i="76"/>
  <c r="P128" i="76"/>
  <c r="O128" i="76"/>
  <c r="Q127" i="76"/>
  <c r="P127" i="76"/>
  <c r="O127" i="76"/>
  <c r="Q126" i="76"/>
  <c r="P126" i="76"/>
  <c r="O126" i="76"/>
  <c r="Q125" i="76"/>
  <c r="P125" i="76"/>
  <c r="O125" i="76"/>
  <c r="Q124" i="76"/>
  <c r="P124" i="76"/>
  <c r="O124" i="76"/>
  <c r="Q123" i="76"/>
  <c r="P123" i="76"/>
  <c r="O123" i="76"/>
  <c r="Q122" i="76"/>
  <c r="P122" i="76"/>
  <c r="O122" i="76"/>
  <c r="Q121" i="76"/>
  <c r="P121" i="76"/>
  <c r="O121" i="76"/>
  <c r="Q120" i="76"/>
  <c r="P120" i="76"/>
  <c r="O120" i="76"/>
  <c r="Q119" i="76"/>
  <c r="P119" i="76"/>
  <c r="O119" i="76"/>
  <c r="Q118" i="76"/>
  <c r="P118" i="76"/>
  <c r="O118" i="76"/>
  <c r="Q117" i="76"/>
  <c r="P117" i="76"/>
  <c r="O117" i="76"/>
  <c r="Q116" i="76"/>
  <c r="P116" i="76"/>
  <c r="O116" i="76"/>
  <c r="Q115" i="76"/>
  <c r="P115" i="76"/>
  <c r="O115" i="76"/>
  <c r="Q114" i="76"/>
  <c r="P114" i="76"/>
  <c r="O114" i="76"/>
  <c r="Q113" i="76"/>
  <c r="P113" i="76"/>
  <c r="O113" i="76"/>
  <c r="Q112" i="76"/>
  <c r="P112" i="76"/>
  <c r="O112" i="76"/>
  <c r="Q111" i="76"/>
  <c r="P111" i="76"/>
  <c r="O111" i="76"/>
  <c r="Q110" i="76"/>
  <c r="P110" i="76"/>
  <c r="O110" i="76"/>
  <c r="Q109" i="76"/>
  <c r="P109" i="76"/>
  <c r="O109" i="76"/>
  <c r="Q108" i="76"/>
  <c r="P108" i="76"/>
  <c r="O108" i="76"/>
  <c r="Q107" i="76"/>
  <c r="P107" i="76"/>
  <c r="O107" i="76"/>
  <c r="Q106" i="76"/>
  <c r="P106" i="76"/>
  <c r="O106" i="76"/>
  <c r="Q105" i="76"/>
  <c r="P105" i="76"/>
  <c r="O105" i="76"/>
  <c r="Q104" i="76"/>
  <c r="P104" i="76"/>
  <c r="O104" i="76"/>
  <c r="Q103" i="76"/>
  <c r="P103" i="76"/>
  <c r="O103" i="76"/>
  <c r="Q102" i="76"/>
  <c r="P102" i="76"/>
  <c r="O102" i="76"/>
  <c r="Q101" i="76"/>
  <c r="P101" i="76"/>
  <c r="O101" i="76"/>
  <c r="Q100" i="76"/>
  <c r="P100" i="76"/>
  <c r="O100" i="76"/>
  <c r="Q99" i="76"/>
  <c r="P99" i="76"/>
  <c r="O99" i="76"/>
  <c r="Q98" i="76"/>
  <c r="P98" i="76"/>
  <c r="O98" i="76"/>
  <c r="Q97" i="76"/>
  <c r="P97" i="76"/>
  <c r="O97" i="76"/>
  <c r="Q96" i="76"/>
  <c r="P96" i="76"/>
  <c r="O96" i="76"/>
  <c r="Q95" i="76"/>
  <c r="P95" i="76"/>
  <c r="O95" i="76"/>
  <c r="Q94" i="76"/>
  <c r="P94" i="76"/>
  <c r="O94" i="76"/>
  <c r="Q93" i="76"/>
  <c r="P93" i="76"/>
  <c r="O93" i="76"/>
  <c r="Q92" i="76"/>
  <c r="P92" i="76"/>
  <c r="O92" i="76"/>
  <c r="Q91" i="76"/>
  <c r="P91" i="76"/>
  <c r="O91" i="76"/>
  <c r="Q90" i="76"/>
  <c r="P90" i="76"/>
  <c r="O90" i="76"/>
  <c r="Q89" i="76"/>
  <c r="P89" i="76"/>
  <c r="O89" i="76"/>
  <c r="Q88" i="76"/>
  <c r="P88" i="76"/>
  <c r="O88" i="76"/>
  <c r="Q87" i="76"/>
  <c r="P87" i="76"/>
  <c r="O87" i="76"/>
  <c r="Q86" i="76"/>
  <c r="P86" i="76"/>
  <c r="O86" i="76"/>
  <c r="Q85" i="76"/>
  <c r="P85" i="76"/>
  <c r="O85" i="76"/>
  <c r="Q84" i="76"/>
  <c r="P84" i="76"/>
  <c r="O84" i="76"/>
  <c r="Q83" i="76"/>
  <c r="P83" i="76"/>
  <c r="O83" i="76"/>
  <c r="Q82" i="76"/>
  <c r="P82" i="76"/>
  <c r="O82" i="76"/>
  <c r="Q81" i="76"/>
  <c r="P81" i="76"/>
  <c r="O81" i="76"/>
  <c r="Q80" i="76"/>
  <c r="P80" i="76"/>
  <c r="O80" i="76"/>
  <c r="Q79" i="76"/>
  <c r="P79" i="76"/>
  <c r="O79" i="76"/>
  <c r="Q78" i="76"/>
  <c r="P78" i="76"/>
  <c r="O78" i="76"/>
  <c r="Q77" i="76"/>
  <c r="P77" i="76"/>
  <c r="O77" i="76"/>
  <c r="Q76" i="76"/>
  <c r="P76" i="76"/>
  <c r="O76" i="76"/>
  <c r="Q75" i="76"/>
  <c r="P75" i="76"/>
  <c r="O75" i="76"/>
  <c r="Q74" i="76"/>
  <c r="P74" i="76"/>
  <c r="O74" i="76"/>
  <c r="Q73" i="76"/>
  <c r="P73" i="76"/>
  <c r="O73" i="76"/>
  <c r="Q72" i="76"/>
  <c r="P72" i="76"/>
  <c r="O72" i="76"/>
  <c r="Q71" i="76"/>
  <c r="P71" i="76"/>
  <c r="O71" i="76"/>
  <c r="Q70" i="76"/>
  <c r="P70" i="76"/>
  <c r="O70" i="76"/>
  <c r="Q69" i="76"/>
  <c r="P69" i="76"/>
  <c r="O69" i="76"/>
  <c r="Q68" i="76"/>
  <c r="P68" i="76"/>
  <c r="O68" i="76"/>
  <c r="Q67" i="76"/>
  <c r="P67" i="76"/>
  <c r="O67" i="76"/>
  <c r="Q66" i="76"/>
  <c r="P66" i="76"/>
  <c r="O66" i="76"/>
  <c r="Q65" i="76"/>
  <c r="P65" i="76"/>
  <c r="O65" i="76"/>
  <c r="Q64" i="76"/>
  <c r="P64" i="76"/>
  <c r="O64" i="76"/>
  <c r="Q63" i="76"/>
  <c r="P63" i="76"/>
  <c r="O63" i="76"/>
  <c r="Q62" i="76"/>
  <c r="P62" i="76"/>
  <c r="O62" i="76"/>
  <c r="Q61" i="76"/>
  <c r="P61" i="76"/>
  <c r="O61" i="76"/>
  <c r="Q60" i="76"/>
  <c r="P60" i="76"/>
  <c r="O60" i="76"/>
  <c r="Q59" i="76"/>
  <c r="P59" i="76"/>
  <c r="O59" i="76"/>
  <c r="Q58" i="76"/>
  <c r="P58" i="76"/>
  <c r="O58" i="76"/>
  <c r="Q57" i="76"/>
  <c r="P57" i="76"/>
  <c r="O57" i="76"/>
  <c r="Q56" i="76"/>
  <c r="P56" i="76"/>
  <c r="O56" i="76"/>
  <c r="Q55" i="76"/>
  <c r="P55" i="76"/>
  <c r="O55" i="76"/>
  <c r="Q54" i="76"/>
  <c r="P54" i="76"/>
  <c r="O54" i="76"/>
  <c r="Q53" i="76"/>
  <c r="P53" i="76"/>
  <c r="O53" i="76"/>
  <c r="Q52" i="76"/>
  <c r="P52" i="76"/>
  <c r="O52" i="76"/>
  <c r="Q51" i="76"/>
  <c r="P51" i="76"/>
  <c r="O51" i="76"/>
  <c r="Q50" i="76"/>
  <c r="P50" i="76"/>
  <c r="O50" i="76"/>
  <c r="Q49" i="76"/>
  <c r="P49" i="76"/>
  <c r="O49" i="76"/>
  <c r="Q48" i="76"/>
  <c r="P48" i="76"/>
  <c r="O48" i="76"/>
  <c r="Q47" i="76"/>
  <c r="P47" i="76"/>
  <c r="O47" i="76"/>
  <c r="Q46" i="76"/>
  <c r="P46" i="76"/>
  <c r="O46" i="76"/>
  <c r="Q45" i="76"/>
  <c r="P45" i="76"/>
  <c r="O45" i="76"/>
  <c r="Q44" i="76"/>
  <c r="P44" i="76"/>
  <c r="O44" i="76"/>
  <c r="Q43" i="76"/>
  <c r="P43" i="76"/>
  <c r="O43" i="76"/>
  <c r="Q42" i="76"/>
  <c r="P42" i="76"/>
  <c r="O42" i="76"/>
  <c r="Q41" i="76"/>
  <c r="P41" i="76"/>
  <c r="O41" i="76"/>
  <c r="Q40" i="76"/>
  <c r="O40" i="76"/>
  <c r="Q39" i="76"/>
  <c r="O39" i="76"/>
  <c r="Q38" i="76"/>
  <c r="O38" i="76"/>
  <c r="Q37" i="76"/>
  <c r="P37" i="76"/>
  <c r="O37" i="76"/>
  <c r="Q36" i="76"/>
  <c r="P36" i="76"/>
  <c r="O36" i="76"/>
  <c r="Q35" i="76"/>
  <c r="P35" i="76"/>
  <c r="O35" i="76"/>
  <c r="Q34" i="76"/>
  <c r="P34" i="76"/>
  <c r="O34" i="76"/>
  <c r="Q33" i="76"/>
  <c r="P33" i="76"/>
  <c r="O33" i="76"/>
  <c r="Q32" i="76"/>
  <c r="P32" i="76"/>
  <c r="O32" i="76"/>
  <c r="Q31" i="76"/>
  <c r="P31" i="76"/>
  <c r="O31" i="76"/>
  <c r="Q30" i="76"/>
  <c r="P30" i="76"/>
  <c r="O30" i="76"/>
  <c r="Q29" i="76"/>
  <c r="P29" i="76"/>
  <c r="O29" i="76"/>
  <c r="Q28" i="76"/>
  <c r="P28" i="76"/>
  <c r="O28" i="76"/>
  <c r="Q27" i="76"/>
  <c r="P27" i="76"/>
  <c r="O27" i="76"/>
  <c r="Q26" i="76"/>
  <c r="P26" i="76"/>
  <c r="O26" i="76"/>
  <c r="Q25" i="76"/>
  <c r="P25" i="76"/>
  <c r="O25" i="76"/>
  <c r="Q24" i="76"/>
  <c r="P24" i="76"/>
  <c r="O24" i="76"/>
  <c r="Q23" i="76"/>
  <c r="P23" i="76"/>
  <c r="O23" i="76"/>
  <c r="Q22" i="76"/>
  <c r="P22" i="76"/>
  <c r="O22" i="76"/>
  <c r="Q21" i="76"/>
  <c r="P21" i="76"/>
  <c r="O21" i="76"/>
  <c r="Q20" i="76"/>
  <c r="P20" i="76"/>
  <c r="O20" i="76"/>
  <c r="Q19" i="76"/>
  <c r="P19" i="76"/>
  <c r="O19" i="76"/>
  <c r="Q18" i="76"/>
  <c r="P18" i="76"/>
  <c r="O18" i="76"/>
  <c r="Q17" i="76"/>
  <c r="P17" i="76"/>
  <c r="O17" i="76"/>
  <c r="Q16" i="76"/>
  <c r="P16" i="76"/>
  <c r="O16" i="76"/>
  <c r="Q15" i="76"/>
  <c r="P15" i="76"/>
  <c r="O15" i="76"/>
  <c r="Q14" i="76"/>
  <c r="P14" i="76"/>
  <c r="O14" i="76"/>
  <c r="Q13" i="76"/>
  <c r="P13" i="76"/>
  <c r="O13" i="76"/>
  <c r="Q12" i="76"/>
  <c r="P12" i="76"/>
  <c r="O12" i="76"/>
  <c r="Q11" i="76"/>
  <c r="P11" i="76"/>
  <c r="O11" i="76"/>
  <c r="Q10" i="76"/>
  <c r="P10" i="76"/>
  <c r="O10" i="76"/>
  <c r="Q9" i="76"/>
  <c r="P9" i="76"/>
  <c r="O9" i="76"/>
  <c r="Q8" i="76"/>
  <c r="P8" i="76"/>
  <c r="O8" i="76"/>
  <c r="Q7" i="76"/>
  <c r="P7" i="76"/>
  <c r="O7" i="76"/>
  <c r="Q6" i="76"/>
  <c r="P6" i="76"/>
  <c r="O6" i="76"/>
  <c r="Q5" i="76"/>
  <c r="P5" i="76"/>
  <c r="O5" i="76"/>
  <c r="Q28" i="64" l="1"/>
  <c r="Q27" i="64"/>
  <c r="Q29" i="64"/>
  <c r="N36" i="47" l="1"/>
  <c r="N467" i="47" l="1"/>
  <c r="N465" i="47"/>
  <c r="N464" i="47"/>
  <c r="N463" i="47"/>
  <c r="N462" i="47"/>
  <c r="N460" i="47"/>
  <c r="N454" i="47"/>
  <c r="N453" i="47"/>
  <c r="N452" i="47"/>
  <c r="N450" i="47"/>
  <c r="N444" i="47"/>
  <c r="N443" i="47"/>
  <c r="N442" i="47"/>
  <c r="N440" i="47"/>
  <c r="N434" i="47"/>
  <c r="N433" i="47"/>
  <c r="N432" i="47"/>
  <c r="N430" i="47"/>
  <c r="N424" i="47"/>
  <c r="N423" i="47"/>
  <c r="N422" i="47"/>
  <c r="N420" i="47"/>
  <c r="N415" i="47"/>
  <c r="N414" i="47"/>
  <c r="N413" i="47"/>
  <c r="N412" i="47"/>
  <c r="N410" i="47"/>
  <c r="N405" i="47"/>
  <c r="N404" i="47"/>
  <c r="N403" i="47"/>
  <c r="N402" i="47"/>
  <c r="N401" i="47"/>
  <c r="N400" i="47"/>
  <c r="N399" i="47"/>
  <c r="N398" i="47"/>
  <c r="N397" i="47"/>
  <c r="N396" i="47"/>
  <c r="N395" i="47"/>
  <c r="N394" i="47"/>
  <c r="N393" i="47"/>
  <c r="N392" i="47"/>
  <c r="N391" i="47"/>
  <c r="N390" i="47"/>
  <c r="N389" i="47"/>
  <c r="N388" i="47"/>
  <c r="N387" i="47"/>
  <c r="N386" i="47"/>
  <c r="N385" i="47"/>
  <c r="N384" i="47"/>
  <c r="N383" i="47"/>
  <c r="N382" i="47"/>
  <c r="N381" i="47"/>
  <c r="N380" i="47"/>
  <c r="N369" i="47"/>
  <c r="N368" i="47"/>
  <c r="N367" i="47"/>
  <c r="N366" i="47"/>
  <c r="N365" i="47"/>
  <c r="N364" i="47"/>
  <c r="N363" i="47"/>
  <c r="N362" i="47"/>
  <c r="N361" i="47"/>
  <c r="N360" i="47"/>
  <c r="N359" i="47"/>
  <c r="N358" i="47"/>
  <c r="N357" i="47"/>
  <c r="N356" i="47"/>
  <c r="N355" i="47"/>
  <c r="N348" i="47"/>
  <c r="N347" i="47"/>
  <c r="N346" i="47"/>
  <c r="N345" i="47"/>
  <c r="N343" i="47"/>
  <c r="N342" i="47"/>
  <c r="N341" i="47"/>
  <c r="N340" i="47"/>
  <c r="N339" i="47"/>
  <c r="N338" i="47"/>
  <c r="N337" i="47"/>
  <c r="N336" i="47"/>
  <c r="N335" i="47"/>
  <c r="N332" i="47"/>
  <c r="N331" i="47"/>
  <c r="N330" i="47"/>
  <c r="N329" i="47"/>
  <c r="N328" i="47"/>
  <c r="N327" i="47"/>
  <c r="N326" i="47"/>
  <c r="N325" i="47"/>
  <c r="N324" i="47"/>
  <c r="N323" i="47"/>
  <c r="N322" i="47"/>
  <c r="N321" i="47"/>
  <c r="N320" i="47"/>
  <c r="N319" i="47"/>
  <c r="N318" i="47"/>
  <c r="N317" i="47"/>
  <c r="N316" i="47"/>
  <c r="N315" i="47"/>
  <c r="N314" i="47"/>
  <c r="N313" i="47"/>
  <c r="N312" i="47"/>
  <c r="N311" i="47"/>
  <c r="N310" i="47"/>
  <c r="N309" i="47"/>
  <c r="N308" i="47"/>
  <c r="N307" i="47"/>
  <c r="N306" i="47"/>
  <c r="N305" i="47"/>
  <c r="N304" i="47"/>
  <c r="N303" i="47"/>
  <c r="N302" i="47"/>
  <c r="N300" i="47"/>
  <c r="N294" i="47"/>
  <c r="N293" i="47"/>
  <c r="N292" i="47"/>
  <c r="N291" i="47"/>
  <c r="N290" i="47"/>
  <c r="N289" i="47"/>
  <c r="N288" i="47"/>
  <c r="N287" i="47"/>
  <c r="N285" i="47"/>
  <c r="N284" i="47"/>
  <c r="N283" i="47"/>
  <c r="N280" i="47"/>
  <c r="N279" i="47"/>
  <c r="N278" i="47"/>
  <c r="N277" i="47"/>
  <c r="N276" i="47"/>
  <c r="N275" i="47"/>
  <c r="N274" i="47"/>
  <c r="N273" i="47"/>
  <c r="N272" i="47"/>
  <c r="N271" i="47"/>
  <c r="N270" i="47"/>
  <c r="N269" i="47"/>
  <c r="N268" i="47"/>
  <c r="N267" i="47"/>
  <c r="N266" i="47"/>
  <c r="N265" i="47"/>
  <c r="N262" i="47"/>
  <c r="N261" i="47"/>
  <c r="N260" i="47"/>
  <c r="N259" i="47"/>
  <c r="N258" i="47"/>
  <c r="N257" i="47"/>
  <c r="N256" i="47"/>
  <c r="N255" i="47"/>
  <c r="N254" i="47"/>
  <c r="N253" i="47"/>
  <c r="N252" i="47"/>
  <c r="N251" i="47"/>
  <c r="N250" i="47"/>
  <c r="N244" i="47"/>
  <c r="N243" i="47"/>
  <c r="N242" i="47"/>
  <c r="N241" i="47"/>
  <c r="N240" i="47"/>
  <c r="N239" i="47"/>
  <c r="N238" i="47"/>
  <c r="N237" i="47"/>
  <c r="N236" i="47"/>
  <c r="N235" i="47"/>
  <c r="N234" i="47"/>
  <c r="N233" i="47"/>
  <c r="N232" i="47"/>
  <c r="N231" i="47"/>
  <c r="N230" i="47"/>
  <c r="N229" i="47"/>
  <c r="N228" i="47"/>
  <c r="N227" i="47"/>
  <c r="N226" i="47"/>
  <c r="N225" i="47"/>
  <c r="N224" i="47"/>
  <c r="N223" i="47"/>
  <c r="N222" i="47"/>
  <c r="N221" i="47"/>
  <c r="N220" i="47"/>
  <c r="N214" i="47"/>
  <c r="N213" i="47"/>
  <c r="N212" i="47"/>
  <c r="N211" i="47"/>
  <c r="N210" i="47"/>
  <c r="N202" i="47"/>
  <c r="N201" i="47"/>
  <c r="N200" i="47"/>
  <c r="N199" i="47"/>
  <c r="N198" i="47"/>
  <c r="N197" i="47"/>
  <c r="N196" i="47"/>
  <c r="N195" i="47"/>
  <c r="N194" i="47"/>
  <c r="N193" i="47"/>
  <c r="N192" i="47"/>
  <c r="N191" i="47"/>
  <c r="N190" i="47"/>
  <c r="N189" i="47"/>
  <c r="N188" i="47"/>
  <c r="N187" i="47"/>
  <c r="N186" i="47"/>
  <c r="N185" i="47"/>
  <c r="N182" i="47"/>
  <c r="N181" i="47"/>
  <c r="N180" i="47"/>
  <c r="N179" i="47"/>
  <c r="N178" i="47"/>
  <c r="N177" i="47"/>
  <c r="N176" i="47"/>
  <c r="N175" i="47"/>
  <c r="N172" i="47"/>
  <c r="N171" i="47"/>
  <c r="N170" i="47"/>
  <c r="N169" i="47"/>
  <c r="N168" i="47"/>
  <c r="N167" i="47"/>
  <c r="N166" i="47"/>
  <c r="N165" i="47"/>
  <c r="N164" i="47"/>
  <c r="N163" i="47"/>
  <c r="N162" i="47"/>
  <c r="N161" i="47"/>
  <c r="N160" i="47"/>
  <c r="N159" i="47"/>
  <c r="N158" i="47"/>
  <c r="N157" i="47"/>
  <c r="N156" i="47"/>
  <c r="N155" i="47"/>
  <c r="N152" i="47"/>
  <c r="N151" i="47"/>
  <c r="N150" i="47"/>
  <c r="N145" i="47"/>
  <c r="N140" i="47"/>
  <c r="N139" i="47"/>
  <c r="N138" i="47"/>
  <c r="N137" i="47"/>
  <c r="N136" i="47"/>
  <c r="N135" i="47"/>
  <c r="N134" i="47"/>
  <c r="N133" i="47"/>
  <c r="N132" i="47"/>
  <c r="N131" i="47"/>
  <c r="N130" i="47"/>
  <c r="N129" i="47"/>
  <c r="N128" i="47"/>
  <c r="N127" i="47"/>
  <c r="N126" i="47"/>
  <c r="N125" i="47"/>
  <c r="N123" i="47"/>
  <c r="N122" i="47"/>
  <c r="N121" i="47"/>
  <c r="N120" i="47"/>
  <c r="N118" i="47"/>
  <c r="N117" i="47"/>
  <c r="N115" i="47"/>
  <c r="N114" i="47"/>
  <c r="N113" i="47"/>
  <c r="N112" i="47"/>
  <c r="N111" i="47"/>
  <c r="N110" i="47"/>
  <c r="N105" i="47"/>
  <c r="N104" i="47"/>
  <c r="N103" i="47"/>
  <c r="N102" i="47"/>
  <c r="N101" i="47"/>
  <c r="N100" i="47"/>
  <c r="N99" i="47"/>
  <c r="N98" i="47"/>
  <c r="N97" i="47"/>
  <c r="N96" i="47"/>
  <c r="N95" i="47"/>
  <c r="N89" i="47"/>
  <c r="N88" i="47"/>
  <c r="N87" i="47"/>
  <c r="N86" i="47"/>
  <c r="N85" i="47"/>
  <c r="N83" i="47"/>
  <c r="N82" i="47"/>
  <c r="N81" i="47"/>
  <c r="N80" i="47"/>
  <c r="N79" i="47"/>
  <c r="N78" i="47"/>
  <c r="N77" i="47"/>
  <c r="N76" i="47"/>
  <c r="N75" i="47"/>
  <c r="N74" i="47"/>
  <c r="N73" i="47"/>
  <c r="N72" i="47"/>
  <c r="N71" i="47"/>
  <c r="N70" i="47"/>
  <c r="N69" i="47"/>
  <c r="N68" i="47"/>
  <c r="N67" i="47"/>
  <c r="N66" i="47"/>
  <c r="N65" i="47"/>
  <c r="N59" i="47"/>
  <c r="N58" i="47"/>
  <c r="N57" i="47"/>
  <c r="N56" i="47"/>
  <c r="N55" i="47"/>
  <c r="N54" i="47"/>
  <c r="N53" i="47"/>
  <c r="N52" i="47"/>
  <c r="N51" i="47"/>
  <c r="N50" i="47"/>
  <c r="N49" i="47"/>
  <c r="N48" i="47"/>
  <c r="N47" i="47"/>
  <c r="N46" i="47"/>
  <c r="N45" i="47"/>
  <c r="N44" i="47"/>
  <c r="N43" i="47"/>
  <c r="N42" i="47"/>
  <c r="N41" i="47"/>
  <c r="N40" i="47"/>
  <c r="N39" i="47"/>
  <c r="N38" i="47"/>
  <c r="N37" i="47"/>
  <c r="N35" i="47"/>
  <c r="N33" i="47"/>
  <c r="N32" i="47"/>
  <c r="N30" i="47"/>
  <c r="N28" i="47"/>
  <c r="N27" i="47"/>
  <c r="N25" i="47"/>
  <c r="N22" i="47"/>
  <c r="N20" i="47"/>
  <c r="N17" i="47"/>
  <c r="N15" i="47"/>
  <c r="N14" i="47"/>
  <c r="N13" i="47"/>
  <c r="N12" i="47"/>
  <c r="N11" i="47"/>
  <c r="N10" i="47"/>
  <c r="N9" i="47"/>
  <c r="N8" i="47"/>
  <c r="N7" i="47"/>
  <c r="N6" i="47"/>
  <c r="N5" i="47"/>
  <c r="R31" i="71"/>
  <c r="R30" i="71"/>
  <c r="R28" i="71"/>
  <c r="R27" i="71"/>
  <c r="R26" i="71"/>
  <c r="R25" i="71"/>
  <c r="R24" i="71"/>
  <c r="R23" i="71"/>
  <c r="R22" i="71"/>
  <c r="R21" i="71"/>
  <c r="R20" i="71"/>
  <c r="R19" i="71"/>
  <c r="R18" i="71"/>
  <c r="R17" i="71"/>
  <c r="R16" i="71"/>
  <c r="R15" i="71"/>
  <c r="R14" i="71"/>
  <c r="R13" i="71"/>
  <c r="R12" i="71"/>
  <c r="R11" i="71"/>
  <c r="R10" i="71"/>
  <c r="R9" i="71"/>
  <c r="R8" i="71"/>
  <c r="R7" i="71"/>
  <c r="R6" i="71"/>
  <c r="R40" i="71"/>
  <c r="R39" i="71"/>
  <c r="R38" i="71"/>
  <c r="R37" i="71"/>
  <c r="R36" i="71"/>
  <c r="R35" i="71"/>
  <c r="R34" i="71"/>
  <c r="R33" i="71"/>
  <c r="AB29" i="79"/>
  <c r="AB30" i="79"/>
  <c r="AB31" i="79"/>
  <c r="AB32" i="79"/>
  <c r="AB28" i="79"/>
  <c r="AB7" i="79"/>
  <c r="AB8" i="79"/>
  <c r="AB9" i="79"/>
  <c r="AB12" i="79"/>
  <c r="AB13" i="79"/>
  <c r="AB14" i="79"/>
  <c r="AB15" i="79"/>
  <c r="AB16" i="79"/>
  <c r="AB17" i="79"/>
  <c r="AB18" i="79"/>
  <c r="AB19" i="79"/>
  <c r="AB20" i="79"/>
  <c r="AB21" i="79"/>
  <c r="AB22" i="79"/>
  <c r="AB23" i="79"/>
  <c r="AB24" i="79"/>
  <c r="AB25" i="79"/>
  <c r="AB26" i="79"/>
  <c r="AB27" i="79"/>
  <c r="AB6" i="79"/>
  <c r="L45" i="81"/>
  <c r="L27" i="81"/>
  <c r="L28" i="81"/>
  <c r="L29" i="81"/>
  <c r="L30" i="81"/>
  <c r="L31" i="81"/>
  <c r="L32" i="81"/>
  <c r="L33" i="81"/>
  <c r="L34" i="81"/>
  <c r="L35" i="81"/>
  <c r="L36" i="81"/>
  <c r="L37" i="81"/>
  <c r="L38" i="81"/>
  <c r="L39" i="81"/>
  <c r="L40" i="81"/>
  <c r="L41" i="81"/>
  <c r="L42" i="81"/>
  <c r="L43" i="81"/>
  <c r="L44" i="81"/>
  <c r="L46" i="81"/>
  <c r="L47" i="81"/>
  <c r="L48" i="81"/>
  <c r="L49" i="81"/>
  <c r="L50" i="81"/>
  <c r="L51" i="81"/>
  <c r="L52" i="81"/>
  <c r="L53" i="81"/>
  <c r="L54" i="81"/>
  <c r="L55" i="81"/>
  <c r="L56" i="81"/>
  <c r="L57" i="81"/>
  <c r="L58" i="81"/>
  <c r="L59" i="81"/>
  <c r="L60" i="81"/>
  <c r="L61" i="81"/>
  <c r="L6" i="81"/>
  <c r="L7" i="81"/>
  <c r="L8" i="81"/>
  <c r="L9" i="81"/>
  <c r="L10" i="81"/>
  <c r="L11" i="81"/>
  <c r="L12" i="81"/>
  <c r="L13" i="81"/>
  <c r="L14" i="81"/>
  <c r="L15" i="81"/>
  <c r="L16" i="81"/>
  <c r="L17" i="81"/>
  <c r="L18" i="81"/>
  <c r="L19" i="81"/>
  <c r="L20" i="81"/>
  <c r="L21" i="81"/>
  <c r="L22" i="81"/>
  <c r="L24" i="81"/>
  <c r="L25" i="81"/>
  <c r="L5" i="81"/>
  <c r="Q13" i="64"/>
  <c r="Q14" i="64"/>
  <c r="Q7" i="64"/>
  <c r="Q8" i="64"/>
  <c r="Q9" i="64"/>
  <c r="Q10" i="64"/>
  <c r="Q11" i="64"/>
  <c r="Q12" i="64"/>
  <c r="Q15" i="64"/>
  <c r="Q16" i="64"/>
  <c r="Q17" i="64"/>
  <c r="Q18" i="64"/>
  <c r="Q19" i="64"/>
  <c r="Q20" i="64"/>
  <c r="Q21" i="64"/>
  <c r="Q22" i="64"/>
  <c r="Q23" i="64"/>
  <c r="Q24" i="64"/>
  <c r="Q25" i="64"/>
  <c r="Q26" i="64"/>
  <c r="Q6" i="64"/>
</calcChain>
</file>

<file path=xl/sharedStrings.xml><?xml version="1.0" encoding="utf-8"?>
<sst xmlns="http://schemas.openxmlformats.org/spreadsheetml/2006/main" count="30150" uniqueCount="2043">
  <si>
    <t>MS</t>
  </si>
  <si>
    <t>Region</t>
  </si>
  <si>
    <t>Variables</t>
  </si>
  <si>
    <t>Data sources</t>
  </si>
  <si>
    <t>Comments</t>
  </si>
  <si>
    <t>RFMO/RFO/IO</t>
  </si>
  <si>
    <t>Y</t>
  </si>
  <si>
    <t>NA</t>
  </si>
  <si>
    <t>Species</t>
  </si>
  <si>
    <t>Frequency</t>
  </si>
  <si>
    <t>MS participating in sampling</t>
  </si>
  <si>
    <t>Sampling year</t>
  </si>
  <si>
    <t>Sampling design</t>
  </si>
  <si>
    <t>Sampling implementation</t>
  </si>
  <si>
    <t>Data capture</t>
  </si>
  <si>
    <t>Data Storage</t>
  </si>
  <si>
    <t>Data processing</t>
  </si>
  <si>
    <t>Is the sampling design documented?</t>
  </si>
  <si>
    <t>Area / Stock</t>
  </si>
  <si>
    <t>Age</t>
  </si>
  <si>
    <t>Weight</t>
  </si>
  <si>
    <t>Sex ratio</t>
  </si>
  <si>
    <t>Sexual maturity</t>
  </si>
  <si>
    <t>Fecundity</t>
  </si>
  <si>
    <t>MS partcipating in sampling</t>
  </si>
  <si>
    <t xml:space="preserve">
EU TAC (if any)
(%)</t>
  </si>
  <si>
    <t>Average landings in the reference years (tons)</t>
  </si>
  <si>
    <t>Threshold  (Y/N)</t>
  </si>
  <si>
    <t>Name of sampling scheme</t>
  </si>
  <si>
    <t xml:space="preserve">Sampling frame </t>
  </si>
  <si>
    <t xml:space="preserve">Where can documentation on sampling design be found? </t>
  </si>
  <si>
    <t>Are non-responses and refusals recorded?</t>
  </si>
  <si>
    <t>Where can documentation on quality checks for data capture be found?</t>
  </si>
  <si>
    <t>In which national database are data stored?</t>
  </si>
  <si>
    <t>In which international database(s) are data stored?</t>
  </si>
  <si>
    <t xml:space="preserve">Where can documentation on processes to evaluate accuracy be found? </t>
  </si>
  <si>
    <t xml:space="preserve">Comments </t>
  </si>
  <si>
    <t>Selected for sampling  (Y/N)</t>
  </si>
  <si>
    <t>Are quality checks to validate detailed data documented?</t>
  </si>
  <si>
    <t>Are processes to evaluate data accuracy (bias and precision) documented?</t>
  </si>
  <si>
    <t>Are the editing and imputation methods documented?</t>
  </si>
  <si>
    <t xml:space="preserve">Where can documentation on editing and imputation be found? </t>
  </si>
  <si>
    <t>Length</t>
  </si>
  <si>
    <t xml:space="preserve">Sampling year/ period </t>
  </si>
  <si>
    <t>Planned minimum no of individuals to be measured at the national level</t>
  </si>
  <si>
    <t>Planned minimum no of individuals to be measured at the regional level</t>
  </si>
  <si>
    <t>Table1A: List of required stocks</t>
  </si>
  <si>
    <t>Table 1B: Planning of sampling for biological variables</t>
  </si>
  <si>
    <t>Table 1C: Sampling intensity for biological variables</t>
  </si>
  <si>
    <t>Table 5A: Quality assurance framework for biological data</t>
  </si>
  <si>
    <t>2017-2019</t>
  </si>
  <si>
    <t>Achieved number of individuals measured at the national level</t>
  </si>
  <si>
    <t xml:space="preserve">Achieved number of samples </t>
  </si>
  <si>
    <t>Sampling protocol</t>
  </si>
  <si>
    <t>Changes in species landings</t>
  </si>
  <si>
    <t>AR year</t>
  </si>
  <si>
    <t>WP  years</t>
  </si>
  <si>
    <t>Share (%) in EU landings</t>
  </si>
  <si>
    <t>Reference years</t>
  </si>
  <si>
    <t>AR  Comments</t>
  </si>
  <si>
    <t>% of achievement (100*M/J)</t>
  </si>
  <si>
    <t>Table 1D: Recreational fisheries</t>
  </si>
  <si>
    <t>Area/EMU</t>
  </si>
  <si>
    <t>Applicable (Species present in the MS?)</t>
  </si>
  <si>
    <t>Reasons for not sampling</t>
  </si>
  <si>
    <t>Threshold (Y/N)</t>
  </si>
  <si>
    <t>Annual estimate of catch? (Y/N)</t>
  </si>
  <si>
    <t>Annual percentage of released catch? (Y/N)</t>
  </si>
  <si>
    <t>Collection of catch composition data? (Y/N)</t>
  </si>
  <si>
    <t>Type of Survey</t>
  </si>
  <si>
    <t>Estimation of  the yearly weight and numbers of catch (Y/N)</t>
  </si>
  <si>
    <t>Estimation of  the yearly percentage release (Y/N)</t>
  </si>
  <si>
    <t>Evaluated by external experts/bodies (Y/N)</t>
  </si>
  <si>
    <t>Conform with accepted standards Y/N</t>
  </si>
  <si>
    <t>ICES</t>
  </si>
  <si>
    <t>Gadus morhua</t>
  </si>
  <si>
    <t>Anguilla anguilla</t>
  </si>
  <si>
    <t>N</t>
  </si>
  <si>
    <t>Elasmobranchs</t>
  </si>
  <si>
    <t>North Atlantic</t>
  </si>
  <si>
    <t xml:space="preserve">Table 2A: Fishing activity variables data collection strategy </t>
  </si>
  <si>
    <t xml:space="preserve">Supra region </t>
  </si>
  <si>
    <t xml:space="preserve">Variable Group </t>
  </si>
  <si>
    <t>Variable</t>
  </si>
  <si>
    <t xml:space="preserve">Fishing technique </t>
  </si>
  <si>
    <t xml:space="preserve">Length class </t>
  </si>
  <si>
    <t>Metiers (level 6)</t>
  </si>
  <si>
    <t>Data collected  under control regulation appropriate for scientific use (Y/N/I)</t>
  </si>
  <si>
    <t xml:space="preserve">Type of data collected under control regulation used to calculate the estimates </t>
  </si>
  <si>
    <t>Data source for complementary data collection</t>
  </si>
  <si>
    <t>Expected coverage of data collected under control regulation (% of fishing trips)</t>
  </si>
  <si>
    <t>Additional data collection (Y/N)</t>
  </si>
  <si>
    <t xml:space="preserve">Data collection scheme </t>
  </si>
  <si>
    <t>Planned coverage of data collected under complementary data collection (% of fishing trips)</t>
  </si>
  <si>
    <t xml:space="preserve">Achieved coverage of data collected under complementary data collection </t>
  </si>
  <si>
    <t>AR comments</t>
  </si>
  <si>
    <t>Effort</t>
  </si>
  <si>
    <t>Beam trawlers</t>
  </si>
  <si>
    <t>Landings</t>
  </si>
  <si>
    <t>Drift and/or fixed netters</t>
  </si>
  <si>
    <t>Capacity</t>
  </si>
  <si>
    <t>Table 3A: Population segments for collection of economic and social data for fisheries</t>
  </si>
  <si>
    <t>Cluster Name</t>
  </si>
  <si>
    <t>Type of variables (E/S)</t>
  </si>
  <si>
    <t>Data Source</t>
  </si>
  <si>
    <t xml:space="preserve">Type of data collection scheme </t>
  </si>
  <si>
    <t xml:space="preserve">Planned sample rate % </t>
  </si>
  <si>
    <t>Achieved Sample Rate %</t>
  </si>
  <si>
    <t>AR Comment</t>
  </si>
  <si>
    <t>E</t>
  </si>
  <si>
    <t>Table 3B: Population segments for collection of economic and social data for aquaculture</t>
  </si>
  <si>
    <t>Techniques</t>
  </si>
  <si>
    <t>Species group</t>
  </si>
  <si>
    <t>Data source</t>
  </si>
  <si>
    <t>Threshold Type</t>
  </si>
  <si>
    <t>Turnover</t>
  </si>
  <si>
    <t>Table 3C: Population segments for collection of economic and social data for the processing industry</t>
  </si>
  <si>
    <t>Segment</t>
  </si>
  <si>
    <t xml:space="preserve">Variables </t>
  </si>
  <si>
    <t>Companies &lt;= 10</t>
  </si>
  <si>
    <t>Table 5B: Quality assurance framework for socio-economic data</t>
  </si>
  <si>
    <t>Institutional environment</t>
  </si>
  <si>
    <t>Statistical processes</t>
  </si>
  <si>
    <t>Statistical Outputs</t>
  </si>
  <si>
    <t>P3 Impartiality and objectiveness</t>
  </si>
  <si>
    <t>P4 Confidentiality</t>
  </si>
  <si>
    <t>P6 Appropriate statistical procedures</t>
  </si>
  <si>
    <t>P7 Non-excessive burden on respondents</t>
  </si>
  <si>
    <t>P8 Cost effectiveness</t>
  </si>
  <si>
    <t>P9 Relevance</t>
  </si>
  <si>
    <t>P10 Accuracy and reliability</t>
  </si>
  <si>
    <t>P11 Timeliness and punctuality</t>
  </si>
  <si>
    <t>P12 coherence and comparability</t>
  </si>
  <si>
    <t>P13 Accessibility and Clarity</t>
  </si>
  <si>
    <t>Is there consistency between administrative and other statistical data?</t>
  </si>
  <si>
    <t>Are there agreements for access and quality of administrative data between partners?</t>
  </si>
  <si>
    <t>Are data collection, entry and coding checked?</t>
  </si>
  <si>
    <t>Are editing and imputation methods used and checked?</t>
  </si>
  <si>
    <t>Are revisions documented and available?</t>
  </si>
  <si>
    <t>Is duplication of data collection avoided?</t>
  </si>
  <si>
    <t>Do automatic techniques for data capture, data coding and validation exist?</t>
  </si>
  <si>
    <t>Are end-users listed and updated?</t>
  </si>
  <si>
    <t>Are sources, intermediate results and outputs regularly assessed and validated?</t>
  </si>
  <si>
    <t xml:space="preserve">Are errors measured and documented? </t>
  </si>
  <si>
    <t>Are procedures in place to ensure timely execution?</t>
  </si>
  <si>
    <t>Are procedures in place to monitor internal coherence?</t>
  </si>
  <si>
    <t>Are statistics comparable over time?</t>
  </si>
  <si>
    <t>Are methodological documents publicly available?</t>
  </si>
  <si>
    <t>Are data stored in databases?</t>
  </si>
  <si>
    <t xml:space="preserve">Where can documentation be found? </t>
  </si>
  <si>
    <t>X</t>
  </si>
  <si>
    <t>VII</t>
  </si>
  <si>
    <t>all</t>
  </si>
  <si>
    <t>Salmo salar</t>
  </si>
  <si>
    <t>AR Comments</t>
  </si>
  <si>
    <t>Agreed at RCG level?</t>
  </si>
  <si>
    <t>Survey ID</t>
  </si>
  <si>
    <t>Reasons for non-conformity</t>
  </si>
  <si>
    <t>Planned nos</t>
  </si>
  <si>
    <t>Unit</t>
  </si>
  <si>
    <t>Method</t>
  </si>
  <si>
    <t>Fishery / Independent data collection</t>
  </si>
  <si>
    <t>Life stage</t>
  </si>
  <si>
    <t>Water Body</t>
  </si>
  <si>
    <t>Applicable (Y/N)</t>
  </si>
  <si>
    <t>Area</t>
  </si>
  <si>
    <t>Sampling period</t>
  </si>
  <si>
    <t xml:space="preserve">Table 1E: Anadromous and catadromous species data collection in fresh water </t>
  </si>
  <si>
    <t>Sampling period/year(s)</t>
  </si>
  <si>
    <t>Sub-area / Fishing ground</t>
  </si>
  <si>
    <t>Scheme</t>
  </si>
  <si>
    <t>Stratum ID code / Name of the survey</t>
  </si>
  <si>
    <t>Group of vulnerable species</t>
  </si>
  <si>
    <t xml:space="preserve">Expected occurence of recordings </t>
  </si>
  <si>
    <t>Planned number of PSUs</t>
  </si>
  <si>
    <t>Are data stored in a national database?</t>
  </si>
  <si>
    <t>Are data stored in international database(s)?</t>
  </si>
  <si>
    <t>Table 1G: List of research surveys at sea</t>
  </si>
  <si>
    <t>Name of survey</t>
  </si>
  <si>
    <t xml:space="preserve">Acronym </t>
  </si>
  <si>
    <t>Mandatory (Y/N)</t>
  </si>
  <si>
    <t>Agreed at RCG level</t>
  </si>
  <si>
    <t>Days at sea planned</t>
  </si>
  <si>
    <t xml:space="preserve">Planned target </t>
  </si>
  <si>
    <t>Map</t>
  </si>
  <si>
    <t>Relevant international planning group - RFMO/RFO/IO</t>
  </si>
  <si>
    <t>Type of MS participation</t>
  </si>
  <si>
    <t>Days at sea achieved</t>
  </si>
  <si>
    <t>Achieved target</t>
  </si>
  <si>
    <t>Table 1H: Research survey data collection and dissemination</t>
  </si>
  <si>
    <t>Type of data collected</t>
  </si>
  <si>
    <t>Core/ Additional variable</t>
  </si>
  <si>
    <t>Used as basis for advice (Y/N)</t>
  </si>
  <si>
    <t>Relevant International database</t>
  </si>
  <si>
    <t>Indication if AR comments are required by MS</t>
  </si>
  <si>
    <t>C</t>
  </si>
  <si>
    <t>A</t>
  </si>
  <si>
    <t>Conformity</t>
  </si>
  <si>
    <t>Stratum ID code</t>
  </si>
  <si>
    <t>PSU type</t>
  </si>
  <si>
    <t>Catch fractions covered</t>
  </si>
  <si>
    <t>Species/ Stocks covered for estimation of volume and length of catch fractions</t>
  </si>
  <si>
    <t>Seasonality (Temporal strata)</t>
  </si>
  <si>
    <t xml:space="preserve">Average Number of PSU during the reference years         </t>
  </si>
  <si>
    <t xml:space="preserve">Number of unique vessels sampled </t>
  </si>
  <si>
    <t>Table 4A: Sampling plan description for biological data</t>
  </si>
  <si>
    <t>Number of unique vessels with activity in the stratum</t>
  </si>
  <si>
    <t>Table 4B: Sampling frame description for biological data</t>
  </si>
  <si>
    <t>Stratum ID number</t>
  </si>
  <si>
    <t>Stratum</t>
  </si>
  <si>
    <t xml:space="preserve">Sampling frame description </t>
  </si>
  <si>
    <t xml:space="preserve">Method of PSU selection </t>
  </si>
  <si>
    <t>Table 4C: Data on the fisheries by member state</t>
  </si>
  <si>
    <t>Fleet segment / Metier</t>
  </si>
  <si>
    <t>Targeted species / species assemblage</t>
  </si>
  <si>
    <t xml:space="preserve">Average number of fishing trips </t>
  </si>
  <si>
    <t xml:space="preserve">Average number of fishing days </t>
  </si>
  <si>
    <t xml:space="preserve">Average landings (tons) </t>
  </si>
  <si>
    <t>Average landings (tons) in national ports</t>
  </si>
  <si>
    <t>Average landings (tons) in foreign ports</t>
  </si>
  <si>
    <t>Number of vessels</t>
  </si>
  <si>
    <t>Number of fishing trips</t>
  </si>
  <si>
    <t>Number of fishing days</t>
  </si>
  <si>
    <t>Landings (tons)</t>
  </si>
  <si>
    <t>Landings (tons) in national ports</t>
  </si>
  <si>
    <t>Landings (tons) in foreign ports</t>
  </si>
  <si>
    <t>Table 4D: Landing locations</t>
  </si>
  <si>
    <t>Average landed tonnage of national fleet</t>
  </si>
  <si>
    <t>Average landed tonnage of foreign fleet</t>
  </si>
  <si>
    <t>Unique Survey ID or Name of sampling scheme
(Linked to Table 5A)</t>
  </si>
  <si>
    <t xml:space="preserve">Is the survey part of a pilot study or part of an established programme? 
</t>
  </si>
  <si>
    <t>Are non-response and refusal recorded?
(Linked to Table 5A)</t>
  </si>
  <si>
    <t>Is the sampling design documented?
(Linked to Table 5A)</t>
  </si>
  <si>
    <t>Are the editing and imputation methods documented? (Linked to Table 5A)</t>
  </si>
  <si>
    <t>Achieved numbers</t>
  </si>
  <si>
    <t>% of achievement (100*P/M)</t>
  </si>
  <si>
    <t xml:space="preserve">Table 1F: Incidental by-catch of birds, mammals, reptiles and fish </t>
  </si>
  <si>
    <t>MS participation</t>
  </si>
  <si>
    <t>Period (Month)</t>
  </si>
  <si>
    <t>Frame population</t>
  </si>
  <si>
    <t>Achieved sample number</t>
  </si>
  <si>
    <t>Response Rate %</t>
  </si>
  <si>
    <t>Achieved Sample no/Planned sample no.</t>
  </si>
  <si>
    <t>Area(s)
covered</t>
  </si>
  <si>
    <t>Type of sampling activities</t>
  </si>
  <si>
    <t>International database</t>
  </si>
  <si>
    <t>Indication if AR comments by MS are required concerning effort achieved</t>
  </si>
  <si>
    <t>Indication if AR comments by MS are required concerning temporal and spatial coverage</t>
  </si>
  <si>
    <t>Number of PSU sampled in which observers have been instructed to look for bycatch</t>
  </si>
  <si>
    <t>Does your sampling protocol allow for the calculation of observation effort “at haul level” (Y/N)</t>
  </si>
  <si>
    <t>Fish (Y/N/NA)</t>
  </si>
  <si>
    <t>Mammals (Y/N/NA)</t>
  </si>
  <si>
    <t>Birds (Y/N/NA)</t>
  </si>
  <si>
    <t>Reptiles (Y/N/NA)</t>
  </si>
  <si>
    <t>Other (Y/N/NA)</t>
  </si>
  <si>
    <t>Data collected  under control regulation accessible for scientific use (Y/N/I)</t>
  </si>
  <si>
    <t>Informative Data</t>
  </si>
  <si>
    <t>% of achievement (100*Q/N)</t>
  </si>
  <si>
    <t>Number of fishing trips in the stratum</t>
  </si>
  <si>
    <t xml:space="preserve">Number of fishing trips sampled </t>
  </si>
  <si>
    <t>Collection of catch composition data (Y/N)</t>
  </si>
  <si>
    <t xml:space="preserve">AR Comments </t>
  </si>
  <si>
    <t>Total number of PSU in the sampling year</t>
  </si>
  <si>
    <t>Achieved number of PSU in the sampling year</t>
  </si>
  <si>
    <t xml:space="preserve">Is there any mitigation device? (Y/N) </t>
  </si>
  <si>
    <t>In case of financial participation, is payment done? (Y/N)</t>
  </si>
  <si>
    <t>Other data assimilations (Y/N)</t>
  </si>
  <si>
    <t>Was the survey carried out within the official time period? (Y/N)</t>
  </si>
  <si>
    <t>Was the survey carried out within the official survey area? (Y/N)</t>
  </si>
  <si>
    <t>Was the data uploaded to the relevant database? (Y/N)</t>
  </si>
  <si>
    <t>Other data assimilations? (Y/N)</t>
  </si>
  <si>
    <t>Response Rate (%)</t>
  </si>
  <si>
    <t>Number of species with length measurements</t>
  </si>
  <si>
    <t>Total number of length measurements</t>
  </si>
  <si>
    <t>Is the fleet segment/ metier covered by any stratum (Y/N)</t>
  </si>
  <si>
    <t>Was the sampling carried out? (Y/N/P)</t>
  </si>
  <si>
    <t>IRL</t>
  </si>
  <si>
    <t>North - Western waters (ICES area Vb (only Union waters), VI and VII)</t>
  </si>
  <si>
    <t>North Sea (ICES Areas IIIa &amp; IV)</t>
  </si>
  <si>
    <t>18-&lt; 24 m</t>
  </si>
  <si>
    <t>Vessel register</t>
  </si>
  <si>
    <t>24-&lt; 40 m</t>
  </si>
  <si>
    <t>Demersal trawlers and/or demersal seiners</t>
  </si>
  <si>
    <t>10-&lt; 12 m</t>
  </si>
  <si>
    <t>12-&lt; 18 m</t>
  </si>
  <si>
    <t>Pelagic trawlers</t>
  </si>
  <si>
    <t>40 m or larger</t>
  </si>
  <si>
    <t>0-&lt; 10 m</t>
  </si>
  <si>
    <t>Dredgers</t>
  </si>
  <si>
    <t>Vessels using Pots and/or traps</t>
  </si>
  <si>
    <t>Vessels using hooks</t>
  </si>
  <si>
    <t>Vessels using active and passive gears</t>
  </si>
  <si>
    <t>2013-2015</t>
  </si>
  <si>
    <t>North Sea (ICES areas IIIa and IV), Eastern Arctic (ICES areas I and II)</t>
  </si>
  <si>
    <t>I, II</t>
  </si>
  <si>
    <t>None</t>
  </si>
  <si>
    <t>Brosme brosme</t>
  </si>
  <si>
    <t>Clupea harengus</t>
  </si>
  <si>
    <t>I, II,</t>
  </si>
  <si>
    <t>&lt;200</t>
  </si>
  <si>
    <t>Mallotus villosus</t>
  </si>
  <si>
    <t>Melanogrammus aeglefinus</t>
  </si>
  <si>
    <t>Micromesistius poutassou</t>
  </si>
  <si>
    <t xml:space="preserve">I-II </t>
  </si>
  <si>
    <t>-</t>
  </si>
  <si>
    <t>Included in the "I-IX, XII, XIV" stock</t>
  </si>
  <si>
    <t>Pandalus borealis</t>
  </si>
  <si>
    <t>Pollachius virens</t>
  </si>
  <si>
    <t>Reinhardtius hippoglossoides</t>
  </si>
  <si>
    <t>Scomber scombrus</t>
  </si>
  <si>
    <t xml:space="preserve">II, </t>
  </si>
  <si>
    <t>Sebastes marinus.</t>
  </si>
  <si>
    <t>Sebastes mentella.</t>
  </si>
  <si>
    <t>Trachurus trachurus</t>
  </si>
  <si>
    <t xml:space="preserve">IIa, </t>
  </si>
  <si>
    <t>Included in the "IIa, IVa, Vb, VIa, VIIa-c, e-k, VIIIabde" stock</t>
  </si>
  <si>
    <t>Ammodytidae</t>
  </si>
  <si>
    <t>IV</t>
  </si>
  <si>
    <t>Anarhichas spp.</t>
  </si>
  <si>
    <t>IV, VIId</t>
  </si>
  <si>
    <t>Argentina spp.</t>
  </si>
  <si>
    <t>Crangon crangon</t>
  </si>
  <si>
    <t>Dicentrarchus labrax</t>
  </si>
  <si>
    <t>Eutrigla gurnardus</t>
  </si>
  <si>
    <t>Glyptocephalus cynoglossus</t>
  </si>
  <si>
    <t>Helicolenus dactylopterus</t>
  </si>
  <si>
    <t>Lepidorhombus boscii</t>
  </si>
  <si>
    <t>Lepidorhombus whiffiagonis</t>
  </si>
  <si>
    <t>Limanda limanda</t>
  </si>
  <si>
    <t>Lophius budegassa</t>
  </si>
  <si>
    <t>Lophius piscatorius</t>
  </si>
  <si>
    <t>Macrourus berglax</t>
  </si>
  <si>
    <t>Merlangius merlangus</t>
  </si>
  <si>
    <t>Merluccius merluccius</t>
  </si>
  <si>
    <t>IV VII</t>
  </si>
  <si>
    <t>Presumably this should be IV, VId</t>
  </si>
  <si>
    <t>Microstomus kitt</t>
  </si>
  <si>
    <t>Molva dypterygia</t>
  </si>
  <si>
    <t>Molva molva</t>
  </si>
  <si>
    <t>Mullus barbatus</t>
  </si>
  <si>
    <t>Mullus surmuletus</t>
  </si>
  <si>
    <t>Nephrops norvegicus</t>
  </si>
  <si>
    <t>all functional units</t>
  </si>
  <si>
    <t>IVa East/IVa/IV</t>
  </si>
  <si>
    <t>Pecten maximus</t>
  </si>
  <si>
    <t>VIId</t>
  </si>
  <si>
    <t>Phycis blennoides</t>
  </si>
  <si>
    <t>Phycis phycis</t>
  </si>
  <si>
    <t>Platichthys flesus</t>
  </si>
  <si>
    <t>Pleuronectes platessa</t>
  </si>
  <si>
    <t>Psetta maxima</t>
  </si>
  <si>
    <t>Scophthalmus rhombus</t>
  </si>
  <si>
    <t>Solea solea</t>
  </si>
  <si>
    <t>Sprattus sprattus</t>
  </si>
  <si>
    <t>IV/VIId</t>
  </si>
  <si>
    <t>Trachurus trachurus.</t>
  </si>
  <si>
    <t>Trigla lucerna</t>
  </si>
  <si>
    <t>Trisopterus esmarki</t>
  </si>
  <si>
    <t>Zeus faber</t>
  </si>
  <si>
    <t>Selachii, Rajidae</t>
  </si>
  <si>
    <t>Zero quota for all species in those areas</t>
  </si>
  <si>
    <t>Alepocephalus bairdii</t>
  </si>
  <si>
    <t>North Western waters (ICES areas Vb (only Union waters), VI and VII)</t>
  </si>
  <si>
    <t>NEAFC</t>
  </si>
  <si>
    <t>VI, XII</t>
  </si>
  <si>
    <t>VIa</t>
  </si>
  <si>
    <t>Capros aper</t>
  </si>
  <si>
    <t>V, VI,VII</t>
  </si>
  <si>
    <t>IV, VI, VII</t>
  </si>
  <si>
    <t>Aequipecten opercularis</t>
  </si>
  <si>
    <t>Maja squinado</t>
  </si>
  <si>
    <t>all areas</t>
  </si>
  <si>
    <t>Aphanopus spp.</t>
  </si>
  <si>
    <t>No landings.</t>
  </si>
  <si>
    <t>Argyrosomus regius</t>
  </si>
  <si>
    <t>Aspitrigla cuculus</t>
  </si>
  <si>
    <t>Beryx spp.</t>
  </si>
  <si>
    <t>all areas, excluding X and IXa</t>
  </si>
  <si>
    <t>Southern Western waters (ICES zones VIII, IX and X (waters around Azores), CECAF areas 34.1.1, 34.1.2 and 34.2.0 (waters around Madeira and the Canary Islands))</t>
  </si>
  <si>
    <t>IXa and X</t>
  </si>
  <si>
    <t>Cancer pagurus</t>
  </si>
  <si>
    <t>VIaN</t>
  </si>
  <si>
    <t xml:space="preserve">Deselected from sampling </t>
  </si>
  <si>
    <t>VIaS</t>
  </si>
  <si>
    <t>VIIa</t>
  </si>
  <si>
    <t>VIIj</t>
  </si>
  <si>
    <t>Interpreting this as VIIa(S),VIIg and VIIj</t>
  </si>
  <si>
    <t>Conger conger</t>
  </si>
  <si>
    <t>all areas, excluding X</t>
  </si>
  <si>
    <t>Coryphaenoides rupestris</t>
  </si>
  <si>
    <t>Dalatias licha</t>
  </si>
  <si>
    <t>All areas</t>
  </si>
  <si>
    <t>Dasyatis pastinaca</t>
  </si>
  <si>
    <t>VII, VIII</t>
  </si>
  <si>
    <t>Deania calcea</t>
  </si>
  <si>
    <t>V, VI, VII, IX, X, XII</t>
  </si>
  <si>
    <t>all areas, excluding IX</t>
  </si>
  <si>
    <t>IX</t>
  </si>
  <si>
    <t>Dicologlossa cuneata</t>
  </si>
  <si>
    <t>VIIIc, IX</t>
  </si>
  <si>
    <t>Engraulis encrasicolus</t>
  </si>
  <si>
    <t>IXa (only Cádiz)</t>
  </si>
  <si>
    <t>VIII</t>
  </si>
  <si>
    <t>Etmopterus spinax</t>
  </si>
  <si>
    <t>VI, VII, VIII</t>
  </si>
  <si>
    <t>VIId,e</t>
  </si>
  <si>
    <t>Va</t>
  </si>
  <si>
    <t>Vb</t>
  </si>
  <si>
    <t>Cod plan</t>
  </si>
  <si>
    <t>VIb</t>
  </si>
  <si>
    <t>Below threshold but will be sampled for stock assessment</t>
  </si>
  <si>
    <t>VIIe-k</t>
  </si>
  <si>
    <t>VI, VII</t>
  </si>
  <si>
    <t>Homarus gammarus</t>
  </si>
  <si>
    <t>Hoplostethus atlanticus</t>
  </si>
  <si>
    <t>Zero TAC</t>
  </si>
  <si>
    <t>Lepidopus caudatus</t>
  </si>
  <si>
    <t>IXa</t>
  </si>
  <si>
    <t>VIIIc, IXa</t>
  </si>
  <si>
    <t>VI</t>
  </si>
  <si>
    <t>VII, VIIIabd</t>
  </si>
  <si>
    <t>VIIe</t>
  </si>
  <si>
    <t>VIIa,f-h</t>
  </si>
  <si>
    <t>landings &lt;200t</t>
  </si>
  <si>
    <t>Loligo vulgaris</t>
  </si>
  <si>
    <t>all areas, excluding VIIIc, IXa</t>
  </si>
  <si>
    <t>IV, VI</t>
  </si>
  <si>
    <t>VIIb-k, VIIIabd</t>
  </si>
  <si>
    <t>Below threshold but will sample anyway. Sum of &lt;10% quota = 23%</t>
  </si>
  <si>
    <t>Lophius piscatorious</t>
  </si>
  <si>
    <t>XIV</t>
  </si>
  <si>
    <t>VIIb-k</t>
  </si>
  <si>
    <t>IX, X</t>
  </si>
  <si>
    <t>landings &lt;200t but will sample anyway</t>
  </si>
  <si>
    <t>IIIa, IV, VI, VII, VIIIab</t>
  </si>
  <si>
    <t>No landings</t>
  </si>
  <si>
    <t>Microchirus variegatus</t>
  </si>
  <si>
    <t>I-IX, XII, XIV</t>
  </si>
  <si>
    <t>Molva macrophthalma</t>
  </si>
  <si>
    <t>Mustelus asterias</t>
  </si>
  <si>
    <t>VI, VII, VIII, IX</t>
  </si>
  <si>
    <t>Mustelus mustelus</t>
  </si>
  <si>
    <t>Mustelus punctulatus</t>
  </si>
  <si>
    <t>VI Fuctional unit</t>
  </si>
  <si>
    <t>Landings &lt;200t</t>
  </si>
  <si>
    <t>VII Functional unit</t>
  </si>
  <si>
    <t>VIII, IX Functional unit</t>
  </si>
  <si>
    <t>Octopus vulgaris</t>
  </si>
  <si>
    <t>Pagellus bogaraveo</t>
  </si>
  <si>
    <t>IXa, X</t>
  </si>
  <si>
    <t>Pandalus spp.</t>
  </si>
  <si>
    <t>Parapenaeus longirostris</t>
  </si>
  <si>
    <t>VIIfg</t>
  </si>
  <si>
    <t>VIIbc</t>
  </si>
  <si>
    <t>VIIh-k</t>
  </si>
  <si>
    <t>VIII, IX, X</t>
  </si>
  <si>
    <t>Pollachius pollachius</t>
  </si>
  <si>
    <t>all areas except IX, X</t>
  </si>
  <si>
    <t>15, 8, 1</t>
  </si>
  <si>
    <t>TAC share 15% in VI; 8% in VII and 1% in VIII</t>
  </si>
  <si>
    <t>IV, IIIa, VI</t>
  </si>
  <si>
    <t>Polyprion americanus</t>
  </si>
  <si>
    <t>V, XIV</t>
  </si>
  <si>
    <t>Hippoglossus hippoglossus</t>
  </si>
  <si>
    <t>Sardina pilchardus</t>
  </si>
  <si>
    <t>VIIIabd</t>
  </si>
  <si>
    <t>Scomber colias</t>
  </si>
  <si>
    <t>II, IIIa, IV, V, VI, VII, VIII, IX</t>
  </si>
  <si>
    <t>Sebastes marinus</t>
  </si>
  <si>
    <t>ICES Sub areas V, VI, XII, XIV &amp; NAFO SA 2 + (Div. 1F + 3K).</t>
  </si>
  <si>
    <t>Sebastes mentella</t>
  </si>
  <si>
    <t>ICES Sub areas V, VI, XII, XIV &amp; NAFO SA 2 + (Div. 1F + 3K)</t>
  </si>
  <si>
    <t>Sepia officinalis</t>
  </si>
  <si>
    <t>VIIhjk</t>
  </si>
  <si>
    <t>VIIIc</t>
  </si>
  <si>
    <t>VIIIab</t>
  </si>
  <si>
    <t>Sparidae</t>
  </si>
  <si>
    <t>Trachurus mediterraneus</t>
  </si>
  <si>
    <t>VIII, IX</t>
  </si>
  <si>
    <t>Trachurus picturatus</t>
  </si>
  <si>
    <t>IIa, IVa, Vb, VIa, VIIa-c, e-k, VIIIabde</t>
  </si>
  <si>
    <t>Trisopterus spp.</t>
  </si>
  <si>
    <t>Area mis-specified in table 1A of EUMAP. Stocks for NW waters listed below</t>
  </si>
  <si>
    <t>Raja brachyura</t>
  </si>
  <si>
    <t>VIIafg</t>
  </si>
  <si>
    <t>Not in table 1A of EUMAP. Generic TAC for all rays and skates</t>
  </si>
  <si>
    <t>Leucoraja naevus</t>
  </si>
  <si>
    <t>VI, VII, VIIIabd</t>
  </si>
  <si>
    <t>Leucoraja circularis</t>
  </si>
  <si>
    <t>VI, VIIabcefghjk</t>
  </si>
  <si>
    <t>Leucoraja fullonica</t>
  </si>
  <si>
    <t>Raja microocellata</t>
  </si>
  <si>
    <t>Raja montagui</t>
  </si>
  <si>
    <t>VIIaefg</t>
  </si>
  <si>
    <t>Raja clavata</t>
  </si>
  <si>
    <t>Raja undulata</t>
  </si>
  <si>
    <t>VIIbj</t>
  </si>
  <si>
    <t>Dipturus batis</t>
  </si>
  <si>
    <t>Other skates and rays</t>
  </si>
  <si>
    <t>Thunnus albacares</t>
  </si>
  <si>
    <t>Other</t>
  </si>
  <si>
    <t>ICCAT</t>
  </si>
  <si>
    <t>Atlantic Ocean and adjacent seas</t>
  </si>
  <si>
    <t>Thunnus obesus</t>
  </si>
  <si>
    <t>Katsuwonus pelamis</t>
  </si>
  <si>
    <t>Thunnus alalunga</t>
  </si>
  <si>
    <t>Below threshold but will sample</t>
  </si>
  <si>
    <t>Thunnus thynnus</t>
  </si>
  <si>
    <t>&lt;1</t>
  </si>
  <si>
    <t>Xiphias gladius</t>
  </si>
  <si>
    <t>Makaira nigricans (or mazara)</t>
  </si>
  <si>
    <t>Istiophorus albicans</t>
  </si>
  <si>
    <t>Tetrapturus albidus</t>
  </si>
  <si>
    <t>Prionace glauca</t>
  </si>
  <si>
    <t>Auxis rochei</t>
  </si>
  <si>
    <t>Sarda sarda</t>
  </si>
  <si>
    <t>Euthynnus alleteratus</t>
  </si>
  <si>
    <t>Thunnus atlanticus</t>
  </si>
  <si>
    <t>Orcynopsis unicolor</t>
  </si>
  <si>
    <t>Scomberomorus brasiliensis</t>
  </si>
  <si>
    <t>Scomberomorus regalis</t>
  </si>
  <si>
    <t>Auxis thazard</t>
  </si>
  <si>
    <t>Scomberomorus cavalla</t>
  </si>
  <si>
    <t>Scomberomorus tritor</t>
  </si>
  <si>
    <t>Scomberomorus maculatus</t>
  </si>
  <si>
    <t>Acanthocybium solandri</t>
  </si>
  <si>
    <t>Coryphaena hippurus</t>
  </si>
  <si>
    <t>x</t>
  </si>
  <si>
    <t xml:space="preserve">Coastal states mackerel meeting </t>
  </si>
  <si>
    <t xml:space="preserve">Atlantic Albacore stock assessment session </t>
  </si>
  <si>
    <t>Sharks species group intersessional meeting</t>
  </si>
  <si>
    <t>Bluefin species group intersessional meeting</t>
  </si>
  <si>
    <t>Meeting of the Standing Committee on Research and statistics</t>
  </si>
  <si>
    <t>SCRS Species Groups meetings (SC Statistics 26-27)</t>
  </si>
  <si>
    <t>WP</t>
  </si>
  <si>
    <t>Otoliths collected but not aged</t>
  </si>
  <si>
    <t>M</t>
  </si>
  <si>
    <t>Monthly but only during the fishing season</t>
  </si>
  <si>
    <t xml:space="preserve">Q </t>
  </si>
  <si>
    <t xml:space="preserve">Other </t>
  </si>
  <si>
    <t>Q</t>
  </si>
  <si>
    <t>L,A,W: quarterly; S,M: Annual. Illicia collected but not aged</t>
  </si>
  <si>
    <t>L,A,W: quarterly; S,M: Annual</t>
  </si>
  <si>
    <t>L,A,W: quarterly; S,M: Annual. Otoliths collected but not aged</t>
  </si>
  <si>
    <t>L,S,M: quarterly; W: Annual</t>
  </si>
  <si>
    <t>No age-based assessment</t>
  </si>
  <si>
    <t>L,A,W: quarterly; S: Annual</t>
  </si>
  <si>
    <t>Only from surveys</t>
  </si>
  <si>
    <t>Commercial</t>
  </si>
  <si>
    <t>Sex</t>
  </si>
  <si>
    <t>Maturity</t>
  </si>
  <si>
    <t>Survey</t>
  </si>
  <si>
    <t>Not selected for sampling</t>
  </si>
  <si>
    <t xml:space="preserve">1 per 1/2 cm per strata </t>
  </si>
  <si>
    <t>Commercial sampling only</t>
  </si>
  <si>
    <t>interpret this as VIIa(S),VIIg and VIIj</t>
  </si>
  <si>
    <t xml:space="preserve">interpret this as VIIa(S),VIIg and VIIj  50 per sample </t>
  </si>
  <si>
    <t xml:space="preserve">As per IBTS Manual  </t>
  </si>
  <si>
    <t>target is one fish per 1 cm size class per sample</t>
  </si>
  <si>
    <t>Survey only</t>
  </si>
  <si>
    <t xml:space="preserve">as per IBTS Manual  </t>
  </si>
  <si>
    <t>target is two fish per 1 cm size class per sample</t>
  </si>
  <si>
    <t>target is one fish per 2 cm size class per sample</t>
  </si>
  <si>
    <t xml:space="preserve">100 per sample  </t>
  </si>
  <si>
    <t xml:space="preserve">As Per IBTS manual  </t>
  </si>
  <si>
    <t xml:space="preserve">Salmon </t>
  </si>
  <si>
    <t>National Coded Wire Tagging programme</t>
  </si>
  <si>
    <t>Catch estimates on selected rivers, see table 1E for detail on river locations</t>
  </si>
  <si>
    <t xml:space="preserve">Sea Bass </t>
  </si>
  <si>
    <t xml:space="preserve">Historical derogation under Regualtion 199/2008 IRL WP 2011-2013  due to results of  pilot programme presented at STECF EWG 12-02 (low levels of removals and a catch and release fishery) New pilot study proposed </t>
  </si>
  <si>
    <t xml:space="preserve">To be determined </t>
  </si>
  <si>
    <t xml:space="preserve">Pilot Study </t>
  </si>
  <si>
    <t xml:space="preserve">See Pilot Study 1 for detail on proposed pilot survey porgramme to be designed  in 2017 for implementation and results in 2018. Updates in the 2019 programme on new timelines and work plan  </t>
  </si>
  <si>
    <t>Eel</t>
  </si>
  <si>
    <t>Historical derogation under Regualtion 199/2008 IRL WP 2011-2013  presented at STECF EWG 12-02  (catch and release fishery with minimal numbers), no recreational fishery- eel protected under byelaw 319,2015</t>
  </si>
  <si>
    <t>Pilot study in the marine only</t>
  </si>
  <si>
    <t>Under bye law 319,2015 it is prohibited  to take/fish or attempt to fish for eel in any district in Ireland. This law also prohibits the sale or attempt to sell ell in any fishery. Marine recreational pilot study will monitor any bycatch</t>
  </si>
  <si>
    <t>Cod</t>
  </si>
  <si>
    <t xml:space="preserve">New sampling requirement:  Pilot study proposed </t>
  </si>
  <si>
    <t xml:space="preserve">See Pilot Study 1 for detail on proposed pilot survey porgramme to be designed in in 2017 for implementation and results in 2018 Updates in the 2019 programme on new timelines and work plan  </t>
  </si>
  <si>
    <t>Pollack</t>
  </si>
  <si>
    <t xml:space="preserve">Historical derogation under Regualtion 199/2008 IRL WP 2011-2013  presented at STECF EWG 12-02 ( catch and release fishery) New pilot study proposed </t>
  </si>
  <si>
    <t xml:space="preserve">Higly Migratory Species </t>
  </si>
  <si>
    <t>Northeast Atlantic</t>
  </si>
  <si>
    <t>y</t>
  </si>
  <si>
    <t>BUNDORRAGHA RIVER</t>
  </si>
  <si>
    <t>adult</t>
  </si>
  <si>
    <t>F/I</t>
  </si>
  <si>
    <t>Catch reports</t>
  </si>
  <si>
    <t>n. release sites</t>
  </si>
  <si>
    <t>BURRISHOOLE RIVER</t>
  </si>
  <si>
    <t>CONG RIVER</t>
  </si>
  <si>
    <t>CORRIB RIVER</t>
  </si>
  <si>
    <t>ERNE RIVER</t>
  </si>
  <si>
    <t>LEE RIVER</t>
  </si>
  <si>
    <t>SHANNON RIVER</t>
  </si>
  <si>
    <t>Erne</t>
  </si>
  <si>
    <t>I</t>
  </si>
  <si>
    <t>Counter</t>
  </si>
  <si>
    <t>n. counter</t>
  </si>
  <si>
    <t>ESB operated, not funded under the EMFF programme</t>
  </si>
  <si>
    <t>Clady</t>
  </si>
  <si>
    <t>Shannon</t>
  </si>
  <si>
    <t>Lee</t>
  </si>
  <si>
    <t>Atlantic</t>
  </si>
  <si>
    <t>Trap</t>
  </si>
  <si>
    <t>n. trap</t>
  </si>
  <si>
    <t>ESB operated Cathaleens Fall 3 traps, not funded under the EMFF programme</t>
  </si>
  <si>
    <t>silver eel</t>
  </si>
  <si>
    <t>Mark recapture Escapement Coghill Nets</t>
  </si>
  <si>
    <t>monitoring site</t>
  </si>
  <si>
    <t>ESB operated - monitoring site Roscor for escapement estimate, not funded under the EMFF programme</t>
  </si>
  <si>
    <t>ESB operated - monitoring site Killaloe for escapement estimate, not funded under the EMFF programme</t>
  </si>
  <si>
    <t>transport capture sites Coghills and Vwing Fykes</t>
  </si>
  <si>
    <t>n. capture site</t>
  </si>
  <si>
    <t>ESB operated- T&amp;T management measure, part of escapement estimate &amp; biological sampling, not funded under the EMFF programme</t>
  </si>
  <si>
    <t>transport capture sites Fykes</t>
  </si>
  <si>
    <t>MI operated</t>
  </si>
  <si>
    <t>Burrishoole 3 lakes per year</t>
  </si>
  <si>
    <t>yellow eel</t>
  </si>
  <si>
    <t>Fyke net survey</t>
  </si>
  <si>
    <t>n. net nights</t>
  </si>
  <si>
    <t>Burrishoole rivers</t>
  </si>
  <si>
    <t>electrofishing survey</t>
  </si>
  <si>
    <t>n.survey sites</t>
  </si>
  <si>
    <t>Burrishoole</t>
  </si>
  <si>
    <t>Trap: Daily Number, Size, weight and sex ratio of emigrating silver eels</t>
  </si>
  <si>
    <t>n .trap</t>
  </si>
  <si>
    <t xml:space="preserve">IRL  </t>
  </si>
  <si>
    <t xml:space="preserve">North Atlantic </t>
  </si>
  <si>
    <t xml:space="preserve">All Areas </t>
  </si>
  <si>
    <t>Bony Fishes</t>
  </si>
  <si>
    <t xml:space="preserve">Protocols for observation of incidental bycatch  are  currently in place in  off shore catch  observer programme, collection protocols as per WGBYC. Species list will be extended to cover those applicable under Table 1D (EUMAP) and relevant databases updated  </t>
  </si>
  <si>
    <t xml:space="preserve">Cartilaginous fishes </t>
  </si>
  <si>
    <t>Mammals</t>
  </si>
  <si>
    <t>Birds</t>
  </si>
  <si>
    <t>Reptiles</t>
  </si>
  <si>
    <t>Molluscs</t>
  </si>
  <si>
    <t>Demersal at-sea</t>
  </si>
  <si>
    <t>Crustaceans</t>
  </si>
  <si>
    <t>Zero</t>
  </si>
  <si>
    <t xml:space="preserve">MS has no directed Deep water fishery </t>
  </si>
  <si>
    <t xml:space="preserve">North Sea and Eastern Arctic  </t>
  </si>
  <si>
    <t>IRL NE 1, IRL N 1</t>
  </si>
  <si>
    <t xml:space="preserve">Protocols for observation of incidental bycatch  are  currently in place in  off shore catch  observer programme, collection protocols as per WGBYC. Species list will be extended to cover those applicaple under Table 1D and relevant databases updated  </t>
  </si>
  <si>
    <t xml:space="preserve">IRL </t>
  </si>
  <si>
    <t>International Ecosystem Survey in the Nordic Seas</t>
  </si>
  <si>
    <t>ASH</t>
  </si>
  <si>
    <t>II a</t>
  </si>
  <si>
    <t>May</t>
  </si>
  <si>
    <t>Annual</t>
  </si>
  <si>
    <t>Acoustic Tracks</t>
  </si>
  <si>
    <t xml:space="preserve">Western IBTS 4th quarter(including Porcupine survey) </t>
  </si>
  <si>
    <t>IBTS Q4</t>
  </si>
  <si>
    <t>VIaS, VIIb, VIIg, VIIj</t>
  </si>
  <si>
    <t>4th Quarter</t>
  </si>
  <si>
    <t>Fishing Hauls</t>
  </si>
  <si>
    <t>Fig 1</t>
  </si>
  <si>
    <t>WGIBTS</t>
  </si>
  <si>
    <t>DATRAS</t>
  </si>
  <si>
    <t>CTD</t>
  </si>
  <si>
    <t xml:space="preserve">Litter </t>
  </si>
  <si>
    <t xml:space="preserve"> Blue whiting  survey</t>
  </si>
  <si>
    <t>VI VII</t>
  </si>
  <si>
    <t>1st and 2nd Quarter</t>
  </si>
  <si>
    <t>Acoustic miles</t>
  </si>
  <si>
    <t>WGIPS</t>
  </si>
  <si>
    <t>PGNAPES</t>
  </si>
  <si>
    <t>International Mackerel and Horse Mackerel Egg Survey ( Triennial)</t>
  </si>
  <si>
    <t>MEGS</t>
  </si>
  <si>
    <t>Jan-July</t>
  </si>
  <si>
    <t>Triennial</t>
  </si>
  <si>
    <t>Plankton hauls</t>
  </si>
  <si>
    <t>WGMEGS</t>
  </si>
  <si>
    <t>ICES egg and larval database</t>
  </si>
  <si>
    <t>International mackerel and horse mackerel egg survey</t>
  </si>
  <si>
    <t>Fishing hauls</t>
  </si>
  <si>
    <t>Spawning/Pre spawning Herring/Boarfish acoustic survey</t>
  </si>
  <si>
    <t xml:space="preserve">VIa, VIIa-g </t>
  </si>
  <si>
    <t xml:space="preserve">July,Sept,Nov,Mar,Jan </t>
  </si>
  <si>
    <t>ICES Acoustic DB</t>
  </si>
  <si>
    <t>2nd Component : CSHAS Pre spawning compenent of the survey taking place in VIIg, VIIj, VIIaS</t>
  </si>
  <si>
    <t>Nephrops UWTV Irish Sea</t>
  </si>
  <si>
    <t>UWTV (FU15)</t>
  </si>
  <si>
    <t>T</t>
  </si>
  <si>
    <t>June</t>
  </si>
  <si>
    <t>TV tracks &amp; CTD</t>
  </si>
  <si>
    <t>ICES WGNEPS</t>
  </si>
  <si>
    <t>Under development</t>
  </si>
  <si>
    <t xml:space="preserve">Actual areas covered by UWTV are (FU16, 17, 19, 20-21 &amp; 22 in ICES Areas VIIb,c,g,h,j,k )  Ireland collaborates with France and the UK by sharing personnel across this and other UWTV surveys in FU 14, 15 and 23. See text file and link on the rearranging/renaming etc  of this survey  </t>
  </si>
  <si>
    <t xml:space="preserve">Nephrops UWTV survey Aran Grounds </t>
  </si>
  <si>
    <t>UWTV (FU17)</t>
  </si>
  <si>
    <t>VIIb</t>
  </si>
  <si>
    <t>Nephrops UWTV survey Celtic Sea</t>
  </si>
  <si>
    <t xml:space="preserve">UWTV (FU20-22)  </t>
  </si>
  <si>
    <t>VIIg,h,j</t>
  </si>
  <si>
    <t>July</t>
  </si>
  <si>
    <t>Trawl mark observations</t>
  </si>
  <si>
    <t>Sea pen observations</t>
  </si>
  <si>
    <t>Irish Anglerfish and Megrim Survey</t>
  </si>
  <si>
    <t>IAMS</t>
  </si>
  <si>
    <t>VIa and VII</t>
  </si>
  <si>
    <t>Jan-Mar</t>
  </si>
  <si>
    <t>ICES WGBIE &amp; WGCSE</t>
  </si>
  <si>
    <t xml:space="preserve">See Word file for detail of this survey. Survey Commenced in 2016  EMFF funding used under UP3 data collection scheme </t>
  </si>
  <si>
    <t>Litter</t>
  </si>
  <si>
    <t>Razor clam irish sea</t>
  </si>
  <si>
    <t>RCIS</t>
  </si>
  <si>
    <t>Fish haul</t>
  </si>
  <si>
    <t>See Word file Survey time series from 2016</t>
  </si>
  <si>
    <t>Razor clam west Ireland</t>
  </si>
  <si>
    <t>RCWI</t>
  </si>
  <si>
    <t>Scallop Inshore</t>
  </si>
  <si>
    <t>SIS</t>
  </si>
  <si>
    <t xml:space="preserve">ICES </t>
  </si>
  <si>
    <t>See Word file Survey time series from 2011</t>
  </si>
  <si>
    <t>Cockle Irish Sea</t>
  </si>
  <si>
    <t>CNIS</t>
  </si>
  <si>
    <t>Quadrat and core</t>
  </si>
  <si>
    <t>See Word file Survey time series from 2007</t>
  </si>
  <si>
    <t>Oyster west Ireland</t>
  </si>
  <si>
    <t>OWI</t>
  </si>
  <si>
    <t>VIIb VIIj Via</t>
  </si>
  <si>
    <t>Sep-Dec</t>
  </si>
  <si>
    <t>OSPAR species. See word file Survey time series from 2011</t>
  </si>
  <si>
    <t xml:space="preserve">Mackerel biological data   VI, VII, VIII, </t>
  </si>
  <si>
    <t xml:space="preserve">Mackerel egg production  VI, VII, VIII, </t>
  </si>
  <si>
    <t>CTD by Haul</t>
  </si>
  <si>
    <t>Marine Mammal observations</t>
  </si>
  <si>
    <t>IBTS-Q4</t>
  </si>
  <si>
    <t>Standardized relative indices of abundance at age for assessment: Whiting VIIe-k, Haddock VIIb-k, Cod VIIe-k, Cod VIa, Megrim VI, PlaiceVIIbc,VIIh-k Clupea harengus VI VII, Trachurus trachurus VI VII, Scomber scrombrus VI VII</t>
  </si>
  <si>
    <t>Standardized relative indices of numbers at length for assessment: Lophius piscatorious [sic] IV, VI 
Lophius piscatorious [sic] VIIb-k, VIIIabd
Lophius budegassa VIIb-k, VIIIabd
Lepidorhombus whiffiagonis,VI
Lepidorhombus whiffiagonis, VII, VIIIabd
Lepidorhombus boscii, VII, VIIIabd (not in annex) Merluccius merluccius VI, VII</t>
  </si>
  <si>
    <t xml:space="preserve">Standardized relative indices of total No and total biomass for elasmobranch assessment:Dipturus spp. VI and VII (includes D. batis, flossada, intermedia and oxyrhincus and nidarosiensis), 
Cuckoo ray – VI and VII, 
Blonde ray VI, 
Blonde ray VIIafg, 
Thornback ray VIIafg, 
Thornback ray VI, 
Spotted ray VIIa,e-h, 
Spotted ray VI,VIIbj, 
Leucoraja fullonica VI and VII, 
Leucoraja circularis VI and VII, 
Raja microocellata VIIfg, 
Raja undulata VIIbj, 
Spurdog VI and VII
</t>
  </si>
  <si>
    <t xml:space="preserve">Standardized relative indices of total No and total biomass for cephalopod assessment: Eledone Cirrhosa
Illex Coindetti
Loligo (Alloteuthis) Subulata
Loligo Forbesi
Octopus vulgaris
Rossia macrosoma
Sepia elegans
Sepia officinalis
Sepiola atlantica
Todarodes Sagittatus
Todaropsis eblane
</t>
  </si>
  <si>
    <t xml:space="preserve">Biological data for stocks: age, length, sex and maturity for  Chelidonichthys (aspitrigla) cuculus**, Clupea harengus, Conger conger**, Dicentrarchus labrax, Gadus morhua,                 Glyptocephalus cynoglossus**,                 Lepidorhombus whiffiagonis, Leucoraja naevus*, Lophius budegassa, Lophius piscatorius, Melanogrammus aeglefinus, Merlangius merlangus, Merluccius merluccius, Micromesistius poutassou, Microstomus kitt, Molva molva, Pleuronectes platessa, Pollachius pollachius**, Pollachius virens, Raja brachyura*, Raja clavata*, Raja montagui*, Scomber scombrus, Scophthalmus maximus (psetta maxima)**,     Scophthalmus rhombus**, Solea solea, Squalus acanthias*, Trachurus trachurus,      Zeus faber** 
[* indicates no otoliths taken for age, ** indicates individual length and weight data only, no sex/maturity dissection if alive]
</t>
  </si>
  <si>
    <t>Nephrops VII ( functional Unit) Length weight sex maturity</t>
  </si>
  <si>
    <t xml:space="preserve">CTD by Haul  </t>
  </si>
  <si>
    <t xml:space="preserve">CTD data goes to EUROGOOS. </t>
  </si>
  <si>
    <t xml:space="preserve">Litter by haul </t>
  </si>
  <si>
    <t xml:space="preserve">Benthos in the Haul </t>
  </si>
  <si>
    <t>Annually all Seapens sent to London museum for Population genetics; all sepeolids sent to Belgian Museum for ID and catalog of distribution; pollan/smelt/shad etc migratory spp sent to IFI for catalog.  Periodic multibeam data goes to INFOMAR.</t>
  </si>
  <si>
    <t>UWTV (FU16, 17, 19, 20-21 &amp; 22)</t>
  </si>
  <si>
    <t>Absolute abundance estimates Nephrops Area VII functional unit</t>
  </si>
  <si>
    <t xml:space="preserve">Data grouped for the three Irish Surveys </t>
  </si>
  <si>
    <t>CTD by station</t>
  </si>
  <si>
    <t>Trawl marks by station</t>
  </si>
  <si>
    <t xml:space="preserve">Sea pen abundance by station  </t>
  </si>
  <si>
    <t>UWTV (FU 17, 22)</t>
  </si>
  <si>
    <t xml:space="preserve">Nephrops VII ( functional Unit) Length weight sex maturity if trawling occurs </t>
  </si>
  <si>
    <t>Multi frequency acoustic data</t>
  </si>
  <si>
    <t>Biological data -blue whiting (Div V, VI, VII)</t>
  </si>
  <si>
    <t>CTD  (vertical, dedicated station)</t>
  </si>
  <si>
    <t xml:space="preserve">Marine mammal observations </t>
  </si>
  <si>
    <t xml:space="preserve">Seabird observations </t>
  </si>
  <si>
    <t>Spawning Herring and boarfish component WESPAS</t>
  </si>
  <si>
    <t>Biological data -herring (Div VIa, VIIb,c)</t>
  </si>
  <si>
    <t>Biological data -boarfish (Div VIa, VIIb,c, j, g, h)</t>
  </si>
  <si>
    <t>Biological data -horse mackerel (Div VIa, VIIb,c, j, g, h)</t>
  </si>
  <si>
    <t>Zooplankton sampling</t>
  </si>
  <si>
    <t>Pre spawning Herring component CSHAS</t>
  </si>
  <si>
    <t>Biological data -herring (VIIg,j,VIIa )</t>
  </si>
  <si>
    <t>Biological data -sprat (VIIg,j,VIIa )</t>
  </si>
  <si>
    <t xml:space="preserve">Relative index of abundance trawl data: Lophius piscatorious [sic] IV, VI
Lophius piscatorious [sic] VIIb-k, VIIIabd
Lophius budegassa VIIb-k, VIIIabd
Lepidorhombus whiffiagonis,VI
Lepidorhombus whiffiagonis, VII, VIIIabd
Lepidorhombus boscii, VII, VIIIabd (not in annex
</t>
  </si>
  <si>
    <t xml:space="preserve">Target Stocks </t>
  </si>
  <si>
    <t xml:space="preserve">Additional Stocks </t>
  </si>
  <si>
    <t>From 2017</t>
  </si>
  <si>
    <t>Razor clam Irish sea</t>
  </si>
  <si>
    <t>Abundance, biological data for clams VIIa</t>
  </si>
  <si>
    <t>Abundance of non target species</t>
  </si>
  <si>
    <t>Razor clam west coast</t>
  </si>
  <si>
    <t>RCWC</t>
  </si>
  <si>
    <t>Abundance, biological data for clams VIIb</t>
  </si>
  <si>
    <t>Oyster west coast</t>
  </si>
  <si>
    <t>OWC</t>
  </si>
  <si>
    <t>Abundance, biological data for oysters VIIb</t>
  </si>
  <si>
    <t>CIS</t>
  </si>
  <si>
    <t>Abundance, biological data for cockles VIIa</t>
  </si>
  <si>
    <t>Sediment cores</t>
  </si>
  <si>
    <t>Abundance, biological data for scallop VIIa, VIIg</t>
  </si>
  <si>
    <t>Baltic Sea, North Sea and Eastern Arctic, and North Atlantic</t>
  </si>
  <si>
    <t>All</t>
  </si>
  <si>
    <t>Inactive</t>
  </si>
  <si>
    <t>Gross value of landings</t>
  </si>
  <si>
    <t>Logbook</t>
  </si>
  <si>
    <t>A - Census</t>
  </si>
  <si>
    <t>Sales Notes</t>
  </si>
  <si>
    <t>Income from leasing out quota or other fishing rights</t>
  </si>
  <si>
    <t>Not relevant for IRL</t>
  </si>
  <si>
    <t>Other Income</t>
  </si>
  <si>
    <t>Questionaire</t>
  </si>
  <si>
    <t>C - Non-Probability Sample Survey</t>
  </si>
  <si>
    <t>sample frame too low for sampling - clustered for reporting</t>
  </si>
  <si>
    <t xml:space="preserve">Questionaire/Sentinel Logbook </t>
  </si>
  <si>
    <t>Personnel Costs</t>
  </si>
  <si>
    <t>Value of Unpaid Labour</t>
  </si>
  <si>
    <t>Energy Costs</t>
  </si>
  <si>
    <t>Repair and maintenance costs</t>
  </si>
  <si>
    <t>Variable Costs</t>
  </si>
  <si>
    <t>Non-variable Costs</t>
  </si>
  <si>
    <t>Operating Subsidies</t>
  </si>
  <si>
    <t>Subsidies on Invesment</t>
  </si>
  <si>
    <t>Consumption of Fixed Capital</t>
  </si>
  <si>
    <t>Value of Physical Capital</t>
  </si>
  <si>
    <t>Value of quota and other fishing rights</t>
  </si>
  <si>
    <t>Engaged Crew</t>
  </si>
  <si>
    <t>Unpaid Labour</t>
  </si>
  <si>
    <t>Energy Consumption</t>
  </si>
  <si>
    <t>Register</t>
  </si>
  <si>
    <t>S</t>
  </si>
  <si>
    <t>Employment by Gender</t>
  </si>
  <si>
    <t>FTE by Gender</t>
  </si>
  <si>
    <t>Unpaid Labour by Gender</t>
  </si>
  <si>
    <t>Employment by Age</t>
  </si>
  <si>
    <t>Pilot Study</t>
  </si>
  <si>
    <t>Employment by Nationality</t>
  </si>
  <si>
    <t>FTE National</t>
  </si>
  <si>
    <t>Long/short Debt</t>
  </si>
  <si>
    <t>Total Assets</t>
  </si>
  <si>
    <t>Questionaire/Estimation</t>
  </si>
  <si>
    <t>EU Register</t>
  </si>
  <si>
    <t>Mean LOA of vessels</t>
  </si>
  <si>
    <t>Total vessel's tonnage</t>
  </si>
  <si>
    <t>Total vessel's power</t>
  </si>
  <si>
    <t>Mean age of vessels</t>
  </si>
  <si>
    <t>Days at sea</t>
  </si>
  <si>
    <t>Value of landings per species</t>
  </si>
  <si>
    <t>Average price per species</t>
  </si>
  <si>
    <t>Tanks, ponds and FWT cages</t>
  </si>
  <si>
    <t>Gross sales per species</t>
  </si>
  <si>
    <t xml:space="preserve">Questionnaires </t>
  </si>
  <si>
    <t>Financial accounts</t>
  </si>
  <si>
    <t>C - Non-Probability Sample</t>
  </si>
  <si>
    <t>Other income</t>
  </si>
  <si>
    <t>Personnel costs</t>
  </si>
  <si>
    <t>Questionnaires</t>
  </si>
  <si>
    <t xml:space="preserve"> Financial accounts</t>
  </si>
  <si>
    <t>Value of unpaid labour</t>
  </si>
  <si>
    <t>Energy costs</t>
  </si>
  <si>
    <t>Livestock costs</t>
  </si>
  <si>
    <t>Feed costs</t>
  </si>
  <si>
    <t>Repair and maintenance</t>
  </si>
  <si>
    <t>Other operating costs</t>
  </si>
  <si>
    <t>Operating subsidies</t>
  </si>
  <si>
    <t>Inter-Agency</t>
  </si>
  <si>
    <t>Subsidies on investments</t>
  </si>
  <si>
    <t>Consumption of fixed capital</t>
  </si>
  <si>
    <t>Total value of assets</t>
  </si>
  <si>
    <t>Financial income</t>
  </si>
  <si>
    <t xml:space="preserve">Financial expenditures </t>
  </si>
  <si>
    <t>Net investments</t>
  </si>
  <si>
    <t>Debt</t>
  </si>
  <si>
    <t>Livestock used</t>
  </si>
  <si>
    <t>Fish Feed used</t>
  </si>
  <si>
    <t>Weight of sales per species</t>
  </si>
  <si>
    <t>persons employed</t>
  </si>
  <si>
    <t xml:space="preserve">Unpaid labour </t>
  </si>
  <si>
    <t>Number of hours worked by employees and unpaid workers</t>
  </si>
  <si>
    <t>Number of enterprises (by category of employment number</t>
  </si>
  <si>
    <t>Employment by gender</t>
  </si>
  <si>
    <t>FTE by gender</t>
  </si>
  <si>
    <t xml:space="preserve">Unpaid labour by gender </t>
  </si>
  <si>
    <t>Employment by age</t>
  </si>
  <si>
    <t>Employment by education level</t>
  </si>
  <si>
    <t>Employment by nationality</t>
  </si>
  <si>
    <t>Employment by employment status</t>
  </si>
  <si>
    <t xml:space="preserve"> C - Non-Probability Sample</t>
  </si>
  <si>
    <t>A - Census,</t>
  </si>
  <si>
    <t>Medicines or treatments administered</t>
  </si>
  <si>
    <t>?</t>
  </si>
  <si>
    <t xml:space="preserve"> Indirect sources</t>
  </si>
  <si>
    <t>Mortalities</t>
  </si>
  <si>
    <t>Sea Cages</t>
  </si>
  <si>
    <t>Tanks and Ponds</t>
  </si>
  <si>
    <t>Long Lines</t>
  </si>
  <si>
    <t>Seabed Culture</t>
  </si>
  <si>
    <t>Oyster Spps.</t>
  </si>
  <si>
    <t>Off-Bottom</t>
  </si>
  <si>
    <t>Other Bivalve Shellfish Spps.</t>
  </si>
  <si>
    <t>Combined Techniques</t>
  </si>
  <si>
    <t>Shellfish hatcheries and Novel Spps.</t>
  </si>
  <si>
    <t>Questionnaire by Census is the primary source and collection scheme for this variable. Other sources used for validation or as a back up.</t>
  </si>
  <si>
    <t>Questionnaire by Non-Probability Sample Survey is the primary source and data collection scheme for this variable. Other sources used for validation or as back up</t>
  </si>
  <si>
    <t>financial accounts / questionnaire</t>
  </si>
  <si>
    <t>Payment for external agency workers (optional)</t>
  </si>
  <si>
    <t xml:space="preserve">Purchase of fish and other raw material for production </t>
  </si>
  <si>
    <t>Other operational costs</t>
  </si>
  <si>
    <t>Financial expenditures</t>
  </si>
  <si>
    <t>Net Investments</t>
  </si>
  <si>
    <t>Number of persons employed</t>
  </si>
  <si>
    <t>Unpaid labour</t>
  </si>
  <si>
    <t>Number of enterprises (1)</t>
  </si>
  <si>
    <t>Companies 11-49</t>
  </si>
  <si>
    <t>Companies 50-250</t>
  </si>
  <si>
    <t xml:space="preserve">ICES Area 6a -West of Scotland   </t>
  </si>
  <si>
    <t>IRL NW 1</t>
  </si>
  <si>
    <t>vessel x trip</t>
  </si>
  <si>
    <t xml:space="preserve">Landings + Discards </t>
  </si>
  <si>
    <t xml:space="preserve">All Species and Stocks  </t>
  </si>
  <si>
    <t xml:space="preserve">annual </t>
  </si>
  <si>
    <t xml:space="preserve">Pelagic at-sea </t>
  </si>
  <si>
    <t>IRL NW 2</t>
  </si>
  <si>
    <t xml:space="preserve">targeting all pelagic species from all gears off the NW coast </t>
  </si>
  <si>
    <t>Crustacean  at-sea</t>
  </si>
  <si>
    <t>IRL NW 3</t>
  </si>
  <si>
    <t xml:space="preserve">fishing day </t>
  </si>
  <si>
    <t>targeting Lobster and crab off the NW coast</t>
  </si>
  <si>
    <t xml:space="preserve">Sampling on shore </t>
  </si>
  <si>
    <t>IRL NW 5</t>
  </si>
  <si>
    <t xml:space="preserve">port X day </t>
  </si>
  <si>
    <t xml:space="preserve">Landings </t>
  </si>
  <si>
    <t>Stocks in Table 1a, 1b and 1c</t>
  </si>
  <si>
    <t>IRL SCO DK</t>
  </si>
  <si>
    <t>IRL NW 6</t>
  </si>
  <si>
    <t>Pelagics sampling in the NW region Including bilateral sampling with the UK and DK</t>
  </si>
  <si>
    <t>IRL NW 7</t>
  </si>
  <si>
    <t xml:space="preserve">targeting Lobster and crab in the NW region </t>
  </si>
  <si>
    <t>IRL NW 8</t>
  </si>
  <si>
    <t xml:space="preserve">Selected Species and Stocks  </t>
  </si>
  <si>
    <t xml:space="preserve">targeting Whelks in the NW region </t>
  </si>
  <si>
    <t xml:space="preserve"> ICES Area 7a-Irish Sea </t>
  </si>
  <si>
    <t>IRL E 1</t>
  </si>
  <si>
    <t>IRL E 2</t>
  </si>
  <si>
    <t>7aS Herring sentinal fishery  in the southern part of the Irish Sea</t>
  </si>
  <si>
    <t>IRL E 3</t>
  </si>
  <si>
    <t>Molluscs at-sea</t>
  </si>
  <si>
    <t>IRL E 4</t>
  </si>
  <si>
    <t xml:space="preserve">targeting Whelks  in the East </t>
  </si>
  <si>
    <t>IRL E 5</t>
  </si>
  <si>
    <t xml:space="preserve">targeting Scallops  Ensis and Cerastoderma in the East </t>
  </si>
  <si>
    <t>IRL E 6</t>
  </si>
  <si>
    <t xml:space="preserve">targeting lobster and Crab in the East </t>
  </si>
  <si>
    <t>IRL E 7</t>
  </si>
  <si>
    <t>IRL E 8</t>
  </si>
  <si>
    <t xml:space="preserve">Nephrops fishery all metiers  Self sampling hence the vessel x trip </t>
  </si>
  <si>
    <t xml:space="preserve">ICES Area 7fgh-Celtic Sea  </t>
  </si>
  <si>
    <t>IRL SE 1</t>
  </si>
  <si>
    <t>IRL SE 2</t>
  </si>
  <si>
    <t>IRL SE 3</t>
  </si>
  <si>
    <t>IRL SE 4</t>
  </si>
  <si>
    <t xml:space="preserve">Herring and other pelagics  in the South East </t>
  </si>
  <si>
    <t>IRL SE 5</t>
  </si>
  <si>
    <t>IRL SE 6</t>
  </si>
  <si>
    <t>IRL SE 7</t>
  </si>
  <si>
    <t>Scallop fishery in the South East including that in 7bcjk and VII3</t>
  </si>
  <si>
    <t>IRL SE 8</t>
  </si>
  <si>
    <t xml:space="preserve">Lobster and Crab in the SE  </t>
  </si>
  <si>
    <t>IRL SE 9</t>
  </si>
  <si>
    <t>IRL SE 10</t>
  </si>
  <si>
    <t>All pelagic sampling including that from IRL E 2</t>
  </si>
  <si>
    <t xml:space="preserve">ICES Area 7fgh-Celtic Sea and part 7bcjk West of Ireland </t>
  </si>
  <si>
    <t>IRL SE 11</t>
  </si>
  <si>
    <t xml:space="preserve">All Nephrops sampling  in FU 19, 20-21 22 Self sampling hence the vessel x trip  </t>
  </si>
  <si>
    <t>IRL SE 12</t>
  </si>
  <si>
    <t>Stocks in Table 1a, 1b and 1c and other selected  stocks</t>
  </si>
  <si>
    <t xml:space="preserve">All Crustaceans/Molluscs sampling including that from IRL E 5,6 &amp;7 </t>
  </si>
  <si>
    <t xml:space="preserve">ICES Area 7bcjk West of Ireland </t>
  </si>
  <si>
    <t>IRL WSW 1</t>
  </si>
  <si>
    <t>IRL WSW 2</t>
  </si>
  <si>
    <t>IRL WSW 3</t>
  </si>
  <si>
    <t>IRL WSW 4</t>
  </si>
  <si>
    <t>IRL WSW 5</t>
  </si>
  <si>
    <t xml:space="preserve">All LPF in all Areas </t>
  </si>
  <si>
    <t>IRL WSW 6</t>
  </si>
  <si>
    <t>All SPF from all gears in the West and South West</t>
  </si>
  <si>
    <t>IRL WSW 7</t>
  </si>
  <si>
    <t>IRL WSW 8</t>
  </si>
  <si>
    <t>Pot fishery for Lobster and Crab in the West and South West</t>
  </si>
  <si>
    <t>IRL WSW 9</t>
  </si>
  <si>
    <t>IRL FRA</t>
  </si>
  <si>
    <t>IRL WSW 10</t>
  </si>
  <si>
    <t>All pelagic sampling including bi lateral sampling with FRA</t>
  </si>
  <si>
    <t>IRL WSW 11</t>
  </si>
  <si>
    <t xml:space="preserve">All Nephrops sampling FU 16&amp;17   Self sampling hence the vessel x trip </t>
  </si>
  <si>
    <t>IRL WSW 12</t>
  </si>
  <si>
    <t xml:space="preserve">All lobster and crab </t>
  </si>
  <si>
    <t>ICES Area IV, VIId -North Sea</t>
  </si>
  <si>
    <t>IRL NE1</t>
  </si>
  <si>
    <t>All SPF in the North East west of Shetland from all gears</t>
  </si>
  <si>
    <t>IRL NE2</t>
  </si>
  <si>
    <t>All SPF</t>
  </si>
  <si>
    <t>crustacean  at-sea</t>
  </si>
  <si>
    <t>IRL NE3</t>
  </si>
  <si>
    <t xml:space="preserve">Crab </t>
  </si>
  <si>
    <t>ICES Area I,II -Eastern Arctic</t>
  </si>
  <si>
    <t>IRL N1</t>
  </si>
  <si>
    <t xml:space="preserve">All SPF West of Norway </t>
  </si>
  <si>
    <t>IRL N2</t>
  </si>
  <si>
    <t>IRL N3</t>
  </si>
  <si>
    <t>Northwest Demersal Trawlers</t>
  </si>
  <si>
    <t>Vessels targeting  whitefish mainly fishing in ICES area 6a</t>
  </si>
  <si>
    <t xml:space="preserve">Select from Random list  for area </t>
  </si>
  <si>
    <t xml:space="preserve">Mainly a 6a fishery with some vessels going to 6b as those fisheries come on. Landings from 6b are quite variable additional effort is made to sample these fisheries </t>
  </si>
  <si>
    <t>Northwest Pelagic trawlers</t>
  </si>
  <si>
    <t xml:space="preserve">Vessels targeting pelagic species fishing in ICES area 6a, </t>
  </si>
  <si>
    <t>Mainly large RSW trawlers,  targeting single species in quite distinct time frames. Mainly 1st and 4th Quarter fisheries</t>
  </si>
  <si>
    <t>Northwest inshore potters</t>
  </si>
  <si>
    <t xml:space="preserve">Vessles &lt;15m targeting Crustaceans </t>
  </si>
  <si>
    <t>Mainly lobster and crab</t>
  </si>
  <si>
    <t xml:space="preserve">NW All ports </t>
  </si>
  <si>
    <t xml:space="preserve">2 major ports, Killybegs and Greencastle with the majority of Demersal landings for this area </t>
  </si>
  <si>
    <t xml:space="preserve">Random weekday </t>
  </si>
  <si>
    <t>Includes sampling  of fish transshipped from other landing areas as vessels are highly mobile</t>
  </si>
  <si>
    <t xml:space="preserve">One major NW port KIllybegs with the majority of landings from the Pelagic fleet  and several minor ports </t>
  </si>
  <si>
    <t>Includes the sampling of foreign vessels if fish is landed and processed localy</t>
  </si>
  <si>
    <t xml:space="preserve">minor ports with landings from inshore vessels tagetting Crab and Lobster  </t>
  </si>
  <si>
    <t xml:space="preserve">Random monthly  </t>
  </si>
  <si>
    <t xml:space="preserve">Sampled in some ports but  mainly in processors which receive landings from numerous ports, able to trace back to port/vessel  level  </t>
  </si>
  <si>
    <t xml:space="preserve"> Inshore vessels tagetting Whelks  </t>
  </si>
  <si>
    <t xml:space="preserve">Sampled mainly in a central processor which receives landings from numerous ports, able to trace back to port and vessel  level  </t>
  </si>
  <si>
    <t>East Demersal Trawlers</t>
  </si>
  <si>
    <t>Vessels targeting whitefish in the Irish sea</t>
  </si>
  <si>
    <t xml:space="preserve"> Mainly targets Cod and Elasmobranchs . Observer programme is used to collect additional maturity data on Elasmobranchs  </t>
  </si>
  <si>
    <t xml:space="preserve">East Pelagic Trawlers </t>
  </si>
  <si>
    <t xml:space="preserve">Vessels targeting the inshore component of the Celtic sea Herring stock </t>
  </si>
  <si>
    <t>This fishery is part of the greater Celtic sea Herring Stock, targeted by smaller artisnal  vessels and only open for about 8 weeks in the 4th Quarter</t>
  </si>
  <si>
    <t xml:space="preserve">East Nephrops  Trawlers </t>
  </si>
  <si>
    <t xml:space="preserve">Irish Sea Nephrops </t>
  </si>
  <si>
    <t xml:space="preserve">All selectivity methods combined for fisheries in FU 15. </t>
  </si>
  <si>
    <t xml:space="preserve">East Potters  </t>
  </si>
  <si>
    <t xml:space="preserve">Southern Irish Sea whelk fishery </t>
  </si>
  <si>
    <t>targeting Whelk, not an Annex 1 species but  Exceeds &gt;200 tonnes nationally and &gt;10% of EU landings</t>
  </si>
  <si>
    <t xml:space="preserve">East Dredgers </t>
  </si>
  <si>
    <r>
      <t xml:space="preserve"> </t>
    </r>
    <r>
      <rPr>
        <b/>
        <sz val="10"/>
        <rFont val="Arial"/>
        <family val="2"/>
      </rPr>
      <t>Scallop</t>
    </r>
    <r>
      <rPr>
        <sz val="10"/>
        <rFont val="Arial"/>
        <family val="2"/>
      </rPr>
      <t xml:space="preserve"> Fishery Annex I EUMAP species. Sub-area VIId only. Commercial fisheries occur throughout area VII.   Also </t>
    </r>
    <r>
      <rPr>
        <b/>
        <sz val="10"/>
        <rFont val="Arial"/>
        <family val="2"/>
      </rPr>
      <t>Ensis spp</t>
    </r>
    <r>
      <rPr>
        <sz val="10"/>
        <rFont val="Arial"/>
        <family val="2"/>
      </rPr>
      <t xml:space="preserve">  
 Landings into Ireland are approximately 1000 tonnes per annum
 Exceeds thresholds: &gt;10% of EU, &gt;200 tonnes nationally.
 Specific management requirements
 High risk of impact on marine habitats 
Some in or in proximity to MPAs (SACs, SPAs)
Risk of impact to food source for birds (Common scoter, Legal framework Directive 2009/147/EC)
</t>
    </r>
    <r>
      <rPr>
        <b/>
        <sz val="10"/>
        <rFont val="Arial"/>
        <family val="2"/>
      </rPr>
      <t>Cerastoderma edule</t>
    </r>
    <r>
      <rPr>
        <sz val="10"/>
        <rFont val="Arial"/>
        <family val="2"/>
      </rPr>
      <t xml:space="preserve">  
 Landings in to Ireland vary from 0-800 tonnes
 Exceeds &gt;200 tonnes nationally but &lt;10% of EU landings
 Specific management requirements
Risk of impact to food source for birds (Legal framework Directive 2009/147/EC)
 Risk of impact on marine habitats in or in proximity to MPAs (SACs, SPAs)
 </t>
    </r>
  </si>
  <si>
    <t xml:space="preserve">targeting lobster and Crab </t>
  </si>
  <si>
    <t xml:space="preserve">All Ports </t>
  </si>
  <si>
    <t xml:space="preserve">2 major ports and numerous processors On shore sampling for all demersal  fisheries  </t>
  </si>
  <si>
    <t xml:space="preserve">Random weekly </t>
  </si>
  <si>
    <t>Main sampling are demersal species from the E, also  sample fish which have been transshipped form other Strata as vessels are highly mobile</t>
  </si>
  <si>
    <t>Nephrops landings into all ports</t>
  </si>
  <si>
    <t xml:space="preserve">Samples of catch and discards collected from vessels as part of the self sampling programme and worked up in laboratories  </t>
  </si>
  <si>
    <t>South East Demersal Trawlers</t>
  </si>
  <si>
    <t xml:space="preserve"> vessels targeting whitefish  mainly in the SE region landing in to all ports </t>
  </si>
  <si>
    <t xml:space="preserve">All Demersal Otterboard Trawlers, main fishery targets Whiting and Haddock  </t>
  </si>
  <si>
    <t>South East Demersal Beam Trawlers</t>
  </si>
  <si>
    <t xml:space="preserve"> Beam trawl fleet  located in 1 major port Kilmore Quay where the majority of the landings take place  </t>
  </si>
  <si>
    <t>Select from Random list  for area. Access is restriced to 2 vessels</t>
  </si>
  <si>
    <t xml:space="preserve">All Demersal Beam Trawlers </t>
  </si>
  <si>
    <t>South East Demersal Seiners</t>
  </si>
  <si>
    <t xml:space="preserve">All demersal Seiners targeting whitefish  </t>
  </si>
  <si>
    <t xml:space="preserve">All Demersal Seiners </t>
  </si>
  <si>
    <t>South East Pelagic Trawlers</t>
  </si>
  <si>
    <t xml:space="preserve">Vessels targeting pelagic species fishing in ICES area 7fgh, </t>
  </si>
  <si>
    <t xml:space="preserve">Mainly the Celtic sea Herring fishery </t>
  </si>
  <si>
    <t>South East Gillnetters</t>
  </si>
  <si>
    <t xml:space="preserve">All ports  </t>
  </si>
  <si>
    <t xml:space="preserve">Majority of this fishery takes place in Q1 targeting Cod with other fishing throughout the year on Pollack, Hake  </t>
  </si>
  <si>
    <t>South East Nephrops Trawlers</t>
  </si>
  <si>
    <t xml:space="preserve">Nephrops fishery </t>
  </si>
  <si>
    <t>Nephrops fishery Included all mesh sizes and selectivity methods Smalls and Labadie FU 19, 20-21 and 22</t>
  </si>
  <si>
    <t>South East Dredgers</t>
  </si>
  <si>
    <t xml:space="preserve">One major port Kilmore Quay </t>
  </si>
  <si>
    <t>Scallop fishery</t>
  </si>
  <si>
    <t xml:space="preserve">South East Potters  </t>
  </si>
  <si>
    <t xml:space="preserve">Potting for Crustaceans  </t>
  </si>
  <si>
    <t xml:space="preserve">Sampling for demersal  in ports and in processors </t>
  </si>
  <si>
    <t xml:space="preserve">Includes fish transshipped from other areas in to processors </t>
  </si>
  <si>
    <t xml:space="preserve">Sampling for Pelagic species in ports and processors  </t>
  </si>
  <si>
    <t xml:space="preserve">All pelagic sampling, mainly the Celtic sea herring fishery but  including that from IRL E 2- Sentinel Herring fishery and other transshipped fish </t>
  </si>
  <si>
    <t>All Nephrops Sampling</t>
  </si>
  <si>
    <t xml:space="preserve">Samples of catch and discards collected from vessels self sampling programme  and worked up in laboratories  </t>
  </si>
  <si>
    <t xml:space="preserve">All  shore based  sampling for other Molluscs and crustaceans  </t>
  </si>
  <si>
    <t xml:space="preserve">Sampling of Whelks, Razor Clams, Cockles Crab and Lobster ashore from both this area and those trans shipped from other areas mainly IRL E </t>
  </si>
  <si>
    <t xml:space="preserve">West South West Demersal Trawlers </t>
  </si>
  <si>
    <t xml:space="preserve">Trawlers targeting mainly gadoids </t>
  </si>
  <si>
    <t>Generally an inshore fishery mainly targettting Gadoids</t>
  </si>
  <si>
    <t xml:space="preserve">Trawlers targeting mainly Hake Monkfish and Megrim  </t>
  </si>
  <si>
    <t xml:space="preserve">Fishery on the 200m line off the west coast </t>
  </si>
  <si>
    <t xml:space="preserve">West South West Demersal Seiners </t>
  </si>
  <si>
    <t xml:space="preserve">Seiners fishing on SW coast, </t>
  </si>
  <si>
    <t xml:space="preserve">Mobile fishery and also fish in SE region  </t>
  </si>
  <si>
    <t>West South West Demersal Gillnetters</t>
  </si>
  <si>
    <t xml:space="preserve">Gillnetters mainly off the SW coast </t>
  </si>
  <si>
    <t xml:space="preserve">Off shore fishery targeting hake and Pollack </t>
  </si>
  <si>
    <t xml:space="preserve">West South West Tuna </t>
  </si>
  <si>
    <t>All Albacore Tuna fisheries in all ICES areas</t>
  </si>
  <si>
    <t xml:space="preserve">Highly mobile fishery and the areas change from year to year depending on environmental conditions </t>
  </si>
  <si>
    <t xml:space="preserve">West South West Pelagic Fisheries  </t>
  </si>
  <si>
    <t xml:space="preserve">Vessels targeting pelagic species fishing in ICES area 7bcjk  </t>
  </si>
  <si>
    <t xml:space="preserve">Mainly  RSW trawlers, generally targeting single species in quite distinct time frames. </t>
  </si>
  <si>
    <t xml:space="preserve">West South West Nephrops  Fisheries  </t>
  </si>
  <si>
    <t xml:space="preserve">Nephrops fishery Included all mesh sizes and selectivity methods Back of the Aran Islands, Porcupine and Jones Bank  FU 17, 16 and part of 19 </t>
  </si>
  <si>
    <t xml:space="preserve">West South West Potters   </t>
  </si>
  <si>
    <t xml:space="preserve">Mainly lobster brown and spider crab but also included some species not on the Annex 1 list  Necora puber Palinurus elephas Carcinus maenas and Palaemon serratus </t>
  </si>
  <si>
    <t xml:space="preserve">Sampling for demersal species in ports and in processors  </t>
  </si>
  <si>
    <t xml:space="preserve">Includes fish transshipped from other areas into processors. Some sampling of foreign landings in Castletownbere if first point of sale is in MS </t>
  </si>
  <si>
    <t xml:space="preserve">All pelagic sampling across all pelagic species commercially caught </t>
  </si>
  <si>
    <t xml:space="preserve">Samples of catch and discards collected from vessels involved self sampling programme  and worked up in laboratories  </t>
  </si>
  <si>
    <t xml:space="preserve">Mainly Brown crab and Lobster </t>
  </si>
  <si>
    <t xml:space="preserve">North East Pelagic Trawlers  </t>
  </si>
  <si>
    <t>Pelagic fisheries in ICESs  Area  IV and VIId</t>
  </si>
  <si>
    <t>Mainly the mackerel fishery and not targetted by the whole fleet, can be difficult to access as vessels are highly mobile and  landings are often into foreign ports</t>
  </si>
  <si>
    <t xml:space="preserve">Pelagic species mainly herring and mackerel, also sampling of foreign landings  </t>
  </si>
  <si>
    <t xml:space="preserve">Crab fishery in the North Sea </t>
  </si>
  <si>
    <t>Crabs coming from the vivier boat fishery, all landed into Holland and exported to the far east Sampling will be discussed at WGCRAB as this is a minor component of the overall landings</t>
  </si>
  <si>
    <t>Mainly the mackerel fishery and the Atlanto Scando Herring fishery   and not targetted by the whole fleet, can be difficult to access and landings are often into foreign ports</t>
  </si>
  <si>
    <t xml:space="preserve">Pelagic species </t>
  </si>
  <si>
    <t xml:space="preserve">Crab fishery in the  Eastern Arctic  </t>
  </si>
  <si>
    <t>Crabs coming from the vivier boat fishery as IRL NE</t>
  </si>
  <si>
    <t>IRL N4</t>
  </si>
  <si>
    <t xml:space="preserve">Demersal fishery in the  Eastern Arctic  </t>
  </si>
  <si>
    <t xml:space="preserve">Random  </t>
  </si>
  <si>
    <t>One one vessel, 4 trips, any sampling on this frame will be picked up under 4S</t>
  </si>
  <si>
    <t xml:space="preserve">Demersal Trawlers and or Seiners </t>
  </si>
  <si>
    <t>Bottom trawl mixed fishery Demersal Species</t>
  </si>
  <si>
    <t>Both 6a and 6b</t>
  </si>
  <si>
    <t>Pelagic Trawlers</t>
  </si>
  <si>
    <t xml:space="preserve">Small Pelagic Fish </t>
  </si>
  <si>
    <t xml:space="preserve">All SPF from all metiers in IRL NW2 Herring Mackerel, Horse mackerel, Blue Whiting and Sprat </t>
  </si>
  <si>
    <t>Whelk fishery</t>
  </si>
  <si>
    <t>Hooks and lines, mainly pelagic sampled as part of IRL NW 2</t>
  </si>
  <si>
    <t xml:space="preserve">Drift and or fixed netters </t>
  </si>
  <si>
    <t xml:space="preserve">Demersal </t>
  </si>
  <si>
    <t xml:space="preserve">This fleet will also have the enhanced observer programme for incidental by catch  under the biodiversity scheme </t>
  </si>
  <si>
    <t>Pots and or traps</t>
  </si>
  <si>
    <t xml:space="preserve">Crustaceans </t>
  </si>
  <si>
    <t>all vessels targetting Crab and Lobster IRL NW3</t>
  </si>
  <si>
    <t>Beam Trawlers</t>
  </si>
  <si>
    <t xml:space="preserve">Bottom trawl mixed fishery Demersal Species and Nephrops </t>
  </si>
  <si>
    <t xml:space="preserve">Inshore sentinel vessel fishery </t>
  </si>
  <si>
    <t xml:space="preserve">Irish sea Scallop and razor clam fisheries </t>
  </si>
  <si>
    <t xml:space="preserve">Mainly spring Cod fishery </t>
  </si>
  <si>
    <t>Mainly Brown crab and Lobster</t>
  </si>
  <si>
    <t>VIIbcjk</t>
  </si>
  <si>
    <t xml:space="preserve">No sea going programme but will be sampled ashore </t>
  </si>
  <si>
    <t>Transboundary fishery with 7fgh</t>
  </si>
  <si>
    <t>Small Pelagic Fish and Large Pelagic fish</t>
  </si>
  <si>
    <t xml:space="preserve">All SPF: Herring, Mackerel, Horse mackerel, Blue Whiting Boarfish  and Sprat </t>
  </si>
  <si>
    <t>VIIfgh</t>
  </si>
  <si>
    <t xml:space="preserve">Transboundary fishery with 7bcjk, but most of the effort here </t>
  </si>
  <si>
    <t>IV VIId</t>
  </si>
  <si>
    <t>I II</t>
  </si>
  <si>
    <t xml:space="preserve">* Vesselsl will operate in multiple sub areas and fishing grounds, therefore sum of average number of vessels will be greater than the total number of vessels in MS </t>
  </si>
  <si>
    <t>Average number of vessels *</t>
  </si>
  <si>
    <t>North Western waters (ICES areas Vb (only Union waters), VI and VII) and North Sea (ICES areas IIIa and IV), Eastern Arctic (ICES areas I and II)</t>
  </si>
  <si>
    <t>IVa, VIa</t>
  </si>
  <si>
    <t>All ports - Pelagic landings</t>
  </si>
  <si>
    <t>Combined two fishing grounds as all landings from these areas are into this group of ports.</t>
  </si>
  <si>
    <t>All ports - Inshore shellfish landings</t>
  </si>
  <si>
    <t>All ports - Demersal landings</t>
  </si>
  <si>
    <t>All ports - Nephrops landings</t>
  </si>
  <si>
    <t>* The only way for this table to make sense is to split it by sampling programme (demersal, pelagic etc); otherwise the table would be dominated by the pelagic landings.</t>
  </si>
  <si>
    <t>** Note that there will be duplicate values here: many ports receive landings from multiple fishing grounds and multiple species groups</t>
  </si>
  <si>
    <t>*** rows with less than 10 landings were omitted</t>
  </si>
  <si>
    <t>**** rows with less than 50 tonnes were omitted</t>
  </si>
  <si>
    <t>Landing locations(s)*</t>
  </si>
  <si>
    <t>Average number of locations**</t>
  </si>
  <si>
    <t>Average number of registered landings ***</t>
  </si>
  <si>
    <t>Average landed tonnage ****</t>
  </si>
  <si>
    <t>Pelagic  trawlers in IRL NW 2, IRL E 2, IRL SE 4, IRL WSW 6, IRL NE 1, IRL N1</t>
  </si>
  <si>
    <t>Yes</t>
  </si>
  <si>
    <t>Held locally on MI networks: Skippers Reports/Voice Validation Documentation; will be uploaded to National DCF web site (accessed through http://www.dcmap-ireland.ie/documents/methodologies)</t>
  </si>
  <si>
    <t xml:space="preserve"> Pelagic Discard Database  </t>
  </si>
  <si>
    <t>RDB</t>
  </si>
  <si>
    <t xml:space="preserve">ICES  Benchmark reports </t>
  </si>
  <si>
    <t xml:space="preserve">Held Locally on MI networks , R scripts and audit trail in pelagic discard database; available upon request, summary of procedures will be uploaded to National DCF web site (accessed through http://http://www.dcmap-ireland.ie/documents/methodologies) </t>
  </si>
  <si>
    <t>Held locally on MI networks; will be uploaded to National DCF web site (accessed through http://www.dcmap-ireland.ie/documents/methodologies)</t>
  </si>
  <si>
    <t>Nemesys data aquisition and STOCKMAN http://mifeasapp01/stockman2015/Default.aspx</t>
  </si>
  <si>
    <t xml:space="preserve">colm you mentioned some work that could be done in this area?? </t>
  </si>
  <si>
    <t>ICES Benchmark reports</t>
  </si>
  <si>
    <t xml:space="preserve">Held Locally on MI networks , R scripts and audit trail in discard database; available upon request, summary of procedures is uploaded to National DCF web site (accessed through http://http://www.dcmap-ireland.ie/documents/methodologies) </t>
  </si>
  <si>
    <t>Crustaceans Pots in IRL NW 3, IRL E 6, IRL SE 8, IRL WSW 8</t>
  </si>
  <si>
    <t xml:space="preserve">SOP on Marine Institute network.  Summaries of all sampling designs are uploaded to National DCF web site (accessed through http://www.dcmap-ireland.ie/documents/methodologies)   </t>
  </si>
  <si>
    <t xml:space="preserve">Not currently but will begin recording in 2018-protocols are currently being drawn up  </t>
  </si>
  <si>
    <t xml:space="preserve">Held locally on MI networks; are uploaded to National DCF web site (accessed through http://www.dcmap-ireland.ie/documents/methodologies)    </t>
  </si>
  <si>
    <t>Shellfish SQL database; in development</t>
  </si>
  <si>
    <t>Held locally on MI networks</t>
  </si>
  <si>
    <t>Whelks in IRL E 4</t>
  </si>
  <si>
    <t xml:space="preserve">SOP on Marine Institute network.  Summaries of all sampling designs are uploaded to National DCF web site (accessed through http://www.dcmap-ireland.ie/documents/methodologies)  </t>
  </si>
  <si>
    <t xml:space="preserve">Held locally on MI networks; are uploaded to National DCF web site (accessed through http://www.dcmap-ireland.ie/documents/methodologies)   </t>
  </si>
  <si>
    <t>Scallops and other bivalves in IRL E 5 IRL SE 7</t>
  </si>
  <si>
    <t>N/A</t>
  </si>
  <si>
    <t>QC checks on ages, LW regressions, L/A checks-automated within the DB,  R scripts; will be uploaded to National DCF web site (accessed through http://www.dcmap-ireland.ie/documents/methodologies)</t>
  </si>
  <si>
    <t>Held Locally on MI networks , R scripts and audit trail in discard database; available upon request, summary of procedures will be uploaded to National DCF web site (accessed through http://www.dcmap-ireland.ie/documents/methodologies)</t>
  </si>
  <si>
    <t xml:space="preserve">Recreational Survey </t>
  </si>
  <si>
    <t xml:space="preserve">Salmon- Angling Catch reports Burrishoole </t>
  </si>
  <si>
    <t xml:space="preserve">SOP on Marine Institute network.  Summaries of all sampling designs will be uploaded to National DCF web site (accessed through http://www.dcmap-ireland.ie/documents/methodologies)   </t>
  </si>
  <si>
    <t xml:space="preserve">SOP on  Institute network ; will be uploaded to National DCF web site (accessed through http://www.dcmap-ireland.ie/documents/methodologies)  </t>
  </si>
  <si>
    <t xml:space="preserve">Excel DB </t>
  </si>
  <si>
    <t xml:space="preserve">SOP on  Institute network </t>
  </si>
  <si>
    <t xml:space="preserve">Held Locally on MI networks; summaries will be uploaded to National DCF web site (accessed through http://www.dcmap-ireland.ie/documents/methodologies)  </t>
  </si>
  <si>
    <t>Biological sampling Salmon</t>
  </si>
  <si>
    <t xml:space="preserve">Salmon- Electrofishing ( Burrishoole)  </t>
  </si>
  <si>
    <t xml:space="preserve">SOP on Marine Institute network.  Summaries of all sampling designs will be uploaded to National DCF web site(accessed through http://www.dcmap-ireland.ie/documents/methodologies)   </t>
  </si>
  <si>
    <t xml:space="preserve">SOP on  Institute network ; will be uploaded to National DCF web site (accessed through http://www.dcmap-ireland.ie/documents/methodologies)   </t>
  </si>
  <si>
    <t xml:space="preserve"> Excel DB-Juveniles 1991- to date with catchability</t>
  </si>
  <si>
    <t>Biological sampling/Recreational catches Salmon</t>
  </si>
  <si>
    <t>Salmon- National Coded Wire Tagging programme</t>
  </si>
  <si>
    <t xml:space="preserve">SOP on Marine Institute network.  Summaries of all sampling designs will be uploaded to National DCF web site (accessed through http://www.dcmap-ireland.ie/documents/methodologies)  </t>
  </si>
  <si>
    <t>Access DB-MicroTag Data Management System</t>
  </si>
  <si>
    <t xml:space="preserve">ICES WG have a tagging archive </t>
  </si>
  <si>
    <t xml:space="preserve">Held Locally on MI networks; summaries will be uploaded to National DCF web site (accessed through http://www.dcmap-ireland.ie/documents/methodologies)    </t>
  </si>
  <si>
    <t>Biological sampling Salmon/Eel</t>
  </si>
  <si>
    <t>Salmon/Eel- Counters &amp; traps</t>
  </si>
  <si>
    <t xml:space="preserve">SOP on Marine Institute network.  Summaries of all sampling designs are uploaded to National DCF web site (accessed through http://www.dcmap-ireland.ie/documents/methodologies)    </t>
  </si>
  <si>
    <t xml:space="preserve">Excel- Burishoole Traps Data,  Excel -Liffey counts </t>
  </si>
  <si>
    <t xml:space="preserve">Held Locally on MI networks; summaries will be uploaded to National DCF web site(accessed through http://www.dcmap-ireland.ie/documents/methodologies)  </t>
  </si>
  <si>
    <t>Biological sampling Eel</t>
  </si>
  <si>
    <t>Eel-Electro fishing surveys</t>
  </si>
  <si>
    <t xml:space="preserve">SOP on Marine Institute network.  Summaries of all sampling designs will be uploaded to National DCF web site (accessed through http://www.dcmap-ireland.ie/documents/methodologies)    </t>
  </si>
  <si>
    <t xml:space="preserve">SOP on  Institute network ; will be uploaded to National DCF web site (accessed through http://www.dcmap-ireland.ie/documents/methodologies)    </t>
  </si>
  <si>
    <t>Excel- DB</t>
  </si>
  <si>
    <t>Eel-Fyke net surveys</t>
  </si>
  <si>
    <t xml:space="preserve">Salmon- Counters &amp; Restocking (annual) </t>
  </si>
  <si>
    <t>SOP on  ESB network. Summaries of all sampling designs are also included in the National NSSC Salmon Annual Report &amp; ESB Fisheries Annual report</t>
  </si>
  <si>
    <t xml:space="preserve">SOP on ESB network ; summaries will be uploaded to National DCF web site (accessed through http://www.dcmap-ireland.ie/documents/methodologies)  </t>
  </si>
  <si>
    <t xml:space="preserve">Excel- Lee, Shannon and Erne  Trap &amp; Fish Counter Data. Excel -  Lee, Shannon and Erne e-fishing surevy and hatchery restocking data </t>
  </si>
  <si>
    <t xml:space="preserve">SOP on  ESB network </t>
  </si>
  <si>
    <t xml:space="preserve">Held Locally on ESB networks; summaries will be uploaded to National DCF web site(accessed through http://www.dcmap-ireland.ie/documents/methodologies)  </t>
  </si>
  <si>
    <t>European Eel</t>
  </si>
  <si>
    <t xml:space="preserve">European Eel (annual) </t>
  </si>
  <si>
    <t>SOP on ESB and NUI., Galway networks.  Summaries of all sampling designs are also included in the National NSSC Eel Annual Report &amp; ESB Fisheries Annual report located at https://www.esb.ie/acting-responsibly/fisheries-2/fisheries</t>
  </si>
  <si>
    <t xml:space="preserve">Excel- Lee, Shannon and Erne  Trap and Transport; Excel -  Lee Shannon and Erne E-fishing and elver restocking data </t>
  </si>
  <si>
    <t>Held locally on ESB networks</t>
  </si>
  <si>
    <t xml:space="preserve">Held Locally on ESB networks; summaries will be uploaded to National DCF web site (accessed through http://www.dcmap-ireland.ie/documents/methodologies)  </t>
  </si>
  <si>
    <t>Held locally on MI networks: Skippers Report documentation/Voice Validation Documentation; will be uploaded to National DCF web site (accessed through http://www.dcmap-ireland.ie/documents/methodologies)</t>
  </si>
  <si>
    <t xml:space="preserve">Discard Data base  </t>
  </si>
  <si>
    <t>Sampling year/ period</t>
  </si>
  <si>
    <t>RFMO/RFO/IO/NSB</t>
  </si>
  <si>
    <t>Name of data collection scheme</t>
  </si>
  <si>
    <t>Statistically sound sources and methods</t>
  </si>
  <si>
    <t>Error checking</t>
  </si>
  <si>
    <t>Are procedures for confidential data handling in place and documented?</t>
  </si>
  <si>
    <t>Are protocols to enforce confidentiality between DCF partners in place and documented?</t>
  </si>
  <si>
    <t>Are protocols to enforce confidentiality with external users in place and documented?</t>
  </si>
  <si>
    <t>Is sound methodology documented ?</t>
  </si>
  <si>
    <t>Does it follow international standards, guidelines and best practices?</t>
  </si>
  <si>
    <t>Are methodologies consistent at MS, regional and EU level?</t>
  </si>
  <si>
    <t>Economic and Social Data for Fisheries</t>
  </si>
  <si>
    <t>Logbook Data</t>
  </si>
  <si>
    <t>Questionairre</t>
  </si>
  <si>
    <t>Sentinel Vessel Programme</t>
  </si>
  <si>
    <t>Economic and Social Data for Aquaculture</t>
  </si>
  <si>
    <t>Economic and Social Data for Processing</t>
  </si>
  <si>
    <t xml:space="preserve">Financial accounts </t>
  </si>
  <si>
    <t>Data set</t>
  </si>
  <si>
    <t>Section</t>
  </si>
  <si>
    <t>Variable group</t>
  </si>
  <si>
    <t>Year(s) of WP implementation</t>
  </si>
  <si>
    <t xml:space="preserve">Reference year </t>
  </si>
  <si>
    <t>Final data available after</t>
  </si>
  <si>
    <t>Biological variables</t>
  </si>
  <si>
    <t>1B/1C/1H</t>
  </si>
  <si>
    <t>n</t>
  </si>
  <si>
    <t>March 31, n+1</t>
  </si>
  <si>
    <r>
      <t xml:space="preserve">Stocks as listed in 1B/1C </t>
    </r>
    <r>
      <rPr>
        <sz val="10"/>
        <color indexed="10"/>
        <rFont val="Arial"/>
        <family val="2"/>
      </rPr>
      <t/>
    </r>
  </si>
  <si>
    <t>1B/1C</t>
  </si>
  <si>
    <t>Nephrops FU VII</t>
  </si>
  <si>
    <t>May 1, n+1</t>
  </si>
  <si>
    <t xml:space="preserve">All elasmobranch data </t>
  </si>
  <si>
    <t xml:space="preserve">  Shellfish  stocks,  length, weight,  sex ratio, sexual maturity  </t>
  </si>
  <si>
    <t>August 31, n+1</t>
  </si>
  <si>
    <t>March 20, n+1</t>
  </si>
  <si>
    <t xml:space="preserve"> Gadus morhua VIIa, VIIe-k, Lepidorhombus whiffiagonis VI, VII, VIIIabd, Melanogrammus aeglefinus VIa, VIIa, VIIe-k; Merlangius merlangius VIa, VIIa, VIIe-k; Merluccius merluccius IIIa, IV, VI, VII, VIIIab; Pleuronectes platessa VIIa, VIIbc VIIfg, VIIh-k; Pollachius pollachius all areas except IX, X; Pollachius virens VII, VIII; Solea solea VIIa, VIIhjk, VIIbc. </t>
  </si>
  <si>
    <t xml:space="preserve">Pelagic stocks, commercial age,length, weight,  sex ratio, sexual maturity </t>
  </si>
  <si>
    <t>February 28, n+1</t>
  </si>
  <si>
    <t>Clupea harengus  VIaN,VIaS, VIIa,VIIj, VIIg</t>
  </si>
  <si>
    <t>May 31 , n+1</t>
  </si>
  <si>
    <t xml:space="preserve"> Micromesistius poutassou I-IX, XII, XIV;</t>
  </si>
  <si>
    <t xml:space="preserve">Pelagic stocks, commercial ,length, weight,  sex ratio, sexual maturity </t>
  </si>
  <si>
    <t>Capros aper VI VII</t>
  </si>
  <si>
    <t>June 7, n+1</t>
  </si>
  <si>
    <t xml:space="preserve"> Trachurus trachurus IIa, IVa, Vb, VIa, VIIa-c, e-k, VIIIabde</t>
  </si>
  <si>
    <t xml:space="preserve">Pelagic stocks, commercial age ,length, weight,  sex ratio, sexual maturity </t>
  </si>
  <si>
    <t>26 June, N+1</t>
  </si>
  <si>
    <t xml:space="preserve"> Scomber scombrus II, IIIa, IV, V, VI, VII, VIII, IX </t>
  </si>
  <si>
    <t xml:space="preserve">Pelagic Stocks  survey age, length, weight,  sex ratio, sexual maturity </t>
  </si>
  <si>
    <t>Clupea harengus  VIaN,VIaS,VIIj,VIIg</t>
  </si>
  <si>
    <t>March 1, n</t>
  </si>
  <si>
    <t xml:space="preserve">Pelagic Stocks  survey, length, weight,  sex ratio, sexual maturity </t>
  </si>
  <si>
    <t>1H</t>
  </si>
  <si>
    <t xml:space="preserve">MEGS  Survey ages </t>
  </si>
  <si>
    <t xml:space="preserve">survey n (+6 months)  </t>
  </si>
  <si>
    <t xml:space="preserve">Incidental Bycatch  </t>
  </si>
  <si>
    <t>1F</t>
  </si>
  <si>
    <t>Egg Production</t>
  </si>
  <si>
    <t xml:space="preserve">MEGS -Egg production  </t>
  </si>
  <si>
    <t>April 30 n+1</t>
  </si>
  <si>
    <t xml:space="preserve">Fecundity </t>
  </si>
  <si>
    <t>MEGS fecundity</t>
  </si>
  <si>
    <t xml:space="preserve">CTD </t>
  </si>
  <si>
    <t xml:space="preserve">MEGS CTD </t>
  </si>
  <si>
    <t>Stock abundance -WESPAS CSHAS</t>
  </si>
  <si>
    <t xml:space="preserve">Survey n (+3 months) </t>
  </si>
  <si>
    <t>Spawning/Pre spawning Herring/Boarfish acoustic survey: Clupea harengus  VIaN,VIaS,VIIj  Capros aper VI VII</t>
  </si>
  <si>
    <t xml:space="preserve">Stock abundance </t>
  </si>
  <si>
    <t xml:space="preserve">Nephrops abundance UWTV </t>
  </si>
  <si>
    <t xml:space="preserve">Survey n (+3 months)  </t>
  </si>
  <si>
    <t xml:space="preserve">Nephrops length, weight,  sex ratio, sexual maturity  </t>
  </si>
  <si>
    <t xml:space="preserve">Standardized relative indices of abundance at age for assessment IGFS IAMS </t>
  </si>
  <si>
    <t xml:space="preserve">All species all stocks for which data is collected  </t>
  </si>
  <si>
    <t xml:space="preserve">Standardized relative indices of numbers at length for assessment IGFS IAMS </t>
  </si>
  <si>
    <t xml:space="preserve">Standardized relative indices of total No and total biomass for elasmobranch assessment IGFS IAMS </t>
  </si>
  <si>
    <t>1D</t>
  </si>
  <si>
    <t xml:space="preserve">Recreational fish Salmon </t>
  </si>
  <si>
    <t>April 30 N+1</t>
  </si>
  <si>
    <t xml:space="preserve">Recreational fish - all other relevant species   seabass, eel, cod, elasmobranchs, highly migratory </t>
  </si>
  <si>
    <t>Annual estimate of catch, annual percentage of released catch, catch composition data from the  Pilot studies</t>
  </si>
  <si>
    <t>1E</t>
  </si>
  <si>
    <t>All data Salmon</t>
  </si>
  <si>
    <t xml:space="preserve">All data Eel </t>
  </si>
  <si>
    <t>2a</t>
  </si>
  <si>
    <t xml:space="preserve">Capacity </t>
  </si>
  <si>
    <t>Feb 28, n+1</t>
  </si>
  <si>
    <t>Variable collected  for all areas</t>
  </si>
  <si>
    <t xml:space="preserve">Feb 28, n+1 </t>
  </si>
  <si>
    <t xml:space="preserve">Draft copy of logbooks database is taken end of February with finalised version available Middle of April  </t>
  </si>
  <si>
    <t>Fleet economic</t>
  </si>
  <si>
    <t>3A</t>
  </si>
  <si>
    <t>Revenue/costs</t>
  </si>
  <si>
    <t>N-1</t>
  </si>
  <si>
    <t>N+1, March 1</t>
  </si>
  <si>
    <t>Aquaculture economic</t>
  </si>
  <si>
    <t>3B</t>
  </si>
  <si>
    <t>Fishing Activity Variable</t>
  </si>
  <si>
    <t>2A</t>
  </si>
  <si>
    <t>capacity</t>
  </si>
  <si>
    <t>N+1, January 31</t>
  </si>
  <si>
    <t>landings</t>
  </si>
  <si>
    <t>N+1, March 31</t>
  </si>
  <si>
    <t>Fish processing economic</t>
  </si>
  <si>
    <t>3C</t>
  </si>
  <si>
    <t>N-2</t>
  </si>
  <si>
    <t>N+1, November 1</t>
  </si>
  <si>
    <t>Date when data was available</t>
  </si>
  <si>
    <t>Table 7A: Planned regional and international coordination</t>
  </si>
  <si>
    <t>Acronym</t>
  </si>
  <si>
    <t>Name of meeting</t>
  </si>
  <si>
    <t>Planned MS participation</t>
  </si>
  <si>
    <t>Number of participants</t>
  </si>
  <si>
    <t>DCF National co-ordination Meeting</t>
  </si>
  <si>
    <t>DCF NC Meet</t>
  </si>
  <si>
    <t>National Correspondents Meeting</t>
  </si>
  <si>
    <t>LM</t>
  </si>
  <si>
    <t xml:space="preserve">Expert group on data collection </t>
  </si>
  <si>
    <t>PGDATA</t>
  </si>
  <si>
    <t xml:space="preserve">ICES Planning Group on Data Needs for Assessments and Advice </t>
  </si>
  <si>
    <t>PGECON</t>
  </si>
  <si>
    <t>Planning Group on Economic Issues</t>
  </si>
  <si>
    <t>WGCHAIRS</t>
  </si>
  <si>
    <t xml:space="preserve">Annual Meeting of Advisory Working Group Chairs </t>
  </si>
  <si>
    <t>DIG</t>
  </si>
  <si>
    <t>Data and Information Group</t>
  </si>
  <si>
    <t>WGBIODIV</t>
  </si>
  <si>
    <t xml:space="preserve">Working Group on Biodiversity Science </t>
  </si>
  <si>
    <t>WGBIOP</t>
  </si>
  <si>
    <t xml:space="preserve">ICES Working Group on Biological Parameters </t>
  </si>
  <si>
    <t>WGBYC</t>
  </si>
  <si>
    <t xml:space="preserve">Working Group on Bycatch of Protected Species Fishing Behaviour </t>
  </si>
  <si>
    <t>WGCATCH</t>
  </si>
  <si>
    <t xml:space="preserve">ICES Working Group on Commercial Catches Sampling </t>
  </si>
  <si>
    <t>IBTSWG</t>
  </si>
  <si>
    <t xml:space="preserve">International Bottom Trawl Survey Working Group </t>
  </si>
  <si>
    <t>WGBEAM</t>
  </si>
  <si>
    <t xml:space="preserve">Working Group on Beam Trawl Surveys </t>
  </si>
  <si>
    <t>WGFTFB</t>
  </si>
  <si>
    <t xml:space="preserve">ICES-FAO Working Group on Fishing Technology and Fish Behaviour </t>
  </si>
  <si>
    <t xml:space="preserve">Working Group of International Pelagic Surveys </t>
  </si>
  <si>
    <t>WGISUR</t>
  </si>
  <si>
    <t xml:space="preserve">Working Group on Integrating Surveys for the Ecosystem Approach </t>
  </si>
  <si>
    <t xml:space="preserve">Working Group on Mackerel and Horse Mackerel Egg Surveys </t>
  </si>
  <si>
    <t>WGNEPS</t>
  </si>
  <si>
    <t xml:space="preserve">Working Group  on Nephrops Surveys </t>
  </si>
  <si>
    <t>WGRFS</t>
  </si>
  <si>
    <t xml:space="preserve">ICES Working Group on Recreational Fisheries Surveys </t>
  </si>
  <si>
    <t>HAWG</t>
  </si>
  <si>
    <t xml:space="preserve">Herring Assessment Working Group for the Area South of 62⁰N </t>
  </si>
  <si>
    <t>WGBIE</t>
  </si>
  <si>
    <t xml:space="preserve">Working Group on the Assessment of Bay of Biscay and Iberian Ecosystem </t>
  </si>
  <si>
    <t>WGCRAB</t>
  </si>
  <si>
    <t>Working Group on the Biology and. Life History of Crabs</t>
  </si>
  <si>
    <t>WGCSE</t>
  </si>
  <si>
    <t xml:space="preserve">Working Group on the Assessment of Celtic Seas Stocks </t>
  </si>
  <si>
    <t>WGDEEP</t>
  </si>
  <si>
    <t>Working Group on the Biology and Assessment of Deep-sea Fisheries Resources</t>
  </si>
  <si>
    <t>WGECO</t>
  </si>
  <si>
    <t xml:space="preserve">Working Group on the Ecosystem Effects of Fishing Activities </t>
  </si>
  <si>
    <t>WGEEL</t>
  </si>
  <si>
    <t>Joint EIFAC/ICES Working Group on Eels</t>
  </si>
  <si>
    <t>WGEF</t>
  </si>
  <si>
    <t>Working Group on Elasmobranch Fishes</t>
  </si>
  <si>
    <t>WGFAST</t>
  </si>
  <si>
    <t xml:space="preserve">Working Group on Fisheries Acoustics Science and Technology </t>
  </si>
  <si>
    <t>WGISDAA</t>
  </si>
  <si>
    <t xml:space="preserve">Working Group on Improving use of Survey Data for Assessment and Advice </t>
  </si>
  <si>
    <t>WGNAS</t>
  </si>
  <si>
    <t xml:space="preserve">Working Group on North Atlantic Salmon </t>
  </si>
  <si>
    <t>WGSAM</t>
  </si>
  <si>
    <t>Working Group on Multispecies Assessment Methods</t>
  </si>
  <si>
    <t>WGSCALLOP</t>
  </si>
  <si>
    <t xml:space="preserve">Scallop Assessment Working Group </t>
  </si>
  <si>
    <t>WGWIDE</t>
  </si>
  <si>
    <t xml:space="preserve">Working Group on Widely Distributed Stocks </t>
  </si>
  <si>
    <t>WGDEC</t>
  </si>
  <si>
    <t>Working Group on Deep-water Ecology</t>
  </si>
  <si>
    <t>WGMHM</t>
  </si>
  <si>
    <t>Working Group on Marine Habitat Mapping</t>
  </si>
  <si>
    <t>WGMIXFISH-Advice</t>
  </si>
  <si>
    <t>Working Group on Mixed Fisheries Advice</t>
  </si>
  <si>
    <t>WGMIXFISH-METH</t>
  </si>
  <si>
    <t xml:space="preserve">Working Group on Mixed Fisheries Advice  - Methodology </t>
  </si>
  <si>
    <t>WGMME</t>
  </si>
  <si>
    <t xml:space="preserve">Working Group on Marine Mammal Ecology </t>
  </si>
  <si>
    <t>WGSFD</t>
  </si>
  <si>
    <t>Working Group on Spatial Fisheries Data</t>
  </si>
  <si>
    <t>WGTC</t>
  </si>
  <si>
    <t xml:space="preserve">Working Group on Target Classification </t>
  </si>
  <si>
    <t>WKLIFE</t>
  </si>
  <si>
    <t>Workshop on the Development of Assessments based on LIFE history traits and Exploitation Characteristics</t>
  </si>
  <si>
    <t>Table 7B: Follow-up of recommendations and agreements</t>
  </si>
  <si>
    <t>Source</t>
  </si>
  <si>
    <t xml:space="preserve">Section </t>
  </si>
  <si>
    <t>Topic</t>
  </si>
  <si>
    <t>Recommendation number</t>
  </si>
  <si>
    <t>Recommendation/ Agreement</t>
  </si>
  <si>
    <t>Follow-up action</t>
  </si>
  <si>
    <t xml:space="preserve">MS action taken </t>
  </si>
  <si>
    <t>Table7C: Bi- and multilateral agreements</t>
  </si>
  <si>
    <t>MSs</t>
  </si>
  <si>
    <t>Contact persons</t>
  </si>
  <si>
    <t>Content</t>
  </si>
  <si>
    <t>Coordination</t>
  </si>
  <si>
    <t>Description of sampling / sampling protocol / sampling intensity</t>
  </si>
  <si>
    <t xml:space="preserve">Data transmission  </t>
  </si>
  <si>
    <t xml:space="preserve">Access to vessels </t>
  </si>
  <si>
    <t xml:space="preserve">Validity </t>
  </si>
  <si>
    <t>IRL -SCO</t>
  </si>
  <si>
    <t>leonie.odowd@marine.ie ; m.bell@marlab.ac.uk</t>
  </si>
  <si>
    <t xml:space="preserve"> Vessels fishing on the Irish register, which operate and / or land into Scotland for first point of sale will be sampled as part of the 2014-2016  Annual Work Plans under the requirements of the EC Data Collection Framework (199/2008).  The eventual additional sampling costs will be covered within the Scottish National Sampling Programme from 2014-2016</t>
  </si>
  <si>
    <t xml:space="preserve">The sampling will be for length maturity and age of Demersal and Pelagic landings, sampling will be carried out in accordance with the Scottish National Sampling Programmes. </t>
  </si>
  <si>
    <t>Scotland will send this sampling data to Ireland for inclusion with the Irish assessment working group data sets.  Ireland will then be responsible for submitting the data to the relevant ICES Expert Groups, and to the EC under the requirements of its Data Collection Framework. Scotland will provide the required data for the species that are requested by the relevant ICES Expert Groups, and the data for the additional species to Ireland as and when requested.</t>
  </si>
  <si>
    <t xml:space="preserve">N/A as samplng is on shore </t>
  </si>
  <si>
    <t xml:space="preserve">This agreement commences on January 1, 2014, it ends on December 31, 2016.   </t>
  </si>
  <si>
    <r>
      <t xml:space="preserve">Landings of Scottish vessels into Ireland and of Irish landings into Scotland may change over the period of this bi lateral agreement and will need to be      monitored on an on - going basis.  </t>
    </r>
    <r>
      <rPr>
        <sz val="10"/>
        <rFont val="Arial"/>
        <family val="2"/>
      </rPr>
      <t xml:space="preserve"> AT THE RCMNA 2016 IT WAS AGREED THAT THE EXISTING BI/MULTILATERAL AGREEMENTS WOULD STAND UNTIL THE AGREEMENT OF REGIONAL SAMPLING PLANS</t>
    </r>
  </si>
  <si>
    <t>Fishing vessels on the UK- Scotland register, which operate and / or land for first sale into Ireland, will be sampled by Ireland as part of the 2014-2016 Annual Work Plans under the requirements of the EC Data Collection Framework (199/2008). The eventual additional sampling costs will be covered within the Irish National Sampling Programme from 2014-2016.</t>
  </si>
  <si>
    <t>The samples will be processed and age, sex, length, maturity information recorded.</t>
  </si>
  <si>
    <t xml:space="preserve"> These data will be sent to the Scottish scientist with responsibility for submitting Scottish data to the ICES WGWIDE. Scotland is responsible for submitting the data to the relevant ICES Expert Groups, and to the EC under the requirements of its Data Collection Framework. </t>
  </si>
  <si>
    <t>Landings of Scottish vessels into Ireland and of Irish landings into Scotland may change over the period of this bi lateral agreement and will need to be monitored on an on - going basis. AT THE RCMNA 2016 IT WAS AGREED THAT THE EXISTING BI/MULTILATERAL AGREEMENTS WOULD STAND UNTIL THE AGREEMENT OF REGIONAL SAMPLING PLANS</t>
  </si>
  <si>
    <t>Sector Name</t>
  </si>
  <si>
    <t>Table 6A: Data availability</t>
  </si>
  <si>
    <t xml:space="preserve">50 per sample  </t>
  </si>
  <si>
    <t>5-10 per cm class</t>
  </si>
  <si>
    <t>No existing database</t>
  </si>
  <si>
    <t>EuroGOOS ROOS regional data portals</t>
  </si>
  <si>
    <t>No existing international database</t>
  </si>
  <si>
    <t>ICES Oceanographic Database</t>
  </si>
  <si>
    <t>ICES Acoustic Database</t>
  </si>
  <si>
    <t>No. of Vessels, Gt, Kw, Vessel age</t>
  </si>
  <si>
    <t>Established programme</t>
  </si>
  <si>
    <t>WKCELTIC</t>
  </si>
  <si>
    <t>Workshop on Celtic Sea Stocks</t>
  </si>
  <si>
    <t>WKHASS</t>
  </si>
  <si>
    <t>Workshop on Herring Acoustic</t>
  </si>
  <si>
    <t>WKFORBIAS</t>
  </si>
  <si>
    <t>Workshop on catch forecasts from biased assessments</t>
  </si>
  <si>
    <t>WKFlatNSCS</t>
  </si>
  <si>
    <t>Benchmark Workshop for Flatfish stocks in the North Sea and Celtic Sea</t>
  </si>
  <si>
    <t>WKSCINDI</t>
  </si>
  <si>
    <t>Workshop on Science with Industry Initiatives</t>
  </si>
  <si>
    <t>WKRDB-EST</t>
  </si>
  <si>
    <t>Workshop on Estimation with the RDBES data model</t>
  </si>
  <si>
    <t>WKRDB-POP</t>
  </si>
  <si>
    <t>Workshop on Populating the RDBES data model</t>
  </si>
  <si>
    <t>SCRDB</t>
  </si>
  <si>
    <t>Steering committee of the regional fisheries database</t>
  </si>
  <si>
    <t>IBPher6a7bc</t>
  </si>
  <si>
    <t>Interbench protocol for Herring in 6a</t>
  </si>
  <si>
    <t>WGSEDA</t>
  </si>
  <si>
    <t>Working Group on Socio-Economic Dimensions of Aquaculture (WGSEDA)</t>
  </si>
  <si>
    <t>RCG EU Map</t>
  </si>
  <si>
    <t>WGDIAD</t>
  </si>
  <si>
    <t>Working Group on Science to Support Conservation, Restoration and Management of Diadromous Specie</t>
  </si>
  <si>
    <t>WKIBPNEAMac - NEA Mackerel Interbenchmark</t>
  </si>
  <si>
    <t>WGTARGET</t>
  </si>
  <si>
    <t>The joint ICES/Probyfish Workshop on identification of target and bycatch species</t>
  </si>
  <si>
    <t>WKESIG</t>
  </si>
  <si>
    <t>Workshop on evaluating survey information Celtic Sea gadoids</t>
  </si>
  <si>
    <t>WKGMSE2</t>
  </si>
  <si>
    <t>Workshop on Guidelines for Management Strategy Evaluations</t>
  </si>
  <si>
    <t/>
  </si>
  <si>
    <t>EmodNet</t>
  </si>
  <si>
    <t>AR Year</t>
  </si>
  <si>
    <t>RCG-ISSG EU Map Review</t>
  </si>
  <si>
    <t>EU RCG</t>
  </si>
  <si>
    <t>This approach was recommended by the RCM - NA in their 2016 report.  RCM NA 11: Maintenance of existing bilateral agreements: "RCM NA recommends that, where required, formal bilateral agreements set up for the period from 2014-2016 are carried forward until regional sampling plans are agreed". Ongoing</t>
  </si>
  <si>
    <t>2020 - 2021</t>
  </si>
  <si>
    <r>
      <rPr>
        <b/>
        <sz val="10"/>
        <rFont val="Arial"/>
        <family val="2"/>
      </rPr>
      <t>DATA SOURCE for COLUMN I:</t>
    </r>
    <r>
      <rPr>
        <sz val="10"/>
        <rFont val="Arial"/>
        <family val="2"/>
      </rPr>
      <t xml:space="preserve">  Reference years 2015-2018 used when calculating %share in EU landings . Data source for % EU TAC is from the MARE FIDES (https://webgate.ec.europa.eu/fides/index.cfm) database  and % share of the landings is from EUROSTAT (via ICES) for the years 2015-2017 (because 2018 data are still preliminary).</t>
    </r>
  </si>
  <si>
    <r>
      <t xml:space="preserve">Sum of &lt;10% quota = 19% </t>
    </r>
    <r>
      <rPr>
        <sz val="10"/>
        <rFont val="Arial"/>
        <family val="2"/>
      </rPr>
      <t>Landings increased from 1900t</t>
    </r>
  </si>
  <si>
    <t xml:space="preserve">Landings increased but not selected for sampling  </t>
  </si>
  <si>
    <r>
      <t xml:space="preserve">Included in the "II, IIIa, IV, V, VI, VII, VIII, IX" stock </t>
    </r>
    <r>
      <rPr>
        <sz val="10"/>
        <rFont val="Arial"/>
        <family val="2"/>
      </rPr>
      <t>Landings decreased from 580t</t>
    </r>
  </si>
  <si>
    <t xml:space="preserve">Now above threshold but we have no TAC for sampling years  </t>
  </si>
  <si>
    <r>
      <t xml:space="preserve">Included in the "II, IIIa, IV, V, VI, VII, VIII, IX" stock </t>
    </r>
    <r>
      <rPr>
        <sz val="10"/>
        <rFont val="Arial"/>
        <family val="2"/>
      </rPr>
      <t>Decrease in landings from 30950t</t>
    </r>
  </si>
  <si>
    <r>
      <t xml:space="preserve">Included in the "IIa, IVa, Vb, VIa, VIIa-c, e-k, VIIIabde" stock </t>
    </r>
    <r>
      <rPr>
        <sz val="10"/>
        <rFont val="Arial"/>
        <family val="2"/>
      </rPr>
      <t xml:space="preserve">Now zero landings </t>
    </r>
  </si>
  <si>
    <t>Decrease in landings from 33760t</t>
  </si>
  <si>
    <t>Slight decrease in landings from 2590t</t>
  </si>
  <si>
    <t xml:space="preserve">Decrease in landings from 480t but will stil sample  </t>
  </si>
  <si>
    <t xml:space="preserve">Increase in landings to 8t </t>
  </si>
  <si>
    <t>Increase in landings from 5630t</t>
  </si>
  <si>
    <r>
      <t xml:space="preserve">Duplicated stock, See VIaN and VIaS </t>
    </r>
    <r>
      <rPr>
        <sz val="10"/>
        <rFont val="Arial"/>
        <family val="2"/>
      </rPr>
      <t>Decrease in landings from 4090t</t>
    </r>
  </si>
  <si>
    <r>
      <t xml:space="preserve">Zero TAC, sample on surveys only until fishery opens again </t>
    </r>
    <r>
      <rPr>
        <sz val="10"/>
        <rFont val="Arial"/>
        <family val="2"/>
      </rPr>
      <t>Monitoring TAC in place for 2019 and 2020</t>
    </r>
  </si>
  <si>
    <t>Increase in landings from 1520t</t>
  </si>
  <si>
    <r>
      <t xml:space="preserve">Interpreting this as VIIa(S),VIIg and VIIj </t>
    </r>
    <r>
      <rPr>
        <sz val="10"/>
        <rFont val="Arial"/>
        <family val="2"/>
      </rPr>
      <t>Slight decrease in landings from 340t</t>
    </r>
  </si>
  <si>
    <t xml:space="preserve">Increse in landings from zero, will not affect programme  </t>
  </si>
  <si>
    <t>Decrease in landings from 1210t</t>
  </si>
  <si>
    <t>Slight increase in landings from 600t</t>
  </si>
  <si>
    <r>
      <t xml:space="preserve">Below threshold but will sample anyway </t>
    </r>
    <r>
      <rPr>
        <sz val="10"/>
        <rFont val="Arial"/>
        <family val="2"/>
      </rPr>
      <t xml:space="preserve">Slight decrease in landings </t>
    </r>
  </si>
  <si>
    <t>Increase in landings from 450t</t>
  </si>
  <si>
    <t>Decrease in landings from 2570t</t>
  </si>
  <si>
    <t xml:space="preserve">Now included in sampling on at sea trips both commercial and surveys   </t>
  </si>
  <si>
    <t>Increase in landings from 550t</t>
  </si>
  <si>
    <r>
      <t xml:space="preserve">Below threshold but will sample anyway. Sum of &lt;10% quota = 23% </t>
    </r>
    <r>
      <rPr>
        <sz val="10"/>
        <rFont val="Arial"/>
        <family val="2"/>
      </rPr>
      <t>Increase in landings from 550t</t>
    </r>
  </si>
  <si>
    <t>Increase in landings from 730t</t>
  </si>
  <si>
    <t xml:space="preserve">Below threshold but will sample </t>
  </si>
  <si>
    <t>Increase in landings from 510t</t>
  </si>
  <si>
    <t>Decrease in landings from 2140t</t>
  </si>
  <si>
    <t>Decrease in landings from 5960t</t>
  </si>
  <si>
    <r>
      <t xml:space="preserve">Below threshold but will sample for stock assessment </t>
    </r>
    <r>
      <rPr>
        <sz val="10"/>
        <rFont val="Arial"/>
        <family val="2"/>
      </rPr>
      <t>Increase in landings from 2360t</t>
    </r>
  </si>
  <si>
    <t>Increase in landings from 19820t</t>
  </si>
  <si>
    <t>Slight decrease in landings from 450t</t>
  </si>
  <si>
    <r>
      <t xml:space="preserve">Sum of &lt;10% quota = 9% </t>
    </r>
    <r>
      <rPr>
        <sz val="10"/>
        <rFont val="Arial"/>
        <family val="2"/>
      </rPr>
      <t>Slight increase in landings from 570t</t>
    </r>
  </si>
  <si>
    <t>Slight decrease in landings from 8510t</t>
  </si>
  <si>
    <r>
      <t xml:space="preserve">landings </t>
    </r>
    <r>
      <rPr>
        <sz val="10"/>
        <rFont val="Arial"/>
        <family val="2"/>
      </rPr>
      <t xml:space="preserve">increased from &lt;200t </t>
    </r>
  </si>
  <si>
    <r>
      <t xml:space="preserve">landings &lt;200t </t>
    </r>
    <r>
      <rPr>
        <sz val="10"/>
        <rFont val="Arial"/>
        <family val="2"/>
      </rPr>
      <t xml:space="preserve">only sampled on survey </t>
    </r>
  </si>
  <si>
    <t>Does not reach threshold but will sample as trying to move from landings based assessment to a Cat3</t>
  </si>
  <si>
    <t>Decrease in landings from  1020t</t>
  </si>
  <si>
    <t>Decrease in landings from 82360t</t>
  </si>
  <si>
    <t xml:space="preserve">Landings increased from &lt;200t, but historically included in programme and will continue to sample   </t>
  </si>
  <si>
    <t>Landings decreased from 3080t</t>
  </si>
  <si>
    <t>Slight decrease in landings from 240t</t>
  </si>
  <si>
    <r>
      <t xml:space="preserve">Not in table 1A of EUMAP. Generic TAC for all rays and skates </t>
    </r>
    <r>
      <rPr>
        <sz val="10"/>
        <rFont val="Arial"/>
        <family val="2"/>
      </rPr>
      <t>Slight decrease in landings from 380t</t>
    </r>
  </si>
  <si>
    <r>
      <t xml:space="preserve">Not in table 1A of EUMAP. Generic TAC for all rays and skates </t>
    </r>
    <r>
      <rPr>
        <sz val="10"/>
        <rFont val="Arial"/>
        <family val="2"/>
      </rPr>
      <t>Slight increase in landings from &lt;200t</t>
    </r>
  </si>
  <si>
    <t>2015 - 2018</t>
  </si>
  <si>
    <t>2020</t>
  </si>
  <si>
    <t xml:space="preserve">Only from surveys and at sea sampling  </t>
  </si>
  <si>
    <t xml:space="preserve">L,A,W: quarterly; S: Annual Now selected for sampling </t>
  </si>
  <si>
    <t>5 per 1/2 cm group</t>
  </si>
  <si>
    <t xml:space="preserve">Increased to reflect actual sampling on survey  </t>
  </si>
  <si>
    <t xml:space="preserve">5 per lenght class  </t>
  </si>
  <si>
    <t>Increase from 2000 to reflect actual sampling</t>
  </si>
  <si>
    <t xml:space="preserve">Increased to accurately reflect sampling  </t>
  </si>
  <si>
    <t xml:space="preserve">5-10 per length class </t>
  </si>
  <si>
    <t xml:space="preserve">Increased to reflect sampling  </t>
  </si>
  <si>
    <t xml:space="preserve">2020 - 2021 </t>
  </si>
  <si>
    <t xml:space="preserve">See Pilot Study 1 for detail on proposed pilot survey porgramme to be designed  in 2017 for implementation and results in 2018. Updates in the 2020 programme on new timelines and work plan  </t>
  </si>
  <si>
    <t xml:space="preserve">See Pilot Study 1 for detail on proposed pilot survey porgramme to be designed in in 2017 for implementation and results in 2018 Updates in the 2020 programme on new timelines and work plan  </t>
  </si>
  <si>
    <t>Biological Sampling/Recreational catches Salmon</t>
  </si>
  <si>
    <t>Under bye law 319,2015 it is prohibited  to take/fish or attempt to fish for eel in any district in Ireland. This law also prohibits the sale or attempt to sell eel in any fishery. Marine recreational pilot study will monitor any bycatch</t>
  </si>
  <si>
    <t>2020-2021</t>
  </si>
  <si>
    <t>IE_NorW</t>
  </si>
  <si>
    <t>glass eels or elvers</t>
  </si>
  <si>
    <t>IE_Shan</t>
  </si>
  <si>
    <t>glass eels or elvers &amp; young yellow</t>
  </si>
  <si>
    <t>ESB operated Ardnacrusha 1 trap; Parteen 3 traps, not funded under the EMFF programme</t>
  </si>
  <si>
    <t>IE_SouW</t>
  </si>
  <si>
    <t xml:space="preserve"> ESB operated- T&amp;T management measure, part of escapement estimate &amp; biological sampling, not funded under the EMFF programme</t>
  </si>
  <si>
    <t>IE_West</t>
  </si>
  <si>
    <t>MI operated- Burishoole yellow monitoring</t>
  </si>
  <si>
    <t>parr</t>
  </si>
  <si>
    <t>smolt &amp; adult</t>
  </si>
  <si>
    <t>Trap, count, size &amp; sex ratio</t>
  </si>
  <si>
    <t xml:space="preserve">Demersal at-sea </t>
  </si>
  <si>
    <t>IRL DS6ab, IRL DS7a, IRL DS7bk</t>
  </si>
  <si>
    <t xml:space="preserve">Protocols for observation of incidental bycatch  are  currently in place in  off shore catch  observer programme, collection protocols as per WGBYC. Species list will be extended to cover those applicable under Table 1D (EUMAP) and relevant databases updated Trammel, tangle and gill nets in the W, NW and SW will have an additional dedicated bycatch study  under the EMFF Marine Biodiversity Scheme ( see text box pilot study 2 )  </t>
  </si>
  <si>
    <t xml:space="preserve"> Crustacean at -sea </t>
  </si>
  <si>
    <t xml:space="preserve">IRL E 6,  IRL SE 8,IRL WSW 8 IRL N3, IRL NE3, IRLNW3, 
</t>
  </si>
  <si>
    <t xml:space="preserve"> Pelagic at-sea </t>
  </si>
  <si>
    <r>
      <t xml:space="preserve">Protocols for observation of incidental bycatch  are  currently in place in  off shore catch  observer programme, collection protocols as per WGBYC. Species list will be extended to cover those applicable under Table 1D (EUMAP) and relevant databases updated </t>
    </r>
    <r>
      <rPr>
        <strike/>
        <sz val="10"/>
        <rFont val="Arial"/>
        <family val="2"/>
      </rPr>
      <t xml:space="preserve"> </t>
    </r>
    <r>
      <rPr>
        <sz val="10"/>
        <rFont val="Arial"/>
        <family val="2"/>
      </rPr>
      <t xml:space="preserve">Fisheries targetting Horse mackerel in the W, NW and SW will have an additional dedicated bycatch study  under the EMFF Marine Biodiversity Scheme  ( see text box pilot study 2 ) </t>
    </r>
  </si>
  <si>
    <t xml:space="preserve"> Mollusc at-sea</t>
  </si>
  <si>
    <t>IRL E 4,IRL E 5,IRL SE 7</t>
  </si>
  <si>
    <t xml:space="preserve">Protocols for observation of incidental bycatch  are  currently in place in  off shore catch  observer programme, collection protocols as per WGBYC. Species list will be extended to cover those applicable under Table 1D (EUMAP) and relevant databases updated  Trammel, tangle and gill nets in the W, NW and SW will have an additional dedicated bycatch study  under the EMFF Marine Biodiversity Scheme ( see text box pilot study 2 )  </t>
  </si>
  <si>
    <t xml:space="preserve">Protocols for observation of incidental bycatch  are  currently in place in  off shore catch  observer programme, collection protocols as per WGBYC. Species list will be extended to cover those applicable under Table 1D (EUMAP) and relevant databases updated  Fisheries targetting Horse mackerel in the W, NW and SW will have an additional dedicated bycatch study  under the EMFF Marine Biodiversity Scheme  ( see text box pilot study 2 ) </t>
  </si>
  <si>
    <t xml:space="preserve"> Crustacean at -sea</t>
  </si>
  <si>
    <t>Mollusc at-sea</t>
  </si>
  <si>
    <t xml:space="preserve">Crustacean at -sea </t>
  </si>
  <si>
    <t>IRL-SAL-FRW-Fishery independent</t>
  </si>
  <si>
    <t>IRL-ELE-FRW-FWR-Fishery independent</t>
  </si>
  <si>
    <t>IRL-ELE-FWR-FSN-Fishery independent</t>
  </si>
  <si>
    <t>IRL-ELE-FRW-FYK-Fishery independent</t>
  </si>
  <si>
    <t>IRL-ELE-FRW-MEL-Fishery independent</t>
  </si>
  <si>
    <r>
      <t xml:space="preserve">International data exchange between IRL, FO, NO, RU, NL, NO   No acronym in Table 10 Takes place in VIIk, VIIc, Vib </t>
    </r>
    <r>
      <rPr>
        <sz val="10"/>
        <rFont val="Arial"/>
        <family val="2"/>
      </rPr>
      <t xml:space="preserve">Acoustic miles reduced from 2000, fishing hauls from 12 and CTD from 25 due to modified survey track </t>
    </r>
  </si>
  <si>
    <t xml:space="preserve">VI, VII, VIII, </t>
  </si>
  <si>
    <t xml:space="preserve">Year of next survey 2022 </t>
  </si>
  <si>
    <r>
      <rPr>
        <sz val="10"/>
        <rFont val="Arial"/>
        <family val="2"/>
      </rPr>
      <t xml:space="preserve"> VI, VII, VIII, </t>
    </r>
  </si>
  <si>
    <r>
      <t xml:space="preserve">This survey split in to two componennt :WESPAS Spawning/Boarfish component of the survey   taking place in VIIh, VIIj, VIIk,VIIg, VIIc, VIIb, VIa </t>
    </r>
    <r>
      <rPr>
        <sz val="10"/>
        <rFont val="Arial"/>
        <family val="2"/>
      </rPr>
      <t xml:space="preserve">Acoustic miles reduced from 2500, fishing hauls from 20 and CTD from 25 due to modified survey track </t>
    </r>
  </si>
  <si>
    <t>Fishing hauls (trawl)</t>
  </si>
  <si>
    <t>Next MEGS survey not until 2022</t>
  </si>
  <si>
    <t>Horse mackerel biological data, VIa, VIIa-c, e-k, VIIIabde</t>
  </si>
  <si>
    <t>Horse mackerel egg production   VIa, VIIa-c, e-k, VIIIabde</t>
  </si>
  <si>
    <t>Biological data( L,W, S, M) on any demersal stocks that occur in VI and VII</t>
  </si>
  <si>
    <t>Baltic Sea; North Sea; Eastern Arctic; NAFO; Extended North- Western waters (Ices areas V, VI and VII) and Southern Western waters</t>
  </si>
  <si>
    <t>all fleets</t>
  </si>
  <si>
    <t>All metiers</t>
  </si>
  <si>
    <t>Inactive vessels</t>
  </si>
  <si>
    <t xml:space="preserve">12 m or larger </t>
  </si>
  <si>
    <t>0-&lt;10m</t>
  </si>
  <si>
    <t>8-&lt; 12 m</t>
  </si>
  <si>
    <t>Sales Notes/Sentinel Vessel Programme</t>
  </si>
  <si>
    <t>Non-Probability Sample Survey</t>
  </si>
  <si>
    <t>Logbook/Register/VMS</t>
  </si>
  <si>
    <t>Investment in tangible assets, net</t>
  </si>
  <si>
    <t>Total Hours Worked  per year</t>
  </si>
  <si>
    <t>Number of Fishing Enterprises/units</t>
  </si>
  <si>
    <t>Employment by Education level</t>
  </si>
  <si>
    <t>Salmon</t>
  </si>
  <si>
    <t xml:space="preserve">Other fresh water Fish </t>
  </si>
  <si>
    <t>Mussel</t>
  </si>
  <si>
    <t>Oyster</t>
  </si>
  <si>
    <t>ICES Areas 6 and 7</t>
  </si>
  <si>
    <t>IRL DS 6ab</t>
  </si>
  <si>
    <t>vessel x time</t>
  </si>
  <si>
    <t>Landings + Discards</t>
  </si>
  <si>
    <t>All Species and Stocks</t>
  </si>
  <si>
    <t>quarterly</t>
  </si>
  <si>
    <t>2016-18</t>
  </si>
  <si>
    <t>The demersal-at-sea sampling programme is stratified into 3 groups of vessels: vessels fishing mainly in areas 6ab, in 7a or in 7b-k. As the fishing area is not known beforehand, fishing area cannot directly be included in the stratification. As a consequence, trips are selected from random draws of each of the 3 vessel groups and those trips do not necessarily take place in the main area where the vessel operates. E.g. a trip from the 6ab vessel group may take place in area 7b-k instead. Therefore the targets for the demersal-at-sea sampling programme (10 per stratum per quarter = 10 x 3 x 4 = 120 trips) are not expected to result in an equal number of trips in each of the areas 6ab, 7a, and 7b-k but should result in a higher number of trips in the two areas with relatively low effort (6ab and 7a) compared to a design with no stratification. Similarly, the total number of PSUs (trips) in each of the strata, does not correspond directly to the number of trips in each of the areas; instead it is the number of trips made by the vessels on each of the three vessel groups.</t>
  </si>
  <si>
    <t>IRL DS 7a</t>
  </si>
  <si>
    <t>IRL DS 7bk</t>
  </si>
  <si>
    <t>IRL DP N</t>
  </si>
  <si>
    <t>port x quarter</t>
  </si>
  <si>
    <t>2017-18</t>
  </si>
  <si>
    <t>Planned PSUs for 2019 are given, planned PSUs for 2020-21 depend on the landings in 2018-19 and 2019-20 which are not known yet</t>
  </si>
  <si>
    <t>IRL DP W</t>
  </si>
  <si>
    <t>IRL DP SW</t>
  </si>
  <si>
    <t>IRL DP S</t>
  </si>
  <si>
    <t>IRL DP E</t>
  </si>
  <si>
    <t>The survey forms were updated and the database project will be underway in last quarter of 2019.</t>
  </si>
  <si>
    <r>
      <rPr>
        <sz val="10"/>
        <rFont val="Arial"/>
        <family val="2"/>
      </rPr>
      <t>16th Liaison Meeting</t>
    </r>
  </si>
  <si>
    <r>
      <t>RCG</t>
    </r>
    <r>
      <rPr>
        <sz val="10"/>
        <rFont val="Arial"/>
        <family val="2"/>
      </rPr>
      <t xml:space="preserve"> NANSEA</t>
    </r>
  </si>
  <si>
    <r>
      <t>RC</t>
    </r>
    <r>
      <rPr>
        <sz val="10"/>
        <rFont val="Arial"/>
        <family val="2"/>
      </rPr>
      <t xml:space="preserve">G for the North Atlantic NorthSea and Eastern Arctic </t>
    </r>
  </si>
  <si>
    <t xml:space="preserve">Coastal states Blue Whiting  meeting </t>
  </si>
  <si>
    <t>WGTIFD</t>
  </si>
  <si>
    <t>Working Group on Technology Integration for Fishery-Dependent Data</t>
  </si>
  <si>
    <t>The list below are meetings on the ICES calendar in 2020 but not listed above</t>
  </si>
  <si>
    <t>Benchmark Workshop on Celtic Sea Stocks</t>
  </si>
  <si>
    <t>WKDEM</t>
  </si>
  <si>
    <t>Benchmark Workshop for Demersal Species</t>
  </si>
  <si>
    <t>WKENSEMBLE 2020</t>
  </si>
  <si>
    <t>Joint ICES-JRC Workshop on Model Ensembles for Stock Assessment and Advice</t>
  </si>
  <si>
    <t>WKMIXFISH 2020</t>
  </si>
  <si>
    <t>Scoping workshop on next generation of mixed fisheries advice</t>
  </si>
  <si>
    <t>WKMSEDEV</t>
  </si>
  <si>
    <t>Workshop on MSE development</t>
  </si>
  <si>
    <t>WKREBUILD</t>
  </si>
  <si>
    <t>Workshop on guidelines and methods for the evaluation of rebuilding plans</t>
  </si>
  <si>
    <t>WKRFSAM</t>
  </si>
  <si>
    <t>Workshop on the Review and Future of State Space Stock Assessment Models in ICES</t>
  </si>
  <si>
    <t>WKSHARK6</t>
  </si>
  <si>
    <t>Workshop on the OSPAR and NEAFC joint advice request to generate species distribution maps for listed deep sea shark species and provide scientific support for ICES advice on bycatch management option</t>
  </si>
  <si>
    <t>WKUSER 2020</t>
  </si>
  <si>
    <t>Workshop on unavoidable survey effort reduction</t>
  </si>
  <si>
    <t>WKWHIQI 2020</t>
  </si>
  <si>
    <t>Workshop on Whiting biological Quality Indicators</t>
  </si>
  <si>
    <t>WP Years</t>
  </si>
  <si>
    <t>IRL-SAL-FRW-MEL-Fishery independent</t>
  </si>
  <si>
    <t>IRL-SAL-FRW-FWR-Fishery independent</t>
  </si>
  <si>
    <r>
      <t xml:space="preserve">Demersal trawlers in  </t>
    </r>
    <r>
      <rPr>
        <strike/>
        <sz val="10"/>
        <rFont val="Arial"/>
        <family val="2"/>
      </rPr>
      <t xml:space="preserve"> </t>
    </r>
    <r>
      <rPr>
        <sz val="10"/>
        <rFont val="Arial"/>
        <family val="2"/>
      </rPr>
      <t>IRL DS 6ab, IRL DS 7a, IRL DS 7bk</t>
    </r>
  </si>
  <si>
    <r>
      <t xml:space="preserve">Held Locally on MI networks, R scripts and audit trail in discard database; available upon request, </t>
    </r>
    <r>
      <rPr>
        <sz val="10"/>
        <rFont val="Arial"/>
        <family val="2"/>
      </rPr>
      <t>process flows uploaded to National DCF web site (accessed through http://www.dcmap-ireland.ie/documents/methodologies )</t>
    </r>
  </si>
  <si>
    <r>
      <t xml:space="preserve">Continual updates to sampling SOPs, </t>
    </r>
    <r>
      <rPr>
        <sz val="10"/>
        <rFont val="Arial"/>
        <family val="2"/>
      </rPr>
      <t xml:space="preserve">process flows for catch sampling updated to www.dcmap-ireland.ie  Updated SOPs now held in Paradigm3 </t>
    </r>
  </si>
  <si>
    <r>
      <t xml:space="preserve">SOP on Marine Institute </t>
    </r>
    <r>
      <rPr>
        <sz val="10"/>
        <rFont val="Arial"/>
        <family val="2"/>
      </rPr>
      <t xml:space="preserve">Paradigm3 ( document control software) .  Summaries of all sampling designs is uploaded to National DCF web site (accessed through http://www.dcmap-ireland.ie/documents/methodologies)  </t>
    </r>
  </si>
  <si>
    <r>
      <t xml:space="preserve">Continual updates to sampling SOPs, </t>
    </r>
    <r>
      <rPr>
        <strike/>
        <sz val="10"/>
        <rFont val="Arial"/>
        <family val="2"/>
      </rPr>
      <t xml:space="preserve"> </t>
    </r>
    <r>
      <rPr>
        <sz val="10"/>
        <rFont val="Arial"/>
        <family val="2"/>
      </rPr>
      <t>Process flows for at-sea sampling are being  updated and draft version will be uploaded to www.dcmap-ireland.ie   Updated SOPs now held in Paradigm3</t>
    </r>
    <r>
      <rPr>
        <strike/>
        <sz val="10"/>
        <rFont val="Arial"/>
        <family val="2"/>
      </rPr>
      <t xml:space="preserve"> </t>
    </r>
  </si>
  <si>
    <r>
      <t>Nephrops Trawlers in</t>
    </r>
    <r>
      <rPr>
        <strike/>
        <sz val="10"/>
        <rFont val="Arial"/>
        <family val="2"/>
      </rPr>
      <t xml:space="preserve"> </t>
    </r>
    <r>
      <rPr>
        <sz val="10"/>
        <rFont val="Arial"/>
        <family val="2"/>
      </rPr>
      <t xml:space="preserve"> IRL DS 6ab, IRL DS 7a, IRL DS 7bk</t>
    </r>
  </si>
  <si>
    <r>
      <t>Continual updates to sampling SOPs,</t>
    </r>
    <r>
      <rPr>
        <strike/>
        <sz val="10"/>
        <rFont val="Arial"/>
        <family val="2"/>
      </rPr>
      <t xml:space="preserve"> </t>
    </r>
    <r>
      <rPr>
        <sz val="10"/>
        <rFont val="Arial"/>
        <family val="2"/>
      </rPr>
      <t xml:space="preserve"> process flows for catch sampling updated to www.dcmap-ireland.ie  Updated SOPs now held in Paradigm3 </t>
    </r>
  </si>
  <si>
    <r>
      <t>Continual updates to sampling SOPs,</t>
    </r>
    <r>
      <rPr>
        <strike/>
        <sz val="10"/>
        <rFont val="Arial"/>
        <family val="2"/>
      </rPr>
      <t xml:space="preserve"> </t>
    </r>
    <r>
      <rPr>
        <sz val="10"/>
        <rFont val="Arial"/>
        <family val="2"/>
      </rPr>
      <t xml:space="preserve"> Process flows uploaded to www.dcmap-ireland.ie  Updated SOPs now held in Paradigm3</t>
    </r>
  </si>
  <si>
    <r>
      <t>Continual updates to sampling SOPs, Quality updates are being uploaded Q4 2017 and final documentation will be ready Q1 2018</t>
    </r>
    <r>
      <rPr>
        <sz val="10"/>
        <rFont val="Arial"/>
        <family val="2"/>
      </rPr>
      <t xml:space="preserve"> Continual updates to sampling SOPs, process flows for catch sampling updated to www.dcmap-ireland.ie  Updated SOPs now held in Paradigm3 </t>
    </r>
  </si>
  <si>
    <r>
      <t xml:space="preserve">Demersal, Pelagic, </t>
    </r>
    <r>
      <rPr>
        <sz val="10"/>
        <rFont val="Arial"/>
        <family val="2"/>
      </rPr>
      <t>Crustacean, Molluscs</t>
    </r>
  </si>
  <si>
    <r>
      <t xml:space="preserve">SOP on Marine Institute network.  </t>
    </r>
    <r>
      <rPr>
        <sz val="10"/>
        <rFont val="Arial"/>
        <family val="2"/>
      </rPr>
      <t>Paradigm3 ( document control software). Summaries of  sampling designs is uploaded to National DCF web site (accessed through http://www.dcmap-ireland.ie/documents/methodologies)</t>
    </r>
  </si>
  <si>
    <r>
      <t>STOCKMAN data base  http://mifeasapp01/stockman2015/Default.aspx</t>
    </r>
    <r>
      <rPr>
        <sz val="10"/>
        <rFont val="Arial"/>
        <family val="2"/>
      </rPr>
      <t xml:space="preserve"> for demersal pelagic stocks  Nemesys DB for </t>
    </r>
    <r>
      <rPr>
        <i/>
        <sz val="10"/>
        <rFont val="Arial"/>
        <family val="2"/>
      </rPr>
      <t>Nephrops</t>
    </r>
    <r>
      <rPr>
        <sz val="10"/>
        <rFont val="Arial"/>
        <family val="2"/>
      </rPr>
      <t xml:space="preserve"> data and othershellfich on  inshore DB on SQL on local server </t>
    </r>
  </si>
  <si>
    <r>
      <t xml:space="preserve">Continual updates to sampling SOPs, </t>
    </r>
    <r>
      <rPr>
        <sz val="10"/>
        <rFont val="Arial"/>
        <family val="2"/>
      </rPr>
      <t xml:space="preserve">  Process flows for sampling on shore are being  updated and draft versions will be uploaded to www.dcmap-ireland.ie   Updated SOPs now held in Paradigm3 </t>
    </r>
  </si>
  <si>
    <t xml:space="preserve">Updates to protocols will be made in 2020 and updates will be made to website in 2020  </t>
  </si>
  <si>
    <t xml:space="preserve">Updates to protocols will be made in 2020 and updates will be made to website in 2020 </t>
  </si>
  <si>
    <t>Eel data are in the ICES WGEEL database</t>
  </si>
  <si>
    <t xml:space="preserve">Updates to protocols will be made in 2020 and updates will be made to website in 2020 Process flows are in draft  and will be updated to  http://www.dcmap-ireland.ie when completed </t>
  </si>
  <si>
    <r>
      <t xml:space="preserve">SOP on Marine Institute </t>
    </r>
    <r>
      <rPr>
        <sz val="10"/>
        <rFont val="Arial"/>
        <family val="2"/>
      </rPr>
      <t xml:space="preserve">Paradigm3 (document control software).  Summaries of all sampling designs is uploaded to National DCF web site (accessed through http://www.dcmap-ireland.ie/documents/methodologies)  </t>
    </r>
  </si>
  <si>
    <t>2016-2018</t>
  </si>
  <si>
    <r>
      <t xml:space="preserve">All SPF: Herring, Mackerel, Horse mackerel, Blue Whiting Boarfish  and Sprat </t>
    </r>
    <r>
      <rPr>
        <sz val="10"/>
        <rFont val="Arial"/>
        <family val="2"/>
      </rPr>
      <t>Includes Boarfish and Tuna from VIII</t>
    </r>
  </si>
  <si>
    <t>Southern Western waters ( ICES Zone VIII, IX and X)</t>
  </si>
  <si>
    <t>UK vessels landing crab</t>
  </si>
  <si>
    <t xml:space="preserve">Mainly boarfish </t>
  </si>
  <si>
    <t>Tuna</t>
  </si>
  <si>
    <r>
      <t xml:space="preserve"> Demersal  </t>
    </r>
    <r>
      <rPr>
        <sz val="10"/>
        <rFont val="Arial"/>
        <family val="2"/>
      </rPr>
      <t xml:space="preserve">stocks,  length, weight,  sex ratio, sexual maturity  </t>
    </r>
  </si>
  <si>
    <r>
      <t xml:space="preserve"> Nephrops </t>
    </r>
    <r>
      <rPr>
        <sz val="10"/>
        <rFont val="Arial"/>
        <family val="2"/>
      </rPr>
      <t xml:space="preserve">stocks, length, sex ratio, sexual maturity  </t>
    </r>
  </si>
  <si>
    <r>
      <t xml:space="preserve"> </t>
    </r>
    <r>
      <rPr>
        <sz val="10"/>
        <rFont val="Arial"/>
        <family val="2"/>
      </rPr>
      <t xml:space="preserve">Elasmobranchs stocks,  length, weight,  sex ratio, sexual maturity  </t>
    </r>
  </si>
  <si>
    <r>
      <t xml:space="preserve">Demersal stocks,  commercial age, </t>
    </r>
    <r>
      <rPr>
        <sz val="10"/>
        <rFont val="Arial"/>
        <family val="2"/>
      </rPr>
      <t xml:space="preserve">Survey age from IGFS and IAMS </t>
    </r>
  </si>
  <si>
    <t xml:space="preserve"> Trachurus trachurus , VIa, VIIa-c, e-k, VIIIabde  Scomber scombrus,   VI, VII, VIII,</t>
  </si>
  <si>
    <t>Mar 31, n+1</t>
  </si>
  <si>
    <r>
      <t xml:space="preserve"> Trachurus trachurus , VIa, VIIa-c, e-k, VIIIabde  Scomber scombrus </t>
    </r>
    <r>
      <rPr>
        <sz val="10"/>
        <rFont val="Arial"/>
        <family val="2"/>
      </rPr>
      <t>, VI, VII, VIII,</t>
    </r>
  </si>
  <si>
    <r>
      <t xml:space="preserve">  Scomber scombrus</t>
    </r>
    <r>
      <rPr>
        <sz val="10"/>
        <rFont val="Arial"/>
        <family val="2"/>
      </rPr>
      <t xml:space="preserve">  VI, VII, VIII</t>
    </r>
  </si>
  <si>
    <t>March 31 n+1</t>
  </si>
  <si>
    <t>WKDSG</t>
  </si>
  <si>
    <t>Workshop on Standards and Guidelines for fisheries dependent data</t>
  </si>
  <si>
    <r>
      <t xml:space="preserve">Only </t>
    </r>
    <r>
      <rPr>
        <i/>
        <sz val="11"/>
        <rFont val="Calibri"/>
        <family val="2"/>
        <scheme val="minor"/>
      </rPr>
      <t>Cancer pagurus</t>
    </r>
    <r>
      <rPr>
        <sz val="11"/>
        <rFont val="Calibri"/>
        <family val="2"/>
        <scheme val="minor"/>
      </rPr>
      <t xml:space="preserve"> sampled due to Covid19 restrictions at other sampling points for other species</t>
    </r>
  </si>
  <si>
    <r>
      <t xml:space="preserve">No at sea sampling undertaken in 2020.  Sampling was undertaken by survey in relation to </t>
    </r>
    <r>
      <rPr>
        <i/>
        <sz val="11"/>
        <rFont val="Calibri"/>
        <family val="2"/>
        <scheme val="minor"/>
      </rPr>
      <t xml:space="preserve">Ensis </t>
    </r>
    <r>
      <rPr>
        <sz val="11"/>
        <rFont val="Calibri"/>
        <family val="2"/>
        <scheme val="minor"/>
      </rPr>
      <t xml:space="preserve">and </t>
    </r>
    <r>
      <rPr>
        <i/>
        <sz val="11"/>
        <rFont val="Calibri"/>
        <family val="2"/>
        <scheme val="minor"/>
      </rPr>
      <t>Cerastoderma</t>
    </r>
    <r>
      <rPr>
        <sz val="11"/>
        <rFont val="Calibri"/>
        <family val="2"/>
        <scheme val="minor"/>
      </rPr>
      <t xml:space="preserve">. Scallop data relates to port sampling of landings. </t>
    </r>
    <r>
      <rPr>
        <i/>
        <sz val="11"/>
        <rFont val="Calibri"/>
        <family val="2"/>
        <scheme val="minor"/>
      </rPr>
      <t>Cerastoderma</t>
    </r>
    <r>
      <rPr>
        <sz val="11"/>
        <rFont val="Calibri"/>
        <family val="2"/>
        <scheme val="minor"/>
      </rPr>
      <t>data was collected during a low tide foot survey.</t>
    </r>
  </si>
  <si>
    <t>No surveys were undertaken as the total fishery outtake since the previous survey was very low</t>
  </si>
  <si>
    <t>No weights achieved as measurements were recorded at sea. Sampling at processing facilities was not possible due to Covid19 restrictions.</t>
  </si>
  <si>
    <t>All measurements were recorded from landings</t>
  </si>
  <si>
    <t>3 bags of scallop measured from each Vessel at a processing facility</t>
  </si>
  <si>
    <t>Excess sampling intensity occurred at  no additional expense to DCF</t>
  </si>
  <si>
    <t xml:space="preserve">1 per 1/2 cm per strata Increased to reflect actual sampling on survey  </t>
  </si>
  <si>
    <t>Landed Cancer pagurus measured at a processing facility.</t>
  </si>
  <si>
    <t>Excess planned sampling intensity occurred at  no additional expense to DCF</t>
  </si>
  <si>
    <t>Sampling levels reduced due to COVID, additionally: sampling targets were increased but set too high.</t>
  </si>
  <si>
    <t xml:space="preserve">as per IBTS Manual  Decreased to accurately reflect sampling  </t>
  </si>
  <si>
    <t>Survey catches were lower than expected</t>
  </si>
  <si>
    <t xml:space="preserve">as per IBTS Manual Increased to accurately reflect sampling </t>
  </si>
  <si>
    <t xml:space="preserve">as per IBTS Manual  Increased to accurately reflect sampling  </t>
  </si>
  <si>
    <t xml:space="preserve">As Per IBTS manual  Increased to reflect sampling  </t>
  </si>
  <si>
    <t>See other MS for full description of this survey, IRL  participtates by sending personnel and cost sharing as per RCM 2016 agreement</t>
  </si>
  <si>
    <t>Survey did not go ahead in 2020 due to the Covid-19 global pandemic.</t>
  </si>
  <si>
    <t>Survey planned for 2022</t>
  </si>
  <si>
    <t>Increased trawling capacity achieved due to favourable weather conditions</t>
  </si>
  <si>
    <t>Increased CTD sampling achieved due to favourable weather conditions</t>
  </si>
  <si>
    <t>F</t>
  </si>
  <si>
    <t>Please see the Danish DCF Annual Report for Survey details. No physical participation by an Irish scientist was possible in 2020 due to the Covid - 19 global pandemic</t>
  </si>
  <si>
    <t>June - Sept</t>
  </si>
  <si>
    <t>By-catch data were also assimilated; Sampling and spatial coverage was completed in a shorter time scale than planned. Five vessels were used for a maximum of 5 days in early June for the North Irish Sea and one vessel was used for 3 days in late August early September for the South Irish Sea.</t>
  </si>
  <si>
    <t>August</t>
  </si>
  <si>
    <t>No Inshore Scallop surveys were undertaken in 2020 as the total fishery out take since the previous survey was very low.</t>
  </si>
  <si>
    <t>May  - June</t>
  </si>
  <si>
    <t>Data on other bivalve species were also assimilated. Sampling and spatial coverage was completed in a shorter time scale</t>
  </si>
  <si>
    <t>By-catch data was assimilated. Additional days at sea were achieved in order to investigate the full extent of current oyster beds.</t>
  </si>
  <si>
    <t>Triennial MEGS Survey scheduled for 2022</t>
  </si>
  <si>
    <t>Seapen data provided to ICES/NAFO Joint Working Group
on Deep-water Ecology (WGDEC)</t>
  </si>
  <si>
    <t>Due to the COVID 19 globalpandemic there were reduced staff numbers at sea on UWTV surveys in 2020. This resulted in trawling operations being dropped from the survey plan. However, trawling operations are not a priority on UWTV surveys.</t>
  </si>
  <si>
    <t>The Blue Whiting Survey was not completed in 2020, due to the Covid - 19 global pandemic</t>
  </si>
  <si>
    <t>Data uploaded the the Marine Institute Inshore Database</t>
  </si>
  <si>
    <t>The first two legs of this survey (23rd February to 18th March) were achieved as normal with a full staff compliment and 24hr operations.  However due to the Covid-19 global pandemic, the 3rd leg of the survey (12-21st April 2020 in area 6a) had to be modified to adhere to public health guidance, resulting in the survey working only 12hr operations with reduced staffing numbers.  Temporal and spatial coverage of the 6a area was achieved, but station density was less than previous years</t>
  </si>
  <si>
    <t>Fig. 2</t>
  </si>
  <si>
    <t>Fig. 3</t>
  </si>
  <si>
    <t>1,942 nmi of core transects covering an area of over 13,730 nmi² were achieved. Six adaptive surveys were also carried out (four inshore and two offshore) and accounted for 786 nmi of transects and an area coverage of 2,235 nmi².  The increase in adaptive survey effort was achieved due to good weather conditions</t>
  </si>
  <si>
    <t>Fig. 4</t>
  </si>
  <si>
    <t>Fig. 5</t>
  </si>
  <si>
    <t>in 2020 a total of 9.5 days were lost due to adverse weather downtime. The First week was unworkable, then sporadic days later on.  Spatial and temporal coverage was achieved, albeit with a lower density of stations per stratum.</t>
  </si>
  <si>
    <t>Refer to comment above</t>
  </si>
  <si>
    <t>www.biodiversityireland.ie</t>
  </si>
  <si>
    <t>Extended comment on survey adaptation to Covid - 19 available in Text Box 1G: List of research surveys at sea, under the relevant UWTV Survey section.</t>
  </si>
  <si>
    <t>Fig. 6,7,8</t>
  </si>
  <si>
    <t>Fig. 9,10,11</t>
  </si>
  <si>
    <t>All individuals in a sample measured</t>
  </si>
  <si>
    <t>1 per 1/2 cm per strata</t>
  </si>
  <si>
    <t>5 per 1/2 cm length group</t>
  </si>
  <si>
    <t>50 per sample</t>
  </si>
  <si>
    <t xml:space="preserve">Not selected for sampling.  </t>
  </si>
  <si>
    <t>As per IBTS Manual</t>
  </si>
  <si>
    <t>Random subsample</t>
  </si>
  <si>
    <t>1 per mm per haul</t>
  </si>
  <si>
    <t>Cancer pagurus measured by observers on board vessels targetting lobster and brown crab. Either the total catch from all pots per string are measured or the catch from the first ten pots is measured.</t>
  </si>
  <si>
    <t>Homarus gammurus measured by observers on board vessels targeting lobster and brown crab. Either the total catch from all pots per string are measured or the catch from the first ten pots is measured.</t>
  </si>
  <si>
    <t>100 per sample</t>
  </si>
  <si>
    <t>as per IBTS Manual</t>
  </si>
  <si>
    <t>Some fisheries did not open so sampling was not required and spatial coverage was thus reduced. Covid - 19 restrictions also impacted on surveying some areas, where sampling at sea was not possible during periods of severe level 5 lockdown restrictions.</t>
  </si>
  <si>
    <t>Fig. 12</t>
  </si>
  <si>
    <t>Fig. 13,14,15,16,17,18,19.</t>
  </si>
  <si>
    <t>No weights were recorded in 2020 as no surveys were undertaken because the total fishery out take since the previous survey was very low.</t>
  </si>
  <si>
    <t>All individuals or a sub-sample in a string of pots are sampled</t>
  </si>
  <si>
    <t>1 per 1 cm per sample</t>
  </si>
  <si>
    <t>&lt;56 tonnes landed in 2020</t>
  </si>
  <si>
    <t>Up to 250 individuals are sampled per sampling event</t>
  </si>
  <si>
    <r>
      <rPr>
        <i/>
        <sz val="10"/>
        <rFont val="Arial"/>
        <family val="2"/>
      </rPr>
      <t>L. budegassa</t>
    </r>
    <r>
      <rPr>
        <sz val="10"/>
        <rFont val="Arial"/>
        <family val="2"/>
      </rPr>
      <t xml:space="preserve"> is quite rare in area IV,VI, and is therefore hard to get samples generally.  Sampling levels were also reduced due to restricted access to the local fishermens co - op due to the Covid - 19 global pandemic.</t>
    </r>
  </si>
  <si>
    <t>Sampling levels were reduced due to restricted access to the local fishermens co - op due to the Covid - 19 global pandemic.</t>
  </si>
  <si>
    <t>Sampling levels were low due to limited access to local fishermens co - ops, as a result of the Covid - 19 global pandemic.</t>
  </si>
  <si>
    <t>Sampling levels were low due to limited access to processing facilities, as a result of the Covid - 19 global pandemic</t>
  </si>
  <si>
    <t>2 per 1cm per sample</t>
  </si>
  <si>
    <t>5-10 per cm class per sample</t>
  </si>
  <si>
    <t xml:space="preserve">1 per 1 cm </t>
  </si>
  <si>
    <t>Landings of Clupea harengus in 2020 have fallen by over 50% from 2046t in 2019 to just 894t in 2020.</t>
  </si>
  <si>
    <t>Landings of Clupea harengus have fallen by over 50% from 2046t in 2019 to just 894t in 2020.</t>
  </si>
  <si>
    <t>Catches were very low, with just 55t landed in 2020. Accessing samples was difficult due as no access was granted to Marine Institute staff to sample in the local fishermen's Co - Op, between mid March and the end of June, because of the Covid - 19 global pandemic.</t>
  </si>
  <si>
    <t>Sampling levels were low due to limited access to processing facilities due to the Covid - 19 global pandemic and the low number of vessels fishing in VIIa</t>
  </si>
  <si>
    <t>Lower than expected numbers of Glyptocephalus cynoglossus were encountered during the survey</t>
  </si>
  <si>
    <t>Landings of Logio vulgaris decreased by over 60% from 1124t in 2019 to 380t in 2020.  This combined with restricted access to Co - Ops and processors due to the Covid - 19 global pandemic made accessing samples of Loligo extremely difficult.</t>
  </si>
  <si>
    <t>Landings of Logio vulgaris decreased by over 60% from 1124t in 2019 to 380t in 2020</t>
  </si>
  <si>
    <t xml:space="preserve">Melanogrammus aeglefinus landings dropped by more than 50% in 2020.   Sampling levels were low due to limited access to processing facilities, as a result of the Covid - 19 global pandemic and also because of the low number of vessels fishing in VIIa for whitefish.  </t>
  </si>
  <si>
    <t xml:space="preserve">Merlangius merlangus landings dropped by almost 50% in 2020 to just 51t.   Sampling levels were low due to limited access to processing facilities, as a result of the Covid - 19 global pandemic and also because of the low number of vessels fishing in VIIa for whitefish.  </t>
  </si>
  <si>
    <t>Landings fell by more than 50% from 1137t landed in 2019 to 658t landed in 2020</t>
  </si>
  <si>
    <t>Landings fell by almost 50% from 95t landed in 2019 to just 51t landed in 2020</t>
  </si>
  <si>
    <t>Landings fell by approximately 30% from 232t landed in 2019 to 162t landed in 2020.</t>
  </si>
  <si>
    <t>Landings fell approximately 35% from 1214t in 2019 to 800t in 2020</t>
  </si>
  <si>
    <t>Landings fell by almost 20% from 53t landed in 2019 to just 42t landed in 2020.</t>
  </si>
  <si>
    <t>Pleuronectes platessa landings fell by approximately 30% resulting in lower than expected sampling levels, also as a result of limited access to processing facilities, due to the Covid - 19 global pandemic and  the low number of vessels fishing in VIIa for whitefish.</t>
  </si>
  <si>
    <t xml:space="preserve">Landings of Solea solea fell to only 42t in 2020. Sampling levels were low due to limited access to processing facilities, as a result of the Covid - 19 global pandemic and also because of the low number of vessels fishing in VIIa for whitefish.  </t>
  </si>
  <si>
    <t>Landings of skates and ray species fell by almost 20% in 2020.  This coupled with restricted access to sampling locations such as auction halls, fishermen's Co - Op's and fish processors made achieveing these sampling targets very difficult in 2020</t>
  </si>
  <si>
    <t>Solea solea landings fell by almost 50% from 85t landed in 2019 to just 45t landed in 2020</t>
  </si>
  <si>
    <t>Solea solea landings fell by almost 50% from 85t landed in 2019 to just 45t landed in 2020.  This combined with restricted access to sampling locations, due to the Covid - 19 global pandemic resulted in lower than planned sampling achievement.</t>
  </si>
  <si>
    <t>Lower than expected numbers of Scomber scombrus were encountered during the survey</t>
  </si>
  <si>
    <t>Pleuronectes platessa landings fell from 28t landed in 2019 to a mere 11t landed in 2020</t>
  </si>
  <si>
    <t>Increase in landings from 64t landed in 2019 to 104t landed in 2020</t>
  </si>
  <si>
    <t>Decrease in Landings from 7.47t in 2019 to just 5.54t landed in 2020.</t>
  </si>
  <si>
    <t>Landings of Pleuronectes platessa were very low in 2020, down to just 5.54t.  Sampling levels were also low due to limited access to local fishermens co - op and auction hall, as a result of the Covid - 19 global pandemic.</t>
  </si>
  <si>
    <t>Slight increase in landings from 2234t in 2019 to 2332t in 2020.</t>
  </si>
  <si>
    <t>Slight decease in landings from 154t  in 2019 to 123t in 2020</t>
  </si>
  <si>
    <t>Decrease in landings by just over 100t from 508t landed in 2019 to 403t in 2020</t>
  </si>
  <si>
    <t>Sampling levels were reduced due to restricted access to the local fishermens co - op due to the Covid - 19 global pandemic and a decrease in landings.</t>
  </si>
  <si>
    <t>Decrease in landings from 508t landed in 2019 to 403t landed in 2020</t>
  </si>
  <si>
    <t>Slight increase in landings from 2657t landed in 2019 to 2734t landed in 2020</t>
  </si>
  <si>
    <t>Decrease in landings by approximately 25% from 2254t landed in 2019 to 1664t landed in 2020</t>
  </si>
  <si>
    <t xml:space="preserve">Landings reduced by approximately 25% on 2019 figures and access to sampling locations were restricted due to the Covid - 19 global pandemic.  </t>
  </si>
  <si>
    <t>Decrease in landings from 439t landed in 2019 to 351t landed in 2020</t>
  </si>
  <si>
    <t>Sampling levels were low due to limited access to fishermen's Co- Op's and local processing facilities due to the Covid - 19 global pandemic and slightly reduced landings.</t>
  </si>
  <si>
    <t>Landings remained relatively stable with 117t landed in 2020.</t>
  </si>
  <si>
    <t>Reduced programme due to COVID-19</t>
  </si>
  <si>
    <t xml:space="preserve">Inaccessible sites, or sites requiring more than 3 staff were not completed in 2020, because of the risk of Covid - 19.   </t>
  </si>
  <si>
    <t>Stopped the counter due to continuous malfunction</t>
  </si>
  <si>
    <t xml:space="preserve">Inaccessible sites, or sites requiring more than 3 staff were not fished in 2020, because of the risk of Covid - 19.   </t>
  </si>
  <si>
    <t>A new additional trap installed at Ardnacrusha, so 6 traps in total</t>
  </si>
  <si>
    <r>
      <t xml:space="preserve">Continual updates to sampling SOPs, </t>
    </r>
    <r>
      <rPr>
        <sz val="10"/>
        <rFont val="Arial"/>
        <family val="2"/>
      </rPr>
      <t xml:space="preserve">process flows updated to www.dcmap-ireland.ie  Updated SOPs now held in Paradigm3 </t>
    </r>
  </si>
  <si>
    <t>The ICES benchmark reports refered to in column P include: 
WKIRISH3 2017 http://www.ices.dk/sites/pub/Publication%20Reports/Expert%20Group%20Report/BSG/2017/WKIrish/wkirish3_2017.pdf
WKAnglerfish 2018 http://www.ices.dk/sites/pub/Publication%20Reports/Expert%20Group%20Report/acom/2018/WKANGLER/WKAngler_2018.pdf
WKCeltic  https://www.ices.dk/sites/pub/Publication%20Reports/Expert%20Group%20Report/Fisheries%20Resources%20Steering%20Group/2020/wkceltic_2020.pdf
WKFlatNSCS  https://www.ices.dk/sites/pub/Publication%20Reports/Expert%20Group%20Report/Fisheries%20Resources%20Steering%20Group/2020/WKFlatNSCS_2020.pdf
WKDEM https://www.ices.dk/sites/pub/Publication%20Reports/Expert%20Group%20Report/Fisheries%20Resources%20Steering%20Group/2020/wkdem_2020.pdf                                                                                                 
Responses continue to be logged. Sampling  SOPs have been updated and are stored internally using Paradigm 3, which is a type of document control software. 
Process flows for the at-sea sampling in the Demersa/Nephrops  programme ( FEAS_Demersal_3_Catch Sampling atsea)  are now uploaded to  http://www.dcmap-ireland.ie/documents/methodologies</t>
  </si>
  <si>
    <t xml:space="preserve">
Responses continue to be logged. Sampling  SOPs have been updated and are stored internally using Paradigm 3, a type of document control software.  
We don’t actually upload this data to the RDB currently - this will be reviewed for the RDBES data call.
Process flows for At-sea sampling in the Pelagic  atsea programme ( FEAS_Pelagic_2_Atsea Observer) are now uploaded to  http://www.dcmap-ireland.ie/documents/methodologies
</t>
  </si>
  <si>
    <t xml:space="preserve">
Responses continue to be logged.  SOPs have been updated and are stored internally using Paradigm 3, a type of document control software.  
Process flows for the at-sea sampling in the Demersa/Nephrops  atsea programme ( FEAS_Demersal_3_Catch Sampling atsea) and the At-sea Sampling Manual are now uploaded to  http://www.dcmap-ireland.ie/documents/methodologies</t>
  </si>
  <si>
    <t>SOPS are being updated and reviewed.
Process flows for the at-sea sampling in theInshore  programme ( FEAS_Inshore_2_Observer at-sea)  are now uploaded to  http://www.dcmap-ireland.ie/documents/methodologies</t>
  </si>
  <si>
    <t xml:space="preserve">The Shellfish database SQL data has been established and populated with historical data.  User acceptance testing is currently on going, with the new GUI (Graphical User Interface) - and once this is completed and the GUI launched editing and imputation methods will be fully documented.                            SOPS are being updated and reviewed. They will then be stored within Paradigm 3.
</t>
  </si>
  <si>
    <t xml:space="preserve">The ICES benchmark reports refered to in column P include: 
WKIRISH3 2017 http://www.ices.dk/sites/pub/Publication%20Reports/Expert%20Group%20Report/BSG/2017/WKIrish/wkirish3_2017.pdf
WKAnglerfish 2018 http://www.ices.dk/sites/pub/Publication%20Reports/Expert%20Group%20Report/acom/2018/WKANGLER/WKAngler_2018.pdf
WKCeltic  https://www.ices.dk/sites/pub/Publication%20Reports/Expert%20Group%20Report/Fisheries%20Resources%20Steering%20Group/2020/wkceltic_2020.pdf
WKFlatNSCS  https://www.ices.dk/sites/pub/Publication%20Reports/Expert%20Group%20Report/Fisheries%20Resources%20Steering%20Group/2020/WKFlatNSCS_2020.pdf
WKDEM https://www.ices.dk/sites/pub/Publication%20Reports/Expert%20Group%20Report/Fisheries%20Resources%20Steering%20Group/2020/wkdem_2020.pdf  
Sampling  SOPs have been updated and are stored internally using Paradigm 3.  
Process flow  'FEAS_Demersal_2_Port Sampling FEAS_ Pelagic_3_ Port Sampling and FEAS_Inshore_3_ Port Sampling  describing all procedures uploaded to DCMAP website 
Sampling design document ( FEAS_SOP_22_ Demersal Sampling Design and Sampling Targets for Pelagic fish ) is available on website </t>
  </si>
  <si>
    <t xml:space="preserve">SOP  uploaded to DCMAP website, http://www.dcmap-ireland.ie/documents/methodologies </t>
  </si>
  <si>
    <t xml:space="preserve">Field Survey SOPs for Juvenile Salmonids and Eel now uploaded on to http://www.dcmap-ireland.ie/documents/methodologies   </t>
  </si>
  <si>
    <t xml:space="preserve"> National Microtag recovery Programme Student Protocol uploaded to http://www.dcmap-ireland.ie/documents/methodologies 
A Manual on  Anadramous-Catadramous species data collection in fresh waters and a Manual on Fish Trap operations, fish handling, fish tagging and fish sampling also available on http://www.dcmap-ireland.ie/documents/methodologies.  Process flow FEAS_Newport_2 Fish Husbandry) is now uploaded to  http://www.dcmap-ireland.ie/documents/methodologies                                            </t>
  </si>
  <si>
    <t>Process flows  ( FEAS_Newport_1_Traps and FEAS_Newport_2 FishHusbandry) are now uploaded to  http://www.dcmap-ireland.ie/documents/methodologies
A Manual on  Anadramous-Catadramous species data collection in fresh waters and a Manual on Fish Trap operations, fish handling, fish tagging and fish sampling also available on http://www.dcmap-ireland.ie/documents/methodologies</t>
  </si>
  <si>
    <t xml:space="preserve">Field Survey SOPs for Juvenile Salmonids and Eel now uploaded on to http://www.dcmap-ireland.ie/documents/methodologies </t>
  </si>
  <si>
    <t xml:space="preserve">Eel Fyke Net Survey Presicion SOP now uploaded to  http://www.dcmap-ireland.ie/documents/methodologies </t>
  </si>
  <si>
    <t>Methodologies are available in the ESB Fisheries 2013 Annual Report available here: https://www.esb.ie/docs/default-source/investor-relations-documents/esb-annual-report-2013 Methodologies have not changes since 2013 and this is the most recent publically available report. The Irish Electricity Supply Board is not funded for this work by the DCF but provides annual data to the Marine Institute for submission to ICES</t>
  </si>
  <si>
    <t>17th Liaison Meeting</t>
  </si>
  <si>
    <t>There was no meeting for this WG in 2020.</t>
  </si>
  <si>
    <t>No Irish participant assigned, as Ireland does not currently carry out a DCF beam trawl survey</t>
  </si>
  <si>
    <t>IRL kept a watching brief on TORs and contributed data as required,  but did not participate in the meeting, as Ireland has no deep water fisheries</t>
  </si>
  <si>
    <t>This meeting was cancelled in 2020</t>
  </si>
  <si>
    <t>Meeting postponed due to Covid - 19, no new dates fixed as of yet.</t>
  </si>
  <si>
    <t>One - off meeting which took place in 2019</t>
  </si>
  <si>
    <t>This meeting was held in 2019 and Ireland sent 3 participants</t>
  </si>
  <si>
    <t>This meeting was held in 2019 and Ireland sent 1 participant</t>
  </si>
  <si>
    <t>This meeting was held in 2019 and Ireland sent 2 participants</t>
  </si>
  <si>
    <t>Additional Meeting Attended in 2020</t>
  </si>
  <si>
    <t>WGACEGG</t>
  </si>
  <si>
    <t>Working Group on Acoustic and Egg Surveys for small Pelagic Fish in NE Atlantic</t>
  </si>
  <si>
    <t>WKTAF</t>
  </si>
  <si>
    <t>Workshop on Training for the Transparent Assessment Framework</t>
  </si>
  <si>
    <t>WGAcousticGOV</t>
  </si>
  <si>
    <t>Working Group on Acoustic Trawl Data Portal Governance</t>
  </si>
  <si>
    <t>WKMSEMAC</t>
  </si>
  <si>
    <t>Workshop on Management Strategy Evaluation of Mackerel</t>
  </si>
  <si>
    <t>EWG 20-11</t>
  </si>
  <si>
    <t>Balance/Capacity</t>
  </si>
  <si>
    <t>STECF</t>
  </si>
  <si>
    <t>No Irish participation was possible due to other work pressures</t>
  </si>
  <si>
    <t>Six sites have been fished here for last five years for logistical reasons, planned no. is an error in WP</t>
  </si>
  <si>
    <t>Three locations fished in 2020, due to changes in the ESB management of the T&amp;T fishery</t>
  </si>
  <si>
    <t>21,229 kg  of eel captured, trap and transport target was met as per National Eel management Plan.</t>
  </si>
  <si>
    <t>46,957 kg  of eel captured, trap and transport target was met as per National Eel management Plan.</t>
  </si>
  <si>
    <t>1,082 kg of eel captured, trap and transport target was met as per National Eel management Plan.  Area: Atlantic - should be IE_SouW</t>
  </si>
  <si>
    <t>Less sampling achieved in this area due to the Covid19 global pandemic.</t>
  </si>
  <si>
    <t>Lower than expected achievement due to the Covid - 19 Global pandemic.</t>
  </si>
  <si>
    <t>No PSUs achieved in 2020 due to the Covid - 19 global pandemic.</t>
  </si>
  <si>
    <t>No sampling achieved due to Covid - 19 restrictions at sampling facility</t>
  </si>
  <si>
    <t>Less PSU achieved than expected due to the Covid - 19 global pandemic.</t>
  </si>
  <si>
    <t>March/April 2020</t>
  </si>
  <si>
    <t>All data submitted to WGCSE (14 - 16/04/2020) ahead of WG deadline.</t>
  </si>
  <si>
    <t>April 2020</t>
  </si>
  <si>
    <t>Shellfish data not submitted to ICES, data submitted to DAFM as requested</t>
  </si>
  <si>
    <t>March 2020</t>
  </si>
  <si>
    <t>All data submitted to WGBIE (27/03/2020) and to WGCSE (9 - 17/04/2020) to data call deadlines.</t>
  </si>
  <si>
    <t>All data submitted to WGBIE  and to WGCSE  to data call deadlines.</t>
  </si>
  <si>
    <t>Submitted to HAWG in time to meet data call deadline 03/03/2020</t>
  </si>
  <si>
    <t>Submitted to WGWIDE in time to meet data call deadline 03/03/2020</t>
  </si>
  <si>
    <t>July 2020</t>
  </si>
  <si>
    <t>August - November 2020.</t>
  </si>
  <si>
    <t>WESPAS end 20th July 2020. 
CSHAS end 24th October 2020.</t>
  </si>
  <si>
    <t>September 2020</t>
  </si>
  <si>
    <t>UWTV Surveys from June - August 2020</t>
  </si>
  <si>
    <t>Data submitted for WGNAS data call deadline April 2020</t>
  </si>
  <si>
    <t>Data Call Deadline Met</t>
  </si>
  <si>
    <t>June 2020</t>
  </si>
  <si>
    <t>February 2020</t>
  </si>
  <si>
    <t>Elasmobranch data submitted on time for the WGEF data call deadline (15/05/2020)</t>
  </si>
  <si>
    <t>May 2020</t>
  </si>
  <si>
    <t>All data submitted by WGBYC Data call deadline 7th of February 2020</t>
  </si>
  <si>
    <t>Next MEGS Survey is planned for 2022</t>
  </si>
  <si>
    <t xml:space="preserve">All eel data submitted on time for the WGEEL Data call. </t>
  </si>
  <si>
    <t>Fist draft available in February, second draft in March and final 2020 logbook data  available early May 2020</t>
  </si>
  <si>
    <t>February 2021</t>
  </si>
  <si>
    <t>November 2020</t>
  </si>
  <si>
    <t>Irish Marine Recreational Angling Programme</t>
  </si>
  <si>
    <t xml:space="preserve">One off </t>
  </si>
  <si>
    <t xml:space="preserve">Pilot study survey planning was originally to commence in late 2018 but was postponed to 2019 due to unforeseen delays in staff recruitment. Characterisation and survey planning commenced in October 2019 for early 2020 survey roll-out. High C &amp; R levels based on limited historical survey data. </t>
  </si>
  <si>
    <t xml:space="preserve">Pilot study survey planning was originally to commence in late 2018 but was postponed to 2019 due to unforeseen delays in staff recruitment. Characterisation and survey planning commenced in October 2019 for early 2020 survey roll-out. </t>
  </si>
  <si>
    <t>Pilot study surveys commenced but were postponed in March 2020 due to the Covid19 pandemic. Data collection recommenced in July 2020 until the end of the year, in compliance with restrictions. CPUE data has been collected but insufficient data are available to provide pilot based estimates of annual catch. Data collection will continue into Q3 2021 to collect MRF data over a calendar year (July 20 - Aug 21).</t>
  </si>
  <si>
    <t>Pilot Study (ABFT Data Collection)</t>
  </si>
  <si>
    <t xml:space="preserve">Atlantic Bluefin Tuna (ABFT) Scientific Data Collection Pilot Study commenced in 2019 and continued in 2020. Limited number of authorised charter vessels permitted to catch, tag and release ABFT by angling. </t>
  </si>
  <si>
    <t>Pilot study survey planning was originally to commence in late 2018 but was postponed to 2019 due to unforeseen delays in staff recruitment. Characterisation and survey planning commenced in October 2019 for early 2020 survey roll-out. High C &amp; R levels based on limited historical survey data. However, Eel is not a focal species in this pilot study as it is prohibited under Irish law (bye law 319, 2015) to take/fish or attempt to fish for eel in any district in Ireland</t>
  </si>
  <si>
    <t>All surveys relating to the  pilot study were postponed in March 2020 due to the onset of the Covid19 pandemic. Data collection recommenced In July 2020 until the end of the year, in compliance with travel restrictions. CPUE data have been collected but as of yet, quantities are not sufficient to make a robust estimation of annual catch. Data collection will continue into Q3 2021 in oder to collect MRF data over a calendar year.</t>
  </si>
  <si>
    <t xml:space="preserve">Pilot study surveys commenced but were postponed in March 2020 due to the Covid19 pandemic. Data collection recommenced in July 2020 until the end of the year, in compliance with restrictions. CPUE data has been collected but insufficient data are available to provide pilot based estimates of annual catch. Data collection will continue into Q3 2021 to collect MRF data over a calendar year (July 20 - Aug 21).  However, Eel is not a focal species in this pilot study as it is prohibited under Irish law (bye law 319, 2015) to take/fish or attempt to fish for eel in any district in Ireland. </t>
  </si>
  <si>
    <t>Technical Expert Group on Eel, with representatives from both Irish and Northern Irish agencies (Inland Fisheries Ireland, The Marine Institute,  Agri-Food and Biosciences Institute (AFBI), The Loughs Agency and the ESB (incl NUIG)) coordinate eel research within the island of Ireland but no formal bilateral has been agreed.</t>
  </si>
  <si>
    <t>No sea going programme but sampled ashore</t>
  </si>
  <si>
    <t>No fishery in 2020</t>
  </si>
  <si>
    <t>NA NS&amp;EA BAL R1 Data from mandatory surveys to be publicly available</t>
  </si>
  <si>
    <t xml:space="preserve">Report of the 16th Liaison Meeting </t>
  </si>
  <si>
    <t>All data from mandatory research vessel surveys (Table 10 EU 2016/1251) 
should be made publicly available through an international database</t>
  </si>
  <si>
    <t>MS to start the process of making all surveys in table 10 public available through 
an ICES data base.</t>
  </si>
  <si>
    <t xml:space="preserve">The process is ongoing to put all surveys indices into DATRAS. A list of surveys 
not included in DATRAS will be compiled during the 2020 RCG in order to provide 
help to ICES in prioritizing the completion. The recommendation will also be put 
forward to survey groups
LM also suggests that the information should be put into EMODNET if publicly 
available. The suggestion was received positively by ICES.. </t>
  </si>
  <si>
    <t>Ireland currently uploads all relevant data to both DATRAS and to EMODNET, and will comply will all proposals from the survey coordination groups.</t>
  </si>
  <si>
    <t>RCG NANS&amp;EA 2019 – D1 – Cost-sharing agreement for participation to the International Ecosystem Survey in the Nordic Seas 2020-2021</t>
  </si>
  <si>
    <t>1.1. On Survey data</t>
  </si>
  <si>
    <t>1.2. On Costs-sharing</t>
  </si>
  <si>
    <t>Agree on cost-sharing agreement for participation to the International Ecosystem Survey in the Nordic Seas 2020-2021. The cost-sharing will follow a distribution key based on TAC shares, in line with the Gothenburg-model5 .</t>
  </si>
  <si>
    <t>Denmark, Germany, Ireland, Sweden, The Netherlands, United Kingdom will cost-share the vessel costs of the International Ecosystem Survey in the Nordic Seas in 2020 and 2021. The survey will be carried out by Denmark (carried out by R/V Dana)</t>
  </si>
  <si>
    <t>No comment</t>
  </si>
  <si>
    <t>Ireland continues to support the International Ecosystem Survey in the Nordic Seas through cost - sharing as per agreement and also by providing personnell for the survey.  Unfortunately because of Covid - 19 no international excnahne of staff was possible in 2020.</t>
  </si>
  <si>
    <t>RCG NANS&amp;EA 2019 – D2 – Cost-sharing agreement for participation to the International Blue Whiting survey 2020-2021</t>
  </si>
  <si>
    <t>Agree on cost-sharing agreement for participation to the International Blue Whiting survey 2020-2021. 2020-2021. The cost-sharing will follow a distribution key based on TAC shares, in line with the Gothenburg-model6 .</t>
  </si>
  <si>
    <t>Denmark, France, Germany, Ireland, Spain, The Netherlands, United Kingdom will cost-share the vessel costs of the International Blue Whiting Survey in 2020 and 2021. The survey will be carried out by Ireland (R/V Celtic Explorer), The Netherlands (R/V Tridens ) and Spain (R/V Miguel Oliver).</t>
  </si>
  <si>
    <t>Ireland supports this recommendation and complies with cost sharing and completion of the survey.  However in 2020 due to the Covid - 19 global pandemic, it was not possible to complete the Blue Whiting Survey.</t>
  </si>
  <si>
    <t>RCG NANS&amp;EA 2019 – D3 – Cost-sharing agreement for participation to the International Blue Whiting survey 2020-2021</t>
  </si>
  <si>
    <t>Chapter II.7 of COMMISSION IMPLEMENTING DECISION (EU) 2019/909 allows for setting an alternative threshold for participation to a survey at regional level. Under the same article, the threshold for participation is set at 3%. For the revision of EU-MAP, establishing the threshold at 5% has been proposed by various respondents in the consultation round, following this line and to reduce the administrative burden, this decision adapts the threshold for participation to the International Blue Whiting Survey 2020-2021 to 5%.</t>
  </si>
  <si>
    <t>1 MS previously contributing to the survey costs will be excluded from 2020- 2021 cost-sharing.</t>
  </si>
  <si>
    <t>Ireland supports this recommendation and continues to contribute to cost sharing under the proposed 5% threshold.</t>
  </si>
  <si>
    <t>2.1. On RDB data</t>
  </si>
  <si>
    <t>2. On RDB</t>
  </si>
  <si>
    <t>1. Surveys</t>
  </si>
  <si>
    <t>RCG Baltic 2019-R1 Data check in RDB</t>
  </si>
  <si>
    <t>ICES data centre to compare data for 10 stocks (central herring, eastern Baltic cod, sprat 22-32 – from the Baltic) between IC and RDB. This information needs to be sent to MS contact list before 1. October 2019. MS to look into data difference and explain difference, correct them if mistakes are discovered and re_x0002_uploaded before 1. December 2019.</t>
  </si>
  <si>
    <t>Data Check in the RDB</t>
  </si>
  <si>
    <t>ICES will be in dialog with RCGs to see where the differences are and try to resolve this issue</t>
  </si>
  <si>
    <t>Ireland does not fish stocks in the Baltic</t>
  </si>
  <si>
    <t>Recommendation 2019-R1 : Updating national data to the RDB</t>
  </si>
  <si>
    <t>RCG LDF recommends that MS continue to update historical data as well as most recent data prior to the 2020 RCG LDF data call.</t>
  </si>
  <si>
    <t>MS to update their data and promote set up of routine procedures to provide data to the RDB.</t>
  </si>
  <si>
    <t>All relevant data uploaded for the Data Call.</t>
  </si>
  <si>
    <t>2.3. On Funding issues</t>
  </si>
  <si>
    <t>NA NS&amp;EA BAL 2019 – D5 – Central resources to support work in the RCGs - a need for robust long term funding of the RDBES development</t>
  </si>
  <si>
    <t>a) NCs to decide if their MS will finance the technical development, project management and dedicated workshops of the RDBES at an annual cost of €75,000 between 2020 and 2023; b) NCs to decide on which model to use for costsharing, flat rate or pro rata of EMFF DCF funding allocation as outlined in table XX and further elaborated in section YY;</t>
  </si>
  <si>
    <t>RDBES development will be completed and it will be available to support the RCGs and ICES stock assessment expert groups according to the development road-map</t>
  </si>
  <si>
    <t>RCG Baltic 2019 – D6 – Central resources to support work in the RCGs - a need for robust long term funding</t>
  </si>
  <si>
    <t>a) NCs to decide if they will finance the central resources b) NCs to decide on which model to use for cost sharing, either to use the models presented in 5.5.1 or another model. c) NC to decide on starting year, if 2020, include in WP 2020-2021.</t>
  </si>
  <si>
    <t>The central resources will support regional management of fishery dependent data necessary for regional workplans and regional sampling plans. They will further contribute to make end-users aware of ongoing work in the RCGs and support overall outreach. A secretariat will ease the burden for chairs and participants in the RCGs and assure consistency in outputs over time when chairs are changing</t>
  </si>
  <si>
    <t>3. Internal matters</t>
  </si>
  <si>
    <t>3.1. On Fisheries overviews and data quality</t>
  </si>
  <si>
    <t>NA NS&amp;EA BS D1 and RCG Baltic D2 : Annual fisheries overview – approve content</t>
  </si>
  <si>
    <t>Approve routine use of 001_annual_fisheries_overview. Suggestions made during the RCGs in June 2019 will be included in the next version of this document. NCs to approve the idea, concept and content of the annual fisheries overview document and wether this is a document that will be beneficial to the work of RCG and the assessment working groups.</t>
  </si>
  <si>
    <t>The approval would finalize the first document of the ISSG and establish it as a standard document which wil be produced before the RCGs (and preferably before the assessment working groups).</t>
  </si>
  <si>
    <t>Support for the work done and continuation of the development but reflexion to be engaged internally to name the product differently in order to avoid confusion with already established ICES fisheries overviews.</t>
  </si>
  <si>
    <t>NA NS&amp;EA BS D2 Annual fisheries overview – to be public available</t>
  </si>
  <si>
    <t>Outcome of ISSG ‘Facilitate the production of regional overviews of fisheries and sampling’</t>
  </si>
  <si>
    <t>The report of the latest fisheries overview (one year back) would be made public after the RCGs</t>
  </si>
  <si>
    <t>3.3. On secretariat funding</t>
  </si>
  <si>
    <t>RCG NANS&amp;EA and RCG Baltic 2019 – D6 – Central resources to support work in the RCGs - a need for robust long term funding</t>
  </si>
  <si>
    <t xml:space="preserve">NCs to approve wether the overviews can be made public as a stand-alone published document after RCG use The document will be reviewed before publication. Decide on who to review and approve (RCGs, SC-RDB, other ?).  </t>
  </si>
  <si>
    <t xml:space="preserve">Outcome of FishPi2 WP1 on governance of RCGs.  a) NCs to decide if their MS will finance the central resources 
b) NCs to decide on which model to use for cost sharing, either to use the 
models presented in 5.5.1 or another model. 
c) NC to decide on starting year, if 2020, include in WP 2020-2021. </t>
  </si>
  <si>
    <t>The central resources will support regional management of fishery dependent data necessary for regional workplans and regional sampling plans. They will further contribute to make end-users aware of ongoing work in the RCGs and support overall outreach. A secretariat will ease the burden for chairs and participants in the RCGs and assure consistency in outputs over time when chairs are changing.</t>
  </si>
  <si>
    <t>3.4. On rules of procedure</t>
  </si>
  <si>
    <t>RCG NA NS&amp;EA 2019 – D4 – Establish the current RCG NS&amp;EA RoP as the RoP for the merged RCG NA and RCG NS&amp;EA group.</t>
  </si>
  <si>
    <t>Accept the RCG NS&amp;EA RoPs as the RoP for the merged RCG NA and RCG NS&amp;EA group. The area of competence of the RCG is updated to reflect the renewed area</t>
  </si>
  <si>
    <t>The RoP of the RCG NA are no longer applicable to this group. The RoP of RCG NS&amp;EA are directly applicable to this group.</t>
  </si>
  <si>
    <t>3.5. On Inter-sessional sub-groups</t>
  </si>
  <si>
    <t>Recommendation 2019-R3 : RCG LDF participation to intersessional RCG subgroup on fisheries and sampling overviews</t>
  </si>
  <si>
    <t>RCG LDF to seek contact with the intersessional RCG subgroup on fisheries and sampling overviews as organised by RCG Baltic and RCG NANSEA ensure a direct link between this subgroup and the RCG LDF.</t>
  </si>
  <si>
    <t>Contact sub groupchair (Nuno Prista) to discuss and conclude on the participation of a RCG LDF representative. It is anticipated that the current Polish participant to the subgroup can extend its task to include the RCG LDF representation.</t>
  </si>
  <si>
    <t>The pan-regional status of the related ISSG means that participants from all RCGs having their data in the RDB should contribute to the ISSG.</t>
  </si>
  <si>
    <t>RCG Baltic and RCG NA NSEA 2019: D9 - Decision to be taken on ISSG 2019- 2020</t>
  </si>
  <si>
    <t>Outcome of all ISSG work presented in the different TORS in the report.  NC to agree on the list of ISSG that are suggested for 2019-2020.</t>
  </si>
  <si>
    <t>Work in ISSG needs experts and manpower (1 week of work / ISSG and person). The ISSG work force the MS to swich from working with a national focus to work with a more regional focus which is in line with idea of EU-MAP.</t>
  </si>
  <si>
    <t>3.7. On statistical network and training</t>
  </si>
  <si>
    <t>NA NS&amp;EA BAL D4: ‘Back to back meeting’ RCG Baltic and RCG NA NS&amp;EA</t>
  </si>
  <si>
    <t>RCG Baltic suggest to test that the RCG Baltic technical meeting in June 2020 will be held at the same time as RCG NA NS&amp;EA with a joint venue with shared plenaries on pan regional issues. Since almost all intersessional work is panregional, outcome from fishPi2 to be included in new suggested pan regional ISSG, and that all MS in the Baltic also are participating in the RCG NA &amp;NSEA, the joint meeting will save valuable time and money for all experts and seems to be an appropriate way to move forward.</t>
  </si>
  <si>
    <t>A joint meeting with RCG NA NS&amp;EA and RCG Baltic will increase the size of the group (In total 45-55 participants), having implications on venue. The venue needs to fit a large group of people, preferably easy to access for most MS.</t>
  </si>
  <si>
    <t>4. Others</t>
  </si>
  <si>
    <t>No Comment</t>
  </si>
  <si>
    <t>Ireland does not have purse seine fisheries for large pelagics.</t>
  </si>
  <si>
    <t>4.4. On cost-sharing for index rivers</t>
  </si>
  <si>
    <t>1) NCs to agree that MSs should start to define their Index river selection procedures 2) NC to agree on if cost sharing should be applied between countries having few rivers and countries having many rivers in Baltic. If yes, discuss and suggest on a plan for how to proceed.</t>
  </si>
  <si>
    <t>RCG Baltic 2019 – D7 Index rivers and potential cost sharing</t>
  </si>
  <si>
    <t>Enhances the integration of diadromous fish work in the data collection and consequently improves the data quality and potentially fits the data collection better to the needs of end-users (ICES EWGs).</t>
  </si>
  <si>
    <t>5. PGECON</t>
  </si>
  <si>
    <t>ToR 1 – SECFISH Project Results</t>
  </si>
  <si>
    <t>PGECON recommends accepting the conclusions from the SECFISH project where appropriate. It was also agreed to share the deliverables publicly on the DCF website.</t>
  </si>
  <si>
    <t>It was agreed that each MS should try to follow the suggested procedure. MS experience with the handbook can be presented at PGECON 2020. A Quality Assurance Framework (QAF) subgroup workshop should take place to define the process of quality assessment and assurance and revise the guidelines of the methodological report (with reference to the Handbook). Then as outcome, PGECON could provide recommendations and guidelines to AR evaluation EWG how to improve quality evaluation of DCF data and to complement the currently existing quality evaluation procedures</t>
  </si>
  <si>
    <t xml:space="preserve">1.2 Work Package 2: Harmonization of methodologies for sampling design and estimation methods for fleet and aquaculture economic data collection. </t>
  </si>
  <si>
    <t xml:space="preserve">1.4 Work Package 4: Methodologies for estimation of intangible assets in EU fisheries. </t>
  </si>
  <si>
    <t>It was agreed that the work from this work package should be incorporated into the planned PGECON workshop on PIM method that is planned for October 2019.</t>
  </si>
  <si>
    <t xml:space="preserve">1.5 Work Package 5: Origin and sources of raw material in the EU seafood processing industry. 
</t>
  </si>
  <si>
    <t>PGECON recommends that the collection of raw material should remain optional and should be carried out as planned in the national work plan. If collected, the raw material data can be included in the national chapter of Economic Report on the EU processing industry.</t>
  </si>
  <si>
    <t>ToR 5. Processing</t>
  </si>
  <si>
    <t>There was a clear indication from the group, supported by the results of WP5 SECFISH, that data collection on raw material should remain voluntary.</t>
  </si>
  <si>
    <t xml:space="preserve">An operational proposal will be developed in the SECFISH project  and NCs will consider the proposal and recommendations coming out of the project  for implementation under EMFAF. </t>
  </si>
  <si>
    <t>Fully supported, any confidentially issues to be addressed as part of RDB/RDBES data policy</t>
  </si>
  <si>
    <t xml:space="preserve">See D6- An operational proposal will be developed in the SECFISH project  and NCs will consider the proposal and recommendations coming out of the project  for implementation under EMFAF. </t>
  </si>
  <si>
    <t xml:space="preserve">ISSG NC drafting new RoPs streamlining both RCGs, NC Ireland closely involved through participation in ISSG NC. </t>
  </si>
  <si>
    <t>To be agreed and resolved by ISSGs/RCG, not MS</t>
  </si>
  <si>
    <t xml:space="preserve">Ireland has committed participation in 12 ISSGs including 4 chaired/co-chaired by Ireland. </t>
  </si>
  <si>
    <t xml:space="preserve">Supported and  fully implemented in 2020 and 2021 </t>
  </si>
  <si>
    <t xml:space="preserve">local fishery for scallops in discreet grounds </t>
  </si>
  <si>
    <t>The vast majority of landings into foreign ports</t>
  </si>
  <si>
    <t>All landings into foreign ports</t>
  </si>
  <si>
    <t xml:space="preserve">ICES agreed to find the software development of the RDBES project on a 2+2 years basis (i.e. funding is reviewed after the first 2 years).  See p5 of the 2019 SCRDB report https://www.ices.dk/sites/pub/Publication%20Reports/Expert%20Group%20Report/EOSG/2020/SCRDB%20Report%202019.pdf </t>
  </si>
  <si>
    <t>Effort data for &lt;10m cannot be estimated for this segment, no logbook data</t>
  </si>
  <si>
    <t>Data Call Deadline Met. Poor Sample Rates.</t>
  </si>
  <si>
    <t>Ireland was chair of PGECON</t>
  </si>
  <si>
    <t>AER</t>
  </si>
  <si>
    <t>Annual Economic Meeting</t>
  </si>
  <si>
    <t>Planning Group on Economic Issues Workshop (Salerno)</t>
  </si>
  <si>
    <t>WGSOCIAL</t>
  </si>
  <si>
    <t>Working Group on Social Indicators</t>
  </si>
  <si>
    <t>Workshop on the 'Handbook' was attended in March 2021</t>
  </si>
  <si>
    <t>Ireland is following PGECON workshop on intangible asset estimations</t>
  </si>
  <si>
    <t>MS has kept raw material on national survey</t>
  </si>
  <si>
    <t>Ireland supports this recommendation</t>
  </si>
  <si>
    <t>Landings of Skates and Rays fell by almost 20% from 954t to 168t in 2020</t>
  </si>
  <si>
    <t>No Clupea harengus landings into Ireland 2020</t>
  </si>
  <si>
    <t>150t landed in 2020.</t>
  </si>
  <si>
    <t>Landings relatively stable at 627t</t>
  </si>
  <si>
    <t>Landings decreased from 788t in 2019 to 595t in 2020</t>
  </si>
  <si>
    <t>Landings increased from 1414t in 2019 to 2271t in 2020.</t>
  </si>
  <si>
    <t>Increase in landings from 95t in 2019 to 114t in 2020.</t>
  </si>
  <si>
    <t>Landings decreased from 39849t in 2019 to 34935t in 2020</t>
  </si>
  <si>
    <t>Decrease in landings from 5866t in 2019 to 4071t in 2020</t>
  </si>
  <si>
    <t>Landings relatively stable with 539t landed in 2020</t>
  </si>
  <si>
    <t>Landings remained relatively stable with 103t landed in 2020.</t>
  </si>
  <si>
    <t>Landings remained relatively stable with 161t landed in 2020.</t>
  </si>
  <si>
    <t>Landings decreased slightly with just 13t landed in 2020.</t>
  </si>
  <si>
    <t>Landings decreased significantly from 28092t landed in 2019 to 17208t landed in 2020</t>
  </si>
  <si>
    <t>Landings increased from 45511t landed in 2019 to 63972t landed in 2020</t>
  </si>
  <si>
    <t>All landings into Foreign Ports</t>
  </si>
  <si>
    <t>Albacore Tuna</t>
  </si>
  <si>
    <t>ICES Areas 7 and 8</t>
  </si>
  <si>
    <t>759t of Thunnus alalunga were landed into Ireland in 2020 and a further 2192t were landed into foreign ports.</t>
  </si>
  <si>
    <t>Ireland was co - chair of this WG in 2020.</t>
  </si>
  <si>
    <t>Ireland was chair of this group.</t>
  </si>
  <si>
    <t>including measurements of Xiphias gladius and Mola mola.</t>
  </si>
  <si>
    <t xml:space="preserve"> 759t of Thunnus alalunga were landed into Ireland in 2020 and a further 2192t were landed into foreign ports.</t>
  </si>
  <si>
    <t xml:space="preserve">Albacore Tuna is a highly mobile fishery and the areas change from year to year depending on environmental conditions. </t>
  </si>
  <si>
    <t xml:space="preserve">Landing increased but outside thresholds for sampling  </t>
  </si>
  <si>
    <t>Landings have been declining since 2017 to just 1688t landed across areas IV, VI and VII in 2020.</t>
  </si>
  <si>
    <t>Maja brachydactyla caught as by-catch were measured by observers on board vessels targetting lobster and brown crab.</t>
  </si>
  <si>
    <t xml:space="preserve">Deselected from sampling but a target was mistakenly included in Table 1C of the NWP.  For consistency the target has been reported in Table IC of the AR, but no sampling was possible as no fishery took place. </t>
  </si>
  <si>
    <t>Deselected from sampling but a target was mistakenly included in Table 1C of the NWP.  For consistency the target has been reported in Table IC of the AR, but no sampling was possible as no fishery took place.</t>
  </si>
  <si>
    <t>Total catch from all pots per string are measured or the catch from the first ten pots is measured.</t>
  </si>
  <si>
    <t>Data are uploaded on an annual basis to the WGBYC bycatch database, hosted by ICES.  Also in 2020 lower that expected PSU's were achieved at sea due to the suspension of the Catch Sampling programme and the inability to send observers to sea on commercial vessels due to the Covid - 19 global pandemic.</t>
  </si>
  <si>
    <t>The survey forms were updated in 2020 and a database project was started and will be delivered in 2021.   Documentation on Socio - economic methods can be found on: http://www.dcmap-ireland.ie/documents/methodologies</t>
  </si>
  <si>
    <t>IRL E 2,IRL SE 4,IRL WSW 5,IRL WSW 6, IRL NW2, IRL N1, IRL NE1</t>
  </si>
  <si>
    <t>Days at sea, fishing days, Kw*fishing days, Gt*fishing days, no. of trips, no. of fishing operations, no. of nets/length, no. of hooks/lines, no. of pots/traps.</t>
  </si>
  <si>
    <t>Value of landings (total and per species), live weight of landings (total and per species), prices by commercial species.</t>
  </si>
  <si>
    <t>P5 Sound methodology</t>
  </si>
  <si>
    <t>Fisheries</t>
  </si>
  <si>
    <t>Aquaculture</t>
  </si>
  <si>
    <t>Processing</t>
  </si>
  <si>
    <t>Just 11t of Pleuronectes platessa were landed in this area in 2020.  Sampling levels were also low due to limited access to local fishermens co - ops, as a result of the Covid - 19 global pandemic.</t>
  </si>
  <si>
    <t>Not relevant for IRL. IRL does not have ITQs</t>
  </si>
  <si>
    <t>Lease/rental payments for quota or other fishing rights</t>
  </si>
  <si>
    <t>Has there been occurrence of bycatch?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</si>
</sst>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 _€_-;\-* #,##0.00\ _€_-;_-* &quot;-&quot;??\ _€_-;_-@_-"/>
    <numFmt numFmtId="165" formatCode="0.0"/>
  </numFmts>
  <fonts count="101"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indexed="8"/>
      <name val="Arial"/>
      <family val="2"/>
    </font>
    <font>
      <sz val="11"/>
      <color indexed="8"/>
      <name val="Calibri"/>
      <family val="2"/>
    </font>
    <font>
      <sz val="10"/>
      <color indexed="9"/>
      <name val="Arial"/>
      <family val="2"/>
    </font>
    <font>
      <sz val="11"/>
      <color indexed="9"/>
      <name val="Calibri"/>
      <family val="2"/>
    </font>
    <font>
      <b/>
      <sz val="10"/>
      <color indexed="63"/>
      <name val="Arial"/>
      <family val="2"/>
    </font>
    <font>
      <b/>
      <sz val="10"/>
      <color indexed="52"/>
      <name val="Arial"/>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color indexed="62"/>
      <name val="Arial"/>
      <family val="2"/>
    </font>
    <font>
      <b/>
      <sz val="11"/>
      <color indexed="62"/>
      <name val="Calibri"/>
      <family val="2"/>
    </font>
    <font>
      <sz val="11"/>
      <color indexed="62"/>
      <name val="Calibri"/>
      <family val="2"/>
    </font>
    <font>
      <b/>
      <sz val="10"/>
      <color indexed="8"/>
      <name val="Arial"/>
      <family val="2"/>
    </font>
    <font>
      <i/>
      <sz val="10"/>
      <color indexed="23"/>
      <name val="Arial"/>
      <family val="2"/>
    </font>
    <font>
      <sz val="11"/>
      <color indexed="2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8"/>
      <color indexed="56"/>
      <name val="Cambria"/>
      <family val="2"/>
    </font>
    <font>
      <sz val="10"/>
      <color indexed="10"/>
      <name val="Arial"/>
      <family val="2"/>
    </font>
    <font>
      <b/>
      <sz val="10"/>
      <name val="Arial"/>
      <family val="2"/>
    </font>
    <font>
      <sz val="10"/>
      <name val="Arial"/>
      <family val="2"/>
    </font>
    <font>
      <b/>
      <sz val="11"/>
      <name val="Arial"/>
      <family val="2"/>
    </font>
    <font>
      <i/>
      <sz val="10"/>
      <color indexed="8"/>
      <name val="Arial"/>
      <family val="2"/>
    </font>
    <font>
      <i/>
      <sz val="10"/>
      <name val="Arial"/>
      <family val="2"/>
    </font>
    <font>
      <sz val="11"/>
      <color theme="1"/>
      <name val="Calibri"/>
      <family val="2"/>
      <scheme val="minor"/>
    </font>
    <font>
      <sz val="10"/>
      <color theme="1"/>
      <name val="Arial"/>
      <family val="2"/>
    </font>
    <font>
      <sz val="8"/>
      <color theme="1"/>
      <name val="Arial"/>
      <family val="2"/>
    </font>
    <font>
      <sz val="10"/>
      <color rgb="FFFF0000"/>
      <name val="Arial"/>
      <family val="2"/>
    </font>
    <font>
      <b/>
      <sz val="10"/>
      <name val="Arial"/>
      <family val="2"/>
      <charset val="161"/>
    </font>
    <font>
      <sz val="9"/>
      <name val="Arial"/>
      <family val="2"/>
      <charset val="161"/>
    </font>
    <font>
      <b/>
      <sz val="8"/>
      <name val="Arial"/>
      <family val="2"/>
    </font>
    <font>
      <b/>
      <sz val="8"/>
      <name val="Arial"/>
      <family val="2"/>
      <charset val="161"/>
    </font>
    <font>
      <b/>
      <sz val="10"/>
      <color theme="1"/>
      <name val="Arial"/>
      <family val="2"/>
    </font>
    <font>
      <b/>
      <sz val="10"/>
      <color rgb="FF000000"/>
      <name val="Arial"/>
      <family val="2"/>
    </font>
    <font>
      <sz val="8"/>
      <color rgb="FF000000"/>
      <name val="Arial"/>
      <family val="2"/>
    </font>
    <font>
      <b/>
      <sz val="12"/>
      <name val="Arial"/>
      <family val="2"/>
    </font>
    <font>
      <sz val="11"/>
      <name val="Calibri"/>
      <family val="2"/>
      <scheme val="minor"/>
    </font>
    <font>
      <b/>
      <sz val="10"/>
      <name val="Arial"/>
      <family val="2"/>
    </font>
    <font>
      <sz val="10"/>
      <name val="Arial"/>
      <family val="2"/>
    </font>
    <font>
      <b/>
      <sz val="10"/>
      <color indexed="8"/>
      <name val="Arial"/>
      <family val="2"/>
    </font>
    <font>
      <b/>
      <sz val="10"/>
      <name val="Arial"/>
      <family val="2"/>
    </font>
    <font>
      <sz val="10"/>
      <name val="Arial"/>
      <family val="2"/>
    </font>
    <font>
      <b/>
      <sz val="10"/>
      <color indexed="8"/>
      <name val="Arial"/>
      <family val="2"/>
    </font>
    <font>
      <strike/>
      <sz val="10"/>
      <name val="Arial"/>
      <family val="2"/>
    </font>
    <font>
      <u/>
      <sz val="10"/>
      <color theme="10"/>
      <name val="Arial"/>
      <family val="2"/>
    </font>
    <font>
      <sz val="8"/>
      <name val="Arial"/>
      <family val="2"/>
    </font>
    <font>
      <sz val="10"/>
      <color theme="0" tint="-0.499984740745262"/>
      <name val="Arial"/>
      <family val="2"/>
    </font>
    <font>
      <b/>
      <sz val="10"/>
      <color rgb="FFFF0000"/>
      <name val="Arial"/>
      <family val="2"/>
    </font>
    <font>
      <u/>
      <sz val="10"/>
      <name val="Arial"/>
      <family val="2"/>
    </font>
    <font>
      <sz val="11"/>
      <color rgb="FFFF0000"/>
      <name val="Calibri"/>
      <family val="2"/>
      <scheme val="minor"/>
    </font>
    <font>
      <sz val="11"/>
      <name val="Calibri"/>
      <family val="2"/>
    </font>
    <font>
      <b/>
      <sz val="11"/>
      <name val="Calibri"/>
      <family val="2"/>
      <scheme val="minor"/>
    </font>
    <font>
      <sz val="11"/>
      <color theme="1"/>
      <name val="Calibri"/>
      <family val="2"/>
    </font>
    <font>
      <b/>
      <sz val="12"/>
      <color rgb="FF222222"/>
      <name val="Arial"/>
      <family val="2"/>
    </font>
    <font>
      <sz val="11"/>
      <color rgb="FF141414"/>
      <name val="Segoe UI"/>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indexed="17"/>
      <name val="Arial"/>
      <family val="2"/>
    </font>
    <font>
      <sz val="10"/>
      <color indexed="60"/>
      <name val="Arial"/>
      <family val="2"/>
    </font>
    <font>
      <sz val="10"/>
      <color indexed="20"/>
      <name val="Arial"/>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b/>
      <sz val="18"/>
      <color theme="3"/>
      <name val="Cambria"/>
      <family val="2"/>
      <scheme val="major"/>
    </font>
    <font>
      <i/>
      <sz val="11"/>
      <name val="Calibri"/>
      <family val="2"/>
      <scheme val="minor"/>
    </font>
    <font>
      <sz val="10"/>
      <color rgb="FF000000"/>
      <name val="Arial"/>
      <family val="2"/>
    </font>
    <font>
      <i/>
      <sz val="10"/>
      <color rgb="FFFF0000"/>
      <name val="Arial"/>
      <family val="2"/>
    </font>
  </fonts>
  <fills count="83">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45"/>
      </patternFill>
    </fill>
    <fill>
      <patternFill patternType="solid">
        <fgColor indexed="27"/>
        <bgColor indexed="42"/>
      </patternFill>
    </fill>
    <fill>
      <patternFill patternType="solid">
        <fgColor indexed="47"/>
        <bgColor indexed="24"/>
      </patternFill>
    </fill>
    <fill>
      <patternFill patternType="solid">
        <fgColor indexed="24"/>
        <bgColor indexed="41"/>
      </patternFill>
    </fill>
    <fill>
      <patternFill patternType="solid">
        <fgColor indexed="26"/>
        <bgColor indexed="9"/>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22"/>
        <bgColor indexed="31"/>
      </patternFill>
    </fill>
    <fill>
      <patternFill patternType="solid">
        <fgColor indexed="43"/>
        <bgColor indexed="26"/>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55"/>
        <bgColor indexed="23"/>
      </patternFill>
    </fill>
    <fill>
      <patternFill patternType="solid">
        <fgColor indexed="54"/>
        <bgColor indexed="19"/>
      </patternFill>
    </fill>
    <fill>
      <patternFill patternType="solid">
        <fgColor theme="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34998626667073579"/>
        <bgColor indexed="41"/>
      </patternFill>
    </fill>
    <fill>
      <patternFill patternType="solid">
        <fgColor theme="0" tint="-0.34998626667073579"/>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4"/>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43"/>
      </patternFill>
    </fill>
    <fill>
      <patternFill patternType="solid">
        <fgColor indexed="51"/>
        <bgColor indexed="34"/>
      </patternFill>
    </fill>
    <fill>
      <patternFill patternType="solid">
        <fgColor indexed="49"/>
      </patternFill>
    </fill>
    <fill>
      <patternFill patternType="solid">
        <fgColor indexed="52"/>
        <bgColor indexed="50"/>
      </patternFill>
    </fill>
    <fill>
      <patternFill patternType="solid">
        <fgColor indexed="62"/>
        <bgColor indexed="56"/>
      </patternFill>
    </fill>
    <fill>
      <patternFill patternType="solid">
        <fgColor indexed="10"/>
      </patternFill>
    </fill>
    <fill>
      <patternFill patternType="solid">
        <fgColor indexed="57"/>
      </patternFill>
    </fill>
    <fill>
      <patternFill patternType="solid">
        <fgColor indexed="54"/>
      </patternFill>
    </fill>
    <fill>
      <patternFill patternType="solid">
        <fgColor indexed="50"/>
      </patternFill>
    </fill>
    <fill>
      <patternFill patternType="solid">
        <fgColor indexed="53"/>
        <bgColor indexed="50"/>
      </patternFill>
    </fill>
    <fill>
      <patternFill patternType="solid">
        <fgColor indexed="55"/>
      </patternFill>
    </fill>
    <fill>
      <patternFill patternType="solid">
        <fgColor theme="0" tint="-0.249977111117893"/>
        <bgColor indexed="64"/>
      </patternFill>
    </fill>
    <fill>
      <patternFill patternType="solid">
        <fgColor rgb="FFA6A6A6"/>
        <bgColor rgb="FF000000"/>
      </patternFill>
    </fill>
  </fills>
  <borders count="122">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right/>
      <top/>
      <bottom style="thick">
        <color indexed="49"/>
      </bottom>
      <diagonal/>
    </border>
    <border>
      <left/>
      <right/>
      <top/>
      <bottom style="medium">
        <color indexed="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top/>
      <bottom/>
      <diagonal/>
    </border>
    <border>
      <left style="medium">
        <color indexed="8"/>
      </left>
      <right/>
      <top style="medium">
        <color indexed="8"/>
      </top>
      <bottom/>
      <diagonal/>
    </border>
    <border>
      <left style="thin">
        <color indexed="64"/>
      </left>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auto="1"/>
      </left>
      <right style="medium">
        <color auto="1"/>
      </right>
      <top style="thin">
        <color auto="1"/>
      </top>
      <bottom style="medium">
        <color auto="1"/>
      </bottom>
      <diagonal/>
    </border>
    <border>
      <left style="thin">
        <color auto="1"/>
      </left>
      <right style="thin">
        <color auto="1"/>
      </right>
      <top/>
      <bottom style="thin">
        <color auto="1"/>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style="thin">
        <color indexed="64"/>
      </right>
      <top style="thin">
        <color indexed="8"/>
      </top>
      <bottom style="thin">
        <color indexed="8"/>
      </bottom>
      <diagonal/>
    </border>
    <border>
      <left style="thin">
        <color indexed="64"/>
      </left>
      <right/>
      <top style="thin">
        <color indexed="8"/>
      </top>
      <bottom style="thin">
        <color indexed="8"/>
      </bottom>
      <diagonal/>
    </border>
    <border>
      <left style="thin">
        <color auto="1"/>
      </left>
      <right/>
      <top style="thin">
        <color auto="1"/>
      </top>
      <bottom/>
      <diagonal/>
    </border>
    <border>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right/>
      <top style="thin">
        <color auto="1"/>
      </top>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right style="thin">
        <color indexed="64"/>
      </right>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ck">
        <color indexed="64"/>
      </bottom>
      <diagonal/>
    </border>
    <border>
      <left style="thin">
        <color auto="1"/>
      </left>
      <right style="thin">
        <color auto="1"/>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medium">
        <color auto="1"/>
      </left>
      <right style="medium">
        <color auto="1"/>
      </right>
      <top style="thin">
        <color indexed="64"/>
      </top>
      <bottom style="thick">
        <color indexed="64"/>
      </bottom>
      <diagonal/>
    </border>
    <border>
      <left style="thin">
        <color indexed="64"/>
      </left>
      <right style="medium">
        <color indexed="64"/>
      </right>
      <top style="medium">
        <color indexed="64"/>
      </top>
      <bottom style="thick">
        <color indexed="64"/>
      </bottom>
      <diagonal/>
    </border>
    <border>
      <left/>
      <right/>
      <top style="thin">
        <color indexed="64"/>
      </top>
      <bottom/>
      <diagonal/>
    </border>
    <border>
      <left style="thin">
        <color auto="1"/>
      </left>
      <right style="thin">
        <color indexed="64"/>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ck">
        <color indexed="62"/>
      </bottom>
      <diagonal/>
    </border>
    <border>
      <left/>
      <right/>
      <top/>
      <bottom style="medium">
        <color indexed="30"/>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8"/>
      </top>
      <bottom/>
      <diagonal/>
    </border>
    <border>
      <left style="thin">
        <color indexed="64"/>
      </left>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s>
  <cellStyleXfs count="966">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5" fillId="7" borderId="0" applyNumberFormat="0" applyBorder="0" applyAlignment="0" applyProtection="0"/>
    <xf numFmtId="0" fontId="15" fillId="9" borderId="0" applyNumberFormat="0" applyBorder="0" applyAlignment="0" applyProtection="0"/>
    <xf numFmtId="0" fontId="15" fillId="8" borderId="0" applyNumberFormat="0" applyBorder="0" applyAlignment="0" applyProtection="0"/>
    <xf numFmtId="0" fontId="15" fillId="6" borderId="0" applyNumberFormat="0" applyBorder="0" applyAlignment="0" applyProtection="0"/>
    <xf numFmtId="0" fontId="15" fillId="7"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5"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5" borderId="0" applyNumberFormat="0" applyBorder="0" applyAlignment="0" applyProtection="0"/>
    <xf numFmtId="0" fontId="15" fillId="14" borderId="0" applyNumberFormat="0" applyBorder="0" applyAlignment="0" applyProtection="0"/>
    <xf numFmtId="0" fontId="15" fillId="10" borderId="0" applyNumberFormat="0" applyBorder="0" applyAlignment="0" applyProtection="0"/>
    <xf numFmtId="0" fontId="15" fillId="7" borderId="0" applyNumberFormat="0" applyBorder="0" applyAlignment="0" applyProtection="0"/>
    <xf numFmtId="0" fontId="16" fillId="16"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7" fillId="18" borderId="0" applyNumberFormat="0" applyBorder="0" applyAlignment="0" applyProtection="0"/>
    <xf numFmtId="0" fontId="17" fillId="11" borderId="0" applyNumberFormat="0" applyBorder="0" applyAlignment="0" applyProtection="0"/>
    <xf numFmtId="0" fontId="17" fillId="15" borderId="0" applyNumberFormat="0" applyBorder="0" applyAlignment="0" applyProtection="0"/>
    <xf numFmtId="0" fontId="17" fillId="14" borderId="0" applyNumberFormat="0" applyBorder="0" applyAlignment="0" applyProtection="0"/>
    <xf numFmtId="0" fontId="17" fillId="18" borderId="0" applyNumberFormat="0" applyBorder="0" applyAlignment="0" applyProtection="0"/>
    <xf numFmtId="0" fontId="17" fillId="7" borderId="0" applyNumberFormat="0" applyBorder="0" applyAlignment="0" applyProtection="0"/>
    <xf numFmtId="0" fontId="18" fillId="14" borderId="1" applyNumberFormat="0" applyAlignment="0" applyProtection="0"/>
    <xf numFmtId="0" fontId="19" fillId="14" borderId="2" applyNumberFormat="0" applyAlignment="0" applyProtection="0"/>
    <xf numFmtId="0" fontId="20" fillId="4" borderId="0" applyNumberFormat="0" applyBorder="0" applyAlignment="0" applyProtection="0"/>
    <xf numFmtId="0" fontId="21" fillId="8" borderId="2" applyNumberFormat="0" applyAlignment="0" applyProtection="0"/>
    <xf numFmtId="0" fontId="22" fillId="23" borderId="3" applyNumberFormat="0" applyAlignment="0" applyProtection="0"/>
    <xf numFmtId="0" fontId="23" fillId="0" borderId="4" applyNumberFormat="0" applyFill="0" applyAlignment="0" applyProtection="0"/>
    <xf numFmtId="0" fontId="24" fillId="7" borderId="2" applyNumberFormat="0" applyAlignment="0" applyProtection="0"/>
    <xf numFmtId="0" fontId="25" fillId="0" borderId="0" applyNumberFormat="0" applyFill="0" applyBorder="0" applyAlignment="0" applyProtection="0"/>
    <xf numFmtId="0" fontId="17" fillId="18"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4" borderId="0" applyNumberFormat="0" applyBorder="0" applyAlignment="0" applyProtection="0"/>
    <xf numFmtId="0" fontId="17" fillId="18" borderId="0" applyNumberFormat="0" applyBorder="0" applyAlignment="0" applyProtection="0"/>
    <xf numFmtId="0" fontId="17" fillId="22" borderId="0" applyNumberFormat="0" applyBorder="0" applyAlignment="0" applyProtection="0"/>
    <xf numFmtId="0" fontId="26" fillId="7" borderId="2" applyNumberFormat="0" applyAlignment="0" applyProtection="0"/>
    <xf numFmtId="0" fontId="27" fillId="0" borderId="5" applyNumberFormat="0" applyFill="0" applyAlignment="0" applyProtection="0"/>
    <xf numFmtId="0" fontId="28" fillId="0" borderId="0" applyNumberFormat="0" applyFill="0" applyBorder="0" applyAlignment="0" applyProtection="0"/>
    <xf numFmtId="0" fontId="29" fillId="3" borderId="0" applyNumberFormat="0" applyBorder="0" applyAlignment="0" applyProtection="0"/>
    <xf numFmtId="0" fontId="43" fillId="0" borderId="0"/>
    <xf numFmtId="0" fontId="39" fillId="0" borderId="0"/>
    <xf numFmtId="0" fontId="43" fillId="0" borderId="0"/>
    <xf numFmtId="0" fontId="39" fillId="0" borderId="0"/>
    <xf numFmtId="0" fontId="39" fillId="0" borderId="0"/>
    <xf numFmtId="0" fontId="39" fillId="0" borderId="0"/>
    <xf numFmtId="0" fontId="39" fillId="0" borderId="0"/>
    <xf numFmtId="0" fontId="39" fillId="0" borderId="0"/>
    <xf numFmtId="0" fontId="43" fillId="0" borderId="0"/>
    <xf numFmtId="0" fontId="39" fillId="9" borderId="7" applyNumberFormat="0" applyAlignment="0" applyProtection="0"/>
    <xf numFmtId="0" fontId="39" fillId="9" borderId="7" applyNumberFormat="0" applyAlignment="0" applyProtection="0"/>
    <xf numFmtId="0" fontId="30" fillId="8" borderId="1" applyNumberFormat="0" applyAlignment="0" applyProtection="0"/>
    <xf numFmtId="0" fontId="43" fillId="0" borderId="0"/>
    <xf numFmtId="0" fontId="43" fillId="0" borderId="0"/>
    <xf numFmtId="0" fontId="31"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4" fillId="0" borderId="8" applyNumberFormat="0" applyFill="0" applyAlignment="0" applyProtection="0"/>
    <xf numFmtId="0" fontId="35" fillId="0" borderId="6" applyNumberFormat="0" applyFill="0" applyAlignment="0" applyProtection="0"/>
    <xf numFmtId="0" fontId="25" fillId="0" borderId="9" applyNumberFormat="0" applyFill="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13" fillId="0" borderId="0"/>
    <xf numFmtId="0" fontId="13" fillId="0" borderId="0"/>
    <xf numFmtId="0" fontId="13" fillId="0" borderId="0"/>
    <xf numFmtId="0" fontId="13" fillId="0" borderId="0"/>
    <xf numFmtId="0" fontId="39" fillId="0" borderId="0"/>
    <xf numFmtId="9" fontId="39" fillId="0" borderId="0" applyFont="0" applyFill="0" applyBorder="0" applyAlignment="0" applyProtection="0"/>
    <xf numFmtId="0" fontId="63" fillId="0" borderId="0" applyNumberFormat="0" applyFill="0" applyBorder="0" applyAlignment="0" applyProtection="0"/>
    <xf numFmtId="0" fontId="39" fillId="0" borderId="0"/>
    <xf numFmtId="9" fontId="39" fillId="0" borderId="0" applyFont="0" applyFill="0" applyBorder="0" applyAlignment="0" applyProtection="0"/>
    <xf numFmtId="0" fontId="80" fillId="33" borderId="97" applyNumberFormat="0" applyAlignment="0" applyProtection="0"/>
    <xf numFmtId="0" fontId="81" fillId="34" borderId="98" applyNumberFormat="0" applyAlignment="0" applyProtection="0"/>
    <xf numFmtId="0" fontId="82" fillId="34" borderId="97" applyNumberFormat="0" applyAlignment="0" applyProtection="0"/>
    <xf numFmtId="0" fontId="68" fillId="0" borderId="0" applyNumberFormat="0" applyFill="0" applyBorder="0" applyAlignment="0" applyProtection="0"/>
    <xf numFmtId="0" fontId="85" fillId="0" borderId="0" applyNumberFormat="0" applyFill="0" applyBorder="0" applyAlignment="0" applyProtection="0"/>
    <xf numFmtId="0" fontId="10" fillId="38" borderId="0" applyNumberFormat="0" applyBorder="0" applyAlignment="0" applyProtection="0"/>
    <xf numFmtId="0" fontId="10" fillId="39" borderId="0" applyNumberFormat="0" applyBorder="0" applyAlignment="0" applyProtection="0"/>
    <xf numFmtId="0" fontId="87" fillId="40" borderId="0" applyNumberFormat="0" applyBorder="0" applyAlignment="0" applyProtection="0"/>
    <xf numFmtId="0" fontId="10" fillId="42" borderId="0" applyNumberFormat="0" applyBorder="0" applyAlignment="0" applyProtection="0"/>
    <xf numFmtId="0" fontId="10" fillId="43" borderId="0" applyNumberFormat="0" applyBorder="0" applyAlignment="0" applyProtection="0"/>
    <xf numFmtId="0" fontId="87" fillId="44" borderId="0" applyNumberFormat="0" applyBorder="0" applyAlignment="0" applyProtection="0"/>
    <xf numFmtId="0" fontId="10" fillId="46" borderId="0" applyNumberFormat="0" applyBorder="0" applyAlignment="0" applyProtection="0"/>
    <xf numFmtId="0" fontId="10" fillId="47" borderId="0" applyNumberFormat="0" applyBorder="0" applyAlignment="0" applyProtection="0"/>
    <xf numFmtId="0" fontId="87" fillId="48" borderId="0" applyNumberFormat="0" applyBorder="0" applyAlignment="0" applyProtection="0"/>
    <xf numFmtId="0" fontId="10" fillId="50" borderId="0" applyNumberFormat="0" applyBorder="0" applyAlignment="0" applyProtection="0"/>
    <xf numFmtId="0" fontId="10" fillId="51" borderId="0" applyNumberFormat="0" applyBorder="0" applyAlignment="0" applyProtection="0"/>
    <xf numFmtId="0" fontId="87"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87" fillId="56" borderId="0" applyNumberFormat="0" applyBorder="0" applyAlignment="0" applyProtection="0"/>
    <xf numFmtId="0" fontId="10" fillId="58" borderId="0" applyNumberFormat="0" applyBorder="0" applyAlignment="0" applyProtection="0"/>
    <xf numFmtId="0" fontId="10" fillId="59" borderId="0" applyNumberFormat="0" applyBorder="0" applyAlignment="0" applyProtection="0"/>
    <xf numFmtId="0" fontId="87" fillId="60" borderId="0" applyNumberFormat="0" applyBorder="0" applyAlignment="0" applyProtection="0"/>
    <xf numFmtId="0" fontId="15" fillId="61" borderId="0" applyNumberFormat="0" applyBorder="0" applyAlignment="0" applyProtection="0"/>
    <xf numFmtId="0" fontId="10" fillId="38" borderId="0" applyNumberFormat="0" applyBorder="0" applyAlignment="0" applyProtection="0"/>
    <xf numFmtId="0" fontId="10" fillId="38" borderId="0" applyNumberFormat="0" applyBorder="0" applyAlignment="0" applyProtection="0"/>
    <xf numFmtId="0" fontId="10" fillId="38" borderId="0" applyNumberFormat="0" applyBorder="0" applyAlignment="0" applyProtection="0"/>
    <xf numFmtId="0" fontId="10" fillId="38" borderId="0" applyNumberFormat="0" applyBorder="0" applyAlignment="0" applyProtection="0"/>
    <xf numFmtId="0" fontId="15" fillId="63" borderId="0" applyNumberFormat="0" applyBorder="0" applyAlignment="0" applyProtection="0"/>
    <xf numFmtId="0" fontId="10" fillId="42" borderId="0" applyNumberFormat="0" applyBorder="0" applyAlignment="0" applyProtection="0"/>
    <xf numFmtId="0" fontId="10" fillId="42" borderId="0" applyNumberFormat="0" applyBorder="0" applyAlignment="0" applyProtection="0"/>
    <xf numFmtId="0" fontId="10" fillId="42" borderId="0" applyNumberFormat="0" applyBorder="0" applyAlignment="0" applyProtection="0"/>
    <xf numFmtId="0" fontId="10" fillId="42" borderId="0" applyNumberFormat="0" applyBorder="0" applyAlignment="0" applyProtection="0"/>
    <xf numFmtId="0" fontId="15" fillId="65" borderId="0" applyNumberFormat="0" applyBorder="0" applyAlignment="0" applyProtection="0"/>
    <xf numFmtId="0" fontId="10" fillId="46" borderId="0" applyNumberFormat="0" applyBorder="0" applyAlignment="0" applyProtection="0"/>
    <xf numFmtId="0" fontId="10" fillId="46" borderId="0" applyNumberFormat="0" applyBorder="0" applyAlignment="0" applyProtection="0"/>
    <xf numFmtId="0" fontId="10" fillId="46" borderId="0" applyNumberFormat="0" applyBorder="0" applyAlignment="0" applyProtection="0"/>
    <xf numFmtId="0" fontId="10" fillId="46" borderId="0" applyNumberFormat="0" applyBorder="0" applyAlignment="0" applyProtection="0"/>
    <xf numFmtId="0" fontId="15" fillId="61" borderId="0" applyNumberFormat="0" applyBorder="0" applyAlignment="0" applyProtection="0"/>
    <xf numFmtId="0" fontId="10" fillId="50" borderId="0" applyNumberFormat="0" applyBorder="0" applyAlignment="0" applyProtection="0"/>
    <xf numFmtId="0" fontId="10" fillId="50" borderId="0" applyNumberFormat="0" applyBorder="0" applyAlignment="0" applyProtection="0"/>
    <xf numFmtId="0" fontId="10" fillId="50" borderId="0" applyNumberFormat="0" applyBorder="0" applyAlignment="0" applyProtection="0"/>
    <xf numFmtId="0" fontId="10" fillId="50" borderId="0" applyNumberFormat="0" applyBorder="0" applyAlignment="0" applyProtection="0"/>
    <xf numFmtId="0" fontId="26" fillId="7" borderId="112" applyNumberFormat="0" applyAlignment="0" applyProtection="0"/>
    <xf numFmtId="0" fontId="15" fillId="66" borderId="0" applyNumberFormat="0" applyBorder="0" applyAlignment="0" applyProtection="0"/>
    <xf numFmtId="0" fontId="10" fillId="54" borderId="0" applyNumberFormat="0" applyBorder="0" applyAlignment="0" applyProtection="0"/>
    <xf numFmtId="0" fontId="10" fillId="54" borderId="0" applyNumberFormat="0" applyBorder="0" applyAlignment="0" applyProtection="0"/>
    <xf numFmtId="0" fontId="10" fillId="54" borderId="0" applyNumberFormat="0" applyBorder="0" applyAlignment="0" applyProtection="0"/>
    <xf numFmtId="0" fontId="10" fillId="54" borderId="0" applyNumberFormat="0" applyBorder="0" applyAlignment="0" applyProtection="0"/>
    <xf numFmtId="0" fontId="26" fillId="7" borderId="112" applyNumberFormat="0" applyAlignment="0" applyProtection="0"/>
    <xf numFmtId="0" fontId="15" fillId="63" borderId="0" applyNumberFormat="0" applyBorder="0" applyAlignment="0" applyProtection="0"/>
    <xf numFmtId="0" fontId="10" fillId="58" borderId="0" applyNumberFormat="0" applyBorder="0" applyAlignment="0" applyProtection="0"/>
    <xf numFmtId="0" fontId="10" fillId="58" borderId="0" applyNumberFormat="0" applyBorder="0" applyAlignment="0" applyProtection="0"/>
    <xf numFmtId="0" fontId="10" fillId="58" borderId="0" applyNumberFormat="0" applyBorder="0" applyAlignment="0" applyProtection="0"/>
    <xf numFmtId="0" fontId="10" fillId="58" borderId="0" applyNumberFormat="0" applyBorder="0" applyAlignment="0" applyProtection="0"/>
    <xf numFmtId="0" fontId="26" fillId="7" borderId="112" applyNumberFormat="0" applyAlignment="0" applyProtection="0"/>
    <xf numFmtId="0" fontId="27" fillId="0" borderId="113" applyNumberFormat="0" applyFill="0" applyAlignment="0" applyProtection="0"/>
    <xf numFmtId="0" fontId="27" fillId="0" borderId="113" applyNumberFormat="0" applyFill="0" applyAlignment="0" applyProtection="0"/>
    <xf numFmtId="0" fontId="27" fillId="0" borderId="113" applyNumberFormat="0" applyFill="0" applyAlignment="0" applyProtection="0"/>
    <xf numFmtId="0" fontId="15" fillId="68" borderId="0" applyNumberFormat="0" applyBorder="0" applyAlignment="0" applyProtection="0"/>
    <xf numFmtId="0" fontId="10" fillId="39" borderId="0" applyNumberFormat="0" applyBorder="0" applyAlignment="0" applyProtection="0"/>
    <xf numFmtId="0" fontId="10" fillId="39" borderId="0" applyNumberFormat="0" applyBorder="0" applyAlignment="0" applyProtection="0"/>
    <xf numFmtId="0" fontId="10" fillId="39" borderId="0" applyNumberFormat="0" applyBorder="0" applyAlignment="0" applyProtection="0"/>
    <xf numFmtId="0" fontId="10" fillId="39" borderId="0" applyNumberFormat="0" applyBorder="0" applyAlignment="0" applyProtection="0"/>
    <xf numFmtId="0" fontId="15" fillId="69" borderId="0" applyNumberFormat="0" applyBorder="0" applyAlignment="0" applyProtection="0"/>
    <xf numFmtId="0" fontId="10" fillId="43" borderId="0" applyNumberFormat="0" applyBorder="0" applyAlignment="0" applyProtection="0"/>
    <xf numFmtId="0" fontId="10" fillId="43" borderId="0" applyNumberFormat="0" applyBorder="0" applyAlignment="0" applyProtection="0"/>
    <xf numFmtId="0" fontId="10" fillId="43" borderId="0" applyNumberFormat="0" applyBorder="0" applyAlignment="0" applyProtection="0"/>
    <xf numFmtId="0" fontId="10" fillId="43" borderId="0" applyNumberFormat="0" applyBorder="0" applyAlignment="0" applyProtection="0"/>
    <xf numFmtId="0" fontId="15" fillId="70" borderId="0" applyNumberFormat="0" applyBorder="0" applyAlignment="0" applyProtection="0"/>
    <xf numFmtId="0" fontId="10" fillId="47" borderId="0" applyNumberFormat="0" applyBorder="0" applyAlignment="0" applyProtection="0"/>
    <xf numFmtId="0" fontId="10" fillId="47" borderId="0" applyNumberFormat="0" applyBorder="0" applyAlignment="0" applyProtection="0"/>
    <xf numFmtId="0" fontId="10" fillId="47" borderId="0" applyNumberFormat="0" applyBorder="0" applyAlignment="0" applyProtection="0"/>
    <xf numFmtId="0" fontId="10" fillId="47" borderId="0" applyNumberFormat="0" applyBorder="0" applyAlignment="0" applyProtection="0"/>
    <xf numFmtId="0" fontId="15" fillId="68" borderId="0" applyNumberFormat="0" applyBorder="0" applyAlignment="0" applyProtection="0"/>
    <xf numFmtId="0" fontId="10" fillId="51" borderId="0" applyNumberFormat="0" applyBorder="0" applyAlignment="0" applyProtection="0"/>
    <xf numFmtId="0" fontId="10" fillId="51" borderId="0" applyNumberFormat="0" applyBorder="0" applyAlignment="0" applyProtection="0"/>
    <xf numFmtId="0" fontId="10" fillId="51" borderId="0" applyNumberFormat="0" applyBorder="0" applyAlignment="0" applyProtection="0"/>
    <xf numFmtId="0" fontId="10" fillId="51" borderId="0" applyNumberFormat="0" applyBorder="0" applyAlignment="0" applyProtection="0"/>
    <xf numFmtId="0" fontId="15" fillId="67" borderId="0" applyNumberFormat="0" applyBorder="0" applyAlignment="0" applyProtection="0"/>
    <xf numFmtId="0" fontId="10" fillId="55" borderId="0" applyNumberFormat="0" applyBorder="0" applyAlignment="0" applyProtection="0"/>
    <xf numFmtId="0" fontId="10" fillId="55" borderId="0" applyNumberFormat="0" applyBorder="0" applyAlignment="0" applyProtection="0"/>
    <xf numFmtId="0" fontId="10" fillId="55" borderId="0" applyNumberFormat="0" applyBorder="0" applyAlignment="0" applyProtection="0"/>
    <xf numFmtId="0" fontId="10" fillId="55" borderId="0" applyNumberFormat="0" applyBorder="0" applyAlignment="0" applyProtection="0"/>
    <xf numFmtId="0" fontId="15" fillId="63" borderId="0" applyNumberFormat="0" applyBorder="0" applyAlignment="0" applyProtection="0"/>
    <xf numFmtId="0" fontId="10" fillId="59" borderId="0" applyNumberFormat="0" applyBorder="0" applyAlignment="0" applyProtection="0"/>
    <xf numFmtId="0" fontId="10" fillId="59" borderId="0" applyNumberFormat="0" applyBorder="0" applyAlignment="0" applyProtection="0"/>
    <xf numFmtId="0" fontId="10" fillId="59" borderId="0" applyNumberFormat="0" applyBorder="0" applyAlignment="0" applyProtection="0"/>
    <xf numFmtId="0" fontId="10" fillId="59" borderId="0" applyNumberFormat="0" applyBorder="0" applyAlignment="0" applyProtection="0"/>
    <xf numFmtId="0" fontId="14" fillId="13" borderId="0" applyNumberFormat="0" applyBorder="0" applyAlignment="0" applyProtection="0"/>
    <xf numFmtId="0" fontId="14" fillId="71" borderId="0" applyNumberFormat="0" applyBorder="0" applyAlignment="0" applyProtection="0"/>
    <xf numFmtId="0" fontId="14" fillId="71" borderId="0" applyNumberFormat="0" applyBorder="0" applyAlignment="0" applyProtection="0"/>
    <xf numFmtId="0" fontId="14" fillId="13" borderId="0" applyNumberFormat="0" applyBorder="0" applyAlignment="0" applyProtection="0"/>
    <xf numFmtId="0" fontId="26" fillId="63" borderId="112" applyNumberFormat="0" applyAlignment="0" applyProtection="0"/>
    <xf numFmtId="0" fontId="17" fillId="72" borderId="0" applyNumberFormat="0" applyBorder="0" applyAlignment="0" applyProtection="0"/>
    <xf numFmtId="0" fontId="17" fillId="69" borderId="0" applyNumberFormat="0" applyBorder="0" applyAlignment="0" applyProtection="0"/>
    <xf numFmtId="0" fontId="17" fillId="70" borderId="0" applyNumberFormat="0" applyBorder="0" applyAlignment="0" applyProtection="0"/>
    <xf numFmtId="0" fontId="17" fillId="68" borderId="0" applyNumberFormat="0" applyBorder="0" applyAlignment="0" applyProtection="0"/>
    <xf numFmtId="0" fontId="17" fillId="72" borderId="0" applyNumberFormat="0" applyBorder="0" applyAlignment="0" applyProtection="0"/>
    <xf numFmtId="0" fontId="17" fillId="63" borderId="0" applyNumberFormat="0" applyBorder="0" applyAlignment="0" applyProtection="0"/>
    <xf numFmtId="0" fontId="16" fillId="19"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19" borderId="0" applyNumberFormat="0" applyBorder="0" applyAlignment="0" applyProtection="0"/>
    <xf numFmtId="0" fontId="17" fillId="72" borderId="0" applyNumberFormat="0" applyBorder="0" applyAlignment="0" applyProtection="0"/>
    <xf numFmtId="0" fontId="87" fillId="37" borderId="0" applyNumberFormat="0" applyBorder="0" applyAlignment="0" applyProtection="0"/>
    <xf numFmtId="0" fontId="17" fillId="75" borderId="0" applyNumberFormat="0" applyBorder="0" applyAlignment="0" applyProtection="0"/>
    <xf numFmtId="0" fontId="87" fillId="41" borderId="0" applyNumberFormat="0" applyBorder="0" applyAlignment="0" applyProtection="0"/>
    <xf numFmtId="0" fontId="17" fillId="76" borderId="0" applyNumberFormat="0" applyBorder="0" applyAlignment="0" applyProtection="0"/>
    <xf numFmtId="0" fontId="87" fillId="45" borderId="0" applyNumberFormat="0" applyBorder="0" applyAlignment="0" applyProtection="0"/>
    <xf numFmtId="0" fontId="17" fillId="77" borderId="0" applyNumberFormat="0" applyBorder="0" applyAlignment="0" applyProtection="0"/>
    <xf numFmtId="0" fontId="87" fillId="49" borderId="0" applyNumberFormat="0" applyBorder="0" applyAlignment="0" applyProtection="0"/>
    <xf numFmtId="0" fontId="17" fillId="72" borderId="0" applyNumberFormat="0" applyBorder="0" applyAlignment="0" applyProtection="0"/>
    <xf numFmtId="0" fontId="87" fillId="53" borderId="0" applyNumberFormat="0" applyBorder="0" applyAlignment="0" applyProtection="0"/>
    <xf numFmtId="0" fontId="17" fillId="78" borderId="0" applyNumberFormat="0" applyBorder="0" applyAlignment="0" applyProtection="0"/>
    <xf numFmtId="0" fontId="87" fillId="57" borderId="0" applyNumberFormat="0" applyBorder="0" applyAlignment="0" applyProtection="0"/>
    <xf numFmtId="0" fontId="16" fillId="74" borderId="0" applyNumberFormat="0" applyBorder="0" applyAlignment="0" applyProtection="0"/>
    <xf numFmtId="0" fontId="87" fillId="37" borderId="0" applyNumberFormat="0" applyBorder="0" applyAlignment="0" applyProtection="0"/>
    <xf numFmtId="0" fontId="87" fillId="37" borderId="0" applyNumberFormat="0" applyBorder="0" applyAlignment="0" applyProtection="0"/>
    <xf numFmtId="0" fontId="16" fillId="20" borderId="0" applyNumberFormat="0" applyBorder="0" applyAlignment="0" applyProtection="0"/>
    <xf numFmtId="0" fontId="87" fillId="41" borderId="0" applyNumberFormat="0" applyBorder="0" applyAlignment="0" applyProtection="0"/>
    <xf numFmtId="0" fontId="87" fillId="41" borderId="0" applyNumberFormat="0" applyBorder="0" applyAlignment="0" applyProtection="0"/>
    <xf numFmtId="0" fontId="16" fillId="21" borderId="0" applyNumberFormat="0" applyBorder="0" applyAlignment="0" applyProtection="0"/>
    <xf numFmtId="0" fontId="87" fillId="45" borderId="0" applyNumberFormat="0" applyBorder="0" applyAlignment="0" applyProtection="0"/>
    <xf numFmtId="0" fontId="87" fillId="45" borderId="0" applyNumberFormat="0" applyBorder="0" applyAlignment="0" applyProtection="0"/>
    <xf numFmtId="0" fontId="16" fillId="17"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16" fillId="18" borderId="0" applyNumberFormat="0" applyBorder="0" applyAlignment="0" applyProtection="0"/>
    <xf numFmtId="0" fontId="87" fillId="53" borderId="0" applyNumberFormat="0" applyBorder="0" applyAlignment="0" applyProtection="0"/>
    <xf numFmtId="0" fontId="87" fillId="53" borderId="0" applyNumberFormat="0" applyBorder="0" applyAlignment="0" applyProtection="0"/>
    <xf numFmtId="0" fontId="16" fillId="79" borderId="0" applyNumberFormat="0" applyBorder="0" applyAlignment="0" applyProtection="0"/>
    <xf numFmtId="0" fontId="16" fillId="22" borderId="0" applyNumberFormat="0" applyBorder="0" applyAlignment="0" applyProtection="0"/>
    <xf numFmtId="0" fontId="87" fillId="57" borderId="0" applyNumberFormat="0" applyBorder="0" applyAlignment="0" applyProtection="0"/>
    <xf numFmtId="0" fontId="87" fillId="57" borderId="0" applyNumberFormat="0" applyBorder="0" applyAlignment="0" applyProtection="0"/>
    <xf numFmtId="0" fontId="87" fillId="57" borderId="0" applyNumberFormat="0" applyBorder="0" applyAlignment="0" applyProtection="0"/>
    <xf numFmtId="0" fontId="87" fillId="57" borderId="0" applyNumberFormat="0" applyBorder="0" applyAlignment="0" applyProtection="0"/>
    <xf numFmtId="0" fontId="87" fillId="57" borderId="0" applyNumberFormat="0" applyBorder="0" applyAlignment="0" applyProtection="0"/>
    <xf numFmtId="0" fontId="16" fillId="22" borderId="0" applyNumberFormat="0" applyBorder="0" applyAlignment="0" applyProtection="0"/>
    <xf numFmtId="0" fontId="81" fillId="34" borderId="98" applyNumberFormat="0" applyAlignment="0" applyProtection="0"/>
    <xf numFmtId="0" fontId="18" fillId="14" borderId="1" applyNumberFormat="0" applyAlignment="0" applyProtection="0"/>
    <xf numFmtId="0" fontId="81" fillId="34" borderId="98" applyNumberFormat="0" applyAlignment="0" applyProtection="0"/>
    <xf numFmtId="0" fontId="29" fillId="62" borderId="0" applyNumberFormat="0" applyBorder="0" applyAlignment="0" applyProtection="0"/>
    <xf numFmtId="0" fontId="78" fillId="31" borderId="0" applyNumberFormat="0" applyBorder="0" applyAlignment="0" applyProtection="0"/>
    <xf numFmtId="0" fontId="82" fillId="34" borderId="97" applyNumberFormat="0" applyAlignment="0" applyProtection="0"/>
    <xf numFmtId="0" fontId="19" fillId="14" borderId="2" applyNumberFormat="0" applyAlignment="0" applyProtection="0"/>
    <xf numFmtId="0" fontId="82" fillId="34" borderId="97" applyNumberFormat="0" applyAlignment="0" applyProtection="0"/>
    <xf numFmtId="0" fontId="21" fillId="61" borderId="2" applyNumberFormat="0" applyAlignment="0" applyProtection="0"/>
    <xf numFmtId="0" fontId="21" fillId="8" borderId="2" applyNumberFormat="0" applyAlignment="0" applyProtection="0"/>
    <xf numFmtId="0" fontId="21" fillId="8" borderId="2" applyNumberFormat="0" applyAlignment="0" applyProtection="0"/>
    <xf numFmtId="0" fontId="22" fillId="80" borderId="3" applyNumberFormat="0" applyAlignment="0" applyProtection="0"/>
    <xf numFmtId="0" fontId="84" fillId="35" borderId="100" applyNumberFormat="0" applyAlignment="0" applyProtection="0"/>
    <xf numFmtId="164" fontId="39" fillId="0" borderId="0" applyFill="0" applyBorder="0" applyAlignment="0" applyProtection="0"/>
    <xf numFmtId="0" fontId="24" fillId="7" borderId="2" applyNumberFormat="0" applyAlignment="0" applyProtection="0"/>
    <xf numFmtId="0" fontId="24" fillId="7" borderId="2" applyNumberFormat="0" applyAlignment="0" applyProtection="0"/>
    <xf numFmtId="0" fontId="17" fillId="22" borderId="0" applyNumberFormat="0" applyBorder="0" applyAlignment="0" applyProtection="0"/>
    <xf numFmtId="0" fontId="17" fillId="79" borderId="0" applyNumberFormat="0" applyBorder="0" applyAlignment="0" applyProtection="0"/>
    <xf numFmtId="0" fontId="17" fillId="79" borderId="0" applyNumberFormat="0" applyBorder="0" applyAlignment="0" applyProtection="0"/>
    <xf numFmtId="0" fontId="17" fillId="22" borderId="0" applyNumberFormat="0" applyBorder="0" applyAlignment="0" applyProtection="0"/>
    <xf numFmtId="0" fontId="26" fillId="7" borderId="2" applyNumberFormat="0" applyAlignment="0" applyProtection="0"/>
    <xf numFmtId="0" fontId="26" fillId="7" borderId="2" applyNumberFormat="0" applyAlignment="0" applyProtection="0"/>
    <xf numFmtId="0" fontId="80" fillId="33" borderId="97" applyNumberFormat="0" applyAlignment="0" applyProtection="0"/>
    <xf numFmtId="0" fontId="80" fillId="33" borderId="97" applyNumberFormat="0" applyAlignment="0" applyProtection="0"/>
    <xf numFmtId="0" fontId="27" fillId="0" borderId="5" applyNumberFormat="0" applyFill="0" applyAlignment="0" applyProtection="0"/>
    <xf numFmtId="0" fontId="27" fillId="0" borderId="5" applyNumberFormat="0" applyFill="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9" fillId="0" borderId="0"/>
    <xf numFmtId="0" fontId="32" fillId="0" borderId="0" applyNumberFormat="0" applyFill="0" applyBorder="0" applyAlignment="0" applyProtection="0"/>
    <xf numFmtId="0" fontId="20" fillId="64" borderId="0" applyNumberFormat="0" applyBorder="0" applyAlignment="0" applyProtection="0"/>
    <xf numFmtId="0" fontId="77" fillId="30" borderId="0" applyNumberFormat="0" applyBorder="0" applyAlignment="0" applyProtection="0"/>
    <xf numFmtId="0" fontId="88" fillId="4" borderId="0" applyNumberFormat="0" applyBorder="0" applyAlignment="0" applyProtection="0"/>
    <xf numFmtId="0" fontId="34" fillId="0" borderId="8" applyNumberFormat="0" applyFill="0" applyAlignment="0" applyProtection="0"/>
    <xf numFmtId="0" fontId="74" fillId="0" borderId="94" applyNumberFormat="0" applyFill="0" applyAlignment="0" applyProtection="0"/>
    <xf numFmtId="0" fontId="35" fillId="0" borderId="6" applyNumberFormat="0" applyFill="0" applyAlignment="0" applyProtection="0"/>
    <xf numFmtId="0" fontId="75" fillId="0" borderId="95" applyNumberFormat="0" applyFill="0" applyAlignment="0" applyProtection="0"/>
    <xf numFmtId="0" fontId="25" fillId="0" borderId="9" applyNumberFormat="0" applyFill="0" applyAlignment="0" applyProtection="0"/>
    <xf numFmtId="0" fontId="76" fillId="0" borderId="96" applyNumberFormat="0" applyFill="0" applyAlignment="0" applyProtection="0"/>
    <xf numFmtId="0" fontId="25" fillId="0" borderId="0" applyNumberFormat="0" applyFill="0" applyBorder="0" applyAlignment="0" applyProtection="0"/>
    <xf numFmtId="0" fontId="76" fillId="0" borderId="0" applyNumberFormat="0" applyFill="0" applyBorder="0" applyAlignment="0" applyProtection="0"/>
    <xf numFmtId="0" fontId="26" fillId="63" borderId="2" applyNumberFormat="0" applyAlignment="0" applyProtection="0"/>
    <xf numFmtId="0" fontId="23" fillId="0" borderId="4" applyNumberFormat="0" applyFill="0" applyAlignment="0" applyProtection="0"/>
    <xf numFmtId="0" fontId="83" fillId="0" borderId="99" applyNumberFormat="0" applyFill="0" applyAlignment="0" applyProtection="0"/>
    <xf numFmtId="0" fontId="89" fillId="15" borderId="0" applyNumberFormat="0" applyBorder="0" applyAlignment="0" applyProtection="0"/>
    <xf numFmtId="0" fontId="89" fillId="15" borderId="0" applyNumberFormat="0" applyBorder="0" applyAlignment="0" applyProtection="0"/>
    <xf numFmtId="0" fontId="89" fillId="15" borderId="0" applyNumberFormat="0" applyBorder="0" applyAlignment="0" applyProtection="0"/>
    <xf numFmtId="0" fontId="79" fillId="32" borderId="0" applyNumberFormat="0" applyBorder="0" applyAlignment="0" applyProtection="0"/>
    <xf numFmtId="0" fontId="39" fillId="0" borderId="0"/>
    <xf numFmtId="0" fontId="10" fillId="0" borderId="0"/>
    <xf numFmtId="0" fontId="10" fillId="0" borderId="0"/>
    <xf numFmtId="0" fontId="10" fillId="0" borderId="0"/>
    <xf numFmtId="0" fontId="10" fillId="0" borderId="0"/>
    <xf numFmtId="0" fontId="10" fillId="0" borderId="0"/>
    <xf numFmtId="0" fontId="39" fillId="0" borderId="0"/>
    <xf numFmtId="0" fontId="10" fillId="0" borderId="0"/>
    <xf numFmtId="0" fontId="10" fillId="0" borderId="0"/>
    <xf numFmtId="0" fontId="10" fillId="0" borderId="0"/>
    <xf numFmtId="0" fontId="10" fillId="0" borderId="0"/>
    <xf numFmtId="0" fontId="10" fillId="0" borderId="0"/>
    <xf numFmtId="0" fontId="10" fillId="0" borderId="0"/>
    <xf numFmtId="0" fontId="39" fillId="0" borderId="0"/>
    <xf numFmtId="0" fontId="10" fillId="0" borderId="0"/>
    <xf numFmtId="0" fontId="10" fillId="0" borderId="0"/>
    <xf numFmtId="0" fontId="10" fillId="0" borderId="0"/>
    <xf numFmtId="0" fontId="39" fillId="0" borderId="0"/>
    <xf numFmtId="0" fontId="10" fillId="0" borderId="0"/>
    <xf numFmtId="0" fontId="10" fillId="0" borderId="0"/>
    <xf numFmtId="0" fontId="10" fillId="0" borderId="0"/>
    <xf numFmtId="0" fontId="10" fillId="0" borderId="0"/>
    <xf numFmtId="0" fontId="10" fillId="0" borderId="0"/>
    <xf numFmtId="0" fontId="10" fillId="0" borderId="0"/>
    <xf numFmtId="0" fontId="39" fillId="0" borderId="0"/>
    <xf numFmtId="0" fontId="39" fillId="9" borderId="114" applyNumberFormat="0" applyAlignment="0" applyProtection="0"/>
    <xf numFmtId="0" fontId="39" fillId="0" borderId="0"/>
    <xf numFmtId="0" fontId="39" fillId="0" borderId="0"/>
    <xf numFmtId="0" fontId="39" fillId="0" borderId="0"/>
    <xf numFmtId="0" fontId="39" fillId="65" borderId="114" applyNumberFormat="0" applyFont="0" applyAlignment="0" applyProtection="0"/>
    <xf numFmtId="0" fontId="39" fillId="0" borderId="0"/>
    <xf numFmtId="0" fontId="39" fillId="0" borderId="0"/>
    <xf numFmtId="0" fontId="10" fillId="0" borderId="0"/>
    <xf numFmtId="0" fontId="10" fillId="0" borderId="0"/>
    <xf numFmtId="0" fontId="10" fillId="0" borderId="0"/>
    <xf numFmtId="0" fontId="39" fillId="0" borderId="0"/>
    <xf numFmtId="0" fontId="39" fillId="65" borderId="7" applyNumberFormat="0" applyFont="0" applyAlignment="0" applyProtection="0"/>
    <xf numFmtId="0" fontId="10" fillId="36" borderId="101" applyNumberFormat="0" applyFont="0" applyAlignment="0" applyProtection="0"/>
    <xf numFmtId="0" fontId="10" fillId="36" borderId="101" applyNumberFormat="0" applyFont="0" applyAlignment="0" applyProtection="0"/>
    <xf numFmtId="0" fontId="10" fillId="36" borderId="101" applyNumberFormat="0" applyFont="0" applyAlignment="0" applyProtection="0"/>
    <xf numFmtId="0" fontId="10" fillId="36" borderId="101" applyNumberFormat="0" applyFont="0" applyAlignment="0" applyProtection="0"/>
    <xf numFmtId="0" fontId="10" fillId="36" borderId="101" applyNumberFormat="0" applyFont="0" applyAlignment="0" applyProtection="0"/>
    <xf numFmtId="0" fontId="10" fillId="36" borderId="101" applyNumberFormat="0" applyFont="0" applyAlignment="0" applyProtection="0"/>
    <xf numFmtId="0" fontId="30" fillId="61" borderId="1" applyNumberFormat="0" applyAlignment="0" applyProtection="0"/>
    <xf numFmtId="9" fontId="39" fillId="0" borderId="0" applyFill="0" applyBorder="0" applyAlignment="0" applyProtection="0"/>
    <xf numFmtId="9" fontId="39" fillId="0" borderId="0" applyFill="0" applyBorder="0" applyAlignment="0" applyProtection="0"/>
    <xf numFmtId="9" fontId="39" fillId="0" borderId="0" applyFont="0" applyFill="0" applyBorder="0" applyAlignment="0" applyProtection="0"/>
    <xf numFmtId="9" fontId="39" fillId="0" borderId="0" applyFill="0" applyBorder="0" applyAlignment="0" applyProtection="0"/>
    <xf numFmtId="9" fontId="39" fillId="0" borderId="0" applyFill="0" applyBorder="0" applyAlignment="0" applyProtection="0"/>
    <xf numFmtId="0" fontId="39" fillId="9" borderId="114" applyNumberFormat="0" applyAlignment="0" applyProtection="0"/>
    <xf numFmtId="0" fontId="90" fillId="3"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0" fillId="61" borderId="111" applyNumberFormat="0" applyAlignment="0" applyProtection="0"/>
    <xf numFmtId="0" fontId="97" fillId="0" borderId="0" applyNumberFormat="0" applyFill="0" applyBorder="0" applyAlignment="0" applyProtection="0"/>
    <xf numFmtId="0" fontId="33" fillId="0" borderId="0" applyNumberFormat="0" applyFill="0" applyBorder="0" applyAlignment="0" applyProtection="0"/>
    <xf numFmtId="0" fontId="91" fillId="0" borderId="105" applyNumberFormat="0" applyFill="0" applyAlignment="0" applyProtection="0"/>
    <xf numFmtId="0" fontId="91" fillId="0" borderId="105" applyNumberFormat="0" applyFill="0" applyAlignment="0" applyProtection="0"/>
    <xf numFmtId="0" fontId="91" fillId="0" borderId="105" applyNumberFormat="0" applyFill="0" applyAlignment="0" applyProtection="0"/>
    <xf numFmtId="0" fontId="91" fillId="0" borderId="105" applyNumberFormat="0" applyFill="0" applyAlignment="0" applyProtection="0"/>
    <xf numFmtId="0" fontId="86" fillId="0" borderId="102" applyNumberFormat="0" applyFill="0" applyAlignment="0" applyProtection="0"/>
    <xf numFmtId="0" fontId="92" fillId="0" borderId="103" applyNumberFormat="0" applyFill="0" applyAlignment="0" applyProtection="0"/>
    <xf numFmtId="0" fontId="93" fillId="0" borderId="6" applyNumberFormat="0" applyFill="0" applyAlignment="0" applyProtection="0"/>
    <xf numFmtId="0" fontId="94" fillId="0" borderId="104" applyNumberFormat="0" applyFill="0" applyAlignment="0" applyProtection="0"/>
    <xf numFmtId="0" fontId="94" fillId="0" borderId="0" applyNumberFormat="0" applyFill="0" applyBorder="0" applyAlignment="0" applyProtection="0"/>
    <xf numFmtId="0" fontId="95" fillId="0" borderId="4" applyNumberFormat="0" applyFill="0" applyAlignment="0" applyProtection="0"/>
    <xf numFmtId="0" fontId="31" fillId="0" borderId="0" applyNumberFormat="0" applyFill="0" applyBorder="0" applyAlignment="0" applyProtection="0"/>
    <xf numFmtId="0" fontId="96" fillId="23" borderId="3" applyNumberFormat="0" applyAlignment="0" applyProtection="0"/>
    <xf numFmtId="0" fontId="24" fillId="7" borderId="112" applyNumberFormat="0" applyAlignment="0" applyProtection="0"/>
    <xf numFmtId="0" fontId="24" fillId="7" borderId="112" applyNumberFormat="0" applyAlignment="0" applyProtection="0"/>
    <xf numFmtId="0" fontId="24" fillId="7" borderId="112" applyNumberFormat="0" applyAlignment="0" applyProtection="0"/>
    <xf numFmtId="0" fontId="21" fillId="8" borderId="112" applyNumberFormat="0" applyAlignment="0" applyProtection="0"/>
    <xf numFmtId="0" fontId="21" fillId="8" borderId="112" applyNumberFormat="0" applyAlignment="0" applyProtection="0"/>
    <xf numFmtId="0" fontId="21" fillId="8" borderId="112" applyNumberFormat="0" applyAlignment="0" applyProtection="0"/>
    <xf numFmtId="0" fontId="21" fillId="61" borderId="112" applyNumberFormat="0" applyAlignment="0" applyProtection="0"/>
    <xf numFmtId="0" fontId="19" fillId="14" borderId="112" applyNumberFormat="0" applyAlignment="0" applyProtection="0"/>
    <xf numFmtId="0" fontId="19" fillId="14" borderId="112" applyNumberFormat="0" applyAlignment="0" applyProtection="0"/>
    <xf numFmtId="0" fontId="18" fillId="14" borderId="111" applyNumberFormat="0" applyAlignment="0" applyProtection="0"/>
    <xf numFmtId="0" fontId="18" fillId="14" borderId="111" applyNumberFormat="0" applyAlignment="0" applyProtection="0"/>
    <xf numFmtId="0" fontId="18" fillId="14" borderId="106" applyNumberFormat="0" applyAlignment="0" applyProtection="0"/>
    <xf numFmtId="0" fontId="18" fillId="14" borderId="106" applyNumberFormat="0" applyAlignment="0" applyProtection="0"/>
    <xf numFmtId="0" fontId="19" fillId="14" borderId="107" applyNumberFormat="0" applyAlignment="0" applyProtection="0"/>
    <xf numFmtId="0" fontId="19" fillId="14" borderId="107" applyNumberFormat="0" applyAlignment="0" applyProtection="0"/>
    <xf numFmtId="0" fontId="21" fillId="61" borderId="107" applyNumberFormat="0" applyAlignment="0" applyProtection="0"/>
    <xf numFmtId="0" fontId="21" fillId="8" borderId="107" applyNumberFormat="0" applyAlignment="0" applyProtection="0"/>
    <xf numFmtId="0" fontId="21" fillId="8" borderId="107" applyNumberFormat="0" applyAlignment="0" applyProtection="0"/>
    <xf numFmtId="0" fontId="21" fillId="8" borderId="107" applyNumberFormat="0" applyAlignment="0" applyProtection="0"/>
    <xf numFmtId="0" fontId="24" fillId="7" borderId="107" applyNumberFormat="0" applyAlignment="0" applyProtection="0"/>
    <xf numFmtId="0" fontId="24" fillId="7" borderId="107" applyNumberFormat="0" applyAlignment="0" applyProtection="0"/>
    <xf numFmtId="0" fontId="24" fillId="7" borderId="107" applyNumberFormat="0" applyAlignment="0" applyProtection="0"/>
    <xf numFmtId="0" fontId="26" fillId="7" borderId="107" applyNumberFormat="0" applyAlignment="0" applyProtection="0"/>
    <xf numFmtId="0" fontId="26" fillId="7" borderId="107" applyNumberFormat="0" applyAlignment="0" applyProtection="0"/>
    <xf numFmtId="0" fontId="26" fillId="7" borderId="107" applyNumberFormat="0" applyAlignment="0" applyProtection="0"/>
    <xf numFmtId="0" fontId="27" fillId="0" borderId="108" applyNumberFormat="0" applyFill="0" applyAlignment="0" applyProtection="0"/>
    <xf numFmtId="0" fontId="27" fillId="0" borderId="108" applyNumberFormat="0" applyFill="0" applyAlignment="0" applyProtection="0"/>
    <xf numFmtId="0" fontId="27" fillId="0" borderId="108" applyNumberFormat="0" applyFill="0" applyAlignment="0" applyProtection="0"/>
    <xf numFmtId="0" fontId="26" fillId="63" borderId="107" applyNumberFormat="0" applyAlignment="0" applyProtection="0"/>
    <xf numFmtId="0" fontId="39" fillId="9" borderId="109" applyNumberFormat="0" applyAlignment="0" applyProtection="0"/>
    <xf numFmtId="0" fontId="39" fillId="65" borderId="109" applyNumberFormat="0" applyFont="0" applyAlignment="0" applyProtection="0"/>
    <xf numFmtId="0" fontId="39" fillId="9" borderId="109" applyNumberFormat="0" applyAlignment="0" applyProtection="0"/>
    <xf numFmtId="0" fontId="30" fillId="61" borderId="106" applyNumberFormat="0" applyAlignment="0" applyProtection="0"/>
    <xf numFmtId="0" fontId="30" fillId="8" borderId="106" applyNumberFormat="0" applyAlignment="0" applyProtection="0"/>
    <xf numFmtId="0" fontId="91" fillId="0" borderId="110" applyNumberFormat="0" applyFill="0" applyAlignment="0" applyProtection="0"/>
    <xf numFmtId="0" fontId="91" fillId="0" borderId="110" applyNumberFormat="0" applyFill="0" applyAlignment="0" applyProtection="0"/>
    <xf numFmtId="0" fontId="91" fillId="0" borderId="110" applyNumberFormat="0" applyFill="0" applyAlignment="0" applyProtection="0"/>
    <xf numFmtId="0" fontId="91" fillId="0" borderId="110" applyNumberFormat="0" applyFill="0" applyAlignment="0" applyProtection="0"/>
    <xf numFmtId="0" fontId="30" fillId="8" borderId="111" applyNumberFormat="0" applyAlignment="0" applyProtection="0"/>
    <xf numFmtId="0" fontId="91" fillId="0" borderId="115" applyNumberFormat="0" applyFill="0" applyAlignment="0" applyProtection="0"/>
    <xf numFmtId="0" fontId="91" fillId="0" borderId="115" applyNumberFormat="0" applyFill="0" applyAlignment="0" applyProtection="0"/>
    <xf numFmtId="0" fontId="91" fillId="0" borderId="115" applyNumberFormat="0" applyFill="0" applyAlignment="0" applyProtection="0"/>
    <xf numFmtId="0" fontId="91" fillId="0" borderId="115" applyNumberFormat="0" applyFill="0" applyAlignment="0" applyProtection="0"/>
    <xf numFmtId="0" fontId="9" fillId="38" borderId="0" applyNumberFormat="0" applyBorder="0" applyAlignment="0" applyProtection="0"/>
    <xf numFmtId="0" fontId="9" fillId="38" borderId="0" applyNumberFormat="0" applyBorder="0" applyAlignment="0" applyProtection="0"/>
    <xf numFmtId="0" fontId="9" fillId="38" borderId="0" applyNumberFormat="0" applyBorder="0" applyAlignment="0" applyProtection="0"/>
    <xf numFmtId="0" fontId="9" fillId="38" borderId="0" applyNumberFormat="0" applyBorder="0" applyAlignment="0" applyProtection="0"/>
    <xf numFmtId="0" fontId="9" fillId="38" borderId="0" applyNumberFormat="0" applyBorder="0" applyAlignment="0" applyProtection="0"/>
    <xf numFmtId="0" fontId="9" fillId="42" borderId="0" applyNumberFormat="0" applyBorder="0" applyAlignment="0" applyProtection="0"/>
    <xf numFmtId="0" fontId="9" fillId="42" borderId="0" applyNumberFormat="0" applyBorder="0" applyAlignment="0" applyProtection="0"/>
    <xf numFmtId="0" fontId="9" fillId="42" borderId="0" applyNumberFormat="0" applyBorder="0" applyAlignment="0" applyProtection="0"/>
    <xf numFmtId="0" fontId="9" fillId="42" borderId="0" applyNumberFormat="0" applyBorder="0" applyAlignment="0" applyProtection="0"/>
    <xf numFmtId="0" fontId="9" fillId="42" borderId="0" applyNumberFormat="0" applyBorder="0" applyAlignment="0" applyProtection="0"/>
    <xf numFmtId="0" fontId="9" fillId="46" borderId="0" applyNumberFormat="0" applyBorder="0" applyAlignment="0" applyProtection="0"/>
    <xf numFmtId="0" fontId="9" fillId="46" borderId="0" applyNumberFormat="0" applyBorder="0" applyAlignment="0" applyProtection="0"/>
    <xf numFmtId="0" fontId="9" fillId="46" borderId="0" applyNumberFormat="0" applyBorder="0" applyAlignment="0" applyProtection="0"/>
    <xf numFmtId="0" fontId="9" fillId="46" borderId="0" applyNumberFormat="0" applyBorder="0" applyAlignment="0" applyProtection="0"/>
    <xf numFmtId="0" fontId="9" fillId="46" borderId="0" applyNumberFormat="0" applyBorder="0" applyAlignment="0" applyProtection="0"/>
    <xf numFmtId="0" fontId="9" fillId="50" borderId="0" applyNumberFormat="0" applyBorder="0" applyAlignment="0" applyProtection="0"/>
    <xf numFmtId="0" fontId="9" fillId="50" borderId="0" applyNumberFormat="0" applyBorder="0" applyAlignment="0" applyProtection="0"/>
    <xf numFmtId="0" fontId="9" fillId="50" borderId="0" applyNumberFormat="0" applyBorder="0" applyAlignment="0" applyProtection="0"/>
    <xf numFmtId="0" fontId="9" fillId="50" borderId="0" applyNumberFormat="0" applyBorder="0" applyAlignment="0" applyProtection="0"/>
    <xf numFmtId="0" fontId="9" fillId="50" borderId="0" applyNumberFormat="0" applyBorder="0" applyAlignment="0" applyProtection="0"/>
    <xf numFmtId="0" fontId="9" fillId="54" borderId="0" applyNumberFormat="0" applyBorder="0" applyAlignment="0" applyProtection="0"/>
    <xf numFmtId="0" fontId="9" fillId="54" borderId="0" applyNumberFormat="0" applyBorder="0" applyAlignment="0" applyProtection="0"/>
    <xf numFmtId="0" fontId="9" fillId="54" borderId="0" applyNumberFormat="0" applyBorder="0" applyAlignment="0" applyProtection="0"/>
    <xf numFmtId="0" fontId="9" fillId="54" borderId="0" applyNumberFormat="0" applyBorder="0" applyAlignment="0" applyProtection="0"/>
    <xf numFmtId="0" fontId="9" fillId="54" borderId="0" applyNumberFormat="0" applyBorder="0" applyAlignment="0" applyProtection="0"/>
    <xf numFmtId="0" fontId="9" fillId="58" borderId="0" applyNumberFormat="0" applyBorder="0" applyAlignment="0" applyProtection="0"/>
    <xf numFmtId="0" fontId="9" fillId="58" borderId="0" applyNumberFormat="0" applyBorder="0" applyAlignment="0" applyProtection="0"/>
    <xf numFmtId="0" fontId="9" fillId="58" borderId="0" applyNumberFormat="0" applyBorder="0" applyAlignment="0" applyProtection="0"/>
    <xf numFmtId="0" fontId="9" fillId="58" borderId="0" applyNumberFormat="0" applyBorder="0" applyAlignment="0" applyProtection="0"/>
    <xf numFmtId="0" fontId="9" fillId="58" borderId="0" applyNumberFormat="0" applyBorder="0" applyAlignment="0" applyProtection="0"/>
    <xf numFmtId="0" fontId="9" fillId="39" borderId="0" applyNumberFormat="0" applyBorder="0" applyAlignment="0" applyProtection="0"/>
    <xf numFmtId="0" fontId="9" fillId="39" borderId="0" applyNumberFormat="0" applyBorder="0" applyAlignment="0" applyProtection="0"/>
    <xf numFmtId="0" fontId="9" fillId="39" borderId="0" applyNumberFormat="0" applyBorder="0" applyAlignment="0" applyProtection="0"/>
    <xf numFmtId="0" fontId="9" fillId="39" borderId="0" applyNumberFormat="0" applyBorder="0" applyAlignment="0" applyProtection="0"/>
    <xf numFmtId="0" fontId="9" fillId="39" borderId="0" applyNumberFormat="0" applyBorder="0" applyAlignment="0" applyProtection="0"/>
    <xf numFmtId="0" fontId="9" fillId="43" borderId="0" applyNumberFormat="0" applyBorder="0" applyAlignment="0" applyProtection="0"/>
    <xf numFmtId="0" fontId="9" fillId="43" borderId="0" applyNumberFormat="0" applyBorder="0" applyAlignment="0" applyProtection="0"/>
    <xf numFmtId="0" fontId="9" fillId="43" borderId="0" applyNumberFormat="0" applyBorder="0" applyAlignment="0" applyProtection="0"/>
    <xf numFmtId="0" fontId="9" fillId="43" borderId="0" applyNumberFormat="0" applyBorder="0" applyAlignment="0" applyProtection="0"/>
    <xf numFmtId="0" fontId="9" fillId="43" borderId="0" applyNumberFormat="0" applyBorder="0" applyAlignment="0" applyProtection="0"/>
    <xf numFmtId="0" fontId="9" fillId="47" borderId="0" applyNumberFormat="0" applyBorder="0" applyAlignment="0" applyProtection="0"/>
    <xf numFmtId="0" fontId="9" fillId="47" borderId="0" applyNumberFormat="0" applyBorder="0" applyAlignment="0" applyProtection="0"/>
    <xf numFmtId="0" fontId="9" fillId="47" borderId="0" applyNumberFormat="0" applyBorder="0" applyAlignment="0" applyProtection="0"/>
    <xf numFmtId="0" fontId="9" fillId="47" borderId="0" applyNumberFormat="0" applyBorder="0" applyAlignment="0" applyProtection="0"/>
    <xf numFmtId="0" fontId="9" fillId="47"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5" borderId="0" applyNumberFormat="0" applyBorder="0" applyAlignment="0" applyProtection="0"/>
    <xf numFmtId="0" fontId="9" fillId="55" borderId="0" applyNumberFormat="0" applyBorder="0" applyAlignment="0" applyProtection="0"/>
    <xf numFmtId="0" fontId="9" fillId="55" borderId="0" applyNumberFormat="0" applyBorder="0" applyAlignment="0" applyProtection="0"/>
    <xf numFmtId="0" fontId="9" fillId="55" borderId="0" applyNumberFormat="0" applyBorder="0" applyAlignment="0" applyProtection="0"/>
    <xf numFmtId="0" fontId="9" fillId="55" borderId="0" applyNumberFormat="0" applyBorder="0" applyAlignment="0" applyProtection="0"/>
    <xf numFmtId="0" fontId="9" fillId="59" borderId="0" applyNumberFormat="0" applyBorder="0" applyAlignment="0" applyProtection="0"/>
    <xf numFmtId="0" fontId="9" fillId="59" borderId="0" applyNumberFormat="0" applyBorder="0" applyAlignment="0" applyProtection="0"/>
    <xf numFmtId="0" fontId="9" fillId="59" borderId="0" applyNumberFormat="0" applyBorder="0" applyAlignment="0" applyProtection="0"/>
    <xf numFmtId="0" fontId="9" fillId="59" borderId="0" applyNumberFormat="0" applyBorder="0" applyAlignment="0" applyProtection="0"/>
    <xf numFmtId="0" fontId="9" fillId="59"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36" borderId="101" applyNumberFormat="0" applyFont="0" applyAlignment="0" applyProtection="0"/>
    <xf numFmtId="0" fontId="9" fillId="36" borderId="101" applyNumberFormat="0" applyFont="0" applyAlignment="0" applyProtection="0"/>
    <xf numFmtId="0" fontId="9" fillId="36" borderId="101" applyNumberFormat="0" applyFont="0" applyAlignment="0" applyProtection="0"/>
    <xf numFmtId="0" fontId="9" fillId="36" borderId="101" applyNumberFormat="0" applyFont="0" applyAlignment="0" applyProtection="0"/>
    <xf numFmtId="0" fontId="9" fillId="36" borderId="101" applyNumberFormat="0" applyFont="0" applyAlignment="0" applyProtection="0"/>
    <xf numFmtId="0" fontId="9" fillId="36" borderId="101"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46" borderId="0" applyNumberFormat="0" applyBorder="0" applyAlignment="0" applyProtection="0"/>
    <xf numFmtId="0" fontId="8" fillId="50" borderId="0" applyNumberFormat="0" applyBorder="0" applyAlignment="0" applyProtection="0"/>
    <xf numFmtId="0" fontId="8" fillId="50" borderId="0" applyNumberFormat="0" applyBorder="0" applyAlignment="0" applyProtection="0"/>
    <xf numFmtId="0" fontId="8" fillId="50" borderId="0" applyNumberFormat="0" applyBorder="0" applyAlignment="0" applyProtection="0"/>
    <xf numFmtId="0" fontId="8" fillId="50" borderId="0" applyNumberFormat="0" applyBorder="0" applyAlignment="0" applyProtection="0"/>
    <xf numFmtId="0" fontId="8" fillId="50"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58" borderId="0" applyNumberFormat="0" applyBorder="0" applyAlignment="0" applyProtection="0"/>
    <xf numFmtId="0" fontId="8" fillId="58" borderId="0" applyNumberFormat="0" applyBorder="0" applyAlignment="0" applyProtection="0"/>
    <xf numFmtId="0" fontId="8" fillId="58" borderId="0" applyNumberFormat="0" applyBorder="0" applyAlignment="0" applyProtection="0"/>
    <xf numFmtId="0" fontId="8" fillId="58" borderId="0" applyNumberFormat="0" applyBorder="0" applyAlignment="0" applyProtection="0"/>
    <xf numFmtId="0" fontId="8" fillId="58"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7" borderId="0" applyNumberFormat="0" applyBorder="0" applyAlignment="0" applyProtection="0"/>
    <xf numFmtId="0" fontId="8" fillId="47" borderId="0" applyNumberFormat="0" applyBorder="0" applyAlignment="0" applyProtection="0"/>
    <xf numFmtId="0" fontId="8" fillId="47" borderId="0" applyNumberFormat="0" applyBorder="0" applyAlignment="0" applyProtection="0"/>
    <xf numFmtId="0" fontId="8" fillId="47" borderId="0" applyNumberFormat="0" applyBorder="0" applyAlignment="0" applyProtection="0"/>
    <xf numFmtId="0" fontId="8" fillId="47" borderId="0" applyNumberFormat="0" applyBorder="0" applyAlignment="0" applyProtection="0"/>
    <xf numFmtId="0" fontId="8" fillId="51" borderId="0" applyNumberFormat="0" applyBorder="0" applyAlignment="0" applyProtection="0"/>
    <xf numFmtId="0" fontId="8" fillId="51" borderId="0" applyNumberFormat="0" applyBorder="0" applyAlignment="0" applyProtection="0"/>
    <xf numFmtId="0" fontId="8" fillId="51" borderId="0" applyNumberFormat="0" applyBorder="0" applyAlignment="0" applyProtection="0"/>
    <xf numFmtId="0" fontId="8" fillId="51" borderId="0" applyNumberFormat="0" applyBorder="0" applyAlignment="0" applyProtection="0"/>
    <xf numFmtId="0" fontId="8" fillId="51" borderId="0" applyNumberFormat="0" applyBorder="0" applyAlignment="0" applyProtection="0"/>
    <xf numFmtId="0" fontId="8" fillId="55" borderId="0" applyNumberFormat="0" applyBorder="0" applyAlignment="0" applyProtection="0"/>
    <xf numFmtId="0" fontId="8" fillId="55" borderId="0" applyNumberFormat="0" applyBorder="0" applyAlignment="0" applyProtection="0"/>
    <xf numFmtId="0" fontId="8" fillId="55" borderId="0" applyNumberFormat="0" applyBorder="0" applyAlignment="0" applyProtection="0"/>
    <xf numFmtId="0" fontId="8" fillId="55" borderId="0" applyNumberFormat="0" applyBorder="0" applyAlignment="0" applyProtection="0"/>
    <xf numFmtId="0" fontId="8" fillId="55" borderId="0" applyNumberFormat="0" applyBorder="0" applyAlignment="0" applyProtection="0"/>
    <xf numFmtId="0" fontId="8" fillId="59" borderId="0" applyNumberFormat="0" applyBorder="0" applyAlignment="0" applyProtection="0"/>
    <xf numFmtId="0" fontId="8" fillId="59" borderId="0" applyNumberFormat="0" applyBorder="0" applyAlignment="0" applyProtection="0"/>
    <xf numFmtId="0" fontId="8" fillId="59" borderId="0" applyNumberFormat="0" applyBorder="0" applyAlignment="0" applyProtection="0"/>
    <xf numFmtId="0" fontId="8" fillId="59" borderId="0" applyNumberFormat="0" applyBorder="0" applyAlignment="0" applyProtection="0"/>
    <xf numFmtId="0" fontId="8" fillId="59"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36" borderId="101" applyNumberFormat="0" applyFont="0" applyAlignment="0" applyProtection="0"/>
    <xf numFmtId="0" fontId="8" fillId="36" borderId="101" applyNumberFormat="0" applyFont="0" applyAlignment="0" applyProtection="0"/>
    <xf numFmtId="0" fontId="8" fillId="36" borderId="101" applyNumberFormat="0" applyFont="0" applyAlignment="0" applyProtection="0"/>
    <xf numFmtId="0" fontId="8" fillId="36" borderId="101" applyNumberFormat="0" applyFont="0" applyAlignment="0" applyProtection="0"/>
    <xf numFmtId="0" fontId="8" fillId="36" borderId="101" applyNumberFormat="0" applyFont="0" applyAlignment="0" applyProtection="0"/>
    <xf numFmtId="0" fontId="8" fillId="36" borderId="101"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38" borderId="0" applyNumberFormat="0" applyBorder="0" applyAlignment="0" applyProtection="0"/>
    <xf numFmtId="0" fontId="7" fillId="38" borderId="0" applyNumberFormat="0" applyBorder="0" applyAlignment="0" applyProtection="0"/>
    <xf numFmtId="0" fontId="7" fillId="38" borderId="0" applyNumberFormat="0" applyBorder="0" applyAlignment="0" applyProtection="0"/>
    <xf numFmtId="0" fontId="7" fillId="38" borderId="0" applyNumberFormat="0" applyBorder="0" applyAlignment="0" applyProtection="0"/>
    <xf numFmtId="0" fontId="7" fillId="38" borderId="0" applyNumberFormat="0" applyBorder="0" applyAlignment="0" applyProtection="0"/>
    <xf numFmtId="0" fontId="7" fillId="42" borderId="0" applyNumberFormat="0" applyBorder="0" applyAlignment="0" applyProtection="0"/>
    <xf numFmtId="0" fontId="7" fillId="42" borderId="0" applyNumberFormat="0" applyBorder="0" applyAlignment="0" applyProtection="0"/>
    <xf numFmtId="0" fontId="7" fillId="42" borderId="0" applyNumberFormat="0" applyBorder="0" applyAlignment="0" applyProtection="0"/>
    <xf numFmtId="0" fontId="7" fillId="42" borderId="0" applyNumberFormat="0" applyBorder="0" applyAlignment="0" applyProtection="0"/>
    <xf numFmtId="0" fontId="7" fillId="42" borderId="0" applyNumberFormat="0" applyBorder="0" applyAlignment="0" applyProtection="0"/>
    <xf numFmtId="0" fontId="7" fillId="46" borderId="0" applyNumberFormat="0" applyBorder="0" applyAlignment="0" applyProtection="0"/>
    <xf numFmtId="0" fontId="7" fillId="46" borderId="0" applyNumberFormat="0" applyBorder="0" applyAlignment="0" applyProtection="0"/>
    <xf numFmtId="0" fontId="7" fillId="46" borderId="0" applyNumberFormat="0" applyBorder="0" applyAlignment="0" applyProtection="0"/>
    <xf numFmtId="0" fontId="7" fillId="46" borderId="0" applyNumberFormat="0" applyBorder="0" applyAlignment="0" applyProtection="0"/>
    <xf numFmtId="0" fontId="7" fillId="46" borderId="0" applyNumberFormat="0" applyBorder="0" applyAlignment="0" applyProtection="0"/>
    <xf numFmtId="0" fontId="7" fillId="50" borderId="0" applyNumberFormat="0" applyBorder="0" applyAlignment="0" applyProtection="0"/>
    <xf numFmtId="0" fontId="7" fillId="50" borderId="0" applyNumberFormat="0" applyBorder="0" applyAlignment="0" applyProtection="0"/>
    <xf numFmtId="0" fontId="7" fillId="50" borderId="0" applyNumberFormat="0" applyBorder="0" applyAlignment="0" applyProtection="0"/>
    <xf numFmtId="0" fontId="7" fillId="50" borderId="0" applyNumberFormat="0" applyBorder="0" applyAlignment="0" applyProtection="0"/>
    <xf numFmtId="0" fontId="7" fillId="50"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8" borderId="0" applyNumberFormat="0" applyBorder="0" applyAlignment="0" applyProtection="0"/>
    <xf numFmtId="0" fontId="7" fillId="58" borderId="0" applyNumberFormat="0" applyBorder="0" applyAlignment="0" applyProtection="0"/>
    <xf numFmtId="0" fontId="7" fillId="58" borderId="0" applyNumberFormat="0" applyBorder="0" applyAlignment="0" applyProtection="0"/>
    <xf numFmtId="0" fontId="7" fillId="58" borderId="0" applyNumberFormat="0" applyBorder="0" applyAlignment="0" applyProtection="0"/>
    <xf numFmtId="0" fontId="7" fillId="58" borderId="0" applyNumberFormat="0" applyBorder="0" applyAlignment="0" applyProtection="0"/>
    <xf numFmtId="0" fontId="7" fillId="39" borderId="0" applyNumberFormat="0" applyBorder="0" applyAlignment="0" applyProtection="0"/>
    <xf numFmtId="0" fontId="7" fillId="39" borderId="0" applyNumberFormat="0" applyBorder="0" applyAlignment="0" applyProtection="0"/>
    <xf numFmtId="0" fontId="7" fillId="39" borderId="0" applyNumberFormat="0" applyBorder="0" applyAlignment="0" applyProtection="0"/>
    <xf numFmtId="0" fontId="7" fillId="39" borderId="0" applyNumberFormat="0" applyBorder="0" applyAlignment="0" applyProtection="0"/>
    <xf numFmtId="0" fontId="7" fillId="39" borderId="0" applyNumberFormat="0" applyBorder="0" applyAlignment="0" applyProtection="0"/>
    <xf numFmtId="0" fontId="7" fillId="43" borderId="0" applyNumberFormat="0" applyBorder="0" applyAlignment="0" applyProtection="0"/>
    <xf numFmtId="0" fontId="7" fillId="43" borderId="0" applyNumberFormat="0" applyBorder="0" applyAlignment="0" applyProtection="0"/>
    <xf numFmtId="0" fontId="7" fillId="43" borderId="0" applyNumberFormat="0" applyBorder="0" applyAlignment="0" applyProtection="0"/>
    <xf numFmtId="0" fontId="7" fillId="43" borderId="0" applyNumberFormat="0" applyBorder="0" applyAlignment="0" applyProtection="0"/>
    <xf numFmtId="0" fontId="7" fillId="43" borderId="0" applyNumberFormat="0" applyBorder="0" applyAlignment="0" applyProtection="0"/>
    <xf numFmtId="0" fontId="7" fillId="47" borderId="0" applyNumberFormat="0" applyBorder="0" applyAlignment="0" applyProtection="0"/>
    <xf numFmtId="0" fontId="7" fillId="47" borderId="0" applyNumberFormat="0" applyBorder="0" applyAlignment="0" applyProtection="0"/>
    <xf numFmtId="0" fontId="7" fillId="47" borderId="0" applyNumberFormat="0" applyBorder="0" applyAlignment="0" applyProtection="0"/>
    <xf numFmtId="0" fontId="7" fillId="47" borderId="0" applyNumberFormat="0" applyBorder="0" applyAlignment="0" applyProtection="0"/>
    <xf numFmtId="0" fontId="7" fillId="47"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5" borderId="0" applyNumberFormat="0" applyBorder="0" applyAlignment="0" applyProtection="0"/>
    <xf numFmtId="0" fontId="7" fillId="55" borderId="0" applyNumberFormat="0" applyBorder="0" applyAlignment="0" applyProtection="0"/>
    <xf numFmtId="0" fontId="7" fillId="55" borderId="0" applyNumberFormat="0" applyBorder="0" applyAlignment="0" applyProtection="0"/>
    <xf numFmtId="0" fontId="7" fillId="55" borderId="0" applyNumberFormat="0" applyBorder="0" applyAlignment="0" applyProtection="0"/>
    <xf numFmtId="0" fontId="7" fillId="55" borderId="0" applyNumberFormat="0" applyBorder="0" applyAlignment="0" applyProtection="0"/>
    <xf numFmtId="0" fontId="7" fillId="59" borderId="0" applyNumberFormat="0" applyBorder="0" applyAlignment="0" applyProtection="0"/>
    <xf numFmtId="0" fontId="7" fillId="59" borderId="0" applyNumberFormat="0" applyBorder="0" applyAlignment="0" applyProtection="0"/>
    <xf numFmtId="0" fontId="7" fillId="59" borderId="0" applyNumberFormat="0" applyBorder="0" applyAlignment="0" applyProtection="0"/>
    <xf numFmtId="0" fontId="7" fillId="59"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6" borderId="101" applyNumberFormat="0" applyFont="0" applyAlignment="0" applyProtection="0"/>
    <xf numFmtId="0" fontId="7" fillId="36" borderId="101" applyNumberFormat="0" applyFont="0" applyAlignment="0" applyProtection="0"/>
    <xf numFmtId="0" fontId="7" fillId="36" borderId="101" applyNumberFormat="0" applyFont="0" applyAlignment="0" applyProtection="0"/>
    <xf numFmtId="0" fontId="7" fillId="36" borderId="101" applyNumberFormat="0" applyFont="0" applyAlignment="0" applyProtection="0"/>
    <xf numFmtId="0" fontId="7" fillId="36" borderId="101" applyNumberFormat="0" applyFont="0" applyAlignment="0" applyProtection="0"/>
    <xf numFmtId="0" fontId="7" fillId="36" borderId="101"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38" borderId="0" applyNumberFormat="0" applyBorder="0" applyAlignment="0" applyProtection="0"/>
    <xf numFmtId="0" fontId="6" fillId="38" borderId="0" applyNumberFormat="0" applyBorder="0" applyAlignment="0" applyProtection="0"/>
    <xf numFmtId="0" fontId="6" fillId="38" borderId="0" applyNumberFormat="0" applyBorder="0" applyAlignment="0" applyProtection="0"/>
    <xf numFmtId="0" fontId="6" fillId="38" borderId="0" applyNumberFormat="0" applyBorder="0" applyAlignment="0" applyProtection="0"/>
    <xf numFmtId="0" fontId="6" fillId="38"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6" borderId="0" applyNumberFormat="0" applyBorder="0" applyAlignment="0" applyProtection="0"/>
    <xf numFmtId="0" fontId="6" fillId="46" borderId="0" applyNumberFormat="0" applyBorder="0" applyAlignment="0" applyProtection="0"/>
    <xf numFmtId="0" fontId="6" fillId="46" borderId="0" applyNumberFormat="0" applyBorder="0" applyAlignment="0" applyProtection="0"/>
    <xf numFmtId="0" fontId="6" fillId="46" borderId="0" applyNumberFormat="0" applyBorder="0" applyAlignment="0" applyProtection="0"/>
    <xf numFmtId="0" fontId="6" fillId="46" borderId="0" applyNumberFormat="0" applyBorder="0" applyAlignment="0" applyProtection="0"/>
    <xf numFmtId="0" fontId="6" fillId="50" borderId="0" applyNumberFormat="0" applyBorder="0" applyAlignment="0" applyProtection="0"/>
    <xf numFmtId="0" fontId="6" fillId="50" borderId="0" applyNumberFormat="0" applyBorder="0" applyAlignment="0" applyProtection="0"/>
    <xf numFmtId="0" fontId="6" fillId="50" borderId="0" applyNumberFormat="0" applyBorder="0" applyAlignment="0" applyProtection="0"/>
    <xf numFmtId="0" fontId="6" fillId="50" borderId="0" applyNumberFormat="0" applyBorder="0" applyAlignment="0" applyProtection="0"/>
    <xf numFmtId="0" fontId="6" fillId="50"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58" borderId="0" applyNumberFormat="0" applyBorder="0" applyAlignment="0" applyProtection="0"/>
    <xf numFmtId="0" fontId="6" fillId="58" borderId="0" applyNumberFormat="0" applyBorder="0" applyAlignment="0" applyProtection="0"/>
    <xf numFmtId="0" fontId="6" fillId="58" borderId="0" applyNumberFormat="0" applyBorder="0" applyAlignment="0" applyProtection="0"/>
    <xf numFmtId="0" fontId="6" fillId="58" borderId="0" applyNumberFormat="0" applyBorder="0" applyAlignment="0" applyProtection="0"/>
    <xf numFmtId="0" fontId="6" fillId="58"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5" borderId="0" applyNumberFormat="0" applyBorder="0" applyAlignment="0" applyProtection="0"/>
    <xf numFmtId="0" fontId="6" fillId="55" borderId="0" applyNumberFormat="0" applyBorder="0" applyAlignment="0" applyProtection="0"/>
    <xf numFmtId="0" fontId="6" fillId="55" borderId="0" applyNumberFormat="0" applyBorder="0" applyAlignment="0" applyProtection="0"/>
    <xf numFmtId="0" fontId="6" fillId="55" borderId="0" applyNumberFormat="0" applyBorder="0" applyAlignment="0" applyProtection="0"/>
    <xf numFmtId="0" fontId="6" fillId="55" borderId="0" applyNumberFormat="0" applyBorder="0" applyAlignment="0" applyProtection="0"/>
    <xf numFmtId="0" fontId="6" fillId="59" borderId="0" applyNumberFormat="0" applyBorder="0" applyAlignment="0" applyProtection="0"/>
    <xf numFmtId="0" fontId="6" fillId="59" borderId="0" applyNumberFormat="0" applyBorder="0" applyAlignment="0" applyProtection="0"/>
    <xf numFmtId="0" fontId="6" fillId="59" borderId="0" applyNumberFormat="0" applyBorder="0" applyAlignment="0" applyProtection="0"/>
    <xf numFmtId="0" fontId="6" fillId="59" borderId="0" applyNumberFormat="0" applyBorder="0" applyAlignment="0" applyProtection="0"/>
    <xf numFmtId="0" fontId="6" fillId="59"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6" borderId="101" applyNumberFormat="0" applyFont="0" applyAlignment="0" applyProtection="0"/>
    <xf numFmtId="0" fontId="6" fillId="36" borderId="101" applyNumberFormat="0" applyFont="0" applyAlignment="0" applyProtection="0"/>
    <xf numFmtId="0" fontId="6" fillId="36" borderId="101" applyNumberFormat="0" applyFont="0" applyAlignment="0" applyProtection="0"/>
    <xf numFmtId="0" fontId="6" fillId="36" borderId="101" applyNumberFormat="0" applyFont="0" applyAlignment="0" applyProtection="0"/>
    <xf numFmtId="0" fontId="6" fillId="36" borderId="101" applyNumberFormat="0" applyFont="0" applyAlignment="0" applyProtection="0"/>
    <xf numFmtId="0" fontId="6" fillId="36" borderId="101"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38" borderId="0" applyNumberFormat="0" applyBorder="0" applyAlignment="0" applyProtection="0"/>
    <xf numFmtId="0" fontId="5" fillId="38" borderId="0" applyNumberFormat="0" applyBorder="0" applyAlignment="0" applyProtection="0"/>
    <xf numFmtId="0" fontId="5" fillId="38" borderId="0" applyNumberFormat="0" applyBorder="0" applyAlignment="0" applyProtection="0"/>
    <xf numFmtId="0" fontId="5" fillId="38" borderId="0" applyNumberFormat="0" applyBorder="0" applyAlignment="0" applyProtection="0"/>
    <xf numFmtId="0" fontId="5" fillId="38" borderId="0" applyNumberFormat="0" applyBorder="0" applyAlignment="0" applyProtection="0"/>
    <xf numFmtId="0" fontId="5" fillId="42" borderId="0" applyNumberFormat="0" applyBorder="0" applyAlignment="0" applyProtection="0"/>
    <xf numFmtId="0" fontId="5" fillId="42" borderId="0" applyNumberFormat="0" applyBorder="0" applyAlignment="0" applyProtection="0"/>
    <xf numFmtId="0" fontId="5" fillId="42" borderId="0" applyNumberFormat="0" applyBorder="0" applyAlignment="0" applyProtection="0"/>
    <xf numFmtId="0" fontId="5" fillId="42" borderId="0" applyNumberFormat="0" applyBorder="0" applyAlignment="0" applyProtection="0"/>
    <xf numFmtId="0" fontId="5" fillId="42" borderId="0" applyNumberFormat="0" applyBorder="0" applyAlignment="0" applyProtection="0"/>
    <xf numFmtId="0" fontId="5" fillId="46" borderId="0" applyNumberFormat="0" applyBorder="0" applyAlignment="0" applyProtection="0"/>
    <xf numFmtId="0" fontId="5" fillId="46" borderId="0" applyNumberFormat="0" applyBorder="0" applyAlignment="0" applyProtection="0"/>
    <xf numFmtId="0" fontId="5" fillId="46" borderId="0" applyNumberFormat="0" applyBorder="0" applyAlignment="0" applyProtection="0"/>
    <xf numFmtId="0" fontId="5" fillId="46" borderId="0" applyNumberFormat="0" applyBorder="0" applyAlignment="0" applyProtection="0"/>
    <xf numFmtId="0" fontId="5" fillId="46" borderId="0" applyNumberFormat="0" applyBorder="0" applyAlignment="0" applyProtection="0"/>
    <xf numFmtId="0" fontId="5" fillId="50" borderId="0" applyNumberFormat="0" applyBorder="0" applyAlignment="0" applyProtection="0"/>
    <xf numFmtId="0" fontId="5" fillId="50" borderId="0" applyNumberFormat="0" applyBorder="0" applyAlignment="0" applyProtection="0"/>
    <xf numFmtId="0" fontId="5" fillId="50" borderId="0" applyNumberFormat="0" applyBorder="0" applyAlignment="0" applyProtection="0"/>
    <xf numFmtId="0" fontId="5" fillId="50" borderId="0" applyNumberFormat="0" applyBorder="0" applyAlignment="0" applyProtection="0"/>
    <xf numFmtId="0" fontId="5" fillId="50"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8" borderId="0" applyNumberFormat="0" applyBorder="0" applyAlignment="0" applyProtection="0"/>
    <xf numFmtId="0" fontId="5" fillId="58" borderId="0" applyNumberFormat="0" applyBorder="0" applyAlignment="0" applyProtection="0"/>
    <xf numFmtId="0" fontId="5" fillId="58" borderId="0" applyNumberFormat="0" applyBorder="0" applyAlignment="0" applyProtection="0"/>
    <xf numFmtId="0" fontId="5" fillId="58" borderId="0" applyNumberFormat="0" applyBorder="0" applyAlignment="0" applyProtection="0"/>
    <xf numFmtId="0" fontId="5" fillId="58"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3"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5" borderId="0" applyNumberFormat="0" applyBorder="0" applyAlignment="0" applyProtection="0"/>
    <xf numFmtId="0" fontId="5" fillId="55" borderId="0" applyNumberFormat="0" applyBorder="0" applyAlignment="0" applyProtection="0"/>
    <xf numFmtId="0" fontId="5" fillId="55" borderId="0" applyNumberFormat="0" applyBorder="0" applyAlignment="0" applyProtection="0"/>
    <xf numFmtId="0" fontId="5" fillId="55" borderId="0" applyNumberFormat="0" applyBorder="0" applyAlignment="0" applyProtection="0"/>
    <xf numFmtId="0" fontId="5" fillId="55" borderId="0" applyNumberFormat="0" applyBorder="0" applyAlignment="0" applyProtection="0"/>
    <xf numFmtId="0" fontId="5" fillId="59" borderId="0" applyNumberFormat="0" applyBorder="0" applyAlignment="0" applyProtection="0"/>
    <xf numFmtId="0" fontId="5" fillId="59" borderId="0" applyNumberFormat="0" applyBorder="0" applyAlignment="0" applyProtection="0"/>
    <xf numFmtId="0" fontId="5" fillId="59" borderId="0" applyNumberFormat="0" applyBorder="0" applyAlignment="0" applyProtection="0"/>
    <xf numFmtId="0" fontId="5" fillId="59"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101" applyNumberFormat="0" applyFont="0" applyAlignment="0" applyProtection="0"/>
    <xf numFmtId="0" fontId="5" fillId="36" borderId="101" applyNumberFormat="0" applyFont="0" applyAlignment="0" applyProtection="0"/>
    <xf numFmtId="0" fontId="5" fillId="36" borderId="101" applyNumberFormat="0" applyFont="0" applyAlignment="0" applyProtection="0"/>
    <xf numFmtId="0" fontId="5" fillId="36" borderId="101" applyNumberFormat="0" applyFont="0" applyAlignment="0" applyProtection="0"/>
    <xf numFmtId="0" fontId="5" fillId="36" borderId="101" applyNumberFormat="0" applyFont="0" applyAlignment="0" applyProtection="0"/>
    <xf numFmtId="0" fontId="5" fillId="36" borderId="101"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38" borderId="0" applyNumberFormat="0" applyBorder="0" applyAlignment="0" applyProtection="0"/>
    <xf numFmtId="0" fontId="4" fillId="38" borderId="0" applyNumberFormat="0" applyBorder="0" applyAlignment="0" applyProtection="0"/>
    <xf numFmtId="0" fontId="4" fillId="38" borderId="0" applyNumberFormat="0" applyBorder="0" applyAlignment="0" applyProtection="0"/>
    <xf numFmtId="0" fontId="4" fillId="38" borderId="0" applyNumberFormat="0" applyBorder="0" applyAlignment="0" applyProtection="0"/>
    <xf numFmtId="0" fontId="4" fillId="38" borderId="0" applyNumberFormat="0" applyBorder="0" applyAlignment="0" applyProtection="0"/>
    <xf numFmtId="0" fontId="4" fillId="42" borderId="0" applyNumberFormat="0" applyBorder="0" applyAlignment="0" applyProtection="0"/>
    <xf numFmtId="0" fontId="4" fillId="42" borderId="0" applyNumberFormat="0" applyBorder="0" applyAlignment="0" applyProtection="0"/>
    <xf numFmtId="0" fontId="4" fillId="42" borderId="0" applyNumberFormat="0" applyBorder="0" applyAlignment="0" applyProtection="0"/>
    <xf numFmtId="0" fontId="4" fillId="42" borderId="0" applyNumberFormat="0" applyBorder="0" applyAlignment="0" applyProtection="0"/>
    <xf numFmtId="0" fontId="4" fillId="42" borderId="0" applyNumberFormat="0" applyBorder="0" applyAlignment="0" applyProtection="0"/>
    <xf numFmtId="0" fontId="4" fillId="46" borderId="0" applyNumberFormat="0" applyBorder="0" applyAlignment="0" applyProtection="0"/>
    <xf numFmtId="0" fontId="4" fillId="46" borderId="0" applyNumberFormat="0" applyBorder="0" applyAlignment="0" applyProtection="0"/>
    <xf numFmtId="0" fontId="4" fillId="46" borderId="0" applyNumberFormat="0" applyBorder="0" applyAlignment="0" applyProtection="0"/>
    <xf numFmtId="0" fontId="4" fillId="46" borderId="0" applyNumberFormat="0" applyBorder="0" applyAlignment="0" applyProtection="0"/>
    <xf numFmtId="0" fontId="4" fillId="46" borderId="0" applyNumberFormat="0" applyBorder="0" applyAlignment="0" applyProtection="0"/>
    <xf numFmtId="0" fontId="4" fillId="50" borderId="0" applyNumberFormat="0" applyBorder="0" applyAlignment="0" applyProtection="0"/>
    <xf numFmtId="0" fontId="4" fillId="50" borderId="0" applyNumberFormat="0" applyBorder="0" applyAlignment="0" applyProtection="0"/>
    <xf numFmtId="0" fontId="4" fillId="50" borderId="0" applyNumberFormat="0" applyBorder="0" applyAlignment="0" applyProtection="0"/>
    <xf numFmtId="0" fontId="4" fillId="50" borderId="0" applyNumberFormat="0" applyBorder="0" applyAlignment="0" applyProtection="0"/>
    <xf numFmtId="0" fontId="4" fillId="50"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8" borderId="0" applyNumberFormat="0" applyBorder="0" applyAlignment="0" applyProtection="0"/>
    <xf numFmtId="0" fontId="4" fillId="58" borderId="0" applyNumberFormat="0" applyBorder="0" applyAlignment="0" applyProtection="0"/>
    <xf numFmtId="0" fontId="4" fillId="58" borderId="0" applyNumberFormat="0" applyBorder="0" applyAlignment="0" applyProtection="0"/>
    <xf numFmtId="0" fontId="4" fillId="58" borderId="0" applyNumberFormat="0" applyBorder="0" applyAlignment="0" applyProtection="0"/>
    <xf numFmtId="0" fontId="4" fillId="58"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3" borderId="0" applyNumberFormat="0" applyBorder="0" applyAlignment="0" applyProtection="0"/>
    <xf numFmtId="0" fontId="4" fillId="43" borderId="0" applyNumberFormat="0" applyBorder="0" applyAlignment="0" applyProtection="0"/>
    <xf numFmtId="0" fontId="4" fillId="43"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47" borderId="0" applyNumberFormat="0" applyBorder="0" applyAlignment="0" applyProtection="0"/>
    <xf numFmtId="0" fontId="4" fillId="47" borderId="0" applyNumberFormat="0" applyBorder="0" applyAlignment="0" applyProtection="0"/>
    <xf numFmtId="0" fontId="4" fillId="47"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1" borderId="0" applyNumberFormat="0" applyBorder="0" applyAlignment="0" applyProtection="0"/>
    <xf numFmtId="0" fontId="4" fillId="51" borderId="0" applyNumberFormat="0" applyBorder="0" applyAlignment="0" applyProtection="0"/>
    <xf numFmtId="0" fontId="4" fillId="51"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101" applyNumberFormat="0" applyFont="0" applyAlignment="0" applyProtection="0"/>
    <xf numFmtId="0" fontId="4" fillId="36" borderId="101" applyNumberFormat="0" applyFont="0" applyAlignment="0" applyProtection="0"/>
    <xf numFmtId="0" fontId="4" fillId="36" borderId="101" applyNumberFormat="0" applyFont="0" applyAlignment="0" applyProtection="0"/>
    <xf numFmtId="0" fontId="4" fillId="36" borderId="101" applyNumberFormat="0" applyFont="0" applyAlignment="0" applyProtection="0"/>
    <xf numFmtId="0" fontId="4" fillId="36" borderId="101" applyNumberFormat="0" applyFont="0" applyAlignment="0" applyProtection="0"/>
    <xf numFmtId="0" fontId="4" fillId="36" borderId="101"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cellStyleXfs>
  <cellXfs count="892">
    <xf numFmtId="0" fontId="0" fillId="0" borderId="0" xfId="0"/>
    <xf numFmtId="0" fontId="0" fillId="0" borderId="0" xfId="0" applyFont="1"/>
    <xf numFmtId="0" fontId="0" fillId="0" borderId="0" xfId="0" applyFont="1" applyBorder="1"/>
    <xf numFmtId="0" fontId="0" fillId="0" borderId="0" xfId="0" applyFont="1" applyFill="1" applyBorder="1"/>
    <xf numFmtId="0" fontId="14" fillId="0" borderId="0" xfId="0" applyFont="1" applyFill="1"/>
    <xf numFmtId="0" fontId="0" fillId="0" borderId="0" xfId="0" applyFont="1" applyFill="1"/>
    <xf numFmtId="0" fontId="38" fillId="0" borderId="0" xfId="0" applyFont="1"/>
    <xf numFmtId="49" fontId="38" fillId="0" borderId="0" xfId="0" applyNumberFormat="1" applyFont="1" applyFill="1" applyBorder="1" applyAlignment="1">
      <alignment vertical="center"/>
    </xf>
    <xf numFmtId="0" fontId="38" fillId="0" borderId="0" xfId="0" applyFont="1" applyBorder="1" applyAlignment="1">
      <alignment vertical="center"/>
    </xf>
    <xf numFmtId="0" fontId="0" fillId="0" borderId="0" xfId="0" applyFont="1" applyBorder="1" applyAlignment="1">
      <alignment horizontal="center"/>
    </xf>
    <xf numFmtId="49" fontId="0" fillId="0" borderId="0" xfId="0" applyNumberFormat="1" applyFont="1" applyFill="1" applyBorder="1" applyAlignment="1">
      <alignment horizontal="center" vertical="center"/>
    </xf>
    <xf numFmtId="49" fontId="38" fillId="0" borderId="26" xfId="0" applyNumberFormat="1" applyFont="1" applyFill="1" applyBorder="1" applyAlignment="1">
      <alignment vertical="center"/>
    </xf>
    <xf numFmtId="0" fontId="0" fillId="0" borderId="0" xfId="0" applyFont="1" applyFill="1" applyAlignment="1">
      <alignment horizontal="center"/>
    </xf>
    <xf numFmtId="0" fontId="48" fillId="0" borderId="0" xfId="0" applyFont="1"/>
    <xf numFmtId="0" fontId="0" fillId="0" borderId="0" xfId="0" applyFill="1" applyAlignment="1">
      <alignment horizontal="center"/>
    </xf>
    <xf numFmtId="0" fontId="0" fillId="0" borderId="0" xfId="0" applyBorder="1"/>
    <xf numFmtId="49" fontId="49" fillId="0" borderId="12" xfId="60" applyNumberFormat="1" applyFont="1" applyFill="1" applyBorder="1" applyAlignment="1">
      <alignment horizontal="center" vertical="center" wrapText="1"/>
    </xf>
    <xf numFmtId="49" fontId="49" fillId="0" borderId="12" xfId="0" applyNumberFormat="1" applyFont="1" applyFill="1" applyBorder="1" applyAlignment="1">
      <alignment horizontal="center" vertical="center" wrapText="1"/>
    </xf>
    <xf numFmtId="0" fontId="49" fillId="0" borderId="12" xfId="0" applyFont="1" applyFill="1" applyBorder="1" applyAlignment="1">
      <alignment horizontal="center" vertical="center" wrapText="1"/>
    </xf>
    <xf numFmtId="0" fontId="39" fillId="0" borderId="0" xfId="0" applyFont="1"/>
    <xf numFmtId="0" fontId="39" fillId="0" borderId="0" xfId="0" applyFont="1" applyBorder="1" applyAlignment="1"/>
    <xf numFmtId="49" fontId="38" fillId="0" borderId="0" xfId="58" applyNumberFormat="1" applyFont="1" applyFill="1" applyBorder="1" applyAlignment="1">
      <alignment vertical="center"/>
    </xf>
    <xf numFmtId="49" fontId="38" fillId="0" borderId="0" xfId="62" applyNumberFormat="1" applyFont="1" applyFill="1" applyBorder="1" applyAlignment="1">
      <alignment vertical="center"/>
    </xf>
    <xf numFmtId="49" fontId="38" fillId="0" borderId="0" xfId="61" applyNumberFormat="1" applyFont="1" applyFill="1" applyBorder="1" applyAlignment="1">
      <alignment vertical="center"/>
    </xf>
    <xf numFmtId="0" fontId="39" fillId="0" borderId="0" xfId="0" applyFont="1" applyBorder="1"/>
    <xf numFmtId="0" fontId="38" fillId="0" borderId="0" xfId="0" applyFont="1" applyFill="1" applyBorder="1" applyAlignment="1">
      <alignment horizontal="left" vertical="center"/>
    </xf>
    <xf numFmtId="0" fontId="0" fillId="0" borderId="0" xfId="0" applyFont="1" applyAlignment="1">
      <alignment horizontal="center"/>
    </xf>
    <xf numFmtId="0" fontId="0" fillId="0" borderId="0" xfId="0" applyFont="1" applyFill="1" applyBorder="1" applyAlignment="1">
      <alignment horizontal="left"/>
    </xf>
    <xf numFmtId="0" fontId="39" fillId="0" borderId="0" xfId="0" applyFont="1" applyFill="1" applyBorder="1"/>
    <xf numFmtId="0" fontId="44" fillId="0" borderId="0" xfId="77" applyFont="1" applyBorder="1"/>
    <xf numFmtId="0" fontId="44" fillId="0" borderId="0" xfId="78" applyFont="1" applyFill="1" applyBorder="1"/>
    <xf numFmtId="0" fontId="44" fillId="0" borderId="0" xfId="78" applyFont="1" applyBorder="1"/>
    <xf numFmtId="0" fontId="46" fillId="0" borderId="0" xfId="79" applyFont="1" applyFill="1" applyBorder="1"/>
    <xf numFmtId="0" fontId="51" fillId="0" borderId="0" xfId="77" applyFont="1" applyBorder="1"/>
    <xf numFmtId="49" fontId="54" fillId="25" borderId="0" xfId="0" applyNumberFormat="1" applyFont="1" applyFill="1" applyBorder="1" applyAlignment="1">
      <alignment vertical="center"/>
    </xf>
    <xf numFmtId="0" fontId="54" fillId="0" borderId="0" xfId="0" applyFont="1"/>
    <xf numFmtId="0" fontId="0" fillId="0" borderId="0" xfId="0" applyFont="1" applyAlignment="1"/>
    <xf numFmtId="0" fontId="0" fillId="25" borderId="0" xfId="0" applyFont="1" applyFill="1" applyAlignment="1">
      <alignment wrapText="1"/>
    </xf>
    <xf numFmtId="49" fontId="0" fillId="0" borderId="0" xfId="0" applyNumberFormat="1" applyFont="1" applyFill="1" applyBorder="1" applyAlignment="1">
      <alignment horizontal="center" vertical="center" wrapText="1"/>
    </xf>
    <xf numFmtId="1" fontId="0" fillId="0" borderId="0" xfId="0" applyNumberFormat="1" applyFont="1" applyFill="1" applyBorder="1" applyAlignment="1">
      <alignment horizontal="center" vertical="center" wrapText="1"/>
    </xf>
    <xf numFmtId="49" fontId="14" fillId="0" borderId="0" xfId="0" applyNumberFormat="1" applyFont="1" applyFill="1" applyBorder="1" applyAlignment="1">
      <alignment horizontal="center" vertical="center" wrapText="1"/>
    </xf>
    <xf numFmtId="0" fontId="0" fillId="0" borderId="34" xfId="0" applyBorder="1"/>
    <xf numFmtId="0" fontId="0" fillId="0" borderId="0" xfId="0" applyFont="1" applyBorder="1" applyAlignment="1"/>
    <xf numFmtId="0" fontId="13" fillId="0" borderId="0" xfId="80"/>
    <xf numFmtId="0" fontId="51" fillId="0" borderId="0" xfId="57" applyFont="1" applyFill="1" applyBorder="1" applyAlignment="1">
      <alignment horizontal="left"/>
    </xf>
    <xf numFmtId="0" fontId="39" fillId="0" borderId="29" xfId="0" applyFont="1" applyBorder="1"/>
    <xf numFmtId="0" fontId="0" fillId="0" borderId="0" xfId="0" applyFont="1" applyFill="1" applyAlignment="1">
      <alignment horizontal="left"/>
    </xf>
    <xf numFmtId="0" fontId="39" fillId="0" borderId="25" xfId="0" applyFont="1" applyBorder="1" applyAlignment="1"/>
    <xf numFmtId="0" fontId="44" fillId="0" borderId="0" xfId="77" applyFont="1" applyBorder="1" applyAlignment="1"/>
    <xf numFmtId="0" fontId="38" fillId="0" borderId="33" xfId="0" applyFont="1" applyFill="1" applyBorder="1" applyAlignment="1">
      <alignment horizontal="left" vertical="center"/>
    </xf>
    <xf numFmtId="0" fontId="44" fillId="0" borderId="0" xfId="57" applyFont="1"/>
    <xf numFmtId="0" fontId="56" fillId="0" borderId="27" xfId="0" applyFont="1" applyBorder="1" applyAlignment="1"/>
    <xf numFmtId="0" fontId="57" fillId="0" borderId="24" xfId="0" applyFont="1" applyBorder="1" applyAlignment="1"/>
    <xf numFmtId="0" fontId="57" fillId="0" borderId="34" xfId="0" applyFont="1" applyBorder="1" applyAlignment="1">
      <alignment horizontal="right"/>
    </xf>
    <xf numFmtId="0" fontId="57" fillId="0" borderId="10" xfId="0" applyFont="1" applyBorder="1"/>
    <xf numFmtId="0" fontId="57" fillId="0" borderId="25" xfId="0" applyFont="1" applyBorder="1" applyAlignment="1"/>
    <xf numFmtId="0" fontId="57" fillId="0" borderId="0" xfId="0" applyFont="1" applyBorder="1" applyAlignment="1"/>
    <xf numFmtId="0" fontId="56" fillId="0" borderId="13" xfId="0" applyFont="1" applyFill="1" applyBorder="1" applyAlignment="1">
      <alignment horizontal="left" vertical="center"/>
    </xf>
    <xf numFmtId="0" fontId="57" fillId="0" borderId="0" xfId="0" applyFont="1"/>
    <xf numFmtId="0" fontId="57" fillId="0" borderId="0" xfId="0" applyFont="1" applyFill="1"/>
    <xf numFmtId="49" fontId="59" fillId="0" borderId="0" xfId="60" applyNumberFormat="1" applyFont="1" applyFill="1" applyBorder="1" applyAlignment="1">
      <alignment vertical="center"/>
    </xf>
    <xf numFmtId="0" fontId="60" fillId="0" borderId="0" xfId="0" applyFont="1"/>
    <xf numFmtId="0" fontId="60" fillId="25" borderId="0" xfId="0" applyFont="1" applyFill="1"/>
    <xf numFmtId="0" fontId="60" fillId="0" borderId="0" xfId="0" applyFont="1" applyFill="1"/>
    <xf numFmtId="0" fontId="60" fillId="0" borderId="0" xfId="0" applyFont="1" applyBorder="1" applyAlignment="1"/>
    <xf numFmtId="0" fontId="60" fillId="0" borderId="0" xfId="0" applyFont="1" applyFill="1" applyBorder="1" applyAlignment="1"/>
    <xf numFmtId="0" fontId="60" fillId="0" borderId="29" xfId="0" applyFont="1" applyBorder="1" applyAlignment="1"/>
    <xf numFmtId="0" fontId="60" fillId="0" borderId="29" xfId="0" applyFont="1" applyFill="1" applyBorder="1" applyAlignment="1"/>
    <xf numFmtId="0" fontId="0" fillId="0" borderId="0" xfId="0" applyFont="1" applyFill="1" applyBorder="1" applyAlignment="1">
      <alignment wrapText="1"/>
    </xf>
    <xf numFmtId="0" fontId="0" fillId="0" borderId="0" xfId="0" applyFont="1" applyFill="1" applyBorder="1" applyAlignment="1">
      <alignment horizontal="left" wrapText="1"/>
    </xf>
    <xf numFmtId="0" fontId="0" fillId="0" borderId="0" xfId="0" applyFill="1" applyBorder="1" applyAlignment="1">
      <alignment vertical="top" wrapText="1"/>
    </xf>
    <xf numFmtId="0" fontId="0" fillId="0" borderId="0" xfId="0" applyFont="1" applyFill="1" applyBorder="1" applyAlignment="1">
      <alignment vertical="top" wrapText="1"/>
    </xf>
    <xf numFmtId="0" fontId="40" fillId="0" borderId="0" xfId="0" applyFont="1" applyFill="1" applyBorder="1" applyAlignment="1">
      <alignment vertical="center"/>
    </xf>
    <xf numFmtId="0" fontId="40" fillId="0" borderId="29" xfId="0" applyFont="1" applyFill="1" applyBorder="1" applyAlignment="1">
      <alignment vertical="center"/>
    </xf>
    <xf numFmtId="0" fontId="38" fillId="0" borderId="16" xfId="0" applyFont="1" applyFill="1" applyBorder="1" applyAlignment="1">
      <alignment horizontal="left" vertical="center"/>
    </xf>
    <xf numFmtId="0" fontId="0" fillId="0" borderId="28" xfId="0" applyBorder="1" applyAlignment="1"/>
    <xf numFmtId="0" fontId="0" fillId="0" borderId="29" xfId="0" applyBorder="1" applyAlignment="1"/>
    <xf numFmtId="0" fontId="0" fillId="0" borderId="25" xfId="0" applyBorder="1" applyAlignment="1"/>
    <xf numFmtId="0" fontId="0" fillId="0" borderId="0" xfId="0" applyBorder="1" applyAlignment="1"/>
    <xf numFmtId="0" fontId="38" fillId="0" borderId="0" xfId="0" applyFont="1" applyFill="1" applyBorder="1" applyAlignment="1">
      <alignment vertical="center"/>
    </xf>
    <xf numFmtId="0" fontId="0" fillId="0" borderId="28" xfId="0" applyBorder="1" applyAlignment="1"/>
    <xf numFmtId="0" fontId="0" fillId="0" borderId="29" xfId="0" applyBorder="1" applyAlignment="1"/>
    <xf numFmtId="0" fontId="54" fillId="0" borderId="0" xfId="0" applyFont="1" applyAlignment="1"/>
    <xf numFmtId="0" fontId="54" fillId="0" borderId="29" xfId="0" applyFont="1" applyBorder="1" applyAlignment="1"/>
    <xf numFmtId="0" fontId="47" fillId="0" borderId="18" xfId="0" applyFont="1" applyBorder="1"/>
    <xf numFmtId="0" fontId="0" fillId="0" borderId="15" xfId="0" applyFont="1" applyBorder="1" applyAlignment="1">
      <alignment horizontal="right"/>
    </xf>
    <xf numFmtId="0" fontId="47" fillId="0" borderId="16" xfId="0" applyFont="1" applyFill="1" applyBorder="1" applyAlignment="1">
      <alignment horizontal="left" vertical="center"/>
    </xf>
    <xf numFmtId="49" fontId="61" fillId="0" borderId="45" xfId="60" applyNumberFormat="1" applyFont="1" applyFill="1" applyBorder="1" applyAlignment="1">
      <alignment horizontal="center" vertical="center" wrapText="1"/>
    </xf>
    <xf numFmtId="0" fontId="61" fillId="0" borderId="45" xfId="0" applyFont="1" applyFill="1" applyBorder="1" applyAlignment="1">
      <alignment horizontal="center" vertical="center"/>
    </xf>
    <xf numFmtId="49" fontId="61" fillId="25" borderId="45" xfId="60" applyNumberFormat="1" applyFont="1" applyFill="1" applyBorder="1" applyAlignment="1">
      <alignment horizontal="center" vertical="center" wrapText="1"/>
    </xf>
    <xf numFmtId="0" fontId="59" fillId="0" borderId="11" xfId="0" applyFont="1" applyFill="1" applyBorder="1" applyAlignment="1">
      <alignment horizontal="left" vertical="center"/>
    </xf>
    <xf numFmtId="0" fontId="60" fillId="0" borderId="14" xfId="0" applyFont="1" applyBorder="1"/>
    <xf numFmtId="0" fontId="0" fillId="0" borderId="18" xfId="0" applyBorder="1"/>
    <xf numFmtId="0" fontId="38" fillId="0" borderId="58" xfId="0" applyFont="1" applyFill="1" applyBorder="1" applyAlignment="1">
      <alignment horizontal="left" vertical="center"/>
    </xf>
    <xf numFmtId="0" fontId="47" fillId="0" borderId="15" xfId="0" applyFont="1" applyBorder="1"/>
    <xf numFmtId="49" fontId="38" fillId="0" borderId="45" xfId="0" applyNumberFormat="1" applyFont="1" applyFill="1" applyBorder="1" applyAlignment="1">
      <alignment horizontal="center" vertical="center" wrapText="1"/>
    </xf>
    <xf numFmtId="49" fontId="38" fillId="25" borderId="45" xfId="62" applyNumberFormat="1" applyFont="1" applyFill="1" applyBorder="1" applyAlignment="1">
      <alignment horizontal="center" vertical="center"/>
    </xf>
    <xf numFmtId="0" fontId="38" fillId="0" borderId="45" xfId="0" applyFont="1" applyBorder="1" applyAlignment="1">
      <alignment horizontal="center" vertical="center"/>
    </xf>
    <xf numFmtId="49" fontId="38" fillId="25" borderId="45" xfId="62" applyNumberFormat="1" applyFont="1" applyFill="1" applyBorder="1" applyAlignment="1">
      <alignment horizontal="center" vertical="center" wrapText="1" shrinkToFit="1"/>
    </xf>
    <xf numFmtId="49" fontId="38" fillId="25" borderId="45" xfId="60" applyNumberFormat="1" applyFont="1" applyFill="1" applyBorder="1" applyAlignment="1">
      <alignment horizontal="center" vertical="center" wrapText="1"/>
    </xf>
    <xf numFmtId="49" fontId="38" fillId="0" borderId="45" xfId="62" applyNumberFormat="1" applyFont="1" applyFill="1" applyBorder="1" applyAlignment="1">
      <alignment horizontal="center" vertical="center" wrapText="1" shrinkToFit="1"/>
    </xf>
    <xf numFmtId="0" fontId="38" fillId="0" borderId="45" xfId="0" applyFont="1" applyFill="1" applyBorder="1" applyAlignment="1">
      <alignment horizontal="center" vertical="center" wrapText="1"/>
    </xf>
    <xf numFmtId="0" fontId="38" fillId="0" borderId="45" xfId="0" applyFont="1" applyFill="1" applyBorder="1" applyAlignment="1">
      <alignment horizontal="center" vertical="center"/>
    </xf>
    <xf numFmtId="49" fontId="38" fillId="25" borderId="45" xfId="62" applyNumberFormat="1" applyFont="1" applyFill="1" applyBorder="1" applyAlignment="1">
      <alignment horizontal="center" vertical="top" wrapText="1"/>
    </xf>
    <xf numFmtId="49" fontId="38" fillId="0" borderId="45" xfId="60" applyNumberFormat="1" applyFont="1" applyFill="1" applyBorder="1" applyAlignment="1">
      <alignment horizontal="center" vertical="center" wrapText="1"/>
    </xf>
    <xf numFmtId="49" fontId="38" fillId="0" borderId="45" xfId="62" applyNumberFormat="1" applyFont="1" applyFill="1" applyBorder="1" applyAlignment="1">
      <alignment horizontal="center" vertical="center" wrapText="1"/>
    </xf>
    <xf numFmtId="0" fontId="38" fillId="0" borderId="45" xfId="0" applyFont="1" applyBorder="1" applyAlignment="1">
      <alignment vertical="center"/>
    </xf>
    <xf numFmtId="49" fontId="38" fillId="0" borderId="45" xfId="62" applyNumberFormat="1" applyFont="1" applyFill="1" applyBorder="1" applyAlignment="1">
      <alignment vertical="center"/>
    </xf>
    <xf numFmtId="49" fontId="38" fillId="0" borderId="45" xfId="59" applyNumberFormat="1" applyFont="1" applyFill="1" applyBorder="1" applyAlignment="1">
      <alignment horizontal="center" vertical="top" wrapText="1"/>
    </xf>
    <xf numFmtId="49" fontId="38" fillId="0" borderId="45" xfId="61" applyNumberFormat="1" applyFont="1" applyFill="1" applyBorder="1" applyAlignment="1">
      <alignment horizontal="center" vertical="center" wrapText="1"/>
    </xf>
    <xf numFmtId="49" fontId="38" fillId="0" borderId="45" xfId="0" applyNumberFormat="1" applyFont="1" applyFill="1" applyBorder="1" applyAlignment="1">
      <alignment horizontal="center" vertical="center"/>
    </xf>
    <xf numFmtId="49" fontId="38" fillId="0" borderId="45" xfId="59" applyNumberFormat="1" applyFont="1" applyFill="1" applyBorder="1" applyAlignment="1">
      <alignment horizontal="center" vertical="center" wrapText="1"/>
    </xf>
    <xf numFmtId="49" fontId="38" fillId="25" borderId="45" xfId="62" applyNumberFormat="1" applyFont="1" applyFill="1" applyBorder="1" applyAlignment="1">
      <alignment horizontal="center" vertical="center" wrapText="1"/>
    </xf>
    <xf numFmtId="49" fontId="38" fillId="0" borderId="45" xfId="61" applyNumberFormat="1" applyFont="1" applyFill="1" applyBorder="1" applyAlignment="1">
      <alignment horizontal="center" vertical="center"/>
    </xf>
    <xf numFmtId="0" fontId="13" fillId="0" borderId="0" xfId="80" applyBorder="1"/>
    <xf numFmtId="0" fontId="13" fillId="0" borderId="42" xfId="80" applyBorder="1"/>
    <xf numFmtId="0" fontId="27" fillId="25" borderId="45" xfId="81" applyFont="1" applyFill="1" applyBorder="1" applyAlignment="1">
      <alignment horizontal="center" vertical="center"/>
    </xf>
    <xf numFmtId="0" fontId="27" fillId="25" borderId="45" xfId="81" applyFont="1" applyFill="1" applyBorder="1" applyAlignment="1">
      <alignment horizontal="center" vertical="center" wrapText="1"/>
    </xf>
    <xf numFmtId="0" fontId="27" fillId="25" borderId="45" xfId="81" applyFont="1" applyFill="1" applyBorder="1" applyAlignment="1">
      <alignment horizontal="center" vertical="center" wrapText="1" shrinkToFit="1"/>
    </xf>
    <xf numFmtId="0" fontId="38" fillId="25" borderId="45" xfId="81" applyFont="1" applyFill="1" applyBorder="1" applyAlignment="1">
      <alignment horizontal="center" vertical="center" wrapText="1"/>
    </xf>
    <xf numFmtId="49" fontId="38" fillId="25" borderId="45" xfId="81" applyNumberFormat="1" applyFont="1" applyFill="1" applyBorder="1" applyAlignment="1">
      <alignment horizontal="center" vertical="center" wrapText="1"/>
    </xf>
    <xf numFmtId="0" fontId="44" fillId="0" borderId="0" xfId="57" applyFont="1" applyBorder="1"/>
    <xf numFmtId="0" fontId="44" fillId="0" borderId="0" xfId="57" applyFont="1" applyBorder="1" applyAlignment="1"/>
    <xf numFmtId="0" fontId="27" fillId="0" borderId="45" xfId="0" applyFont="1" applyFill="1" applyBorder="1" applyAlignment="1">
      <alignment horizontal="center" vertical="center" wrapText="1"/>
    </xf>
    <xf numFmtId="0" fontId="38" fillId="0" borderId="45" xfId="0" applyFont="1" applyFill="1" applyBorder="1" applyAlignment="1">
      <alignment horizontal="center" vertical="center" wrapText="1" shrinkToFit="1"/>
    </xf>
    <xf numFmtId="0" fontId="38" fillId="0" borderId="0" xfId="0" applyFont="1" applyBorder="1"/>
    <xf numFmtId="0" fontId="51" fillId="0" borderId="45" xfId="0" applyFont="1" applyFill="1" applyBorder="1" applyAlignment="1">
      <alignment horizontal="center" vertical="center" wrapText="1"/>
    </xf>
    <xf numFmtId="0" fontId="38" fillId="0" borderId="0" xfId="0" applyFont="1" applyFill="1" applyBorder="1" applyAlignment="1">
      <alignment horizontal="center" vertical="center" wrapText="1"/>
    </xf>
    <xf numFmtId="49" fontId="38" fillId="0" borderId="14" xfId="0" applyNumberFormat="1" applyFont="1" applyFill="1" applyBorder="1" applyAlignment="1">
      <alignment horizontal="center" vertical="center"/>
    </xf>
    <xf numFmtId="49" fontId="38" fillId="0" borderId="12" xfId="0" applyNumberFormat="1" applyFont="1" applyFill="1" applyBorder="1" applyAlignment="1">
      <alignment horizontal="center" vertical="center" wrapText="1"/>
    </xf>
    <xf numFmtId="49" fontId="38" fillId="0" borderId="61" xfId="0" applyNumberFormat="1" applyFont="1" applyFill="1" applyBorder="1" applyAlignment="1">
      <alignment horizontal="center" vertical="center" wrapText="1"/>
    </xf>
    <xf numFmtId="49" fontId="38" fillId="0" borderId="62" xfId="0" applyNumberFormat="1" applyFont="1" applyFill="1" applyBorder="1" applyAlignment="1">
      <alignment horizontal="center" vertical="center" wrapText="1"/>
    </xf>
    <xf numFmtId="0" fontId="38" fillId="0" borderId="12" xfId="0" applyFont="1" applyFill="1" applyBorder="1" applyAlignment="1">
      <alignment horizontal="center" vertical="center" wrapText="1"/>
    </xf>
    <xf numFmtId="49" fontId="27" fillId="0" borderId="12" xfId="0" applyNumberFormat="1" applyFont="1" applyFill="1" applyBorder="1" applyAlignment="1">
      <alignment horizontal="center" vertical="center" wrapText="1"/>
    </xf>
    <xf numFmtId="49" fontId="27" fillId="0" borderId="61" xfId="0" applyNumberFormat="1" applyFont="1" applyFill="1" applyBorder="1" applyAlignment="1">
      <alignment horizontal="center" vertical="center" wrapText="1"/>
    </xf>
    <xf numFmtId="0" fontId="14" fillId="0" borderId="0" xfId="0" applyFont="1" applyFill="1" applyBorder="1" applyAlignment="1">
      <alignment horizontal="center" vertical="center"/>
    </xf>
    <xf numFmtId="0" fontId="41" fillId="0" borderId="0" xfId="0" applyFont="1" applyFill="1" applyBorder="1" applyAlignment="1">
      <alignment horizontal="center" vertical="center"/>
    </xf>
    <xf numFmtId="49" fontId="14" fillId="0" borderId="0" xfId="0" applyNumberFormat="1" applyFont="1" applyFill="1" applyBorder="1" applyAlignment="1">
      <alignment horizontal="center" vertical="center"/>
    </xf>
    <xf numFmtId="49" fontId="0" fillId="0" borderId="52" xfId="0" applyNumberFormat="1" applyFont="1" applyFill="1" applyBorder="1" applyAlignment="1">
      <alignment horizontal="center" vertical="center" wrapText="1"/>
    </xf>
    <xf numFmtId="49" fontId="0" fillId="0" borderId="51" xfId="0" applyNumberFormat="1" applyFont="1" applyFill="1" applyBorder="1" applyAlignment="1">
      <alignment horizontal="center" vertical="center" wrapText="1"/>
    </xf>
    <xf numFmtId="0" fontId="38" fillId="0" borderId="49" xfId="0" applyFont="1" applyFill="1" applyBorder="1" applyAlignment="1">
      <alignment horizontal="center" vertical="center"/>
    </xf>
    <xf numFmtId="49" fontId="38" fillId="0" borderId="49" xfId="0" applyNumberFormat="1" applyFont="1" applyFill="1" applyBorder="1" applyAlignment="1">
      <alignment horizontal="center" vertical="center" wrapText="1"/>
    </xf>
    <xf numFmtId="0" fontId="62" fillId="0" borderId="0" xfId="0" applyFont="1" applyFill="1" applyAlignment="1">
      <alignment horizontal="left"/>
    </xf>
    <xf numFmtId="0" fontId="38" fillId="0" borderId="0" xfId="0" applyFont="1" applyFill="1" applyBorder="1" applyAlignment="1">
      <alignment horizontal="left" vertical="center"/>
    </xf>
    <xf numFmtId="0" fontId="0" fillId="26" borderId="17" xfId="0" applyFont="1" applyFill="1" applyBorder="1"/>
    <xf numFmtId="0" fontId="49" fillId="0" borderId="14" xfId="0" applyFont="1" applyFill="1" applyBorder="1" applyAlignment="1">
      <alignment horizontal="center" vertical="center" wrapText="1"/>
    </xf>
    <xf numFmtId="49" fontId="49" fillId="0" borderId="19" xfId="0" applyNumberFormat="1" applyFont="1" applyFill="1" applyBorder="1" applyAlignment="1">
      <alignment horizontal="center" vertical="center" wrapText="1"/>
    </xf>
    <xf numFmtId="49" fontId="61" fillId="26" borderId="45" xfId="60" applyNumberFormat="1" applyFont="1" applyFill="1" applyBorder="1" applyAlignment="1">
      <alignment horizontal="center" vertical="center" wrapText="1"/>
    </xf>
    <xf numFmtId="0" fontId="60" fillId="26" borderId="11" xfId="0" applyFont="1" applyFill="1" applyBorder="1"/>
    <xf numFmtId="49" fontId="27" fillId="26" borderId="45" xfId="60" applyNumberFormat="1" applyFont="1" applyFill="1" applyBorder="1" applyAlignment="1">
      <alignment horizontal="center" vertical="center" wrapText="1"/>
    </xf>
    <xf numFmtId="0" fontId="39" fillId="26" borderId="11" xfId="79" applyFont="1" applyFill="1" applyBorder="1"/>
    <xf numFmtId="0" fontId="44" fillId="26" borderId="11" xfId="77" applyFont="1" applyFill="1" applyBorder="1"/>
    <xf numFmtId="0" fontId="44" fillId="26" borderId="34" xfId="77" applyFont="1" applyFill="1" applyBorder="1"/>
    <xf numFmtId="0" fontId="47" fillId="26" borderId="17" xfId="0" applyFont="1" applyFill="1" applyBorder="1" applyAlignment="1">
      <alignment horizontal="left" vertical="center"/>
    </xf>
    <xf numFmtId="0" fontId="38" fillId="26" borderId="49" xfId="0" applyFont="1" applyFill="1" applyBorder="1" applyAlignment="1">
      <alignment horizontal="center" vertical="center" wrapText="1"/>
    </xf>
    <xf numFmtId="49" fontId="38" fillId="26" borderId="49" xfId="0" applyNumberFormat="1" applyFont="1" applyFill="1" applyBorder="1" applyAlignment="1">
      <alignment horizontal="center" vertical="center" wrapText="1"/>
    </xf>
    <xf numFmtId="0" fontId="0" fillId="26" borderId="49" xfId="0" applyFill="1" applyBorder="1"/>
    <xf numFmtId="0" fontId="0" fillId="0" borderId="57" xfId="0" applyBorder="1"/>
    <xf numFmtId="0" fontId="38" fillId="0" borderId="59" xfId="0" applyFont="1" applyFill="1" applyBorder="1" applyAlignment="1">
      <alignment horizontal="left" vertical="center"/>
    </xf>
    <xf numFmtId="49" fontId="38" fillId="26" borderId="45" xfId="60" applyNumberFormat="1" applyFont="1" applyFill="1" applyBorder="1" applyAlignment="1">
      <alignment horizontal="center" vertical="center" wrapText="1"/>
    </xf>
    <xf numFmtId="0" fontId="38" fillId="26" borderId="45" xfId="0" applyFont="1" applyFill="1" applyBorder="1" applyAlignment="1">
      <alignment horizontal="center" vertical="center" wrapText="1"/>
    </xf>
    <xf numFmtId="49" fontId="38" fillId="26" borderId="19" xfId="60" applyNumberFormat="1" applyFont="1" applyFill="1" applyBorder="1" applyAlignment="1">
      <alignment horizontal="center" vertical="center" wrapText="1"/>
    </xf>
    <xf numFmtId="0" fontId="38" fillId="26" borderId="45" xfId="81" applyFont="1" applyFill="1" applyBorder="1" applyAlignment="1">
      <alignment horizontal="center" vertical="center" wrapText="1"/>
    </xf>
    <xf numFmtId="0" fontId="57" fillId="26" borderId="13" xfId="0" applyFont="1" applyFill="1" applyBorder="1"/>
    <xf numFmtId="0" fontId="57" fillId="26" borderId="45" xfId="0" applyFont="1" applyFill="1" applyBorder="1"/>
    <xf numFmtId="0" fontId="50" fillId="0" borderId="68" xfId="0" applyFont="1" applyFill="1" applyBorder="1" applyAlignment="1">
      <alignment horizontal="center" vertical="center" wrapText="1"/>
    </xf>
    <xf numFmtId="0" fontId="50" fillId="0" borderId="69" xfId="0" applyFont="1" applyFill="1" applyBorder="1" applyAlignment="1">
      <alignment horizontal="center" vertical="center" wrapText="1"/>
    </xf>
    <xf numFmtId="0" fontId="39" fillId="0" borderId="0" xfId="0" applyFont="1" applyBorder="1" applyAlignment="1">
      <alignment horizontal="center" vertical="center"/>
    </xf>
    <xf numFmtId="49" fontId="38" fillId="27" borderId="60" xfId="0" applyNumberFormat="1" applyFont="1" applyFill="1" applyBorder="1" applyAlignment="1">
      <alignment horizontal="center" vertical="center" wrapText="1"/>
    </xf>
    <xf numFmtId="49" fontId="38" fillId="27" borderId="45" xfId="60" applyNumberFormat="1" applyFont="1" applyFill="1" applyBorder="1" applyAlignment="1">
      <alignment horizontal="center" vertical="center" wrapText="1"/>
    </xf>
    <xf numFmtId="0" fontId="38" fillId="27" borderId="45" xfId="81" applyFont="1" applyFill="1" applyBorder="1" applyAlignment="1">
      <alignment horizontal="center" vertical="center" wrapText="1"/>
    </xf>
    <xf numFmtId="0" fontId="55" fillId="26" borderId="60" xfId="80" applyFont="1" applyFill="1" applyBorder="1"/>
    <xf numFmtId="0" fontId="39" fillId="0" borderId="70" xfId="0" applyFont="1" applyBorder="1"/>
    <xf numFmtId="0" fontId="38" fillId="25" borderId="45" xfId="0" applyFont="1" applyFill="1" applyBorder="1" applyAlignment="1">
      <alignment horizontal="center" vertical="center" wrapText="1"/>
    </xf>
    <xf numFmtId="0" fontId="38" fillId="26" borderId="50" xfId="0" applyFont="1" applyFill="1" applyBorder="1" applyAlignment="1">
      <alignment horizontal="center" vertical="center" wrapText="1"/>
    </xf>
    <xf numFmtId="0" fontId="38" fillId="0" borderId="0" xfId="0" applyFont="1" applyFill="1" applyBorder="1" applyAlignment="1">
      <alignment horizontal="left" vertical="center"/>
    </xf>
    <xf numFmtId="0" fontId="0" fillId="0" borderId="70" xfId="0" applyFont="1" applyFill="1" applyBorder="1" applyAlignment="1">
      <alignment horizontal="center"/>
    </xf>
    <xf numFmtId="2" fontId="0" fillId="0" borderId="70" xfId="0" applyNumberFormat="1" applyFont="1" applyFill="1" applyBorder="1" applyAlignment="1">
      <alignment horizontal="center" vertical="center"/>
    </xf>
    <xf numFmtId="0" fontId="0" fillId="26" borderId="70" xfId="0" applyFill="1" applyBorder="1"/>
    <xf numFmtId="0" fontId="39" fillId="26" borderId="70" xfId="0" applyFont="1" applyFill="1" applyBorder="1"/>
    <xf numFmtId="0" fontId="38" fillId="0" borderId="15" xfId="0" applyFont="1" applyFill="1" applyBorder="1" applyAlignment="1">
      <alignment horizontal="left" vertical="center"/>
    </xf>
    <xf numFmtId="0" fontId="0" fillId="0" borderId="28" xfId="0" applyFont="1" applyBorder="1" applyAlignment="1"/>
    <xf numFmtId="0" fontId="0" fillId="0" borderId="29" xfId="0" applyFont="1" applyBorder="1" applyAlignment="1"/>
    <xf numFmtId="49" fontId="38" fillId="0" borderId="17" xfId="0" applyNumberFormat="1" applyFont="1" applyFill="1" applyBorder="1" applyAlignment="1">
      <alignment vertical="center"/>
    </xf>
    <xf numFmtId="49" fontId="0" fillId="0" borderId="11" xfId="0" applyNumberFormat="1" applyFont="1" applyFill="1" applyBorder="1" applyAlignment="1">
      <alignment horizontal="center" vertical="center"/>
    </xf>
    <xf numFmtId="0" fontId="0" fillId="0" borderId="0" xfId="0" applyFill="1" applyBorder="1"/>
    <xf numFmtId="0" fontId="57" fillId="0" borderId="0" xfId="0" applyFont="1" applyFill="1" applyBorder="1"/>
    <xf numFmtId="0" fontId="13" fillId="0" borderId="0" xfId="80" applyFill="1" applyBorder="1"/>
    <xf numFmtId="0" fontId="60" fillId="0" borderId="0" xfId="0" applyFont="1" applyFill="1" applyBorder="1"/>
    <xf numFmtId="49" fontId="56" fillId="0" borderId="45" xfId="0" applyNumberFormat="1" applyFont="1" applyFill="1" applyBorder="1" applyAlignment="1">
      <alignment horizontal="center" vertical="center"/>
    </xf>
    <xf numFmtId="0" fontId="27" fillId="0" borderId="45" xfId="81" applyFont="1" applyFill="1" applyBorder="1" applyAlignment="1">
      <alignment horizontal="center" vertical="center"/>
    </xf>
    <xf numFmtId="0" fontId="39" fillId="26" borderId="71" xfId="79" applyFont="1" applyFill="1" applyBorder="1"/>
    <xf numFmtId="0" fontId="39" fillId="26" borderId="70" xfId="79" applyFont="1" applyFill="1" applyBorder="1"/>
    <xf numFmtId="0" fontId="44" fillId="26" borderId="70" xfId="77" applyFont="1" applyFill="1" applyBorder="1"/>
    <xf numFmtId="49" fontId="39" fillId="26" borderId="70" xfId="60" applyNumberFormat="1" applyFont="1" applyFill="1" applyBorder="1" applyAlignment="1">
      <alignment vertical="center"/>
    </xf>
    <xf numFmtId="0" fontId="39" fillId="0" borderId="70" xfId="0" applyFont="1" applyFill="1" applyBorder="1" applyAlignment="1">
      <alignment horizontal="center" vertical="center"/>
    </xf>
    <xf numFmtId="0" fontId="39" fillId="0" borderId="70" xfId="0" applyFont="1" applyFill="1" applyBorder="1" applyAlignment="1">
      <alignment vertical="center" wrapText="1"/>
    </xf>
    <xf numFmtId="0" fontId="39" fillId="25" borderId="70" xfId="67" applyFont="1" applyFill="1" applyBorder="1" applyAlignment="1">
      <alignment horizontal="left" vertical="center"/>
    </xf>
    <xf numFmtId="0" fontId="39" fillId="0" borderId="70" xfId="0" applyFont="1" applyFill="1" applyBorder="1" applyAlignment="1">
      <alignment horizontal="center" vertical="center" wrapText="1"/>
    </xf>
    <xf numFmtId="0" fontId="0" fillId="0" borderId="0" xfId="0" applyFont="1" applyFill="1" applyBorder="1" applyAlignment="1"/>
    <xf numFmtId="49" fontId="39" fillId="0" borderId="70" xfId="60" applyNumberFormat="1" applyFont="1" applyFill="1" applyBorder="1" applyAlignment="1">
      <alignment horizontal="center" vertical="center" wrapText="1"/>
    </xf>
    <xf numFmtId="0" fontId="44" fillId="26" borderId="73" xfId="77" applyFont="1" applyFill="1" applyBorder="1"/>
    <xf numFmtId="0" fontId="0" fillId="0" borderId="0" xfId="0" applyFill="1"/>
    <xf numFmtId="0" fontId="39" fillId="0" borderId="0" xfId="0" applyFont="1" applyFill="1"/>
    <xf numFmtId="49" fontId="42" fillId="0" borderId="0" xfId="0" applyNumberFormat="1" applyFont="1" applyFill="1" applyBorder="1" applyAlignment="1">
      <alignment vertical="center"/>
    </xf>
    <xf numFmtId="49" fontId="39" fillId="0" borderId="0" xfId="60" applyNumberFormat="1" applyFont="1" applyFill="1" applyBorder="1" applyAlignment="1">
      <alignment horizontal="center" vertical="center" wrapText="1"/>
    </xf>
    <xf numFmtId="0" fontId="39" fillId="0" borderId="0" xfId="60" applyNumberFormat="1" applyFont="1" applyFill="1" applyBorder="1" applyAlignment="1">
      <alignment horizontal="center" vertical="center" wrapText="1"/>
    </xf>
    <xf numFmtId="0" fontId="0" fillId="0" borderId="0" xfId="0" applyNumberFormat="1" applyFont="1" applyFill="1" applyBorder="1" applyAlignment="1">
      <alignment horizontal="center" vertical="center"/>
    </xf>
    <xf numFmtId="2" fontId="0" fillId="0" borderId="0" xfId="0" applyNumberFormat="1" applyFont="1" applyFill="1" applyBorder="1" applyAlignment="1">
      <alignment vertical="center"/>
    </xf>
    <xf numFmtId="49" fontId="64" fillId="0" borderId="0" xfId="0" applyNumberFormat="1" applyFont="1" applyFill="1" applyBorder="1" applyAlignment="1">
      <alignment horizontal="center" vertical="center"/>
    </xf>
    <xf numFmtId="0" fontId="0" fillId="0" borderId="70" xfId="0" applyFont="1" applyFill="1" applyBorder="1" applyAlignment="1">
      <alignment horizontal="center" vertical="center"/>
    </xf>
    <xf numFmtId="0" fontId="0" fillId="0" borderId="70" xfId="0" applyFont="1" applyFill="1" applyBorder="1" applyAlignment="1">
      <alignment horizontal="center" vertical="center" wrapText="1"/>
    </xf>
    <xf numFmtId="0" fontId="0" fillId="0" borderId="0" xfId="0" applyFont="1" applyFill="1" applyAlignment="1">
      <alignment horizontal="center" vertical="center"/>
    </xf>
    <xf numFmtId="0" fontId="0" fillId="26" borderId="70" xfId="0" applyFont="1" applyFill="1" applyBorder="1" applyAlignment="1">
      <alignment horizontal="center" vertical="center"/>
    </xf>
    <xf numFmtId="0" fontId="0" fillId="0" borderId="0" xfId="0" applyFont="1" applyAlignment="1">
      <alignment horizontal="left"/>
    </xf>
    <xf numFmtId="49" fontId="39" fillId="0" borderId="70" xfId="0" applyNumberFormat="1" applyFont="1" applyFill="1" applyBorder="1" applyAlignment="1">
      <alignment horizontal="center" vertical="center"/>
    </xf>
    <xf numFmtId="49" fontId="39" fillId="0" borderId="70" xfId="60" applyNumberFormat="1" applyFont="1" applyFill="1" applyBorder="1" applyAlignment="1">
      <alignment horizontal="center" vertical="center"/>
    </xf>
    <xf numFmtId="9" fontId="39" fillId="0" borderId="70" xfId="60" applyNumberFormat="1" applyFont="1" applyFill="1" applyBorder="1" applyAlignment="1">
      <alignment horizontal="center" vertical="center" wrapText="1"/>
    </xf>
    <xf numFmtId="0" fontId="39" fillId="0" borderId="70" xfId="0" applyFont="1" applyBorder="1" applyAlignment="1">
      <alignment wrapText="1"/>
    </xf>
    <xf numFmtId="49" fontId="38" fillId="27" borderId="50" xfId="60" applyNumberFormat="1" applyFont="1" applyFill="1" applyBorder="1" applyAlignment="1">
      <alignment horizontal="center" vertical="center" wrapText="1"/>
    </xf>
    <xf numFmtId="0" fontId="39" fillId="0" borderId="0" xfId="0" applyFont="1" applyFill="1" applyAlignment="1">
      <alignment wrapText="1"/>
    </xf>
    <xf numFmtId="0" fontId="39" fillId="0" borderId="70" xfId="57" applyFont="1" applyFill="1" applyBorder="1" applyAlignment="1">
      <alignment horizontal="center" wrapText="1"/>
    </xf>
    <xf numFmtId="0" fontId="39" fillId="0" borderId="0" xfId="67" applyFont="1" applyFill="1" applyBorder="1" applyAlignment="1">
      <alignment horizontal="center" vertical="center"/>
    </xf>
    <xf numFmtId="0" fontId="39" fillId="0" borderId="0" xfId="67" applyFont="1" applyFill="1" applyBorder="1" applyAlignment="1">
      <alignment horizontal="center"/>
    </xf>
    <xf numFmtId="0" fontId="39" fillId="0" borderId="0" xfId="67" applyFont="1" applyFill="1" applyBorder="1" applyAlignment="1">
      <alignment horizontal="right" vertical="center" indent="1"/>
    </xf>
    <xf numFmtId="0" fontId="39" fillId="0" borderId="0" xfId="0" applyFont="1" applyFill="1" applyBorder="1" applyAlignment="1">
      <alignment horizontal="center" vertical="center"/>
    </xf>
    <xf numFmtId="0" fontId="42" fillId="0" borderId="0" xfId="67" applyFont="1" applyFill="1" applyBorder="1" applyAlignment="1">
      <alignment vertical="center"/>
    </xf>
    <xf numFmtId="49" fontId="42" fillId="0" borderId="0" xfId="60" applyNumberFormat="1" applyFont="1" applyFill="1" applyBorder="1" applyAlignment="1">
      <alignment horizontal="center" vertical="center" wrapText="1"/>
    </xf>
    <xf numFmtId="0" fontId="42" fillId="0" borderId="0" xfId="67" applyFont="1" applyFill="1" applyBorder="1" applyAlignment="1">
      <alignment horizontal="center" vertical="center"/>
    </xf>
    <xf numFmtId="0" fontId="42" fillId="0" borderId="0" xfId="67" applyFont="1" applyFill="1" applyBorder="1" applyAlignment="1">
      <alignment horizontal="right" vertical="center" indent="1"/>
    </xf>
    <xf numFmtId="0" fontId="42" fillId="0" borderId="0" xfId="84" applyFont="1" applyFill="1" applyBorder="1" applyAlignment="1">
      <alignment horizontal="center"/>
    </xf>
    <xf numFmtId="0" fontId="39" fillId="0" borderId="0" xfId="67" applyFont="1" applyFill="1" applyBorder="1" applyAlignment="1">
      <alignment vertical="center"/>
    </xf>
    <xf numFmtId="0" fontId="39" fillId="0" borderId="0" xfId="0" applyFont="1" applyFill="1" applyBorder="1" applyAlignment="1">
      <alignment horizontal="center"/>
    </xf>
    <xf numFmtId="0" fontId="39" fillId="0" borderId="0" xfId="67" applyFont="1" applyFill="1" applyBorder="1" applyAlignment="1">
      <alignment horizontal="left" vertical="center"/>
    </xf>
    <xf numFmtId="49" fontId="39" fillId="0" borderId="0" xfId="60" applyNumberFormat="1" applyFont="1" applyFill="1" applyBorder="1" applyAlignment="1">
      <alignment horizontal="left" vertical="center" wrapText="1"/>
    </xf>
    <xf numFmtId="0" fontId="39" fillId="0" borderId="70" xfId="57" applyFont="1" applyBorder="1" applyAlignment="1">
      <alignment horizontal="center" vertical="center" wrapText="1"/>
    </xf>
    <xf numFmtId="0" fontId="39" fillId="0" borderId="70" xfId="57" applyFont="1" applyBorder="1" applyAlignment="1">
      <alignment horizontal="center" wrapText="1"/>
    </xf>
    <xf numFmtId="0" fontId="39" fillId="0" borderId="0" xfId="57" applyFont="1" applyAlignment="1">
      <alignment horizontal="center"/>
    </xf>
    <xf numFmtId="0" fontId="56" fillId="0" borderId="45" xfId="0" applyFont="1" applyFill="1" applyBorder="1" applyAlignment="1">
      <alignment horizontal="center" vertical="center" wrapText="1"/>
    </xf>
    <xf numFmtId="0" fontId="38" fillId="0" borderId="45" xfId="0" applyFont="1" applyFill="1" applyBorder="1" applyAlignment="1">
      <alignment horizontal="left" vertical="center" wrapText="1"/>
    </xf>
    <xf numFmtId="0" fontId="57" fillId="0" borderId="45" xfId="0" applyFont="1" applyFill="1" applyBorder="1"/>
    <xf numFmtId="0" fontId="58" fillId="0" borderId="45" xfId="0" applyFont="1" applyFill="1" applyBorder="1" applyAlignment="1">
      <alignment horizontal="center" vertical="center" wrapText="1"/>
    </xf>
    <xf numFmtId="49" fontId="58" fillId="0" borderId="45" xfId="60" applyNumberFormat="1" applyFont="1" applyFill="1" applyBorder="1" applyAlignment="1">
      <alignment horizontal="center" vertical="center" wrapText="1"/>
    </xf>
    <xf numFmtId="49" fontId="56" fillId="0" borderId="45" xfId="0" applyNumberFormat="1" applyFont="1" applyFill="1" applyBorder="1" applyAlignment="1">
      <alignment horizontal="center" vertical="center" wrapText="1"/>
    </xf>
    <xf numFmtId="0" fontId="56" fillId="0" borderId="50" xfId="0" applyFont="1" applyFill="1" applyBorder="1" applyAlignment="1">
      <alignment horizontal="center" vertical="center" wrapText="1"/>
    </xf>
    <xf numFmtId="0" fontId="42" fillId="0" borderId="0" xfId="84" applyFont="1" applyFill="1" applyBorder="1" applyAlignment="1">
      <alignment horizontal="center" vertical="center"/>
    </xf>
    <xf numFmtId="0" fontId="42" fillId="0" borderId="0" xfId="67" applyFont="1" applyFill="1" applyBorder="1" applyAlignment="1">
      <alignment horizontal="center" wrapText="1"/>
    </xf>
    <xf numFmtId="49" fontId="42" fillId="0" borderId="0" xfId="84" applyNumberFormat="1" applyFont="1" applyFill="1" applyBorder="1" applyAlignment="1">
      <alignment horizontal="center" vertical="center"/>
    </xf>
    <xf numFmtId="0" fontId="42" fillId="0" borderId="0" xfId="0" applyFont="1" applyFill="1" applyBorder="1" applyAlignment="1">
      <alignment horizontal="center" vertical="center"/>
    </xf>
    <xf numFmtId="49" fontId="39" fillId="0" borderId="0" xfId="0" applyNumberFormat="1" applyFont="1" applyFill="1" applyBorder="1" applyAlignment="1">
      <alignment horizontal="center" vertical="center"/>
    </xf>
    <xf numFmtId="0" fontId="42" fillId="0" borderId="0" xfId="67" applyFont="1" applyFill="1" applyBorder="1"/>
    <xf numFmtId="0" fontId="53" fillId="0" borderId="78" xfId="0" applyFont="1" applyBorder="1" applyAlignment="1">
      <alignment horizontal="center" vertical="center" wrapText="1"/>
    </xf>
    <xf numFmtId="0" fontId="53" fillId="0" borderId="19" xfId="0" applyFont="1" applyBorder="1" applyAlignment="1">
      <alignment horizontal="center" vertical="center" wrapText="1"/>
    </xf>
    <xf numFmtId="0" fontId="53" fillId="0" borderId="23" xfId="0" applyFont="1" applyBorder="1" applyAlignment="1">
      <alignment horizontal="center" vertical="center" wrapText="1"/>
    </xf>
    <xf numFmtId="0" fontId="53" fillId="0" borderId="64" xfId="0" applyFont="1" applyBorder="1" applyAlignment="1">
      <alignment horizontal="center" vertical="center" wrapText="1"/>
    </xf>
    <xf numFmtId="0" fontId="53" fillId="0" borderId="11" xfId="0" applyFont="1" applyBorder="1" applyAlignment="1">
      <alignment horizontal="center" vertical="center" wrapText="1"/>
    </xf>
    <xf numFmtId="0" fontId="45" fillId="0" borderId="11" xfId="0" applyFont="1" applyBorder="1" applyAlignment="1">
      <alignment horizontal="center" vertical="center" wrapText="1"/>
    </xf>
    <xf numFmtId="0" fontId="53" fillId="0" borderId="65" xfId="0" applyFont="1" applyBorder="1" applyAlignment="1">
      <alignment horizontal="center" vertical="center" wrapText="1"/>
    </xf>
    <xf numFmtId="0" fontId="52" fillId="0" borderId="13" xfId="0" applyFont="1" applyFill="1" applyBorder="1" applyAlignment="1">
      <alignment horizontal="center" vertical="center" wrapText="1" shrinkToFit="1"/>
    </xf>
    <xf numFmtId="0" fontId="0" fillId="0" borderId="11" xfId="0" applyFont="1" applyBorder="1" applyAlignment="1" applyProtection="1">
      <alignment horizontal="center"/>
    </xf>
    <xf numFmtId="0" fontId="0" fillId="0" borderId="70" xfId="0" applyFont="1" applyBorder="1" applyAlignment="1" applyProtection="1">
      <alignment horizontal="center"/>
    </xf>
    <xf numFmtId="0" fontId="38" fillId="0" borderId="0" xfId="0" applyFont="1" applyFill="1" applyBorder="1" applyAlignment="1">
      <alignment horizontal="center" vertical="center" textRotation="90"/>
    </xf>
    <xf numFmtId="0" fontId="0" fillId="0" borderId="0" xfId="0" applyFont="1" applyFill="1" applyBorder="1" applyAlignment="1">
      <alignment horizontal="center"/>
    </xf>
    <xf numFmtId="0" fontId="38" fillId="0" borderId="0" xfId="0" applyFont="1" applyFill="1" applyBorder="1" applyAlignment="1">
      <alignment horizontal="center" vertical="center"/>
    </xf>
    <xf numFmtId="49" fontId="38" fillId="0" borderId="0" xfId="0" applyNumberFormat="1" applyFont="1" applyFill="1" applyBorder="1" applyAlignment="1">
      <alignment horizontal="center" vertical="center" wrapText="1"/>
    </xf>
    <xf numFmtId="0" fontId="0" fillId="0" borderId="0" xfId="0" applyFont="1" applyFill="1" applyBorder="1" applyAlignment="1">
      <alignment horizontal="center" vertical="center" wrapText="1"/>
    </xf>
    <xf numFmtId="49" fontId="66" fillId="0" borderId="0" xfId="0" applyNumberFormat="1" applyFont="1" applyFill="1" applyBorder="1" applyAlignment="1">
      <alignment vertical="center"/>
    </xf>
    <xf numFmtId="49" fontId="38" fillId="0" borderId="0" xfId="0" applyNumberFormat="1" applyFont="1" applyFill="1" applyBorder="1" applyAlignment="1">
      <alignment horizontal="center" vertical="center"/>
    </xf>
    <xf numFmtId="0" fontId="38" fillId="0" borderId="18" xfId="0" applyFont="1" applyFill="1" applyBorder="1" applyAlignment="1">
      <alignment horizontal="left" vertical="center"/>
    </xf>
    <xf numFmtId="0" fontId="38" fillId="0" borderId="80" xfId="0" applyFont="1" applyFill="1" applyBorder="1" applyAlignment="1">
      <alignment horizontal="left" vertical="center"/>
    </xf>
    <xf numFmtId="49" fontId="38" fillId="0" borderId="81" xfId="0" applyNumberFormat="1" applyFont="1" applyFill="1" applyBorder="1" applyAlignment="1">
      <alignment vertical="center"/>
    </xf>
    <xf numFmtId="0" fontId="38" fillId="0" borderId="14" xfId="0" applyFont="1" applyFill="1" applyBorder="1" applyAlignment="1">
      <alignment horizontal="center" vertical="center" wrapText="1"/>
    </xf>
    <xf numFmtId="0" fontId="38" fillId="25" borderId="12" xfId="0" applyFont="1" applyFill="1" applyBorder="1" applyAlignment="1">
      <alignment horizontal="center" vertical="center" wrapText="1"/>
    </xf>
    <xf numFmtId="0" fontId="38" fillId="25" borderId="35" xfId="0" applyFont="1" applyFill="1" applyBorder="1" applyAlignment="1">
      <alignment horizontal="center" vertical="center" wrapText="1"/>
    </xf>
    <xf numFmtId="0" fontId="38" fillId="26" borderId="45" xfId="0" applyFont="1" applyFill="1" applyBorder="1" applyAlignment="1">
      <alignment vertical="center" wrapText="1"/>
    </xf>
    <xf numFmtId="0" fontId="0" fillId="0" borderId="83" xfId="0" applyFont="1" applyBorder="1" applyAlignment="1"/>
    <xf numFmtId="0" fontId="0" fillId="0" borderId="40" xfId="0" applyFont="1" applyBorder="1" applyAlignment="1"/>
    <xf numFmtId="0" fontId="0" fillId="0" borderId="25" xfId="0" applyFont="1" applyBorder="1" applyAlignment="1"/>
    <xf numFmtId="0" fontId="0" fillId="0" borderId="0" xfId="0" applyFont="1" applyBorder="1" applyAlignment="1">
      <alignment wrapText="1"/>
    </xf>
    <xf numFmtId="49" fontId="38" fillId="0" borderId="0" xfId="0" applyNumberFormat="1" applyFont="1" applyAlignment="1">
      <alignment vertical="top"/>
    </xf>
    <xf numFmtId="0" fontId="0" fillId="0" borderId="70" xfId="0" applyFont="1" applyFill="1" applyBorder="1" applyAlignment="1">
      <alignment vertical="top" wrapText="1"/>
    </xf>
    <xf numFmtId="0" fontId="63" fillId="0" borderId="70" xfId="83" applyBorder="1" applyAlignment="1">
      <alignment vertical="top" wrapText="1"/>
    </xf>
    <xf numFmtId="0" fontId="0" fillId="0" borderId="70" xfId="0" applyFill="1" applyBorder="1" applyAlignment="1">
      <alignment vertical="top" wrapText="1"/>
    </xf>
    <xf numFmtId="49" fontId="50" fillId="26" borderId="25" xfId="0" applyNumberFormat="1" applyFont="1" applyFill="1" applyBorder="1" applyAlignment="1">
      <alignment horizontal="center" vertical="center" wrapText="1"/>
    </xf>
    <xf numFmtId="0" fontId="51" fillId="0" borderId="0" xfId="0" applyFont="1" applyFill="1" applyBorder="1" applyAlignment="1">
      <alignment horizontal="center" vertical="center" wrapText="1" shrinkToFit="1"/>
    </xf>
    <xf numFmtId="0" fontId="38" fillId="0" borderId="0" xfId="67" applyFont="1" applyFill="1" applyBorder="1" applyAlignment="1">
      <alignment horizontal="center" vertical="center" wrapText="1" shrinkToFit="1"/>
    </xf>
    <xf numFmtId="0" fontId="56" fillId="0" borderId="0" xfId="0" applyFont="1" applyFill="1" applyBorder="1" applyAlignment="1">
      <alignment horizontal="center" vertical="center" wrapText="1"/>
    </xf>
    <xf numFmtId="0" fontId="53" fillId="26" borderId="84" xfId="0" applyFont="1" applyFill="1" applyBorder="1" applyAlignment="1">
      <alignment horizontal="center" vertical="center" wrapText="1"/>
    </xf>
    <xf numFmtId="0" fontId="0" fillId="0" borderId="0" xfId="0" applyBorder="1" applyAlignment="1"/>
    <xf numFmtId="0" fontId="0" fillId="0" borderId="0" xfId="0" applyAlignment="1">
      <alignment horizontal="right"/>
    </xf>
    <xf numFmtId="0" fontId="0" fillId="0" borderId="0" xfId="0" applyFill="1" applyBorder="1" applyAlignment="1">
      <alignment horizontal="right"/>
    </xf>
    <xf numFmtId="0" fontId="0" fillId="0" borderId="0" xfId="80" applyFont="1" applyAlignment="1">
      <alignment wrapText="1"/>
    </xf>
    <xf numFmtId="0" fontId="55" fillId="26" borderId="85" xfId="80" applyFont="1" applyFill="1" applyBorder="1"/>
    <xf numFmtId="0" fontId="55" fillId="26" borderId="85" xfId="80" applyFont="1" applyFill="1" applyBorder="1" applyAlignment="1">
      <alignment wrapText="1"/>
    </xf>
    <xf numFmtId="3" fontId="55" fillId="26" borderId="85" xfId="80" applyNumberFormat="1" applyFont="1" applyFill="1" applyBorder="1"/>
    <xf numFmtId="0" fontId="0" fillId="0" borderId="54" xfId="0" applyFont="1" applyBorder="1" applyAlignment="1">
      <alignment horizontal="center" vertical="center" wrapText="1"/>
    </xf>
    <xf numFmtId="0" fontId="0" fillId="26" borderId="60" xfId="0" applyFont="1" applyFill="1" applyBorder="1" applyAlignment="1">
      <alignment horizontal="center" vertical="center"/>
    </xf>
    <xf numFmtId="0" fontId="14" fillId="26" borderId="60" xfId="0" applyFont="1" applyFill="1" applyBorder="1" applyAlignment="1">
      <alignment horizontal="center" vertical="center"/>
    </xf>
    <xf numFmtId="49" fontId="38" fillId="26" borderId="57" xfId="0" applyNumberFormat="1" applyFont="1" applyFill="1" applyBorder="1" applyAlignment="1">
      <alignment horizontal="center" vertical="center" wrapText="1"/>
    </xf>
    <xf numFmtId="49" fontId="38" fillId="26" borderId="31" xfId="0" applyNumberFormat="1" applyFont="1" applyFill="1" applyBorder="1" applyAlignment="1">
      <alignment horizontal="center" vertical="center" wrapText="1"/>
    </xf>
    <xf numFmtId="49" fontId="38" fillId="26" borderId="54" xfId="0" applyNumberFormat="1" applyFont="1" applyFill="1" applyBorder="1" applyAlignment="1">
      <alignment horizontal="center" vertical="center" wrapText="1"/>
    </xf>
    <xf numFmtId="49" fontId="38" fillId="27" borderId="57" xfId="0" applyNumberFormat="1" applyFont="1" applyFill="1" applyBorder="1" applyAlignment="1">
      <alignment horizontal="center" vertical="center" wrapText="1"/>
    </xf>
    <xf numFmtId="49" fontId="27" fillId="26" borderId="57" xfId="0" applyNumberFormat="1" applyFont="1" applyFill="1" applyBorder="1" applyAlignment="1">
      <alignment horizontal="center" vertical="center" wrapText="1"/>
    </xf>
    <xf numFmtId="0" fontId="0" fillId="26" borderId="70" xfId="0" applyFont="1" applyFill="1" applyBorder="1" applyAlignment="1">
      <alignment horizontal="center" vertical="center" wrapText="1"/>
    </xf>
    <xf numFmtId="0" fontId="0" fillId="0" borderId="0" xfId="0" applyFont="1" applyAlignment="1">
      <alignment horizontal="center" vertical="center" wrapText="1"/>
    </xf>
    <xf numFmtId="0" fontId="0" fillId="26" borderId="55" xfId="0" applyFont="1" applyFill="1" applyBorder="1" applyAlignment="1">
      <alignment horizontal="center" vertical="center" wrapText="1"/>
    </xf>
    <xf numFmtId="0" fontId="44" fillId="26" borderId="70" xfId="0" applyFont="1" applyFill="1" applyBorder="1" applyAlignment="1">
      <alignment horizontal="center" vertical="center"/>
    </xf>
    <xf numFmtId="0" fontId="14" fillId="26" borderId="85" xfId="0" applyFont="1" applyFill="1" applyBorder="1" applyAlignment="1">
      <alignment horizontal="center" vertical="center" wrapText="1"/>
    </xf>
    <xf numFmtId="0" fontId="14" fillId="26" borderId="60" xfId="0" applyNumberFormat="1" applyFont="1" applyFill="1" applyBorder="1" applyAlignment="1">
      <alignment horizontal="center" vertical="center" wrapText="1"/>
    </xf>
    <xf numFmtId="0" fontId="0" fillId="27" borderId="70" xfId="0" applyFill="1" applyBorder="1" applyAlignment="1">
      <alignment horizontal="center" vertical="center"/>
    </xf>
    <xf numFmtId="0" fontId="0" fillId="26" borderId="70" xfId="0" applyFill="1" applyBorder="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49" xfId="0" applyBorder="1" applyAlignment="1">
      <alignment horizontal="center" vertical="center"/>
    </xf>
    <xf numFmtId="0" fontId="46" fillId="0" borderId="0" xfId="0" applyFont="1" applyFill="1" applyBorder="1"/>
    <xf numFmtId="0" fontId="46" fillId="0" borderId="0" xfId="0" applyFont="1"/>
    <xf numFmtId="0" fontId="0" fillId="26" borderId="70" xfId="0" applyFill="1" applyBorder="1" applyAlignment="1">
      <alignment horizontal="center" vertical="center" wrapText="1"/>
    </xf>
    <xf numFmtId="0" fontId="0" fillId="0" borderId="0" xfId="0" applyAlignment="1">
      <alignment horizontal="center" vertical="center" wrapText="1"/>
    </xf>
    <xf numFmtId="0" fontId="0" fillId="0" borderId="0" xfId="0" applyFill="1" applyBorder="1" applyAlignment="1">
      <alignment horizontal="center" vertical="center" wrapText="1"/>
    </xf>
    <xf numFmtId="1" fontId="0" fillId="27" borderId="70" xfId="82" applyNumberFormat="1" applyFont="1" applyFill="1" applyBorder="1" applyAlignment="1">
      <alignment horizontal="center"/>
    </xf>
    <xf numFmtId="0" fontId="39" fillId="26" borderId="85" xfId="0" applyFont="1" applyFill="1" applyBorder="1" applyAlignment="1">
      <alignment wrapText="1"/>
    </xf>
    <xf numFmtId="0" fontId="39" fillId="26" borderId="85" xfId="0" applyFont="1" applyFill="1" applyBorder="1"/>
    <xf numFmtId="0" fontId="44" fillId="26" borderId="85" xfId="77" applyFont="1" applyFill="1" applyBorder="1" applyAlignment="1">
      <alignment wrapText="1"/>
    </xf>
    <xf numFmtId="0" fontId="46" fillId="0" borderId="0" xfId="0" applyFont="1" applyBorder="1" applyAlignment="1"/>
    <xf numFmtId="0" fontId="44" fillId="0" borderId="0" xfId="78" applyFont="1" applyFill="1" applyBorder="1" applyAlignment="1">
      <alignment wrapText="1"/>
    </xf>
    <xf numFmtId="0" fontId="39" fillId="0" borderId="0" xfId="0" applyFont="1" applyBorder="1" applyAlignment="1">
      <alignment wrapText="1"/>
    </xf>
    <xf numFmtId="0" fontId="57" fillId="0" borderId="24" xfId="0" applyFont="1" applyFill="1" applyBorder="1" applyAlignment="1"/>
    <xf numFmtId="0" fontId="57" fillId="0" borderId="0" xfId="0" applyFont="1" applyFill="1" applyBorder="1" applyAlignment="1"/>
    <xf numFmtId="0" fontId="57" fillId="0" borderId="34" xfId="0" applyFont="1" applyFill="1" applyBorder="1"/>
    <xf numFmtId="49" fontId="0" fillId="26" borderId="60" xfId="0" applyNumberFormat="1" applyFont="1" applyFill="1" applyBorder="1" applyAlignment="1">
      <alignment horizontal="center" vertical="center" wrapText="1"/>
    </xf>
    <xf numFmtId="49" fontId="55" fillId="26" borderId="60" xfId="60" applyNumberFormat="1" applyFont="1" applyFill="1" applyBorder="1" applyAlignment="1">
      <alignment horizontal="center" vertical="center"/>
    </xf>
    <xf numFmtId="49" fontId="0" fillId="26" borderId="60" xfId="60" applyNumberFormat="1" applyFont="1" applyFill="1" applyBorder="1" applyAlignment="1">
      <alignment horizontal="center" vertical="center"/>
    </xf>
    <xf numFmtId="49" fontId="0" fillId="26" borderId="60" xfId="60" applyNumberFormat="1" applyFont="1" applyFill="1" applyBorder="1" applyAlignment="1">
      <alignment horizontal="center" vertical="center" wrapText="1"/>
    </xf>
    <xf numFmtId="49" fontId="14" fillId="26" borderId="60" xfId="60" applyNumberFormat="1" applyFont="1" applyFill="1" applyBorder="1" applyAlignment="1">
      <alignment horizontal="center" vertical="center" wrapText="1"/>
    </xf>
    <xf numFmtId="0" fontId="38" fillId="28" borderId="60" xfId="0" applyFont="1" applyFill="1" applyBorder="1" applyAlignment="1">
      <alignment vertical="top" wrapText="1"/>
    </xf>
    <xf numFmtId="0" fontId="0" fillId="26" borderId="85" xfId="0" applyFill="1" applyBorder="1" applyAlignment="1">
      <alignment horizontal="right"/>
    </xf>
    <xf numFmtId="0" fontId="0" fillId="26" borderId="85" xfId="0" applyFill="1" applyBorder="1"/>
    <xf numFmtId="0" fontId="0" fillId="26" borderId="85" xfId="0" applyFill="1" applyBorder="1" applyAlignment="1">
      <alignment horizontal="center"/>
    </xf>
    <xf numFmtId="14" fontId="0" fillId="0" borderId="0" xfId="0" applyNumberFormat="1" applyFont="1" applyFill="1" applyBorder="1" applyAlignment="1">
      <alignment horizontal="center" vertical="center"/>
    </xf>
    <xf numFmtId="0" fontId="0" fillId="26" borderId="70" xfId="0" applyFill="1" applyBorder="1" applyAlignment="1">
      <alignment wrapText="1"/>
    </xf>
    <xf numFmtId="49" fontId="38" fillId="26" borderId="50" xfId="60" applyNumberFormat="1" applyFont="1" applyFill="1" applyBorder="1" applyAlignment="1">
      <alignment horizontal="center" vertical="center" wrapText="1"/>
    </xf>
    <xf numFmtId="0" fontId="38" fillId="25" borderId="45" xfId="0" applyFont="1" applyFill="1" applyBorder="1" applyAlignment="1">
      <alignment horizontal="center" vertical="center" wrapText="1"/>
    </xf>
    <xf numFmtId="0" fontId="38" fillId="26" borderId="50" xfId="0" applyFont="1" applyFill="1" applyBorder="1" applyAlignment="1">
      <alignment horizontal="center" vertical="center" wrapText="1"/>
    </xf>
    <xf numFmtId="0" fontId="38" fillId="0" borderId="45" xfId="0" applyFont="1" applyFill="1" applyBorder="1" applyAlignment="1">
      <alignment horizontal="center" vertical="center"/>
    </xf>
    <xf numFmtId="0" fontId="39" fillId="26" borderId="60" xfId="62" applyNumberFormat="1" applyFont="1" applyFill="1" applyBorder="1" applyAlignment="1">
      <alignment horizontal="left" vertical="center"/>
    </xf>
    <xf numFmtId="0" fontId="42" fillId="26" borderId="85" xfId="67" applyFont="1" applyFill="1" applyBorder="1" applyAlignment="1">
      <alignment horizontal="left"/>
    </xf>
    <xf numFmtId="49" fontId="39" fillId="26" borderId="85" xfId="60" applyNumberFormat="1" applyFont="1" applyFill="1" applyBorder="1" applyAlignment="1">
      <alignment horizontal="left" vertical="center" wrapText="1"/>
    </xf>
    <xf numFmtId="0" fontId="42" fillId="26" borderId="85" xfId="0" applyFont="1" applyFill="1" applyBorder="1" applyAlignment="1">
      <alignment horizontal="left" vertical="center"/>
    </xf>
    <xf numFmtId="0" fontId="39" fillId="26" borderId="85" xfId="0" applyFont="1" applyFill="1" applyBorder="1" applyAlignment="1">
      <alignment horizontal="left"/>
    </xf>
    <xf numFmtId="0" fontId="0" fillId="0" borderId="85" xfId="0" applyFont="1" applyFill="1" applyBorder="1" applyAlignment="1">
      <alignment vertical="center"/>
    </xf>
    <xf numFmtId="49" fontId="39" fillId="0" borderId="85" xfId="62" applyNumberFormat="1" applyFont="1" applyFill="1" applyBorder="1" applyAlignment="1">
      <alignment vertical="center" wrapText="1"/>
    </xf>
    <xf numFmtId="0" fontId="0" fillId="0" borderId="85" xfId="0" applyFont="1" applyFill="1" applyBorder="1" applyAlignment="1">
      <alignment horizontal="left" vertical="center"/>
    </xf>
    <xf numFmtId="49" fontId="65" fillId="0" borderId="85" xfId="62" applyNumberFormat="1" applyFont="1" applyFill="1" applyBorder="1" applyAlignment="1">
      <alignment vertical="center" wrapText="1"/>
    </xf>
    <xf numFmtId="0" fontId="65" fillId="0" borderId="85" xfId="62" applyNumberFormat="1" applyFont="1" applyFill="1" applyBorder="1" applyAlignment="1">
      <alignment horizontal="center" vertical="center"/>
    </xf>
    <xf numFmtId="0" fontId="0" fillId="0" borderId="85" xfId="0" applyFont="1" applyFill="1" applyBorder="1" applyAlignment="1">
      <alignment vertical="center" wrapText="1"/>
    </xf>
    <xf numFmtId="0" fontId="39" fillId="0" borderId="85" xfId="0" applyFont="1" applyFill="1" applyBorder="1" applyAlignment="1">
      <alignment vertical="center" wrapText="1"/>
    </xf>
    <xf numFmtId="0" fontId="65" fillId="0" borderId="85" xfId="0" applyFont="1" applyFill="1" applyBorder="1" applyAlignment="1">
      <alignment horizontal="center" vertical="center"/>
    </xf>
    <xf numFmtId="49" fontId="39" fillId="0" borderId="85" xfId="59" applyNumberFormat="1" applyFont="1" applyFill="1" applyBorder="1" applyAlignment="1">
      <alignment horizontal="left" vertical="center"/>
    </xf>
    <xf numFmtId="0" fontId="39" fillId="0" borderId="0" xfId="0" applyFont="1" applyFill="1" applyAlignment="1"/>
    <xf numFmtId="0" fontId="39" fillId="26" borderId="60" xfId="62" applyNumberFormat="1" applyFont="1" applyFill="1" applyBorder="1" applyAlignment="1">
      <alignment horizontal="center" vertical="center"/>
    </xf>
    <xf numFmtId="0" fontId="0" fillId="26" borderId="60" xfId="62" applyNumberFormat="1" applyFont="1" applyFill="1" applyBorder="1" applyAlignment="1">
      <alignment horizontal="center" vertical="center"/>
    </xf>
    <xf numFmtId="49" fontId="46" fillId="0" borderId="0" xfId="60" applyNumberFormat="1" applyFont="1" applyFill="1" applyBorder="1" applyAlignment="1">
      <alignment horizontal="center" vertical="center" wrapText="1"/>
    </xf>
    <xf numFmtId="0" fontId="46" fillId="0" borderId="0" xfId="0" quotePrefix="1" applyFont="1" applyFill="1" applyBorder="1"/>
    <xf numFmtId="0" fontId="0" fillId="26" borderId="0" xfId="0" applyFill="1" applyAlignment="1">
      <alignment horizontal="center" vertical="center" wrapText="1"/>
    </xf>
    <xf numFmtId="0" fontId="0" fillId="26" borderId="85" xfId="0" applyFont="1" applyFill="1" applyBorder="1" applyAlignment="1">
      <alignment horizontal="center" vertical="center" wrapText="1"/>
    </xf>
    <xf numFmtId="0" fontId="0" fillId="26" borderId="60" xfId="0" applyNumberFormat="1" applyFont="1" applyFill="1" applyBorder="1" applyAlignment="1">
      <alignment horizontal="center" vertical="center" wrapText="1"/>
    </xf>
    <xf numFmtId="0" fontId="38" fillId="0" borderId="16" xfId="0" applyFont="1" applyFill="1" applyBorder="1" applyAlignment="1">
      <alignment horizontal="center" vertical="center"/>
    </xf>
    <xf numFmtId="0" fontId="0" fillId="0" borderId="67" xfId="0" applyFont="1" applyBorder="1"/>
    <xf numFmtId="0" fontId="38" fillId="0" borderId="54" xfId="0" applyFont="1" applyFill="1" applyBorder="1" applyAlignment="1">
      <alignment horizontal="center" vertical="center" wrapText="1"/>
    </xf>
    <xf numFmtId="0" fontId="38" fillId="0" borderId="86" xfId="0" applyFont="1" applyFill="1" applyBorder="1" applyAlignment="1">
      <alignment horizontal="center" vertical="center" textRotation="90"/>
    </xf>
    <xf numFmtId="0" fontId="38" fillId="0" borderId="87" xfId="0" applyFont="1" applyFill="1" applyBorder="1" applyAlignment="1">
      <alignment horizontal="center" vertical="center" textRotation="90"/>
    </xf>
    <xf numFmtId="0" fontId="38" fillId="0" borderId="89" xfId="0" applyFont="1" applyFill="1" applyBorder="1" applyAlignment="1">
      <alignment horizontal="center" vertical="center" textRotation="90"/>
    </xf>
    <xf numFmtId="0" fontId="0" fillId="0" borderId="90" xfId="0" applyFont="1" applyBorder="1"/>
    <xf numFmtId="49" fontId="50" fillId="26" borderId="91" xfId="0" applyNumberFormat="1" applyFont="1" applyFill="1" applyBorder="1" applyAlignment="1">
      <alignment horizontal="center" vertical="center" wrapText="1"/>
    </xf>
    <xf numFmtId="0" fontId="38" fillId="26" borderId="12" xfId="0" applyFont="1" applyFill="1" applyBorder="1" applyAlignment="1">
      <alignment horizontal="center" vertical="center" wrapText="1"/>
    </xf>
    <xf numFmtId="0" fontId="38" fillId="27" borderId="12" xfId="0" applyFont="1" applyFill="1" applyBorder="1" applyAlignment="1">
      <alignment horizontal="center" vertical="center" wrapText="1"/>
    </xf>
    <xf numFmtId="0" fontId="0" fillId="0" borderId="0" xfId="0" applyAlignment="1">
      <alignment wrapText="1"/>
    </xf>
    <xf numFmtId="0" fontId="47" fillId="0" borderId="18" xfId="0" applyFont="1" applyBorder="1" applyAlignment="1">
      <alignment wrapText="1"/>
    </xf>
    <xf numFmtId="0" fontId="47" fillId="0" borderId="80" xfId="0" applyFont="1" applyFill="1" applyBorder="1" applyAlignment="1">
      <alignment horizontal="left" vertical="center" wrapText="1"/>
    </xf>
    <xf numFmtId="0" fontId="0" fillId="0" borderId="0" xfId="0" applyFont="1" applyAlignment="1">
      <alignment wrapText="1"/>
    </xf>
    <xf numFmtId="0" fontId="0" fillId="0" borderId="15" xfId="0" applyFont="1" applyBorder="1" applyAlignment="1">
      <alignment horizontal="right" wrapText="1"/>
    </xf>
    <xf numFmtId="0" fontId="0" fillId="26" borderId="81" xfId="0" applyFont="1" applyFill="1" applyBorder="1" applyAlignment="1">
      <alignment wrapText="1"/>
    </xf>
    <xf numFmtId="0" fontId="39" fillId="0" borderId="0" xfId="0" applyFont="1" applyAlignment="1">
      <alignment horizontal="center"/>
    </xf>
    <xf numFmtId="0" fontId="0" fillId="0" borderId="18" xfId="0" applyBorder="1" applyAlignment="1">
      <alignment horizontal="center"/>
    </xf>
    <xf numFmtId="0" fontId="39" fillId="26" borderId="0" xfId="0" applyFont="1" applyFill="1" applyBorder="1"/>
    <xf numFmtId="0" fontId="0" fillId="0" borderId="29" xfId="0" applyFont="1" applyBorder="1" applyAlignment="1"/>
    <xf numFmtId="0" fontId="38" fillId="25" borderId="45" xfId="0" applyFont="1" applyFill="1" applyBorder="1" applyAlignment="1">
      <alignment horizontal="center" vertical="center" wrapText="1"/>
    </xf>
    <xf numFmtId="0" fontId="38" fillId="0" borderId="0" xfId="0" applyFont="1" applyFill="1" applyBorder="1" applyAlignment="1">
      <alignment horizontal="left" vertical="center"/>
    </xf>
    <xf numFmtId="0" fontId="38" fillId="0" borderId="45" xfId="0" applyFont="1" applyFill="1" applyBorder="1" applyAlignment="1">
      <alignment horizontal="center" vertical="center"/>
    </xf>
    <xf numFmtId="14" fontId="0" fillId="0" borderId="0" xfId="0" applyNumberFormat="1" applyFont="1" applyFill="1" applyBorder="1" applyAlignment="1">
      <alignment horizontal="center"/>
    </xf>
    <xf numFmtId="14" fontId="0" fillId="0" borderId="18" xfId="0" applyNumberFormat="1" applyBorder="1" applyAlignment="1">
      <alignment horizontal="center"/>
    </xf>
    <xf numFmtId="14" fontId="38" fillId="0" borderId="16" xfId="0" applyNumberFormat="1" applyFont="1" applyFill="1" applyBorder="1" applyAlignment="1">
      <alignment horizontal="center" vertical="center"/>
    </xf>
    <xf numFmtId="0" fontId="12" fillId="26" borderId="70" xfId="80" applyFont="1" applyFill="1" applyBorder="1"/>
    <xf numFmtId="0" fontId="12" fillId="0" borderId="0" xfId="80" applyFont="1"/>
    <xf numFmtId="0" fontId="12" fillId="26" borderId="70" xfId="80" applyFont="1" applyFill="1" applyBorder="1" applyAlignment="1">
      <alignment wrapText="1"/>
    </xf>
    <xf numFmtId="0" fontId="55" fillId="0" borderId="34" xfId="0" applyFont="1" applyBorder="1" applyAlignment="1">
      <alignment horizontal="right"/>
    </xf>
    <xf numFmtId="0" fontId="55" fillId="26" borderId="33" xfId="0" applyFont="1" applyFill="1" applyBorder="1"/>
    <xf numFmtId="0" fontId="70" fillId="26" borderId="45" xfId="81" applyFont="1" applyFill="1" applyBorder="1" applyAlignment="1">
      <alignment horizontal="center" vertical="center" wrapText="1"/>
    </xf>
    <xf numFmtId="0" fontId="0" fillId="0" borderId="92" xfId="0" applyFont="1" applyFill="1" applyBorder="1"/>
    <xf numFmtId="0" fontId="38" fillId="26" borderId="66" xfId="0" applyNumberFormat="1" applyFont="1" applyFill="1" applyBorder="1" applyAlignment="1">
      <alignment horizontal="center" vertical="center" wrapText="1"/>
    </xf>
    <xf numFmtId="0" fontId="0" fillId="0" borderId="18" xfId="0" applyFont="1" applyBorder="1"/>
    <xf numFmtId="0" fontId="0" fillId="0" borderId="0" xfId="0" applyFont="1" applyFill="1" applyBorder="1" applyAlignment="1">
      <alignment horizontal="center" vertical="center"/>
    </xf>
    <xf numFmtId="0" fontId="39" fillId="0" borderId="0" xfId="84" applyFont="1" applyFill="1" applyBorder="1" applyAlignment="1">
      <alignment horizontal="center"/>
    </xf>
    <xf numFmtId="0" fontId="11" fillId="26" borderId="70" xfId="80" applyFont="1" applyFill="1" applyBorder="1" applyAlignment="1">
      <alignment wrapText="1"/>
    </xf>
    <xf numFmtId="0" fontId="63" fillId="0" borderId="0" xfId="83"/>
    <xf numFmtId="0" fontId="55" fillId="0" borderId="0" xfId="80" applyFont="1" applyFill="1" applyBorder="1" applyAlignment="1">
      <alignment wrapText="1"/>
    </xf>
    <xf numFmtId="0" fontId="55" fillId="26" borderId="93" xfId="80" applyFont="1" applyFill="1" applyBorder="1" applyAlignment="1">
      <alignment wrapText="1"/>
    </xf>
    <xf numFmtId="0" fontId="0" fillId="0" borderId="54" xfId="0" applyFont="1" applyBorder="1" applyAlignment="1">
      <alignment horizontal="center" vertical="center" wrapText="1"/>
    </xf>
    <xf numFmtId="0" fontId="72" fillId="0" borderId="0" xfId="0" applyFont="1"/>
    <xf numFmtId="0" fontId="57" fillId="26" borderId="50" xfId="0" applyFont="1" applyFill="1" applyBorder="1"/>
    <xf numFmtId="0" fontId="38" fillId="0" borderId="20" xfId="0" applyFont="1" applyFill="1" applyBorder="1" applyAlignment="1">
      <alignment horizontal="left" vertical="center" wrapText="1"/>
    </xf>
    <xf numFmtId="0" fontId="0" fillId="0" borderId="15" xfId="0" applyFill="1" applyBorder="1"/>
    <xf numFmtId="0" fontId="73" fillId="0" borderId="0" xfId="0" applyFont="1"/>
    <xf numFmtId="0" fontId="73" fillId="27" borderId="93" xfId="0" applyFont="1" applyFill="1" applyBorder="1"/>
    <xf numFmtId="14" fontId="0" fillId="26" borderId="93" xfId="0" applyNumberFormat="1" applyFont="1" applyFill="1" applyBorder="1" applyAlignment="1">
      <alignment horizontal="center"/>
    </xf>
    <xf numFmtId="0" fontId="0" fillId="0" borderId="93" xfId="0" applyNumberFormat="1" applyFont="1" applyFill="1" applyBorder="1" applyAlignment="1">
      <alignment horizontal="center" vertical="center"/>
    </xf>
    <xf numFmtId="2" fontId="0" fillId="0" borderId="93" xfId="0" applyNumberFormat="1" applyFont="1" applyFill="1" applyBorder="1" applyAlignment="1">
      <alignment horizontal="left" vertical="center"/>
    </xf>
    <xf numFmtId="2" fontId="0" fillId="0" borderId="93" xfId="0" applyNumberFormat="1" applyFont="1" applyFill="1" applyBorder="1" applyAlignment="1">
      <alignment horizontal="center" vertical="center"/>
    </xf>
    <xf numFmtId="2" fontId="0" fillId="0" borderId="93" xfId="0" applyNumberFormat="1" applyFont="1" applyFill="1" applyBorder="1" applyAlignment="1">
      <alignment vertical="center"/>
    </xf>
    <xf numFmtId="0" fontId="0" fillId="0" borderId="0" xfId="83" applyFont="1" applyAlignment="1">
      <alignment wrapText="1"/>
    </xf>
    <xf numFmtId="49" fontId="42" fillId="0" borderId="93" xfId="0" applyNumberFormat="1" applyFont="1" applyFill="1" applyBorder="1" applyAlignment="1">
      <alignment horizontal="center" vertical="center"/>
    </xf>
    <xf numFmtId="2" fontId="0" fillId="0" borderId="93" xfId="0" applyNumberFormat="1" applyFont="1" applyFill="1" applyBorder="1" applyAlignment="1">
      <alignment vertical="center" wrapText="1"/>
    </xf>
    <xf numFmtId="49" fontId="42" fillId="0" borderId="60" xfId="0" applyNumberFormat="1" applyFont="1" applyFill="1" applyBorder="1" applyAlignment="1">
      <alignment vertical="center"/>
    </xf>
    <xf numFmtId="0" fontId="0" fillId="0" borderId="64" xfId="0" applyFont="1" applyBorder="1"/>
    <xf numFmtId="2" fontId="0" fillId="0" borderId="93" xfId="0" applyNumberFormat="1" applyFont="1" applyFill="1" applyBorder="1" applyAlignment="1">
      <alignment horizontal="left" vertical="center"/>
    </xf>
    <xf numFmtId="2" fontId="0" fillId="0" borderId="93" xfId="0" applyNumberFormat="1" applyFont="1" applyFill="1" applyBorder="1" applyAlignment="1">
      <alignment vertical="center"/>
    </xf>
    <xf numFmtId="49" fontId="0" fillId="0" borderId="60" xfId="0" applyNumberFormat="1" applyFont="1" applyFill="1" applyBorder="1" applyAlignment="1">
      <alignment horizontal="center" vertical="center"/>
    </xf>
    <xf numFmtId="49" fontId="0" fillId="0" borderId="65" xfId="0" applyNumberFormat="1" applyFont="1" applyFill="1" applyBorder="1" applyAlignment="1">
      <alignment horizontal="center" vertical="center"/>
    </xf>
    <xf numFmtId="49" fontId="0" fillId="0" borderId="21" xfId="0" applyNumberFormat="1" applyFont="1" applyFill="1" applyBorder="1" applyAlignment="1">
      <alignment horizontal="center" vertical="center"/>
    </xf>
    <xf numFmtId="49" fontId="0" fillId="0" borderId="22" xfId="0" applyNumberFormat="1" applyFont="1" applyFill="1" applyBorder="1" applyAlignment="1">
      <alignment horizontal="center" vertical="center"/>
    </xf>
    <xf numFmtId="49" fontId="0" fillId="0" borderId="67" xfId="0" applyNumberFormat="1" applyFont="1" applyFill="1" applyBorder="1" applyAlignment="1">
      <alignment horizontal="center" vertical="center"/>
    </xf>
    <xf numFmtId="49" fontId="0" fillId="25" borderId="65" xfId="0" applyNumberFormat="1" applyFont="1" applyFill="1" applyBorder="1" applyAlignment="1">
      <alignment horizontal="center" vertical="center"/>
    </xf>
    <xf numFmtId="49" fontId="0" fillId="25" borderId="21" xfId="0" applyNumberFormat="1" applyFont="1" applyFill="1" applyBorder="1" applyAlignment="1">
      <alignment horizontal="center" vertical="center"/>
    </xf>
    <xf numFmtId="49" fontId="0" fillId="25" borderId="60" xfId="0" applyNumberFormat="1" applyFont="1" applyFill="1" applyBorder="1" applyAlignment="1">
      <alignment horizontal="center" vertical="center"/>
    </xf>
    <xf numFmtId="49" fontId="0" fillId="25" borderId="22" xfId="0" applyNumberFormat="1" applyFont="1" applyFill="1" applyBorder="1" applyAlignment="1">
      <alignment horizontal="center" vertical="center"/>
    </xf>
    <xf numFmtId="0" fontId="0" fillId="25" borderId="21" xfId="0" applyNumberFormat="1" applyFont="1" applyFill="1" applyBorder="1" applyAlignment="1">
      <alignment horizontal="center" vertical="center"/>
    </xf>
    <xf numFmtId="0" fontId="0" fillId="25" borderId="60" xfId="0" applyNumberFormat="1" applyFont="1" applyFill="1" applyBorder="1" applyAlignment="1">
      <alignment horizontal="center" vertical="center"/>
    </xf>
    <xf numFmtId="0" fontId="0" fillId="25" borderId="22" xfId="0" applyNumberFormat="1" applyFont="1" applyFill="1" applyBorder="1" applyAlignment="1">
      <alignment horizontal="center" vertical="center"/>
    </xf>
    <xf numFmtId="0" fontId="0" fillId="0" borderId="21" xfId="0" applyNumberFormat="1" applyFont="1" applyFill="1" applyBorder="1" applyAlignment="1">
      <alignment horizontal="center" vertical="center"/>
    </xf>
    <xf numFmtId="0" fontId="0" fillId="0" borderId="60" xfId="0" applyNumberFormat="1" applyFont="1" applyFill="1" applyBorder="1" applyAlignment="1">
      <alignment horizontal="center" vertical="center"/>
    </xf>
    <xf numFmtId="0" fontId="0" fillId="0" borderId="22" xfId="0" applyNumberFormat="1" applyFont="1" applyFill="1" applyBorder="1" applyAlignment="1">
      <alignment horizontal="center" vertical="center"/>
    </xf>
    <xf numFmtId="49" fontId="0" fillId="0" borderId="64" xfId="0" applyNumberFormat="1" applyFont="1" applyFill="1" applyBorder="1" applyAlignment="1">
      <alignment horizontal="center" vertical="center"/>
    </xf>
    <xf numFmtId="0" fontId="0" fillId="0" borderId="64" xfId="0" applyFont="1" applyFill="1" applyBorder="1"/>
    <xf numFmtId="0" fontId="0" fillId="0" borderId="116" xfId="0" applyFont="1" applyBorder="1" applyAlignment="1">
      <alignment horizontal="center"/>
    </xf>
    <xf numFmtId="0" fontId="42" fillId="0" borderId="60" xfId="0" applyFont="1" applyFill="1" applyBorder="1" applyAlignment="1">
      <alignment horizontal="center" vertical="center"/>
    </xf>
    <xf numFmtId="49" fontId="0" fillId="0" borderId="60" xfId="0" applyNumberFormat="1" applyFont="1" applyFill="1" applyBorder="1" applyAlignment="1">
      <alignment horizontal="left" vertical="center"/>
    </xf>
    <xf numFmtId="0" fontId="0" fillId="0" borderId="35" xfId="0" applyFont="1" applyBorder="1" applyAlignment="1">
      <alignment horizontal="right"/>
    </xf>
    <xf numFmtId="0" fontId="0" fillId="26" borderId="70" xfId="79" applyFont="1" applyFill="1" applyBorder="1" applyAlignment="1">
      <alignment horizontal="center"/>
    </xf>
    <xf numFmtId="0" fontId="0" fillId="26" borderId="11" xfId="79" applyFont="1" applyFill="1" applyBorder="1" applyAlignment="1">
      <alignment horizontal="center"/>
    </xf>
    <xf numFmtId="0" fontId="0" fillId="26" borderId="60" xfId="485" applyFont="1" applyFill="1" applyBorder="1" applyAlignment="1">
      <alignment horizontal="center" vertical="center" wrapText="1"/>
    </xf>
    <xf numFmtId="0" fontId="0" fillId="0" borderId="71" xfId="0" applyFont="1" applyFill="1" applyBorder="1" applyAlignment="1">
      <alignment horizontal="center" vertical="center"/>
    </xf>
    <xf numFmtId="0" fontId="0" fillId="0" borderId="116" xfId="0" applyFont="1" applyFill="1" applyBorder="1" applyAlignment="1">
      <alignment horizontal="center" vertical="center" wrapText="1"/>
    </xf>
    <xf numFmtId="0" fontId="39" fillId="0" borderId="116" xfId="0" applyFont="1" applyFill="1" applyBorder="1" applyAlignment="1">
      <alignment horizontal="center" vertical="center"/>
    </xf>
    <xf numFmtId="0" fontId="39" fillId="0" borderId="116" xfId="0" applyFont="1" applyFill="1" applyBorder="1" applyAlignment="1">
      <alignment vertical="center" wrapText="1"/>
    </xf>
    <xf numFmtId="0" fontId="39" fillId="0" borderId="116" xfId="0" applyFont="1" applyFill="1" applyBorder="1" applyAlignment="1">
      <alignment horizontal="center" vertical="center" wrapText="1"/>
    </xf>
    <xf numFmtId="0" fontId="39" fillId="25" borderId="116" xfId="0" applyFont="1" applyFill="1" applyBorder="1" applyAlignment="1">
      <alignment horizontal="center" vertical="center"/>
    </xf>
    <xf numFmtId="0" fontId="39" fillId="25" borderId="116" xfId="0" applyFont="1" applyFill="1" applyBorder="1" applyAlignment="1">
      <alignment horizontal="center" vertical="center" wrapText="1"/>
    </xf>
    <xf numFmtId="0" fontId="39" fillId="0" borderId="116" xfId="60" applyNumberFormat="1" applyFont="1" applyFill="1" applyBorder="1" applyAlignment="1">
      <alignment horizontal="center" vertical="center" wrapText="1"/>
    </xf>
    <xf numFmtId="0" fontId="0" fillId="0" borderId="116" xfId="0" applyFont="1" applyFill="1" applyBorder="1" applyAlignment="1">
      <alignment horizontal="center" vertical="center" wrapText="1"/>
    </xf>
    <xf numFmtId="0" fontId="0" fillId="0" borderId="116" xfId="0" applyFont="1" applyFill="1" applyBorder="1" applyAlignment="1">
      <alignment horizontal="center" vertical="center"/>
    </xf>
    <xf numFmtId="49" fontId="0" fillId="0" borderId="116" xfId="0" applyNumberFormat="1" applyFont="1" applyFill="1" applyBorder="1" applyAlignment="1">
      <alignment horizontal="center" vertical="center" wrapText="1"/>
    </xf>
    <xf numFmtId="0" fontId="0" fillId="0" borderId="116" xfId="0" applyFont="1" applyFill="1" applyBorder="1"/>
    <xf numFmtId="0" fontId="0" fillId="0" borderId="60" xfId="0" applyFont="1" applyFill="1" applyBorder="1" applyAlignment="1">
      <alignment horizontal="center" vertical="center"/>
    </xf>
    <xf numFmtId="0" fontId="0" fillId="0" borderId="116" xfId="0" applyFont="1" applyFill="1" applyBorder="1" applyAlignment="1">
      <alignment horizontal="center"/>
    </xf>
    <xf numFmtId="49" fontId="0" fillId="0" borderId="60" xfId="0" applyNumberFormat="1" applyFont="1" applyFill="1" applyBorder="1" applyAlignment="1">
      <alignment horizontal="center" vertical="center"/>
    </xf>
    <xf numFmtId="49" fontId="0" fillId="0" borderId="60" xfId="0" applyNumberFormat="1" applyFont="1" applyFill="1" applyBorder="1" applyAlignment="1">
      <alignment horizontal="center" vertical="center" wrapText="1"/>
    </xf>
    <xf numFmtId="0" fontId="0" fillId="0" borderId="116" xfId="0" applyFont="1" applyFill="1" applyBorder="1" applyAlignment="1">
      <alignment horizontal="center" wrapText="1"/>
    </xf>
    <xf numFmtId="1" fontId="0" fillId="0" borderId="60" xfId="0" applyNumberFormat="1" applyFont="1" applyFill="1" applyBorder="1" applyAlignment="1">
      <alignment horizontal="center" vertical="center" wrapText="1"/>
    </xf>
    <xf numFmtId="1" fontId="0" fillId="0" borderId="116" xfId="0" applyNumberFormat="1" applyFont="1" applyFill="1" applyBorder="1" applyAlignment="1">
      <alignment horizontal="center" vertical="center" wrapText="1"/>
    </xf>
    <xf numFmtId="0" fontId="0" fillId="0" borderId="116" xfId="0" applyFont="1" applyBorder="1" applyAlignment="1">
      <alignment horizontal="center" vertical="center" wrapText="1"/>
    </xf>
    <xf numFmtId="0" fontId="0" fillId="0" borderId="116" xfId="0" applyFont="1" applyFill="1" applyBorder="1" applyAlignment="1">
      <alignment wrapText="1"/>
    </xf>
    <xf numFmtId="0" fontId="0" fillId="0" borderId="116" xfId="0" applyNumberFormat="1" applyFont="1" applyFill="1" applyBorder="1" applyAlignment="1">
      <alignment horizontal="center" vertical="center" wrapText="1"/>
    </xf>
    <xf numFmtId="0" fontId="0" fillId="0" borderId="116" xfId="0" applyFont="1" applyFill="1" applyBorder="1" applyAlignment="1">
      <alignment horizontal="center" vertical="center" wrapText="1"/>
    </xf>
    <xf numFmtId="49" fontId="0" fillId="0" borderId="116" xfId="0" applyNumberFormat="1" applyFont="1" applyFill="1" applyBorder="1" applyAlignment="1">
      <alignment horizontal="center" vertical="center" wrapText="1"/>
    </xf>
    <xf numFmtId="49" fontId="39" fillId="26" borderId="60" xfId="60" applyNumberFormat="1" applyFont="1" applyFill="1" applyBorder="1" applyAlignment="1">
      <alignment horizontal="center" vertical="center" wrapText="1"/>
    </xf>
    <xf numFmtId="49" fontId="39" fillId="26" borderId="117" xfId="60" applyNumberFormat="1" applyFont="1" applyFill="1" applyBorder="1" applyAlignment="1">
      <alignment horizontal="center" vertical="center" wrapText="1"/>
    </xf>
    <xf numFmtId="49" fontId="39" fillId="26" borderId="116" xfId="60" applyNumberFormat="1" applyFont="1" applyFill="1" applyBorder="1" applyAlignment="1">
      <alignment horizontal="center" vertical="center" wrapText="1"/>
    </xf>
    <xf numFmtId="49" fontId="0" fillId="26" borderId="71" xfId="60" applyNumberFormat="1" applyFont="1" applyFill="1" applyBorder="1" applyAlignment="1">
      <alignment horizontal="center" vertical="center" wrapText="1"/>
    </xf>
    <xf numFmtId="49" fontId="0" fillId="26" borderId="71" xfId="60" applyNumberFormat="1" applyFont="1" applyFill="1" applyBorder="1" applyAlignment="1">
      <alignment horizontal="center" vertical="center"/>
    </xf>
    <xf numFmtId="49" fontId="55" fillId="26" borderId="71" xfId="60" applyNumberFormat="1" applyFont="1" applyFill="1" applyBorder="1" applyAlignment="1">
      <alignment horizontal="center" vertical="center"/>
    </xf>
    <xf numFmtId="0" fontId="39" fillId="0" borderId="117" xfId="0" applyFont="1" applyBorder="1"/>
    <xf numFmtId="49" fontId="39" fillId="0" borderId="117" xfId="60" applyNumberFormat="1" applyFont="1" applyFill="1" applyBorder="1" applyAlignment="1">
      <alignment horizontal="center" vertical="center" wrapText="1"/>
    </xf>
    <xf numFmtId="49" fontId="39" fillId="0" borderId="117" xfId="60" applyNumberFormat="1" applyFont="1" applyFill="1" applyBorder="1" applyAlignment="1">
      <alignment horizontal="center" vertical="center"/>
    </xf>
    <xf numFmtId="49" fontId="39" fillId="0" borderId="116" xfId="60" applyNumberFormat="1" applyFont="1" applyFill="1" applyBorder="1" applyAlignment="1">
      <alignment horizontal="center" vertical="center" wrapText="1"/>
    </xf>
    <xf numFmtId="49" fontId="0" fillId="0" borderId="70" xfId="0" applyNumberFormat="1" applyFont="1" applyFill="1" applyBorder="1" applyAlignment="1">
      <alignment horizontal="center" vertical="center"/>
    </xf>
    <xf numFmtId="49" fontId="39" fillId="0" borderId="116" xfId="60" applyNumberFormat="1" applyFont="1" applyFill="1" applyBorder="1" applyAlignment="1">
      <alignment horizontal="center" vertical="center"/>
    </xf>
    <xf numFmtId="0" fontId="39" fillId="0" borderId="116" xfId="0" applyFont="1" applyBorder="1"/>
    <xf numFmtId="49" fontId="55" fillId="26" borderId="116" xfId="60" applyNumberFormat="1" applyFont="1" applyFill="1" applyBorder="1" applyAlignment="1">
      <alignment horizontal="center" vertical="center"/>
    </xf>
    <xf numFmtId="49" fontId="0" fillId="26" borderId="116" xfId="60" applyNumberFormat="1" applyFont="1" applyFill="1" applyBorder="1" applyAlignment="1">
      <alignment horizontal="center" vertical="center"/>
    </xf>
    <xf numFmtId="49" fontId="0" fillId="26" borderId="116" xfId="60" applyNumberFormat="1" applyFont="1" applyFill="1" applyBorder="1" applyAlignment="1">
      <alignment horizontal="center" vertical="center" wrapText="1"/>
    </xf>
    <xf numFmtId="0" fontId="39" fillId="26" borderId="116" xfId="0" applyFont="1" applyFill="1" applyBorder="1"/>
    <xf numFmtId="0" fontId="0" fillId="26" borderId="116" xfId="0" applyFont="1" applyFill="1" applyBorder="1"/>
    <xf numFmtId="49" fontId="0" fillId="26" borderId="116" xfId="60" applyNumberFormat="1" applyFont="1" applyFill="1" applyBorder="1" applyAlignment="1">
      <alignment vertical="center" wrapText="1"/>
    </xf>
    <xf numFmtId="0" fontId="0" fillId="26" borderId="60" xfId="0" applyFont="1" applyFill="1" applyBorder="1"/>
    <xf numFmtId="9" fontId="0" fillId="26" borderId="60" xfId="60" applyNumberFormat="1" applyFont="1" applyFill="1" applyBorder="1" applyAlignment="1">
      <alignment horizontal="center" vertical="center" wrapText="1"/>
    </xf>
    <xf numFmtId="9" fontId="0" fillId="26" borderId="60" xfId="60" applyNumberFormat="1" applyFont="1" applyFill="1" applyBorder="1" applyAlignment="1">
      <alignment horizontal="center" vertical="center"/>
    </xf>
    <xf numFmtId="49" fontId="39" fillId="0" borderId="116" xfId="62" applyNumberFormat="1" applyFont="1" applyFill="1" applyBorder="1" applyAlignment="1">
      <alignment horizontal="center" vertical="center" wrapText="1"/>
    </xf>
    <xf numFmtId="49" fontId="39" fillId="0" borderId="119" xfId="62" applyNumberFormat="1" applyFont="1" applyFill="1" applyBorder="1" applyAlignment="1">
      <alignment horizontal="center" vertical="center" wrapText="1"/>
    </xf>
    <xf numFmtId="49" fontId="39" fillId="0" borderId="118" xfId="62" applyNumberFormat="1" applyFont="1" applyFill="1" applyBorder="1" applyAlignment="1">
      <alignment horizontal="center" vertical="center" wrapText="1"/>
    </xf>
    <xf numFmtId="49" fontId="39" fillId="0" borderId="75" xfId="62" applyNumberFormat="1" applyFont="1" applyFill="1" applyBorder="1" applyAlignment="1">
      <alignment horizontal="center" vertical="center" wrapText="1"/>
    </xf>
    <xf numFmtId="49" fontId="39" fillId="0" borderId="74" xfId="62" applyNumberFormat="1" applyFont="1" applyFill="1" applyBorder="1" applyAlignment="1">
      <alignment horizontal="center" vertical="center" wrapText="1"/>
    </xf>
    <xf numFmtId="49" fontId="39" fillId="0" borderId="116" xfId="60" applyNumberFormat="1" applyFont="1" applyFill="1" applyBorder="1" applyAlignment="1">
      <alignment horizontal="center" vertical="center" wrapText="1"/>
    </xf>
    <xf numFmtId="49" fontId="39" fillId="25" borderId="60" xfId="62" applyNumberFormat="1" applyFont="1" applyFill="1" applyBorder="1" applyAlignment="1">
      <alignment vertical="center"/>
    </xf>
    <xf numFmtId="49" fontId="39" fillId="25" borderId="65" xfId="62" applyNumberFormat="1" applyFont="1" applyFill="1" applyBorder="1" applyAlignment="1">
      <alignment vertical="center"/>
    </xf>
    <xf numFmtId="49" fontId="39" fillId="25" borderId="116" xfId="62" applyNumberFormat="1" applyFont="1" applyFill="1" applyBorder="1" applyAlignment="1">
      <alignment vertical="center"/>
    </xf>
    <xf numFmtId="49" fontId="39" fillId="25" borderId="120" xfId="62" applyNumberFormat="1" applyFont="1" applyFill="1" applyBorder="1" applyAlignment="1">
      <alignment vertical="center"/>
    </xf>
    <xf numFmtId="0" fontId="39" fillId="0" borderId="60" xfId="0" applyFont="1" applyBorder="1" applyAlignment="1" applyProtection="1">
      <alignment horizontal="center"/>
    </xf>
    <xf numFmtId="0" fontId="39" fillId="25" borderId="116" xfId="0" applyFont="1" applyFill="1" applyBorder="1" applyAlignment="1"/>
    <xf numFmtId="0" fontId="39" fillId="25" borderId="120" xfId="0" applyFont="1" applyFill="1" applyBorder="1" applyAlignment="1"/>
    <xf numFmtId="49" fontId="39" fillId="25" borderId="60" xfId="62" applyNumberFormat="1" applyFont="1" applyFill="1" applyBorder="1" applyAlignment="1">
      <alignment horizontal="left" vertical="center"/>
    </xf>
    <xf numFmtId="49" fontId="39" fillId="25" borderId="116" xfId="62" applyNumberFormat="1" applyFont="1" applyFill="1" applyBorder="1" applyAlignment="1">
      <alignment horizontal="left" vertical="center"/>
    </xf>
    <xf numFmtId="49" fontId="39" fillId="0" borderId="60" xfId="60" applyNumberFormat="1" applyFont="1" applyFill="1" applyBorder="1" applyAlignment="1">
      <alignment horizontal="left" vertical="center"/>
    </xf>
    <xf numFmtId="0" fontId="39" fillId="25" borderId="60" xfId="62" applyFont="1" applyFill="1" applyBorder="1" applyAlignment="1">
      <alignment horizontal="left" vertical="center"/>
    </xf>
    <xf numFmtId="49" fontId="39" fillId="0" borderId="116" xfId="58" applyNumberFormat="1" applyFont="1" applyFill="1" applyBorder="1" applyAlignment="1">
      <alignment horizontal="left" vertical="top"/>
    </xf>
    <xf numFmtId="49" fontId="39" fillId="0" borderId="116" xfId="60" applyNumberFormat="1" applyFont="1" applyFill="1" applyBorder="1" applyAlignment="1">
      <alignment horizontal="left" vertical="center"/>
    </xf>
    <xf numFmtId="0" fontId="39" fillId="25" borderId="116" xfId="62" applyFont="1" applyFill="1" applyBorder="1" applyAlignment="1">
      <alignment horizontal="left" vertical="center"/>
    </xf>
    <xf numFmtId="0" fontId="39" fillId="25" borderId="60" xfId="62" applyFont="1" applyFill="1" applyBorder="1" applyAlignment="1">
      <alignment horizontal="center" vertical="center"/>
    </xf>
    <xf numFmtId="0" fontId="39" fillId="25" borderId="116" xfId="62" applyFont="1" applyFill="1" applyBorder="1" applyAlignment="1">
      <alignment horizontal="center" vertical="center"/>
    </xf>
    <xf numFmtId="49" fontId="39" fillId="0" borderId="60" xfId="60" applyNumberFormat="1" applyFont="1" applyFill="1" applyBorder="1" applyAlignment="1">
      <alignment horizontal="center" vertical="center"/>
    </xf>
    <xf numFmtId="0" fontId="39" fillId="0" borderId="116" xfId="0" applyFont="1" applyBorder="1" applyAlignment="1">
      <alignment horizontal="center"/>
    </xf>
    <xf numFmtId="0" fontId="39" fillId="0" borderId="116" xfId="0" applyFont="1" applyBorder="1"/>
    <xf numFmtId="49" fontId="39" fillId="25" borderId="60" xfId="62" applyNumberFormat="1" applyFont="1" applyFill="1" applyBorder="1" applyAlignment="1">
      <alignment vertical="center"/>
    </xf>
    <xf numFmtId="0" fontId="39" fillId="0" borderId="60" xfId="0" applyFont="1" applyFill="1" applyBorder="1" applyAlignment="1"/>
    <xf numFmtId="0" fontId="39" fillId="0" borderId="116" xfId="0" applyFont="1" applyFill="1" applyBorder="1" applyAlignment="1"/>
    <xf numFmtId="0" fontId="39" fillId="0" borderId="116" xfId="0" applyFont="1" applyFill="1" applyBorder="1" applyAlignment="1">
      <alignment vertical="center"/>
    </xf>
    <xf numFmtId="0" fontId="0" fillId="0" borderId="116" xfId="0" applyFont="1" applyFill="1" applyBorder="1" applyAlignment="1">
      <alignment horizontal="center" vertical="center"/>
    </xf>
    <xf numFmtId="0" fontId="0" fillId="0" borderId="116" xfId="0" applyFont="1" applyFill="1" applyBorder="1" applyAlignment="1">
      <alignment vertical="center"/>
    </xf>
    <xf numFmtId="0" fontId="0" fillId="25" borderId="116" xfId="0" applyFont="1" applyFill="1" applyBorder="1" applyAlignment="1">
      <alignment horizontal="left" vertical="center"/>
    </xf>
    <xf numFmtId="0" fontId="0" fillId="0" borderId="116" xfId="0" applyFont="1" applyFill="1" applyBorder="1" applyAlignment="1">
      <alignment horizontal="left" vertical="center"/>
    </xf>
    <xf numFmtId="0" fontId="0" fillId="25" borderId="116" xfId="0" applyFont="1" applyFill="1" applyBorder="1" applyAlignment="1">
      <alignment vertical="center"/>
    </xf>
    <xf numFmtId="49" fontId="0" fillId="0" borderId="116" xfId="62" applyNumberFormat="1" applyFont="1" applyFill="1" applyBorder="1" applyAlignment="1">
      <alignment vertical="center" wrapText="1"/>
    </xf>
    <xf numFmtId="0" fontId="0" fillId="0" borderId="116" xfId="62" applyNumberFormat="1" applyFont="1" applyFill="1" applyBorder="1" applyAlignment="1">
      <alignment horizontal="center" vertical="center"/>
    </xf>
    <xf numFmtId="49" fontId="0" fillId="0" borderId="116" xfId="59" applyNumberFormat="1" applyFont="1" applyFill="1" applyBorder="1" applyAlignment="1">
      <alignment horizontal="left" vertical="center"/>
    </xf>
    <xf numFmtId="0" fontId="0" fillId="25" borderId="116" xfId="0" applyFont="1" applyFill="1" applyBorder="1" applyAlignment="1">
      <alignment horizontal="center" vertical="center"/>
    </xf>
    <xf numFmtId="49" fontId="39" fillId="25" borderId="116" xfId="62" applyNumberFormat="1" applyFont="1" applyFill="1" applyBorder="1" applyAlignment="1">
      <alignment vertical="center" wrapText="1"/>
    </xf>
    <xf numFmtId="0" fontId="39" fillId="25" borderId="116" xfId="62" applyNumberFormat="1" applyFont="1" applyFill="1" applyBorder="1" applyAlignment="1">
      <alignment horizontal="center" vertical="center"/>
    </xf>
    <xf numFmtId="49" fontId="39" fillId="25" borderId="116" xfId="59" applyNumberFormat="1" applyFont="1" applyFill="1" applyBorder="1" applyAlignment="1">
      <alignment horizontal="left" vertical="center"/>
    </xf>
    <xf numFmtId="0" fontId="0" fillId="0" borderId="116" xfId="0" applyFont="1" applyFill="1" applyBorder="1" applyAlignment="1">
      <alignment vertical="center" wrapText="1"/>
    </xf>
    <xf numFmtId="0" fontId="0" fillId="25" borderId="116" xfId="0" applyFont="1" applyFill="1" applyBorder="1" applyAlignment="1">
      <alignment vertical="center" wrapText="1"/>
    </xf>
    <xf numFmtId="0" fontId="0" fillId="0" borderId="116" xfId="0" applyFont="1" applyBorder="1"/>
    <xf numFmtId="0" fontId="0" fillId="0" borderId="60" xfId="0" applyFont="1" applyBorder="1"/>
    <xf numFmtId="49" fontId="0" fillId="0" borderId="19" xfId="0" applyNumberFormat="1" applyFont="1" applyFill="1" applyBorder="1" applyAlignment="1">
      <alignment horizontal="center" vertical="center"/>
    </xf>
    <xf numFmtId="49" fontId="0" fillId="0" borderId="19" xfId="62" applyNumberFormat="1" applyFont="1" applyFill="1" applyBorder="1" applyAlignment="1">
      <alignment horizontal="center" vertical="center" wrapText="1" shrinkToFit="1"/>
    </xf>
    <xf numFmtId="49" fontId="0" fillId="0" borderId="78" xfId="61" applyNumberFormat="1" applyFont="1" applyFill="1" applyBorder="1" applyAlignment="1">
      <alignment horizontal="center" vertical="center" wrapText="1"/>
    </xf>
    <xf numFmtId="49" fontId="0" fillId="0" borderId="19" xfId="59" applyNumberFormat="1" applyFont="1" applyFill="1" applyBorder="1" applyAlignment="1">
      <alignment horizontal="center" vertical="center" wrapText="1"/>
    </xf>
    <xf numFmtId="49" fontId="0" fillId="0" borderId="19" xfId="61" applyNumberFormat="1" applyFont="1" applyFill="1" applyBorder="1" applyAlignment="1">
      <alignment horizontal="center" vertical="center" wrapText="1"/>
    </xf>
    <xf numFmtId="49" fontId="39" fillId="25" borderId="19" xfId="62" applyNumberFormat="1" applyFont="1" applyFill="1" applyBorder="1" applyAlignment="1">
      <alignment horizontal="center" vertical="center" wrapText="1"/>
    </xf>
    <xf numFmtId="9" fontId="39" fillId="25" borderId="12" xfId="85" applyFont="1" applyFill="1" applyBorder="1" applyAlignment="1">
      <alignment horizontal="center" vertical="center" wrapText="1"/>
    </xf>
    <xf numFmtId="0" fontId="39" fillId="0" borderId="116" xfId="0" applyFont="1" applyFill="1" applyBorder="1" applyAlignment="1">
      <alignment horizontal="center" wrapText="1"/>
    </xf>
    <xf numFmtId="0" fontId="0" fillId="0" borderId="34" xfId="0" applyFont="1" applyBorder="1" applyAlignment="1">
      <alignment horizontal="right"/>
    </xf>
    <xf numFmtId="0" fontId="38" fillId="0" borderId="116" xfId="67" applyNumberFormat="1" applyFont="1" applyFill="1" applyBorder="1" applyAlignment="1">
      <alignment horizontal="right" vertical="center"/>
    </xf>
    <xf numFmtId="0" fontId="38" fillId="0" borderId="72" xfId="67" applyFont="1" applyFill="1" applyBorder="1" applyAlignment="1">
      <alignment horizontal="left" vertical="center" wrapText="1" shrinkToFit="1"/>
    </xf>
    <xf numFmtId="0" fontId="57" fillId="0" borderId="34" xfId="0" applyFont="1" applyBorder="1" applyAlignment="1">
      <alignment horizontal="left" vertical="center"/>
    </xf>
    <xf numFmtId="0" fontId="0" fillId="0" borderId="116" xfId="0" applyFont="1" applyBorder="1"/>
    <xf numFmtId="0" fontId="0" fillId="0" borderId="116" xfId="0" applyFont="1" applyFill="1" applyBorder="1" applyAlignment="1">
      <alignment horizontal="center" vertical="center" wrapText="1"/>
    </xf>
    <xf numFmtId="0" fontId="0" fillId="0" borderId="116" xfId="0" applyFont="1" applyBorder="1" applyAlignment="1">
      <alignment wrapText="1"/>
    </xf>
    <xf numFmtId="0" fontId="0" fillId="0" borderId="60" xfId="0" applyFont="1" applyBorder="1"/>
    <xf numFmtId="0" fontId="0" fillId="0" borderId="60" xfId="0" applyFont="1" applyBorder="1" applyAlignment="1">
      <alignment horizontal="center"/>
    </xf>
    <xf numFmtId="0" fontId="0" fillId="25" borderId="116" xfId="0" applyFont="1" applyFill="1" applyBorder="1" applyAlignment="1">
      <alignment horizontal="left" vertical="center"/>
    </xf>
    <xf numFmtId="49" fontId="39" fillId="25" borderId="60" xfId="62" applyNumberFormat="1" applyFont="1" applyFill="1" applyBorder="1" applyAlignment="1">
      <alignment vertical="center"/>
    </xf>
    <xf numFmtId="49" fontId="39" fillId="25" borderId="116" xfId="59" applyNumberFormat="1" applyFont="1" applyFill="1" applyBorder="1" applyAlignment="1">
      <alignment horizontal="left" vertical="center"/>
    </xf>
    <xf numFmtId="0" fontId="0" fillId="0" borderId="116" xfId="0" applyFont="1" applyBorder="1" applyAlignment="1">
      <alignment horizontal="left"/>
    </xf>
    <xf numFmtId="0" fontId="0" fillId="25" borderId="116" xfId="0" applyFont="1" applyFill="1" applyBorder="1" applyAlignment="1">
      <alignment horizontal="left"/>
    </xf>
    <xf numFmtId="0" fontId="38" fillId="0" borderId="116" xfId="0" applyFont="1" applyFill="1" applyBorder="1" applyAlignment="1">
      <alignment vertical="top" wrapText="1"/>
    </xf>
    <xf numFmtId="0" fontId="0" fillId="0" borderId="116" xfId="0" applyFont="1" applyFill="1" applyBorder="1" applyAlignment="1">
      <alignment vertical="top" wrapText="1"/>
    </xf>
    <xf numFmtId="0" fontId="51" fillId="0" borderId="0" xfId="0" applyFont="1" applyFill="1" applyBorder="1" applyAlignment="1">
      <alignment wrapText="1"/>
    </xf>
    <xf numFmtId="0" fontId="0" fillId="26" borderId="50" xfId="0" applyFont="1" applyFill="1" applyBorder="1" applyAlignment="1">
      <alignment horizontal="right"/>
    </xf>
    <xf numFmtId="0" fontId="0" fillId="0" borderId="25" xfId="0" applyFont="1" applyFill="1" applyBorder="1" applyAlignment="1">
      <alignment horizontal="center" vertical="center" wrapText="1"/>
    </xf>
    <xf numFmtId="0" fontId="39" fillId="0" borderId="116" xfId="57" applyFont="1" applyFill="1" applyBorder="1" applyAlignment="1">
      <alignment horizontal="center"/>
    </xf>
    <xf numFmtId="0" fontId="39" fillId="0" borderId="116" xfId="57" applyFont="1" applyFill="1" applyBorder="1" applyAlignment="1">
      <alignment horizontal="center" wrapText="1"/>
    </xf>
    <xf numFmtId="0" fontId="0" fillId="25" borderId="116" xfId="0" applyFont="1" applyFill="1" applyBorder="1" applyAlignment="1">
      <alignment horizontal="center" vertical="center" wrapText="1"/>
    </xf>
    <xf numFmtId="1" fontId="0" fillId="25" borderId="116" xfId="0" applyNumberFormat="1" applyFont="1" applyFill="1" applyBorder="1" applyAlignment="1">
      <alignment horizontal="center" vertical="center"/>
    </xf>
    <xf numFmtId="0" fontId="0" fillId="0" borderId="116" xfId="57" applyFont="1" applyFill="1" applyBorder="1" applyAlignment="1">
      <alignment wrapText="1"/>
    </xf>
    <xf numFmtId="1" fontId="0" fillId="25" borderId="116" xfId="0" applyNumberFormat="1" applyFont="1" applyFill="1" applyBorder="1" applyAlignment="1">
      <alignment horizontal="center" vertical="center" wrapText="1"/>
    </xf>
    <xf numFmtId="0" fontId="0" fillId="0" borderId="0" xfId="57" applyFont="1"/>
    <xf numFmtId="0" fontId="0" fillId="0" borderId="0" xfId="57" applyFont="1" applyAlignment="1">
      <alignment horizontal="center"/>
    </xf>
    <xf numFmtId="0" fontId="0" fillId="26" borderId="60" xfId="0" applyFill="1" applyBorder="1" applyAlignment="1">
      <alignment horizontal="right"/>
    </xf>
    <xf numFmtId="0" fontId="0" fillId="26" borderId="60" xfId="0" applyFill="1" applyBorder="1"/>
    <xf numFmtId="0" fontId="0" fillId="26" borderId="60" xfId="0" applyFill="1" applyBorder="1" applyAlignment="1">
      <alignment horizontal="center"/>
    </xf>
    <xf numFmtId="0" fontId="0" fillId="0" borderId="116" xfId="57" applyFont="1" applyFill="1" applyBorder="1"/>
    <xf numFmtId="0" fontId="0" fillId="0" borderId="116" xfId="57" applyFont="1" applyBorder="1"/>
    <xf numFmtId="0" fontId="0" fillId="0" borderId="0" xfId="57" applyFont="1" applyBorder="1"/>
    <xf numFmtId="0" fontId="0" fillId="0" borderId="116" xfId="0" applyFont="1" applyFill="1" applyBorder="1" applyAlignment="1">
      <alignment horizontal="center" vertical="center"/>
    </xf>
    <xf numFmtId="0" fontId="0" fillId="0" borderId="116" xfId="0" applyFont="1" applyBorder="1" applyAlignment="1">
      <alignment horizontal="center"/>
    </xf>
    <xf numFmtId="0" fontId="0" fillId="0" borderId="60" xfId="0" applyFont="1" applyFill="1" applyBorder="1" applyAlignment="1">
      <alignment horizontal="center" vertical="center"/>
    </xf>
    <xf numFmtId="0" fontId="0" fillId="0" borderId="116" xfId="0" applyFont="1" applyFill="1" applyBorder="1" applyAlignment="1">
      <alignment horizontal="center"/>
    </xf>
    <xf numFmtId="0" fontId="0" fillId="0" borderId="60" xfId="0" applyFont="1" applyBorder="1" applyAlignment="1">
      <alignment horizontal="center" vertical="center"/>
    </xf>
    <xf numFmtId="0" fontId="0" fillId="0" borderId="60" xfId="0" applyFont="1" applyFill="1" applyBorder="1" applyAlignment="1">
      <alignment horizontal="center" vertical="center" wrapText="1"/>
    </xf>
    <xf numFmtId="0" fontId="0" fillId="0" borderId="60" xfId="0" applyFont="1" applyBorder="1" applyAlignment="1">
      <alignment horizontal="center" vertical="center" wrapText="1"/>
    </xf>
    <xf numFmtId="0" fontId="0" fillId="25" borderId="60" xfId="0" applyFont="1" applyFill="1" applyBorder="1" applyAlignment="1">
      <alignment horizontal="center" vertical="center" wrapText="1"/>
    </xf>
    <xf numFmtId="0" fontId="0" fillId="0" borderId="60" xfId="0" applyFont="1" applyFill="1" applyBorder="1" applyAlignment="1">
      <alignment horizontal="center"/>
    </xf>
    <xf numFmtId="0" fontId="0" fillId="0" borderId="60" xfId="0" applyFont="1" applyBorder="1" applyAlignment="1" applyProtection="1">
      <alignment horizontal="center"/>
    </xf>
    <xf numFmtId="0" fontId="0" fillId="0" borderId="60" xfId="0" applyFont="1" applyBorder="1" applyAlignment="1">
      <alignment horizontal="center"/>
    </xf>
    <xf numFmtId="0" fontId="0" fillId="25" borderId="60" xfId="0" applyFont="1" applyFill="1" applyBorder="1" applyAlignment="1">
      <alignment vertical="center" wrapText="1"/>
    </xf>
    <xf numFmtId="0" fontId="0" fillId="25" borderId="116" xfId="0" applyFont="1" applyFill="1" applyBorder="1" applyAlignment="1">
      <alignment vertical="center" wrapText="1"/>
    </xf>
    <xf numFmtId="0" fontId="0" fillId="25" borderId="116" xfId="0" applyFont="1" applyFill="1" applyBorder="1" applyAlignment="1">
      <alignment horizontal="center"/>
    </xf>
    <xf numFmtId="0" fontId="0" fillId="25" borderId="60" xfId="0" applyFont="1" applyFill="1" applyBorder="1" applyAlignment="1">
      <alignment horizontal="center"/>
    </xf>
    <xf numFmtId="0" fontId="0" fillId="0" borderId="116" xfId="0" applyFont="1" applyFill="1" applyBorder="1" applyAlignment="1">
      <alignment horizontal="center" wrapText="1"/>
    </xf>
    <xf numFmtId="0" fontId="0" fillId="0" borderId="116" xfId="0" applyFont="1" applyBorder="1" applyAlignment="1">
      <alignment horizontal="center" vertical="center" wrapText="1"/>
    </xf>
    <xf numFmtId="0" fontId="0" fillId="0" borderId="116" xfId="0" applyFont="1" applyBorder="1" applyAlignment="1">
      <alignment horizontal="center" vertical="center"/>
    </xf>
    <xf numFmtId="0" fontId="0" fillId="0" borderId="116" xfId="0" applyFont="1" applyBorder="1" applyAlignment="1">
      <alignment horizontal="center" wrapText="1"/>
    </xf>
    <xf numFmtId="0" fontId="55" fillId="26" borderId="116" xfId="80" applyFont="1" applyFill="1" applyBorder="1"/>
    <xf numFmtId="0" fontId="55" fillId="26" borderId="116" xfId="80" applyFont="1" applyFill="1" applyBorder="1" applyAlignment="1">
      <alignment horizontal="left" vertical="center" wrapText="1"/>
    </xf>
    <xf numFmtId="0" fontId="0" fillId="0" borderId="0" xfId="80" applyFont="1"/>
    <xf numFmtId="49" fontId="0" fillId="0" borderId="60" xfId="0" applyNumberFormat="1" applyFont="1" applyFill="1" applyBorder="1" applyAlignment="1">
      <alignment horizontal="center" vertical="center"/>
    </xf>
    <xf numFmtId="0" fontId="0" fillId="0" borderId="70" xfId="0" applyBorder="1" applyAlignment="1"/>
    <xf numFmtId="0" fontId="0" fillId="26" borderId="60" xfId="0" applyFill="1" applyBorder="1" applyAlignment="1">
      <alignment vertical="center"/>
    </xf>
    <xf numFmtId="0" fontId="0" fillId="26" borderId="70" xfId="0" applyFill="1" applyBorder="1" applyAlignment="1"/>
    <xf numFmtId="0" fontId="0" fillId="26" borderId="116" xfId="0" applyFont="1" applyFill="1" applyBorder="1" applyAlignment="1"/>
    <xf numFmtId="0" fontId="0" fillId="0" borderId="116" xfId="0" applyFont="1" applyBorder="1" applyAlignment="1"/>
    <xf numFmtId="0" fontId="42" fillId="26" borderId="60" xfId="0" applyFont="1" applyFill="1" applyBorder="1" applyAlignment="1">
      <alignment vertical="center"/>
    </xf>
    <xf numFmtId="0" fontId="0" fillId="26" borderId="116" xfId="0" applyFill="1" applyBorder="1" applyAlignment="1"/>
    <xf numFmtId="1" fontId="38" fillId="26" borderId="12" xfId="0" applyNumberFormat="1" applyFont="1" applyFill="1" applyBorder="1" applyAlignment="1">
      <alignment horizontal="center" vertical="center" wrapText="1"/>
    </xf>
    <xf numFmtId="1" fontId="0" fillId="26" borderId="60" xfId="0" applyNumberFormat="1" applyFont="1" applyFill="1" applyBorder="1" applyAlignment="1">
      <alignment horizontal="center" vertical="center"/>
    </xf>
    <xf numFmtId="1" fontId="0" fillId="0" borderId="0" xfId="0" applyNumberFormat="1" applyFont="1" applyBorder="1" applyAlignment="1">
      <alignment horizontal="center"/>
    </xf>
    <xf numFmtId="1" fontId="38" fillId="0" borderId="0" xfId="0" applyNumberFormat="1" applyFont="1" applyFill="1" applyBorder="1" applyAlignment="1">
      <alignment horizontal="center" vertical="center"/>
    </xf>
    <xf numFmtId="9" fontId="0" fillId="27" borderId="60" xfId="82" applyFont="1" applyFill="1" applyBorder="1" applyAlignment="1">
      <alignment horizontal="center" vertical="center"/>
    </xf>
    <xf numFmtId="1" fontId="0" fillId="0" borderId="0" xfId="0" applyNumberFormat="1" applyFont="1" applyAlignment="1">
      <alignment horizontal="center"/>
    </xf>
    <xf numFmtId="0" fontId="39" fillId="26" borderId="85" xfId="67" applyFont="1" applyFill="1" applyBorder="1" applyAlignment="1">
      <alignment horizontal="right"/>
    </xf>
    <xf numFmtId="0" fontId="39" fillId="26" borderId="85" xfId="67" applyFont="1" applyFill="1" applyBorder="1" applyAlignment="1"/>
    <xf numFmtId="0" fontId="38" fillId="26" borderId="116" xfId="0" applyFont="1" applyFill="1" applyBorder="1" applyAlignment="1">
      <alignment horizontal="center" vertical="center" wrapText="1"/>
    </xf>
    <xf numFmtId="0" fontId="73" fillId="27" borderId="93" xfId="0" applyFont="1" applyFill="1" applyBorder="1" applyAlignment="1">
      <alignment horizontal="center" vertical="center"/>
    </xf>
    <xf numFmtId="0" fontId="0" fillId="26" borderId="116" xfId="0" applyFont="1" applyFill="1" applyBorder="1" applyAlignment="1">
      <alignment horizontal="center" vertical="center" wrapText="1"/>
    </xf>
    <xf numFmtId="0" fontId="0" fillId="26" borderId="116" xfId="0" applyFill="1" applyBorder="1" applyAlignment="1">
      <alignment horizontal="center" vertical="center" wrapText="1"/>
    </xf>
    <xf numFmtId="0" fontId="73" fillId="0" borderId="0" xfId="0" applyFont="1" applyFill="1"/>
    <xf numFmtId="0" fontId="63" fillId="26" borderId="116" xfId="83" applyFill="1" applyBorder="1" applyAlignment="1">
      <alignment wrapText="1"/>
    </xf>
    <xf numFmtId="0" fontId="38" fillId="26" borderId="121" xfId="0" applyFont="1" applyFill="1" applyBorder="1" applyAlignment="1">
      <alignment horizontal="center" vertical="center" wrapText="1"/>
    </xf>
    <xf numFmtId="0" fontId="0" fillId="26" borderId="60" xfId="0" applyFont="1" applyFill="1" applyBorder="1" applyAlignment="1">
      <alignment vertical="center" wrapText="1"/>
    </xf>
    <xf numFmtId="0" fontId="0" fillId="26" borderId="116" xfId="0" applyFont="1" applyFill="1" applyBorder="1" applyAlignment="1">
      <alignment wrapText="1"/>
    </xf>
    <xf numFmtId="0" fontId="0" fillId="26" borderId="116" xfId="0" applyFill="1" applyBorder="1" applyAlignment="1">
      <alignment horizontal="center" vertical="center" wrapText="1"/>
    </xf>
    <xf numFmtId="49" fontId="0" fillId="0" borderId="71" xfId="0" applyNumberFormat="1" applyFont="1" applyFill="1" applyBorder="1" applyAlignment="1">
      <alignment horizontal="left" vertical="center"/>
    </xf>
    <xf numFmtId="49" fontId="0" fillId="0" borderId="116" xfId="0" applyNumberFormat="1" applyFont="1" applyFill="1" applyBorder="1" applyAlignment="1">
      <alignment horizontal="left" vertical="center"/>
    </xf>
    <xf numFmtId="0" fontId="0" fillId="26" borderId="116" xfId="0" applyFill="1" applyBorder="1" applyAlignment="1">
      <alignment wrapText="1"/>
    </xf>
    <xf numFmtId="0" fontId="0" fillId="0" borderId="70" xfId="0" applyFill="1" applyBorder="1" applyAlignment="1"/>
    <xf numFmtId="0" fontId="0" fillId="0" borderId="0" xfId="0" applyFont="1" applyFill="1" applyAlignment="1"/>
    <xf numFmtId="0" fontId="0" fillId="0" borderId="60" xfId="0" applyFont="1" applyFill="1" applyBorder="1" applyAlignment="1">
      <alignment horizontal="left" vertical="center"/>
    </xf>
    <xf numFmtId="0" fontId="0" fillId="26" borderId="85" xfId="79" applyFont="1" applyFill="1" applyBorder="1" applyAlignment="1">
      <alignment wrapText="1"/>
    </xf>
    <xf numFmtId="49" fontId="0" fillId="81" borderId="116" xfId="0" applyNumberFormat="1" applyFont="1" applyFill="1" applyBorder="1" applyAlignment="1">
      <alignment horizontal="left" vertical="center"/>
    </xf>
    <xf numFmtId="0" fontId="0" fillId="26" borderId="60" xfId="0" applyNumberFormat="1" applyFont="1" applyFill="1" applyBorder="1" applyAlignment="1">
      <alignment horizontal="center" vertical="center"/>
    </xf>
    <xf numFmtId="0" fontId="46" fillId="26" borderId="116" xfId="0" applyFont="1" applyFill="1" applyBorder="1" applyAlignment="1">
      <alignment wrapText="1"/>
    </xf>
    <xf numFmtId="0" fontId="44" fillId="26" borderId="70" xfId="77" applyFont="1" applyFill="1" applyBorder="1" applyAlignment="1">
      <alignment wrapText="1"/>
    </xf>
    <xf numFmtId="0" fontId="0" fillId="26" borderId="116" xfId="0" applyFont="1" applyFill="1" applyBorder="1" applyAlignment="1">
      <alignment horizontal="left" vertical="center" wrapText="1"/>
    </xf>
    <xf numFmtId="0" fontId="0" fillId="26" borderId="116" xfId="0" applyFont="1" applyFill="1" applyBorder="1" applyAlignment="1">
      <alignment horizontal="left" vertical="top" wrapText="1"/>
    </xf>
    <xf numFmtId="0" fontId="0" fillId="26" borderId="116" xfId="0" applyFill="1" applyBorder="1" applyAlignment="1">
      <alignment horizontal="center"/>
    </xf>
    <xf numFmtId="0" fontId="0" fillId="26" borderId="60" xfId="0" applyFill="1" applyBorder="1" applyAlignment="1">
      <alignment horizontal="left" wrapText="1"/>
    </xf>
    <xf numFmtId="0" fontId="46" fillId="26" borderId="60" xfId="0" applyFont="1" applyFill="1" applyBorder="1" applyAlignment="1">
      <alignment horizontal="left" wrapText="1"/>
    </xf>
    <xf numFmtId="0" fontId="0" fillId="0" borderId="85" xfId="0" applyFont="1" applyFill="1" applyBorder="1" applyAlignment="1">
      <alignment horizontal="center"/>
    </xf>
    <xf numFmtId="0" fontId="0" fillId="0" borderId="85" xfId="0" applyFont="1" applyFill="1" applyBorder="1"/>
    <xf numFmtId="0" fontId="0" fillId="0" borderId="116" xfId="0" applyFill="1" applyBorder="1"/>
    <xf numFmtId="49" fontId="38" fillId="29" borderId="116" xfId="60" applyNumberFormat="1" applyFont="1" applyFill="1" applyBorder="1" applyAlignment="1">
      <alignment horizontal="center" vertical="center" wrapText="1"/>
    </xf>
    <xf numFmtId="49" fontId="38" fillId="26" borderId="116" xfId="60" applyNumberFormat="1" applyFont="1" applyFill="1" applyBorder="1" applyAlignment="1">
      <alignment horizontal="center" vertical="center" wrapText="1"/>
    </xf>
    <xf numFmtId="0" fontId="0" fillId="82" borderId="116" xfId="0" applyFont="1" applyFill="1" applyBorder="1" applyAlignment="1">
      <alignment horizontal="center" vertical="center" wrapText="1"/>
    </xf>
    <xf numFmtId="0" fontId="0" fillId="0" borderId="70" xfId="0" applyBorder="1" applyAlignment="1">
      <alignment horizontal="center"/>
    </xf>
    <xf numFmtId="0" fontId="0" fillId="26" borderId="116" xfId="0" applyFont="1" applyFill="1" applyBorder="1" applyAlignment="1">
      <alignment horizontal="center"/>
    </xf>
    <xf numFmtId="49" fontId="38" fillId="0" borderId="0" xfId="60" applyNumberFormat="1" applyFont="1" applyFill="1" applyBorder="1" applyAlignment="1">
      <alignment horizontal="center" vertical="center" wrapText="1"/>
    </xf>
    <xf numFmtId="0" fontId="99" fillId="82" borderId="116" xfId="77" applyFont="1" applyFill="1" applyBorder="1" applyAlignment="1">
      <alignment horizontal="center" vertical="center" wrapText="1"/>
    </xf>
    <xf numFmtId="0" fontId="99" fillId="82" borderId="116" xfId="77" applyFont="1" applyFill="1" applyBorder="1" applyAlignment="1">
      <alignment horizontal="center" vertical="top" wrapText="1"/>
    </xf>
    <xf numFmtId="9" fontId="55" fillId="27" borderId="70" xfId="82" applyFont="1" applyFill="1" applyBorder="1"/>
    <xf numFmtId="0" fontId="55" fillId="26" borderId="70" xfId="80" applyFont="1" applyFill="1" applyBorder="1"/>
    <xf numFmtId="0" fontId="3" fillId="26" borderId="70" xfId="80" applyFont="1" applyFill="1" applyBorder="1" applyAlignment="1">
      <alignment wrapText="1"/>
    </xf>
    <xf numFmtId="0" fontId="0" fillId="0" borderId="116" xfId="57" applyFont="1" applyFill="1" applyBorder="1" applyAlignment="1">
      <alignment horizontal="center"/>
    </xf>
    <xf numFmtId="0" fontId="0" fillId="0" borderId="116" xfId="57" applyFont="1" applyFill="1" applyBorder="1" applyAlignment="1">
      <alignment horizontal="center" wrapText="1"/>
    </xf>
    <xf numFmtId="49" fontId="0" fillId="26" borderId="93" xfId="0" applyNumberFormat="1" applyFont="1" applyFill="1" applyBorder="1" applyAlignment="1">
      <alignment horizontal="center"/>
    </xf>
    <xf numFmtId="14" fontId="0" fillId="26" borderId="116" xfId="0" applyNumberFormat="1" applyFont="1" applyFill="1" applyBorder="1" applyAlignment="1">
      <alignment horizontal="center" vertical="center" wrapText="1"/>
    </xf>
    <xf numFmtId="14" fontId="0" fillId="26" borderId="120" xfId="0" applyNumberFormat="1" applyFont="1" applyFill="1" applyBorder="1" applyAlignment="1">
      <alignment horizontal="center"/>
    </xf>
    <xf numFmtId="14" fontId="0" fillId="26" borderId="11" xfId="0" applyNumberFormat="1" applyFont="1" applyFill="1" applyBorder="1" applyAlignment="1">
      <alignment horizontal="left" vertical="center" wrapText="1"/>
    </xf>
    <xf numFmtId="14" fontId="0" fillId="26" borderId="70" xfId="0" applyNumberFormat="1" applyFont="1" applyFill="1" applyBorder="1" applyAlignment="1">
      <alignment horizontal="left" vertical="center" wrapText="1"/>
    </xf>
    <xf numFmtId="0" fontId="0" fillId="26" borderId="70" xfId="0" applyFont="1" applyFill="1" applyBorder="1" applyAlignment="1">
      <alignment horizontal="left" vertical="center" wrapText="1"/>
    </xf>
    <xf numFmtId="14" fontId="0" fillId="26" borderId="116" xfId="0" applyNumberFormat="1" applyFont="1" applyFill="1" applyBorder="1" applyAlignment="1">
      <alignment horizontal="left" vertical="center" wrapText="1"/>
    </xf>
    <xf numFmtId="0" fontId="0" fillId="0" borderId="70" xfId="0" applyFont="1" applyFill="1" applyBorder="1" applyAlignment="1">
      <alignment vertical="center"/>
    </xf>
    <xf numFmtId="0" fontId="67" fillId="0" borderId="70" xfId="83" applyFont="1" applyFill="1" applyBorder="1" applyAlignment="1">
      <alignment vertical="center"/>
    </xf>
    <xf numFmtId="49" fontId="14" fillId="26" borderId="116" xfId="60" applyNumberFormat="1" applyFont="1" applyFill="1" applyBorder="1" applyAlignment="1">
      <alignment horizontal="center" vertical="center" wrapText="1"/>
    </xf>
    <xf numFmtId="49" fontId="38" fillId="26" borderId="50" xfId="60" applyNumberFormat="1" applyFont="1" applyFill="1" applyBorder="1" applyAlignment="1">
      <alignment horizontal="center" vertical="center" wrapText="1"/>
    </xf>
    <xf numFmtId="0" fontId="38" fillId="0" borderId="50" xfId="0" applyFont="1" applyFill="1" applyBorder="1" applyAlignment="1">
      <alignment horizontal="center" vertical="center" wrapText="1"/>
    </xf>
    <xf numFmtId="0" fontId="0" fillId="0" borderId="116" xfId="0" applyFill="1" applyBorder="1" applyAlignment="1">
      <alignment horizontal="center" vertical="center" wrapText="1"/>
    </xf>
    <xf numFmtId="0" fontId="0" fillId="0" borderId="116" xfId="0" applyBorder="1" applyAlignment="1">
      <alignment horizontal="center" vertical="center" wrapText="1"/>
    </xf>
    <xf numFmtId="0" fontId="0" fillId="0" borderId="116" xfId="0" applyBorder="1" applyAlignment="1">
      <alignment horizontal="center" vertical="center"/>
    </xf>
    <xf numFmtId="0" fontId="0" fillId="0" borderId="116" xfId="0" applyFill="1" applyBorder="1" applyAlignment="1">
      <alignment horizontal="center" vertical="center"/>
    </xf>
    <xf numFmtId="0" fontId="0" fillId="26" borderId="60" xfId="0" applyFill="1" applyBorder="1" applyAlignment="1">
      <alignment horizontal="center" vertical="center"/>
    </xf>
    <xf numFmtId="0" fontId="0" fillId="26" borderId="85" xfId="0" applyFill="1" applyBorder="1" applyAlignment="1">
      <alignment horizontal="center" vertical="center"/>
    </xf>
    <xf numFmtId="0" fontId="0" fillId="26" borderId="44" xfId="0" applyFill="1" applyBorder="1" applyAlignment="1">
      <alignment horizontal="center" vertical="center"/>
    </xf>
    <xf numFmtId="0" fontId="0" fillId="26" borderId="85" xfId="0" applyFill="1" applyBorder="1" applyAlignment="1">
      <alignment horizontal="center" vertical="center" wrapText="1"/>
    </xf>
    <xf numFmtId="9" fontId="39" fillId="26" borderId="116" xfId="62" applyNumberFormat="1" applyFont="1" applyFill="1" applyBorder="1" applyAlignment="1">
      <alignment horizontal="center" vertical="center"/>
    </xf>
    <xf numFmtId="1" fontId="39" fillId="26" borderId="116" xfId="62" applyNumberFormat="1" applyFont="1" applyFill="1" applyBorder="1" applyAlignment="1">
      <alignment horizontal="center" vertical="center"/>
    </xf>
    <xf numFmtId="165" fontId="39" fillId="27" borderId="116" xfId="62" applyNumberFormat="1" applyFont="1" applyFill="1" applyBorder="1" applyAlignment="1">
      <alignment horizontal="center" vertical="center"/>
    </xf>
    <xf numFmtId="0" fontId="0" fillId="26" borderId="116" xfId="62" applyNumberFormat="1" applyFont="1" applyFill="1" applyBorder="1" applyAlignment="1">
      <alignment horizontal="center" vertical="center"/>
    </xf>
    <xf numFmtId="0" fontId="39" fillId="26" borderId="116" xfId="62" applyNumberFormat="1" applyFont="1" applyFill="1" applyBorder="1" applyAlignment="1">
      <alignment horizontal="center" vertical="center"/>
    </xf>
    <xf numFmtId="0" fontId="39" fillId="26" borderId="116" xfId="0" applyFont="1" applyFill="1" applyBorder="1" applyAlignment="1">
      <alignment horizontal="center"/>
    </xf>
    <xf numFmtId="9" fontId="0" fillId="26" borderId="116" xfId="62" applyNumberFormat="1" applyFont="1" applyFill="1" applyBorder="1" applyAlignment="1">
      <alignment horizontal="center" vertical="center"/>
    </xf>
    <xf numFmtId="9" fontId="39" fillId="26" borderId="116" xfId="82" applyFont="1" applyFill="1" applyBorder="1" applyAlignment="1">
      <alignment horizontal="center" vertical="center"/>
    </xf>
    <xf numFmtId="2" fontId="0" fillId="27" borderId="116" xfId="62" applyNumberFormat="1" applyFont="1" applyFill="1" applyBorder="1" applyAlignment="1">
      <alignment horizontal="center" vertical="center"/>
    </xf>
    <xf numFmtId="0" fontId="0" fillId="26" borderId="116" xfId="62" applyNumberFormat="1" applyFont="1" applyFill="1" applyBorder="1" applyAlignment="1">
      <alignment vertical="center"/>
    </xf>
    <xf numFmtId="0" fontId="39" fillId="26" borderId="116" xfId="0" applyFont="1" applyFill="1" applyBorder="1" applyAlignment="1"/>
    <xf numFmtId="49" fontId="0" fillId="26" borderId="50" xfId="60" applyNumberFormat="1" applyFont="1" applyFill="1" applyBorder="1" applyAlignment="1">
      <alignment horizontal="center" vertical="center" wrapText="1"/>
    </xf>
    <xf numFmtId="1" fontId="0" fillId="27" borderId="116" xfId="62" applyNumberFormat="1" applyFont="1" applyFill="1" applyBorder="1" applyAlignment="1">
      <alignment horizontal="center" vertical="center"/>
    </xf>
    <xf numFmtId="0" fontId="0" fillId="26" borderId="70" xfId="0" applyFill="1" applyBorder="1" applyAlignment="1">
      <alignment vertical="center" wrapText="1"/>
    </xf>
    <xf numFmtId="1" fontId="0" fillId="0" borderId="116" xfId="0" applyNumberFormat="1" applyFont="1" applyFill="1" applyBorder="1" applyAlignment="1">
      <alignment horizontal="center" vertical="center"/>
    </xf>
    <xf numFmtId="49" fontId="0" fillId="0" borderId="60" xfId="0" applyNumberFormat="1" applyFont="1" applyFill="1" applyBorder="1" applyAlignment="1">
      <alignment horizontal="center" vertical="center"/>
    </xf>
    <xf numFmtId="0" fontId="0" fillId="0" borderId="70" xfId="0" applyBorder="1" applyAlignment="1">
      <alignment horizontal="center" vertical="center"/>
    </xf>
    <xf numFmtId="0" fontId="2" fillId="26" borderId="70" xfId="80" applyFont="1" applyFill="1" applyBorder="1" applyAlignment="1">
      <alignment wrapText="1"/>
    </xf>
    <xf numFmtId="0" fontId="39" fillId="26" borderId="64" xfId="0" applyFont="1" applyFill="1" applyBorder="1" applyAlignment="1">
      <alignment horizontal="center" vertical="center"/>
    </xf>
    <xf numFmtId="0" fontId="39" fillId="26" borderId="60" xfId="0" applyFont="1" applyFill="1" applyBorder="1" applyAlignment="1">
      <alignment horizontal="center" vertical="center"/>
    </xf>
    <xf numFmtId="0" fontId="0" fillId="26" borderId="116" xfId="0" applyFont="1" applyFill="1" applyBorder="1" applyAlignment="1">
      <alignment horizontal="center" vertical="center"/>
    </xf>
    <xf numFmtId="0" fontId="2" fillId="0" borderId="116" xfId="80" applyFont="1" applyBorder="1" applyAlignment="1">
      <alignment horizontal="center"/>
    </xf>
    <xf numFmtId="0" fontId="13" fillId="0" borderId="116" xfId="80" applyFill="1" applyBorder="1" applyAlignment="1">
      <alignment horizontal="center"/>
    </xf>
    <xf numFmtId="0" fontId="71" fillId="26" borderId="116" xfId="0" applyFont="1" applyFill="1" applyBorder="1" applyAlignment="1">
      <alignment wrapText="1"/>
    </xf>
    <xf numFmtId="0" fontId="13" fillId="0" borderId="116" xfId="80" applyBorder="1" applyAlignment="1">
      <alignment horizontal="center"/>
    </xf>
    <xf numFmtId="0" fontId="1" fillId="0" borderId="116" xfId="80" applyFont="1" applyFill="1" applyBorder="1" applyAlignment="1">
      <alignment wrapText="1"/>
    </xf>
    <xf numFmtId="0" fontId="1" fillId="26" borderId="70" xfId="80" applyFont="1" applyFill="1" applyBorder="1" applyAlignment="1">
      <alignment wrapText="1"/>
    </xf>
    <xf numFmtId="0" fontId="1" fillId="26" borderId="70" xfId="80" applyFont="1" applyFill="1" applyBorder="1"/>
    <xf numFmtId="0" fontId="1" fillId="0" borderId="116" xfId="80" applyFont="1" applyFill="1" applyBorder="1" applyAlignment="1">
      <alignment horizontal="center" wrapText="1"/>
    </xf>
    <xf numFmtId="0" fontId="0" fillId="26" borderId="60" xfId="0" applyFill="1" applyBorder="1" applyAlignment="1">
      <alignment vertical="center" wrapText="1"/>
    </xf>
    <xf numFmtId="0" fontId="0" fillId="26" borderId="116" xfId="0" applyFont="1" applyFill="1" applyBorder="1" applyAlignment="1">
      <alignment vertical="center" wrapText="1"/>
    </xf>
    <xf numFmtId="0" fontId="46" fillId="0" borderId="70" xfId="0" applyFont="1" applyBorder="1" applyAlignment="1"/>
    <xf numFmtId="0" fontId="100" fillId="0" borderId="60" xfId="0" applyFont="1" applyFill="1" applyBorder="1" applyAlignment="1">
      <alignment horizontal="center" vertical="center"/>
    </xf>
    <xf numFmtId="0" fontId="46" fillId="0" borderId="60" xfId="0" applyFont="1" applyFill="1" applyBorder="1" applyAlignment="1">
      <alignment horizontal="center" vertical="center"/>
    </xf>
    <xf numFmtId="49" fontId="46" fillId="0" borderId="116" xfId="0" applyNumberFormat="1" applyFont="1" applyFill="1" applyBorder="1" applyAlignment="1">
      <alignment horizontal="left" vertical="center"/>
    </xf>
    <xf numFmtId="1" fontId="46" fillId="26" borderId="60" xfId="0" applyNumberFormat="1" applyFont="1" applyFill="1" applyBorder="1" applyAlignment="1">
      <alignment horizontal="center" vertical="center"/>
    </xf>
    <xf numFmtId="0" fontId="46" fillId="26" borderId="70" xfId="0" applyFont="1" applyFill="1" applyBorder="1" applyAlignment="1">
      <alignment horizontal="center" vertical="center"/>
    </xf>
    <xf numFmtId="49" fontId="46" fillId="26" borderId="116" xfId="60" applyNumberFormat="1" applyFont="1" applyFill="1" applyBorder="1" applyAlignment="1">
      <alignment horizontal="center" vertical="center" wrapText="1"/>
    </xf>
    <xf numFmtId="0" fontId="46" fillId="27" borderId="60" xfId="0" applyFont="1" applyFill="1" applyBorder="1" applyAlignment="1">
      <alignment horizontal="center" vertical="center"/>
    </xf>
    <xf numFmtId="0" fontId="46" fillId="26" borderId="116" xfId="0" applyFont="1" applyFill="1" applyBorder="1" applyAlignment="1">
      <alignment horizontal="center" vertical="center"/>
    </xf>
    <xf numFmtId="0" fontId="46" fillId="26" borderId="70" xfId="0" applyFont="1" applyFill="1" applyBorder="1" applyAlignment="1"/>
    <xf numFmtId="2" fontId="46" fillId="0" borderId="93" xfId="0" applyNumberFormat="1" applyFont="1" applyFill="1" applyBorder="1" applyAlignment="1">
      <alignment horizontal="center" vertical="center"/>
    </xf>
    <xf numFmtId="0" fontId="46" fillId="26" borderId="70" xfId="0" applyFont="1" applyFill="1" applyBorder="1" applyAlignment="1">
      <alignment horizontal="left" vertical="center"/>
    </xf>
    <xf numFmtId="0" fontId="0" fillId="26" borderId="70" xfId="0" applyFill="1" applyBorder="1" applyAlignment="1">
      <alignment horizontal="left"/>
    </xf>
    <xf numFmtId="49" fontId="0" fillId="0" borderId="116" xfId="60" applyNumberFormat="1" applyFont="1" applyFill="1" applyBorder="1" applyAlignment="1">
      <alignment horizontal="center" vertical="center" wrapText="1"/>
    </xf>
    <xf numFmtId="0" fontId="68" fillId="26" borderId="116" xfId="80" applyFont="1" applyFill="1" applyBorder="1"/>
    <xf numFmtId="49" fontId="46" fillId="26" borderId="60" xfId="0" applyNumberFormat="1" applyFont="1" applyFill="1" applyBorder="1" applyAlignment="1">
      <alignment horizontal="center" vertical="center" wrapText="1"/>
    </xf>
    <xf numFmtId="49" fontId="0" fillId="25" borderId="116" xfId="62" applyNumberFormat="1" applyFont="1" applyFill="1" applyBorder="1" applyAlignment="1">
      <alignment horizontal="left" vertical="center"/>
    </xf>
    <xf numFmtId="0" fontId="46" fillId="0" borderId="116" xfId="62" applyNumberFormat="1" applyFont="1" applyFill="1" applyBorder="1" applyAlignment="1">
      <alignment horizontal="center" vertical="center"/>
    </xf>
    <xf numFmtId="0" fontId="46" fillId="0" borderId="116" xfId="0" applyFont="1" applyFill="1" applyBorder="1" applyAlignment="1">
      <alignment horizontal="center" vertical="center"/>
    </xf>
    <xf numFmtId="0" fontId="46" fillId="25" borderId="116" xfId="62" applyNumberFormat="1" applyFont="1" applyFill="1" applyBorder="1" applyAlignment="1">
      <alignment horizontal="center" vertical="center"/>
    </xf>
    <xf numFmtId="0" fontId="46" fillId="25" borderId="116" xfId="0" applyFont="1" applyFill="1" applyBorder="1" applyAlignment="1">
      <alignment horizontal="center" vertical="center"/>
    </xf>
    <xf numFmtId="0" fontId="46" fillId="0" borderId="85" xfId="0" applyFont="1" applyFill="1" applyBorder="1" applyAlignment="1">
      <alignment horizontal="center" vertical="center"/>
    </xf>
    <xf numFmtId="0" fontId="46" fillId="0" borderId="85" xfId="62" applyNumberFormat="1" applyFont="1" applyFill="1" applyBorder="1" applyAlignment="1">
      <alignment horizontal="center" vertical="center"/>
    </xf>
    <xf numFmtId="0" fontId="46" fillId="26" borderId="60" xfId="62" applyNumberFormat="1" applyFont="1" applyFill="1" applyBorder="1" applyAlignment="1">
      <alignment horizontal="left" vertical="center"/>
    </xf>
    <xf numFmtId="0" fontId="46" fillId="0" borderId="60" xfId="0" applyFont="1" applyBorder="1" applyAlignment="1" applyProtection="1">
      <alignment horizontal="center"/>
    </xf>
    <xf numFmtId="49" fontId="46" fillId="25" borderId="60" xfId="62" applyNumberFormat="1" applyFont="1" applyFill="1" applyBorder="1" applyAlignment="1">
      <alignment vertical="center"/>
    </xf>
    <xf numFmtId="0" fontId="46" fillId="25" borderId="116" xfId="0" applyFont="1" applyFill="1" applyBorder="1" applyAlignment="1"/>
    <xf numFmtId="0" fontId="46" fillId="26" borderId="85" xfId="0" applyFont="1" applyFill="1" applyBorder="1" applyAlignment="1">
      <alignment horizontal="left"/>
    </xf>
    <xf numFmtId="0" fontId="46" fillId="25" borderId="60" xfId="62" applyFont="1" applyFill="1" applyBorder="1" applyAlignment="1">
      <alignment horizontal="left" vertical="center"/>
    </xf>
    <xf numFmtId="49" fontId="46" fillId="0" borderId="60" xfId="60" applyNumberFormat="1" applyFont="1" applyFill="1" applyBorder="1" applyAlignment="1">
      <alignment horizontal="left" vertical="center"/>
    </xf>
    <xf numFmtId="49" fontId="46" fillId="25" borderId="116" xfId="62" applyNumberFormat="1" applyFont="1" applyFill="1" applyBorder="1" applyAlignment="1">
      <alignment horizontal="left" vertical="center"/>
    </xf>
    <xf numFmtId="49" fontId="46" fillId="25" borderId="60" xfId="62" applyNumberFormat="1" applyFont="1" applyFill="1" applyBorder="1" applyAlignment="1">
      <alignment horizontal="left" vertical="center"/>
    </xf>
    <xf numFmtId="0" fontId="46" fillId="25" borderId="60" xfId="62" applyFont="1" applyFill="1" applyBorder="1" applyAlignment="1">
      <alignment horizontal="center" vertical="center"/>
    </xf>
    <xf numFmtId="0" fontId="46" fillId="0" borderId="116" xfId="0" applyFont="1" applyBorder="1"/>
    <xf numFmtId="0" fontId="46" fillId="26" borderId="116" xfId="62" applyNumberFormat="1" applyFont="1" applyFill="1" applyBorder="1" applyAlignment="1">
      <alignment horizontal="center" vertical="center"/>
    </xf>
    <xf numFmtId="9" fontId="46" fillId="26" borderId="116" xfId="62" applyNumberFormat="1" applyFont="1" applyFill="1" applyBorder="1" applyAlignment="1">
      <alignment horizontal="center" vertical="center"/>
    </xf>
    <xf numFmtId="1" fontId="46" fillId="26" borderId="116" xfId="62" applyNumberFormat="1" applyFont="1" applyFill="1" applyBorder="1" applyAlignment="1">
      <alignment horizontal="center" vertical="center"/>
    </xf>
    <xf numFmtId="165" fontId="46" fillId="27" borderId="116" xfId="62" applyNumberFormat="1" applyFont="1" applyFill="1" applyBorder="1" applyAlignment="1">
      <alignment horizontal="center" vertical="center"/>
    </xf>
    <xf numFmtId="0" fontId="46" fillId="26" borderId="116" xfId="0" applyFont="1" applyFill="1" applyBorder="1"/>
    <xf numFmtId="49" fontId="46" fillId="25" borderId="65" xfId="62" applyNumberFormat="1" applyFont="1" applyFill="1" applyBorder="1" applyAlignment="1">
      <alignment vertical="center"/>
    </xf>
    <xf numFmtId="49" fontId="38" fillId="0" borderId="50" xfId="62" applyNumberFormat="1" applyFont="1" applyFill="1" applyBorder="1" applyAlignment="1">
      <alignment horizontal="center" vertical="center" wrapText="1" shrinkToFit="1"/>
    </xf>
    <xf numFmtId="49" fontId="46" fillId="25" borderId="116" xfId="62" applyNumberFormat="1" applyFont="1" applyFill="1" applyBorder="1" applyAlignment="1">
      <alignment vertical="center"/>
    </xf>
    <xf numFmtId="49" fontId="64" fillId="0" borderId="21" xfId="0" applyNumberFormat="1" applyFont="1" applyFill="1" applyBorder="1" applyAlignment="1">
      <alignment horizontal="center" vertical="center"/>
    </xf>
    <xf numFmtId="49" fontId="64" fillId="0" borderId="60" xfId="0" applyNumberFormat="1" applyFont="1" applyFill="1" applyBorder="1" applyAlignment="1">
      <alignment horizontal="center" vertical="center"/>
    </xf>
    <xf numFmtId="49" fontId="64" fillId="0" borderId="22" xfId="0" applyNumberFormat="1" applyFont="1" applyFill="1" applyBorder="1" applyAlignment="1">
      <alignment horizontal="center" vertical="center"/>
    </xf>
    <xf numFmtId="0" fontId="38" fillId="0" borderId="18" xfId="0" applyFont="1" applyFill="1" applyBorder="1" applyAlignment="1">
      <alignment horizontal="center" vertical="center" wrapText="1"/>
    </xf>
    <xf numFmtId="0" fontId="0" fillId="0" borderId="86" xfId="0" applyFont="1" applyFill="1" applyBorder="1" applyAlignment="1">
      <alignment horizontal="center" vertical="center"/>
    </xf>
    <xf numFmtId="0" fontId="38" fillId="0" borderId="16" xfId="0" applyFont="1" applyFill="1" applyBorder="1" applyAlignment="1">
      <alignment horizontal="center" vertical="center"/>
    </xf>
    <xf numFmtId="0" fontId="0" fillId="0" borderId="13" xfId="0" applyFont="1" applyBorder="1" applyAlignment="1"/>
    <xf numFmtId="0" fontId="38" fillId="0" borderId="18" xfId="0" applyFont="1" applyFill="1" applyBorder="1" applyAlignment="1">
      <alignment horizontal="center" vertical="center"/>
    </xf>
    <xf numFmtId="0" fontId="0" fillId="0" borderId="20" xfId="0" applyFont="1" applyBorder="1" applyAlignment="1"/>
    <xf numFmtId="49" fontId="38" fillId="0" borderId="31" xfId="0" applyNumberFormat="1" applyFont="1" applyFill="1" applyBorder="1" applyAlignment="1">
      <alignment horizontal="center" vertical="center" wrapText="1"/>
    </xf>
    <xf numFmtId="0" fontId="0" fillId="0" borderId="32" xfId="0" applyFont="1" applyBorder="1" applyAlignment="1">
      <alignment horizontal="center" vertical="center" wrapText="1"/>
    </xf>
    <xf numFmtId="0" fontId="0" fillId="0" borderId="54" xfId="0" applyFont="1" applyBorder="1" applyAlignment="1">
      <alignment horizontal="center" vertical="center" wrapText="1"/>
    </xf>
    <xf numFmtId="49" fontId="38" fillId="0" borderId="20" xfId="0" applyNumberFormat="1" applyFont="1" applyFill="1" applyBorder="1" applyAlignment="1">
      <alignment horizontal="center" vertical="center" wrapText="1"/>
    </xf>
    <xf numFmtId="0" fontId="0" fillId="0" borderId="87" xfId="0" applyFont="1" applyBorder="1" applyAlignment="1">
      <alignment horizontal="center" vertical="center"/>
    </xf>
    <xf numFmtId="0" fontId="38" fillId="0" borderId="20" xfId="0" applyFont="1" applyFill="1" applyBorder="1" applyAlignment="1">
      <alignment horizontal="center" vertical="center"/>
    </xf>
    <xf numFmtId="0" fontId="38" fillId="0" borderId="20" xfId="0" applyFont="1" applyFill="1" applyBorder="1" applyAlignment="1">
      <alignment horizontal="center" vertical="center" wrapText="1"/>
    </xf>
    <xf numFmtId="0" fontId="0" fillId="0" borderId="87" xfId="0" applyFont="1" applyBorder="1" applyAlignment="1">
      <alignment horizontal="center" vertical="center" wrapText="1"/>
    </xf>
    <xf numFmtId="49" fontId="38" fillId="0" borderId="43" xfId="0" applyNumberFormat="1" applyFont="1" applyFill="1" applyBorder="1" applyAlignment="1">
      <alignment horizontal="center" vertical="center" wrapText="1"/>
    </xf>
    <xf numFmtId="0" fontId="0" fillId="0" borderId="88" xfId="0" applyFont="1" applyBorder="1" applyAlignment="1">
      <alignment horizontal="center" vertical="center" wrapText="1"/>
    </xf>
    <xf numFmtId="0" fontId="38" fillId="0" borderId="15" xfId="0" applyFont="1" applyFill="1" applyBorder="1" applyAlignment="1">
      <alignment horizontal="center" vertical="center" wrapText="1"/>
    </xf>
    <xf numFmtId="49" fontId="38" fillId="0" borderId="18" xfId="0" applyNumberFormat="1" applyFont="1" applyFill="1" applyBorder="1" applyAlignment="1">
      <alignment horizontal="center" vertical="center" wrapText="1"/>
    </xf>
    <xf numFmtId="49" fontId="38" fillId="0" borderId="15" xfId="0" applyNumberFormat="1" applyFont="1" applyFill="1" applyBorder="1" applyAlignment="1">
      <alignment horizontal="center" vertical="center" wrapText="1"/>
    </xf>
    <xf numFmtId="0" fontId="0" fillId="0" borderId="51" xfId="0" applyFont="1" applyBorder="1" applyAlignment="1"/>
    <xf numFmtId="0" fontId="0" fillId="0" borderId="53" xfId="0" applyFont="1" applyBorder="1" applyAlignment="1"/>
    <xf numFmtId="0" fontId="0" fillId="0" borderId="66" xfId="0" applyFont="1" applyBorder="1" applyAlignment="1"/>
    <xf numFmtId="0" fontId="0" fillId="0" borderId="28" xfId="0" applyFont="1" applyBorder="1" applyAlignment="1"/>
    <xf numFmtId="0" fontId="0" fillId="0" borderId="29" xfId="0" applyFont="1" applyBorder="1" applyAlignment="1"/>
    <xf numFmtId="0" fontId="0" fillId="0" borderId="30" xfId="0" applyFont="1" applyBorder="1" applyAlignment="1"/>
    <xf numFmtId="0" fontId="38" fillId="27" borderId="57" xfId="79" applyFont="1" applyFill="1" applyBorder="1" applyAlignment="1">
      <alignment horizontal="center" vertical="center" wrapText="1"/>
    </xf>
    <xf numFmtId="0" fontId="39" fillId="27" borderId="59" xfId="0" applyFont="1" applyFill="1" applyBorder="1" applyAlignment="1">
      <alignment horizontal="center" vertical="center" wrapText="1"/>
    </xf>
    <xf numFmtId="0" fontId="38" fillId="26" borderId="57" xfId="79" applyFont="1" applyFill="1" applyBorder="1" applyAlignment="1">
      <alignment horizontal="center" vertical="center" wrapText="1"/>
    </xf>
    <xf numFmtId="0" fontId="39" fillId="26" borderId="59" xfId="0" applyFont="1" applyFill="1" applyBorder="1" applyAlignment="1">
      <alignment horizontal="center" vertical="center" wrapText="1"/>
    </xf>
    <xf numFmtId="0" fontId="38" fillId="26" borderId="57" xfId="79" applyFont="1" applyFill="1" applyBorder="1" applyAlignment="1">
      <alignment vertical="center" wrapText="1"/>
    </xf>
    <xf numFmtId="0" fontId="39" fillId="26" borderId="59" xfId="0" applyFont="1" applyFill="1" applyBorder="1" applyAlignment="1">
      <alignment vertical="center" wrapText="1"/>
    </xf>
    <xf numFmtId="0" fontId="38" fillId="26" borderId="57" xfId="77" applyFont="1" applyFill="1" applyBorder="1" applyAlignment="1">
      <alignment horizontal="center" vertical="center"/>
    </xf>
    <xf numFmtId="0" fontId="39" fillId="26" borderId="59" xfId="0" applyFont="1" applyFill="1" applyBorder="1" applyAlignment="1">
      <alignment horizontal="center" vertical="center"/>
    </xf>
    <xf numFmtId="0" fontId="51" fillId="0" borderId="57" xfId="77" applyFont="1" applyFill="1" applyBorder="1" applyAlignment="1">
      <alignment horizontal="center" vertical="center" wrapText="1"/>
    </xf>
    <xf numFmtId="0" fontId="51" fillId="0" borderId="59" xfId="77" applyFont="1" applyFill="1" applyBorder="1" applyAlignment="1">
      <alignment horizontal="center" vertical="center" wrapText="1"/>
    </xf>
    <xf numFmtId="0" fontId="51" fillId="0" borderId="57" xfId="77" applyFont="1" applyFill="1" applyBorder="1" applyAlignment="1">
      <alignment horizontal="center" vertical="center"/>
    </xf>
    <xf numFmtId="0" fontId="51" fillId="0" borderId="59" xfId="77" applyFont="1" applyFill="1" applyBorder="1" applyAlignment="1">
      <alignment horizontal="center" vertical="center"/>
    </xf>
    <xf numFmtId="0" fontId="39" fillId="0" borderId="59" xfId="0" applyFont="1" applyBorder="1" applyAlignment="1">
      <alignment horizontal="center" vertical="center"/>
    </xf>
    <xf numFmtId="0" fontId="38" fillId="26" borderId="57" xfId="79" applyFont="1" applyFill="1" applyBorder="1" applyAlignment="1">
      <alignment horizontal="center" vertical="center"/>
    </xf>
    <xf numFmtId="0" fontId="51" fillId="0" borderId="57" xfId="78" applyFont="1" applyFill="1" applyBorder="1" applyAlignment="1">
      <alignment horizontal="center" vertical="center" wrapText="1"/>
    </xf>
    <xf numFmtId="0" fontId="39" fillId="0" borderId="59" xfId="0" applyFont="1" applyBorder="1" applyAlignment="1"/>
    <xf numFmtId="0" fontId="39" fillId="0" borderId="59" xfId="0" applyFont="1" applyBorder="1" applyAlignment="1">
      <alignment wrapText="1"/>
    </xf>
    <xf numFmtId="0" fontId="51" fillId="0" borderId="57" xfId="78" applyFont="1" applyFill="1" applyBorder="1" applyAlignment="1">
      <alignment horizontal="center" vertical="center"/>
    </xf>
    <xf numFmtId="0" fontId="38" fillId="26" borderId="41" xfId="0" applyFont="1" applyFill="1" applyBorder="1" applyAlignment="1">
      <alignment horizontal="center" vertical="center" wrapText="1"/>
    </xf>
    <xf numFmtId="0" fontId="38" fillId="26" borderId="63" xfId="0" applyFont="1" applyFill="1" applyBorder="1" applyAlignment="1">
      <alignment horizontal="center" vertical="center" wrapText="1"/>
    </xf>
    <xf numFmtId="0" fontId="38" fillId="26" borderId="37" xfId="0" applyFont="1" applyFill="1" applyBorder="1" applyAlignment="1">
      <alignment horizontal="center" vertical="center" wrapText="1"/>
    </xf>
    <xf numFmtId="0" fontId="38" fillId="0" borderId="50" xfId="0" applyFont="1" applyFill="1" applyBorder="1" applyAlignment="1">
      <alignment horizontal="center" vertical="center" wrapText="1"/>
    </xf>
    <xf numFmtId="0" fontId="38" fillId="25" borderId="47" xfId="0" applyFont="1" applyFill="1" applyBorder="1" applyAlignment="1">
      <alignment horizontal="center" vertical="center" wrapText="1"/>
    </xf>
    <xf numFmtId="49" fontId="38" fillId="25" borderId="47" xfId="0" applyNumberFormat="1" applyFont="1" applyFill="1" applyBorder="1" applyAlignment="1">
      <alignment horizontal="center" vertical="center" wrapText="1"/>
    </xf>
    <xf numFmtId="49" fontId="38" fillId="25" borderId="45" xfId="0" applyNumberFormat="1" applyFont="1" applyFill="1" applyBorder="1" applyAlignment="1">
      <alignment horizontal="center" vertical="center" wrapText="1"/>
    </xf>
    <xf numFmtId="0" fontId="38" fillId="25" borderId="45" xfId="0" applyFont="1" applyFill="1" applyBorder="1" applyAlignment="1">
      <alignment horizontal="center" vertical="center" wrapText="1"/>
    </xf>
    <xf numFmtId="0" fontId="38" fillId="25" borderId="45" xfId="0" applyFont="1" applyFill="1" applyBorder="1" applyAlignment="1">
      <alignment horizontal="center" vertical="center"/>
    </xf>
    <xf numFmtId="0" fontId="38" fillId="25" borderId="50" xfId="78" applyFont="1" applyFill="1" applyBorder="1" applyAlignment="1">
      <alignment horizontal="center" vertical="center" wrapText="1"/>
    </xf>
    <xf numFmtId="0" fontId="38" fillId="25" borderId="47" xfId="78" applyFont="1" applyFill="1" applyBorder="1" applyAlignment="1">
      <alignment horizontal="center" vertical="center" wrapText="1"/>
    </xf>
    <xf numFmtId="49" fontId="38" fillId="25" borderId="50" xfId="60" applyNumberFormat="1" applyFont="1" applyFill="1" applyBorder="1" applyAlignment="1">
      <alignment horizontal="center" vertical="center" wrapText="1"/>
    </xf>
    <xf numFmtId="49" fontId="38" fillId="25" borderId="47" xfId="60" applyNumberFormat="1" applyFont="1" applyFill="1" applyBorder="1" applyAlignment="1">
      <alignment horizontal="center" vertical="center" wrapText="1"/>
    </xf>
    <xf numFmtId="49" fontId="38" fillId="25" borderId="50" xfId="0" applyNumberFormat="1" applyFont="1" applyFill="1" applyBorder="1" applyAlignment="1">
      <alignment horizontal="center" vertical="center" wrapText="1"/>
    </xf>
    <xf numFmtId="0" fontId="38" fillId="26" borderId="50" xfId="0" applyFont="1" applyFill="1" applyBorder="1" applyAlignment="1">
      <alignment horizontal="center" vertical="center" wrapText="1"/>
    </xf>
    <xf numFmtId="0" fontId="38" fillId="26" borderId="47" xfId="0" applyFont="1" applyFill="1" applyBorder="1" applyAlignment="1">
      <alignment horizontal="center" vertical="center" wrapText="1"/>
    </xf>
    <xf numFmtId="49" fontId="38" fillId="26" borderId="50" xfId="60" applyNumberFormat="1" applyFont="1" applyFill="1" applyBorder="1" applyAlignment="1">
      <alignment horizontal="center" vertical="center" wrapText="1"/>
    </xf>
    <xf numFmtId="49" fontId="38" fillId="26" borderId="47" xfId="60" applyNumberFormat="1" applyFont="1" applyFill="1" applyBorder="1" applyAlignment="1">
      <alignment horizontal="center" vertical="center" wrapText="1"/>
    </xf>
    <xf numFmtId="49" fontId="27" fillId="26" borderId="50" xfId="60" applyNumberFormat="1" applyFont="1" applyFill="1" applyBorder="1" applyAlignment="1">
      <alignment horizontal="center" vertical="center" wrapText="1"/>
    </xf>
    <xf numFmtId="49" fontId="27" fillId="26" borderId="47" xfId="60" applyNumberFormat="1" applyFont="1" applyFill="1" applyBorder="1" applyAlignment="1">
      <alignment horizontal="center" vertical="center" wrapText="1"/>
    </xf>
    <xf numFmtId="0" fontId="0" fillId="0" borderId="117" xfId="0" applyNumberFormat="1" applyFont="1" applyFill="1" applyBorder="1" applyAlignment="1">
      <alignment horizontal="center" vertical="center" wrapText="1"/>
    </xf>
    <xf numFmtId="0" fontId="0" fillId="0" borderId="71" xfId="0" applyNumberFormat="1" applyFont="1" applyFill="1" applyBorder="1" applyAlignment="1">
      <alignment horizontal="center" vertical="center" wrapText="1"/>
    </xf>
    <xf numFmtId="0" fontId="0" fillId="0" borderId="60" xfId="0" applyNumberFormat="1" applyFont="1" applyFill="1" applyBorder="1" applyAlignment="1">
      <alignment horizontal="center" vertical="center" wrapText="1"/>
    </xf>
    <xf numFmtId="49" fontId="0" fillId="0" borderId="117" xfId="0" applyNumberFormat="1" applyFont="1" applyFill="1" applyBorder="1" applyAlignment="1">
      <alignment horizontal="center" vertical="center" wrapText="1"/>
    </xf>
    <xf numFmtId="49" fontId="0" fillId="0" borderId="71" xfId="0" applyNumberFormat="1" applyFont="1" applyFill="1" applyBorder="1" applyAlignment="1">
      <alignment horizontal="center" vertical="center" wrapText="1"/>
    </xf>
    <xf numFmtId="49" fontId="0" fillId="0" borderId="60" xfId="0" applyNumberFormat="1" applyFont="1" applyFill="1" applyBorder="1" applyAlignment="1">
      <alignment horizontal="center" vertical="center" wrapText="1"/>
    </xf>
    <xf numFmtId="0" fontId="0" fillId="0" borderId="117" xfId="0" applyNumberFormat="1" applyFont="1" applyFill="1" applyBorder="1" applyAlignment="1">
      <alignment horizontal="center" vertical="center"/>
    </xf>
    <xf numFmtId="49" fontId="0" fillId="0" borderId="71" xfId="0" applyNumberFormat="1" applyFont="1" applyFill="1" applyBorder="1" applyAlignment="1">
      <alignment horizontal="center" vertical="center"/>
    </xf>
    <xf numFmtId="49" fontId="0" fillId="0" borderId="60" xfId="0" applyNumberFormat="1" applyFont="1" applyFill="1" applyBorder="1" applyAlignment="1">
      <alignment horizontal="center" vertical="center"/>
    </xf>
    <xf numFmtId="1" fontId="0" fillId="0" borderId="117" xfId="0" applyNumberFormat="1" applyFont="1" applyFill="1" applyBorder="1" applyAlignment="1">
      <alignment horizontal="center" vertical="center" wrapText="1"/>
    </xf>
    <xf numFmtId="1" fontId="0" fillId="0" borderId="71" xfId="0" applyNumberFormat="1" applyFont="1" applyFill="1" applyBorder="1" applyAlignment="1">
      <alignment horizontal="center" vertical="center" wrapText="1"/>
    </xf>
    <xf numFmtId="1" fontId="0" fillId="0" borderId="60" xfId="0" applyNumberFormat="1" applyFont="1" applyFill="1" applyBorder="1" applyAlignment="1">
      <alignment horizontal="center" vertical="center" wrapText="1"/>
    </xf>
    <xf numFmtId="49" fontId="0" fillId="0" borderId="117" xfId="0" applyNumberFormat="1" applyFont="1" applyFill="1" applyBorder="1" applyAlignment="1">
      <alignment horizontal="center" vertical="center"/>
    </xf>
    <xf numFmtId="0" fontId="0" fillId="0" borderId="117" xfId="0" applyFont="1" applyFill="1" applyBorder="1" applyAlignment="1">
      <alignment horizontal="center"/>
    </xf>
    <xf numFmtId="0" fontId="0" fillId="0" borderId="71" xfId="0" applyFont="1" applyFill="1" applyBorder="1" applyAlignment="1">
      <alignment horizontal="center"/>
    </xf>
    <xf numFmtId="0" fontId="0" fillId="0" borderId="60" xfId="0" applyFont="1" applyFill="1" applyBorder="1" applyAlignment="1">
      <alignment horizontal="center"/>
    </xf>
    <xf numFmtId="0" fontId="38" fillId="0" borderId="0" xfId="0" applyFont="1" applyFill="1" applyBorder="1" applyAlignment="1">
      <alignment horizontal="left" vertical="center"/>
    </xf>
    <xf numFmtId="0" fontId="66" fillId="0" borderId="0" xfId="0" applyFont="1" applyFill="1" applyBorder="1" applyAlignment="1">
      <alignment horizontal="left" vertical="center" wrapText="1"/>
    </xf>
    <xf numFmtId="0" fontId="38" fillId="0" borderId="0" xfId="0" applyFont="1" applyFill="1" applyBorder="1" applyAlignment="1">
      <alignment horizontal="left" vertical="center" wrapText="1"/>
    </xf>
    <xf numFmtId="0" fontId="38" fillId="0" borderId="29" xfId="0" applyFont="1" applyFill="1" applyBorder="1" applyAlignment="1">
      <alignment horizontal="left" vertical="center"/>
    </xf>
    <xf numFmtId="0" fontId="0" fillId="0" borderId="117" xfId="0" applyFont="1" applyFill="1" applyBorder="1" applyAlignment="1">
      <alignment horizontal="center" vertical="center" wrapText="1"/>
    </xf>
    <xf numFmtId="0" fontId="0" fillId="0" borderId="71" xfId="0" applyFont="1" applyFill="1" applyBorder="1" applyAlignment="1">
      <alignment horizontal="center" vertical="center" wrapText="1"/>
    </xf>
    <xf numFmtId="0" fontId="0" fillId="0" borderId="60" xfId="0" applyFont="1" applyFill="1" applyBorder="1" applyAlignment="1">
      <alignment horizontal="center" vertical="center" wrapText="1"/>
    </xf>
    <xf numFmtId="0" fontId="0" fillId="0" borderId="69" xfId="0" applyFont="1" applyFill="1" applyBorder="1" applyAlignment="1">
      <alignment horizontal="center" vertical="center" wrapText="1"/>
    </xf>
    <xf numFmtId="0" fontId="0" fillId="26" borderId="116" xfId="0" applyFill="1" applyBorder="1" applyAlignment="1">
      <alignment horizontal="center" vertical="center" wrapText="1"/>
    </xf>
    <xf numFmtId="0" fontId="0" fillId="26" borderId="117" xfId="0" applyFill="1" applyBorder="1" applyAlignment="1">
      <alignment horizontal="center" vertical="center" wrapText="1"/>
    </xf>
    <xf numFmtId="0" fontId="0" fillId="26" borderId="71" xfId="0" applyFill="1" applyBorder="1" applyAlignment="1">
      <alignment horizontal="center" vertical="center" wrapText="1"/>
    </xf>
    <xf numFmtId="0" fontId="0" fillId="26" borderId="60" xfId="0" applyFill="1" applyBorder="1" applyAlignment="1">
      <alignment horizontal="center" vertical="center" wrapText="1"/>
    </xf>
    <xf numFmtId="0" fontId="55" fillId="26" borderId="46" xfId="80" applyFont="1" applyFill="1" applyBorder="1" applyAlignment="1">
      <alignment horizontal="center"/>
    </xf>
    <xf numFmtId="0" fontId="55" fillId="26" borderId="56" xfId="80" applyFont="1" applyFill="1" applyBorder="1" applyAlignment="1">
      <alignment horizontal="center"/>
    </xf>
    <xf numFmtId="0" fontId="55" fillId="26" borderId="48" xfId="80" applyFont="1" applyFill="1" applyBorder="1" applyAlignment="1">
      <alignment horizontal="center"/>
    </xf>
    <xf numFmtId="0" fontId="55" fillId="26" borderId="38" xfId="80" applyFont="1" applyFill="1" applyBorder="1" applyAlignment="1">
      <alignment horizontal="center"/>
    </xf>
    <xf numFmtId="0" fontId="55" fillId="26" borderId="39" xfId="80" applyFont="1" applyFill="1" applyBorder="1" applyAlignment="1">
      <alignment horizontal="center"/>
    </xf>
    <xf numFmtId="0" fontId="39" fillId="0" borderId="117" xfId="57" applyFont="1" applyFill="1" applyBorder="1" applyAlignment="1">
      <alignment horizontal="center" vertical="center" wrapText="1"/>
    </xf>
    <xf numFmtId="0" fontId="39" fillId="0" borderId="71" xfId="57" applyFont="1" applyFill="1" applyBorder="1" applyAlignment="1">
      <alignment horizontal="center" vertical="center" wrapText="1"/>
    </xf>
    <xf numFmtId="0" fontId="39" fillId="0" borderId="60" xfId="57" applyFont="1" applyFill="1" applyBorder="1" applyAlignment="1">
      <alignment horizontal="center" vertical="center" wrapText="1"/>
    </xf>
    <xf numFmtId="0" fontId="69" fillId="0" borderId="117" xfId="0" applyFont="1" applyBorder="1" applyAlignment="1">
      <alignment horizontal="center" vertical="center" wrapText="1"/>
    </xf>
    <xf numFmtId="0" fontId="69" fillId="0" borderId="71" xfId="0" applyFont="1" applyBorder="1" applyAlignment="1">
      <alignment horizontal="center" vertical="center" wrapText="1"/>
    </xf>
    <xf numFmtId="0" fontId="69" fillId="0" borderId="60" xfId="0" applyFont="1" applyBorder="1" applyAlignment="1">
      <alignment horizontal="center" vertical="center" wrapText="1"/>
    </xf>
    <xf numFmtId="0" fontId="0" fillId="0" borderId="76" xfId="0" applyBorder="1" applyAlignment="1"/>
    <xf numFmtId="0" fontId="0" fillId="0" borderId="92" xfId="0" applyBorder="1" applyAlignment="1"/>
    <xf numFmtId="0" fontId="0" fillId="0" borderId="25" xfId="0" applyBorder="1" applyAlignment="1"/>
    <xf numFmtId="0" fontId="0" fillId="0" borderId="0" xfId="0" applyBorder="1" applyAlignment="1"/>
    <xf numFmtId="0" fontId="38" fillId="0" borderId="18" xfId="0" applyFont="1" applyFill="1" applyBorder="1" applyAlignment="1">
      <alignment horizontal="left" vertical="center"/>
    </xf>
    <xf numFmtId="0" fontId="0" fillId="0" borderId="20" xfId="0" applyBorder="1" applyAlignment="1">
      <alignment horizontal="left" vertical="center"/>
    </xf>
    <xf numFmtId="0" fontId="38" fillId="0" borderId="16" xfId="0" applyFont="1" applyFill="1" applyBorder="1" applyAlignment="1">
      <alignment horizontal="left" vertical="center"/>
    </xf>
    <xf numFmtId="0" fontId="0" fillId="0" borderId="33" xfId="0" applyBorder="1" applyAlignment="1">
      <alignment vertical="center"/>
    </xf>
    <xf numFmtId="0" fontId="0" fillId="0" borderId="18" xfId="0" applyFont="1" applyFill="1" applyBorder="1" applyAlignment="1">
      <alignment horizontal="center"/>
    </xf>
    <xf numFmtId="0" fontId="0" fillId="0" borderId="20" xfId="0" applyFont="1" applyFill="1" applyBorder="1" applyAlignment="1">
      <alignment horizontal="center"/>
    </xf>
    <xf numFmtId="0" fontId="0" fillId="0" borderId="20" xfId="0" applyBorder="1" applyAlignment="1">
      <alignment horizontal="center" vertical="center"/>
    </xf>
    <xf numFmtId="0" fontId="57" fillId="0" borderId="45" xfId="0" applyFont="1" applyFill="1" applyBorder="1" applyAlignment="1">
      <alignment horizontal="center"/>
    </xf>
    <xf numFmtId="0" fontId="38" fillId="0" borderId="45" xfId="0" applyFont="1" applyFill="1" applyBorder="1" applyAlignment="1">
      <alignment horizontal="center" vertical="center"/>
    </xf>
    <xf numFmtId="0" fontId="56" fillId="0" borderId="45" xfId="0" applyFont="1" applyFill="1" applyBorder="1" applyAlignment="1">
      <alignment horizontal="center" vertical="center"/>
    </xf>
    <xf numFmtId="0" fontId="57" fillId="0" borderId="45" xfId="0" applyFont="1" applyFill="1" applyBorder="1" applyAlignment="1">
      <alignment horizontal="center" vertical="center"/>
    </xf>
    <xf numFmtId="0" fontId="51" fillId="0" borderId="76" xfId="0" applyFont="1" applyFill="1" applyBorder="1" applyAlignment="1">
      <alignment horizontal="center" vertical="center" wrapText="1" shrinkToFit="1"/>
    </xf>
    <xf numFmtId="0" fontId="51" fillId="0" borderId="65" xfId="0" applyFont="1" applyFill="1" applyBorder="1" applyAlignment="1">
      <alignment horizontal="center" vertical="center" wrapText="1" shrinkToFit="1"/>
    </xf>
    <xf numFmtId="0" fontId="38" fillId="26" borderId="116" xfId="0" applyFont="1" applyFill="1" applyBorder="1" applyAlignment="1">
      <alignment horizontal="center" vertical="center" wrapText="1"/>
    </xf>
    <xf numFmtId="0" fontId="56" fillId="26" borderId="116" xfId="0" applyFont="1" applyFill="1" applyBorder="1" applyAlignment="1">
      <alignment horizontal="center" vertical="center" wrapText="1"/>
    </xf>
    <xf numFmtId="0" fontId="44" fillId="0" borderId="18" xfId="0" applyFont="1" applyFill="1" applyBorder="1" applyAlignment="1">
      <alignment wrapText="1"/>
    </xf>
    <xf numFmtId="0" fontId="44" fillId="0" borderId="36" xfId="0" applyFont="1" applyFill="1" applyBorder="1" applyAlignment="1">
      <alignment wrapText="1"/>
    </xf>
    <xf numFmtId="0" fontId="0" fillId="0" borderId="20" xfId="0" applyBorder="1" applyAlignment="1">
      <alignment wrapText="1"/>
    </xf>
    <xf numFmtId="0" fontId="0" fillId="0" borderId="82" xfId="0" applyBorder="1" applyAlignment="1">
      <alignment wrapText="1"/>
    </xf>
    <xf numFmtId="0" fontId="0" fillId="0" borderId="77" xfId="0" applyBorder="1" applyAlignment="1">
      <alignment wrapText="1"/>
    </xf>
    <xf numFmtId="0" fontId="0" fillId="0" borderId="70" xfId="0" applyBorder="1" applyAlignment="1">
      <alignment wrapText="1"/>
    </xf>
    <xf numFmtId="0" fontId="52" fillId="0" borderId="20" xfId="0" applyFont="1" applyFill="1" applyBorder="1" applyAlignment="1">
      <alignment horizontal="center" vertical="center" wrapText="1" shrinkToFit="1"/>
    </xf>
    <xf numFmtId="0" fontId="52" fillId="0" borderId="15" xfId="0" applyFont="1" applyFill="1" applyBorder="1" applyAlignment="1">
      <alignment horizontal="center" vertical="center" wrapText="1" shrinkToFit="1"/>
    </xf>
    <xf numFmtId="0" fontId="52" fillId="0" borderId="13" xfId="0" applyFont="1" applyFill="1" applyBorder="1" applyAlignment="1">
      <alignment horizontal="center" vertical="center" wrapText="1" shrinkToFit="1"/>
    </xf>
    <xf numFmtId="0" fontId="66" fillId="0" borderId="13" xfId="0" applyFont="1" applyFill="1" applyBorder="1" applyAlignment="1">
      <alignment horizontal="center" vertical="center" wrapText="1" shrinkToFit="1"/>
    </xf>
    <xf numFmtId="0" fontId="52" fillId="0" borderId="41" xfId="0" applyFont="1" applyFill="1" applyBorder="1" applyAlignment="1">
      <alignment horizontal="center" vertical="center" wrapText="1" shrinkToFit="1"/>
    </xf>
    <xf numFmtId="49" fontId="38" fillId="0" borderId="76" xfId="0" applyNumberFormat="1" applyFont="1" applyFill="1" applyBorder="1" applyAlignment="1">
      <alignment vertical="center"/>
    </xf>
    <xf numFmtId="0" fontId="0" fillId="0" borderId="79" xfId="0" applyBorder="1" applyAlignment="1"/>
  </cellXfs>
  <cellStyles count="966">
    <cellStyle name="20% - Accent1" xfId="91" builtinId="30" customBuiltin="1"/>
    <cellStyle name="20% - Accent1 10" xfId="870"/>
    <cellStyle name="20% - Accent1 2" xfId="109"/>
    <cellStyle name="20% - Accent1 3" xfId="110"/>
    <cellStyle name="20% - Accent1 3 2" xfId="111"/>
    <cellStyle name="20% - Accent1 3 2 2" xfId="391"/>
    <cellStyle name="20% - Accent1 3 2 3" xfId="488"/>
    <cellStyle name="20% - Accent1 3 2 4" xfId="584"/>
    <cellStyle name="20% - Accent1 3 2 5" xfId="680"/>
    <cellStyle name="20% - Accent1 3 2 6" xfId="776"/>
    <cellStyle name="20% - Accent1 3 2 7" xfId="872"/>
    <cellStyle name="20% - Accent1 3 3" xfId="112"/>
    <cellStyle name="20% - Accent1 3 3 2" xfId="392"/>
    <cellStyle name="20% - Accent1 3 3 3" xfId="489"/>
    <cellStyle name="20% - Accent1 3 3 4" xfId="585"/>
    <cellStyle name="20% - Accent1 3 3 5" xfId="681"/>
    <cellStyle name="20% - Accent1 3 3 6" xfId="777"/>
    <cellStyle name="20% - Accent1 3 3 7" xfId="873"/>
    <cellStyle name="20% - Accent1 3 4" xfId="390"/>
    <cellStyle name="20% - Accent1 3 5" xfId="487"/>
    <cellStyle name="20% - Accent1 3 6" xfId="583"/>
    <cellStyle name="20% - Accent1 3 7" xfId="679"/>
    <cellStyle name="20% - Accent1 3 8" xfId="775"/>
    <cellStyle name="20% - Accent1 3 9" xfId="871"/>
    <cellStyle name="20% - Accent1 4" xfId="113"/>
    <cellStyle name="20% - Accent1 4 2" xfId="393"/>
    <cellStyle name="20% - Accent1 4 3" xfId="490"/>
    <cellStyle name="20% - Accent1 4 4" xfId="586"/>
    <cellStyle name="20% - Accent1 4 5" xfId="682"/>
    <cellStyle name="20% - Accent1 4 6" xfId="778"/>
    <cellStyle name="20% - Accent1 4 7" xfId="874"/>
    <cellStyle name="20% - Accent1 5" xfId="389"/>
    <cellStyle name="20% - Accent1 6" xfId="486"/>
    <cellStyle name="20% - Accent1 7" xfId="582"/>
    <cellStyle name="20% - Accent1 8" xfId="678"/>
    <cellStyle name="20% - Accent1 9" xfId="774"/>
    <cellStyle name="20% - Accent2" xfId="94" builtinId="34" customBuiltin="1"/>
    <cellStyle name="20% - Accent2 10" xfId="875"/>
    <cellStyle name="20% - Accent2 2" xfId="114"/>
    <cellStyle name="20% - Accent2 3" xfId="115"/>
    <cellStyle name="20% - Accent2 3 2" xfId="116"/>
    <cellStyle name="20% - Accent2 3 2 2" xfId="396"/>
    <cellStyle name="20% - Accent2 3 2 3" xfId="493"/>
    <cellStyle name="20% - Accent2 3 2 4" xfId="589"/>
    <cellStyle name="20% - Accent2 3 2 5" xfId="685"/>
    <cellStyle name="20% - Accent2 3 2 6" xfId="781"/>
    <cellStyle name="20% - Accent2 3 2 7" xfId="877"/>
    <cellStyle name="20% - Accent2 3 3" xfId="117"/>
    <cellStyle name="20% - Accent2 3 3 2" xfId="397"/>
    <cellStyle name="20% - Accent2 3 3 3" xfId="494"/>
    <cellStyle name="20% - Accent2 3 3 4" xfId="590"/>
    <cellStyle name="20% - Accent2 3 3 5" xfId="686"/>
    <cellStyle name="20% - Accent2 3 3 6" xfId="782"/>
    <cellStyle name="20% - Accent2 3 3 7" xfId="878"/>
    <cellStyle name="20% - Accent2 3 4" xfId="395"/>
    <cellStyle name="20% - Accent2 3 5" xfId="492"/>
    <cellStyle name="20% - Accent2 3 6" xfId="588"/>
    <cellStyle name="20% - Accent2 3 7" xfId="684"/>
    <cellStyle name="20% - Accent2 3 8" xfId="780"/>
    <cellStyle name="20% - Accent2 3 9" xfId="876"/>
    <cellStyle name="20% - Accent2 4" xfId="118"/>
    <cellStyle name="20% - Accent2 4 2" xfId="398"/>
    <cellStyle name="20% - Accent2 4 3" xfId="495"/>
    <cellStyle name="20% - Accent2 4 4" xfId="591"/>
    <cellStyle name="20% - Accent2 4 5" xfId="687"/>
    <cellStyle name="20% - Accent2 4 6" xfId="783"/>
    <cellStyle name="20% - Accent2 4 7" xfId="879"/>
    <cellStyle name="20% - Accent2 5" xfId="394"/>
    <cellStyle name="20% - Accent2 6" xfId="491"/>
    <cellStyle name="20% - Accent2 7" xfId="587"/>
    <cellStyle name="20% - Accent2 8" xfId="683"/>
    <cellStyle name="20% - Accent2 9" xfId="779"/>
    <cellStyle name="20% - Accent3" xfId="97" builtinId="38" customBuiltin="1"/>
    <cellStyle name="20% - Accent3 10" xfId="880"/>
    <cellStyle name="20% - Accent3 2" xfId="119"/>
    <cellStyle name="20% - Accent3 3" xfId="120"/>
    <cellStyle name="20% - Accent3 3 2" xfId="121"/>
    <cellStyle name="20% - Accent3 3 2 2" xfId="401"/>
    <cellStyle name="20% - Accent3 3 2 3" xfId="498"/>
    <cellStyle name="20% - Accent3 3 2 4" xfId="594"/>
    <cellStyle name="20% - Accent3 3 2 5" xfId="690"/>
    <cellStyle name="20% - Accent3 3 2 6" xfId="786"/>
    <cellStyle name="20% - Accent3 3 2 7" xfId="882"/>
    <cellStyle name="20% - Accent3 3 3" xfId="122"/>
    <cellStyle name="20% - Accent3 3 3 2" xfId="402"/>
    <cellStyle name="20% - Accent3 3 3 3" xfId="499"/>
    <cellStyle name="20% - Accent3 3 3 4" xfId="595"/>
    <cellStyle name="20% - Accent3 3 3 5" xfId="691"/>
    <cellStyle name="20% - Accent3 3 3 6" xfId="787"/>
    <cellStyle name="20% - Accent3 3 3 7" xfId="883"/>
    <cellStyle name="20% - Accent3 3 4" xfId="400"/>
    <cellStyle name="20% - Accent3 3 5" xfId="497"/>
    <cellStyle name="20% - Accent3 3 6" xfId="593"/>
    <cellStyle name="20% - Accent3 3 7" xfId="689"/>
    <cellStyle name="20% - Accent3 3 8" xfId="785"/>
    <cellStyle name="20% - Accent3 3 9" xfId="881"/>
    <cellStyle name="20% - Accent3 4" xfId="123"/>
    <cellStyle name="20% - Accent3 4 2" xfId="403"/>
    <cellStyle name="20% - Accent3 4 3" xfId="500"/>
    <cellStyle name="20% - Accent3 4 4" xfId="596"/>
    <cellStyle name="20% - Accent3 4 5" xfId="692"/>
    <cellStyle name="20% - Accent3 4 6" xfId="788"/>
    <cellStyle name="20% - Accent3 4 7" xfId="884"/>
    <cellStyle name="20% - Accent3 5" xfId="399"/>
    <cellStyle name="20% - Accent3 6" xfId="496"/>
    <cellStyle name="20% - Accent3 7" xfId="592"/>
    <cellStyle name="20% - Accent3 8" xfId="688"/>
    <cellStyle name="20% - Accent3 9" xfId="784"/>
    <cellStyle name="20% - Accent4" xfId="100" builtinId="42" customBuiltin="1"/>
    <cellStyle name="20% - Accent4 10" xfId="885"/>
    <cellStyle name="20% - Accent4 2" xfId="124"/>
    <cellStyle name="20% - Accent4 3" xfId="125"/>
    <cellStyle name="20% - Accent4 3 2" xfId="126"/>
    <cellStyle name="20% - Accent4 3 2 2" xfId="406"/>
    <cellStyle name="20% - Accent4 3 2 3" xfId="503"/>
    <cellStyle name="20% - Accent4 3 2 4" xfId="599"/>
    <cellStyle name="20% - Accent4 3 2 5" xfId="695"/>
    <cellStyle name="20% - Accent4 3 2 6" xfId="791"/>
    <cellStyle name="20% - Accent4 3 2 7" xfId="887"/>
    <cellStyle name="20% - Accent4 3 3" xfId="127"/>
    <cellStyle name="20% - Accent4 3 3 2" xfId="407"/>
    <cellStyle name="20% - Accent4 3 3 3" xfId="504"/>
    <cellStyle name="20% - Accent4 3 3 4" xfId="600"/>
    <cellStyle name="20% - Accent4 3 3 5" xfId="696"/>
    <cellStyle name="20% - Accent4 3 3 6" xfId="792"/>
    <cellStyle name="20% - Accent4 3 3 7" xfId="888"/>
    <cellStyle name="20% - Accent4 3 4" xfId="405"/>
    <cellStyle name="20% - Accent4 3 5" xfId="502"/>
    <cellStyle name="20% - Accent4 3 6" xfId="598"/>
    <cellStyle name="20% - Accent4 3 7" xfId="694"/>
    <cellStyle name="20% - Accent4 3 8" xfId="790"/>
    <cellStyle name="20% - Accent4 3 9" xfId="886"/>
    <cellStyle name="20% - Accent4 4" xfId="128"/>
    <cellStyle name="20% - Accent4 4 2" xfId="408"/>
    <cellStyle name="20% - Accent4 4 3" xfId="505"/>
    <cellStyle name="20% - Accent4 4 4" xfId="601"/>
    <cellStyle name="20% - Accent4 4 5" xfId="697"/>
    <cellStyle name="20% - Accent4 4 6" xfId="793"/>
    <cellStyle name="20% - Accent4 4 7" xfId="889"/>
    <cellStyle name="20% - Accent4 5" xfId="404"/>
    <cellStyle name="20% - Accent4 6" xfId="501"/>
    <cellStyle name="20% - Accent4 7" xfId="597"/>
    <cellStyle name="20% - Accent4 8" xfId="693"/>
    <cellStyle name="20% - Accent4 9" xfId="789"/>
    <cellStyle name="20% - Accent5" xfId="103" builtinId="46" customBuiltin="1"/>
    <cellStyle name="20% - Accent5 10" xfId="890"/>
    <cellStyle name="20% - Accent5 2" xfId="130"/>
    <cellStyle name="20% - Accent5 3" xfId="131"/>
    <cellStyle name="20% - Accent5 3 2" xfId="132"/>
    <cellStyle name="20% - Accent5 3 2 2" xfId="411"/>
    <cellStyle name="20% - Accent5 3 2 3" xfId="508"/>
    <cellStyle name="20% - Accent5 3 2 4" xfId="604"/>
    <cellStyle name="20% - Accent5 3 2 5" xfId="700"/>
    <cellStyle name="20% - Accent5 3 2 6" xfId="796"/>
    <cellStyle name="20% - Accent5 3 2 7" xfId="892"/>
    <cellStyle name="20% - Accent5 3 3" xfId="133"/>
    <cellStyle name="20% - Accent5 3 3 2" xfId="412"/>
    <cellStyle name="20% - Accent5 3 3 3" xfId="509"/>
    <cellStyle name="20% - Accent5 3 3 4" xfId="605"/>
    <cellStyle name="20% - Accent5 3 3 5" xfId="701"/>
    <cellStyle name="20% - Accent5 3 3 6" xfId="797"/>
    <cellStyle name="20% - Accent5 3 3 7" xfId="893"/>
    <cellStyle name="20% - Accent5 3 4" xfId="410"/>
    <cellStyle name="20% - Accent5 3 5" xfId="507"/>
    <cellStyle name="20% - Accent5 3 6" xfId="603"/>
    <cellStyle name="20% - Accent5 3 7" xfId="699"/>
    <cellStyle name="20% - Accent5 3 8" xfId="795"/>
    <cellStyle name="20% - Accent5 3 9" xfId="891"/>
    <cellStyle name="20% - Accent5 4" xfId="134"/>
    <cellStyle name="20% - Accent5 4 2" xfId="413"/>
    <cellStyle name="20% - Accent5 4 3" xfId="510"/>
    <cellStyle name="20% - Accent5 4 4" xfId="606"/>
    <cellStyle name="20% - Accent5 4 5" xfId="702"/>
    <cellStyle name="20% - Accent5 4 6" xfId="798"/>
    <cellStyle name="20% - Accent5 4 7" xfId="894"/>
    <cellStyle name="20% - Accent5 5" xfId="409"/>
    <cellStyle name="20% - Accent5 6" xfId="506"/>
    <cellStyle name="20% - Accent5 7" xfId="602"/>
    <cellStyle name="20% - Accent5 8" xfId="698"/>
    <cellStyle name="20% - Accent5 9" xfId="794"/>
    <cellStyle name="20% - Accent6" xfId="106" builtinId="50" customBuiltin="1"/>
    <cellStyle name="20% - Accent6 10" xfId="895"/>
    <cellStyle name="20% - Accent6 2" xfId="136"/>
    <cellStyle name="20% - Accent6 3" xfId="137"/>
    <cellStyle name="20% - Accent6 3 2" xfId="138"/>
    <cellStyle name="20% - Accent6 3 2 2" xfId="416"/>
    <cellStyle name="20% - Accent6 3 2 3" xfId="513"/>
    <cellStyle name="20% - Accent6 3 2 4" xfId="609"/>
    <cellStyle name="20% - Accent6 3 2 5" xfId="705"/>
    <cellStyle name="20% - Accent6 3 2 6" xfId="801"/>
    <cellStyle name="20% - Accent6 3 2 7" xfId="897"/>
    <cellStyle name="20% - Accent6 3 3" xfId="139"/>
    <cellStyle name="20% - Accent6 3 3 2" xfId="417"/>
    <cellStyle name="20% - Accent6 3 3 3" xfId="514"/>
    <cellStyle name="20% - Accent6 3 3 4" xfId="610"/>
    <cellStyle name="20% - Accent6 3 3 5" xfId="706"/>
    <cellStyle name="20% - Accent6 3 3 6" xfId="802"/>
    <cellStyle name="20% - Accent6 3 3 7" xfId="898"/>
    <cellStyle name="20% - Accent6 3 4" xfId="415"/>
    <cellStyle name="20% - Accent6 3 5" xfId="512"/>
    <cellStyle name="20% - Accent6 3 6" xfId="608"/>
    <cellStyle name="20% - Accent6 3 7" xfId="704"/>
    <cellStyle name="20% - Accent6 3 8" xfId="800"/>
    <cellStyle name="20% - Accent6 3 9" xfId="896"/>
    <cellStyle name="20% - Accent6 4" xfId="140"/>
    <cellStyle name="20% - Accent6 4 2" xfId="418"/>
    <cellStyle name="20% - Accent6 4 3" xfId="515"/>
    <cellStyle name="20% - Accent6 4 4" xfId="611"/>
    <cellStyle name="20% - Accent6 4 5" xfId="707"/>
    <cellStyle name="20% - Accent6 4 6" xfId="803"/>
    <cellStyle name="20% - Accent6 4 7" xfId="899"/>
    <cellStyle name="20% - Accent6 5" xfId="414"/>
    <cellStyle name="20% - Accent6 6" xfId="511"/>
    <cellStyle name="20% - Accent6 7" xfId="607"/>
    <cellStyle name="20% - Accent6 8" xfId="703"/>
    <cellStyle name="20% - Accent6 9" xfId="799"/>
    <cellStyle name="20% - Akzent1" xfId="1"/>
    <cellStyle name="20% - Akzent2" xfId="2"/>
    <cellStyle name="20% - Akzent3" xfId="3"/>
    <cellStyle name="20% - Akzent4" xfId="4"/>
    <cellStyle name="20% - Akzent5" xfId="5"/>
    <cellStyle name="20% - Akzent6" xfId="6"/>
    <cellStyle name="20% - Énfasis1" xfId="7"/>
    <cellStyle name="20% - Énfasis2" xfId="8"/>
    <cellStyle name="20% - Énfasis3" xfId="9"/>
    <cellStyle name="20% - Énfasis4" xfId="10"/>
    <cellStyle name="20% - Énfasis5" xfId="11"/>
    <cellStyle name="20% - Énfasis6" xfId="12"/>
    <cellStyle name="40% - Accent1" xfId="92" builtinId="31" customBuiltin="1"/>
    <cellStyle name="40% - Accent1 10" xfId="900"/>
    <cellStyle name="40% - Accent1 2" xfId="145"/>
    <cellStyle name="40% - Accent1 3" xfId="146"/>
    <cellStyle name="40% - Accent1 3 2" xfId="147"/>
    <cellStyle name="40% - Accent1 3 2 2" xfId="421"/>
    <cellStyle name="40% - Accent1 3 2 3" xfId="518"/>
    <cellStyle name="40% - Accent1 3 2 4" xfId="614"/>
    <cellStyle name="40% - Accent1 3 2 5" xfId="710"/>
    <cellStyle name="40% - Accent1 3 2 6" xfId="806"/>
    <cellStyle name="40% - Accent1 3 2 7" xfId="902"/>
    <cellStyle name="40% - Accent1 3 3" xfId="148"/>
    <cellStyle name="40% - Accent1 3 3 2" xfId="422"/>
    <cellStyle name="40% - Accent1 3 3 3" xfId="519"/>
    <cellStyle name="40% - Accent1 3 3 4" xfId="615"/>
    <cellStyle name="40% - Accent1 3 3 5" xfId="711"/>
    <cellStyle name="40% - Accent1 3 3 6" xfId="807"/>
    <cellStyle name="40% - Accent1 3 3 7" xfId="903"/>
    <cellStyle name="40% - Accent1 3 4" xfId="420"/>
    <cellStyle name="40% - Accent1 3 5" xfId="517"/>
    <cellStyle name="40% - Accent1 3 6" xfId="613"/>
    <cellStyle name="40% - Accent1 3 7" xfId="709"/>
    <cellStyle name="40% - Accent1 3 8" xfId="805"/>
    <cellStyle name="40% - Accent1 3 9" xfId="901"/>
    <cellStyle name="40% - Accent1 4" xfId="149"/>
    <cellStyle name="40% - Accent1 4 2" xfId="423"/>
    <cellStyle name="40% - Accent1 4 3" xfId="520"/>
    <cellStyle name="40% - Accent1 4 4" xfId="616"/>
    <cellStyle name="40% - Accent1 4 5" xfId="712"/>
    <cellStyle name="40% - Accent1 4 6" xfId="808"/>
    <cellStyle name="40% - Accent1 4 7" xfId="904"/>
    <cellStyle name="40% - Accent1 5" xfId="419"/>
    <cellStyle name="40% - Accent1 6" xfId="516"/>
    <cellStyle name="40% - Accent1 7" xfId="612"/>
    <cellStyle name="40% - Accent1 8" xfId="708"/>
    <cellStyle name="40% - Accent1 9" xfId="804"/>
    <cellStyle name="40% - Accent2" xfId="95" builtinId="35" customBuiltin="1"/>
    <cellStyle name="40% - Accent2 10" xfId="905"/>
    <cellStyle name="40% - Accent2 2" xfId="150"/>
    <cellStyle name="40% - Accent2 3" xfId="151"/>
    <cellStyle name="40% - Accent2 3 2" xfId="152"/>
    <cellStyle name="40% - Accent2 3 2 2" xfId="426"/>
    <cellStyle name="40% - Accent2 3 2 3" xfId="523"/>
    <cellStyle name="40% - Accent2 3 2 4" xfId="619"/>
    <cellStyle name="40% - Accent2 3 2 5" xfId="715"/>
    <cellStyle name="40% - Accent2 3 2 6" xfId="811"/>
    <cellStyle name="40% - Accent2 3 2 7" xfId="907"/>
    <cellStyle name="40% - Accent2 3 3" xfId="153"/>
    <cellStyle name="40% - Accent2 3 3 2" xfId="427"/>
    <cellStyle name="40% - Accent2 3 3 3" xfId="524"/>
    <cellStyle name="40% - Accent2 3 3 4" xfId="620"/>
    <cellStyle name="40% - Accent2 3 3 5" xfId="716"/>
    <cellStyle name="40% - Accent2 3 3 6" xfId="812"/>
    <cellStyle name="40% - Accent2 3 3 7" xfId="908"/>
    <cellStyle name="40% - Accent2 3 4" xfId="425"/>
    <cellStyle name="40% - Accent2 3 5" xfId="522"/>
    <cellStyle name="40% - Accent2 3 6" xfId="618"/>
    <cellStyle name="40% - Accent2 3 7" xfId="714"/>
    <cellStyle name="40% - Accent2 3 8" xfId="810"/>
    <cellStyle name="40% - Accent2 3 9" xfId="906"/>
    <cellStyle name="40% - Accent2 4" xfId="154"/>
    <cellStyle name="40% - Accent2 4 2" xfId="428"/>
    <cellStyle name="40% - Accent2 4 3" xfId="525"/>
    <cellStyle name="40% - Accent2 4 4" xfId="621"/>
    <cellStyle name="40% - Accent2 4 5" xfId="717"/>
    <cellStyle name="40% - Accent2 4 6" xfId="813"/>
    <cellStyle name="40% - Accent2 4 7" xfId="909"/>
    <cellStyle name="40% - Accent2 5" xfId="424"/>
    <cellStyle name="40% - Accent2 6" xfId="521"/>
    <cellStyle name="40% - Accent2 7" xfId="617"/>
    <cellStyle name="40% - Accent2 8" xfId="713"/>
    <cellStyle name="40% - Accent2 9" xfId="809"/>
    <cellStyle name="40% - Accent3" xfId="98" builtinId="39" customBuiltin="1"/>
    <cellStyle name="40% - Accent3 10" xfId="910"/>
    <cellStyle name="40% - Accent3 2" xfId="155"/>
    <cellStyle name="40% - Accent3 3" xfId="156"/>
    <cellStyle name="40% - Accent3 3 2" xfId="157"/>
    <cellStyle name="40% - Accent3 3 2 2" xfId="431"/>
    <cellStyle name="40% - Accent3 3 2 3" xfId="528"/>
    <cellStyle name="40% - Accent3 3 2 4" xfId="624"/>
    <cellStyle name="40% - Accent3 3 2 5" xfId="720"/>
    <cellStyle name="40% - Accent3 3 2 6" xfId="816"/>
    <cellStyle name="40% - Accent3 3 2 7" xfId="912"/>
    <cellStyle name="40% - Accent3 3 3" xfId="158"/>
    <cellStyle name="40% - Accent3 3 3 2" xfId="432"/>
    <cellStyle name="40% - Accent3 3 3 3" xfId="529"/>
    <cellStyle name="40% - Accent3 3 3 4" xfId="625"/>
    <cellStyle name="40% - Accent3 3 3 5" xfId="721"/>
    <cellStyle name="40% - Accent3 3 3 6" xfId="817"/>
    <cellStyle name="40% - Accent3 3 3 7" xfId="913"/>
    <cellStyle name="40% - Accent3 3 4" xfId="430"/>
    <cellStyle name="40% - Accent3 3 5" xfId="527"/>
    <cellStyle name="40% - Accent3 3 6" xfId="623"/>
    <cellStyle name="40% - Accent3 3 7" xfId="719"/>
    <cellStyle name="40% - Accent3 3 8" xfId="815"/>
    <cellStyle name="40% - Accent3 3 9" xfId="911"/>
    <cellStyle name="40% - Accent3 4" xfId="159"/>
    <cellStyle name="40% - Accent3 4 2" xfId="433"/>
    <cellStyle name="40% - Accent3 4 3" xfId="530"/>
    <cellStyle name="40% - Accent3 4 4" xfId="626"/>
    <cellStyle name="40% - Accent3 4 5" xfId="722"/>
    <cellStyle name="40% - Accent3 4 6" xfId="818"/>
    <cellStyle name="40% - Accent3 4 7" xfId="914"/>
    <cellStyle name="40% - Accent3 5" xfId="429"/>
    <cellStyle name="40% - Accent3 6" xfId="526"/>
    <cellStyle name="40% - Accent3 7" xfId="622"/>
    <cellStyle name="40% - Accent3 8" xfId="718"/>
    <cellStyle name="40% - Accent3 9" xfId="814"/>
    <cellStyle name="40% - Accent4" xfId="101" builtinId="43" customBuiltin="1"/>
    <cellStyle name="40% - Accent4 10" xfId="915"/>
    <cellStyle name="40% - Accent4 2" xfId="160"/>
    <cellStyle name="40% - Accent4 3" xfId="161"/>
    <cellStyle name="40% - Accent4 3 2" xfId="162"/>
    <cellStyle name="40% - Accent4 3 2 2" xfId="436"/>
    <cellStyle name="40% - Accent4 3 2 3" xfId="533"/>
    <cellStyle name="40% - Accent4 3 2 4" xfId="629"/>
    <cellStyle name="40% - Accent4 3 2 5" xfId="725"/>
    <cellStyle name="40% - Accent4 3 2 6" xfId="821"/>
    <cellStyle name="40% - Accent4 3 2 7" xfId="917"/>
    <cellStyle name="40% - Accent4 3 3" xfId="163"/>
    <cellStyle name="40% - Accent4 3 3 2" xfId="437"/>
    <cellStyle name="40% - Accent4 3 3 3" xfId="534"/>
    <cellStyle name="40% - Accent4 3 3 4" xfId="630"/>
    <cellStyle name="40% - Accent4 3 3 5" xfId="726"/>
    <cellStyle name="40% - Accent4 3 3 6" xfId="822"/>
    <cellStyle name="40% - Accent4 3 3 7" xfId="918"/>
    <cellStyle name="40% - Accent4 3 4" xfId="435"/>
    <cellStyle name="40% - Accent4 3 5" xfId="532"/>
    <cellStyle name="40% - Accent4 3 6" xfId="628"/>
    <cellStyle name="40% - Accent4 3 7" xfId="724"/>
    <cellStyle name="40% - Accent4 3 8" xfId="820"/>
    <cellStyle name="40% - Accent4 3 9" xfId="916"/>
    <cellStyle name="40% - Accent4 4" xfId="164"/>
    <cellStyle name="40% - Accent4 4 2" xfId="438"/>
    <cellStyle name="40% - Accent4 4 3" xfId="535"/>
    <cellStyle name="40% - Accent4 4 4" xfId="631"/>
    <cellStyle name="40% - Accent4 4 5" xfId="727"/>
    <cellStyle name="40% - Accent4 4 6" xfId="823"/>
    <cellStyle name="40% - Accent4 4 7" xfId="919"/>
    <cellStyle name="40% - Accent4 5" xfId="434"/>
    <cellStyle name="40% - Accent4 6" xfId="531"/>
    <cellStyle name="40% - Accent4 7" xfId="627"/>
    <cellStyle name="40% - Accent4 8" xfId="723"/>
    <cellStyle name="40% - Accent4 9" xfId="819"/>
    <cellStyle name="40% - Accent5" xfId="104" builtinId="47" customBuiltin="1"/>
    <cellStyle name="40% - Accent5 10" xfId="920"/>
    <cellStyle name="40% - Accent5 2" xfId="165"/>
    <cellStyle name="40% - Accent5 3" xfId="166"/>
    <cellStyle name="40% - Accent5 3 2" xfId="167"/>
    <cellStyle name="40% - Accent5 3 2 2" xfId="441"/>
    <cellStyle name="40% - Accent5 3 2 3" xfId="538"/>
    <cellStyle name="40% - Accent5 3 2 4" xfId="634"/>
    <cellStyle name="40% - Accent5 3 2 5" xfId="730"/>
    <cellStyle name="40% - Accent5 3 2 6" xfId="826"/>
    <cellStyle name="40% - Accent5 3 2 7" xfId="922"/>
    <cellStyle name="40% - Accent5 3 3" xfId="168"/>
    <cellStyle name="40% - Accent5 3 3 2" xfId="442"/>
    <cellStyle name="40% - Accent5 3 3 3" xfId="539"/>
    <cellStyle name="40% - Accent5 3 3 4" xfId="635"/>
    <cellStyle name="40% - Accent5 3 3 5" xfId="731"/>
    <cellStyle name="40% - Accent5 3 3 6" xfId="827"/>
    <cellStyle name="40% - Accent5 3 3 7" xfId="923"/>
    <cellStyle name="40% - Accent5 3 4" xfId="440"/>
    <cellStyle name="40% - Accent5 3 5" xfId="537"/>
    <cellStyle name="40% - Accent5 3 6" xfId="633"/>
    <cellStyle name="40% - Accent5 3 7" xfId="729"/>
    <cellStyle name="40% - Accent5 3 8" xfId="825"/>
    <cellStyle name="40% - Accent5 3 9" xfId="921"/>
    <cellStyle name="40% - Accent5 4" xfId="169"/>
    <cellStyle name="40% - Accent5 4 2" xfId="443"/>
    <cellStyle name="40% - Accent5 4 3" xfId="540"/>
    <cellStyle name="40% - Accent5 4 4" xfId="636"/>
    <cellStyle name="40% - Accent5 4 5" xfId="732"/>
    <cellStyle name="40% - Accent5 4 6" xfId="828"/>
    <cellStyle name="40% - Accent5 4 7" xfId="924"/>
    <cellStyle name="40% - Accent5 5" xfId="439"/>
    <cellStyle name="40% - Accent5 6" xfId="536"/>
    <cellStyle name="40% - Accent5 7" xfId="632"/>
    <cellStyle name="40% - Accent5 8" xfId="728"/>
    <cellStyle name="40% - Accent5 9" xfId="824"/>
    <cellStyle name="40% - Accent6" xfId="107" builtinId="51" customBuiltin="1"/>
    <cellStyle name="40% - Accent6 10" xfId="925"/>
    <cellStyle name="40% - Accent6 2" xfId="170"/>
    <cellStyle name="40% - Accent6 3" xfId="171"/>
    <cellStyle name="40% - Accent6 3 2" xfId="172"/>
    <cellStyle name="40% - Accent6 3 2 2" xfId="446"/>
    <cellStyle name="40% - Accent6 3 2 3" xfId="543"/>
    <cellStyle name="40% - Accent6 3 2 4" xfId="639"/>
    <cellStyle name="40% - Accent6 3 2 5" xfId="735"/>
    <cellStyle name="40% - Accent6 3 2 6" xfId="831"/>
    <cellStyle name="40% - Accent6 3 2 7" xfId="927"/>
    <cellStyle name="40% - Accent6 3 3" xfId="173"/>
    <cellStyle name="40% - Accent6 3 3 2" xfId="447"/>
    <cellStyle name="40% - Accent6 3 3 3" xfId="544"/>
    <cellStyle name="40% - Accent6 3 3 4" xfId="640"/>
    <cellStyle name="40% - Accent6 3 3 5" xfId="736"/>
    <cellStyle name="40% - Accent6 3 3 6" xfId="832"/>
    <cellStyle name="40% - Accent6 3 3 7" xfId="928"/>
    <cellStyle name="40% - Accent6 3 4" xfId="445"/>
    <cellStyle name="40% - Accent6 3 5" xfId="542"/>
    <cellStyle name="40% - Accent6 3 6" xfId="638"/>
    <cellStyle name="40% - Accent6 3 7" xfId="734"/>
    <cellStyle name="40% - Accent6 3 8" xfId="830"/>
    <cellStyle name="40% - Accent6 3 9" xfId="926"/>
    <cellStyle name="40% - Accent6 4" xfId="174"/>
    <cellStyle name="40% - Accent6 4 2" xfId="448"/>
    <cellStyle name="40% - Accent6 4 3" xfId="545"/>
    <cellStyle name="40% - Accent6 4 4" xfId="641"/>
    <cellStyle name="40% - Accent6 4 5" xfId="737"/>
    <cellStyle name="40% - Accent6 4 6" xfId="833"/>
    <cellStyle name="40% - Accent6 4 7" xfId="929"/>
    <cellStyle name="40% - Accent6 5" xfId="444"/>
    <cellStyle name="40% - Accent6 6" xfId="541"/>
    <cellStyle name="40% - Accent6 7" xfId="637"/>
    <cellStyle name="40% - Accent6 8" xfId="733"/>
    <cellStyle name="40% - Accent6 9" xfId="829"/>
    <cellStyle name="40% - Akzent1" xfId="13"/>
    <cellStyle name="40% - Akzent2" xfId="14"/>
    <cellStyle name="40% - Akzent3" xfId="15"/>
    <cellStyle name="40% - Akzent4" xfId="16"/>
    <cellStyle name="40% - Akzent5" xfId="17"/>
    <cellStyle name="40% - Akzent6" xfId="18"/>
    <cellStyle name="40% - Akzent6 2" xfId="175"/>
    <cellStyle name="40% - Akzent6 2 2" xfId="176"/>
    <cellStyle name="40% - Akzent6 3" xfId="177"/>
    <cellStyle name="40% - Akzent6_Ireland_NP-Proposal_2011-2013_Tables" xfId="178"/>
    <cellStyle name="40% - Énfasis1" xfId="19"/>
    <cellStyle name="40% - Énfasis2" xfId="20"/>
    <cellStyle name="40% - Énfasis3" xfId="21"/>
    <cellStyle name="40% - Énfasis4" xfId="22"/>
    <cellStyle name="40% - Énfasis5" xfId="23"/>
    <cellStyle name="40% - Énfasis6" xfId="24"/>
    <cellStyle name="60% - Accent1" xfId="93" builtinId="32" customBuiltin="1"/>
    <cellStyle name="60% - Accent1 2" xfId="180"/>
    <cellStyle name="60% - Accent2" xfId="96" builtinId="36" customBuiltin="1"/>
    <cellStyle name="60% - Accent2 2" xfId="181"/>
    <cellStyle name="60% - Accent3" xfId="99" builtinId="40" customBuiltin="1"/>
    <cellStyle name="60% - Accent3 2" xfId="182"/>
    <cellStyle name="60% - Accent4" xfId="102" builtinId="44" customBuiltin="1"/>
    <cellStyle name="60% - Accent4 2" xfId="183"/>
    <cellStyle name="60% - Accent5" xfId="105" builtinId="48" customBuiltin="1"/>
    <cellStyle name="60% - Accent5 2" xfId="184"/>
    <cellStyle name="60% - Accent6" xfId="108" builtinId="52" customBuiltin="1"/>
    <cellStyle name="60% - Accent6 2" xfId="185"/>
    <cellStyle name="60% - Akzent1" xfId="25"/>
    <cellStyle name="60% - Akzent2" xfId="26"/>
    <cellStyle name="60% - Akzent3" xfId="27"/>
    <cellStyle name="60% - Akzent4" xfId="28"/>
    <cellStyle name="60% - Akzent5" xfId="29"/>
    <cellStyle name="60% - Akzent6" xfId="30"/>
    <cellStyle name="60% - Akzent6 2" xfId="186"/>
    <cellStyle name="60% - Akzent6 2 2" xfId="187"/>
    <cellStyle name="60% - Akzent6 3" xfId="188"/>
    <cellStyle name="60% - Akzent6_Ireland_NP-Proposal_2011-2013_Tables" xfId="189"/>
    <cellStyle name="60% - Énfasis1" xfId="31"/>
    <cellStyle name="60% - Énfasis2" xfId="32"/>
    <cellStyle name="60% - Énfasis3" xfId="33"/>
    <cellStyle name="60% - Énfasis4" xfId="34"/>
    <cellStyle name="60% - Énfasis5" xfId="35"/>
    <cellStyle name="60% - Énfasis6" xfId="36"/>
    <cellStyle name="Accent1 2" xfId="190"/>
    <cellStyle name="Accent1 3" xfId="191"/>
    <cellStyle name="Accent2 2" xfId="192"/>
    <cellStyle name="Accent2 3" xfId="193"/>
    <cellStyle name="Accent3 2" xfId="194"/>
    <cellStyle name="Accent3 3" xfId="195"/>
    <cellStyle name="Accent4 2" xfId="196"/>
    <cellStyle name="Accent4 3" xfId="197"/>
    <cellStyle name="Accent5 2" xfId="198"/>
    <cellStyle name="Accent5 3" xfId="199"/>
    <cellStyle name="Accent6 2" xfId="200"/>
    <cellStyle name="Accent6 3" xfId="201"/>
    <cellStyle name="Akzent1" xfId="202"/>
    <cellStyle name="Akzent1 2" xfId="203"/>
    <cellStyle name="Akzent1 3" xfId="204"/>
    <cellStyle name="Akzent2" xfId="205"/>
    <cellStyle name="Akzent2 2" xfId="206"/>
    <cellStyle name="Akzent2 3" xfId="207"/>
    <cellStyle name="Akzent3" xfId="208"/>
    <cellStyle name="Akzent3 2" xfId="209"/>
    <cellStyle name="Akzent3 3" xfId="210"/>
    <cellStyle name="Akzent4" xfId="211"/>
    <cellStyle name="Akzent4 2" xfId="212"/>
    <cellStyle name="Akzent4 3" xfId="213"/>
    <cellStyle name="Akzent5" xfId="214"/>
    <cellStyle name="Akzent5 2" xfId="215"/>
    <cellStyle name="Akzent5 3" xfId="216"/>
    <cellStyle name="Akzent6" xfId="217"/>
    <cellStyle name="Akzent6 2" xfId="218"/>
    <cellStyle name="Akzent6 2 2" xfId="219"/>
    <cellStyle name="Akzent6 2 3" xfId="220"/>
    <cellStyle name="Akzent6 2 4" xfId="221"/>
    <cellStyle name="Akzent6 2 5" xfId="222"/>
    <cellStyle name="Akzent6 3" xfId="223"/>
    <cellStyle name="Akzent6_Ireland_NP-Proposal_2011-2013_Tables" xfId="224"/>
    <cellStyle name="Ausgabe" xfId="37"/>
    <cellStyle name="Ausgabe 2" xfId="225"/>
    <cellStyle name="Ausgabe 3" xfId="226"/>
    <cellStyle name="Ausgabe 3 2" xfId="358"/>
    <cellStyle name="Ausgabe 3 3" xfId="355"/>
    <cellStyle name="Ausgabe 4" xfId="227"/>
    <cellStyle name="Ausgabe 5" xfId="357"/>
    <cellStyle name="Ausgabe 6" xfId="356"/>
    <cellStyle name="Bad 2" xfId="228"/>
    <cellStyle name="Bad 3" xfId="229"/>
    <cellStyle name="Berechnung" xfId="38"/>
    <cellStyle name="Berechnung 2" xfId="230"/>
    <cellStyle name="Berechnung 3" xfId="231"/>
    <cellStyle name="Berechnung 3 2" xfId="360"/>
    <cellStyle name="Berechnung 3 3" xfId="353"/>
    <cellStyle name="Berechnung 4" xfId="232"/>
    <cellStyle name="Berechnung 5" xfId="359"/>
    <cellStyle name="Berechnung 6" xfId="354"/>
    <cellStyle name="Buena" xfId="39"/>
    <cellStyle name="Calculation" xfId="88" builtinId="22" customBuiltin="1"/>
    <cellStyle name="Calculation 2" xfId="233"/>
    <cellStyle name="Calculation 2 2" xfId="361"/>
    <cellStyle name="Calculation 2 3" xfId="352"/>
    <cellStyle name="Cálculo" xfId="40"/>
    <cellStyle name="Cálculo 2" xfId="234"/>
    <cellStyle name="Cálculo 2 2" xfId="235"/>
    <cellStyle name="Cálculo 2 2 2" xfId="364"/>
    <cellStyle name="Cálculo 2 2 3" xfId="349"/>
    <cellStyle name="Cálculo 2 3" xfId="363"/>
    <cellStyle name="Cálculo 2 4" xfId="350"/>
    <cellStyle name="Cálculo 3" xfId="362"/>
    <cellStyle name="Cálculo 4" xfId="351"/>
    <cellStyle name="Celda de comprobación" xfId="41"/>
    <cellStyle name="Celda vinculada" xfId="42"/>
    <cellStyle name="Check Cell 2" xfId="236"/>
    <cellStyle name="Check Cell 3" xfId="237"/>
    <cellStyle name="Comma 2" xfId="238"/>
    <cellStyle name="Eingabe" xfId="43"/>
    <cellStyle name="Eingabe 2" xfId="239"/>
    <cellStyle name="Eingabe 2 2" xfId="240"/>
    <cellStyle name="Eingabe 2 2 2" xfId="367"/>
    <cellStyle name="Eingabe 2 2 3" xfId="346"/>
    <cellStyle name="Eingabe 2 3" xfId="366"/>
    <cellStyle name="Eingabe 2 4" xfId="347"/>
    <cellStyle name="Eingabe 3" xfId="365"/>
    <cellStyle name="Eingabe 4" xfId="348"/>
    <cellStyle name="Encabezado 4" xfId="44"/>
    <cellStyle name="Énfasis1" xfId="45"/>
    <cellStyle name="Énfasis2" xfId="46"/>
    <cellStyle name="Énfasis3" xfId="47"/>
    <cellStyle name="Énfasis4" xfId="48"/>
    <cellStyle name="Énfasis5" xfId="49"/>
    <cellStyle name="Énfasis6" xfId="50"/>
    <cellStyle name="Énfasis6 2" xfId="241"/>
    <cellStyle name="Énfasis6 2 2" xfId="242"/>
    <cellStyle name="Énfasis6 3" xfId="243"/>
    <cellStyle name="Énfasis6_Ireland_NP-Proposal_2011-2013_Tables" xfId="244"/>
    <cellStyle name="Entrada" xfId="51"/>
    <cellStyle name="Entrada 2" xfId="245"/>
    <cellStyle name="Entrada 2 2" xfId="246"/>
    <cellStyle name="Entrada 2 2 2" xfId="370"/>
    <cellStyle name="Entrada 2 2 3" xfId="141"/>
    <cellStyle name="Entrada 2 3" xfId="369"/>
    <cellStyle name="Entrada 2 4" xfId="135"/>
    <cellStyle name="Entrada 3" xfId="247"/>
    <cellStyle name="Entrada 4" xfId="248"/>
    <cellStyle name="Entrada 5" xfId="368"/>
    <cellStyle name="Entrada 6" xfId="129"/>
    <cellStyle name="Ergebnis" xfId="52"/>
    <cellStyle name="Ergebnis 2" xfId="249"/>
    <cellStyle name="Ergebnis 2 2" xfId="250"/>
    <cellStyle name="Ergebnis 2 2 2" xfId="373"/>
    <cellStyle name="Ergebnis 2 2 3" xfId="144"/>
    <cellStyle name="Ergebnis 2 3" xfId="372"/>
    <cellStyle name="Ergebnis 2 4" xfId="143"/>
    <cellStyle name="Ergebnis 3" xfId="371"/>
    <cellStyle name="Ergebnis 4" xfId="142"/>
    <cellStyle name="Erklärender Text" xfId="53"/>
    <cellStyle name="Erklärender Text 2" xfId="251"/>
    <cellStyle name="Erklärender Text 3" xfId="252"/>
    <cellStyle name="Excel Built-in Normal" xfId="253"/>
    <cellStyle name="Explanatory Text" xfId="90" builtinId="53" customBuiltin="1"/>
    <cellStyle name="Explanatory Text 2" xfId="254"/>
    <cellStyle name="Good 2" xfId="255"/>
    <cellStyle name="Good 3" xfId="256"/>
    <cellStyle name="Gut" xfId="257"/>
    <cellStyle name="Heading 1 2" xfId="258"/>
    <cellStyle name="Heading 1 3" xfId="259"/>
    <cellStyle name="Heading 2 2" xfId="260"/>
    <cellStyle name="Heading 2 3" xfId="261"/>
    <cellStyle name="Heading 3 2" xfId="262"/>
    <cellStyle name="Heading 3 3" xfId="263"/>
    <cellStyle name="Heading 4 2" xfId="264"/>
    <cellStyle name="Heading 4 3" xfId="265"/>
    <cellStyle name="Hyperlink" xfId="83" builtinId="8"/>
    <cellStyle name="Incorrecto" xfId="54"/>
    <cellStyle name="Input" xfId="86" builtinId="20" customBuiltin="1"/>
    <cellStyle name="Input 2" xfId="266"/>
    <cellStyle name="Input 2 2" xfId="374"/>
    <cellStyle name="Input 2 3" xfId="179"/>
    <cellStyle name="Linked Cell 2" xfId="267"/>
    <cellStyle name="Linked Cell 3" xfId="268"/>
    <cellStyle name="Neutral 2" xfId="269"/>
    <cellStyle name="Neutral 3" xfId="270"/>
    <cellStyle name="Neutral 4" xfId="271"/>
    <cellStyle name="Neutral 5" xfId="272"/>
    <cellStyle name="Normal" xfId="0" builtinId="0"/>
    <cellStyle name="Normal 10" xfId="84"/>
    <cellStyle name="Normal 11" xfId="273"/>
    <cellStyle name="Normal 2" xfId="55"/>
    <cellStyle name="Normal 2 10" xfId="834"/>
    <cellStyle name="Normal 2 11" xfId="930"/>
    <cellStyle name="Normal 2 2" xfId="56"/>
    <cellStyle name="Normal 2 2 2" xfId="275"/>
    <cellStyle name="Normal 2 2 2 2" xfId="450"/>
    <cellStyle name="Normal 2 2 2 3" xfId="547"/>
    <cellStyle name="Normal 2 2 2 4" xfId="643"/>
    <cellStyle name="Normal 2 2 2 5" xfId="739"/>
    <cellStyle name="Normal 2 2 2 6" xfId="835"/>
    <cellStyle name="Normal 2 2 2 7" xfId="931"/>
    <cellStyle name="Normal 2 3" xfId="276"/>
    <cellStyle name="Normal 2 3 2" xfId="451"/>
    <cellStyle name="Normal 2 3 3" xfId="548"/>
    <cellStyle name="Normal 2 3 4" xfId="644"/>
    <cellStyle name="Normal 2 3 5" xfId="740"/>
    <cellStyle name="Normal 2 3 6" xfId="836"/>
    <cellStyle name="Normal 2 3 7" xfId="932"/>
    <cellStyle name="Normal 2 4" xfId="277"/>
    <cellStyle name="Normal 2 4 2" xfId="452"/>
    <cellStyle name="Normal 2 4 3" xfId="549"/>
    <cellStyle name="Normal 2 4 4" xfId="645"/>
    <cellStyle name="Normal 2 4 5" xfId="741"/>
    <cellStyle name="Normal 2 4 6" xfId="837"/>
    <cellStyle name="Normal 2 4 7" xfId="933"/>
    <cellStyle name="Normal 2 5" xfId="274"/>
    <cellStyle name="Normal 2 6" xfId="449"/>
    <cellStyle name="Normal 2 7" xfId="546"/>
    <cellStyle name="Normal 2 8" xfId="642"/>
    <cellStyle name="Normal 2 9" xfId="738"/>
    <cellStyle name="Normal 21" xfId="81"/>
    <cellStyle name="Normal 3" xfId="57"/>
    <cellStyle name="Normal 3 10" xfId="838"/>
    <cellStyle name="Normal 3 11" xfId="934"/>
    <cellStyle name="Normal 3 2" xfId="279"/>
    <cellStyle name="Normal 3 2 2" xfId="280"/>
    <cellStyle name="Normal 3 2 2 2" xfId="454"/>
    <cellStyle name="Normal 3 2 2 3" xfId="551"/>
    <cellStyle name="Normal 3 2 2 4" xfId="647"/>
    <cellStyle name="Normal 3 2 2 5" xfId="743"/>
    <cellStyle name="Normal 3 2 2 6" xfId="839"/>
    <cellStyle name="Normal 3 2 2 7" xfId="935"/>
    <cellStyle name="Normal 3 3" xfId="281"/>
    <cellStyle name="Normal 3 3 2" xfId="455"/>
    <cellStyle name="Normal 3 3 3" xfId="552"/>
    <cellStyle name="Normal 3 3 4" xfId="648"/>
    <cellStyle name="Normal 3 3 5" xfId="744"/>
    <cellStyle name="Normal 3 3 6" xfId="840"/>
    <cellStyle name="Normal 3 3 7" xfId="936"/>
    <cellStyle name="Normal 3 4" xfId="282"/>
    <cellStyle name="Normal 3 4 2" xfId="456"/>
    <cellStyle name="Normal 3 4 3" xfId="553"/>
    <cellStyle name="Normal 3 4 4" xfId="649"/>
    <cellStyle name="Normal 3 4 5" xfId="745"/>
    <cellStyle name="Normal 3 4 6" xfId="841"/>
    <cellStyle name="Normal 3 4 7" xfId="937"/>
    <cellStyle name="Normal 3 5" xfId="278"/>
    <cellStyle name="Normal 3 6" xfId="453"/>
    <cellStyle name="Normal 3 7" xfId="550"/>
    <cellStyle name="Normal 3 8" xfId="646"/>
    <cellStyle name="Normal 3 9" xfId="742"/>
    <cellStyle name="Normal 4" xfId="80"/>
    <cellStyle name="Normal 4 10" xfId="842"/>
    <cellStyle name="Normal 4 11" xfId="938"/>
    <cellStyle name="Normal 4 2" xfId="284"/>
    <cellStyle name="Normal 4 2 2" xfId="458"/>
    <cellStyle name="Normal 4 2 3" xfId="555"/>
    <cellStyle name="Normal 4 2 4" xfId="651"/>
    <cellStyle name="Normal 4 2 5" xfId="747"/>
    <cellStyle name="Normal 4 2 6" xfId="843"/>
    <cellStyle name="Normal 4 2 7" xfId="939"/>
    <cellStyle name="Normal 4 3" xfId="285"/>
    <cellStyle name="Normal 4 3 2" xfId="459"/>
    <cellStyle name="Normal 4 3 3" xfId="556"/>
    <cellStyle name="Normal 4 3 4" xfId="652"/>
    <cellStyle name="Normal 4 3 5" xfId="748"/>
    <cellStyle name="Normal 4 3 6" xfId="844"/>
    <cellStyle name="Normal 4 3 7" xfId="940"/>
    <cellStyle name="Normal 4 4" xfId="286"/>
    <cellStyle name="Normal 4 5" xfId="283"/>
    <cellStyle name="Normal 4 6" xfId="457"/>
    <cellStyle name="Normal 4 7" xfId="554"/>
    <cellStyle name="Normal 4 8" xfId="650"/>
    <cellStyle name="Normal 4 9" xfId="746"/>
    <cellStyle name="Normal 5" xfId="287"/>
    <cellStyle name="Normal 5 2" xfId="288"/>
    <cellStyle name="Normal 5 2 2" xfId="461"/>
    <cellStyle name="Normal 5 2 3" xfId="558"/>
    <cellStyle name="Normal 5 2 4" xfId="654"/>
    <cellStyle name="Normal 5 2 5" xfId="750"/>
    <cellStyle name="Normal 5 2 6" xfId="846"/>
    <cellStyle name="Normal 5 2 7" xfId="942"/>
    <cellStyle name="Normal 5 3" xfId="289"/>
    <cellStyle name="Normal 5 3 2" xfId="462"/>
    <cellStyle name="Normal 5 3 3" xfId="559"/>
    <cellStyle name="Normal 5 3 4" xfId="655"/>
    <cellStyle name="Normal 5 3 5" xfId="751"/>
    <cellStyle name="Normal 5 3 6" xfId="847"/>
    <cellStyle name="Normal 5 3 7" xfId="943"/>
    <cellStyle name="Normal 5 4" xfId="460"/>
    <cellStyle name="Normal 5 5" xfId="557"/>
    <cellStyle name="Normal 5 6" xfId="653"/>
    <cellStyle name="Normal 5 7" xfId="749"/>
    <cellStyle name="Normal 5 8" xfId="845"/>
    <cellStyle name="Normal 5 9" xfId="941"/>
    <cellStyle name="Normal 6" xfId="290"/>
    <cellStyle name="Normal 7" xfId="291"/>
    <cellStyle name="Normal 7 2" xfId="292"/>
    <cellStyle name="Normal 7 2 2" xfId="464"/>
    <cellStyle name="Normal 7 2 3" xfId="561"/>
    <cellStyle name="Normal 7 2 4" xfId="657"/>
    <cellStyle name="Normal 7 2 5" xfId="753"/>
    <cellStyle name="Normal 7 2 6" xfId="849"/>
    <cellStyle name="Normal 7 2 7" xfId="945"/>
    <cellStyle name="Normal 7 3" xfId="293"/>
    <cellStyle name="Normal 7 3 2" xfId="465"/>
    <cellStyle name="Normal 7 3 3" xfId="562"/>
    <cellStyle name="Normal 7 3 4" xfId="658"/>
    <cellStyle name="Normal 7 3 5" xfId="754"/>
    <cellStyle name="Normal 7 3 6" xfId="850"/>
    <cellStyle name="Normal 7 3 7" xfId="946"/>
    <cellStyle name="Normal 7 4" xfId="463"/>
    <cellStyle name="Normal 7 5" xfId="560"/>
    <cellStyle name="Normal 7 6" xfId="656"/>
    <cellStyle name="Normal 7 7" xfId="752"/>
    <cellStyle name="Normal 7 8" xfId="848"/>
    <cellStyle name="Normal 7 9" xfId="944"/>
    <cellStyle name="Normal 8" xfId="294"/>
    <cellStyle name="Normal 8 2" xfId="295"/>
    <cellStyle name="Normal 8 2 2" xfId="467"/>
    <cellStyle name="Normal 8 2 3" xfId="564"/>
    <cellStyle name="Normal 8 2 4" xfId="660"/>
    <cellStyle name="Normal 8 2 5" xfId="756"/>
    <cellStyle name="Normal 8 2 6" xfId="852"/>
    <cellStyle name="Normal 8 2 7" xfId="948"/>
    <cellStyle name="Normal 8 3" xfId="296"/>
    <cellStyle name="Normal 8 3 2" xfId="468"/>
    <cellStyle name="Normal 8 3 3" xfId="565"/>
    <cellStyle name="Normal 8 3 4" xfId="661"/>
    <cellStyle name="Normal 8 3 5" xfId="757"/>
    <cellStyle name="Normal 8 3 6" xfId="853"/>
    <cellStyle name="Normal 8 3 7" xfId="949"/>
    <cellStyle name="Normal 8 4" xfId="466"/>
    <cellStyle name="Normal 8 5" xfId="563"/>
    <cellStyle name="Normal 8 6" xfId="659"/>
    <cellStyle name="Normal 8 7" xfId="755"/>
    <cellStyle name="Normal 8 8" xfId="851"/>
    <cellStyle name="Normal 8 9" xfId="947"/>
    <cellStyle name="Normal 9" xfId="297"/>
    <cellStyle name="Normale 2" xfId="58"/>
    <cellStyle name="Normale 2 2" xfId="59"/>
    <cellStyle name="Normale 2 9" xfId="299"/>
    <cellStyle name="Normale 2 9 2" xfId="300"/>
    <cellStyle name="Normale 2_DCF_Guidelines_Standard-Tables_Version-2009" xfId="301"/>
    <cellStyle name="Normale 2_DCF_Guidelines_Standard-Tables_Version-2009 2" xfId="60"/>
    <cellStyle name="Normale 3" xfId="61"/>
    <cellStyle name="Normale 3 2" xfId="62"/>
    <cellStyle name="Normale 3 2 2" xfId="303"/>
    <cellStyle name="Normale 3 3" xfId="304"/>
    <cellStyle name="Normale 4" xfId="63"/>
    <cellStyle name="Normale 4 10" xfId="950"/>
    <cellStyle name="Normale 4 2" xfId="306"/>
    <cellStyle name="Normale 4 2 2" xfId="470"/>
    <cellStyle name="Normale 4 2 3" xfId="567"/>
    <cellStyle name="Normale 4 2 4" xfId="663"/>
    <cellStyle name="Normale 4 2 5" xfId="759"/>
    <cellStyle name="Normale 4 2 6" xfId="855"/>
    <cellStyle name="Normale 4 2 7" xfId="951"/>
    <cellStyle name="Normale 4 3" xfId="307"/>
    <cellStyle name="Normale 4 3 2" xfId="471"/>
    <cellStyle name="Normale 4 3 3" xfId="568"/>
    <cellStyle name="Normale 4 3 4" xfId="664"/>
    <cellStyle name="Normale 4 3 5" xfId="760"/>
    <cellStyle name="Normale 4 3 6" xfId="856"/>
    <cellStyle name="Normale 4 3 7" xfId="952"/>
    <cellStyle name="Normale 4 4" xfId="305"/>
    <cellStyle name="Normale 4 5" xfId="469"/>
    <cellStyle name="Normale 4 6" xfId="566"/>
    <cellStyle name="Normale 4 7" xfId="662"/>
    <cellStyle name="Normale 4 8" xfId="758"/>
    <cellStyle name="Normale 4 9" xfId="854"/>
    <cellStyle name="Normale_Guidelines_NP-Proposals_Standard-Tables_Version-2006_Final" xfId="308"/>
    <cellStyle name="Notas" xfId="64"/>
    <cellStyle name="Notas 2" xfId="375"/>
    <cellStyle name="Notas 3" xfId="298"/>
    <cellStyle name="Note 2" xfId="309"/>
    <cellStyle name="Note 2 2" xfId="376"/>
    <cellStyle name="Note 2 3" xfId="302"/>
    <cellStyle name="Note 3" xfId="310"/>
    <cellStyle name="Note 3 2" xfId="311"/>
    <cellStyle name="Note 3 2 2" xfId="473"/>
    <cellStyle name="Note 3 2 3" xfId="570"/>
    <cellStyle name="Note 3 2 4" xfId="666"/>
    <cellStyle name="Note 3 2 5" xfId="762"/>
    <cellStyle name="Note 3 2 6" xfId="858"/>
    <cellStyle name="Note 3 2 7" xfId="954"/>
    <cellStyle name="Note 3 3" xfId="312"/>
    <cellStyle name="Note 3 3 2" xfId="474"/>
    <cellStyle name="Note 3 3 3" xfId="571"/>
    <cellStyle name="Note 3 3 4" xfId="667"/>
    <cellStyle name="Note 3 3 5" xfId="763"/>
    <cellStyle name="Note 3 3 6" xfId="859"/>
    <cellStyle name="Note 3 3 7" xfId="955"/>
    <cellStyle name="Note 3 4" xfId="472"/>
    <cellStyle name="Note 3 5" xfId="569"/>
    <cellStyle name="Note 3 6" xfId="665"/>
    <cellStyle name="Note 3 7" xfId="761"/>
    <cellStyle name="Note 3 8" xfId="857"/>
    <cellStyle name="Note 3 9" xfId="953"/>
    <cellStyle name="Note 4" xfId="313"/>
    <cellStyle name="Note 4 2" xfId="314"/>
    <cellStyle name="Note 4 2 2" xfId="476"/>
    <cellStyle name="Note 4 2 3" xfId="573"/>
    <cellStyle name="Note 4 2 4" xfId="669"/>
    <cellStyle name="Note 4 2 5" xfId="765"/>
    <cellStyle name="Note 4 2 6" xfId="861"/>
    <cellStyle name="Note 4 2 7" xfId="957"/>
    <cellStyle name="Note 4 3" xfId="315"/>
    <cellStyle name="Note 4 3 2" xfId="477"/>
    <cellStyle name="Note 4 3 3" xfId="574"/>
    <cellStyle name="Note 4 3 4" xfId="670"/>
    <cellStyle name="Note 4 3 5" xfId="766"/>
    <cellStyle name="Note 4 3 6" xfId="862"/>
    <cellStyle name="Note 4 3 7" xfId="958"/>
    <cellStyle name="Note 4 4" xfId="475"/>
    <cellStyle name="Note 4 5" xfId="572"/>
    <cellStyle name="Note 4 6" xfId="668"/>
    <cellStyle name="Note 4 7" xfId="764"/>
    <cellStyle name="Note 4 8" xfId="860"/>
    <cellStyle name="Note 4 9" xfId="956"/>
    <cellStyle name="Notiz" xfId="65"/>
    <cellStyle name="Notiz 2" xfId="377"/>
    <cellStyle name="Notiz 3" xfId="322"/>
    <cellStyle name="Output" xfId="87" builtinId="21" customBuiltin="1"/>
    <cellStyle name="Output 2" xfId="316"/>
    <cellStyle name="Output 2 2" xfId="378"/>
    <cellStyle name="Output 2 3" xfId="331"/>
    <cellStyle name="Percent" xfId="82" builtinId="5"/>
    <cellStyle name="Percent 2" xfId="317"/>
    <cellStyle name="Percent 2 2" xfId="85"/>
    <cellStyle name="Percent 3" xfId="318"/>
    <cellStyle name="Percent 4" xfId="319"/>
    <cellStyle name="Percentuale 2" xfId="320"/>
    <cellStyle name="Percentuale 2 2" xfId="321"/>
    <cellStyle name="Salida" xfId="66"/>
    <cellStyle name="Salida 2" xfId="379"/>
    <cellStyle name="Salida 3" xfId="384"/>
    <cellStyle name="Schlecht" xfId="323"/>
    <cellStyle name="Standard 2" xfId="67"/>
    <cellStyle name="Standard 2 10" xfId="863"/>
    <cellStyle name="Standard 2 11" xfId="959"/>
    <cellStyle name="Standard 2 2" xfId="68"/>
    <cellStyle name="Standard 2 2 10" xfId="960"/>
    <cellStyle name="Standard 2 2 2" xfId="78"/>
    <cellStyle name="Standard 2 2 2 2" xfId="79"/>
    <cellStyle name="Standard 2 2 2 2 2" xfId="485"/>
    <cellStyle name="Standard 2 2 2 3" xfId="326"/>
    <cellStyle name="Standard 2 2 2 4" xfId="480"/>
    <cellStyle name="Standard 2 2 2 5" xfId="577"/>
    <cellStyle name="Standard 2 2 2 6" xfId="673"/>
    <cellStyle name="Standard 2 2 2 7" xfId="769"/>
    <cellStyle name="Standard 2 2 2 8" xfId="865"/>
    <cellStyle name="Standard 2 2 2 9" xfId="961"/>
    <cellStyle name="Standard 2 2 3" xfId="327"/>
    <cellStyle name="Standard 2 2 3 2" xfId="481"/>
    <cellStyle name="Standard 2 2 3 3" xfId="578"/>
    <cellStyle name="Standard 2 2 3 4" xfId="674"/>
    <cellStyle name="Standard 2 2 3 5" xfId="770"/>
    <cellStyle name="Standard 2 2 3 6" xfId="866"/>
    <cellStyle name="Standard 2 2 3 7" xfId="962"/>
    <cellStyle name="Standard 2 2 4" xfId="325"/>
    <cellStyle name="Standard 2 2 5" xfId="479"/>
    <cellStyle name="Standard 2 2 6" xfId="576"/>
    <cellStyle name="Standard 2 2 7" xfId="672"/>
    <cellStyle name="Standard 2 2 8" xfId="768"/>
    <cellStyle name="Standard 2 2 9" xfId="864"/>
    <cellStyle name="Standard 2 3" xfId="77"/>
    <cellStyle name="Standard 2 3 2" xfId="328"/>
    <cellStyle name="Standard 2 3 3" xfId="482"/>
    <cellStyle name="Standard 2 3 4" xfId="579"/>
    <cellStyle name="Standard 2 3 5" xfId="675"/>
    <cellStyle name="Standard 2 3 6" xfId="771"/>
    <cellStyle name="Standard 2 3 7" xfId="867"/>
    <cellStyle name="Standard 2 3 8" xfId="963"/>
    <cellStyle name="Standard 2 4" xfId="329"/>
    <cellStyle name="Standard 2 4 2" xfId="483"/>
    <cellStyle name="Standard 2 4 3" xfId="580"/>
    <cellStyle name="Standard 2 4 4" xfId="676"/>
    <cellStyle name="Standard 2 4 5" xfId="772"/>
    <cellStyle name="Standard 2 4 6" xfId="868"/>
    <cellStyle name="Standard 2 4 7" xfId="964"/>
    <cellStyle name="Standard 2 5" xfId="324"/>
    <cellStyle name="Standard 2 6" xfId="478"/>
    <cellStyle name="Standard 2 7" xfId="575"/>
    <cellStyle name="Standard 2 8" xfId="671"/>
    <cellStyle name="Standard 2 9" xfId="767"/>
    <cellStyle name="Standard 3" xfId="330"/>
    <cellStyle name="Standard 3 2" xfId="484"/>
    <cellStyle name="Standard 3 3" xfId="581"/>
    <cellStyle name="Standard 3 4" xfId="677"/>
    <cellStyle name="Standard 3 5" xfId="773"/>
    <cellStyle name="Standard 3 6" xfId="869"/>
    <cellStyle name="Standard 3 7" xfId="965"/>
    <cellStyle name="Texto de advertencia" xfId="69"/>
    <cellStyle name="Texto explicativo" xfId="70"/>
    <cellStyle name="Title 2" xfId="333"/>
    <cellStyle name="Title 3" xfId="332"/>
    <cellStyle name="Título" xfId="71"/>
    <cellStyle name="Título 1" xfId="72"/>
    <cellStyle name="Título 2" xfId="73"/>
    <cellStyle name="Título 3" xfId="74"/>
    <cellStyle name="Total 2" xfId="334"/>
    <cellStyle name="Total 2 2" xfId="335"/>
    <cellStyle name="Total 2 2 2" xfId="381"/>
    <cellStyle name="Total 2 2 3" xfId="386"/>
    <cellStyle name="Total 2 3" xfId="380"/>
    <cellStyle name="Total 2 4" xfId="385"/>
    <cellStyle name="Total 3" xfId="336"/>
    <cellStyle name="Total 3 2" xfId="382"/>
    <cellStyle name="Total 3 3" xfId="387"/>
    <cellStyle name="Total 4" xfId="337"/>
    <cellStyle name="Total 4 2" xfId="383"/>
    <cellStyle name="Total 4 3" xfId="388"/>
    <cellStyle name="Total 5" xfId="338"/>
    <cellStyle name="Überschrift" xfId="75"/>
    <cellStyle name="Überschrift 1" xfId="339"/>
    <cellStyle name="Überschrift 2" xfId="340"/>
    <cellStyle name="Überschrift 3" xfId="341"/>
    <cellStyle name="Überschrift 4" xfId="342"/>
    <cellStyle name="Verknüpfte Zelle" xfId="343"/>
    <cellStyle name="Warnender Text" xfId="76"/>
    <cellStyle name="Warning Text" xfId="89" builtinId="11" customBuiltin="1"/>
    <cellStyle name="Warning Text 2" xfId="344"/>
    <cellStyle name="Zelle überprüfen" xfId="345"/>
  </cellStyles>
  <dxfs count="31">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666666"/>
      <rgbColor rgb="00800080"/>
      <rgbColor rgb="00008080"/>
      <rgbColor rgb="00C0C0C0"/>
      <rgbColor rgb="00808080"/>
      <rgbColor rgb="00E6E6E6"/>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6E6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ngeliki\Desktop\NWP-INALE\RCM_MED\ToR1_Med&amp;BS%20Table_2016%20RCMMEDBS-LP%20Data%20Cal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dification"/>
      <sheetName val="Med&amp;BS_Ranking of metiers"/>
      <sheetName val="Format description"/>
      <sheetName val="Drop-down list"/>
    </sheetNames>
    <sheetDataSet>
      <sheetData sheetId="0">
        <row r="18">
          <cell r="A18" t="str">
            <v>DRB_MOL_0_0_0</v>
          </cell>
        </row>
        <row r="51">
          <cell r="A51" t="str">
            <v>GSA1</v>
          </cell>
        </row>
        <row r="52">
          <cell r="A52" t="str">
            <v>GSA2</v>
          </cell>
        </row>
        <row r="53">
          <cell r="A53" t="str">
            <v>GSA3</v>
          </cell>
        </row>
        <row r="54">
          <cell r="A54" t="str">
            <v>GSA4</v>
          </cell>
        </row>
        <row r="55">
          <cell r="A55" t="str">
            <v>GSA5</v>
          </cell>
        </row>
        <row r="56">
          <cell r="A56" t="str">
            <v>GSA6</v>
          </cell>
        </row>
        <row r="57">
          <cell r="A57" t="str">
            <v>GSA7</v>
          </cell>
        </row>
        <row r="58">
          <cell r="A58" t="str">
            <v>GSA8</v>
          </cell>
        </row>
        <row r="59">
          <cell r="A59" t="str">
            <v>GSA9</v>
          </cell>
        </row>
        <row r="60">
          <cell r="A60" t="str">
            <v>GSA10</v>
          </cell>
        </row>
        <row r="61">
          <cell r="A61" t="str">
            <v>GSA11.1</v>
          </cell>
        </row>
        <row r="62">
          <cell r="A62" t="str">
            <v>GSA11.2</v>
          </cell>
        </row>
        <row r="63">
          <cell r="A63" t="str">
            <v>GSA12</v>
          </cell>
        </row>
        <row r="64">
          <cell r="A64" t="str">
            <v>GSA13</v>
          </cell>
        </row>
        <row r="65">
          <cell r="A65" t="str">
            <v>GSA14</v>
          </cell>
        </row>
        <row r="66">
          <cell r="A66" t="str">
            <v>GSA15</v>
          </cell>
        </row>
        <row r="67">
          <cell r="A67" t="str">
            <v>GSA16</v>
          </cell>
        </row>
        <row r="68">
          <cell r="A68" t="str">
            <v>GSA17</v>
          </cell>
        </row>
        <row r="69">
          <cell r="A69" t="str">
            <v>GSA18</v>
          </cell>
        </row>
        <row r="70">
          <cell r="A70" t="str">
            <v>GSA19</v>
          </cell>
        </row>
        <row r="71">
          <cell r="A71" t="str">
            <v>GSA20</v>
          </cell>
        </row>
        <row r="72">
          <cell r="A72" t="str">
            <v>GSA21</v>
          </cell>
        </row>
        <row r="73">
          <cell r="A73" t="str">
            <v>GSA22</v>
          </cell>
        </row>
        <row r="74">
          <cell r="A74" t="str">
            <v>GSA23</v>
          </cell>
        </row>
        <row r="75">
          <cell r="A75" t="str">
            <v>GSA24</v>
          </cell>
        </row>
        <row r="76">
          <cell r="A76" t="str">
            <v>GSA25</v>
          </cell>
        </row>
        <row r="77">
          <cell r="A77" t="str">
            <v>GSA26</v>
          </cell>
        </row>
        <row r="78">
          <cell r="A78" t="str">
            <v>GSA27</v>
          </cell>
        </row>
        <row r="79">
          <cell r="A79" t="str">
            <v>GSA28</v>
          </cell>
        </row>
        <row r="80">
          <cell r="A80" t="str">
            <v>GSA29</v>
          </cell>
        </row>
        <row r="81">
          <cell r="A81" t="str">
            <v>GSA30</v>
          </cell>
        </row>
      </sheetData>
      <sheetData sheetId="1"/>
      <sheetData sheetId="2"/>
      <sheetData sheetId="3" refreshError="1"/>
    </sheetDataSet>
  </externalBook>
</externalLink>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www.biodiversityireland.ie/"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mailto:leonie.odowd@marine.ie" TargetMode="External"/><Relationship Id="rId1" Type="http://schemas.openxmlformats.org/officeDocument/2006/relationships/hyperlink" Target="mailto:leonie.odowd@marine.i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249"/>
  <sheetViews>
    <sheetView zoomScale="90" zoomScaleNormal="90" workbookViewId="0">
      <pane ySplit="4" topLeftCell="A5" activePane="bottomLeft" state="frozen"/>
      <selection activeCell="B1" sqref="B1"/>
      <selection pane="bottomLeft" activeCell="D23" sqref="D23"/>
    </sheetView>
  </sheetViews>
  <sheetFormatPr defaultColWidth="8.85546875" defaultRowHeight="12.75" x14ac:dyDescent="0.2"/>
  <cols>
    <col min="1" max="1" width="8.7109375" customWidth="1"/>
    <col min="2" max="2" width="13" customWidth="1"/>
    <col min="3" max="3" width="31.7109375" customWidth="1"/>
    <col min="4" max="4" width="44.140625" customWidth="1"/>
    <col min="5" max="5" width="15.28515625" customWidth="1"/>
    <col min="6" max="6" width="8.7109375" customWidth="1"/>
    <col min="7" max="7" width="16.85546875" customWidth="1"/>
    <col min="8" max="8" width="14.5703125" style="14" customWidth="1"/>
    <col min="9" max="9" width="11" customWidth="1"/>
    <col min="10" max="10" width="18.42578125" customWidth="1"/>
    <col min="11" max="11" width="9.7109375" customWidth="1"/>
    <col min="12" max="12" width="66.85546875" style="13" customWidth="1"/>
    <col min="13" max="13" width="64.28515625" bestFit="1" customWidth="1"/>
    <col min="15" max="15" width="57" customWidth="1"/>
    <col min="25" max="25" width="52.7109375" customWidth="1"/>
  </cols>
  <sheetData>
    <row r="1" spans="1:17" ht="13.5" thickBot="1" x14ac:dyDescent="0.25">
      <c r="A1" s="11" t="s">
        <v>46</v>
      </c>
      <c r="B1" s="1"/>
      <c r="C1" s="1"/>
      <c r="D1" s="1"/>
      <c r="E1" s="1"/>
      <c r="F1" s="1"/>
      <c r="G1" s="1"/>
      <c r="H1" s="12"/>
      <c r="I1" s="1"/>
      <c r="J1" s="1"/>
      <c r="K1" s="1"/>
    </row>
    <row r="2" spans="1:17" ht="15" customHeight="1" x14ac:dyDescent="0.2">
      <c r="A2" s="70"/>
      <c r="B2" s="71"/>
      <c r="C2" s="71"/>
      <c r="D2" s="71"/>
      <c r="E2" s="71"/>
      <c r="F2" s="71"/>
      <c r="G2" s="71"/>
      <c r="H2" s="71"/>
      <c r="I2" s="71"/>
      <c r="J2" s="72"/>
      <c r="K2" s="72"/>
      <c r="L2" s="84" t="s">
        <v>56</v>
      </c>
      <c r="M2" s="85" t="s">
        <v>1484</v>
      </c>
    </row>
    <row r="3" spans="1:17" ht="13.5" customHeight="1" thickBot="1" x14ac:dyDescent="0.25">
      <c r="A3" s="71"/>
      <c r="B3" s="71"/>
      <c r="C3" s="71"/>
      <c r="D3" s="71"/>
      <c r="E3" s="71"/>
      <c r="F3" s="71"/>
      <c r="G3" s="71"/>
      <c r="H3" s="71"/>
      <c r="I3" s="71"/>
      <c r="J3" s="73"/>
      <c r="K3" s="73"/>
      <c r="L3" s="86" t="s">
        <v>55</v>
      </c>
      <c r="M3" s="144">
        <v>2020</v>
      </c>
    </row>
    <row r="4" spans="1:17" s="4" customFormat="1" ht="73.150000000000006" customHeight="1" thickBot="1" x14ac:dyDescent="0.25">
      <c r="A4" s="145" t="s">
        <v>0</v>
      </c>
      <c r="B4" s="16" t="s">
        <v>58</v>
      </c>
      <c r="C4" s="17" t="s">
        <v>8</v>
      </c>
      <c r="D4" s="18" t="s">
        <v>1</v>
      </c>
      <c r="E4" s="18" t="s">
        <v>5</v>
      </c>
      <c r="F4" s="17" t="s">
        <v>18</v>
      </c>
      <c r="G4" s="17" t="s">
        <v>37</v>
      </c>
      <c r="H4" s="18" t="s">
        <v>26</v>
      </c>
      <c r="I4" s="18" t="s">
        <v>25</v>
      </c>
      <c r="J4" s="18" t="s">
        <v>57</v>
      </c>
      <c r="K4" s="18" t="s">
        <v>27</v>
      </c>
      <c r="L4" s="146" t="s">
        <v>4</v>
      </c>
      <c r="M4" s="373" t="s">
        <v>54</v>
      </c>
    </row>
    <row r="5" spans="1:17" s="4" customFormat="1" ht="73.150000000000006" customHeight="1" x14ac:dyDescent="0.2">
      <c r="A5" s="176" t="s">
        <v>276</v>
      </c>
      <c r="B5" s="177" t="s">
        <v>1530</v>
      </c>
      <c r="C5" s="420" t="s">
        <v>76</v>
      </c>
      <c r="D5" s="416" t="s">
        <v>293</v>
      </c>
      <c r="E5" s="417" t="s">
        <v>74</v>
      </c>
      <c r="F5" s="416" t="s">
        <v>294</v>
      </c>
      <c r="G5" s="417" t="s">
        <v>77</v>
      </c>
      <c r="H5" s="415" t="s">
        <v>295</v>
      </c>
      <c r="I5" s="415"/>
      <c r="J5" s="415" t="s">
        <v>295</v>
      </c>
      <c r="K5" s="417" t="s">
        <v>6</v>
      </c>
      <c r="L5" s="421" t="s">
        <v>1485</v>
      </c>
      <c r="M5" s="283"/>
    </row>
    <row r="6" spans="1:17" x14ac:dyDescent="0.2">
      <c r="A6" s="176" t="s">
        <v>276</v>
      </c>
      <c r="B6" s="177" t="s">
        <v>1530</v>
      </c>
      <c r="C6" s="420" t="s">
        <v>296</v>
      </c>
      <c r="D6" s="416" t="s">
        <v>293</v>
      </c>
      <c r="E6" s="417" t="s">
        <v>74</v>
      </c>
      <c r="F6" s="416" t="s">
        <v>294</v>
      </c>
      <c r="G6" s="417" t="s">
        <v>77</v>
      </c>
      <c r="H6" s="415" t="s">
        <v>295</v>
      </c>
      <c r="I6" s="415" t="s">
        <v>295</v>
      </c>
      <c r="J6" s="415"/>
      <c r="K6" s="417" t="s">
        <v>6</v>
      </c>
      <c r="L6" s="419"/>
      <c r="M6" s="339"/>
      <c r="N6" s="185"/>
      <c r="O6" s="185"/>
      <c r="P6" s="185"/>
      <c r="Q6" s="185"/>
    </row>
    <row r="7" spans="1:17" x14ac:dyDescent="0.2">
      <c r="A7" s="176" t="s">
        <v>276</v>
      </c>
      <c r="B7" s="177" t="s">
        <v>1530</v>
      </c>
      <c r="C7" s="420" t="s">
        <v>297</v>
      </c>
      <c r="D7" s="416" t="s">
        <v>293</v>
      </c>
      <c r="E7" s="417" t="s">
        <v>74</v>
      </c>
      <c r="F7" s="416" t="s">
        <v>298</v>
      </c>
      <c r="G7" s="417" t="s">
        <v>77</v>
      </c>
      <c r="H7" s="415">
        <v>2657</v>
      </c>
      <c r="I7" s="415">
        <v>9</v>
      </c>
      <c r="J7" s="415"/>
      <c r="K7" s="417" t="s">
        <v>6</v>
      </c>
      <c r="L7" s="418" t="s">
        <v>1486</v>
      </c>
      <c r="M7" s="339" t="s">
        <v>2001</v>
      </c>
      <c r="N7" s="185"/>
      <c r="O7" s="185"/>
      <c r="P7" s="185"/>
      <c r="Q7" s="185"/>
    </row>
    <row r="8" spans="1:17" x14ac:dyDescent="0.2">
      <c r="A8" s="176" t="s">
        <v>276</v>
      </c>
      <c r="B8" s="177" t="s">
        <v>1530</v>
      </c>
      <c r="C8" s="420" t="s">
        <v>75</v>
      </c>
      <c r="D8" s="416" t="s">
        <v>293</v>
      </c>
      <c r="E8" s="417" t="s">
        <v>74</v>
      </c>
      <c r="F8" s="416" t="s">
        <v>294</v>
      </c>
      <c r="G8" s="417" t="s">
        <v>77</v>
      </c>
      <c r="H8" s="415" t="s">
        <v>299</v>
      </c>
      <c r="I8" s="415">
        <v>1</v>
      </c>
      <c r="J8" s="415"/>
      <c r="K8" s="417" t="s">
        <v>6</v>
      </c>
      <c r="L8" s="418"/>
      <c r="M8" s="339"/>
      <c r="N8" s="185"/>
      <c r="O8" s="185"/>
      <c r="P8" s="185"/>
      <c r="Q8" s="185"/>
    </row>
    <row r="9" spans="1:17" x14ac:dyDescent="0.2">
      <c r="A9" s="176" t="s">
        <v>276</v>
      </c>
      <c r="B9" s="177" t="s">
        <v>1530</v>
      </c>
      <c r="C9" s="420" t="s">
        <v>300</v>
      </c>
      <c r="D9" s="416" t="s">
        <v>293</v>
      </c>
      <c r="E9" s="417" t="s">
        <v>74</v>
      </c>
      <c r="F9" s="416" t="s">
        <v>294</v>
      </c>
      <c r="G9" s="417" t="s">
        <v>77</v>
      </c>
      <c r="H9" s="415" t="s">
        <v>295</v>
      </c>
      <c r="I9" s="415" t="s">
        <v>295</v>
      </c>
      <c r="J9" s="415"/>
      <c r="K9" s="417" t="s">
        <v>6</v>
      </c>
      <c r="L9" s="418"/>
      <c r="M9" s="339"/>
      <c r="N9" s="185"/>
      <c r="O9" s="185"/>
      <c r="P9" s="185"/>
      <c r="Q9" s="185"/>
    </row>
    <row r="10" spans="1:17" x14ac:dyDescent="0.2">
      <c r="A10" s="176" t="s">
        <v>276</v>
      </c>
      <c r="B10" s="177" t="s">
        <v>1530</v>
      </c>
      <c r="C10" s="420" t="s">
        <v>301</v>
      </c>
      <c r="D10" s="416" t="s">
        <v>293</v>
      </c>
      <c r="E10" s="417" t="s">
        <v>74</v>
      </c>
      <c r="F10" s="416" t="s">
        <v>294</v>
      </c>
      <c r="G10" s="417" t="s">
        <v>77</v>
      </c>
      <c r="H10" s="415" t="s">
        <v>299</v>
      </c>
      <c r="I10" s="415" t="s">
        <v>295</v>
      </c>
      <c r="J10" s="415"/>
      <c r="K10" s="417" t="s">
        <v>6</v>
      </c>
      <c r="L10" s="418"/>
      <c r="M10" s="339"/>
      <c r="N10" s="185"/>
      <c r="O10" s="185"/>
      <c r="P10" s="185"/>
      <c r="Q10" s="185"/>
    </row>
    <row r="11" spans="1:17" x14ac:dyDescent="0.2">
      <c r="A11" s="176" t="s">
        <v>276</v>
      </c>
      <c r="B11" s="177" t="s">
        <v>1530</v>
      </c>
      <c r="C11" s="420" t="s">
        <v>302</v>
      </c>
      <c r="D11" s="416" t="s">
        <v>293</v>
      </c>
      <c r="E11" s="417" t="s">
        <v>74</v>
      </c>
      <c r="F11" s="416" t="s">
        <v>303</v>
      </c>
      <c r="G11" s="417" t="s">
        <v>304</v>
      </c>
      <c r="H11" s="415" t="s">
        <v>299</v>
      </c>
      <c r="I11" s="415" t="s">
        <v>304</v>
      </c>
      <c r="J11" s="415" t="s">
        <v>304</v>
      </c>
      <c r="K11" s="417" t="s">
        <v>304</v>
      </c>
      <c r="L11" s="418" t="s">
        <v>305</v>
      </c>
      <c r="M11" s="339"/>
      <c r="N11" s="185"/>
      <c r="O11" s="185"/>
      <c r="P11" s="185"/>
      <c r="Q11" s="185"/>
    </row>
    <row r="12" spans="1:17" x14ac:dyDescent="0.2">
      <c r="A12" s="176" t="s">
        <v>276</v>
      </c>
      <c r="B12" s="177" t="s">
        <v>1530</v>
      </c>
      <c r="C12" s="420" t="s">
        <v>306</v>
      </c>
      <c r="D12" s="416" t="s">
        <v>293</v>
      </c>
      <c r="E12" s="417" t="s">
        <v>74</v>
      </c>
      <c r="F12" s="416" t="s">
        <v>294</v>
      </c>
      <c r="G12" s="417" t="s">
        <v>77</v>
      </c>
      <c r="H12" s="415" t="s">
        <v>295</v>
      </c>
      <c r="I12" s="415" t="s">
        <v>295</v>
      </c>
      <c r="J12" s="415"/>
      <c r="K12" s="417" t="s">
        <v>6</v>
      </c>
      <c r="L12" s="418"/>
      <c r="M12" s="339"/>
      <c r="N12" s="185"/>
      <c r="O12" s="185"/>
      <c r="P12" s="185"/>
      <c r="Q12" s="185"/>
    </row>
    <row r="13" spans="1:17" x14ac:dyDescent="0.2">
      <c r="A13" s="176" t="s">
        <v>276</v>
      </c>
      <c r="B13" s="177" t="s">
        <v>1530</v>
      </c>
      <c r="C13" s="420" t="s">
        <v>307</v>
      </c>
      <c r="D13" s="416" t="s">
        <v>293</v>
      </c>
      <c r="E13" s="417" t="s">
        <v>74</v>
      </c>
      <c r="F13" s="416" t="s">
        <v>294</v>
      </c>
      <c r="G13" s="417" t="s">
        <v>77</v>
      </c>
      <c r="H13" s="415" t="s">
        <v>295</v>
      </c>
      <c r="I13" s="415">
        <v>9</v>
      </c>
      <c r="J13" s="415"/>
      <c r="K13" s="417" t="s">
        <v>6</v>
      </c>
      <c r="L13" s="418" t="s">
        <v>1487</v>
      </c>
      <c r="M13" s="339"/>
      <c r="N13" s="185"/>
      <c r="O13" s="185"/>
      <c r="P13" s="185"/>
      <c r="Q13" s="185"/>
    </row>
    <row r="14" spans="1:17" x14ac:dyDescent="0.2">
      <c r="A14" s="176" t="s">
        <v>276</v>
      </c>
      <c r="B14" s="177" t="s">
        <v>1530</v>
      </c>
      <c r="C14" s="420" t="s">
        <v>308</v>
      </c>
      <c r="D14" s="416" t="s">
        <v>293</v>
      </c>
      <c r="E14" s="417" t="s">
        <v>74</v>
      </c>
      <c r="F14" s="416" t="s">
        <v>294</v>
      </c>
      <c r="G14" s="417" t="s">
        <v>77</v>
      </c>
      <c r="H14" s="415" t="s">
        <v>295</v>
      </c>
      <c r="I14" s="415"/>
      <c r="J14" s="415" t="s">
        <v>295</v>
      </c>
      <c r="K14" s="417" t="s">
        <v>6</v>
      </c>
      <c r="L14" s="418"/>
      <c r="M14" s="339"/>
      <c r="N14" s="185"/>
      <c r="O14" s="185"/>
      <c r="P14" s="185"/>
      <c r="Q14" s="185"/>
    </row>
    <row r="15" spans="1:17" x14ac:dyDescent="0.2">
      <c r="A15" s="176" t="s">
        <v>276</v>
      </c>
      <c r="B15" s="177" t="s">
        <v>1530</v>
      </c>
      <c r="C15" s="420" t="s">
        <v>153</v>
      </c>
      <c r="D15" s="416" t="s">
        <v>293</v>
      </c>
      <c r="E15" s="417" t="s">
        <v>74</v>
      </c>
      <c r="F15" s="416" t="s">
        <v>294</v>
      </c>
      <c r="G15" s="417" t="s">
        <v>77</v>
      </c>
      <c r="H15" s="415" t="s">
        <v>295</v>
      </c>
      <c r="I15" s="415"/>
      <c r="J15" s="415" t="s">
        <v>295</v>
      </c>
      <c r="K15" s="417" t="s">
        <v>6</v>
      </c>
      <c r="L15" s="418"/>
      <c r="M15" s="339"/>
      <c r="N15" s="185"/>
      <c r="O15" s="185"/>
      <c r="P15" s="185"/>
      <c r="Q15" s="185"/>
    </row>
    <row r="16" spans="1:17" x14ac:dyDescent="0.2">
      <c r="A16" s="176" t="s">
        <v>276</v>
      </c>
      <c r="B16" s="177" t="s">
        <v>1530</v>
      </c>
      <c r="C16" s="420" t="s">
        <v>309</v>
      </c>
      <c r="D16" s="416" t="s">
        <v>293</v>
      </c>
      <c r="E16" s="417" t="s">
        <v>74</v>
      </c>
      <c r="F16" s="416" t="s">
        <v>310</v>
      </c>
      <c r="G16" s="417" t="s">
        <v>304</v>
      </c>
      <c r="H16" s="415">
        <v>1</v>
      </c>
      <c r="I16" s="415" t="s">
        <v>304</v>
      </c>
      <c r="J16" s="415" t="s">
        <v>304</v>
      </c>
      <c r="K16" s="417" t="s">
        <v>304</v>
      </c>
      <c r="L16" s="418" t="s">
        <v>1488</v>
      </c>
      <c r="M16" s="339"/>
      <c r="N16" s="185"/>
      <c r="O16" s="185"/>
      <c r="P16" s="185"/>
      <c r="Q16" s="185"/>
    </row>
    <row r="17" spans="1:17" x14ac:dyDescent="0.2">
      <c r="A17" s="176" t="s">
        <v>276</v>
      </c>
      <c r="B17" s="177" t="s">
        <v>1530</v>
      </c>
      <c r="C17" s="420" t="s">
        <v>311</v>
      </c>
      <c r="D17" s="416" t="s">
        <v>293</v>
      </c>
      <c r="E17" s="417" t="s">
        <v>74</v>
      </c>
      <c r="F17" s="416" t="s">
        <v>294</v>
      </c>
      <c r="G17" s="417" t="s">
        <v>77</v>
      </c>
      <c r="H17" s="415" t="s">
        <v>295</v>
      </c>
      <c r="I17" s="415" t="s">
        <v>295</v>
      </c>
      <c r="J17" s="415"/>
      <c r="K17" s="417" t="s">
        <v>6</v>
      </c>
      <c r="L17" s="418"/>
      <c r="M17" s="339"/>
      <c r="N17" s="185"/>
      <c r="O17" s="185"/>
      <c r="P17" s="185"/>
      <c r="Q17" s="185"/>
    </row>
    <row r="18" spans="1:17" x14ac:dyDescent="0.2">
      <c r="A18" s="176" t="s">
        <v>276</v>
      </c>
      <c r="B18" s="177" t="s">
        <v>1530</v>
      </c>
      <c r="C18" s="420" t="s">
        <v>312</v>
      </c>
      <c r="D18" s="416" t="s">
        <v>293</v>
      </c>
      <c r="E18" s="417" t="s">
        <v>74</v>
      </c>
      <c r="F18" s="416" t="s">
        <v>294</v>
      </c>
      <c r="G18" s="417" t="s">
        <v>77</v>
      </c>
      <c r="H18" s="415" t="s">
        <v>295</v>
      </c>
      <c r="I18" s="415" t="s">
        <v>295</v>
      </c>
      <c r="J18" s="415"/>
      <c r="K18" s="417" t="s">
        <v>6</v>
      </c>
      <c r="L18" s="418"/>
      <c r="M18" s="339"/>
      <c r="N18" s="185"/>
      <c r="O18" s="185"/>
      <c r="P18" s="185"/>
      <c r="Q18" s="185"/>
    </row>
    <row r="19" spans="1:17" x14ac:dyDescent="0.2">
      <c r="A19" s="176" t="s">
        <v>276</v>
      </c>
      <c r="B19" s="177" t="s">
        <v>1530</v>
      </c>
      <c r="C19" s="420" t="s">
        <v>313</v>
      </c>
      <c r="D19" s="416" t="s">
        <v>293</v>
      </c>
      <c r="E19" s="417" t="s">
        <v>74</v>
      </c>
      <c r="F19" s="416" t="s">
        <v>314</v>
      </c>
      <c r="G19" s="417" t="s">
        <v>304</v>
      </c>
      <c r="H19" s="415" t="s">
        <v>295</v>
      </c>
      <c r="I19" s="415" t="s">
        <v>304</v>
      </c>
      <c r="J19" s="415" t="s">
        <v>304</v>
      </c>
      <c r="K19" s="417" t="s">
        <v>304</v>
      </c>
      <c r="L19" s="418" t="s">
        <v>315</v>
      </c>
      <c r="M19" s="339"/>
      <c r="N19" s="185"/>
      <c r="O19" s="185"/>
      <c r="P19" s="185"/>
      <c r="Q19" s="185"/>
    </row>
    <row r="20" spans="1:17" x14ac:dyDescent="0.2">
      <c r="A20" s="176" t="s">
        <v>276</v>
      </c>
      <c r="B20" s="177" t="s">
        <v>1530</v>
      </c>
      <c r="C20" s="420" t="s">
        <v>316</v>
      </c>
      <c r="D20" s="416" t="s">
        <v>293</v>
      </c>
      <c r="E20" s="417" t="s">
        <v>74</v>
      </c>
      <c r="F20" s="416" t="s">
        <v>317</v>
      </c>
      <c r="G20" s="417" t="s">
        <v>77</v>
      </c>
      <c r="H20" s="415" t="s">
        <v>295</v>
      </c>
      <c r="I20" s="415" t="s">
        <v>295</v>
      </c>
      <c r="J20" s="415"/>
      <c r="K20" s="417" t="s">
        <v>6</v>
      </c>
      <c r="L20" s="418"/>
      <c r="M20" s="339"/>
      <c r="N20" s="185"/>
      <c r="O20" s="185"/>
      <c r="P20" s="185"/>
      <c r="Q20" s="185"/>
    </row>
    <row r="21" spans="1:17" x14ac:dyDescent="0.2">
      <c r="A21" s="176" t="s">
        <v>276</v>
      </c>
      <c r="B21" s="177" t="s">
        <v>1530</v>
      </c>
      <c r="C21" s="420" t="s">
        <v>318</v>
      </c>
      <c r="D21" s="416" t="s">
        <v>293</v>
      </c>
      <c r="E21" s="417" t="s">
        <v>7</v>
      </c>
      <c r="F21" s="416" t="s">
        <v>317</v>
      </c>
      <c r="G21" s="417" t="s">
        <v>77</v>
      </c>
      <c r="H21" s="415" t="s">
        <v>295</v>
      </c>
      <c r="I21" s="415"/>
      <c r="J21" s="415" t="s">
        <v>295</v>
      </c>
      <c r="K21" s="417" t="s">
        <v>6</v>
      </c>
      <c r="L21" s="418"/>
      <c r="M21" s="339"/>
      <c r="N21" s="185"/>
      <c r="O21" s="185"/>
      <c r="P21" s="185"/>
      <c r="Q21" s="185"/>
    </row>
    <row r="22" spans="1:17" x14ac:dyDescent="0.2">
      <c r="A22" s="176" t="s">
        <v>276</v>
      </c>
      <c r="B22" s="177" t="s">
        <v>1530</v>
      </c>
      <c r="C22" s="420" t="s">
        <v>76</v>
      </c>
      <c r="D22" s="416" t="s">
        <v>293</v>
      </c>
      <c r="E22" s="417" t="s">
        <v>74</v>
      </c>
      <c r="F22" s="416" t="s">
        <v>319</v>
      </c>
      <c r="G22" s="417" t="s">
        <v>77</v>
      </c>
      <c r="H22" s="415" t="s">
        <v>295</v>
      </c>
      <c r="I22" s="415"/>
      <c r="J22" s="415" t="s">
        <v>295</v>
      </c>
      <c r="K22" s="417" t="s">
        <v>6</v>
      </c>
      <c r="L22" s="418"/>
      <c r="M22" s="339"/>
      <c r="N22" s="185"/>
      <c r="O22" s="185"/>
      <c r="P22" s="185"/>
      <c r="Q22" s="185"/>
    </row>
    <row r="23" spans="1:17" x14ac:dyDescent="0.2">
      <c r="A23" s="176" t="s">
        <v>276</v>
      </c>
      <c r="B23" s="177" t="s">
        <v>1530</v>
      </c>
      <c r="C23" s="420" t="s">
        <v>320</v>
      </c>
      <c r="D23" s="416" t="s">
        <v>293</v>
      </c>
      <c r="E23" s="417" t="s">
        <v>74</v>
      </c>
      <c r="F23" s="416" t="s">
        <v>317</v>
      </c>
      <c r="G23" s="417" t="s">
        <v>77</v>
      </c>
      <c r="H23" s="415" t="s">
        <v>295</v>
      </c>
      <c r="I23" s="415">
        <v>1</v>
      </c>
      <c r="J23" s="415"/>
      <c r="K23" s="417" t="s">
        <v>6</v>
      </c>
      <c r="L23" s="418"/>
      <c r="M23" s="339"/>
      <c r="N23" s="185"/>
      <c r="O23" s="185"/>
      <c r="P23" s="185"/>
      <c r="Q23" s="185"/>
    </row>
    <row r="24" spans="1:17" x14ac:dyDescent="0.2">
      <c r="A24" s="176" t="s">
        <v>276</v>
      </c>
      <c r="B24" s="177" t="s">
        <v>1530</v>
      </c>
      <c r="C24" s="420" t="s">
        <v>296</v>
      </c>
      <c r="D24" s="416" t="s">
        <v>293</v>
      </c>
      <c r="E24" s="417" t="s">
        <v>74</v>
      </c>
      <c r="F24" s="416" t="s">
        <v>317</v>
      </c>
      <c r="G24" s="417" t="s">
        <v>77</v>
      </c>
      <c r="H24" s="415" t="s">
        <v>295</v>
      </c>
      <c r="I24" s="415" t="s">
        <v>295</v>
      </c>
      <c r="J24" s="415"/>
      <c r="K24" s="417" t="s">
        <v>6</v>
      </c>
      <c r="L24" s="418"/>
      <c r="M24" s="339"/>
      <c r="N24" s="185"/>
      <c r="O24" s="185"/>
      <c r="P24" s="185"/>
      <c r="Q24" s="185"/>
    </row>
    <row r="25" spans="1:17" x14ac:dyDescent="0.2">
      <c r="A25" s="176" t="s">
        <v>276</v>
      </c>
      <c r="B25" s="177" t="s">
        <v>1530</v>
      </c>
      <c r="C25" s="420" t="s">
        <v>297</v>
      </c>
      <c r="D25" s="416" t="s">
        <v>293</v>
      </c>
      <c r="E25" s="417" t="s">
        <v>74</v>
      </c>
      <c r="F25" s="416" t="s">
        <v>319</v>
      </c>
      <c r="G25" s="417" t="s">
        <v>77</v>
      </c>
      <c r="H25" s="415">
        <v>503</v>
      </c>
      <c r="I25" s="415" t="s">
        <v>295</v>
      </c>
      <c r="J25" s="415"/>
      <c r="K25" s="417" t="s">
        <v>6</v>
      </c>
      <c r="L25" s="418" t="s">
        <v>1489</v>
      </c>
      <c r="M25" s="339" t="s">
        <v>2002</v>
      </c>
      <c r="N25" s="185"/>
      <c r="O25" s="185"/>
      <c r="P25" s="185"/>
      <c r="Q25" s="185"/>
    </row>
    <row r="26" spans="1:17" x14ac:dyDescent="0.2">
      <c r="A26" s="176" t="s">
        <v>276</v>
      </c>
      <c r="B26" s="177" t="s">
        <v>1530</v>
      </c>
      <c r="C26" s="420" t="s">
        <v>321</v>
      </c>
      <c r="D26" s="416" t="s">
        <v>293</v>
      </c>
      <c r="E26" s="417" t="s">
        <v>74</v>
      </c>
      <c r="F26" s="416" t="s">
        <v>319</v>
      </c>
      <c r="G26" s="417" t="s">
        <v>77</v>
      </c>
      <c r="H26" s="415" t="s">
        <v>295</v>
      </c>
      <c r="I26" s="415"/>
      <c r="J26" s="415" t="s">
        <v>295</v>
      </c>
      <c r="K26" s="417" t="s">
        <v>6</v>
      </c>
      <c r="L26" s="418"/>
      <c r="M26" s="339"/>
      <c r="N26" s="185"/>
      <c r="O26" s="185"/>
      <c r="P26" s="185"/>
      <c r="Q26" s="185"/>
    </row>
    <row r="27" spans="1:17" x14ac:dyDescent="0.2">
      <c r="A27" s="176" t="s">
        <v>276</v>
      </c>
      <c r="B27" s="177" t="s">
        <v>1530</v>
      </c>
      <c r="C27" s="420" t="s">
        <v>322</v>
      </c>
      <c r="D27" s="416" t="s">
        <v>293</v>
      </c>
      <c r="E27" s="417" t="s">
        <v>74</v>
      </c>
      <c r="F27" s="416" t="s">
        <v>319</v>
      </c>
      <c r="G27" s="417" t="s">
        <v>77</v>
      </c>
      <c r="H27" s="415" t="s">
        <v>295</v>
      </c>
      <c r="I27" s="415"/>
      <c r="J27" s="415" t="s">
        <v>295</v>
      </c>
      <c r="K27" s="417" t="s">
        <v>6</v>
      </c>
      <c r="L27" s="418"/>
      <c r="M27" s="339"/>
      <c r="N27" s="185"/>
      <c r="O27" s="185"/>
      <c r="P27" s="185"/>
      <c r="Q27" s="185"/>
    </row>
    <row r="28" spans="1:17" x14ac:dyDescent="0.2">
      <c r="A28" s="176" t="s">
        <v>276</v>
      </c>
      <c r="B28" s="177" t="s">
        <v>1530</v>
      </c>
      <c r="C28" s="420" t="s">
        <v>323</v>
      </c>
      <c r="D28" s="416" t="s">
        <v>293</v>
      </c>
      <c r="E28" s="417" t="s">
        <v>7</v>
      </c>
      <c r="F28" s="416" t="s">
        <v>317</v>
      </c>
      <c r="G28" s="417" t="s">
        <v>77</v>
      </c>
      <c r="H28" s="415" t="s">
        <v>295</v>
      </c>
      <c r="I28" s="415"/>
      <c r="J28" s="415" t="s">
        <v>295</v>
      </c>
      <c r="K28" s="417" t="s">
        <v>6</v>
      </c>
      <c r="L28" s="418"/>
      <c r="M28" s="339"/>
      <c r="N28" s="185"/>
      <c r="O28" s="185"/>
      <c r="P28" s="185"/>
      <c r="Q28" s="185"/>
    </row>
    <row r="29" spans="1:17" x14ac:dyDescent="0.2">
      <c r="A29" s="176" t="s">
        <v>276</v>
      </c>
      <c r="B29" s="177" t="s">
        <v>1530</v>
      </c>
      <c r="C29" s="420" t="s">
        <v>75</v>
      </c>
      <c r="D29" s="416" t="s">
        <v>293</v>
      </c>
      <c r="E29" s="417" t="s">
        <v>74</v>
      </c>
      <c r="F29" s="416" t="s">
        <v>319</v>
      </c>
      <c r="G29" s="417" t="s">
        <v>77</v>
      </c>
      <c r="H29" s="415" t="s">
        <v>295</v>
      </c>
      <c r="I29" s="415" t="s">
        <v>295</v>
      </c>
      <c r="J29" s="415"/>
      <c r="K29" s="417" t="s">
        <v>6</v>
      </c>
      <c r="L29" s="418"/>
      <c r="M29" s="339"/>
      <c r="N29" s="185"/>
      <c r="O29" s="185"/>
      <c r="P29" s="185"/>
      <c r="Q29" s="185"/>
    </row>
    <row r="30" spans="1:17" x14ac:dyDescent="0.2">
      <c r="A30" s="176" t="s">
        <v>276</v>
      </c>
      <c r="B30" s="177" t="s">
        <v>1530</v>
      </c>
      <c r="C30" s="420" t="s">
        <v>324</v>
      </c>
      <c r="D30" s="416" t="s">
        <v>293</v>
      </c>
      <c r="E30" s="417" t="s">
        <v>7</v>
      </c>
      <c r="F30" s="416" t="s">
        <v>317</v>
      </c>
      <c r="G30" s="417" t="s">
        <v>77</v>
      </c>
      <c r="H30" s="415" t="s">
        <v>295</v>
      </c>
      <c r="I30" s="415" t="s">
        <v>295</v>
      </c>
      <c r="J30" s="415"/>
      <c r="K30" s="417" t="s">
        <v>6</v>
      </c>
      <c r="L30" s="418"/>
      <c r="M30" s="339"/>
      <c r="N30" s="185"/>
      <c r="O30" s="185"/>
      <c r="P30" s="185"/>
      <c r="Q30" s="185"/>
    </row>
    <row r="31" spans="1:17" x14ac:dyDescent="0.2">
      <c r="A31" s="176" t="s">
        <v>276</v>
      </c>
      <c r="B31" s="177" t="s">
        <v>1530</v>
      </c>
      <c r="C31" s="420" t="s">
        <v>325</v>
      </c>
      <c r="D31" s="416" t="s">
        <v>293</v>
      </c>
      <c r="E31" s="417" t="s">
        <v>7</v>
      </c>
      <c r="F31" s="416" t="s">
        <v>317</v>
      </c>
      <c r="G31" s="417" t="s">
        <v>77</v>
      </c>
      <c r="H31" s="415" t="s">
        <v>295</v>
      </c>
      <c r="I31" s="415" t="s">
        <v>295</v>
      </c>
      <c r="J31" s="415"/>
      <c r="K31" s="417" t="s">
        <v>6</v>
      </c>
      <c r="L31" s="418"/>
      <c r="M31" s="339"/>
      <c r="N31" s="185"/>
      <c r="O31" s="185"/>
      <c r="P31" s="185"/>
      <c r="Q31" s="185"/>
    </row>
    <row r="32" spans="1:17" x14ac:dyDescent="0.2">
      <c r="A32" s="176" t="s">
        <v>276</v>
      </c>
      <c r="B32" s="177" t="s">
        <v>1530</v>
      </c>
      <c r="C32" s="420" t="s">
        <v>326</v>
      </c>
      <c r="D32" s="416" t="s">
        <v>293</v>
      </c>
      <c r="E32" s="417" t="s">
        <v>74</v>
      </c>
      <c r="F32" s="416" t="s">
        <v>319</v>
      </c>
      <c r="G32" s="417" t="s">
        <v>77</v>
      </c>
      <c r="H32" s="415" t="s">
        <v>295</v>
      </c>
      <c r="I32" s="415" t="s">
        <v>295</v>
      </c>
      <c r="J32" s="415"/>
      <c r="K32" s="417" t="s">
        <v>6</v>
      </c>
      <c r="L32" s="418"/>
      <c r="M32" s="339"/>
      <c r="N32" s="185"/>
      <c r="O32" s="185"/>
      <c r="P32" s="185"/>
      <c r="Q32" s="185"/>
    </row>
    <row r="33" spans="1:17" x14ac:dyDescent="0.2">
      <c r="A33" s="176" t="s">
        <v>276</v>
      </c>
      <c r="B33" s="177" t="s">
        <v>1530</v>
      </c>
      <c r="C33" s="420" t="s">
        <v>327</v>
      </c>
      <c r="D33" s="416" t="s">
        <v>293</v>
      </c>
      <c r="E33" s="417" t="s">
        <v>74</v>
      </c>
      <c r="F33" s="416" t="s">
        <v>319</v>
      </c>
      <c r="G33" s="417" t="s">
        <v>77</v>
      </c>
      <c r="H33" s="415" t="s">
        <v>295</v>
      </c>
      <c r="I33" s="415" t="s">
        <v>295</v>
      </c>
      <c r="J33" s="415"/>
      <c r="K33" s="417" t="s">
        <v>6</v>
      </c>
      <c r="L33" s="418"/>
      <c r="M33" s="339"/>
      <c r="N33" s="185"/>
      <c r="O33" s="185"/>
      <c r="P33" s="185"/>
      <c r="Q33" s="185"/>
    </row>
    <row r="34" spans="1:17" x14ac:dyDescent="0.2">
      <c r="A34" s="176" t="s">
        <v>276</v>
      </c>
      <c r="B34" s="177" t="s">
        <v>1530</v>
      </c>
      <c r="C34" s="420" t="s">
        <v>328</v>
      </c>
      <c r="D34" s="416" t="s">
        <v>293</v>
      </c>
      <c r="E34" s="417" t="s">
        <v>74</v>
      </c>
      <c r="F34" s="416" t="s">
        <v>319</v>
      </c>
      <c r="G34" s="417" t="s">
        <v>77</v>
      </c>
      <c r="H34" s="415" t="s">
        <v>295</v>
      </c>
      <c r="I34" s="415" t="s">
        <v>295</v>
      </c>
      <c r="J34" s="415"/>
      <c r="K34" s="417" t="s">
        <v>6</v>
      </c>
      <c r="L34" s="418"/>
      <c r="M34" s="339"/>
      <c r="N34" s="185"/>
      <c r="O34" s="185"/>
      <c r="P34" s="185"/>
      <c r="Q34" s="185"/>
    </row>
    <row r="35" spans="1:17" x14ac:dyDescent="0.2">
      <c r="A35" s="176" t="s">
        <v>276</v>
      </c>
      <c r="B35" s="177" t="s">
        <v>1530</v>
      </c>
      <c r="C35" s="420" t="s">
        <v>329</v>
      </c>
      <c r="D35" s="416" t="s">
        <v>293</v>
      </c>
      <c r="E35" s="417" t="s">
        <v>74</v>
      </c>
      <c r="F35" s="416" t="s">
        <v>319</v>
      </c>
      <c r="G35" s="417" t="s">
        <v>77</v>
      </c>
      <c r="H35" s="415" t="s">
        <v>295</v>
      </c>
      <c r="I35" s="415" t="s">
        <v>295</v>
      </c>
      <c r="J35" s="415"/>
      <c r="K35" s="417" t="s">
        <v>6</v>
      </c>
      <c r="L35" s="418"/>
      <c r="M35" s="339"/>
      <c r="N35" s="185"/>
      <c r="O35" s="185"/>
      <c r="P35" s="185"/>
      <c r="Q35" s="185"/>
    </row>
    <row r="36" spans="1:17" x14ac:dyDescent="0.2">
      <c r="A36" s="176" t="s">
        <v>276</v>
      </c>
      <c r="B36" s="177" t="s">
        <v>1530</v>
      </c>
      <c r="C36" s="420" t="s">
        <v>330</v>
      </c>
      <c r="D36" s="416" t="s">
        <v>293</v>
      </c>
      <c r="E36" s="417" t="s">
        <v>74</v>
      </c>
      <c r="F36" s="416" t="s">
        <v>317</v>
      </c>
      <c r="G36" s="417" t="s">
        <v>77</v>
      </c>
      <c r="H36" s="415" t="s">
        <v>295</v>
      </c>
      <c r="I36" s="415" t="s">
        <v>295</v>
      </c>
      <c r="J36" s="415"/>
      <c r="K36" s="417" t="s">
        <v>6</v>
      </c>
      <c r="L36" s="418"/>
      <c r="M36" s="339"/>
      <c r="N36" s="185"/>
      <c r="O36" s="185"/>
      <c r="P36" s="185"/>
      <c r="Q36" s="185"/>
    </row>
    <row r="37" spans="1:17" x14ac:dyDescent="0.2">
      <c r="A37" s="176" t="s">
        <v>276</v>
      </c>
      <c r="B37" s="177" t="s">
        <v>1530</v>
      </c>
      <c r="C37" s="420" t="s">
        <v>331</v>
      </c>
      <c r="D37" s="416" t="s">
        <v>293</v>
      </c>
      <c r="E37" s="417" t="s">
        <v>7</v>
      </c>
      <c r="F37" s="416" t="s">
        <v>317</v>
      </c>
      <c r="G37" s="417" t="s">
        <v>77</v>
      </c>
      <c r="H37" s="415" t="s">
        <v>295</v>
      </c>
      <c r="I37" s="415" t="s">
        <v>295</v>
      </c>
      <c r="J37" s="415"/>
      <c r="K37" s="417" t="s">
        <v>6</v>
      </c>
      <c r="L37" s="418"/>
      <c r="M37" s="339"/>
      <c r="N37" s="185"/>
      <c r="O37" s="185"/>
      <c r="P37" s="185"/>
      <c r="Q37" s="185"/>
    </row>
    <row r="38" spans="1:17" x14ac:dyDescent="0.2">
      <c r="A38" s="176" t="s">
        <v>276</v>
      </c>
      <c r="B38" s="177" t="s">
        <v>1530</v>
      </c>
      <c r="C38" s="420" t="s">
        <v>301</v>
      </c>
      <c r="D38" s="416" t="s">
        <v>293</v>
      </c>
      <c r="E38" s="417" t="s">
        <v>74</v>
      </c>
      <c r="F38" s="416" t="s">
        <v>317</v>
      </c>
      <c r="G38" s="417" t="s">
        <v>77</v>
      </c>
      <c r="H38" s="415" t="s">
        <v>295</v>
      </c>
      <c r="I38" s="415" t="s">
        <v>295</v>
      </c>
      <c r="J38" s="415"/>
      <c r="K38" s="417" t="s">
        <v>6</v>
      </c>
      <c r="L38" s="418"/>
      <c r="M38" s="339"/>
    </row>
    <row r="39" spans="1:17" x14ac:dyDescent="0.2">
      <c r="A39" s="176" t="s">
        <v>276</v>
      </c>
      <c r="B39" s="177" t="s">
        <v>1530</v>
      </c>
      <c r="C39" s="420" t="s">
        <v>332</v>
      </c>
      <c r="D39" s="416" t="s">
        <v>293</v>
      </c>
      <c r="E39" s="417" t="s">
        <v>74</v>
      </c>
      <c r="F39" s="416" t="s">
        <v>319</v>
      </c>
      <c r="G39" s="417" t="s">
        <v>77</v>
      </c>
      <c r="H39" s="415" t="s">
        <v>295</v>
      </c>
      <c r="I39" s="415" t="s">
        <v>295</v>
      </c>
      <c r="J39" s="415"/>
      <c r="K39" s="417" t="s">
        <v>6</v>
      </c>
      <c r="L39" s="418"/>
      <c r="M39" s="339"/>
    </row>
    <row r="40" spans="1:17" x14ac:dyDescent="0.2">
      <c r="A40" s="176" t="s">
        <v>276</v>
      </c>
      <c r="B40" s="177" t="s">
        <v>1530</v>
      </c>
      <c r="C40" s="420" t="s">
        <v>333</v>
      </c>
      <c r="D40" s="416" t="s">
        <v>293</v>
      </c>
      <c r="E40" s="417" t="s">
        <v>74</v>
      </c>
      <c r="F40" s="416" t="s">
        <v>334</v>
      </c>
      <c r="G40" s="417" t="s">
        <v>77</v>
      </c>
      <c r="H40" s="415" t="s">
        <v>295</v>
      </c>
      <c r="I40" s="415" t="s">
        <v>295</v>
      </c>
      <c r="J40" s="415"/>
      <c r="K40" s="417" t="s">
        <v>6</v>
      </c>
      <c r="L40" s="418" t="s">
        <v>335</v>
      </c>
      <c r="M40" s="339"/>
    </row>
    <row r="41" spans="1:17" x14ac:dyDescent="0.2">
      <c r="A41" s="176" t="s">
        <v>276</v>
      </c>
      <c r="B41" s="177" t="s">
        <v>1530</v>
      </c>
      <c r="C41" s="420" t="s">
        <v>302</v>
      </c>
      <c r="D41" s="416" t="s">
        <v>293</v>
      </c>
      <c r="E41" s="417" t="s">
        <v>74</v>
      </c>
      <c r="F41" s="416" t="s">
        <v>319</v>
      </c>
      <c r="G41" s="417" t="s">
        <v>77</v>
      </c>
      <c r="H41" s="415" t="s">
        <v>295</v>
      </c>
      <c r="I41" s="415" t="s">
        <v>295</v>
      </c>
      <c r="J41" s="415"/>
      <c r="K41" s="417" t="s">
        <v>6</v>
      </c>
      <c r="L41" s="418"/>
      <c r="M41" s="339"/>
    </row>
    <row r="42" spans="1:17" x14ac:dyDescent="0.2">
      <c r="A42" s="176" t="s">
        <v>276</v>
      </c>
      <c r="B42" s="177" t="s">
        <v>1530</v>
      </c>
      <c r="C42" s="420" t="s">
        <v>336</v>
      </c>
      <c r="D42" s="416" t="s">
        <v>293</v>
      </c>
      <c r="E42" s="417" t="s">
        <v>74</v>
      </c>
      <c r="F42" s="416" t="s">
        <v>319</v>
      </c>
      <c r="G42" s="417" t="s">
        <v>77</v>
      </c>
      <c r="H42" s="415" t="s">
        <v>295</v>
      </c>
      <c r="I42" s="415" t="s">
        <v>295</v>
      </c>
      <c r="J42" s="415"/>
      <c r="K42" s="417" t="s">
        <v>6</v>
      </c>
      <c r="L42" s="418"/>
      <c r="M42" s="339"/>
    </row>
    <row r="43" spans="1:17" x14ac:dyDescent="0.2">
      <c r="A43" s="176" t="s">
        <v>276</v>
      </c>
      <c r="B43" s="177" t="s">
        <v>1530</v>
      </c>
      <c r="C43" s="420" t="s">
        <v>337</v>
      </c>
      <c r="D43" s="416" t="s">
        <v>293</v>
      </c>
      <c r="E43" s="417" t="s">
        <v>74</v>
      </c>
      <c r="F43" s="416" t="s">
        <v>317</v>
      </c>
      <c r="G43" s="417" t="s">
        <v>77</v>
      </c>
      <c r="H43" s="415" t="s">
        <v>295</v>
      </c>
      <c r="I43" s="415">
        <v>8</v>
      </c>
      <c r="J43" s="415"/>
      <c r="K43" s="417" t="s">
        <v>6</v>
      </c>
      <c r="L43" s="418"/>
      <c r="M43" s="339"/>
    </row>
    <row r="44" spans="1:17" x14ac:dyDescent="0.2">
      <c r="A44" s="176" t="s">
        <v>276</v>
      </c>
      <c r="B44" s="177" t="s">
        <v>1530</v>
      </c>
      <c r="C44" s="420" t="s">
        <v>338</v>
      </c>
      <c r="D44" s="416" t="s">
        <v>293</v>
      </c>
      <c r="E44" s="417" t="s">
        <v>74</v>
      </c>
      <c r="F44" s="416" t="s">
        <v>317</v>
      </c>
      <c r="G44" s="417" t="s">
        <v>77</v>
      </c>
      <c r="H44" s="415" t="s">
        <v>295</v>
      </c>
      <c r="I44" s="415" t="s">
        <v>295</v>
      </c>
      <c r="J44" s="415"/>
      <c r="K44" s="417" t="s">
        <v>6</v>
      </c>
      <c r="L44" s="418"/>
      <c r="M44" s="339"/>
    </row>
    <row r="45" spans="1:17" x14ac:dyDescent="0.2">
      <c r="A45" s="176" t="s">
        <v>276</v>
      </c>
      <c r="B45" s="177" t="s">
        <v>1530</v>
      </c>
      <c r="C45" s="420" t="s">
        <v>339</v>
      </c>
      <c r="D45" s="416" t="s">
        <v>293</v>
      </c>
      <c r="E45" s="417" t="s">
        <v>7</v>
      </c>
      <c r="F45" s="416" t="s">
        <v>319</v>
      </c>
      <c r="G45" s="417" t="s">
        <v>77</v>
      </c>
      <c r="H45" s="415" t="s">
        <v>295</v>
      </c>
      <c r="I45" s="415"/>
      <c r="J45" s="415" t="s">
        <v>295</v>
      </c>
      <c r="K45" s="417" t="s">
        <v>6</v>
      </c>
      <c r="L45" s="418"/>
      <c r="M45" s="339"/>
    </row>
    <row r="46" spans="1:17" x14ac:dyDescent="0.2">
      <c r="A46" s="176" t="s">
        <v>276</v>
      </c>
      <c r="B46" s="177" t="s">
        <v>1530</v>
      </c>
      <c r="C46" s="420" t="s">
        <v>340</v>
      </c>
      <c r="D46" s="416" t="s">
        <v>293</v>
      </c>
      <c r="E46" s="417" t="s">
        <v>7</v>
      </c>
      <c r="F46" s="416" t="s">
        <v>319</v>
      </c>
      <c r="G46" s="417" t="s">
        <v>77</v>
      </c>
      <c r="H46" s="415" t="s">
        <v>295</v>
      </c>
      <c r="I46" s="415"/>
      <c r="J46" s="415" t="s">
        <v>295</v>
      </c>
      <c r="K46" s="417" t="s">
        <v>6</v>
      </c>
      <c r="L46" s="418"/>
      <c r="M46" s="339"/>
    </row>
    <row r="47" spans="1:17" x14ac:dyDescent="0.2">
      <c r="A47" s="176" t="s">
        <v>276</v>
      </c>
      <c r="B47" s="177" t="s">
        <v>1530</v>
      </c>
      <c r="C47" s="420" t="s">
        <v>341</v>
      </c>
      <c r="D47" s="416" t="s">
        <v>293</v>
      </c>
      <c r="E47" s="417" t="s">
        <v>74</v>
      </c>
      <c r="F47" s="416" t="s">
        <v>342</v>
      </c>
      <c r="G47" s="417" t="s">
        <v>77</v>
      </c>
      <c r="H47" s="415" t="s">
        <v>295</v>
      </c>
      <c r="I47" s="415" t="s">
        <v>295</v>
      </c>
      <c r="J47" s="415"/>
      <c r="K47" s="417" t="s">
        <v>6</v>
      </c>
      <c r="L47" s="418"/>
      <c r="M47" s="339"/>
    </row>
    <row r="48" spans="1:17" x14ac:dyDescent="0.2">
      <c r="A48" s="176" t="s">
        <v>276</v>
      </c>
      <c r="B48" s="177" t="s">
        <v>1530</v>
      </c>
      <c r="C48" s="420" t="s">
        <v>306</v>
      </c>
      <c r="D48" s="416" t="s">
        <v>293</v>
      </c>
      <c r="E48" s="417" t="s">
        <v>74</v>
      </c>
      <c r="F48" s="416" t="s">
        <v>343</v>
      </c>
      <c r="G48" s="417" t="s">
        <v>77</v>
      </c>
      <c r="H48" s="415" t="s">
        <v>295</v>
      </c>
      <c r="I48" s="415" t="s">
        <v>295</v>
      </c>
      <c r="J48" s="415"/>
      <c r="K48" s="417" t="s">
        <v>6</v>
      </c>
      <c r="L48" s="418"/>
      <c r="M48" s="339"/>
    </row>
    <row r="49" spans="1:13" x14ac:dyDescent="0.2">
      <c r="A49" s="176" t="s">
        <v>276</v>
      </c>
      <c r="B49" s="177" t="s">
        <v>1530</v>
      </c>
      <c r="C49" s="420" t="s">
        <v>344</v>
      </c>
      <c r="D49" s="416" t="s">
        <v>293</v>
      </c>
      <c r="E49" s="417" t="s">
        <v>7</v>
      </c>
      <c r="F49" s="416" t="s">
        <v>345</v>
      </c>
      <c r="G49" s="417" t="s">
        <v>77</v>
      </c>
      <c r="H49" s="415">
        <v>676</v>
      </c>
      <c r="I49" s="415"/>
      <c r="J49" s="415">
        <v>3</v>
      </c>
      <c r="K49" s="417" t="s">
        <v>6</v>
      </c>
      <c r="L49" s="418" t="s">
        <v>2024</v>
      </c>
      <c r="M49" s="339"/>
    </row>
    <row r="50" spans="1:13" x14ac:dyDescent="0.2">
      <c r="A50" s="176" t="s">
        <v>276</v>
      </c>
      <c r="B50" s="177" t="s">
        <v>1530</v>
      </c>
      <c r="C50" s="420" t="s">
        <v>346</v>
      </c>
      <c r="D50" s="416" t="s">
        <v>293</v>
      </c>
      <c r="E50" s="417" t="s">
        <v>74</v>
      </c>
      <c r="F50" s="416" t="s">
        <v>317</v>
      </c>
      <c r="G50" s="417" t="s">
        <v>77</v>
      </c>
      <c r="H50" s="415" t="s">
        <v>295</v>
      </c>
      <c r="I50" s="415" t="s">
        <v>295</v>
      </c>
      <c r="J50" s="415"/>
      <c r="K50" s="417" t="s">
        <v>6</v>
      </c>
      <c r="L50" s="418"/>
      <c r="M50" s="339"/>
    </row>
    <row r="51" spans="1:13" x14ac:dyDescent="0.2">
      <c r="A51" s="176" t="s">
        <v>276</v>
      </c>
      <c r="B51" s="177" t="s">
        <v>1530</v>
      </c>
      <c r="C51" s="420" t="s">
        <v>347</v>
      </c>
      <c r="D51" s="416" t="s">
        <v>293</v>
      </c>
      <c r="E51" s="417" t="s">
        <v>7</v>
      </c>
      <c r="F51" s="416" t="s">
        <v>317</v>
      </c>
      <c r="G51" s="417" t="s">
        <v>77</v>
      </c>
      <c r="H51" s="415" t="s">
        <v>295</v>
      </c>
      <c r="I51" s="415"/>
      <c r="J51" s="415" t="s">
        <v>295</v>
      </c>
      <c r="K51" s="417" t="s">
        <v>6</v>
      </c>
      <c r="L51" s="418"/>
      <c r="M51" s="339"/>
    </row>
    <row r="52" spans="1:13" x14ac:dyDescent="0.2">
      <c r="A52" s="176" t="s">
        <v>276</v>
      </c>
      <c r="B52" s="177" t="s">
        <v>1530</v>
      </c>
      <c r="C52" s="420" t="s">
        <v>348</v>
      </c>
      <c r="D52" s="416" t="s">
        <v>293</v>
      </c>
      <c r="E52" s="417" t="s">
        <v>74</v>
      </c>
      <c r="F52" s="416" t="s">
        <v>317</v>
      </c>
      <c r="G52" s="417" t="s">
        <v>77</v>
      </c>
      <c r="H52" s="415" t="s">
        <v>295</v>
      </c>
      <c r="I52" s="415" t="s">
        <v>295</v>
      </c>
      <c r="J52" s="415"/>
      <c r="K52" s="417" t="s">
        <v>6</v>
      </c>
      <c r="L52" s="418"/>
      <c r="M52" s="339"/>
    </row>
    <row r="53" spans="1:13" x14ac:dyDescent="0.2">
      <c r="A53" s="176" t="s">
        <v>276</v>
      </c>
      <c r="B53" s="177" t="s">
        <v>1530</v>
      </c>
      <c r="C53" s="420" t="s">
        <v>349</v>
      </c>
      <c r="D53" s="416" t="s">
        <v>293</v>
      </c>
      <c r="E53" s="417" t="s">
        <v>74</v>
      </c>
      <c r="F53" s="416" t="s">
        <v>317</v>
      </c>
      <c r="G53" s="417" t="s">
        <v>77</v>
      </c>
      <c r="H53" s="415" t="s">
        <v>295</v>
      </c>
      <c r="I53" s="415" t="s">
        <v>295</v>
      </c>
      <c r="J53" s="415"/>
      <c r="K53" s="417" t="s">
        <v>6</v>
      </c>
      <c r="L53" s="418"/>
      <c r="M53" s="339"/>
    </row>
    <row r="54" spans="1:13" x14ac:dyDescent="0.2">
      <c r="A54" s="176" t="s">
        <v>276</v>
      </c>
      <c r="B54" s="177" t="s">
        <v>1530</v>
      </c>
      <c r="C54" s="420" t="s">
        <v>349</v>
      </c>
      <c r="D54" s="416" t="s">
        <v>293</v>
      </c>
      <c r="E54" s="417" t="s">
        <v>74</v>
      </c>
      <c r="F54" s="416" t="s">
        <v>345</v>
      </c>
      <c r="G54" s="417" t="s">
        <v>77</v>
      </c>
      <c r="H54" s="415" t="s">
        <v>295</v>
      </c>
      <c r="I54" s="415" t="s">
        <v>295</v>
      </c>
      <c r="J54" s="415"/>
      <c r="K54" s="417" t="s">
        <v>6</v>
      </c>
      <c r="L54" s="418"/>
      <c r="M54" s="339"/>
    </row>
    <row r="55" spans="1:13" x14ac:dyDescent="0.2">
      <c r="A55" s="176" t="s">
        <v>276</v>
      </c>
      <c r="B55" s="177" t="s">
        <v>1530</v>
      </c>
      <c r="C55" s="420" t="s">
        <v>307</v>
      </c>
      <c r="D55" s="416" t="s">
        <v>293</v>
      </c>
      <c r="E55" s="417" t="s">
        <v>74</v>
      </c>
      <c r="F55" s="416" t="s">
        <v>317</v>
      </c>
      <c r="G55" s="417" t="s">
        <v>77</v>
      </c>
      <c r="H55" s="415" t="s">
        <v>295</v>
      </c>
      <c r="I55" s="415" t="s">
        <v>295</v>
      </c>
      <c r="J55" s="415"/>
      <c r="K55" s="417" t="s">
        <v>6</v>
      </c>
      <c r="L55" s="418"/>
      <c r="M55" s="339"/>
    </row>
    <row r="56" spans="1:13" x14ac:dyDescent="0.2">
      <c r="A56" s="176" t="s">
        <v>276</v>
      </c>
      <c r="B56" s="177" t="s">
        <v>1530</v>
      </c>
      <c r="C56" s="420" t="s">
        <v>350</v>
      </c>
      <c r="D56" s="416" t="s">
        <v>293</v>
      </c>
      <c r="E56" s="417" t="s">
        <v>74</v>
      </c>
      <c r="F56" s="416" t="s">
        <v>319</v>
      </c>
      <c r="G56" s="417" t="s">
        <v>77</v>
      </c>
      <c r="H56" s="415" t="s">
        <v>295</v>
      </c>
      <c r="I56" s="415" t="s">
        <v>295</v>
      </c>
      <c r="J56" s="415"/>
      <c r="K56" s="417" t="s">
        <v>6</v>
      </c>
      <c r="L56" s="418"/>
      <c r="M56" s="339"/>
    </row>
    <row r="57" spans="1:13" x14ac:dyDescent="0.2">
      <c r="A57" s="176" t="s">
        <v>276</v>
      </c>
      <c r="B57" s="177" t="s">
        <v>1530</v>
      </c>
      <c r="C57" s="420" t="s">
        <v>308</v>
      </c>
      <c r="D57" s="416" t="s">
        <v>293</v>
      </c>
      <c r="E57" s="417" t="s">
        <v>74</v>
      </c>
      <c r="F57" s="416" t="s">
        <v>317</v>
      </c>
      <c r="G57" s="417" t="s">
        <v>77</v>
      </c>
      <c r="H57" s="415" t="s">
        <v>295</v>
      </c>
      <c r="I57" s="415">
        <v>1</v>
      </c>
      <c r="J57" s="415"/>
      <c r="K57" s="417" t="s">
        <v>6</v>
      </c>
      <c r="L57" s="418"/>
      <c r="M57" s="339"/>
    </row>
    <row r="58" spans="1:13" x14ac:dyDescent="0.2">
      <c r="A58" s="176" t="s">
        <v>276</v>
      </c>
      <c r="B58" s="177" t="s">
        <v>1530</v>
      </c>
      <c r="C58" s="420" t="s">
        <v>153</v>
      </c>
      <c r="D58" s="416" t="s">
        <v>293</v>
      </c>
      <c r="E58" s="417" t="s">
        <v>74</v>
      </c>
      <c r="F58" s="416" t="s">
        <v>319</v>
      </c>
      <c r="G58" s="417" t="s">
        <v>77</v>
      </c>
      <c r="H58" s="415" t="s">
        <v>295</v>
      </c>
      <c r="I58" s="415"/>
      <c r="J58" s="415" t="s">
        <v>295</v>
      </c>
      <c r="K58" s="417" t="s">
        <v>6</v>
      </c>
      <c r="L58" s="418"/>
      <c r="M58" s="339"/>
    </row>
    <row r="59" spans="1:13" ht="25.5" x14ac:dyDescent="0.2">
      <c r="A59" s="176" t="s">
        <v>276</v>
      </c>
      <c r="B59" s="177" t="s">
        <v>1530</v>
      </c>
      <c r="C59" s="420" t="s">
        <v>309</v>
      </c>
      <c r="D59" s="416" t="s">
        <v>293</v>
      </c>
      <c r="E59" s="417" t="s">
        <v>74</v>
      </c>
      <c r="F59" s="416" t="s">
        <v>319</v>
      </c>
      <c r="G59" s="417" t="s">
        <v>304</v>
      </c>
      <c r="H59" s="415">
        <v>28149</v>
      </c>
      <c r="I59" s="415" t="s">
        <v>304</v>
      </c>
      <c r="J59" s="415" t="s">
        <v>304</v>
      </c>
      <c r="K59" s="417" t="s">
        <v>304</v>
      </c>
      <c r="L59" s="421" t="s">
        <v>1490</v>
      </c>
      <c r="M59" s="339"/>
    </row>
    <row r="60" spans="1:13" x14ac:dyDescent="0.2">
      <c r="A60" s="176" t="s">
        <v>276</v>
      </c>
      <c r="B60" s="177" t="s">
        <v>1530</v>
      </c>
      <c r="C60" s="420" t="s">
        <v>351</v>
      </c>
      <c r="D60" s="416" t="s">
        <v>293</v>
      </c>
      <c r="E60" s="417" t="s">
        <v>74</v>
      </c>
      <c r="F60" s="416" t="s">
        <v>319</v>
      </c>
      <c r="G60" s="417" t="s">
        <v>77</v>
      </c>
      <c r="H60" s="415" t="s">
        <v>295</v>
      </c>
      <c r="I60" s="415" t="s">
        <v>295</v>
      </c>
      <c r="J60" s="415"/>
      <c r="K60" s="417" t="s">
        <v>6</v>
      </c>
      <c r="L60" s="418"/>
      <c r="M60" s="339"/>
    </row>
    <row r="61" spans="1:13" x14ac:dyDescent="0.2">
      <c r="A61" s="176" t="s">
        <v>276</v>
      </c>
      <c r="B61" s="177" t="s">
        <v>1530</v>
      </c>
      <c r="C61" s="420" t="s">
        <v>312</v>
      </c>
      <c r="D61" s="416" t="s">
        <v>293</v>
      </c>
      <c r="E61" s="417" t="s">
        <v>74</v>
      </c>
      <c r="F61" s="416" t="s">
        <v>317</v>
      </c>
      <c r="G61" s="417" t="s">
        <v>77</v>
      </c>
      <c r="H61" s="415" t="s">
        <v>295</v>
      </c>
      <c r="I61" s="415"/>
      <c r="J61" s="415" t="s">
        <v>295</v>
      </c>
      <c r="K61" s="417" t="s">
        <v>6</v>
      </c>
      <c r="L61" s="418"/>
      <c r="M61" s="339"/>
    </row>
    <row r="62" spans="1:13" x14ac:dyDescent="0.2">
      <c r="A62" s="176" t="s">
        <v>276</v>
      </c>
      <c r="B62" s="177" t="s">
        <v>1530</v>
      </c>
      <c r="C62" s="420" t="s">
        <v>352</v>
      </c>
      <c r="D62" s="416" t="s">
        <v>293</v>
      </c>
      <c r="E62" s="417" t="s">
        <v>74</v>
      </c>
      <c r="F62" s="416" t="s">
        <v>317</v>
      </c>
      <c r="G62" s="417" t="s">
        <v>77</v>
      </c>
      <c r="H62" s="415" t="s">
        <v>295</v>
      </c>
      <c r="I62" s="415" t="s">
        <v>295</v>
      </c>
      <c r="J62" s="415"/>
      <c r="K62" s="417" t="s">
        <v>6</v>
      </c>
      <c r="L62" s="418"/>
      <c r="M62" s="339"/>
    </row>
    <row r="63" spans="1:13" x14ac:dyDescent="0.2">
      <c r="A63" s="176" t="s">
        <v>276</v>
      </c>
      <c r="B63" s="177" t="s">
        <v>1530</v>
      </c>
      <c r="C63" s="420" t="s">
        <v>352</v>
      </c>
      <c r="D63" s="416" t="s">
        <v>293</v>
      </c>
      <c r="E63" s="417" t="s">
        <v>74</v>
      </c>
      <c r="F63" s="416" t="s">
        <v>345</v>
      </c>
      <c r="G63" s="417" t="s">
        <v>77</v>
      </c>
      <c r="H63" s="415" t="s">
        <v>295</v>
      </c>
      <c r="I63" s="415" t="s">
        <v>295</v>
      </c>
      <c r="J63" s="415"/>
      <c r="K63" s="417" t="s">
        <v>6</v>
      </c>
      <c r="L63" s="418"/>
      <c r="M63" s="339"/>
    </row>
    <row r="64" spans="1:13" x14ac:dyDescent="0.2">
      <c r="A64" s="176" t="s">
        <v>276</v>
      </c>
      <c r="B64" s="177" t="s">
        <v>1530</v>
      </c>
      <c r="C64" s="420" t="s">
        <v>353</v>
      </c>
      <c r="D64" s="416" t="s">
        <v>293</v>
      </c>
      <c r="E64" s="417" t="s">
        <v>74</v>
      </c>
      <c r="F64" s="416" t="s">
        <v>354</v>
      </c>
      <c r="G64" s="417" t="s">
        <v>77</v>
      </c>
      <c r="H64" s="415" t="s">
        <v>295</v>
      </c>
      <c r="I64" s="415" t="s">
        <v>295</v>
      </c>
      <c r="J64" s="415"/>
      <c r="K64" s="417" t="s">
        <v>6</v>
      </c>
      <c r="L64" s="418"/>
      <c r="M64" s="339"/>
    </row>
    <row r="65" spans="1:13" x14ac:dyDescent="0.2">
      <c r="A65" s="176" t="s">
        <v>276</v>
      </c>
      <c r="B65" s="177" t="s">
        <v>1530</v>
      </c>
      <c r="C65" s="420" t="s">
        <v>355</v>
      </c>
      <c r="D65" s="416" t="s">
        <v>293</v>
      </c>
      <c r="E65" s="417" t="s">
        <v>74</v>
      </c>
      <c r="F65" s="416" t="s">
        <v>319</v>
      </c>
      <c r="G65" s="417" t="s">
        <v>304</v>
      </c>
      <c r="H65" s="415">
        <v>0</v>
      </c>
      <c r="I65" s="415" t="s">
        <v>304</v>
      </c>
      <c r="J65" s="415" t="s">
        <v>304</v>
      </c>
      <c r="K65" s="417" t="s">
        <v>304</v>
      </c>
      <c r="L65" s="418" t="s">
        <v>1491</v>
      </c>
      <c r="M65" s="339"/>
    </row>
    <row r="66" spans="1:13" x14ac:dyDescent="0.2">
      <c r="A66" s="176" t="s">
        <v>276</v>
      </c>
      <c r="B66" s="177" t="s">
        <v>1530</v>
      </c>
      <c r="C66" s="420" t="s">
        <v>356</v>
      </c>
      <c r="D66" s="416" t="s">
        <v>293</v>
      </c>
      <c r="E66" s="417" t="s">
        <v>7</v>
      </c>
      <c r="F66" s="416" t="s">
        <v>317</v>
      </c>
      <c r="G66" s="417" t="s">
        <v>77</v>
      </c>
      <c r="H66" s="415" t="s">
        <v>295</v>
      </c>
      <c r="I66" s="415"/>
      <c r="J66" s="415" t="s">
        <v>295</v>
      </c>
      <c r="K66" s="417" t="s">
        <v>6</v>
      </c>
      <c r="L66" s="418"/>
      <c r="M66" s="339"/>
    </row>
    <row r="67" spans="1:13" x14ac:dyDescent="0.2">
      <c r="A67" s="176" t="s">
        <v>276</v>
      </c>
      <c r="B67" s="177" t="s">
        <v>1530</v>
      </c>
      <c r="C67" s="420" t="s">
        <v>357</v>
      </c>
      <c r="D67" s="416" t="s">
        <v>293</v>
      </c>
      <c r="E67" s="417" t="s">
        <v>74</v>
      </c>
      <c r="F67" s="416" t="s">
        <v>317</v>
      </c>
      <c r="G67" s="417" t="s">
        <v>77</v>
      </c>
      <c r="H67" s="415" t="s">
        <v>295</v>
      </c>
      <c r="I67" s="415" t="s">
        <v>295</v>
      </c>
      <c r="J67" s="415"/>
      <c r="K67" s="417" t="s">
        <v>6</v>
      </c>
      <c r="L67" s="418"/>
      <c r="M67" s="339"/>
    </row>
    <row r="68" spans="1:13" x14ac:dyDescent="0.2">
      <c r="A68" s="176" t="s">
        <v>276</v>
      </c>
      <c r="B68" s="177" t="s">
        <v>1530</v>
      </c>
      <c r="C68" s="420" t="s">
        <v>358</v>
      </c>
      <c r="D68" s="416" t="s">
        <v>293</v>
      </c>
      <c r="E68" s="417" t="s">
        <v>74</v>
      </c>
      <c r="F68" s="416" t="s">
        <v>319</v>
      </c>
      <c r="G68" s="417" t="s">
        <v>77</v>
      </c>
      <c r="H68" s="415" t="s">
        <v>295</v>
      </c>
      <c r="I68" s="415"/>
      <c r="J68" s="415" t="s">
        <v>295</v>
      </c>
      <c r="K68" s="417" t="s">
        <v>6</v>
      </c>
      <c r="L68" s="421"/>
      <c r="M68" s="339"/>
    </row>
    <row r="69" spans="1:13" x14ac:dyDescent="0.2">
      <c r="A69" s="176" t="s">
        <v>276</v>
      </c>
      <c r="B69" s="177" t="s">
        <v>1530</v>
      </c>
      <c r="C69" s="420" t="s">
        <v>359</v>
      </c>
      <c r="D69" s="416" t="s">
        <v>293</v>
      </c>
      <c r="E69" s="417" t="s">
        <v>74</v>
      </c>
      <c r="F69" s="416" t="s">
        <v>319</v>
      </c>
      <c r="G69" s="417" t="s">
        <v>77</v>
      </c>
      <c r="H69" s="415" t="s">
        <v>295</v>
      </c>
      <c r="I69" s="415" t="s">
        <v>295</v>
      </c>
      <c r="J69" s="415"/>
      <c r="K69" s="417" t="s">
        <v>6</v>
      </c>
      <c r="L69" s="421" t="s">
        <v>360</v>
      </c>
      <c r="M69" s="339"/>
    </row>
    <row r="70" spans="1:13" x14ac:dyDescent="0.2">
      <c r="A70" s="176" t="s">
        <v>276</v>
      </c>
      <c r="B70" s="177" t="s">
        <v>1530</v>
      </c>
      <c r="C70" s="420" t="s">
        <v>361</v>
      </c>
      <c r="D70" s="416" t="s">
        <v>362</v>
      </c>
      <c r="E70" s="417" t="s">
        <v>363</v>
      </c>
      <c r="F70" s="416" t="s">
        <v>364</v>
      </c>
      <c r="G70" s="417" t="s">
        <v>77</v>
      </c>
      <c r="H70" s="415" t="s">
        <v>295</v>
      </c>
      <c r="I70" s="415" t="s">
        <v>295</v>
      </c>
      <c r="J70" s="415"/>
      <c r="K70" s="417" t="s">
        <v>6</v>
      </c>
      <c r="L70" s="421"/>
      <c r="M70" s="339"/>
    </row>
    <row r="71" spans="1:13" x14ac:dyDescent="0.2">
      <c r="A71" s="176" t="s">
        <v>276</v>
      </c>
      <c r="B71" s="177" t="s">
        <v>1530</v>
      </c>
      <c r="C71" s="420" t="s">
        <v>316</v>
      </c>
      <c r="D71" s="416" t="s">
        <v>362</v>
      </c>
      <c r="E71" s="417" t="s">
        <v>74</v>
      </c>
      <c r="F71" s="416" t="s">
        <v>365</v>
      </c>
      <c r="G71" s="417" t="s">
        <v>77</v>
      </c>
      <c r="H71" s="415" t="s">
        <v>295</v>
      </c>
      <c r="I71" s="415" t="s">
        <v>295</v>
      </c>
      <c r="J71" s="415"/>
      <c r="K71" s="417" t="s">
        <v>6</v>
      </c>
      <c r="L71" s="421"/>
      <c r="M71" s="339"/>
    </row>
    <row r="72" spans="1:13" x14ac:dyDescent="0.2">
      <c r="A72" s="176" t="s">
        <v>276</v>
      </c>
      <c r="B72" s="177" t="s">
        <v>1530</v>
      </c>
      <c r="C72" s="420" t="s">
        <v>366</v>
      </c>
      <c r="D72" s="416" t="s">
        <v>362</v>
      </c>
      <c r="E72" s="417" t="s">
        <v>74</v>
      </c>
      <c r="F72" s="416" t="s">
        <v>367</v>
      </c>
      <c r="G72" s="417" t="s">
        <v>6</v>
      </c>
      <c r="H72" s="415">
        <v>5992</v>
      </c>
      <c r="I72" s="415">
        <v>69</v>
      </c>
      <c r="J72" s="415"/>
      <c r="K72" s="417" t="s">
        <v>77</v>
      </c>
      <c r="L72" s="421" t="s">
        <v>1492</v>
      </c>
      <c r="M72" s="339"/>
    </row>
    <row r="73" spans="1:13" ht="25.5" x14ac:dyDescent="0.2">
      <c r="A73" s="176" t="s">
        <v>276</v>
      </c>
      <c r="B73" s="177" t="s">
        <v>1530</v>
      </c>
      <c r="C73" s="420" t="s">
        <v>344</v>
      </c>
      <c r="D73" s="416" t="s">
        <v>362</v>
      </c>
      <c r="E73" s="417" t="s">
        <v>7</v>
      </c>
      <c r="F73" s="416" t="s">
        <v>368</v>
      </c>
      <c r="G73" s="417" t="s">
        <v>6</v>
      </c>
      <c r="H73" s="415">
        <v>2369</v>
      </c>
      <c r="I73" s="415"/>
      <c r="J73" s="415">
        <v>5</v>
      </c>
      <c r="K73" s="417" t="s">
        <v>6</v>
      </c>
      <c r="L73" s="421" t="s">
        <v>1493</v>
      </c>
      <c r="M73" s="339" t="s">
        <v>2025</v>
      </c>
    </row>
    <row r="74" spans="1:13" x14ac:dyDescent="0.2">
      <c r="A74" s="176" t="s">
        <v>276</v>
      </c>
      <c r="B74" s="177" t="s">
        <v>1530</v>
      </c>
      <c r="C74" s="420" t="s">
        <v>369</v>
      </c>
      <c r="D74" s="416" t="s">
        <v>362</v>
      </c>
      <c r="E74" s="417" t="s">
        <v>7</v>
      </c>
      <c r="F74" s="416" t="s">
        <v>151</v>
      </c>
      <c r="G74" s="417" t="s">
        <v>77</v>
      </c>
      <c r="H74" s="415" t="s">
        <v>299</v>
      </c>
      <c r="I74" s="415"/>
      <c r="J74" s="415" t="s">
        <v>508</v>
      </c>
      <c r="K74" s="417" t="s">
        <v>6</v>
      </c>
      <c r="L74" s="421"/>
      <c r="M74" s="339"/>
    </row>
    <row r="75" spans="1:13" x14ac:dyDescent="0.2">
      <c r="A75" s="176" t="s">
        <v>276</v>
      </c>
      <c r="B75" s="177" t="s">
        <v>1530</v>
      </c>
      <c r="C75" s="420" t="s">
        <v>370</v>
      </c>
      <c r="D75" s="416" t="s">
        <v>362</v>
      </c>
      <c r="E75" s="417" t="s">
        <v>7</v>
      </c>
      <c r="F75" s="416" t="s">
        <v>367</v>
      </c>
      <c r="G75" s="417" t="s">
        <v>6</v>
      </c>
      <c r="H75" s="415">
        <v>111</v>
      </c>
      <c r="I75" s="415"/>
      <c r="J75" s="415">
        <v>2</v>
      </c>
      <c r="K75" s="417" t="s">
        <v>77</v>
      </c>
      <c r="L75" s="421" t="s">
        <v>1494</v>
      </c>
      <c r="M75" s="339"/>
    </row>
    <row r="76" spans="1:13" x14ac:dyDescent="0.2">
      <c r="A76" s="176" t="s">
        <v>276</v>
      </c>
      <c r="B76" s="177" t="s">
        <v>1530</v>
      </c>
      <c r="C76" s="420" t="s">
        <v>76</v>
      </c>
      <c r="D76" s="416" t="s">
        <v>362</v>
      </c>
      <c r="E76" s="417" t="s">
        <v>74</v>
      </c>
      <c r="F76" s="416" t="s">
        <v>371</v>
      </c>
      <c r="G76" s="417" t="s">
        <v>77</v>
      </c>
      <c r="H76" s="415" t="s">
        <v>295</v>
      </c>
      <c r="I76" s="415"/>
      <c r="J76" s="415" t="s">
        <v>295</v>
      </c>
      <c r="K76" s="417" t="s">
        <v>6</v>
      </c>
      <c r="L76" s="421"/>
      <c r="M76" s="339"/>
    </row>
    <row r="77" spans="1:13" x14ac:dyDescent="0.2">
      <c r="A77" s="176" t="s">
        <v>276</v>
      </c>
      <c r="B77" s="177" t="s">
        <v>1530</v>
      </c>
      <c r="C77" s="420" t="s">
        <v>372</v>
      </c>
      <c r="D77" s="416" t="s">
        <v>362</v>
      </c>
      <c r="E77" s="417" t="s">
        <v>74</v>
      </c>
      <c r="F77" s="416" t="s">
        <v>371</v>
      </c>
      <c r="G77" s="417" t="s">
        <v>77</v>
      </c>
      <c r="H77" s="415" t="s">
        <v>295</v>
      </c>
      <c r="I77" s="415">
        <v>3</v>
      </c>
      <c r="J77" s="415"/>
      <c r="K77" s="417" t="s">
        <v>6</v>
      </c>
      <c r="L77" s="421" t="s">
        <v>373</v>
      </c>
      <c r="M77" s="339"/>
    </row>
    <row r="78" spans="1:13" x14ac:dyDescent="0.2">
      <c r="A78" s="176" t="s">
        <v>276</v>
      </c>
      <c r="B78" s="177" t="s">
        <v>1530</v>
      </c>
      <c r="C78" s="420" t="s">
        <v>320</v>
      </c>
      <c r="D78" s="416" t="s">
        <v>362</v>
      </c>
      <c r="E78" s="417" t="s">
        <v>74</v>
      </c>
      <c r="F78" s="416" t="s">
        <v>371</v>
      </c>
      <c r="G78" s="417" t="s">
        <v>77</v>
      </c>
      <c r="H78" s="415">
        <v>8</v>
      </c>
      <c r="I78" s="415">
        <v>7</v>
      </c>
      <c r="J78" s="415"/>
      <c r="K78" s="417" t="s">
        <v>6</v>
      </c>
      <c r="L78" s="421" t="s">
        <v>1495</v>
      </c>
      <c r="M78" s="339"/>
    </row>
    <row r="79" spans="1:13" x14ac:dyDescent="0.2">
      <c r="A79" s="176" t="s">
        <v>276</v>
      </c>
      <c r="B79" s="177" t="s">
        <v>1530</v>
      </c>
      <c r="C79" s="420" t="s">
        <v>374</v>
      </c>
      <c r="D79" s="416" t="s">
        <v>362</v>
      </c>
      <c r="E79" s="417" t="s">
        <v>7</v>
      </c>
      <c r="F79" s="416" t="s">
        <v>371</v>
      </c>
      <c r="G79" s="417" t="s">
        <v>77</v>
      </c>
      <c r="H79" s="415" t="s">
        <v>295</v>
      </c>
      <c r="I79" s="415"/>
      <c r="J79" s="415" t="s">
        <v>295</v>
      </c>
      <c r="K79" s="417" t="s">
        <v>6</v>
      </c>
      <c r="L79" s="421"/>
      <c r="M79" s="339"/>
    </row>
    <row r="80" spans="1:13" x14ac:dyDescent="0.2">
      <c r="A80" s="176" t="s">
        <v>276</v>
      </c>
      <c r="B80" s="177" t="s">
        <v>1530</v>
      </c>
      <c r="C80" s="420" t="s">
        <v>375</v>
      </c>
      <c r="D80" s="416" t="s">
        <v>362</v>
      </c>
      <c r="E80" s="417" t="s">
        <v>7</v>
      </c>
      <c r="F80" s="416" t="s">
        <v>371</v>
      </c>
      <c r="G80" s="417" t="s">
        <v>77</v>
      </c>
      <c r="H80" s="415" t="s">
        <v>299</v>
      </c>
      <c r="I80" s="415"/>
      <c r="J80" s="415" t="s">
        <v>508</v>
      </c>
      <c r="K80" s="417" t="s">
        <v>6</v>
      </c>
      <c r="L80" s="421"/>
      <c r="M80" s="339"/>
    </row>
    <row r="81" spans="1:13" x14ac:dyDescent="0.2">
      <c r="A81" s="176" t="s">
        <v>276</v>
      </c>
      <c r="B81" s="177" t="s">
        <v>1530</v>
      </c>
      <c r="C81" s="420" t="s">
        <v>376</v>
      </c>
      <c r="D81" s="416" t="s">
        <v>362</v>
      </c>
      <c r="E81" s="417" t="s">
        <v>74</v>
      </c>
      <c r="F81" s="416" t="s">
        <v>377</v>
      </c>
      <c r="G81" s="417" t="s">
        <v>77</v>
      </c>
      <c r="H81" s="415" t="s">
        <v>295</v>
      </c>
      <c r="I81" s="415">
        <v>3</v>
      </c>
      <c r="J81" s="415"/>
      <c r="K81" s="417" t="s">
        <v>6</v>
      </c>
      <c r="L81" s="421" t="s">
        <v>373</v>
      </c>
      <c r="M81" s="339"/>
    </row>
    <row r="82" spans="1:13" x14ac:dyDescent="0.2">
      <c r="A82" s="176" t="s">
        <v>276</v>
      </c>
      <c r="B82" s="177" t="s">
        <v>1530</v>
      </c>
      <c r="C82" s="420" t="s">
        <v>376</v>
      </c>
      <c r="D82" s="416" t="s">
        <v>378</v>
      </c>
      <c r="E82" s="417" t="s">
        <v>74</v>
      </c>
      <c r="F82" s="416" t="s">
        <v>379</v>
      </c>
      <c r="G82" s="417" t="s">
        <v>77</v>
      </c>
      <c r="H82" s="415" t="s">
        <v>295</v>
      </c>
      <c r="I82" s="415">
        <v>3</v>
      </c>
      <c r="J82" s="415"/>
      <c r="K82" s="417" t="s">
        <v>6</v>
      </c>
      <c r="L82" s="421" t="s">
        <v>373</v>
      </c>
      <c r="M82" s="339"/>
    </row>
    <row r="83" spans="1:13" x14ac:dyDescent="0.2">
      <c r="A83" s="176" t="s">
        <v>276</v>
      </c>
      <c r="B83" s="177" t="s">
        <v>1530</v>
      </c>
      <c r="C83" s="420" t="s">
        <v>380</v>
      </c>
      <c r="D83" s="416" t="s">
        <v>362</v>
      </c>
      <c r="E83" s="417" t="s">
        <v>74</v>
      </c>
      <c r="F83" s="416" t="s">
        <v>371</v>
      </c>
      <c r="G83" s="417" t="s">
        <v>6</v>
      </c>
      <c r="H83" s="415">
        <v>8076</v>
      </c>
      <c r="I83" s="415"/>
      <c r="J83" s="415">
        <v>22</v>
      </c>
      <c r="K83" s="417" t="s">
        <v>77</v>
      </c>
      <c r="L83" s="421" t="s">
        <v>1496</v>
      </c>
      <c r="M83" s="339"/>
    </row>
    <row r="84" spans="1:13" x14ac:dyDescent="0.2">
      <c r="A84" s="176" t="s">
        <v>276</v>
      </c>
      <c r="B84" s="177" t="s">
        <v>1530</v>
      </c>
      <c r="C84" s="420" t="s">
        <v>297</v>
      </c>
      <c r="D84" s="416" t="s">
        <v>362</v>
      </c>
      <c r="E84" s="417" t="s">
        <v>74</v>
      </c>
      <c r="F84" s="416" t="s">
        <v>365</v>
      </c>
      <c r="G84" s="417" t="s">
        <v>304</v>
      </c>
      <c r="H84" s="415">
        <v>1610</v>
      </c>
      <c r="I84" s="415" t="s">
        <v>304</v>
      </c>
      <c r="J84" s="415" t="s">
        <v>304</v>
      </c>
      <c r="K84" s="417" t="s">
        <v>304</v>
      </c>
      <c r="L84" s="421" t="s">
        <v>1497</v>
      </c>
      <c r="M84" s="339"/>
    </row>
    <row r="85" spans="1:13" ht="38.25" x14ac:dyDescent="0.2">
      <c r="A85" s="176" t="s">
        <v>276</v>
      </c>
      <c r="B85" s="177" t="s">
        <v>1530</v>
      </c>
      <c r="C85" s="420" t="s">
        <v>297</v>
      </c>
      <c r="D85" s="416" t="s">
        <v>362</v>
      </c>
      <c r="E85" s="417" t="s">
        <v>74</v>
      </c>
      <c r="F85" s="416" t="s">
        <v>381</v>
      </c>
      <c r="G85" s="417" t="s">
        <v>77</v>
      </c>
      <c r="H85" s="415" t="s">
        <v>299</v>
      </c>
      <c r="I85" s="415">
        <v>15</v>
      </c>
      <c r="J85" s="415"/>
      <c r="K85" s="417" t="s">
        <v>77</v>
      </c>
      <c r="L85" s="421" t="s">
        <v>382</v>
      </c>
      <c r="M85" s="339" t="s">
        <v>2027</v>
      </c>
    </row>
    <row r="86" spans="1:13" ht="25.5" x14ac:dyDescent="0.2">
      <c r="A86" s="176" t="s">
        <v>276</v>
      </c>
      <c r="B86" s="177" t="s">
        <v>1530</v>
      </c>
      <c r="C86" s="420" t="s">
        <v>297</v>
      </c>
      <c r="D86" s="416" t="s">
        <v>362</v>
      </c>
      <c r="E86" s="417" t="s">
        <v>74</v>
      </c>
      <c r="F86" s="416" t="s">
        <v>383</v>
      </c>
      <c r="G86" s="417" t="s">
        <v>6</v>
      </c>
      <c r="H86" s="415" t="s">
        <v>295</v>
      </c>
      <c r="I86" s="415">
        <v>91</v>
      </c>
      <c r="J86" s="415"/>
      <c r="K86" s="417" t="s">
        <v>6</v>
      </c>
      <c r="L86" s="421" t="s">
        <v>1498</v>
      </c>
      <c r="M86" s="339"/>
    </row>
    <row r="87" spans="1:13" x14ac:dyDescent="0.2">
      <c r="A87" s="176" t="s">
        <v>276</v>
      </c>
      <c r="B87" s="177" t="s">
        <v>1530</v>
      </c>
      <c r="C87" s="420" t="s">
        <v>297</v>
      </c>
      <c r="D87" s="416" t="s">
        <v>362</v>
      </c>
      <c r="E87" s="417" t="s">
        <v>74</v>
      </c>
      <c r="F87" s="416" t="s">
        <v>384</v>
      </c>
      <c r="G87" s="417" t="s">
        <v>6</v>
      </c>
      <c r="H87" s="415">
        <v>2575</v>
      </c>
      <c r="I87" s="415">
        <v>26</v>
      </c>
      <c r="J87" s="415"/>
      <c r="K87" s="417" t="s">
        <v>77</v>
      </c>
      <c r="L87" s="421" t="s">
        <v>1499</v>
      </c>
      <c r="M87" s="339" t="s">
        <v>1775</v>
      </c>
    </row>
    <row r="88" spans="1:13" ht="25.5" x14ac:dyDescent="0.2">
      <c r="A88" s="176" t="s">
        <v>276</v>
      </c>
      <c r="B88" s="177" t="s">
        <v>1530</v>
      </c>
      <c r="C88" s="420" t="s">
        <v>297</v>
      </c>
      <c r="D88" s="416" t="s">
        <v>362</v>
      </c>
      <c r="E88" s="417" t="s">
        <v>74</v>
      </c>
      <c r="F88" s="416" t="s">
        <v>385</v>
      </c>
      <c r="G88" s="417" t="s">
        <v>6</v>
      </c>
      <c r="H88" s="415">
        <v>259</v>
      </c>
      <c r="I88" s="415">
        <v>86</v>
      </c>
      <c r="J88" s="415"/>
      <c r="K88" s="417" t="s">
        <v>77</v>
      </c>
      <c r="L88" s="421" t="s">
        <v>1500</v>
      </c>
      <c r="M88" s="339" t="s">
        <v>1763</v>
      </c>
    </row>
    <row r="89" spans="1:13" x14ac:dyDescent="0.2">
      <c r="A89" s="176" t="s">
        <v>276</v>
      </c>
      <c r="B89" s="177" t="s">
        <v>1530</v>
      </c>
      <c r="C89" s="420" t="s">
        <v>387</v>
      </c>
      <c r="D89" s="416" t="s">
        <v>362</v>
      </c>
      <c r="E89" s="417" t="s">
        <v>7</v>
      </c>
      <c r="F89" s="416" t="s">
        <v>388</v>
      </c>
      <c r="G89" s="417" t="s">
        <v>77</v>
      </c>
      <c r="H89" s="415" t="s">
        <v>299</v>
      </c>
      <c r="I89" s="415"/>
      <c r="J89" s="415" t="s">
        <v>508</v>
      </c>
      <c r="K89" s="417" t="s">
        <v>6</v>
      </c>
      <c r="L89" s="421"/>
      <c r="M89" s="339"/>
    </row>
    <row r="90" spans="1:13" x14ac:dyDescent="0.2">
      <c r="A90" s="176" t="s">
        <v>276</v>
      </c>
      <c r="B90" s="177" t="s">
        <v>1530</v>
      </c>
      <c r="C90" s="420" t="s">
        <v>387</v>
      </c>
      <c r="D90" s="416" t="s">
        <v>378</v>
      </c>
      <c r="E90" s="417" t="s">
        <v>7</v>
      </c>
      <c r="F90" s="416" t="s">
        <v>150</v>
      </c>
      <c r="G90" s="417" t="s">
        <v>77</v>
      </c>
      <c r="H90" s="415" t="s">
        <v>295</v>
      </c>
      <c r="I90" s="415"/>
      <c r="J90" s="415" t="s">
        <v>295</v>
      </c>
      <c r="K90" s="417" t="s">
        <v>6</v>
      </c>
      <c r="L90" s="421"/>
      <c r="M90" s="339"/>
    </row>
    <row r="91" spans="1:13" x14ac:dyDescent="0.2">
      <c r="A91" s="176" t="s">
        <v>276</v>
      </c>
      <c r="B91" s="177" t="s">
        <v>1530</v>
      </c>
      <c r="C91" s="420" t="s">
        <v>389</v>
      </c>
      <c r="D91" s="416" t="s">
        <v>362</v>
      </c>
      <c r="E91" s="417" t="s">
        <v>74</v>
      </c>
      <c r="F91" s="416" t="s">
        <v>371</v>
      </c>
      <c r="G91" s="417" t="s">
        <v>77</v>
      </c>
      <c r="H91" s="415" t="s">
        <v>295</v>
      </c>
      <c r="I91" s="415">
        <v>6</v>
      </c>
      <c r="J91" s="415"/>
      <c r="K91" s="417" t="s">
        <v>6</v>
      </c>
      <c r="L91" s="421" t="s">
        <v>373</v>
      </c>
      <c r="M91" s="339"/>
    </row>
    <row r="92" spans="1:13" x14ac:dyDescent="0.2">
      <c r="A92" s="176" t="s">
        <v>276</v>
      </c>
      <c r="B92" s="177" t="s">
        <v>1530</v>
      </c>
      <c r="C92" s="420" t="s">
        <v>390</v>
      </c>
      <c r="D92" s="416" t="s">
        <v>362</v>
      </c>
      <c r="E92" s="417" t="s">
        <v>363</v>
      </c>
      <c r="F92" s="416" t="s">
        <v>391</v>
      </c>
      <c r="G92" s="417" t="s">
        <v>77</v>
      </c>
      <c r="H92" s="415" t="s">
        <v>295</v>
      </c>
      <c r="I92" s="415" t="s">
        <v>295</v>
      </c>
      <c r="J92" s="415"/>
      <c r="K92" s="417" t="s">
        <v>6</v>
      </c>
      <c r="L92" s="421"/>
      <c r="M92" s="339"/>
    </row>
    <row r="93" spans="1:13" x14ac:dyDescent="0.2">
      <c r="A93" s="176" t="s">
        <v>276</v>
      </c>
      <c r="B93" s="177" t="s">
        <v>1530</v>
      </c>
      <c r="C93" s="420" t="s">
        <v>392</v>
      </c>
      <c r="D93" s="416" t="s">
        <v>362</v>
      </c>
      <c r="E93" s="417" t="s">
        <v>7</v>
      </c>
      <c r="F93" s="416" t="s">
        <v>393</v>
      </c>
      <c r="G93" s="417" t="s">
        <v>77</v>
      </c>
      <c r="H93" s="415" t="s">
        <v>295</v>
      </c>
      <c r="I93" s="415"/>
      <c r="J93" s="415" t="s">
        <v>295</v>
      </c>
      <c r="K93" s="417" t="s">
        <v>6</v>
      </c>
      <c r="L93" s="421"/>
      <c r="M93" s="339"/>
    </row>
    <row r="94" spans="1:13" x14ac:dyDescent="0.2">
      <c r="A94" s="176" t="s">
        <v>276</v>
      </c>
      <c r="B94" s="177" t="s">
        <v>1530</v>
      </c>
      <c r="C94" s="420" t="s">
        <v>394</v>
      </c>
      <c r="D94" s="416" t="s">
        <v>362</v>
      </c>
      <c r="E94" s="417" t="s">
        <v>363</v>
      </c>
      <c r="F94" s="416" t="s">
        <v>395</v>
      </c>
      <c r="G94" s="417" t="s">
        <v>77</v>
      </c>
      <c r="H94" s="415" t="s">
        <v>295</v>
      </c>
      <c r="I94" s="415" t="s">
        <v>295</v>
      </c>
      <c r="J94" s="415"/>
      <c r="K94" s="417" t="s">
        <v>6</v>
      </c>
      <c r="L94" s="421"/>
      <c r="M94" s="339"/>
    </row>
    <row r="95" spans="1:13" x14ac:dyDescent="0.2">
      <c r="A95" s="176" t="s">
        <v>276</v>
      </c>
      <c r="B95" s="177" t="s">
        <v>1530</v>
      </c>
      <c r="C95" s="420" t="s">
        <v>322</v>
      </c>
      <c r="D95" s="416" t="s">
        <v>362</v>
      </c>
      <c r="E95" s="417" t="s">
        <v>74</v>
      </c>
      <c r="F95" s="416" t="s">
        <v>396</v>
      </c>
      <c r="G95" s="417" t="s">
        <v>77</v>
      </c>
      <c r="H95" s="415" t="s">
        <v>295</v>
      </c>
      <c r="I95" s="415"/>
      <c r="J95" s="415" t="s">
        <v>295</v>
      </c>
      <c r="K95" s="417" t="s">
        <v>6</v>
      </c>
      <c r="L95" s="421"/>
      <c r="M95" s="339"/>
    </row>
    <row r="96" spans="1:13" x14ac:dyDescent="0.2">
      <c r="A96" s="176" t="s">
        <v>276</v>
      </c>
      <c r="B96" s="177" t="s">
        <v>1530</v>
      </c>
      <c r="C96" s="420" t="s">
        <v>322</v>
      </c>
      <c r="D96" s="416" t="s">
        <v>378</v>
      </c>
      <c r="E96" s="417" t="s">
        <v>74</v>
      </c>
      <c r="F96" s="416" t="s">
        <v>397</v>
      </c>
      <c r="G96" s="417" t="s">
        <v>77</v>
      </c>
      <c r="H96" s="415" t="s">
        <v>295</v>
      </c>
      <c r="I96" s="415"/>
      <c r="J96" s="415" t="s">
        <v>295</v>
      </c>
      <c r="K96" s="417" t="s">
        <v>6</v>
      </c>
      <c r="L96" s="421"/>
      <c r="M96" s="339"/>
    </row>
    <row r="97" spans="1:13" x14ac:dyDescent="0.2">
      <c r="A97" s="176" t="s">
        <v>276</v>
      </c>
      <c r="B97" s="177" t="s">
        <v>1530</v>
      </c>
      <c r="C97" s="420" t="s">
        <v>398</v>
      </c>
      <c r="D97" s="416" t="s">
        <v>378</v>
      </c>
      <c r="E97" s="417" t="s">
        <v>7</v>
      </c>
      <c r="F97" s="416" t="s">
        <v>399</v>
      </c>
      <c r="G97" s="417" t="s">
        <v>77</v>
      </c>
      <c r="H97" s="415" t="s">
        <v>295</v>
      </c>
      <c r="I97" s="415"/>
      <c r="J97" s="415" t="s">
        <v>295</v>
      </c>
      <c r="K97" s="417" t="s">
        <v>6</v>
      </c>
      <c r="L97" s="421"/>
      <c r="M97" s="339"/>
    </row>
    <row r="98" spans="1:13" x14ac:dyDescent="0.2">
      <c r="A98" s="176" t="s">
        <v>276</v>
      </c>
      <c r="B98" s="177" t="s">
        <v>1530</v>
      </c>
      <c r="C98" s="420" t="s">
        <v>400</v>
      </c>
      <c r="D98" s="416" t="s">
        <v>378</v>
      </c>
      <c r="E98" s="417" t="s">
        <v>74</v>
      </c>
      <c r="F98" s="416" t="s">
        <v>401</v>
      </c>
      <c r="G98" s="417" t="s">
        <v>77</v>
      </c>
      <c r="H98" s="415" t="s">
        <v>295</v>
      </c>
      <c r="I98" s="415" t="s">
        <v>295</v>
      </c>
      <c r="J98" s="415"/>
      <c r="K98" s="417" t="s">
        <v>6</v>
      </c>
      <c r="L98" s="421"/>
      <c r="M98" s="339"/>
    </row>
    <row r="99" spans="1:13" x14ac:dyDescent="0.2">
      <c r="A99" s="176" t="s">
        <v>276</v>
      </c>
      <c r="B99" s="177" t="s">
        <v>1530</v>
      </c>
      <c r="C99" s="420" t="s">
        <v>400</v>
      </c>
      <c r="D99" s="416" t="s">
        <v>378</v>
      </c>
      <c r="E99" s="417" t="s">
        <v>74</v>
      </c>
      <c r="F99" s="416" t="s">
        <v>402</v>
      </c>
      <c r="G99" s="417" t="s">
        <v>77</v>
      </c>
      <c r="H99" s="415" t="s">
        <v>295</v>
      </c>
      <c r="I99" s="415" t="s">
        <v>295</v>
      </c>
      <c r="J99" s="415"/>
      <c r="K99" s="417" t="s">
        <v>6</v>
      </c>
      <c r="L99" s="421"/>
      <c r="M99" s="339"/>
    </row>
    <row r="100" spans="1:13" x14ac:dyDescent="0.2">
      <c r="A100" s="176" t="s">
        <v>276</v>
      </c>
      <c r="B100" s="177" t="s">
        <v>1530</v>
      </c>
      <c r="C100" s="420" t="s">
        <v>403</v>
      </c>
      <c r="D100" s="416" t="s">
        <v>362</v>
      </c>
      <c r="E100" s="417" t="s">
        <v>363</v>
      </c>
      <c r="F100" s="416" t="s">
        <v>404</v>
      </c>
      <c r="G100" s="417" t="s">
        <v>77</v>
      </c>
      <c r="H100" s="415" t="s">
        <v>295</v>
      </c>
      <c r="I100" s="415" t="s">
        <v>295</v>
      </c>
      <c r="J100" s="415"/>
      <c r="K100" s="417" t="s">
        <v>6</v>
      </c>
      <c r="L100" s="421"/>
      <c r="M100" s="339"/>
    </row>
    <row r="101" spans="1:13" x14ac:dyDescent="0.2">
      <c r="A101" s="176" t="s">
        <v>276</v>
      </c>
      <c r="B101" s="177" t="s">
        <v>1530</v>
      </c>
      <c r="C101" s="420" t="s">
        <v>323</v>
      </c>
      <c r="D101" s="416" t="s">
        <v>362</v>
      </c>
      <c r="E101" s="417" t="s">
        <v>74</v>
      </c>
      <c r="F101" s="416" t="s">
        <v>405</v>
      </c>
      <c r="G101" s="417" t="s">
        <v>77</v>
      </c>
      <c r="H101" s="415">
        <v>8</v>
      </c>
      <c r="I101" s="415"/>
      <c r="J101" s="415" t="s">
        <v>295</v>
      </c>
      <c r="K101" s="417" t="s">
        <v>6</v>
      </c>
      <c r="L101" s="421" t="s">
        <v>1501</v>
      </c>
      <c r="M101" s="339"/>
    </row>
    <row r="102" spans="1:13" x14ac:dyDescent="0.2">
      <c r="A102" s="176" t="s">
        <v>276</v>
      </c>
      <c r="B102" s="177" t="s">
        <v>1530</v>
      </c>
      <c r="C102" s="420" t="s">
        <v>75</v>
      </c>
      <c r="D102" s="416" t="s">
        <v>362</v>
      </c>
      <c r="E102" s="417" t="s">
        <v>74</v>
      </c>
      <c r="F102" s="416" t="s">
        <v>406</v>
      </c>
      <c r="G102" s="417" t="s">
        <v>77</v>
      </c>
      <c r="H102" s="415" t="s">
        <v>295</v>
      </c>
      <c r="I102" s="415" t="s">
        <v>295</v>
      </c>
      <c r="J102" s="415"/>
      <c r="K102" s="417" t="s">
        <v>6</v>
      </c>
      <c r="L102" s="421"/>
      <c r="M102" s="339"/>
    </row>
    <row r="103" spans="1:13" x14ac:dyDescent="0.2">
      <c r="A103" s="176" t="s">
        <v>276</v>
      </c>
      <c r="B103" s="177" t="s">
        <v>1530</v>
      </c>
      <c r="C103" s="420" t="s">
        <v>75</v>
      </c>
      <c r="D103" s="416" t="s">
        <v>362</v>
      </c>
      <c r="E103" s="417" t="s">
        <v>74</v>
      </c>
      <c r="F103" s="416" t="s">
        <v>407</v>
      </c>
      <c r="G103" s="417" t="s">
        <v>77</v>
      </c>
      <c r="H103" s="415" t="s">
        <v>295</v>
      </c>
      <c r="I103" s="415" t="s">
        <v>295</v>
      </c>
      <c r="J103" s="415"/>
      <c r="K103" s="417" t="s">
        <v>6</v>
      </c>
      <c r="L103" s="421"/>
      <c r="M103" s="339"/>
    </row>
    <row r="104" spans="1:13" x14ac:dyDescent="0.2">
      <c r="A104" s="176" t="s">
        <v>276</v>
      </c>
      <c r="B104" s="177" t="s">
        <v>1530</v>
      </c>
      <c r="C104" s="420" t="s">
        <v>75</v>
      </c>
      <c r="D104" s="416" t="s">
        <v>362</v>
      </c>
      <c r="E104" s="417" t="s">
        <v>74</v>
      </c>
      <c r="F104" s="416" t="s">
        <v>365</v>
      </c>
      <c r="G104" s="417" t="s">
        <v>6</v>
      </c>
      <c r="H104" s="415" t="s">
        <v>299</v>
      </c>
      <c r="I104" s="415">
        <v>22</v>
      </c>
      <c r="J104" s="415"/>
      <c r="K104" s="417" t="s">
        <v>6</v>
      </c>
      <c r="L104" s="421" t="s">
        <v>408</v>
      </c>
      <c r="M104" s="339" t="s">
        <v>1754</v>
      </c>
    </row>
    <row r="105" spans="1:13" x14ac:dyDescent="0.2">
      <c r="A105" s="176" t="s">
        <v>276</v>
      </c>
      <c r="B105" s="177" t="s">
        <v>1530</v>
      </c>
      <c r="C105" s="420" t="s">
        <v>75</v>
      </c>
      <c r="D105" s="416" t="s">
        <v>362</v>
      </c>
      <c r="E105" s="417" t="s">
        <v>74</v>
      </c>
      <c r="F105" s="416" t="s">
        <v>409</v>
      </c>
      <c r="G105" s="417" t="s">
        <v>77</v>
      </c>
      <c r="H105" s="415" t="s">
        <v>299</v>
      </c>
      <c r="I105" s="415">
        <v>22</v>
      </c>
      <c r="J105" s="415"/>
      <c r="K105" s="417" t="s">
        <v>6</v>
      </c>
      <c r="L105" s="421"/>
      <c r="M105" s="339"/>
    </row>
    <row r="106" spans="1:13" x14ac:dyDescent="0.2">
      <c r="A106" s="176" t="s">
        <v>276</v>
      </c>
      <c r="B106" s="177" t="s">
        <v>1530</v>
      </c>
      <c r="C106" s="420" t="s">
        <v>75</v>
      </c>
      <c r="D106" s="416" t="s">
        <v>362</v>
      </c>
      <c r="E106" s="417" t="s">
        <v>74</v>
      </c>
      <c r="F106" s="416" t="s">
        <v>384</v>
      </c>
      <c r="G106" s="417" t="s">
        <v>6</v>
      </c>
      <c r="H106" s="415" t="s">
        <v>299</v>
      </c>
      <c r="I106" s="415">
        <v>66</v>
      </c>
      <c r="J106" s="415"/>
      <c r="K106" s="417" t="s">
        <v>6</v>
      </c>
      <c r="L106" s="421" t="s">
        <v>410</v>
      </c>
      <c r="M106" s="339" t="s">
        <v>1797</v>
      </c>
    </row>
    <row r="107" spans="1:13" x14ac:dyDescent="0.2">
      <c r="A107" s="176" t="s">
        <v>276</v>
      </c>
      <c r="B107" s="177" t="s">
        <v>1530</v>
      </c>
      <c r="C107" s="420" t="s">
        <v>75</v>
      </c>
      <c r="D107" s="416" t="s">
        <v>362</v>
      </c>
      <c r="E107" s="417" t="s">
        <v>74</v>
      </c>
      <c r="F107" s="416" t="s">
        <v>411</v>
      </c>
      <c r="G107" s="417" t="s">
        <v>6</v>
      </c>
      <c r="H107" s="415">
        <v>710</v>
      </c>
      <c r="I107" s="415">
        <v>18</v>
      </c>
      <c r="J107" s="415"/>
      <c r="K107" s="417" t="s">
        <v>77</v>
      </c>
      <c r="L107" s="421" t="s">
        <v>1502</v>
      </c>
      <c r="M107" s="339" t="s">
        <v>1795</v>
      </c>
    </row>
    <row r="108" spans="1:13" x14ac:dyDescent="0.2">
      <c r="A108" s="176" t="s">
        <v>276</v>
      </c>
      <c r="B108" s="177" t="s">
        <v>1530</v>
      </c>
      <c r="C108" s="420" t="s">
        <v>324</v>
      </c>
      <c r="D108" s="416" t="s">
        <v>362</v>
      </c>
      <c r="E108" s="417" t="s">
        <v>7</v>
      </c>
      <c r="F108" s="416" t="s">
        <v>412</v>
      </c>
      <c r="G108" s="417" t="s">
        <v>6</v>
      </c>
      <c r="H108" s="415">
        <v>614</v>
      </c>
      <c r="I108" s="415"/>
      <c r="J108" s="415">
        <v>36</v>
      </c>
      <c r="K108" s="417" t="s">
        <v>6</v>
      </c>
      <c r="L108" s="421" t="s">
        <v>1503</v>
      </c>
      <c r="M108" s="339"/>
    </row>
    <row r="109" spans="1:13" x14ac:dyDescent="0.2">
      <c r="A109" s="176" t="s">
        <v>276</v>
      </c>
      <c r="B109" s="177" t="s">
        <v>1530</v>
      </c>
      <c r="C109" s="420" t="s">
        <v>325</v>
      </c>
      <c r="D109" s="416" t="s">
        <v>362</v>
      </c>
      <c r="E109" s="417" t="s">
        <v>7</v>
      </c>
      <c r="F109" s="416" t="s">
        <v>371</v>
      </c>
      <c r="G109" s="417" t="s">
        <v>77</v>
      </c>
      <c r="H109" s="415" t="s">
        <v>299</v>
      </c>
      <c r="I109" s="415" t="s">
        <v>295</v>
      </c>
      <c r="J109" s="415"/>
      <c r="K109" s="417" t="s">
        <v>6</v>
      </c>
      <c r="L109" s="421"/>
      <c r="M109" s="339"/>
    </row>
    <row r="110" spans="1:13" x14ac:dyDescent="0.2">
      <c r="A110" s="176" t="s">
        <v>276</v>
      </c>
      <c r="B110" s="177" t="s">
        <v>1530</v>
      </c>
      <c r="C110" s="420" t="s">
        <v>413</v>
      </c>
      <c r="D110" s="416" t="s">
        <v>362</v>
      </c>
      <c r="E110" s="417" t="s">
        <v>7</v>
      </c>
      <c r="F110" s="416" t="s">
        <v>371</v>
      </c>
      <c r="G110" s="417" t="s">
        <v>6</v>
      </c>
      <c r="H110" s="415">
        <v>397</v>
      </c>
      <c r="I110" s="415"/>
      <c r="J110" s="415">
        <v>8</v>
      </c>
      <c r="K110" s="417" t="s">
        <v>6</v>
      </c>
      <c r="L110" s="421" t="s">
        <v>1504</v>
      </c>
      <c r="M110" s="339"/>
    </row>
    <row r="111" spans="1:13" x14ac:dyDescent="0.2">
      <c r="A111" s="176" t="s">
        <v>276</v>
      </c>
      <c r="B111" s="177" t="s">
        <v>1530</v>
      </c>
      <c r="C111" s="420" t="s">
        <v>414</v>
      </c>
      <c r="D111" s="416" t="s">
        <v>362</v>
      </c>
      <c r="E111" s="417" t="s">
        <v>74</v>
      </c>
      <c r="F111" s="416" t="s">
        <v>371</v>
      </c>
      <c r="G111" s="417" t="s">
        <v>77</v>
      </c>
      <c r="H111" s="415" t="s">
        <v>295</v>
      </c>
      <c r="I111" s="415">
        <v>28</v>
      </c>
      <c r="J111" s="415"/>
      <c r="K111" s="417" t="s">
        <v>6</v>
      </c>
      <c r="L111" s="421" t="s">
        <v>415</v>
      </c>
      <c r="M111" s="339"/>
    </row>
    <row r="112" spans="1:13" x14ac:dyDescent="0.2">
      <c r="A112" s="176" t="s">
        <v>276</v>
      </c>
      <c r="B112" s="177" t="s">
        <v>1530</v>
      </c>
      <c r="C112" s="420" t="s">
        <v>416</v>
      </c>
      <c r="D112" s="416" t="s">
        <v>378</v>
      </c>
      <c r="E112" s="417" t="s">
        <v>363</v>
      </c>
      <c r="F112" s="416" t="s">
        <v>417</v>
      </c>
      <c r="G112" s="417" t="s">
        <v>77</v>
      </c>
      <c r="H112" s="415" t="s">
        <v>295</v>
      </c>
      <c r="I112" s="415" t="s">
        <v>295</v>
      </c>
      <c r="J112" s="415"/>
      <c r="K112" s="417" t="s">
        <v>6</v>
      </c>
      <c r="L112" s="421"/>
      <c r="M112" s="339"/>
    </row>
    <row r="113" spans="1:13" x14ac:dyDescent="0.2">
      <c r="A113" s="176" t="s">
        <v>276</v>
      </c>
      <c r="B113" s="177" t="s">
        <v>1530</v>
      </c>
      <c r="C113" s="420" t="s">
        <v>326</v>
      </c>
      <c r="D113" s="416" t="s">
        <v>378</v>
      </c>
      <c r="E113" s="417"/>
      <c r="F113" s="416" t="s">
        <v>418</v>
      </c>
      <c r="G113" s="417" t="s">
        <v>77</v>
      </c>
      <c r="H113" s="415" t="s">
        <v>295</v>
      </c>
      <c r="I113" s="415" t="s">
        <v>295</v>
      </c>
      <c r="J113" s="415"/>
      <c r="K113" s="417" t="s">
        <v>6</v>
      </c>
      <c r="L113" s="421"/>
      <c r="M113" s="339"/>
    </row>
    <row r="114" spans="1:13" x14ac:dyDescent="0.2">
      <c r="A114" s="176" t="s">
        <v>276</v>
      </c>
      <c r="B114" s="177" t="s">
        <v>1530</v>
      </c>
      <c r="C114" s="420" t="s">
        <v>327</v>
      </c>
      <c r="D114" s="416" t="s">
        <v>362</v>
      </c>
      <c r="E114" s="417" t="s">
        <v>74</v>
      </c>
      <c r="F114" s="416" t="s">
        <v>419</v>
      </c>
      <c r="G114" s="417" t="s">
        <v>6</v>
      </c>
      <c r="H114" s="415">
        <v>705</v>
      </c>
      <c r="I114" s="415">
        <v>13</v>
      </c>
      <c r="J114" s="415"/>
      <c r="K114" s="417" t="s">
        <v>77</v>
      </c>
      <c r="L114" s="421" t="s">
        <v>1505</v>
      </c>
      <c r="M114" s="339" t="s">
        <v>2003</v>
      </c>
    </row>
    <row r="115" spans="1:13" ht="25.5" x14ac:dyDescent="0.2">
      <c r="A115" s="176" t="s">
        <v>276</v>
      </c>
      <c r="B115" s="177" t="s">
        <v>1530</v>
      </c>
      <c r="C115" s="420" t="s">
        <v>327</v>
      </c>
      <c r="D115" s="416" t="s">
        <v>362</v>
      </c>
      <c r="E115" s="417" t="s">
        <v>74</v>
      </c>
      <c r="F115" s="416" t="s">
        <v>420</v>
      </c>
      <c r="G115" s="417" t="s">
        <v>6</v>
      </c>
      <c r="H115" s="415">
        <v>2447</v>
      </c>
      <c r="I115" s="415">
        <v>17</v>
      </c>
      <c r="J115" s="415"/>
      <c r="K115" s="417" t="s">
        <v>77</v>
      </c>
      <c r="L115" s="421" t="s">
        <v>1506</v>
      </c>
      <c r="M115" s="339" t="s">
        <v>1793</v>
      </c>
    </row>
    <row r="116" spans="1:13" x14ac:dyDescent="0.2">
      <c r="A116" s="176" t="s">
        <v>276</v>
      </c>
      <c r="B116" s="177" t="s">
        <v>1530</v>
      </c>
      <c r="C116" s="420" t="s">
        <v>327</v>
      </c>
      <c r="D116" s="416" t="s">
        <v>362</v>
      </c>
      <c r="E116" s="417" t="s">
        <v>74</v>
      </c>
      <c r="F116" s="416" t="s">
        <v>418</v>
      </c>
      <c r="G116" s="417" t="s">
        <v>77</v>
      </c>
      <c r="H116" s="415" t="s">
        <v>295</v>
      </c>
      <c r="I116" s="415" t="s">
        <v>295</v>
      </c>
      <c r="J116" s="415"/>
      <c r="K116" s="417" t="s">
        <v>6</v>
      </c>
      <c r="L116" s="421"/>
      <c r="M116" s="339"/>
    </row>
    <row r="117" spans="1:13" x14ac:dyDescent="0.2">
      <c r="A117" s="176" t="s">
        <v>276</v>
      </c>
      <c r="B117" s="177" t="s">
        <v>1530</v>
      </c>
      <c r="C117" s="420" t="s">
        <v>328</v>
      </c>
      <c r="D117" s="416" t="s">
        <v>362</v>
      </c>
      <c r="E117" s="417" t="s">
        <v>74</v>
      </c>
      <c r="F117" s="416" t="s">
        <v>421</v>
      </c>
      <c r="G117" s="417" t="s">
        <v>77</v>
      </c>
      <c r="H117" s="415" t="s">
        <v>295</v>
      </c>
      <c r="I117" s="415"/>
      <c r="J117" s="415" t="s">
        <v>295</v>
      </c>
      <c r="K117" s="417" t="s">
        <v>6</v>
      </c>
      <c r="L117" s="421"/>
      <c r="M117" s="339"/>
    </row>
    <row r="118" spans="1:13" x14ac:dyDescent="0.2">
      <c r="A118" s="176" t="s">
        <v>276</v>
      </c>
      <c r="B118" s="177" t="s">
        <v>1530</v>
      </c>
      <c r="C118" s="420" t="s">
        <v>328</v>
      </c>
      <c r="D118" s="416" t="s">
        <v>362</v>
      </c>
      <c r="E118" s="417" t="s">
        <v>74</v>
      </c>
      <c r="F118" s="416" t="s">
        <v>422</v>
      </c>
      <c r="G118" s="417" t="s">
        <v>77</v>
      </c>
      <c r="H118" s="415" t="s">
        <v>295</v>
      </c>
      <c r="I118" s="415"/>
      <c r="J118" s="415">
        <v>1</v>
      </c>
      <c r="K118" s="417" t="s">
        <v>6</v>
      </c>
      <c r="L118" s="421" t="s">
        <v>423</v>
      </c>
      <c r="M118" s="339"/>
    </row>
    <row r="119" spans="1:13" ht="25.5" x14ac:dyDescent="0.2">
      <c r="A119" s="176" t="s">
        <v>276</v>
      </c>
      <c r="B119" s="177" t="s">
        <v>1530</v>
      </c>
      <c r="C119" s="420" t="s">
        <v>424</v>
      </c>
      <c r="D119" s="416" t="s">
        <v>362</v>
      </c>
      <c r="E119" s="417" t="s">
        <v>74</v>
      </c>
      <c r="F119" s="416" t="s">
        <v>425</v>
      </c>
      <c r="G119" s="417" t="s">
        <v>6</v>
      </c>
      <c r="H119" s="415">
        <v>792</v>
      </c>
      <c r="I119" s="415"/>
      <c r="J119" s="415">
        <v>9</v>
      </c>
      <c r="K119" s="417" t="s">
        <v>77</v>
      </c>
      <c r="L119" s="421" t="s">
        <v>1507</v>
      </c>
      <c r="M119" s="339" t="s">
        <v>1769</v>
      </c>
    </row>
    <row r="120" spans="1:13" x14ac:dyDescent="0.2">
      <c r="A120" s="176" t="s">
        <v>276</v>
      </c>
      <c r="B120" s="177" t="s">
        <v>1530</v>
      </c>
      <c r="C120" s="420" t="s">
        <v>424</v>
      </c>
      <c r="D120" s="416" t="s">
        <v>378</v>
      </c>
      <c r="E120" s="417" t="s">
        <v>74</v>
      </c>
      <c r="F120" s="416" t="s">
        <v>418</v>
      </c>
      <c r="G120" s="417" t="s">
        <v>77</v>
      </c>
      <c r="H120" s="415" t="s">
        <v>295</v>
      </c>
      <c r="I120" s="415"/>
      <c r="J120" s="415" t="s">
        <v>295</v>
      </c>
      <c r="K120" s="417" t="s">
        <v>6</v>
      </c>
      <c r="L120" s="421"/>
      <c r="M120" s="339"/>
    </row>
    <row r="121" spans="1:13" x14ac:dyDescent="0.2">
      <c r="A121" s="176" t="s">
        <v>276</v>
      </c>
      <c r="B121" s="177" t="s">
        <v>1530</v>
      </c>
      <c r="C121" s="420" t="s">
        <v>329</v>
      </c>
      <c r="D121" s="416" t="s">
        <v>362</v>
      </c>
      <c r="E121" s="417" t="s">
        <v>74</v>
      </c>
      <c r="F121" s="416" t="s">
        <v>426</v>
      </c>
      <c r="G121" s="417" t="s">
        <v>6</v>
      </c>
      <c r="H121" s="415">
        <v>804</v>
      </c>
      <c r="I121" s="415">
        <v>10</v>
      </c>
      <c r="J121" s="415"/>
      <c r="K121" s="417" t="s">
        <v>77</v>
      </c>
      <c r="L121" s="421" t="s">
        <v>1508</v>
      </c>
      <c r="M121" s="339" t="s">
        <v>1791</v>
      </c>
    </row>
    <row r="122" spans="1:13" ht="25.5" x14ac:dyDescent="0.2">
      <c r="A122" s="176" t="s">
        <v>276</v>
      </c>
      <c r="B122" s="177" t="s">
        <v>1530</v>
      </c>
      <c r="C122" s="420" t="s">
        <v>329</v>
      </c>
      <c r="D122" s="416" t="s">
        <v>362</v>
      </c>
      <c r="E122" s="417" t="s">
        <v>74</v>
      </c>
      <c r="F122" s="416" t="s">
        <v>427</v>
      </c>
      <c r="G122" s="417" t="s">
        <v>6</v>
      </c>
      <c r="H122" s="415">
        <v>3373</v>
      </c>
      <c r="I122" s="415">
        <v>8</v>
      </c>
      <c r="J122" s="415"/>
      <c r="K122" s="417" t="s">
        <v>6</v>
      </c>
      <c r="L122" s="421" t="s">
        <v>1509</v>
      </c>
      <c r="M122" s="339" t="s">
        <v>1792</v>
      </c>
    </row>
    <row r="123" spans="1:13" x14ac:dyDescent="0.2">
      <c r="A123" s="176" t="s">
        <v>276</v>
      </c>
      <c r="B123" s="177" t="s">
        <v>1530</v>
      </c>
      <c r="C123" s="420" t="s">
        <v>329</v>
      </c>
      <c r="D123" s="416" t="s">
        <v>362</v>
      </c>
      <c r="E123" s="417" t="s">
        <v>74</v>
      </c>
      <c r="F123" s="416" t="s">
        <v>418</v>
      </c>
      <c r="G123" s="417" t="s">
        <v>77</v>
      </c>
      <c r="H123" s="415" t="s">
        <v>295</v>
      </c>
      <c r="I123" s="415" t="s">
        <v>295</v>
      </c>
      <c r="J123" s="415"/>
      <c r="K123" s="417" t="s">
        <v>6</v>
      </c>
      <c r="L123" s="421"/>
      <c r="M123" s="339"/>
    </row>
    <row r="124" spans="1:13" x14ac:dyDescent="0.2">
      <c r="A124" s="176" t="s">
        <v>276</v>
      </c>
      <c r="B124" s="177" t="s">
        <v>1530</v>
      </c>
      <c r="C124" s="420" t="s">
        <v>429</v>
      </c>
      <c r="D124" s="416" t="s">
        <v>362</v>
      </c>
      <c r="E124" s="417" t="s">
        <v>74</v>
      </c>
      <c r="F124" s="416" t="s">
        <v>426</v>
      </c>
      <c r="G124" s="417" t="s">
        <v>6</v>
      </c>
      <c r="H124" s="415">
        <v>550</v>
      </c>
      <c r="I124" s="415">
        <v>10</v>
      </c>
      <c r="J124" s="415"/>
      <c r="K124" s="417" t="s">
        <v>77</v>
      </c>
      <c r="L124" s="421"/>
      <c r="M124" s="339" t="s">
        <v>1791</v>
      </c>
    </row>
    <row r="125" spans="1:13" ht="25.5" x14ac:dyDescent="0.2">
      <c r="A125" s="176" t="s">
        <v>276</v>
      </c>
      <c r="B125" s="177" t="s">
        <v>1530</v>
      </c>
      <c r="C125" s="420" t="s">
        <v>429</v>
      </c>
      <c r="D125" s="416" t="s">
        <v>362</v>
      </c>
      <c r="E125" s="417" t="s">
        <v>74</v>
      </c>
      <c r="F125" s="416" t="s">
        <v>427</v>
      </c>
      <c r="G125" s="417" t="s">
        <v>6</v>
      </c>
      <c r="H125" s="415">
        <v>3110</v>
      </c>
      <c r="I125" s="415">
        <v>8</v>
      </c>
      <c r="J125" s="415"/>
      <c r="K125" s="417" t="s">
        <v>6</v>
      </c>
      <c r="L125" s="421" t="s">
        <v>428</v>
      </c>
      <c r="M125" s="339" t="s">
        <v>1792</v>
      </c>
    </row>
    <row r="126" spans="1:13" x14ac:dyDescent="0.2">
      <c r="A126" s="176" t="s">
        <v>276</v>
      </c>
      <c r="B126" s="177" t="s">
        <v>1530</v>
      </c>
      <c r="C126" s="420" t="s">
        <v>429</v>
      </c>
      <c r="D126" s="416" t="s">
        <v>378</v>
      </c>
      <c r="E126" s="417" t="s">
        <v>74</v>
      </c>
      <c r="F126" s="416" t="s">
        <v>418</v>
      </c>
      <c r="G126" s="417" t="s">
        <v>77</v>
      </c>
      <c r="H126" s="415" t="s">
        <v>295</v>
      </c>
      <c r="I126" s="415" t="s">
        <v>295</v>
      </c>
      <c r="J126" s="415"/>
      <c r="K126" s="417" t="s">
        <v>6</v>
      </c>
      <c r="L126" s="421"/>
      <c r="M126" s="339"/>
    </row>
    <row r="127" spans="1:13" x14ac:dyDescent="0.2">
      <c r="A127" s="176" t="s">
        <v>276</v>
      </c>
      <c r="B127" s="177" t="s">
        <v>1530</v>
      </c>
      <c r="C127" s="420" t="s">
        <v>300</v>
      </c>
      <c r="D127" s="416" t="s">
        <v>362</v>
      </c>
      <c r="E127" s="417" t="s">
        <v>74</v>
      </c>
      <c r="F127" s="416" t="s">
        <v>430</v>
      </c>
      <c r="G127" s="417" t="s">
        <v>77</v>
      </c>
      <c r="H127" s="415" t="s">
        <v>295</v>
      </c>
      <c r="I127" s="415" t="s">
        <v>295</v>
      </c>
      <c r="J127" s="415"/>
      <c r="K127" s="417" t="s">
        <v>6</v>
      </c>
      <c r="L127" s="421"/>
      <c r="M127" s="339"/>
    </row>
    <row r="128" spans="1:13" x14ac:dyDescent="0.2">
      <c r="A128" s="176" t="s">
        <v>276</v>
      </c>
      <c r="B128" s="177" t="s">
        <v>1530</v>
      </c>
      <c r="C128" s="420" t="s">
        <v>301</v>
      </c>
      <c r="D128" s="416" t="s">
        <v>362</v>
      </c>
      <c r="E128" s="417" t="s">
        <v>74</v>
      </c>
      <c r="F128" s="416" t="s">
        <v>406</v>
      </c>
      <c r="G128" s="417" t="s">
        <v>77</v>
      </c>
      <c r="H128" s="415" t="s">
        <v>295</v>
      </c>
      <c r="I128" s="415"/>
      <c r="J128" s="415" t="s">
        <v>295</v>
      </c>
      <c r="K128" s="417" t="s">
        <v>6</v>
      </c>
      <c r="L128" s="421"/>
      <c r="M128" s="339"/>
    </row>
    <row r="129" spans="1:13" x14ac:dyDescent="0.2">
      <c r="A129" s="176" t="s">
        <v>276</v>
      </c>
      <c r="B129" s="177" t="s">
        <v>1530</v>
      </c>
      <c r="C129" s="420" t="s">
        <v>301</v>
      </c>
      <c r="D129" s="416" t="s">
        <v>362</v>
      </c>
      <c r="E129" s="417" t="s">
        <v>74</v>
      </c>
      <c r="F129" s="416" t="s">
        <v>407</v>
      </c>
      <c r="G129" s="417" t="s">
        <v>77</v>
      </c>
      <c r="H129" s="415" t="s">
        <v>295</v>
      </c>
      <c r="I129" s="415" t="s">
        <v>295</v>
      </c>
      <c r="J129" s="415"/>
      <c r="K129" s="417" t="s">
        <v>6</v>
      </c>
      <c r="L129" s="421"/>
      <c r="M129" s="339"/>
    </row>
    <row r="130" spans="1:13" ht="25.5" x14ac:dyDescent="0.2">
      <c r="A130" s="176" t="s">
        <v>276</v>
      </c>
      <c r="B130" s="177" t="s">
        <v>1530</v>
      </c>
      <c r="C130" s="420" t="s">
        <v>301</v>
      </c>
      <c r="D130" s="416" t="s">
        <v>362</v>
      </c>
      <c r="E130" s="417" t="s">
        <v>74</v>
      </c>
      <c r="F130" s="416" t="s">
        <v>365</v>
      </c>
      <c r="G130" s="417" t="s">
        <v>6</v>
      </c>
      <c r="H130" s="415">
        <v>811</v>
      </c>
      <c r="I130" s="415">
        <v>16</v>
      </c>
      <c r="J130" s="415"/>
      <c r="K130" s="417" t="s">
        <v>77</v>
      </c>
      <c r="L130" s="421" t="s">
        <v>1510</v>
      </c>
      <c r="M130" s="339" t="s">
        <v>1789</v>
      </c>
    </row>
    <row r="131" spans="1:13" x14ac:dyDescent="0.2">
      <c r="A131" s="176" t="s">
        <v>276</v>
      </c>
      <c r="B131" s="177" t="s">
        <v>1530</v>
      </c>
      <c r="C131" s="420" t="s">
        <v>301</v>
      </c>
      <c r="D131" s="416" t="s">
        <v>362</v>
      </c>
      <c r="E131" s="417" t="s">
        <v>74</v>
      </c>
      <c r="F131" s="416" t="s">
        <v>409</v>
      </c>
      <c r="G131" s="417" t="s">
        <v>6</v>
      </c>
      <c r="H131" s="415">
        <v>432</v>
      </c>
      <c r="I131" s="415">
        <v>8</v>
      </c>
      <c r="J131" s="415"/>
      <c r="K131" s="417" t="s">
        <v>6</v>
      </c>
      <c r="L131" s="421" t="s">
        <v>1511</v>
      </c>
      <c r="M131" s="339" t="s">
        <v>2004</v>
      </c>
    </row>
    <row r="132" spans="1:13" ht="25.5" x14ac:dyDescent="0.2">
      <c r="A132" s="176" t="s">
        <v>276</v>
      </c>
      <c r="B132" s="177" t="s">
        <v>1530</v>
      </c>
      <c r="C132" s="420" t="s">
        <v>301</v>
      </c>
      <c r="D132" s="416" t="s">
        <v>362</v>
      </c>
      <c r="E132" s="417" t="s">
        <v>74</v>
      </c>
      <c r="F132" s="416" t="s">
        <v>384</v>
      </c>
      <c r="G132" s="417" t="s">
        <v>6</v>
      </c>
      <c r="H132" s="415">
        <v>913</v>
      </c>
      <c r="I132" s="415">
        <v>43</v>
      </c>
      <c r="J132" s="415"/>
      <c r="K132" s="417" t="s">
        <v>77</v>
      </c>
      <c r="L132" s="421" t="s">
        <v>1512</v>
      </c>
      <c r="M132" s="339" t="s">
        <v>1772</v>
      </c>
    </row>
    <row r="133" spans="1:13" x14ac:dyDescent="0.2">
      <c r="A133" s="176" t="s">
        <v>276</v>
      </c>
      <c r="B133" s="177" t="s">
        <v>1530</v>
      </c>
      <c r="C133" s="420" t="s">
        <v>301</v>
      </c>
      <c r="D133" s="416" t="s">
        <v>362</v>
      </c>
      <c r="E133" s="417" t="s">
        <v>74</v>
      </c>
      <c r="F133" s="416" t="s">
        <v>431</v>
      </c>
      <c r="G133" s="417" t="s">
        <v>6</v>
      </c>
      <c r="H133" s="415">
        <v>1641</v>
      </c>
      <c r="I133" s="415">
        <v>22</v>
      </c>
      <c r="J133" s="415"/>
      <c r="K133" s="417" t="s">
        <v>77</v>
      </c>
      <c r="L133" s="421" t="s">
        <v>1513</v>
      </c>
      <c r="M133" s="339" t="s">
        <v>2005</v>
      </c>
    </row>
    <row r="134" spans="1:13" x14ac:dyDescent="0.2">
      <c r="A134" s="176" t="s">
        <v>276</v>
      </c>
      <c r="B134" s="177" t="s">
        <v>1530</v>
      </c>
      <c r="C134" s="420" t="s">
        <v>332</v>
      </c>
      <c r="D134" s="416" t="s">
        <v>362</v>
      </c>
      <c r="E134" s="417" t="s">
        <v>74</v>
      </c>
      <c r="F134" s="416" t="s">
        <v>402</v>
      </c>
      <c r="G134" s="417" t="s">
        <v>77</v>
      </c>
      <c r="H134" s="415" t="s">
        <v>295</v>
      </c>
      <c r="I134" s="415" t="s">
        <v>295</v>
      </c>
      <c r="J134" s="415"/>
      <c r="K134" s="417" t="s">
        <v>6</v>
      </c>
      <c r="L134" s="421"/>
      <c r="M134" s="339"/>
    </row>
    <row r="135" spans="1:13" x14ac:dyDescent="0.2">
      <c r="A135" s="176" t="s">
        <v>276</v>
      </c>
      <c r="B135" s="177" t="s">
        <v>1530</v>
      </c>
      <c r="C135" s="420" t="s">
        <v>332</v>
      </c>
      <c r="D135" s="416" t="s">
        <v>362</v>
      </c>
      <c r="E135" s="417" t="s">
        <v>74</v>
      </c>
      <c r="F135" s="416" t="s">
        <v>432</v>
      </c>
      <c r="G135" s="417" t="s">
        <v>77</v>
      </c>
      <c r="H135" s="415" t="s">
        <v>295</v>
      </c>
      <c r="I135" s="415" t="s">
        <v>295</v>
      </c>
      <c r="J135" s="415"/>
      <c r="K135" s="417" t="s">
        <v>6</v>
      </c>
      <c r="L135" s="421"/>
      <c r="M135" s="339"/>
    </row>
    <row r="136" spans="1:13" x14ac:dyDescent="0.2">
      <c r="A136" s="176" t="s">
        <v>276</v>
      </c>
      <c r="B136" s="177" t="s">
        <v>1530</v>
      </c>
      <c r="C136" s="420" t="s">
        <v>332</v>
      </c>
      <c r="D136" s="416" t="s">
        <v>362</v>
      </c>
      <c r="E136" s="417" t="s">
        <v>74</v>
      </c>
      <c r="F136" s="416" t="s">
        <v>407</v>
      </c>
      <c r="G136" s="417" t="s">
        <v>77</v>
      </c>
      <c r="H136" s="415" t="s">
        <v>295</v>
      </c>
      <c r="I136" s="415"/>
      <c r="J136" s="415" t="s">
        <v>295</v>
      </c>
      <c r="K136" s="417" t="s">
        <v>6</v>
      </c>
      <c r="L136" s="421"/>
      <c r="M136" s="339"/>
    </row>
    <row r="137" spans="1:13" x14ac:dyDescent="0.2">
      <c r="A137" s="176" t="s">
        <v>276</v>
      </c>
      <c r="B137" s="177" t="s">
        <v>1530</v>
      </c>
      <c r="C137" s="420" t="s">
        <v>332</v>
      </c>
      <c r="D137" s="416" t="s">
        <v>362</v>
      </c>
      <c r="E137" s="417" t="s">
        <v>74</v>
      </c>
      <c r="F137" s="416" t="s">
        <v>365</v>
      </c>
      <c r="G137" s="417" t="s">
        <v>6</v>
      </c>
      <c r="H137" s="415" t="s">
        <v>299</v>
      </c>
      <c r="I137" s="415">
        <v>30</v>
      </c>
      <c r="J137" s="415"/>
      <c r="K137" s="417" t="s">
        <v>6</v>
      </c>
      <c r="L137" s="421" t="s">
        <v>433</v>
      </c>
      <c r="M137" s="339" t="s">
        <v>1788</v>
      </c>
    </row>
    <row r="138" spans="1:13" x14ac:dyDescent="0.2">
      <c r="A138" s="176" t="s">
        <v>276</v>
      </c>
      <c r="B138" s="177" t="s">
        <v>1530</v>
      </c>
      <c r="C138" s="420" t="s">
        <v>332</v>
      </c>
      <c r="D138" s="416" t="s">
        <v>362</v>
      </c>
      <c r="E138" s="417" t="s">
        <v>74</v>
      </c>
      <c r="F138" s="416" t="s">
        <v>409</v>
      </c>
      <c r="G138" s="417" t="s">
        <v>77</v>
      </c>
      <c r="H138" s="415" t="s">
        <v>299</v>
      </c>
      <c r="I138" s="415">
        <v>30</v>
      </c>
      <c r="J138" s="415"/>
      <c r="K138" s="417" t="s">
        <v>6</v>
      </c>
      <c r="L138" s="421" t="s">
        <v>423</v>
      </c>
      <c r="M138" s="339"/>
    </row>
    <row r="139" spans="1:13" ht="25.5" x14ac:dyDescent="0.2">
      <c r="A139" s="176" t="s">
        <v>276</v>
      </c>
      <c r="B139" s="177" t="s">
        <v>1530</v>
      </c>
      <c r="C139" s="420" t="s">
        <v>332</v>
      </c>
      <c r="D139" s="416" t="s">
        <v>362</v>
      </c>
      <c r="E139" s="417" t="s">
        <v>74</v>
      </c>
      <c r="F139" s="416" t="s">
        <v>384</v>
      </c>
      <c r="G139" s="417" t="s">
        <v>6</v>
      </c>
      <c r="H139" s="415" t="s">
        <v>299</v>
      </c>
      <c r="I139" s="415">
        <v>58</v>
      </c>
      <c r="J139" s="415"/>
      <c r="K139" s="417" t="s">
        <v>6</v>
      </c>
      <c r="L139" s="421" t="s">
        <v>433</v>
      </c>
      <c r="M139" s="339" t="s">
        <v>1773</v>
      </c>
    </row>
    <row r="140" spans="1:13" x14ac:dyDescent="0.2">
      <c r="A140" s="176" t="s">
        <v>276</v>
      </c>
      <c r="B140" s="177" t="s">
        <v>1530</v>
      </c>
      <c r="C140" s="420" t="s">
        <v>332</v>
      </c>
      <c r="D140" s="416" t="s">
        <v>362</v>
      </c>
      <c r="E140" s="417" t="s">
        <v>74</v>
      </c>
      <c r="F140" s="416" t="s">
        <v>411</v>
      </c>
      <c r="G140" s="417" t="s">
        <v>6</v>
      </c>
      <c r="H140" s="415">
        <v>5619</v>
      </c>
      <c r="I140" s="415">
        <v>28</v>
      </c>
      <c r="J140" s="415"/>
      <c r="K140" s="417" t="s">
        <v>77</v>
      </c>
      <c r="L140" s="421" t="s">
        <v>1514</v>
      </c>
      <c r="M140" s="339" t="s">
        <v>1787</v>
      </c>
    </row>
    <row r="141" spans="1:13" ht="25.5" x14ac:dyDescent="0.2">
      <c r="A141" s="176" t="s">
        <v>276</v>
      </c>
      <c r="B141" s="177" t="s">
        <v>1530</v>
      </c>
      <c r="C141" s="420" t="s">
        <v>333</v>
      </c>
      <c r="D141" s="416" t="s">
        <v>362</v>
      </c>
      <c r="E141" s="417" t="s">
        <v>74</v>
      </c>
      <c r="F141" s="416" t="s">
        <v>434</v>
      </c>
      <c r="G141" s="417" t="s">
        <v>6</v>
      </c>
      <c r="H141" s="415">
        <v>3447</v>
      </c>
      <c r="I141" s="415">
        <v>5</v>
      </c>
      <c r="J141" s="415"/>
      <c r="K141" s="417" t="s">
        <v>6</v>
      </c>
      <c r="L141" s="421" t="s">
        <v>1515</v>
      </c>
      <c r="M141" s="339" t="s">
        <v>2006</v>
      </c>
    </row>
    <row r="142" spans="1:13" x14ac:dyDescent="0.2">
      <c r="A142" s="176" t="s">
        <v>276</v>
      </c>
      <c r="B142" s="177" t="s">
        <v>1530</v>
      </c>
      <c r="C142" s="420" t="s">
        <v>333</v>
      </c>
      <c r="D142" s="416" t="s">
        <v>378</v>
      </c>
      <c r="E142" s="417" t="s">
        <v>74</v>
      </c>
      <c r="F142" s="416" t="s">
        <v>418</v>
      </c>
      <c r="G142" s="417" t="s">
        <v>77</v>
      </c>
      <c r="H142" s="415" t="s">
        <v>295</v>
      </c>
      <c r="I142" s="415">
        <v>1</v>
      </c>
      <c r="J142" s="415"/>
      <c r="K142" s="417" t="s">
        <v>6</v>
      </c>
      <c r="L142" s="421" t="s">
        <v>435</v>
      </c>
      <c r="M142" s="339"/>
    </row>
    <row r="143" spans="1:13" x14ac:dyDescent="0.2">
      <c r="A143" s="176" t="s">
        <v>276</v>
      </c>
      <c r="B143" s="177" t="s">
        <v>1530</v>
      </c>
      <c r="C143" s="420" t="s">
        <v>436</v>
      </c>
      <c r="D143" s="416" t="s">
        <v>362</v>
      </c>
      <c r="E143" s="417" t="s">
        <v>7</v>
      </c>
      <c r="F143" s="416" t="s">
        <v>371</v>
      </c>
      <c r="G143" s="417" t="s">
        <v>77</v>
      </c>
      <c r="H143" s="415" t="s">
        <v>295</v>
      </c>
      <c r="I143" s="415"/>
      <c r="J143" s="415" t="s">
        <v>295</v>
      </c>
      <c r="K143" s="417" t="s">
        <v>6</v>
      </c>
      <c r="L143" s="421"/>
      <c r="M143" s="339"/>
    </row>
    <row r="144" spans="1:13" x14ac:dyDescent="0.2">
      <c r="A144" s="176" t="s">
        <v>276</v>
      </c>
      <c r="B144" s="177" t="s">
        <v>1530</v>
      </c>
      <c r="C144" s="420" t="s">
        <v>302</v>
      </c>
      <c r="D144" s="416" t="s">
        <v>362</v>
      </c>
      <c r="E144" s="417" t="s">
        <v>74</v>
      </c>
      <c r="F144" s="416" t="s">
        <v>437</v>
      </c>
      <c r="G144" s="417" t="s">
        <v>6</v>
      </c>
      <c r="H144" s="415">
        <v>39894</v>
      </c>
      <c r="I144" s="415">
        <v>12</v>
      </c>
      <c r="J144" s="415"/>
      <c r="K144" s="417" t="s">
        <v>77</v>
      </c>
      <c r="L144" s="421" t="s">
        <v>1516</v>
      </c>
      <c r="M144" s="339" t="s">
        <v>2007</v>
      </c>
    </row>
    <row r="145" spans="1:13" x14ac:dyDescent="0.2">
      <c r="A145" s="176" t="s">
        <v>276</v>
      </c>
      <c r="B145" s="177" t="s">
        <v>1530</v>
      </c>
      <c r="C145" s="420" t="s">
        <v>336</v>
      </c>
      <c r="D145" s="416" t="s">
        <v>362</v>
      </c>
      <c r="E145" s="417" t="s">
        <v>74</v>
      </c>
      <c r="F145" s="416" t="s">
        <v>371</v>
      </c>
      <c r="G145" s="417" t="s">
        <v>77</v>
      </c>
      <c r="H145" s="415">
        <v>446</v>
      </c>
      <c r="I145" s="415"/>
      <c r="J145" s="415">
        <v>10</v>
      </c>
      <c r="K145" s="417" t="s">
        <v>6</v>
      </c>
      <c r="L145" s="421" t="s">
        <v>1517</v>
      </c>
      <c r="M145" s="339"/>
    </row>
    <row r="146" spans="1:13" x14ac:dyDescent="0.2">
      <c r="A146" s="176" t="s">
        <v>276</v>
      </c>
      <c r="B146" s="177" t="s">
        <v>1530</v>
      </c>
      <c r="C146" s="420" t="s">
        <v>337</v>
      </c>
      <c r="D146" s="416" t="s">
        <v>362</v>
      </c>
      <c r="E146" s="417" t="s">
        <v>74</v>
      </c>
      <c r="F146" s="416" t="s">
        <v>388</v>
      </c>
      <c r="G146" s="417" t="s">
        <v>77</v>
      </c>
      <c r="H146" s="415" t="s">
        <v>295</v>
      </c>
      <c r="I146" s="415">
        <v>0.3</v>
      </c>
      <c r="J146" s="415"/>
      <c r="K146" s="417" t="s">
        <v>6</v>
      </c>
      <c r="L146" s="421" t="s">
        <v>435</v>
      </c>
      <c r="M146" s="339"/>
    </row>
    <row r="147" spans="1:13" x14ac:dyDescent="0.2">
      <c r="A147" s="176" t="s">
        <v>276</v>
      </c>
      <c r="B147" s="177" t="s">
        <v>1530</v>
      </c>
      <c r="C147" s="420" t="s">
        <v>438</v>
      </c>
      <c r="D147" s="416" t="s">
        <v>362</v>
      </c>
      <c r="E147" s="417" t="s">
        <v>7</v>
      </c>
      <c r="F147" s="416" t="s">
        <v>150</v>
      </c>
      <c r="G147" s="417" t="s">
        <v>77</v>
      </c>
      <c r="H147" s="415" t="s">
        <v>295</v>
      </c>
      <c r="I147" s="415"/>
      <c r="J147" s="415" t="s">
        <v>295</v>
      </c>
      <c r="K147" s="417" t="s">
        <v>6</v>
      </c>
      <c r="L147" s="421"/>
      <c r="M147" s="339"/>
    </row>
    <row r="148" spans="1:13" x14ac:dyDescent="0.2">
      <c r="A148" s="176" t="s">
        <v>276</v>
      </c>
      <c r="B148" s="177" t="s">
        <v>1530</v>
      </c>
      <c r="C148" s="420" t="s">
        <v>338</v>
      </c>
      <c r="D148" s="416" t="s">
        <v>362</v>
      </c>
      <c r="E148" s="417" t="s">
        <v>74</v>
      </c>
      <c r="F148" s="416" t="s">
        <v>371</v>
      </c>
      <c r="G148" s="417" t="s">
        <v>77</v>
      </c>
      <c r="H148" s="415">
        <v>633</v>
      </c>
      <c r="I148" s="415">
        <v>7</v>
      </c>
      <c r="J148" s="415"/>
      <c r="K148" s="417" t="s">
        <v>6</v>
      </c>
      <c r="L148" s="421" t="s">
        <v>1518</v>
      </c>
      <c r="M148" s="339"/>
    </row>
    <row r="149" spans="1:13" x14ac:dyDescent="0.2">
      <c r="A149" s="176" t="s">
        <v>276</v>
      </c>
      <c r="B149" s="177" t="s">
        <v>1530</v>
      </c>
      <c r="C149" s="420" t="s">
        <v>340</v>
      </c>
      <c r="D149" s="416" t="s">
        <v>362</v>
      </c>
      <c r="E149" s="417" t="s">
        <v>7</v>
      </c>
      <c r="F149" s="416" t="s">
        <v>371</v>
      </c>
      <c r="G149" s="417" t="s">
        <v>77</v>
      </c>
      <c r="H149" s="415" t="s">
        <v>299</v>
      </c>
      <c r="I149" s="415"/>
      <c r="J149" s="415" t="s">
        <v>508</v>
      </c>
      <c r="K149" s="417" t="s">
        <v>6</v>
      </c>
      <c r="L149" s="421"/>
      <c r="M149" s="339"/>
    </row>
    <row r="150" spans="1:13" x14ac:dyDescent="0.2">
      <c r="A150" s="176" t="s">
        <v>276</v>
      </c>
      <c r="B150" s="177" t="s">
        <v>1530</v>
      </c>
      <c r="C150" s="420" t="s">
        <v>439</v>
      </c>
      <c r="D150" s="416" t="s">
        <v>362</v>
      </c>
      <c r="E150" s="417" t="s">
        <v>7</v>
      </c>
      <c r="F150" s="416" t="s">
        <v>440</v>
      </c>
      <c r="G150" s="417" t="s">
        <v>77</v>
      </c>
      <c r="H150" s="415" t="s">
        <v>295</v>
      </c>
      <c r="I150" s="415"/>
      <c r="J150" s="415" t="s">
        <v>295</v>
      </c>
      <c r="K150" s="417" t="s">
        <v>6</v>
      </c>
      <c r="L150" s="421"/>
      <c r="M150" s="339"/>
    </row>
    <row r="151" spans="1:13" x14ac:dyDescent="0.2">
      <c r="A151" s="176" t="s">
        <v>276</v>
      </c>
      <c r="B151" s="177" t="s">
        <v>1530</v>
      </c>
      <c r="C151" s="420" t="s">
        <v>441</v>
      </c>
      <c r="D151" s="416" t="s">
        <v>362</v>
      </c>
      <c r="E151" s="417" t="s">
        <v>7</v>
      </c>
      <c r="F151" s="416" t="s">
        <v>440</v>
      </c>
      <c r="G151" s="417" t="s">
        <v>77</v>
      </c>
      <c r="H151" s="415" t="s">
        <v>295</v>
      </c>
      <c r="I151" s="415"/>
      <c r="J151" s="415" t="s">
        <v>295</v>
      </c>
      <c r="K151" s="417" t="s">
        <v>6</v>
      </c>
      <c r="L151" s="421"/>
      <c r="M151" s="339"/>
    </row>
    <row r="152" spans="1:13" x14ac:dyDescent="0.2">
      <c r="A152" s="176" t="s">
        <v>276</v>
      </c>
      <c r="B152" s="177" t="s">
        <v>1530</v>
      </c>
      <c r="C152" s="420" t="s">
        <v>442</v>
      </c>
      <c r="D152" s="416" t="s">
        <v>362</v>
      </c>
      <c r="E152" s="417" t="s">
        <v>7</v>
      </c>
      <c r="F152" s="416" t="s">
        <v>440</v>
      </c>
      <c r="G152" s="417" t="s">
        <v>77</v>
      </c>
      <c r="H152" s="415" t="s">
        <v>295</v>
      </c>
      <c r="I152" s="415"/>
      <c r="J152" s="415" t="s">
        <v>295</v>
      </c>
      <c r="K152" s="417" t="s">
        <v>6</v>
      </c>
      <c r="L152" s="421"/>
      <c r="M152" s="339"/>
    </row>
    <row r="153" spans="1:13" x14ac:dyDescent="0.2">
      <c r="A153" s="176" t="s">
        <v>276</v>
      </c>
      <c r="B153" s="177" t="s">
        <v>1530</v>
      </c>
      <c r="C153" s="420" t="s">
        <v>341</v>
      </c>
      <c r="D153" s="416" t="s">
        <v>362</v>
      </c>
      <c r="E153" s="417" t="s">
        <v>74</v>
      </c>
      <c r="F153" s="416" t="s">
        <v>443</v>
      </c>
      <c r="G153" s="417" t="s">
        <v>77</v>
      </c>
      <c r="H153" s="415" t="s">
        <v>299</v>
      </c>
      <c r="I153" s="415">
        <v>1</v>
      </c>
      <c r="J153" s="415"/>
      <c r="K153" s="417" t="s">
        <v>6</v>
      </c>
      <c r="L153" s="421" t="s">
        <v>444</v>
      </c>
      <c r="M153" s="339"/>
    </row>
    <row r="154" spans="1:13" x14ac:dyDescent="0.2">
      <c r="A154" s="176" t="s">
        <v>276</v>
      </c>
      <c r="B154" s="177" t="s">
        <v>1530</v>
      </c>
      <c r="C154" s="420" t="s">
        <v>341</v>
      </c>
      <c r="D154" s="416" t="s">
        <v>362</v>
      </c>
      <c r="E154" s="417" t="s">
        <v>74</v>
      </c>
      <c r="F154" s="416" t="s">
        <v>445</v>
      </c>
      <c r="G154" s="417" t="s">
        <v>6</v>
      </c>
      <c r="H154" s="415">
        <v>8204</v>
      </c>
      <c r="I154" s="415">
        <v>37</v>
      </c>
      <c r="J154" s="415"/>
      <c r="K154" s="417" t="s">
        <v>77</v>
      </c>
      <c r="L154" s="421" t="s">
        <v>1519</v>
      </c>
      <c r="M154" s="339" t="s">
        <v>2008</v>
      </c>
    </row>
    <row r="155" spans="1:13" x14ac:dyDescent="0.2">
      <c r="A155" s="176" t="s">
        <v>276</v>
      </c>
      <c r="B155" s="177" t="s">
        <v>1530</v>
      </c>
      <c r="C155" s="420" t="s">
        <v>341</v>
      </c>
      <c r="D155" s="416" t="s">
        <v>378</v>
      </c>
      <c r="E155" s="417" t="s">
        <v>74</v>
      </c>
      <c r="F155" s="416" t="s">
        <v>446</v>
      </c>
      <c r="G155" s="417" t="s">
        <v>77</v>
      </c>
      <c r="H155" s="415" t="s">
        <v>299</v>
      </c>
      <c r="I155" s="415" t="s">
        <v>295</v>
      </c>
      <c r="J155" s="415"/>
      <c r="K155" s="417" t="s">
        <v>6</v>
      </c>
      <c r="L155" s="421"/>
      <c r="M155" s="339"/>
    </row>
    <row r="156" spans="1:13" x14ac:dyDescent="0.2">
      <c r="A156" s="176" t="s">
        <v>276</v>
      </c>
      <c r="B156" s="177" t="s">
        <v>1530</v>
      </c>
      <c r="C156" s="420" t="s">
        <v>447</v>
      </c>
      <c r="D156" s="416" t="s">
        <v>362</v>
      </c>
      <c r="E156" s="417" t="s">
        <v>74</v>
      </c>
      <c r="F156" s="416" t="s">
        <v>425</v>
      </c>
      <c r="G156" s="417" t="s">
        <v>77</v>
      </c>
      <c r="H156" s="415" t="s">
        <v>299</v>
      </c>
      <c r="I156" s="415"/>
      <c r="J156" s="415" t="s">
        <v>508</v>
      </c>
      <c r="K156" s="417" t="s">
        <v>6</v>
      </c>
      <c r="L156" s="421"/>
      <c r="M156" s="339"/>
    </row>
    <row r="157" spans="1:13" x14ac:dyDescent="0.2">
      <c r="A157" s="176" t="s">
        <v>276</v>
      </c>
      <c r="B157" s="177" t="s">
        <v>1530</v>
      </c>
      <c r="C157" s="420" t="s">
        <v>447</v>
      </c>
      <c r="D157" s="416" t="s">
        <v>378</v>
      </c>
      <c r="E157" s="417" t="s">
        <v>74</v>
      </c>
      <c r="F157" s="416" t="s">
        <v>418</v>
      </c>
      <c r="G157" s="417" t="s">
        <v>77</v>
      </c>
      <c r="H157" s="415" t="s">
        <v>295</v>
      </c>
      <c r="I157" s="415"/>
      <c r="J157" s="415" t="s">
        <v>295</v>
      </c>
      <c r="K157" s="417" t="s">
        <v>6</v>
      </c>
      <c r="L157" s="421"/>
      <c r="M157" s="339"/>
    </row>
    <row r="158" spans="1:13" x14ac:dyDescent="0.2">
      <c r="A158" s="176" t="s">
        <v>276</v>
      </c>
      <c r="B158" s="177" t="s">
        <v>1530</v>
      </c>
      <c r="C158" s="420" t="s">
        <v>448</v>
      </c>
      <c r="D158" s="416" t="s">
        <v>378</v>
      </c>
      <c r="E158" s="417" t="s">
        <v>74</v>
      </c>
      <c r="F158" s="416" t="s">
        <v>449</v>
      </c>
      <c r="G158" s="417" t="s">
        <v>77</v>
      </c>
      <c r="H158" s="415" t="s">
        <v>295</v>
      </c>
      <c r="I158" s="415" t="s">
        <v>295</v>
      </c>
      <c r="J158" s="415"/>
      <c r="K158" s="417" t="s">
        <v>6</v>
      </c>
      <c r="L158" s="421"/>
      <c r="M158" s="339"/>
    </row>
    <row r="159" spans="1:13" x14ac:dyDescent="0.2">
      <c r="A159" s="176" t="s">
        <v>276</v>
      </c>
      <c r="B159" s="177" t="s">
        <v>1530</v>
      </c>
      <c r="C159" s="420" t="s">
        <v>450</v>
      </c>
      <c r="D159" s="416" t="s">
        <v>362</v>
      </c>
      <c r="E159" s="417" t="s">
        <v>74</v>
      </c>
      <c r="F159" s="416" t="s">
        <v>371</v>
      </c>
      <c r="G159" s="417" t="s">
        <v>77</v>
      </c>
      <c r="H159" s="415" t="s">
        <v>299</v>
      </c>
      <c r="I159" s="415"/>
      <c r="J159" s="415" t="s">
        <v>508</v>
      </c>
      <c r="K159" s="417" t="s">
        <v>6</v>
      </c>
      <c r="L159" s="421"/>
      <c r="M159" s="339"/>
    </row>
    <row r="160" spans="1:13" x14ac:dyDescent="0.2">
      <c r="A160" s="176" t="s">
        <v>276</v>
      </c>
      <c r="B160" s="177" t="s">
        <v>1530</v>
      </c>
      <c r="C160" s="420" t="s">
        <v>451</v>
      </c>
      <c r="D160" s="416" t="s">
        <v>378</v>
      </c>
      <c r="E160" s="417" t="s">
        <v>7</v>
      </c>
      <c r="F160" s="416" t="s">
        <v>417</v>
      </c>
      <c r="G160" s="417" t="s">
        <v>77</v>
      </c>
      <c r="H160" s="415" t="s">
        <v>295</v>
      </c>
      <c r="I160" s="415"/>
      <c r="J160" s="415" t="s">
        <v>295</v>
      </c>
      <c r="K160" s="417" t="s">
        <v>6</v>
      </c>
      <c r="L160" s="421"/>
      <c r="M160" s="339"/>
    </row>
    <row r="161" spans="1:13" x14ac:dyDescent="0.2">
      <c r="A161" s="176" t="s">
        <v>276</v>
      </c>
      <c r="B161" s="177" t="s">
        <v>1530</v>
      </c>
      <c r="C161" s="420" t="s">
        <v>346</v>
      </c>
      <c r="D161" s="416" t="s">
        <v>362</v>
      </c>
      <c r="E161" s="417" t="s">
        <v>74</v>
      </c>
      <c r="F161" s="416" t="s">
        <v>371</v>
      </c>
      <c r="G161" s="417" t="s">
        <v>77</v>
      </c>
      <c r="H161" s="415" t="s">
        <v>299</v>
      </c>
      <c r="I161" s="415">
        <v>11</v>
      </c>
      <c r="J161" s="415"/>
      <c r="K161" s="417" t="s">
        <v>6</v>
      </c>
      <c r="L161" s="421" t="s">
        <v>423</v>
      </c>
      <c r="M161" s="339"/>
    </row>
    <row r="162" spans="1:13" x14ac:dyDescent="0.2">
      <c r="A162" s="176" t="s">
        <v>276</v>
      </c>
      <c r="B162" s="177" t="s">
        <v>1530</v>
      </c>
      <c r="C162" s="420" t="s">
        <v>347</v>
      </c>
      <c r="D162" s="416" t="s">
        <v>362</v>
      </c>
      <c r="E162" s="417" t="s">
        <v>7</v>
      </c>
      <c r="F162" s="416" t="s">
        <v>371</v>
      </c>
      <c r="G162" s="417" t="s">
        <v>77</v>
      </c>
      <c r="H162" s="415" t="s">
        <v>299</v>
      </c>
      <c r="I162" s="415"/>
      <c r="J162" s="415" t="s">
        <v>295</v>
      </c>
      <c r="K162" s="417" t="s">
        <v>6</v>
      </c>
      <c r="L162" s="421"/>
      <c r="M162" s="339"/>
    </row>
    <row r="163" spans="1:13" ht="25.5" x14ac:dyDescent="0.2">
      <c r="A163" s="176" t="s">
        <v>276</v>
      </c>
      <c r="B163" s="177" t="s">
        <v>1530</v>
      </c>
      <c r="C163" s="420" t="s">
        <v>349</v>
      </c>
      <c r="D163" s="416" t="s">
        <v>362</v>
      </c>
      <c r="E163" s="417" t="s">
        <v>74</v>
      </c>
      <c r="F163" s="416" t="s">
        <v>384</v>
      </c>
      <c r="G163" s="417" t="s">
        <v>6</v>
      </c>
      <c r="H163" s="415">
        <v>438</v>
      </c>
      <c r="I163" s="415">
        <v>70</v>
      </c>
      <c r="J163" s="415"/>
      <c r="K163" s="417" t="s">
        <v>77</v>
      </c>
      <c r="L163" s="421" t="s">
        <v>1520</v>
      </c>
      <c r="M163" s="339" t="s">
        <v>1774</v>
      </c>
    </row>
    <row r="164" spans="1:13" x14ac:dyDescent="0.2">
      <c r="A164" s="176" t="s">
        <v>276</v>
      </c>
      <c r="B164" s="177" t="s">
        <v>1530</v>
      </c>
      <c r="C164" s="420" t="s">
        <v>349</v>
      </c>
      <c r="D164" s="416" t="s">
        <v>362</v>
      </c>
      <c r="E164" s="417" t="s">
        <v>74</v>
      </c>
      <c r="F164" s="416" t="s">
        <v>421</v>
      </c>
      <c r="G164" s="417" t="s">
        <v>77</v>
      </c>
      <c r="H164" s="415" t="s">
        <v>295</v>
      </c>
      <c r="I164" s="415" t="s">
        <v>295</v>
      </c>
      <c r="J164" s="415"/>
      <c r="K164" s="417" t="s">
        <v>6</v>
      </c>
      <c r="L164" s="421"/>
      <c r="M164" s="339"/>
    </row>
    <row r="165" spans="1:13" x14ac:dyDescent="0.2">
      <c r="A165" s="176" t="s">
        <v>276</v>
      </c>
      <c r="B165" s="177" t="s">
        <v>1530</v>
      </c>
      <c r="C165" s="420" t="s">
        <v>349</v>
      </c>
      <c r="D165" s="416" t="s">
        <v>362</v>
      </c>
      <c r="E165" s="417" t="s">
        <v>74</v>
      </c>
      <c r="F165" s="416" t="s">
        <v>452</v>
      </c>
      <c r="G165" s="417" t="s">
        <v>6</v>
      </c>
      <c r="H165" s="415" t="s">
        <v>299</v>
      </c>
      <c r="I165" s="415">
        <v>44</v>
      </c>
      <c r="J165" s="415"/>
      <c r="K165" s="417" t="s">
        <v>77</v>
      </c>
      <c r="L165" s="421" t="s">
        <v>433</v>
      </c>
      <c r="M165" s="339" t="s">
        <v>1784</v>
      </c>
    </row>
    <row r="166" spans="1:13" x14ac:dyDescent="0.2">
      <c r="A166" s="176" t="s">
        <v>276</v>
      </c>
      <c r="B166" s="177" t="s">
        <v>1530</v>
      </c>
      <c r="C166" s="420" t="s">
        <v>349</v>
      </c>
      <c r="D166" s="416" t="s">
        <v>362</v>
      </c>
      <c r="E166" s="417" t="s">
        <v>74</v>
      </c>
      <c r="F166" s="416" t="s">
        <v>453</v>
      </c>
      <c r="G166" s="417" t="s">
        <v>6</v>
      </c>
      <c r="H166" s="415" t="s">
        <v>299</v>
      </c>
      <c r="I166" s="415">
        <v>85</v>
      </c>
      <c r="J166" s="415"/>
      <c r="K166" s="417" t="s">
        <v>77</v>
      </c>
      <c r="L166" s="421" t="s">
        <v>1521</v>
      </c>
      <c r="M166" s="339" t="s">
        <v>1785</v>
      </c>
    </row>
    <row r="167" spans="1:13" ht="25.5" x14ac:dyDescent="0.2">
      <c r="A167" s="176" t="s">
        <v>276</v>
      </c>
      <c r="B167" s="177" t="s">
        <v>1530</v>
      </c>
      <c r="C167" s="420" t="s">
        <v>349</v>
      </c>
      <c r="D167" s="416" t="s">
        <v>362</v>
      </c>
      <c r="E167" s="417" t="s">
        <v>74</v>
      </c>
      <c r="F167" s="416" t="s">
        <v>454</v>
      </c>
      <c r="G167" s="417" t="s">
        <v>6</v>
      </c>
      <c r="H167" s="415" t="s">
        <v>299</v>
      </c>
      <c r="I167" s="415">
        <v>44</v>
      </c>
      <c r="J167" s="415"/>
      <c r="K167" s="417" t="s">
        <v>77</v>
      </c>
      <c r="L167" s="421" t="s">
        <v>433</v>
      </c>
      <c r="M167" s="339" t="s">
        <v>1783</v>
      </c>
    </row>
    <row r="168" spans="1:13" x14ac:dyDescent="0.2">
      <c r="A168" s="176" t="s">
        <v>276</v>
      </c>
      <c r="B168" s="177" t="s">
        <v>1530</v>
      </c>
      <c r="C168" s="420" t="s">
        <v>349</v>
      </c>
      <c r="D168" s="416" t="s">
        <v>378</v>
      </c>
      <c r="E168" s="417" t="s">
        <v>74</v>
      </c>
      <c r="F168" s="416" t="s">
        <v>455</v>
      </c>
      <c r="G168" s="417" t="s">
        <v>77</v>
      </c>
      <c r="H168" s="415" t="s">
        <v>295</v>
      </c>
      <c r="I168" s="415" t="s">
        <v>295</v>
      </c>
      <c r="J168" s="415"/>
      <c r="K168" s="417" t="s">
        <v>6</v>
      </c>
      <c r="L168" s="421"/>
      <c r="M168" s="339"/>
    </row>
    <row r="169" spans="1:13" x14ac:dyDescent="0.2">
      <c r="A169" s="176" t="s">
        <v>276</v>
      </c>
      <c r="B169" s="177" t="s">
        <v>1530</v>
      </c>
      <c r="C169" s="420" t="s">
        <v>456</v>
      </c>
      <c r="D169" s="416" t="s">
        <v>362</v>
      </c>
      <c r="E169" s="417" t="s">
        <v>74</v>
      </c>
      <c r="F169" s="416" t="s">
        <v>457</v>
      </c>
      <c r="G169" s="417" t="s">
        <v>6</v>
      </c>
      <c r="H169" s="415">
        <v>1160</v>
      </c>
      <c r="I169" s="415" t="s">
        <v>458</v>
      </c>
      <c r="J169" s="415"/>
      <c r="K169" s="417" t="s">
        <v>77</v>
      </c>
      <c r="L169" s="421" t="s">
        <v>459</v>
      </c>
      <c r="M169" s="339" t="s">
        <v>2009</v>
      </c>
    </row>
    <row r="170" spans="1:13" x14ac:dyDescent="0.2">
      <c r="A170" s="176" t="s">
        <v>276</v>
      </c>
      <c r="B170" s="177" t="s">
        <v>1530</v>
      </c>
      <c r="C170" s="420" t="s">
        <v>456</v>
      </c>
      <c r="D170" s="416" t="s">
        <v>378</v>
      </c>
      <c r="E170" s="417" t="s">
        <v>74</v>
      </c>
      <c r="F170" s="416" t="s">
        <v>432</v>
      </c>
      <c r="G170" s="417" t="s">
        <v>77</v>
      </c>
      <c r="H170" s="415" t="s">
        <v>295</v>
      </c>
      <c r="I170" s="415" t="s">
        <v>295</v>
      </c>
      <c r="J170" s="415"/>
      <c r="K170" s="417" t="s">
        <v>6</v>
      </c>
      <c r="L170" s="421"/>
      <c r="M170" s="339"/>
    </row>
    <row r="171" spans="1:13" x14ac:dyDescent="0.2">
      <c r="A171" s="176" t="s">
        <v>276</v>
      </c>
      <c r="B171" s="177" t="s">
        <v>1530</v>
      </c>
      <c r="C171" s="420" t="s">
        <v>307</v>
      </c>
      <c r="D171" s="416" t="s">
        <v>362</v>
      </c>
      <c r="E171" s="417" t="s">
        <v>74</v>
      </c>
      <c r="F171" s="416" t="s">
        <v>406</v>
      </c>
      <c r="G171" s="417" t="s">
        <v>77</v>
      </c>
      <c r="H171" s="415" t="s">
        <v>295</v>
      </c>
      <c r="I171" s="415">
        <v>6</v>
      </c>
      <c r="J171" s="415"/>
      <c r="K171" s="417" t="s">
        <v>6</v>
      </c>
      <c r="L171" s="421" t="s">
        <v>435</v>
      </c>
      <c r="M171" s="339"/>
    </row>
    <row r="172" spans="1:13" x14ac:dyDescent="0.2">
      <c r="A172" s="176" t="s">
        <v>276</v>
      </c>
      <c r="B172" s="177" t="s">
        <v>1530</v>
      </c>
      <c r="C172" s="420" t="s">
        <v>307</v>
      </c>
      <c r="D172" s="416" t="s">
        <v>362</v>
      </c>
      <c r="E172" s="417" t="s">
        <v>74</v>
      </c>
      <c r="F172" s="416" t="s">
        <v>407</v>
      </c>
      <c r="G172" s="417" t="s">
        <v>77</v>
      </c>
      <c r="H172" s="415" t="s">
        <v>295</v>
      </c>
      <c r="I172" s="415">
        <v>6</v>
      </c>
      <c r="J172" s="415"/>
      <c r="K172" s="417" t="s">
        <v>6</v>
      </c>
      <c r="L172" s="421" t="s">
        <v>435</v>
      </c>
      <c r="M172" s="339"/>
    </row>
    <row r="173" spans="1:13" ht="25.5" x14ac:dyDescent="0.2">
      <c r="A173" s="176" t="s">
        <v>276</v>
      </c>
      <c r="B173" s="177" t="s">
        <v>1530</v>
      </c>
      <c r="C173" s="420" t="s">
        <v>307</v>
      </c>
      <c r="D173" s="416" t="s">
        <v>362</v>
      </c>
      <c r="E173" s="417" t="s">
        <v>74</v>
      </c>
      <c r="F173" s="416" t="s">
        <v>460</v>
      </c>
      <c r="G173" s="417" t="s">
        <v>6</v>
      </c>
      <c r="H173" s="415" t="s">
        <v>299</v>
      </c>
      <c r="I173" s="415">
        <v>6</v>
      </c>
      <c r="J173" s="415"/>
      <c r="K173" s="417" t="s">
        <v>6</v>
      </c>
      <c r="L173" s="421" t="s">
        <v>1522</v>
      </c>
      <c r="M173" s="339" t="s">
        <v>2010</v>
      </c>
    </row>
    <row r="174" spans="1:13" x14ac:dyDescent="0.2">
      <c r="A174" s="176" t="s">
        <v>276</v>
      </c>
      <c r="B174" s="177" t="s">
        <v>1530</v>
      </c>
      <c r="C174" s="420" t="s">
        <v>307</v>
      </c>
      <c r="D174" s="416" t="s">
        <v>362</v>
      </c>
      <c r="E174" s="417" t="s">
        <v>74</v>
      </c>
      <c r="F174" s="416" t="s">
        <v>393</v>
      </c>
      <c r="G174" s="417" t="s">
        <v>6</v>
      </c>
      <c r="H174" s="415">
        <v>567</v>
      </c>
      <c r="I174" s="415">
        <v>47</v>
      </c>
      <c r="J174" s="415"/>
      <c r="K174" s="417" t="s">
        <v>77</v>
      </c>
      <c r="L174" s="421" t="s">
        <v>1523</v>
      </c>
      <c r="M174" s="339" t="s">
        <v>2011</v>
      </c>
    </row>
    <row r="175" spans="1:13" x14ac:dyDescent="0.2">
      <c r="A175" s="176" t="s">
        <v>276</v>
      </c>
      <c r="B175" s="177" t="s">
        <v>1530</v>
      </c>
      <c r="C175" s="420" t="s">
        <v>461</v>
      </c>
      <c r="D175" s="416" t="s">
        <v>378</v>
      </c>
      <c r="E175" s="417" t="s">
        <v>363</v>
      </c>
      <c r="F175" s="416" t="s">
        <v>150</v>
      </c>
      <c r="G175" s="417" t="s">
        <v>77</v>
      </c>
      <c r="H175" s="415" t="s">
        <v>295</v>
      </c>
      <c r="I175" s="415" t="s">
        <v>295</v>
      </c>
      <c r="J175" s="415"/>
      <c r="K175" s="417" t="s">
        <v>6</v>
      </c>
      <c r="L175" s="421"/>
      <c r="M175" s="339"/>
    </row>
    <row r="176" spans="1:13" x14ac:dyDescent="0.2">
      <c r="A176" s="176" t="s">
        <v>276</v>
      </c>
      <c r="B176" s="177" t="s">
        <v>1530</v>
      </c>
      <c r="C176" s="420" t="s">
        <v>350</v>
      </c>
      <c r="D176" s="416" t="s">
        <v>362</v>
      </c>
      <c r="E176" s="417" t="s">
        <v>74</v>
      </c>
      <c r="F176" s="416" t="s">
        <v>371</v>
      </c>
      <c r="G176" s="417" t="s">
        <v>77</v>
      </c>
      <c r="H176" s="415">
        <v>225</v>
      </c>
      <c r="I176" s="415"/>
      <c r="J176" s="415">
        <v>6</v>
      </c>
      <c r="K176" s="417" t="s">
        <v>6</v>
      </c>
      <c r="L176" s="421"/>
      <c r="M176" s="339"/>
    </row>
    <row r="177" spans="1:13" x14ac:dyDescent="0.2">
      <c r="A177" s="176" t="s">
        <v>276</v>
      </c>
      <c r="B177" s="177" t="s">
        <v>1530</v>
      </c>
      <c r="C177" s="420" t="s">
        <v>308</v>
      </c>
      <c r="D177" s="416" t="s">
        <v>362</v>
      </c>
      <c r="E177" s="417" t="s">
        <v>74</v>
      </c>
      <c r="F177" s="416" t="s">
        <v>462</v>
      </c>
      <c r="G177" s="417" t="s">
        <v>77</v>
      </c>
      <c r="H177" s="415" t="s">
        <v>295</v>
      </c>
      <c r="I177" s="415" t="s">
        <v>295</v>
      </c>
      <c r="J177" s="415"/>
      <c r="K177" s="417" t="s">
        <v>6</v>
      </c>
      <c r="L177" s="421"/>
      <c r="M177" s="339"/>
    </row>
    <row r="178" spans="1:13" x14ac:dyDescent="0.2">
      <c r="A178" s="176" t="s">
        <v>276</v>
      </c>
      <c r="B178" s="177" t="s">
        <v>1530</v>
      </c>
      <c r="C178" s="420" t="s">
        <v>308</v>
      </c>
      <c r="D178" s="416" t="s">
        <v>362</v>
      </c>
      <c r="E178" s="417" t="s">
        <v>74</v>
      </c>
      <c r="F178" s="416" t="s">
        <v>419</v>
      </c>
      <c r="G178" s="417" t="s">
        <v>77</v>
      </c>
      <c r="H178" s="415" t="s">
        <v>295</v>
      </c>
      <c r="I178" s="415">
        <v>1</v>
      </c>
      <c r="J178" s="415"/>
      <c r="K178" s="417" t="s">
        <v>6</v>
      </c>
      <c r="L178" s="421" t="s">
        <v>435</v>
      </c>
      <c r="M178" s="339"/>
    </row>
    <row r="179" spans="1:13" x14ac:dyDescent="0.2">
      <c r="A179" s="176" t="s">
        <v>276</v>
      </c>
      <c r="B179" s="177" t="s">
        <v>1530</v>
      </c>
      <c r="C179" s="420" t="s">
        <v>463</v>
      </c>
      <c r="D179" s="416" t="s">
        <v>362</v>
      </c>
      <c r="E179" s="417" t="s">
        <v>74</v>
      </c>
      <c r="F179" s="416" t="s">
        <v>462</v>
      </c>
      <c r="G179" s="417" t="s">
        <v>77</v>
      </c>
      <c r="H179" s="415" t="s">
        <v>295</v>
      </c>
      <c r="I179" s="415" t="s">
        <v>295</v>
      </c>
      <c r="J179" s="415"/>
      <c r="K179" s="417" t="s">
        <v>6</v>
      </c>
      <c r="L179" s="421"/>
      <c r="M179" s="339"/>
    </row>
    <row r="180" spans="1:13" x14ac:dyDescent="0.2">
      <c r="A180" s="176" t="s">
        <v>276</v>
      </c>
      <c r="B180" s="177" t="s">
        <v>1530</v>
      </c>
      <c r="C180" s="420" t="s">
        <v>153</v>
      </c>
      <c r="D180" s="416" t="s">
        <v>362</v>
      </c>
      <c r="E180" s="417" t="s">
        <v>74</v>
      </c>
      <c r="F180" s="416" t="s">
        <v>371</v>
      </c>
      <c r="G180" s="417" t="s">
        <v>77</v>
      </c>
      <c r="H180" s="415" t="s">
        <v>295</v>
      </c>
      <c r="I180" s="415"/>
      <c r="J180" s="415" t="s">
        <v>295</v>
      </c>
      <c r="K180" s="417" t="s">
        <v>6</v>
      </c>
      <c r="L180" s="421"/>
      <c r="M180" s="339"/>
    </row>
    <row r="181" spans="1:13" x14ac:dyDescent="0.2">
      <c r="A181" s="176" t="s">
        <v>276</v>
      </c>
      <c r="B181" s="177" t="s">
        <v>1530</v>
      </c>
      <c r="C181" s="420" t="s">
        <v>464</v>
      </c>
      <c r="D181" s="416" t="s">
        <v>378</v>
      </c>
      <c r="E181" s="417" t="s">
        <v>74</v>
      </c>
      <c r="F181" s="416" t="s">
        <v>465</v>
      </c>
      <c r="G181" s="417" t="s">
        <v>77</v>
      </c>
      <c r="H181" s="415" t="s">
        <v>295</v>
      </c>
      <c r="I181" s="415"/>
      <c r="J181" s="415" t="s">
        <v>295</v>
      </c>
      <c r="K181" s="417" t="s">
        <v>6</v>
      </c>
      <c r="L181" s="421"/>
      <c r="M181" s="339"/>
    </row>
    <row r="182" spans="1:13" x14ac:dyDescent="0.2">
      <c r="A182" s="176" t="s">
        <v>276</v>
      </c>
      <c r="B182" s="177" t="s">
        <v>1530</v>
      </c>
      <c r="C182" s="420" t="s">
        <v>464</v>
      </c>
      <c r="D182" s="416" t="s">
        <v>378</v>
      </c>
      <c r="E182" s="417" t="s">
        <v>74</v>
      </c>
      <c r="F182" s="416" t="s">
        <v>418</v>
      </c>
      <c r="G182" s="417" t="s">
        <v>77</v>
      </c>
      <c r="H182" s="415" t="s">
        <v>295</v>
      </c>
      <c r="I182" s="415"/>
      <c r="J182" s="415" t="s">
        <v>295</v>
      </c>
      <c r="K182" s="417" t="s">
        <v>6</v>
      </c>
      <c r="L182" s="421"/>
      <c r="M182" s="339"/>
    </row>
    <row r="183" spans="1:13" x14ac:dyDescent="0.2">
      <c r="A183" s="176" t="s">
        <v>276</v>
      </c>
      <c r="B183" s="177" t="s">
        <v>1530</v>
      </c>
      <c r="C183" s="420" t="s">
        <v>466</v>
      </c>
      <c r="D183" s="416" t="s">
        <v>378</v>
      </c>
      <c r="E183" s="417" t="s">
        <v>7</v>
      </c>
      <c r="F183" s="416" t="s">
        <v>455</v>
      </c>
      <c r="G183" s="417" t="s">
        <v>77</v>
      </c>
      <c r="H183" s="415" t="s">
        <v>295</v>
      </c>
      <c r="I183" s="415"/>
      <c r="J183" s="415" t="s">
        <v>295</v>
      </c>
      <c r="K183" s="417" t="s">
        <v>6</v>
      </c>
      <c r="L183" s="421"/>
      <c r="M183" s="339"/>
    </row>
    <row r="184" spans="1:13" x14ac:dyDescent="0.2">
      <c r="A184" s="176" t="s">
        <v>276</v>
      </c>
      <c r="B184" s="177" t="s">
        <v>1530</v>
      </c>
      <c r="C184" s="420" t="s">
        <v>309</v>
      </c>
      <c r="D184" s="416" t="s">
        <v>362</v>
      </c>
      <c r="E184" s="417" t="s">
        <v>74</v>
      </c>
      <c r="F184" s="416" t="s">
        <v>467</v>
      </c>
      <c r="G184" s="417" t="s">
        <v>6</v>
      </c>
      <c r="H184" s="415">
        <v>75311</v>
      </c>
      <c r="I184" s="415">
        <v>21</v>
      </c>
      <c r="J184" s="415"/>
      <c r="K184" s="417" t="s">
        <v>77</v>
      </c>
      <c r="L184" s="421" t="s">
        <v>1524</v>
      </c>
      <c r="M184" s="339" t="s">
        <v>2014</v>
      </c>
    </row>
    <row r="185" spans="1:13" x14ac:dyDescent="0.2">
      <c r="A185" s="176" t="s">
        <v>276</v>
      </c>
      <c r="B185" s="177" t="s">
        <v>1530</v>
      </c>
      <c r="C185" s="420" t="s">
        <v>351</v>
      </c>
      <c r="D185" s="416" t="s">
        <v>362</v>
      </c>
      <c r="E185" s="417" t="s">
        <v>74</v>
      </c>
      <c r="F185" s="416" t="s">
        <v>371</v>
      </c>
      <c r="G185" s="417" t="s">
        <v>77</v>
      </c>
      <c r="H185" s="415" t="s">
        <v>299</v>
      </c>
      <c r="I185" s="415"/>
      <c r="J185" s="415">
        <v>11</v>
      </c>
      <c r="K185" s="417" t="s">
        <v>6</v>
      </c>
      <c r="L185" s="421"/>
      <c r="M185" s="339"/>
    </row>
    <row r="186" spans="1:13" x14ac:dyDescent="0.2">
      <c r="A186" s="176" t="s">
        <v>276</v>
      </c>
      <c r="B186" s="177" t="s">
        <v>1530</v>
      </c>
      <c r="C186" s="420" t="s">
        <v>468</v>
      </c>
      <c r="D186" s="416" t="s">
        <v>362</v>
      </c>
      <c r="E186" s="417" t="s">
        <v>74</v>
      </c>
      <c r="F186" s="416" t="s">
        <v>469</v>
      </c>
      <c r="G186" s="417" t="s">
        <v>77</v>
      </c>
      <c r="H186" s="415" t="s">
        <v>295</v>
      </c>
      <c r="I186" s="415" t="s">
        <v>295</v>
      </c>
      <c r="J186" s="415"/>
      <c r="K186" s="417" t="s">
        <v>6</v>
      </c>
      <c r="L186" s="421"/>
      <c r="M186" s="339"/>
    </row>
    <row r="187" spans="1:13" x14ac:dyDescent="0.2">
      <c r="A187" s="176" t="s">
        <v>276</v>
      </c>
      <c r="B187" s="177" t="s">
        <v>1530</v>
      </c>
      <c r="C187" s="420" t="s">
        <v>470</v>
      </c>
      <c r="D187" s="416" t="s">
        <v>362</v>
      </c>
      <c r="E187" s="417" t="s">
        <v>74</v>
      </c>
      <c r="F187" s="416" t="s">
        <v>471</v>
      </c>
      <c r="G187" s="417" t="s">
        <v>77</v>
      </c>
      <c r="H187" s="415" t="s">
        <v>295</v>
      </c>
      <c r="I187" s="415" t="s">
        <v>295</v>
      </c>
      <c r="J187" s="415"/>
      <c r="K187" s="417" t="s">
        <v>6</v>
      </c>
      <c r="L187" s="421"/>
      <c r="M187" s="339"/>
    </row>
    <row r="188" spans="1:13" x14ac:dyDescent="0.2">
      <c r="A188" s="176" t="s">
        <v>276</v>
      </c>
      <c r="B188" s="177" t="s">
        <v>1530</v>
      </c>
      <c r="C188" s="420" t="s">
        <v>472</v>
      </c>
      <c r="D188" s="416" t="s">
        <v>362</v>
      </c>
      <c r="E188" s="417" t="s">
        <v>74</v>
      </c>
      <c r="F188" s="416" t="s">
        <v>371</v>
      </c>
      <c r="G188" s="417" t="s">
        <v>77</v>
      </c>
      <c r="H188" s="415" t="s">
        <v>299</v>
      </c>
      <c r="I188" s="415"/>
      <c r="J188" s="415">
        <v>1</v>
      </c>
      <c r="K188" s="417" t="s">
        <v>6</v>
      </c>
      <c r="L188" s="421"/>
      <c r="M188" s="339"/>
    </row>
    <row r="189" spans="1:13" ht="25.5" x14ac:dyDescent="0.2">
      <c r="A189" s="176" t="s">
        <v>276</v>
      </c>
      <c r="B189" s="177" t="s">
        <v>1530</v>
      </c>
      <c r="C189" s="420" t="s">
        <v>352</v>
      </c>
      <c r="D189" s="416" t="s">
        <v>362</v>
      </c>
      <c r="E189" s="417" t="s">
        <v>74</v>
      </c>
      <c r="F189" s="416" t="s">
        <v>384</v>
      </c>
      <c r="G189" s="417" t="s">
        <v>6</v>
      </c>
      <c r="H189" s="415">
        <v>294</v>
      </c>
      <c r="I189" s="415">
        <v>42</v>
      </c>
      <c r="J189" s="415"/>
      <c r="K189" s="417" t="s">
        <v>77</v>
      </c>
      <c r="L189" s="421" t="s">
        <v>1525</v>
      </c>
      <c r="M189" s="339" t="s">
        <v>1776</v>
      </c>
    </row>
    <row r="190" spans="1:13" x14ac:dyDescent="0.2">
      <c r="A190" s="176" t="s">
        <v>276</v>
      </c>
      <c r="B190" s="177" t="s">
        <v>1530</v>
      </c>
      <c r="C190" s="420" t="s">
        <v>352</v>
      </c>
      <c r="D190" s="416" t="s">
        <v>362</v>
      </c>
      <c r="E190" s="417" t="s">
        <v>74</v>
      </c>
      <c r="F190" s="416" t="s">
        <v>452</v>
      </c>
      <c r="G190" s="417" t="s">
        <v>77</v>
      </c>
      <c r="H190" s="415" t="s">
        <v>299</v>
      </c>
      <c r="I190" s="415">
        <v>3</v>
      </c>
      <c r="J190" s="415"/>
      <c r="K190" s="417" t="s">
        <v>6</v>
      </c>
      <c r="L190" s="421" t="s">
        <v>444</v>
      </c>
      <c r="M190" s="339"/>
    </row>
    <row r="191" spans="1:13" x14ac:dyDescent="0.2">
      <c r="A191" s="176" t="s">
        <v>276</v>
      </c>
      <c r="B191" s="177" t="s">
        <v>1530</v>
      </c>
      <c r="C191" s="420" t="s">
        <v>352</v>
      </c>
      <c r="D191" s="416" t="s">
        <v>362</v>
      </c>
      <c r="E191" s="417" t="s">
        <v>74</v>
      </c>
      <c r="F191" s="416" t="s">
        <v>453</v>
      </c>
      <c r="G191" s="417" t="s">
        <v>6</v>
      </c>
      <c r="H191" s="415" t="s">
        <v>299</v>
      </c>
      <c r="I191" s="415">
        <v>86</v>
      </c>
      <c r="J191" s="415"/>
      <c r="K191" s="417" t="s">
        <v>77</v>
      </c>
      <c r="L191" s="421"/>
      <c r="M191" s="339" t="s">
        <v>2012</v>
      </c>
    </row>
    <row r="192" spans="1:13" ht="25.5" x14ac:dyDescent="0.2">
      <c r="A192" s="176" t="s">
        <v>276</v>
      </c>
      <c r="B192" s="177" t="s">
        <v>1530</v>
      </c>
      <c r="C192" s="420" t="s">
        <v>352</v>
      </c>
      <c r="D192" s="416" t="s">
        <v>362</v>
      </c>
      <c r="E192" s="417" t="s">
        <v>74</v>
      </c>
      <c r="F192" s="416" t="s">
        <v>473</v>
      </c>
      <c r="G192" s="417" t="s">
        <v>6</v>
      </c>
      <c r="H192" s="415" t="s">
        <v>299</v>
      </c>
      <c r="I192" s="415">
        <v>45</v>
      </c>
      <c r="J192" s="415"/>
      <c r="K192" s="417" t="s">
        <v>77</v>
      </c>
      <c r="L192" s="421" t="s">
        <v>433</v>
      </c>
      <c r="M192" s="339" t="s">
        <v>1780</v>
      </c>
    </row>
    <row r="193" spans="1:13" x14ac:dyDescent="0.2">
      <c r="A193" s="176" t="s">
        <v>276</v>
      </c>
      <c r="B193" s="177" t="s">
        <v>1530</v>
      </c>
      <c r="C193" s="420" t="s">
        <v>352</v>
      </c>
      <c r="D193" s="416" t="s">
        <v>378</v>
      </c>
      <c r="E193" s="417" t="s">
        <v>74</v>
      </c>
      <c r="F193" s="416" t="s">
        <v>417</v>
      </c>
      <c r="G193" s="417" t="s">
        <v>77</v>
      </c>
      <c r="H193" s="415" t="s">
        <v>295</v>
      </c>
      <c r="I193" s="415" t="s">
        <v>295</v>
      </c>
      <c r="J193" s="415"/>
      <c r="K193" s="417" t="s">
        <v>6</v>
      </c>
      <c r="L193" s="421"/>
      <c r="M193" s="339"/>
    </row>
    <row r="194" spans="1:13" x14ac:dyDescent="0.2">
      <c r="A194" s="176" t="s">
        <v>276</v>
      </c>
      <c r="B194" s="177" t="s">
        <v>1530</v>
      </c>
      <c r="C194" s="420" t="s">
        <v>352</v>
      </c>
      <c r="D194" s="416" t="s">
        <v>362</v>
      </c>
      <c r="E194" s="417" t="s">
        <v>74</v>
      </c>
      <c r="F194" s="416" t="s">
        <v>474</v>
      </c>
      <c r="G194" s="417" t="s">
        <v>77</v>
      </c>
      <c r="H194" s="415" t="s">
        <v>295</v>
      </c>
      <c r="I194" s="415" t="s">
        <v>295</v>
      </c>
      <c r="J194" s="415"/>
      <c r="K194" s="417" t="s">
        <v>6</v>
      </c>
      <c r="L194" s="421"/>
      <c r="M194" s="339"/>
    </row>
    <row r="195" spans="1:13" x14ac:dyDescent="0.2">
      <c r="A195" s="176" t="s">
        <v>276</v>
      </c>
      <c r="B195" s="177" t="s">
        <v>1530</v>
      </c>
      <c r="C195" s="420" t="s">
        <v>352</v>
      </c>
      <c r="D195" s="416" t="s">
        <v>362</v>
      </c>
      <c r="E195" s="417" t="s">
        <v>74</v>
      </c>
      <c r="F195" s="416" t="s">
        <v>421</v>
      </c>
      <c r="G195" s="417" t="s">
        <v>77</v>
      </c>
      <c r="H195" s="415" t="s">
        <v>295</v>
      </c>
      <c r="I195" s="415" t="s">
        <v>295</v>
      </c>
      <c r="J195" s="415"/>
      <c r="K195" s="417" t="s">
        <v>6</v>
      </c>
      <c r="L195" s="421"/>
      <c r="M195" s="339"/>
    </row>
    <row r="196" spans="1:13" x14ac:dyDescent="0.2">
      <c r="A196" s="176" t="s">
        <v>276</v>
      </c>
      <c r="B196" s="177" t="s">
        <v>1530</v>
      </c>
      <c r="C196" s="420" t="s">
        <v>352</v>
      </c>
      <c r="D196" s="416" t="s">
        <v>378</v>
      </c>
      <c r="E196" s="417" t="s">
        <v>74</v>
      </c>
      <c r="F196" s="416" t="s">
        <v>475</v>
      </c>
      <c r="G196" s="417" t="s">
        <v>77</v>
      </c>
      <c r="H196" s="415" t="s">
        <v>295</v>
      </c>
      <c r="I196" s="415" t="s">
        <v>295</v>
      </c>
      <c r="J196" s="415"/>
      <c r="K196" s="417" t="s">
        <v>6</v>
      </c>
      <c r="L196" s="421"/>
      <c r="M196" s="339"/>
    </row>
    <row r="197" spans="1:13" x14ac:dyDescent="0.2">
      <c r="A197" s="176" t="s">
        <v>276</v>
      </c>
      <c r="B197" s="177" t="s">
        <v>1530</v>
      </c>
      <c r="C197" s="420" t="s">
        <v>476</v>
      </c>
      <c r="D197" s="416" t="s">
        <v>362</v>
      </c>
      <c r="E197" s="417" t="s">
        <v>74</v>
      </c>
      <c r="F197" s="416" t="s">
        <v>371</v>
      </c>
      <c r="G197" s="417" t="s">
        <v>77</v>
      </c>
      <c r="H197" s="415" t="s">
        <v>295</v>
      </c>
      <c r="I197" s="415"/>
      <c r="J197" s="415" t="s">
        <v>295</v>
      </c>
      <c r="K197" s="417" t="s">
        <v>6</v>
      </c>
      <c r="L197" s="421"/>
      <c r="M197" s="339"/>
    </row>
    <row r="198" spans="1:13" x14ac:dyDescent="0.2">
      <c r="A198" s="176" t="s">
        <v>276</v>
      </c>
      <c r="B198" s="177" t="s">
        <v>1530</v>
      </c>
      <c r="C198" s="420" t="s">
        <v>477</v>
      </c>
      <c r="D198" s="416" t="s">
        <v>378</v>
      </c>
      <c r="E198" s="417" t="s">
        <v>7</v>
      </c>
      <c r="F198" s="416" t="s">
        <v>478</v>
      </c>
      <c r="G198" s="417" t="s">
        <v>77</v>
      </c>
      <c r="H198" s="415" t="s">
        <v>295</v>
      </c>
      <c r="I198" s="415"/>
      <c r="J198" s="415" t="s">
        <v>295</v>
      </c>
      <c r="K198" s="417" t="s">
        <v>6</v>
      </c>
      <c r="L198" s="421"/>
      <c r="M198" s="339"/>
    </row>
    <row r="199" spans="1:13" x14ac:dyDescent="0.2">
      <c r="A199" s="176" t="s">
        <v>276</v>
      </c>
      <c r="B199" s="177" t="s">
        <v>1530</v>
      </c>
      <c r="C199" s="420" t="s">
        <v>479</v>
      </c>
      <c r="D199" s="416" t="s">
        <v>378</v>
      </c>
      <c r="E199" s="417" t="s">
        <v>7</v>
      </c>
      <c r="F199" s="416" t="s">
        <v>455</v>
      </c>
      <c r="G199" s="417" t="s">
        <v>77</v>
      </c>
      <c r="H199" s="415" t="s">
        <v>295</v>
      </c>
      <c r="I199" s="415"/>
      <c r="J199" s="415" t="s">
        <v>295</v>
      </c>
      <c r="K199" s="417" t="s">
        <v>6</v>
      </c>
      <c r="L199" s="421"/>
      <c r="M199" s="339"/>
    </row>
    <row r="200" spans="1:13" ht="25.5" x14ac:dyDescent="0.2">
      <c r="A200" s="176" t="s">
        <v>276</v>
      </c>
      <c r="B200" s="177" t="s">
        <v>1530</v>
      </c>
      <c r="C200" s="420" t="s">
        <v>313</v>
      </c>
      <c r="D200" s="416" t="s">
        <v>362</v>
      </c>
      <c r="E200" s="417" t="s">
        <v>74</v>
      </c>
      <c r="F200" s="416" t="s">
        <v>480</v>
      </c>
      <c r="G200" s="417" t="s">
        <v>6</v>
      </c>
      <c r="H200" s="415">
        <v>25000</v>
      </c>
      <c r="I200" s="415">
        <v>26</v>
      </c>
      <c r="J200" s="415"/>
      <c r="K200" s="417" t="s">
        <v>77</v>
      </c>
      <c r="L200" s="421" t="s">
        <v>1526</v>
      </c>
      <c r="M200" s="339" t="s">
        <v>2013</v>
      </c>
    </row>
    <row r="201" spans="1:13" x14ac:dyDescent="0.2">
      <c r="A201" s="176" t="s">
        <v>276</v>
      </c>
      <c r="B201" s="177" t="s">
        <v>1530</v>
      </c>
      <c r="C201" s="420" t="s">
        <v>313</v>
      </c>
      <c r="D201" s="416" t="s">
        <v>362</v>
      </c>
      <c r="E201" s="417" t="s">
        <v>74</v>
      </c>
      <c r="F201" s="416" t="s">
        <v>150</v>
      </c>
      <c r="G201" s="417" t="s">
        <v>77</v>
      </c>
      <c r="H201" s="415" t="s">
        <v>295</v>
      </c>
      <c r="I201" s="415" t="s">
        <v>295</v>
      </c>
      <c r="J201" s="415"/>
      <c r="K201" s="417" t="s">
        <v>6</v>
      </c>
      <c r="L201" s="421"/>
      <c r="M201" s="339"/>
    </row>
    <row r="202" spans="1:13" x14ac:dyDescent="0.2">
      <c r="A202" s="176" t="s">
        <v>276</v>
      </c>
      <c r="B202" s="177" t="s">
        <v>1530</v>
      </c>
      <c r="C202" s="420" t="s">
        <v>313</v>
      </c>
      <c r="D202" s="416" t="s">
        <v>378</v>
      </c>
      <c r="E202" s="417" t="s">
        <v>74</v>
      </c>
      <c r="F202" s="416" t="s">
        <v>418</v>
      </c>
      <c r="G202" s="417" t="s">
        <v>77</v>
      </c>
      <c r="H202" s="415" t="s">
        <v>295</v>
      </c>
      <c r="I202" s="415" t="s">
        <v>295</v>
      </c>
      <c r="J202" s="415"/>
      <c r="K202" s="417" t="s">
        <v>6</v>
      </c>
      <c r="L202" s="421"/>
      <c r="M202" s="339"/>
    </row>
    <row r="203" spans="1:13" x14ac:dyDescent="0.2">
      <c r="A203" s="176" t="s">
        <v>276</v>
      </c>
      <c r="B203" s="177" t="s">
        <v>1530</v>
      </c>
      <c r="C203" s="420" t="s">
        <v>481</v>
      </c>
      <c r="D203" s="416" t="s">
        <v>362</v>
      </c>
      <c r="E203" s="417" t="s">
        <v>74</v>
      </c>
      <c r="F203" s="416" t="s">
        <v>371</v>
      </c>
      <c r="G203" s="417" t="s">
        <v>77</v>
      </c>
      <c r="H203" s="415" t="s">
        <v>299</v>
      </c>
      <c r="I203" s="415"/>
      <c r="J203" s="415" t="s">
        <v>508</v>
      </c>
      <c r="K203" s="417" t="s">
        <v>6</v>
      </c>
      <c r="L203" s="421"/>
      <c r="M203" s="339"/>
    </row>
    <row r="204" spans="1:13" x14ac:dyDescent="0.2">
      <c r="A204" s="176" t="s">
        <v>276</v>
      </c>
      <c r="B204" s="177" t="s">
        <v>1530</v>
      </c>
      <c r="C204" s="420" t="s">
        <v>358</v>
      </c>
      <c r="D204" s="416" t="s">
        <v>362</v>
      </c>
      <c r="E204" s="417" t="s">
        <v>74</v>
      </c>
      <c r="F204" s="416" t="s">
        <v>371</v>
      </c>
      <c r="G204" s="417" t="s">
        <v>77</v>
      </c>
      <c r="H204" s="415">
        <v>231</v>
      </c>
      <c r="I204" s="415"/>
      <c r="J204" s="415">
        <v>8</v>
      </c>
      <c r="K204" s="417" t="s">
        <v>6</v>
      </c>
      <c r="L204" s="421" t="s">
        <v>1527</v>
      </c>
      <c r="M204" s="339"/>
    </row>
    <row r="205" spans="1:13" x14ac:dyDescent="0.2">
      <c r="A205" s="176" t="s">
        <v>276</v>
      </c>
      <c r="B205" s="177" t="s">
        <v>1530</v>
      </c>
      <c r="C205" s="420" t="s">
        <v>359</v>
      </c>
      <c r="D205" s="416" t="s">
        <v>362</v>
      </c>
      <c r="E205" s="417" t="s">
        <v>74</v>
      </c>
      <c r="F205" s="416" t="s">
        <v>319</v>
      </c>
      <c r="G205" s="417"/>
      <c r="H205" s="415"/>
      <c r="I205" s="415"/>
      <c r="J205" s="415"/>
      <c r="K205" s="417"/>
      <c r="L205" s="421" t="s">
        <v>482</v>
      </c>
      <c r="M205" s="339"/>
    </row>
    <row r="206" spans="1:13" ht="25.5" x14ac:dyDescent="0.2">
      <c r="A206" s="176" t="s">
        <v>276</v>
      </c>
      <c r="B206" s="177" t="s">
        <v>1530</v>
      </c>
      <c r="C206" s="420" t="s">
        <v>483</v>
      </c>
      <c r="D206" s="416" t="s">
        <v>362</v>
      </c>
      <c r="E206" s="417" t="s">
        <v>74</v>
      </c>
      <c r="F206" s="416" t="s">
        <v>484</v>
      </c>
      <c r="G206" s="417" t="s">
        <v>6</v>
      </c>
      <c r="H206" s="415">
        <v>192</v>
      </c>
      <c r="I206" s="415">
        <v>13</v>
      </c>
      <c r="J206" s="415"/>
      <c r="K206" s="417" t="s">
        <v>77</v>
      </c>
      <c r="L206" s="421" t="s">
        <v>1528</v>
      </c>
      <c r="M206" s="339"/>
    </row>
    <row r="207" spans="1:13" ht="27.75" customHeight="1" x14ac:dyDescent="0.2">
      <c r="A207" s="176" t="s">
        <v>276</v>
      </c>
      <c r="B207" s="177" t="s">
        <v>1530</v>
      </c>
      <c r="C207" s="420" t="s">
        <v>486</v>
      </c>
      <c r="D207" s="416" t="s">
        <v>362</v>
      </c>
      <c r="E207" s="417" t="s">
        <v>74</v>
      </c>
      <c r="F207" s="416" t="s">
        <v>487</v>
      </c>
      <c r="G207" s="417" t="s">
        <v>6</v>
      </c>
      <c r="H207" s="415" t="s">
        <v>299</v>
      </c>
      <c r="I207" s="415">
        <v>13</v>
      </c>
      <c r="J207" s="415"/>
      <c r="K207" s="417" t="s">
        <v>6</v>
      </c>
      <c r="L207" s="421" t="s">
        <v>485</v>
      </c>
      <c r="M207" s="695" t="s">
        <v>2000</v>
      </c>
    </row>
    <row r="208" spans="1:13" x14ac:dyDescent="0.2">
      <c r="A208" s="176" t="s">
        <v>276</v>
      </c>
      <c r="B208" s="177" t="s">
        <v>1530</v>
      </c>
      <c r="C208" s="420" t="s">
        <v>488</v>
      </c>
      <c r="D208" s="416" t="s">
        <v>362</v>
      </c>
      <c r="E208" s="417" t="s">
        <v>74</v>
      </c>
      <c r="F208" s="416" t="s">
        <v>489</v>
      </c>
      <c r="G208" s="417" t="s">
        <v>77</v>
      </c>
      <c r="H208" s="415" t="s">
        <v>299</v>
      </c>
      <c r="I208" s="415">
        <v>13</v>
      </c>
      <c r="J208" s="415"/>
      <c r="K208" s="417" t="s">
        <v>6</v>
      </c>
      <c r="L208" s="421" t="s">
        <v>485</v>
      </c>
      <c r="M208" s="178"/>
    </row>
    <row r="209" spans="1:13" x14ac:dyDescent="0.2">
      <c r="A209" s="176" t="s">
        <v>276</v>
      </c>
      <c r="B209" s="177" t="s">
        <v>1530</v>
      </c>
      <c r="C209" s="420" t="s">
        <v>490</v>
      </c>
      <c r="D209" s="416" t="s">
        <v>362</v>
      </c>
      <c r="E209" s="417" t="s">
        <v>74</v>
      </c>
      <c r="F209" s="416" t="s">
        <v>489</v>
      </c>
      <c r="G209" s="417" t="s">
        <v>77</v>
      </c>
      <c r="H209" s="415" t="s">
        <v>299</v>
      </c>
      <c r="I209" s="415">
        <v>13</v>
      </c>
      <c r="J209" s="415"/>
      <c r="K209" s="417" t="s">
        <v>6</v>
      </c>
      <c r="L209" s="421" t="s">
        <v>485</v>
      </c>
      <c r="M209" s="178"/>
    </row>
    <row r="210" spans="1:13" x14ac:dyDescent="0.2">
      <c r="A210" s="176" t="s">
        <v>276</v>
      </c>
      <c r="B210" s="177" t="s">
        <v>1530</v>
      </c>
      <c r="C210" s="420" t="s">
        <v>491</v>
      </c>
      <c r="D210" s="416" t="s">
        <v>362</v>
      </c>
      <c r="E210" s="417" t="s">
        <v>74</v>
      </c>
      <c r="F210" s="416" t="s">
        <v>452</v>
      </c>
      <c r="G210" s="417" t="s">
        <v>77</v>
      </c>
      <c r="H210" s="415" t="s">
        <v>295</v>
      </c>
      <c r="I210" s="415">
        <v>13</v>
      </c>
      <c r="J210" s="415"/>
      <c r="K210" s="417" t="s">
        <v>6</v>
      </c>
      <c r="L210" s="421" t="s">
        <v>485</v>
      </c>
      <c r="M210" s="178"/>
    </row>
    <row r="211" spans="1:13" x14ac:dyDescent="0.2">
      <c r="A211" s="176" t="s">
        <v>276</v>
      </c>
      <c r="B211" s="177" t="s">
        <v>1530</v>
      </c>
      <c r="C211" s="420" t="s">
        <v>492</v>
      </c>
      <c r="D211" s="416" t="s">
        <v>362</v>
      </c>
      <c r="E211" s="417" t="s">
        <v>74</v>
      </c>
      <c r="F211" s="416" t="s">
        <v>493</v>
      </c>
      <c r="G211" s="417" t="s">
        <v>6</v>
      </c>
      <c r="H211" s="415" t="s">
        <v>299</v>
      </c>
      <c r="I211" s="415">
        <v>13</v>
      </c>
      <c r="J211" s="415"/>
      <c r="K211" s="417" t="s">
        <v>6</v>
      </c>
      <c r="L211" s="421" t="s">
        <v>485</v>
      </c>
      <c r="M211" s="178"/>
    </row>
    <row r="212" spans="1:13" ht="25.5" x14ac:dyDescent="0.2">
      <c r="A212" s="176" t="s">
        <v>276</v>
      </c>
      <c r="B212" s="177" t="s">
        <v>1530</v>
      </c>
      <c r="C212" s="420" t="s">
        <v>494</v>
      </c>
      <c r="D212" s="416" t="s">
        <v>362</v>
      </c>
      <c r="E212" s="417" t="s">
        <v>74</v>
      </c>
      <c r="F212" s="416" t="s">
        <v>484</v>
      </c>
      <c r="G212" s="417" t="s">
        <v>6</v>
      </c>
      <c r="H212" s="415">
        <v>230</v>
      </c>
      <c r="I212" s="415">
        <v>13</v>
      </c>
      <c r="J212" s="415"/>
      <c r="K212" s="417" t="s">
        <v>6</v>
      </c>
      <c r="L212" s="421" t="s">
        <v>1529</v>
      </c>
      <c r="M212" s="178"/>
    </row>
    <row r="213" spans="1:13" x14ac:dyDescent="0.2">
      <c r="A213" s="176" t="s">
        <v>276</v>
      </c>
      <c r="B213" s="177" t="s">
        <v>1530</v>
      </c>
      <c r="C213" s="420" t="s">
        <v>494</v>
      </c>
      <c r="D213" s="416" t="s">
        <v>362</v>
      </c>
      <c r="E213" s="417" t="s">
        <v>74</v>
      </c>
      <c r="F213" s="416" t="s">
        <v>419</v>
      </c>
      <c r="G213" s="417" t="s">
        <v>6</v>
      </c>
      <c r="H213" s="415" t="s">
        <v>299</v>
      </c>
      <c r="I213" s="415">
        <v>13</v>
      </c>
      <c r="J213" s="415"/>
      <c r="K213" s="417" t="s">
        <v>6</v>
      </c>
      <c r="L213" s="421" t="s">
        <v>485</v>
      </c>
      <c r="M213" s="178"/>
    </row>
    <row r="214" spans="1:13" x14ac:dyDescent="0.2">
      <c r="A214" s="176" t="s">
        <v>276</v>
      </c>
      <c r="B214" s="177" t="s">
        <v>1530</v>
      </c>
      <c r="C214" s="420" t="s">
        <v>495</v>
      </c>
      <c r="D214" s="416" t="s">
        <v>362</v>
      </c>
      <c r="E214" s="417" t="s">
        <v>74</v>
      </c>
      <c r="F214" s="416" t="s">
        <v>496</v>
      </c>
      <c r="G214" s="417" t="s">
        <v>77</v>
      </c>
      <c r="H214" s="415" t="s">
        <v>295</v>
      </c>
      <c r="I214" s="415">
        <v>13</v>
      </c>
      <c r="J214" s="415"/>
      <c r="K214" s="417" t="s">
        <v>6</v>
      </c>
      <c r="L214" s="421" t="s">
        <v>485</v>
      </c>
      <c r="M214" s="178"/>
    </row>
    <row r="215" spans="1:13" x14ac:dyDescent="0.2">
      <c r="A215" s="176" t="s">
        <v>276</v>
      </c>
      <c r="B215" s="177" t="s">
        <v>1530</v>
      </c>
      <c r="C215" s="420" t="s">
        <v>497</v>
      </c>
      <c r="D215" s="416" t="s">
        <v>362</v>
      </c>
      <c r="E215" s="417" t="s">
        <v>74</v>
      </c>
      <c r="F215" s="416" t="s">
        <v>489</v>
      </c>
      <c r="G215" s="417" t="s">
        <v>77</v>
      </c>
      <c r="H215" s="415" t="s">
        <v>295</v>
      </c>
      <c r="I215" s="415">
        <v>13</v>
      </c>
      <c r="J215" s="415"/>
      <c r="K215" s="417" t="s">
        <v>6</v>
      </c>
      <c r="L215" s="421" t="s">
        <v>485</v>
      </c>
      <c r="M215" s="178"/>
    </row>
    <row r="216" spans="1:13" x14ac:dyDescent="0.2">
      <c r="A216" s="176" t="s">
        <v>276</v>
      </c>
      <c r="B216" s="177" t="s">
        <v>1530</v>
      </c>
      <c r="C216" s="420" t="s">
        <v>498</v>
      </c>
      <c r="D216" s="416" t="s">
        <v>362</v>
      </c>
      <c r="E216" s="417" t="s">
        <v>74</v>
      </c>
      <c r="F216" s="416" t="s">
        <v>489</v>
      </c>
      <c r="G216" s="417" t="s">
        <v>6</v>
      </c>
      <c r="H216" s="415" t="s">
        <v>299</v>
      </c>
      <c r="I216" s="415">
        <v>13</v>
      </c>
      <c r="J216" s="415"/>
      <c r="K216" s="417" t="s">
        <v>77</v>
      </c>
      <c r="L216" s="421" t="s">
        <v>485</v>
      </c>
      <c r="M216" s="178"/>
    </row>
    <row r="217" spans="1:13" x14ac:dyDescent="0.2">
      <c r="A217" s="176" t="s">
        <v>276</v>
      </c>
      <c r="B217" s="177" t="s">
        <v>1530</v>
      </c>
      <c r="C217" s="420" t="s">
        <v>499</v>
      </c>
      <c r="D217" s="416" t="s">
        <v>500</v>
      </c>
      <c r="E217" s="417" t="s">
        <v>501</v>
      </c>
      <c r="F217" s="416" t="s">
        <v>502</v>
      </c>
      <c r="G217" s="417" t="s">
        <v>77</v>
      </c>
      <c r="H217" s="415" t="s">
        <v>295</v>
      </c>
      <c r="I217" s="415"/>
      <c r="J217" s="417"/>
      <c r="K217" s="417" t="s">
        <v>6</v>
      </c>
      <c r="L217" s="421"/>
      <c r="M217" s="178"/>
    </row>
    <row r="218" spans="1:13" x14ac:dyDescent="0.2">
      <c r="A218" s="176" t="s">
        <v>276</v>
      </c>
      <c r="B218" s="177" t="s">
        <v>1530</v>
      </c>
      <c r="C218" s="420" t="s">
        <v>503</v>
      </c>
      <c r="D218" s="416" t="s">
        <v>500</v>
      </c>
      <c r="E218" s="417" t="s">
        <v>501</v>
      </c>
      <c r="F218" s="416" t="s">
        <v>502</v>
      </c>
      <c r="G218" s="417" t="s">
        <v>77</v>
      </c>
      <c r="H218" s="415" t="s">
        <v>295</v>
      </c>
      <c r="I218" s="415">
        <v>0</v>
      </c>
      <c r="J218" s="417"/>
      <c r="K218" s="417" t="s">
        <v>6</v>
      </c>
      <c r="L218" s="421"/>
      <c r="M218" s="178"/>
    </row>
    <row r="219" spans="1:13" x14ac:dyDescent="0.2">
      <c r="A219" s="176" t="s">
        <v>276</v>
      </c>
      <c r="B219" s="177" t="s">
        <v>1530</v>
      </c>
      <c r="C219" s="420" t="s">
        <v>504</v>
      </c>
      <c r="D219" s="416" t="s">
        <v>500</v>
      </c>
      <c r="E219" s="417" t="s">
        <v>501</v>
      </c>
      <c r="F219" s="416" t="s">
        <v>502</v>
      </c>
      <c r="G219" s="417" t="s">
        <v>77</v>
      </c>
      <c r="H219" s="415" t="s">
        <v>295</v>
      </c>
      <c r="I219" s="415"/>
      <c r="J219" s="417"/>
      <c r="K219" s="417" t="s">
        <v>6</v>
      </c>
      <c r="L219" s="421"/>
      <c r="M219" s="178"/>
    </row>
    <row r="220" spans="1:13" ht="25.5" x14ac:dyDescent="0.2">
      <c r="A220" s="176" t="s">
        <v>276</v>
      </c>
      <c r="B220" s="177" t="s">
        <v>1530</v>
      </c>
      <c r="C220" s="420" t="s">
        <v>505</v>
      </c>
      <c r="D220" s="416" t="s">
        <v>500</v>
      </c>
      <c r="E220" s="417" t="s">
        <v>501</v>
      </c>
      <c r="F220" s="416" t="s">
        <v>502</v>
      </c>
      <c r="G220" s="417" t="s">
        <v>6</v>
      </c>
      <c r="H220" s="415">
        <v>2639</v>
      </c>
      <c r="I220" s="415">
        <v>9</v>
      </c>
      <c r="J220" s="417"/>
      <c r="K220" s="417" t="s">
        <v>77</v>
      </c>
      <c r="L220" s="421" t="s">
        <v>506</v>
      </c>
      <c r="M220" s="339" t="s">
        <v>2018</v>
      </c>
    </row>
    <row r="221" spans="1:13" x14ac:dyDescent="0.2">
      <c r="A221" s="176" t="s">
        <v>276</v>
      </c>
      <c r="B221" s="177" t="s">
        <v>1530</v>
      </c>
      <c r="C221" s="420" t="s">
        <v>507</v>
      </c>
      <c r="D221" s="416" t="s">
        <v>500</v>
      </c>
      <c r="E221" s="417" t="s">
        <v>501</v>
      </c>
      <c r="F221" s="416" t="s">
        <v>502</v>
      </c>
      <c r="G221" s="417" t="s">
        <v>77</v>
      </c>
      <c r="H221" s="415" t="s">
        <v>295</v>
      </c>
      <c r="I221" s="415" t="s">
        <v>508</v>
      </c>
      <c r="J221" s="417"/>
      <c r="K221" s="417" t="s">
        <v>6</v>
      </c>
      <c r="L221" s="418"/>
      <c r="M221" s="178"/>
    </row>
    <row r="222" spans="1:13" x14ac:dyDescent="0.2">
      <c r="A222" s="176" t="s">
        <v>276</v>
      </c>
      <c r="B222" s="177" t="s">
        <v>1530</v>
      </c>
      <c r="C222" s="420" t="s">
        <v>509</v>
      </c>
      <c r="D222" s="416" t="s">
        <v>500</v>
      </c>
      <c r="E222" s="417" t="s">
        <v>501</v>
      </c>
      <c r="F222" s="416" t="s">
        <v>502</v>
      </c>
      <c r="G222" s="417" t="s">
        <v>77</v>
      </c>
      <c r="H222" s="415" t="s">
        <v>295</v>
      </c>
      <c r="I222" s="415" t="s">
        <v>508</v>
      </c>
      <c r="J222" s="417"/>
      <c r="K222" s="417" t="s">
        <v>6</v>
      </c>
      <c r="L222" s="418"/>
      <c r="M222" s="178"/>
    </row>
    <row r="223" spans="1:13" x14ac:dyDescent="0.2">
      <c r="A223" s="176" t="s">
        <v>276</v>
      </c>
      <c r="B223" s="177" t="s">
        <v>1530</v>
      </c>
      <c r="C223" s="420" t="s">
        <v>510</v>
      </c>
      <c r="D223" s="416" t="s">
        <v>500</v>
      </c>
      <c r="E223" s="417" t="s">
        <v>501</v>
      </c>
      <c r="F223" s="416" t="s">
        <v>502</v>
      </c>
      <c r="G223" s="417" t="s">
        <v>77</v>
      </c>
      <c r="H223" s="415" t="s">
        <v>295</v>
      </c>
      <c r="I223" s="415">
        <v>0</v>
      </c>
      <c r="J223" s="417"/>
      <c r="K223" s="417" t="s">
        <v>6</v>
      </c>
      <c r="L223" s="418"/>
      <c r="M223" s="178"/>
    </row>
    <row r="224" spans="1:13" x14ac:dyDescent="0.2">
      <c r="A224" s="176" t="s">
        <v>276</v>
      </c>
      <c r="B224" s="177" t="s">
        <v>1530</v>
      </c>
      <c r="C224" s="420" t="s">
        <v>511</v>
      </c>
      <c r="D224" s="416" t="s">
        <v>500</v>
      </c>
      <c r="E224" s="417" t="s">
        <v>501</v>
      </c>
      <c r="F224" s="416" t="s">
        <v>502</v>
      </c>
      <c r="G224" s="417" t="s">
        <v>77</v>
      </c>
      <c r="H224" s="415" t="s">
        <v>295</v>
      </c>
      <c r="I224" s="415"/>
      <c r="J224" s="417"/>
      <c r="K224" s="417" t="s">
        <v>6</v>
      </c>
      <c r="L224" s="418"/>
      <c r="M224" s="178"/>
    </row>
    <row r="225" spans="1:13" x14ac:dyDescent="0.2">
      <c r="A225" s="176" t="s">
        <v>276</v>
      </c>
      <c r="B225" s="177" t="s">
        <v>1530</v>
      </c>
      <c r="C225" s="420" t="s">
        <v>512</v>
      </c>
      <c r="D225" s="416" t="s">
        <v>500</v>
      </c>
      <c r="E225" s="417" t="s">
        <v>501</v>
      </c>
      <c r="F225" s="416" t="s">
        <v>502</v>
      </c>
      <c r="G225" s="417" t="s">
        <v>77</v>
      </c>
      <c r="H225" s="415" t="s">
        <v>295</v>
      </c>
      <c r="I225" s="415">
        <v>0</v>
      </c>
      <c r="J225" s="417"/>
      <c r="K225" s="417" t="s">
        <v>6</v>
      </c>
      <c r="L225" s="418"/>
      <c r="M225" s="178"/>
    </row>
    <row r="226" spans="1:13" x14ac:dyDescent="0.2">
      <c r="A226" s="176" t="s">
        <v>276</v>
      </c>
      <c r="B226" s="177" t="s">
        <v>1530</v>
      </c>
      <c r="C226" s="420" t="s">
        <v>513</v>
      </c>
      <c r="D226" s="416" t="s">
        <v>500</v>
      </c>
      <c r="E226" s="417" t="s">
        <v>501</v>
      </c>
      <c r="F226" s="416" t="s">
        <v>502</v>
      </c>
      <c r="G226" s="417" t="s">
        <v>77</v>
      </c>
      <c r="H226" s="415" t="s">
        <v>295</v>
      </c>
      <c r="I226" s="415"/>
      <c r="J226" s="417"/>
      <c r="K226" s="417" t="s">
        <v>6</v>
      </c>
      <c r="L226" s="418"/>
      <c r="M226" s="178"/>
    </row>
    <row r="227" spans="1:13" x14ac:dyDescent="0.2">
      <c r="A227" s="176" t="s">
        <v>276</v>
      </c>
      <c r="B227" s="177" t="s">
        <v>1530</v>
      </c>
      <c r="C227" s="420" t="s">
        <v>514</v>
      </c>
      <c r="D227" s="416" t="s">
        <v>500</v>
      </c>
      <c r="E227" s="417" t="s">
        <v>501</v>
      </c>
      <c r="F227" s="416" t="s">
        <v>502</v>
      </c>
      <c r="G227" s="417" t="s">
        <v>77</v>
      </c>
      <c r="H227" s="415" t="s">
        <v>295</v>
      </c>
      <c r="I227" s="415"/>
      <c r="J227" s="417"/>
      <c r="K227" s="417" t="s">
        <v>6</v>
      </c>
      <c r="L227" s="418"/>
      <c r="M227" s="178"/>
    </row>
    <row r="228" spans="1:13" x14ac:dyDescent="0.2">
      <c r="A228" s="176" t="s">
        <v>276</v>
      </c>
      <c r="B228" s="177" t="s">
        <v>1530</v>
      </c>
      <c r="C228" s="420" t="s">
        <v>515</v>
      </c>
      <c r="D228" s="416" t="s">
        <v>500</v>
      </c>
      <c r="E228" s="417" t="s">
        <v>501</v>
      </c>
      <c r="F228" s="416" t="s">
        <v>502</v>
      </c>
      <c r="G228" s="417" t="s">
        <v>77</v>
      </c>
      <c r="H228" s="415" t="s">
        <v>295</v>
      </c>
      <c r="I228" s="415"/>
      <c r="J228" s="417"/>
      <c r="K228" s="417" t="s">
        <v>6</v>
      </c>
      <c r="L228" s="418"/>
      <c r="M228" s="178"/>
    </row>
    <row r="229" spans="1:13" x14ac:dyDescent="0.2">
      <c r="A229" s="176" t="s">
        <v>276</v>
      </c>
      <c r="B229" s="177" t="s">
        <v>1530</v>
      </c>
      <c r="C229" s="420" t="s">
        <v>516</v>
      </c>
      <c r="D229" s="416" t="s">
        <v>500</v>
      </c>
      <c r="E229" s="417" t="s">
        <v>501</v>
      </c>
      <c r="F229" s="416" t="s">
        <v>502</v>
      </c>
      <c r="G229" s="417" t="s">
        <v>77</v>
      </c>
      <c r="H229" s="415" t="s">
        <v>295</v>
      </c>
      <c r="I229" s="415"/>
      <c r="J229" s="417"/>
      <c r="K229" s="417" t="s">
        <v>6</v>
      </c>
      <c r="L229" s="418"/>
      <c r="M229" s="178"/>
    </row>
    <row r="230" spans="1:13" x14ac:dyDescent="0.2">
      <c r="A230" s="176" t="s">
        <v>276</v>
      </c>
      <c r="B230" s="177" t="s">
        <v>1530</v>
      </c>
      <c r="C230" s="420" t="s">
        <v>517</v>
      </c>
      <c r="D230" s="416" t="s">
        <v>500</v>
      </c>
      <c r="E230" s="417" t="s">
        <v>501</v>
      </c>
      <c r="F230" s="416" t="s">
        <v>502</v>
      </c>
      <c r="G230" s="417" t="s">
        <v>77</v>
      </c>
      <c r="H230" s="415" t="s">
        <v>295</v>
      </c>
      <c r="I230" s="415"/>
      <c r="J230" s="417"/>
      <c r="K230" s="417" t="s">
        <v>6</v>
      </c>
      <c r="L230" s="418"/>
      <c r="M230" s="178"/>
    </row>
    <row r="231" spans="1:13" x14ac:dyDescent="0.2">
      <c r="A231" s="176" t="s">
        <v>276</v>
      </c>
      <c r="B231" s="177" t="s">
        <v>1530</v>
      </c>
      <c r="C231" s="420" t="s">
        <v>518</v>
      </c>
      <c r="D231" s="416" t="s">
        <v>500</v>
      </c>
      <c r="E231" s="417" t="s">
        <v>501</v>
      </c>
      <c r="F231" s="416" t="s">
        <v>502</v>
      </c>
      <c r="G231" s="417" t="s">
        <v>77</v>
      </c>
      <c r="H231" s="415" t="s">
        <v>295</v>
      </c>
      <c r="I231" s="415"/>
      <c r="J231" s="417"/>
      <c r="K231" s="417" t="s">
        <v>6</v>
      </c>
      <c r="L231" s="418"/>
      <c r="M231" s="178"/>
    </row>
    <row r="232" spans="1:13" x14ac:dyDescent="0.2">
      <c r="A232" s="176" t="s">
        <v>276</v>
      </c>
      <c r="B232" s="177" t="s">
        <v>1530</v>
      </c>
      <c r="C232" s="420" t="s">
        <v>519</v>
      </c>
      <c r="D232" s="416" t="s">
        <v>500</v>
      </c>
      <c r="E232" s="417" t="s">
        <v>501</v>
      </c>
      <c r="F232" s="416" t="s">
        <v>502</v>
      </c>
      <c r="G232" s="417" t="s">
        <v>77</v>
      </c>
      <c r="H232" s="415" t="s">
        <v>295</v>
      </c>
      <c r="I232" s="415"/>
      <c r="J232" s="417"/>
      <c r="K232" s="417" t="s">
        <v>6</v>
      </c>
      <c r="L232" s="418"/>
      <c r="M232" s="178"/>
    </row>
    <row r="233" spans="1:13" x14ac:dyDescent="0.2">
      <c r="A233" s="176" t="s">
        <v>276</v>
      </c>
      <c r="B233" s="177" t="s">
        <v>1530</v>
      </c>
      <c r="C233" s="420" t="s">
        <v>520</v>
      </c>
      <c r="D233" s="416" t="s">
        <v>500</v>
      </c>
      <c r="E233" s="417" t="s">
        <v>501</v>
      </c>
      <c r="F233" s="416" t="s">
        <v>502</v>
      </c>
      <c r="G233" s="417" t="s">
        <v>77</v>
      </c>
      <c r="H233" s="415" t="s">
        <v>295</v>
      </c>
      <c r="I233" s="415"/>
      <c r="J233" s="417"/>
      <c r="K233" s="417" t="s">
        <v>6</v>
      </c>
      <c r="L233" s="418"/>
      <c r="M233" s="178"/>
    </row>
    <row r="234" spans="1:13" x14ac:dyDescent="0.2">
      <c r="A234" s="176" t="s">
        <v>276</v>
      </c>
      <c r="B234" s="177" t="s">
        <v>1530</v>
      </c>
      <c r="C234" s="420" t="s">
        <v>521</v>
      </c>
      <c r="D234" s="416" t="s">
        <v>500</v>
      </c>
      <c r="E234" s="417" t="s">
        <v>501</v>
      </c>
      <c r="F234" s="416" t="s">
        <v>502</v>
      </c>
      <c r="G234" s="417" t="s">
        <v>77</v>
      </c>
      <c r="H234" s="415" t="s">
        <v>295</v>
      </c>
      <c r="I234" s="415"/>
      <c r="J234" s="417"/>
      <c r="K234" s="417" t="s">
        <v>6</v>
      </c>
      <c r="L234" s="418"/>
      <c r="M234" s="178"/>
    </row>
    <row r="235" spans="1:13" x14ac:dyDescent="0.2">
      <c r="A235" s="176" t="s">
        <v>276</v>
      </c>
      <c r="B235" s="177" t="s">
        <v>1530</v>
      </c>
      <c r="C235" s="420" t="s">
        <v>522</v>
      </c>
      <c r="D235" s="416" t="s">
        <v>500</v>
      </c>
      <c r="E235" s="417" t="s">
        <v>501</v>
      </c>
      <c r="F235" s="416" t="s">
        <v>502</v>
      </c>
      <c r="G235" s="417" t="s">
        <v>77</v>
      </c>
      <c r="H235" s="415" t="s">
        <v>295</v>
      </c>
      <c r="I235" s="415"/>
      <c r="J235" s="417"/>
      <c r="K235" s="417" t="s">
        <v>6</v>
      </c>
      <c r="L235" s="418"/>
      <c r="M235" s="178"/>
    </row>
    <row r="236" spans="1:13" x14ac:dyDescent="0.2">
      <c r="A236" s="176" t="s">
        <v>276</v>
      </c>
      <c r="B236" s="177" t="s">
        <v>1530</v>
      </c>
      <c r="C236" s="420" t="s">
        <v>523</v>
      </c>
      <c r="D236" s="416" t="s">
        <v>500</v>
      </c>
      <c r="E236" s="417" t="s">
        <v>501</v>
      </c>
      <c r="F236" s="416" t="s">
        <v>502</v>
      </c>
      <c r="G236" s="417" t="s">
        <v>77</v>
      </c>
      <c r="H236" s="415" t="s">
        <v>295</v>
      </c>
      <c r="I236" s="415"/>
      <c r="J236" s="417"/>
      <c r="K236" s="417" t="s">
        <v>6</v>
      </c>
      <c r="L236" s="418"/>
      <c r="M236" s="178"/>
    </row>
    <row r="237" spans="1:13" x14ac:dyDescent="0.2">
      <c r="A237" s="176" t="s">
        <v>276</v>
      </c>
      <c r="B237" s="177" t="s">
        <v>1530</v>
      </c>
      <c r="C237" s="420" t="s">
        <v>524</v>
      </c>
      <c r="D237" s="416" t="s">
        <v>500</v>
      </c>
      <c r="E237" s="417" t="s">
        <v>501</v>
      </c>
      <c r="F237" s="416" t="s">
        <v>502</v>
      </c>
      <c r="G237" s="417" t="s">
        <v>77</v>
      </c>
      <c r="H237" s="415" t="s">
        <v>295</v>
      </c>
      <c r="I237" s="415"/>
      <c r="J237" s="417"/>
      <c r="K237" s="417" t="s">
        <v>6</v>
      </c>
      <c r="L237" s="418"/>
      <c r="M237" s="178"/>
    </row>
    <row r="238" spans="1:13" x14ac:dyDescent="0.2">
      <c r="A238" s="176" t="s">
        <v>276</v>
      </c>
      <c r="B238" s="177" t="s">
        <v>1530</v>
      </c>
      <c r="C238" s="420" t="s">
        <v>525</v>
      </c>
      <c r="D238" s="416" t="s">
        <v>500</v>
      </c>
      <c r="E238" s="417" t="s">
        <v>501</v>
      </c>
      <c r="F238" s="416" t="s">
        <v>502</v>
      </c>
      <c r="G238" s="417" t="s">
        <v>77</v>
      </c>
      <c r="H238" s="415" t="s">
        <v>295</v>
      </c>
      <c r="I238" s="415"/>
      <c r="J238" s="417"/>
      <c r="K238" s="417" t="s">
        <v>6</v>
      </c>
      <c r="L238" s="418"/>
      <c r="M238" s="178"/>
    </row>
    <row r="239" spans="1:13" x14ac:dyDescent="0.2">
      <c r="A239" s="176" t="s">
        <v>276</v>
      </c>
      <c r="B239" s="177" t="s">
        <v>1530</v>
      </c>
      <c r="C239" s="420" t="s">
        <v>526</v>
      </c>
      <c r="D239" s="416" t="s">
        <v>500</v>
      </c>
      <c r="E239" s="417" t="s">
        <v>501</v>
      </c>
      <c r="F239" s="416" t="s">
        <v>502</v>
      </c>
      <c r="G239" s="417" t="s">
        <v>77</v>
      </c>
      <c r="H239" s="415" t="s">
        <v>295</v>
      </c>
      <c r="I239" s="415"/>
      <c r="J239" s="417"/>
      <c r="K239" s="417" t="s">
        <v>6</v>
      </c>
      <c r="L239" s="418"/>
      <c r="M239" s="178"/>
    </row>
    <row r="240" spans="1:13" x14ac:dyDescent="0.2">
      <c r="A240" s="1"/>
      <c r="B240" s="1"/>
      <c r="C240" s="1"/>
      <c r="D240" s="1"/>
      <c r="E240" s="1"/>
      <c r="F240" s="1"/>
      <c r="G240" s="1"/>
      <c r="H240" s="1"/>
      <c r="I240" s="1"/>
      <c r="J240" s="1"/>
      <c r="K240" s="1"/>
      <c r="L240" s="1"/>
    </row>
    <row r="241" spans="1:12" x14ac:dyDescent="0.2">
      <c r="A241" s="1"/>
      <c r="B241" s="1"/>
      <c r="C241" s="1"/>
      <c r="D241" s="1"/>
      <c r="E241" s="1"/>
      <c r="F241" s="1"/>
      <c r="G241" s="1"/>
      <c r="H241" s="1"/>
      <c r="I241" s="1"/>
      <c r="J241" s="1"/>
      <c r="K241" s="1"/>
      <c r="L241" s="1"/>
    </row>
    <row r="242" spans="1:12" x14ac:dyDescent="0.2">
      <c r="A242" s="1"/>
      <c r="B242" s="1"/>
      <c r="C242" s="1"/>
      <c r="D242" s="1"/>
      <c r="E242" s="1"/>
      <c r="F242" s="1"/>
      <c r="G242" s="1"/>
      <c r="H242" s="1"/>
      <c r="I242" s="1"/>
      <c r="J242" s="1"/>
      <c r="K242" s="1"/>
      <c r="L242" s="1"/>
    </row>
    <row r="243" spans="1:12" x14ac:dyDescent="0.2">
      <c r="A243" s="1"/>
      <c r="B243" s="1"/>
      <c r="C243" s="1"/>
      <c r="D243" s="1"/>
      <c r="E243" s="1"/>
      <c r="F243" s="1"/>
      <c r="G243" s="1"/>
      <c r="H243" s="1"/>
      <c r="I243" s="1"/>
      <c r="J243" s="1"/>
      <c r="K243" s="1"/>
      <c r="L243" s="1"/>
    </row>
    <row r="244" spans="1:12" x14ac:dyDescent="0.2">
      <c r="A244" s="1"/>
      <c r="B244" s="1"/>
      <c r="C244" s="1"/>
      <c r="D244" s="1"/>
      <c r="E244" s="1"/>
      <c r="F244" s="1"/>
      <c r="G244" s="1"/>
      <c r="H244" s="1"/>
      <c r="I244" s="1"/>
      <c r="J244" s="1"/>
      <c r="K244" s="1"/>
      <c r="L244" s="1"/>
    </row>
    <row r="245" spans="1:12" x14ac:dyDescent="0.2">
      <c r="A245" s="1"/>
      <c r="B245" s="1"/>
      <c r="C245" s="1"/>
      <c r="D245" s="1"/>
      <c r="E245" s="1"/>
      <c r="F245" s="1"/>
      <c r="G245" s="1"/>
      <c r="H245" s="1"/>
      <c r="I245" s="1"/>
      <c r="J245" s="1"/>
      <c r="K245" s="1"/>
      <c r="L245" s="1"/>
    </row>
    <row r="246" spans="1:12" x14ac:dyDescent="0.2">
      <c r="A246" s="1"/>
      <c r="B246" s="1"/>
      <c r="C246" s="1"/>
      <c r="D246" s="1"/>
      <c r="E246" s="1"/>
      <c r="F246" s="1"/>
      <c r="G246" s="1"/>
      <c r="H246" s="1"/>
      <c r="I246" s="1"/>
      <c r="J246" s="1"/>
      <c r="K246" s="1"/>
      <c r="L246" s="1"/>
    </row>
    <row r="247" spans="1:12" x14ac:dyDescent="0.2">
      <c r="A247" s="1"/>
      <c r="B247" s="1"/>
      <c r="C247" s="1"/>
      <c r="D247" s="1"/>
      <c r="E247" s="1"/>
      <c r="F247" s="1"/>
      <c r="G247" s="1"/>
      <c r="H247" s="1"/>
      <c r="I247" s="1"/>
      <c r="J247" s="1"/>
      <c r="K247" s="1"/>
      <c r="L247" s="1"/>
    </row>
    <row r="248" spans="1:12" x14ac:dyDescent="0.2">
      <c r="A248" s="1"/>
      <c r="B248" s="1"/>
      <c r="C248" s="1"/>
      <c r="D248" s="1"/>
      <c r="E248" s="1"/>
      <c r="F248" s="1"/>
      <c r="G248" s="1"/>
      <c r="H248" s="1"/>
      <c r="I248" s="1"/>
      <c r="J248" s="1"/>
      <c r="K248" s="1"/>
      <c r="L248" s="1"/>
    </row>
    <row r="249" spans="1:12" x14ac:dyDescent="0.2">
      <c r="A249" s="1"/>
      <c r="B249" s="1"/>
      <c r="C249" s="1"/>
      <c r="D249" s="1"/>
      <c r="E249" s="1"/>
      <c r="F249" s="1"/>
      <c r="G249" s="1"/>
      <c r="H249" s="1"/>
      <c r="I249" s="1"/>
      <c r="J249" s="1"/>
      <c r="K249" s="1"/>
      <c r="L249" s="1"/>
    </row>
  </sheetData>
  <pageMargins left="0.7" right="0.7" top="0.75" bottom="0.75" header="0.3" footer="0.3"/>
  <pageSetup paperSize="9"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Y463"/>
  <sheetViews>
    <sheetView zoomScaleNormal="100" workbookViewId="0">
      <pane ySplit="5" topLeftCell="A18" activePane="bottomLeft" state="frozen"/>
      <selection pane="bottomLeft" activeCell="A40" sqref="A40:XFD40"/>
    </sheetView>
  </sheetViews>
  <sheetFormatPr defaultColWidth="8.85546875" defaultRowHeight="12.75" x14ac:dyDescent="0.2"/>
  <cols>
    <col min="1" max="1" width="8" style="1" customWidth="1"/>
    <col min="2" max="2" width="18" style="5" customWidth="1"/>
    <col min="3" max="3" width="18.7109375" style="1" customWidth="1"/>
    <col min="4" max="4" width="10.85546875" style="1" customWidth="1"/>
    <col min="5" max="5" width="11" style="1" customWidth="1"/>
    <col min="6" max="6" width="10.42578125" style="1" customWidth="1"/>
    <col min="7" max="7" width="3.28515625" style="1" bestFit="1" customWidth="1"/>
    <col min="8" max="8" width="3.28515625" style="1" customWidth="1"/>
    <col min="9" max="21" width="3.28515625" style="1" bestFit="1" customWidth="1"/>
    <col min="22" max="22" width="3.28515625" style="1" customWidth="1"/>
    <col min="23" max="23" width="3.28515625" style="1" bestFit="1" customWidth="1"/>
    <col min="24" max="24" width="3.7109375" style="1" customWidth="1"/>
    <col min="25" max="25" width="52.7109375" style="1" customWidth="1"/>
    <col min="26" max="26" width="19.42578125" style="1" customWidth="1"/>
    <col min="27" max="16384" width="8.85546875" style="1"/>
  </cols>
  <sheetData>
    <row r="1" spans="1:25" ht="13.5" thickBot="1" x14ac:dyDescent="0.25">
      <c r="A1" s="7" t="s">
        <v>47</v>
      </c>
      <c r="B1" s="1"/>
      <c r="C1" s="36"/>
    </row>
    <row r="2" spans="1:25" x14ac:dyDescent="0.2">
      <c r="A2" s="777"/>
      <c r="B2" s="778"/>
      <c r="C2" s="778"/>
      <c r="D2" s="778"/>
      <c r="E2" s="778"/>
      <c r="F2" s="778"/>
      <c r="G2" s="778"/>
      <c r="H2" s="778"/>
      <c r="I2" s="778"/>
      <c r="J2" s="778"/>
      <c r="K2" s="778"/>
      <c r="L2" s="778"/>
      <c r="M2" s="778"/>
      <c r="N2" s="778"/>
      <c r="O2" s="778"/>
      <c r="P2" s="778"/>
      <c r="Q2" s="779"/>
      <c r="R2" s="762" t="s">
        <v>534</v>
      </c>
      <c r="S2" s="763"/>
      <c r="T2" s="763"/>
      <c r="U2" s="763"/>
      <c r="V2" s="763"/>
      <c r="W2" s="763"/>
      <c r="X2" s="763"/>
      <c r="Y2" s="180" t="s">
        <v>1484</v>
      </c>
    </row>
    <row r="3" spans="1:25" ht="13.5" thickBot="1" x14ac:dyDescent="0.25">
      <c r="A3" s="780"/>
      <c r="B3" s="781"/>
      <c r="C3" s="781"/>
      <c r="D3" s="781"/>
      <c r="E3" s="781"/>
      <c r="F3" s="781"/>
      <c r="G3" s="781"/>
      <c r="H3" s="781"/>
      <c r="I3" s="781"/>
      <c r="J3" s="781"/>
      <c r="K3" s="781"/>
      <c r="L3" s="781"/>
      <c r="M3" s="781"/>
      <c r="N3" s="781"/>
      <c r="O3" s="781"/>
      <c r="P3" s="781"/>
      <c r="Q3" s="782"/>
      <c r="R3" s="760" t="s">
        <v>1480</v>
      </c>
      <c r="S3" s="761"/>
      <c r="T3" s="761"/>
      <c r="U3" s="761"/>
      <c r="V3" s="761"/>
      <c r="W3" s="761"/>
      <c r="X3" s="761"/>
      <c r="Y3" s="183" t="s">
        <v>1531</v>
      </c>
    </row>
    <row r="4" spans="1:25" ht="25.5" customHeight="1" x14ac:dyDescent="0.2">
      <c r="A4" s="758" t="s">
        <v>0</v>
      </c>
      <c r="B4" s="767" t="s">
        <v>8</v>
      </c>
      <c r="C4" s="769" t="s">
        <v>1</v>
      </c>
      <c r="D4" s="770" t="s">
        <v>5</v>
      </c>
      <c r="E4" s="767" t="s">
        <v>18</v>
      </c>
      <c r="F4" s="772" t="s">
        <v>9</v>
      </c>
      <c r="G4" s="764" t="s">
        <v>42</v>
      </c>
      <c r="H4" s="765"/>
      <c r="I4" s="766"/>
      <c r="J4" s="775" t="s">
        <v>19</v>
      </c>
      <c r="K4" s="767"/>
      <c r="L4" s="776"/>
      <c r="M4" s="758" t="s">
        <v>20</v>
      </c>
      <c r="N4" s="770"/>
      <c r="O4" s="774"/>
      <c r="P4" s="758" t="s">
        <v>21</v>
      </c>
      <c r="Q4" s="770"/>
      <c r="R4" s="774"/>
      <c r="S4" s="758" t="s">
        <v>22</v>
      </c>
      <c r="T4" s="770"/>
      <c r="U4" s="774"/>
      <c r="V4" s="758" t="s">
        <v>23</v>
      </c>
      <c r="W4" s="770"/>
      <c r="X4" s="774"/>
      <c r="Y4" s="368" t="s">
        <v>4</v>
      </c>
    </row>
    <row r="5" spans="1:25" s="367" customFormat="1" ht="27" thickBot="1" x14ac:dyDescent="0.25">
      <c r="A5" s="759"/>
      <c r="B5" s="768"/>
      <c r="C5" s="768"/>
      <c r="D5" s="768"/>
      <c r="E5" s="771"/>
      <c r="F5" s="773"/>
      <c r="G5" s="369">
        <v>2020</v>
      </c>
      <c r="H5" s="370">
        <v>2021</v>
      </c>
      <c r="I5" s="371"/>
      <c r="J5" s="369">
        <v>2020</v>
      </c>
      <c r="K5" s="370">
        <v>2021</v>
      </c>
      <c r="L5" s="371"/>
      <c r="M5" s="369">
        <v>2020</v>
      </c>
      <c r="N5" s="370">
        <v>2021</v>
      </c>
      <c r="O5" s="371"/>
      <c r="P5" s="369">
        <v>2020</v>
      </c>
      <c r="Q5" s="370">
        <v>2021</v>
      </c>
      <c r="R5" s="371"/>
      <c r="S5" s="369">
        <v>2020</v>
      </c>
      <c r="T5" s="370">
        <v>2021</v>
      </c>
      <c r="U5" s="371"/>
      <c r="V5" s="369">
        <v>2020</v>
      </c>
      <c r="W5" s="370">
        <v>2021</v>
      </c>
      <c r="X5" s="371"/>
      <c r="Y5" s="372"/>
    </row>
    <row r="6" spans="1:25" ht="30.75" customHeight="1" thickTop="1" x14ac:dyDescent="0.2">
      <c r="A6" s="184" t="s">
        <v>276</v>
      </c>
      <c r="B6" s="422" t="s">
        <v>366</v>
      </c>
      <c r="C6" s="426" t="s">
        <v>362</v>
      </c>
      <c r="D6" s="426" t="s">
        <v>74</v>
      </c>
      <c r="E6" s="426" t="s">
        <v>367</v>
      </c>
      <c r="F6" s="427" t="s">
        <v>196</v>
      </c>
      <c r="G6" s="428" t="s">
        <v>150</v>
      </c>
      <c r="H6" s="426" t="s">
        <v>150</v>
      </c>
      <c r="I6" s="429"/>
      <c r="J6" s="429" t="s">
        <v>150</v>
      </c>
      <c r="K6" s="429" t="s">
        <v>150</v>
      </c>
      <c r="L6" s="429"/>
      <c r="M6" s="428" t="s">
        <v>150</v>
      </c>
      <c r="N6" s="426" t="s">
        <v>150</v>
      </c>
      <c r="O6" s="429"/>
      <c r="P6" s="428" t="s">
        <v>150</v>
      </c>
      <c r="Q6" s="426" t="s">
        <v>150</v>
      </c>
      <c r="R6" s="429" t="s">
        <v>150</v>
      </c>
      <c r="S6" s="428" t="s">
        <v>150</v>
      </c>
      <c r="T6" s="426" t="s">
        <v>150</v>
      </c>
      <c r="U6" s="429"/>
      <c r="V6" s="755"/>
      <c r="W6" s="756"/>
      <c r="X6" s="757"/>
      <c r="Y6" s="423" t="s">
        <v>535</v>
      </c>
    </row>
    <row r="7" spans="1:25" x14ac:dyDescent="0.2">
      <c r="A7" s="184" t="s">
        <v>276</v>
      </c>
      <c r="B7" s="422" t="s">
        <v>344</v>
      </c>
      <c r="C7" s="426" t="s">
        <v>362</v>
      </c>
      <c r="D7" s="426" t="s">
        <v>7</v>
      </c>
      <c r="E7" s="426" t="s">
        <v>368</v>
      </c>
      <c r="F7" s="427" t="s">
        <v>196</v>
      </c>
      <c r="G7" s="428" t="s">
        <v>150</v>
      </c>
      <c r="H7" s="426" t="s">
        <v>150</v>
      </c>
      <c r="I7" s="429"/>
      <c r="J7" s="430"/>
      <c r="K7" s="427"/>
      <c r="L7" s="429"/>
      <c r="M7" s="428" t="s">
        <v>150</v>
      </c>
      <c r="N7" s="426" t="s">
        <v>150</v>
      </c>
      <c r="O7" s="429"/>
      <c r="P7" s="428"/>
      <c r="Q7" s="426"/>
      <c r="R7" s="429"/>
      <c r="S7" s="428"/>
      <c r="T7" s="426"/>
      <c r="U7" s="429"/>
      <c r="V7" s="755"/>
      <c r="W7" s="756"/>
      <c r="X7" s="757"/>
      <c r="Y7" s="423"/>
    </row>
    <row r="8" spans="1:25" x14ac:dyDescent="0.2">
      <c r="A8" s="184" t="s">
        <v>276</v>
      </c>
      <c r="B8" s="422" t="s">
        <v>370</v>
      </c>
      <c r="C8" s="426" t="s">
        <v>362</v>
      </c>
      <c r="D8" s="426" t="s">
        <v>7</v>
      </c>
      <c r="E8" s="426" t="s">
        <v>367</v>
      </c>
      <c r="F8" s="431" t="s">
        <v>536</v>
      </c>
      <c r="G8" s="432" t="s">
        <v>150</v>
      </c>
      <c r="H8" s="433" t="s">
        <v>150</v>
      </c>
      <c r="I8" s="434"/>
      <c r="J8" s="435"/>
      <c r="K8" s="436"/>
      <c r="L8" s="437"/>
      <c r="M8" s="432" t="s">
        <v>150</v>
      </c>
      <c r="N8" s="433" t="s">
        <v>150</v>
      </c>
      <c r="O8" s="434"/>
      <c r="P8" s="432" t="s">
        <v>150</v>
      </c>
      <c r="Q8" s="433" t="s">
        <v>150</v>
      </c>
      <c r="R8" s="434" t="s">
        <v>150</v>
      </c>
      <c r="S8" s="432"/>
      <c r="T8" s="433"/>
      <c r="U8" s="434"/>
      <c r="V8" s="755"/>
      <c r="W8" s="756"/>
      <c r="X8" s="757"/>
      <c r="Y8" s="423" t="s">
        <v>537</v>
      </c>
    </row>
    <row r="9" spans="1:25" x14ac:dyDescent="0.2">
      <c r="A9" s="184" t="s">
        <v>276</v>
      </c>
      <c r="B9" s="422" t="s">
        <v>380</v>
      </c>
      <c r="C9" s="426" t="s">
        <v>362</v>
      </c>
      <c r="D9" s="426" t="s">
        <v>74</v>
      </c>
      <c r="E9" s="426" t="s">
        <v>371</v>
      </c>
      <c r="F9" s="431" t="s">
        <v>536</v>
      </c>
      <c r="G9" s="432" t="s">
        <v>150</v>
      </c>
      <c r="H9" s="433" t="s">
        <v>150</v>
      </c>
      <c r="I9" s="434"/>
      <c r="J9" s="435"/>
      <c r="K9" s="436"/>
      <c r="L9" s="437"/>
      <c r="M9" s="432" t="s">
        <v>150</v>
      </c>
      <c r="N9" s="433" t="s">
        <v>150</v>
      </c>
      <c r="O9" s="434"/>
      <c r="P9" s="432" t="s">
        <v>150</v>
      </c>
      <c r="Q9" s="433" t="s">
        <v>150</v>
      </c>
      <c r="R9" s="434" t="s">
        <v>150</v>
      </c>
      <c r="S9" s="432"/>
      <c r="T9" s="433"/>
      <c r="U9" s="434"/>
      <c r="V9" s="755"/>
      <c r="W9" s="756"/>
      <c r="X9" s="757"/>
      <c r="Y9" s="423"/>
    </row>
    <row r="10" spans="1:25" x14ac:dyDescent="0.2">
      <c r="A10" s="184" t="s">
        <v>276</v>
      </c>
      <c r="B10" s="422" t="s">
        <v>297</v>
      </c>
      <c r="C10" s="426" t="s">
        <v>362</v>
      </c>
      <c r="D10" s="426" t="s">
        <v>74</v>
      </c>
      <c r="E10" s="426" t="s">
        <v>383</v>
      </c>
      <c r="F10" s="427" t="s">
        <v>538</v>
      </c>
      <c r="G10" s="428" t="s">
        <v>150</v>
      </c>
      <c r="H10" s="426" t="s">
        <v>150</v>
      </c>
      <c r="I10" s="429"/>
      <c r="J10" s="429" t="s">
        <v>150</v>
      </c>
      <c r="K10" s="429" t="s">
        <v>150</v>
      </c>
      <c r="L10" s="429"/>
      <c r="M10" s="428" t="s">
        <v>150</v>
      </c>
      <c r="N10" s="426" t="s">
        <v>150</v>
      </c>
      <c r="O10" s="429"/>
      <c r="P10" s="428" t="s">
        <v>150</v>
      </c>
      <c r="Q10" s="426" t="s">
        <v>150</v>
      </c>
      <c r="R10" s="429" t="s">
        <v>150</v>
      </c>
      <c r="S10" s="428" t="s">
        <v>150</v>
      </c>
      <c r="T10" s="426" t="s">
        <v>150</v>
      </c>
      <c r="U10" s="429"/>
      <c r="V10" s="755"/>
      <c r="W10" s="756"/>
      <c r="X10" s="757"/>
      <c r="Y10" s="423"/>
    </row>
    <row r="11" spans="1:25" x14ac:dyDescent="0.2">
      <c r="A11" s="184" t="s">
        <v>276</v>
      </c>
      <c r="B11" s="422" t="s">
        <v>297</v>
      </c>
      <c r="C11" s="426" t="s">
        <v>362</v>
      </c>
      <c r="D11" s="426" t="s">
        <v>74</v>
      </c>
      <c r="E11" s="426" t="s">
        <v>384</v>
      </c>
      <c r="F11" s="427" t="s">
        <v>538</v>
      </c>
      <c r="G11" s="428" t="s">
        <v>150</v>
      </c>
      <c r="H11" s="426" t="s">
        <v>150</v>
      </c>
      <c r="I11" s="429"/>
      <c r="J11" s="429" t="s">
        <v>150</v>
      </c>
      <c r="K11" s="429" t="s">
        <v>150</v>
      </c>
      <c r="L11" s="429"/>
      <c r="M11" s="428" t="s">
        <v>150</v>
      </c>
      <c r="N11" s="426" t="s">
        <v>150</v>
      </c>
      <c r="O11" s="429"/>
      <c r="P11" s="428" t="s">
        <v>150</v>
      </c>
      <c r="Q11" s="426" t="s">
        <v>150</v>
      </c>
      <c r="R11" s="429" t="s">
        <v>150</v>
      </c>
      <c r="S11" s="428" t="s">
        <v>150</v>
      </c>
      <c r="T11" s="426" t="s">
        <v>150</v>
      </c>
      <c r="U11" s="429"/>
      <c r="V11" s="755"/>
      <c r="W11" s="756"/>
      <c r="X11" s="757"/>
      <c r="Y11" s="423"/>
    </row>
    <row r="12" spans="1:25" x14ac:dyDescent="0.2">
      <c r="A12" s="184" t="s">
        <v>276</v>
      </c>
      <c r="B12" s="422" t="s">
        <v>297</v>
      </c>
      <c r="C12" s="426" t="s">
        <v>362</v>
      </c>
      <c r="D12" s="426" t="s">
        <v>74</v>
      </c>
      <c r="E12" s="426" t="s">
        <v>385</v>
      </c>
      <c r="F12" s="427" t="s">
        <v>538</v>
      </c>
      <c r="G12" s="428" t="s">
        <v>150</v>
      </c>
      <c r="H12" s="426" t="s">
        <v>150</v>
      </c>
      <c r="I12" s="429"/>
      <c r="J12" s="429" t="s">
        <v>150</v>
      </c>
      <c r="K12" s="429" t="s">
        <v>150</v>
      </c>
      <c r="L12" s="429"/>
      <c r="M12" s="428" t="s">
        <v>150</v>
      </c>
      <c r="N12" s="426" t="s">
        <v>150</v>
      </c>
      <c r="O12" s="429"/>
      <c r="P12" s="428" t="s">
        <v>150</v>
      </c>
      <c r="Q12" s="426" t="s">
        <v>150</v>
      </c>
      <c r="R12" s="429" t="s">
        <v>150</v>
      </c>
      <c r="S12" s="428" t="s">
        <v>150</v>
      </c>
      <c r="T12" s="426" t="s">
        <v>150</v>
      </c>
      <c r="U12" s="429"/>
      <c r="V12" s="755"/>
      <c r="W12" s="756"/>
      <c r="X12" s="757"/>
      <c r="Y12" s="425" t="s">
        <v>386</v>
      </c>
    </row>
    <row r="13" spans="1:25" x14ac:dyDescent="0.2">
      <c r="A13" s="184" t="s">
        <v>276</v>
      </c>
      <c r="B13" s="422" t="s">
        <v>75</v>
      </c>
      <c r="C13" s="426" t="s">
        <v>362</v>
      </c>
      <c r="D13" s="426" t="s">
        <v>74</v>
      </c>
      <c r="E13" s="426" t="s">
        <v>365</v>
      </c>
      <c r="F13" s="427" t="s">
        <v>538</v>
      </c>
      <c r="G13" s="428" t="s">
        <v>150</v>
      </c>
      <c r="H13" s="426" t="s">
        <v>150</v>
      </c>
      <c r="I13" s="429"/>
      <c r="J13" s="429" t="s">
        <v>150</v>
      </c>
      <c r="K13" s="429" t="s">
        <v>150</v>
      </c>
      <c r="L13" s="429"/>
      <c r="M13" s="428" t="s">
        <v>150</v>
      </c>
      <c r="N13" s="426" t="s">
        <v>150</v>
      </c>
      <c r="O13" s="429"/>
      <c r="P13" s="428" t="s">
        <v>150</v>
      </c>
      <c r="Q13" s="426" t="s">
        <v>150</v>
      </c>
      <c r="R13" s="429" t="s">
        <v>150</v>
      </c>
      <c r="S13" s="428" t="s">
        <v>150</v>
      </c>
      <c r="T13" s="426" t="s">
        <v>150</v>
      </c>
      <c r="U13" s="429"/>
      <c r="V13" s="755"/>
      <c r="W13" s="756"/>
      <c r="X13" s="757"/>
      <c r="Y13" s="423"/>
    </row>
    <row r="14" spans="1:25" x14ac:dyDescent="0.2">
      <c r="A14" s="184" t="s">
        <v>276</v>
      </c>
      <c r="B14" s="422" t="s">
        <v>75</v>
      </c>
      <c r="C14" s="426" t="s">
        <v>362</v>
      </c>
      <c r="D14" s="426" t="s">
        <v>74</v>
      </c>
      <c r="E14" s="426" t="s">
        <v>384</v>
      </c>
      <c r="F14" s="427" t="s">
        <v>538</v>
      </c>
      <c r="G14" s="428" t="s">
        <v>150</v>
      </c>
      <c r="H14" s="426" t="s">
        <v>150</v>
      </c>
      <c r="I14" s="429"/>
      <c r="J14" s="429" t="s">
        <v>150</v>
      </c>
      <c r="K14" s="429" t="s">
        <v>150</v>
      </c>
      <c r="L14" s="429"/>
      <c r="M14" s="428" t="s">
        <v>150</v>
      </c>
      <c r="N14" s="426" t="s">
        <v>150</v>
      </c>
      <c r="O14" s="429"/>
      <c r="P14" s="428" t="s">
        <v>150</v>
      </c>
      <c r="Q14" s="426" t="s">
        <v>150</v>
      </c>
      <c r="R14" s="429" t="s">
        <v>150</v>
      </c>
      <c r="S14" s="428" t="s">
        <v>150</v>
      </c>
      <c r="T14" s="426" t="s">
        <v>150</v>
      </c>
      <c r="U14" s="429"/>
      <c r="V14" s="755"/>
      <c r="W14" s="756"/>
      <c r="X14" s="757"/>
      <c r="Y14" s="423"/>
    </row>
    <row r="15" spans="1:25" x14ac:dyDescent="0.2">
      <c r="A15" s="184" t="s">
        <v>276</v>
      </c>
      <c r="B15" s="422" t="s">
        <v>75</v>
      </c>
      <c r="C15" s="426" t="s">
        <v>362</v>
      </c>
      <c r="D15" s="426" t="s">
        <v>74</v>
      </c>
      <c r="E15" s="426" t="s">
        <v>411</v>
      </c>
      <c r="F15" s="427" t="s">
        <v>538</v>
      </c>
      <c r="G15" s="428" t="s">
        <v>150</v>
      </c>
      <c r="H15" s="426" t="s">
        <v>150</v>
      </c>
      <c r="I15" s="429"/>
      <c r="J15" s="429" t="s">
        <v>150</v>
      </c>
      <c r="K15" s="429" t="s">
        <v>150</v>
      </c>
      <c r="L15" s="429"/>
      <c r="M15" s="428" t="s">
        <v>150</v>
      </c>
      <c r="N15" s="426" t="s">
        <v>150</v>
      </c>
      <c r="O15" s="429"/>
      <c r="P15" s="428" t="s">
        <v>150</v>
      </c>
      <c r="Q15" s="426" t="s">
        <v>150</v>
      </c>
      <c r="R15" s="429" t="s">
        <v>150</v>
      </c>
      <c r="S15" s="428" t="s">
        <v>150</v>
      </c>
      <c r="T15" s="426" t="s">
        <v>150</v>
      </c>
      <c r="U15" s="429"/>
      <c r="V15" s="755"/>
      <c r="W15" s="756"/>
      <c r="X15" s="757"/>
      <c r="Y15" s="423"/>
    </row>
    <row r="16" spans="1:25" x14ac:dyDescent="0.2">
      <c r="A16" s="184" t="s">
        <v>276</v>
      </c>
      <c r="B16" s="422" t="s">
        <v>324</v>
      </c>
      <c r="C16" s="426" t="s">
        <v>362</v>
      </c>
      <c r="D16" s="426" t="s">
        <v>7</v>
      </c>
      <c r="E16" s="426" t="s">
        <v>412</v>
      </c>
      <c r="F16" s="427" t="s">
        <v>196</v>
      </c>
      <c r="G16" s="428" t="s">
        <v>150</v>
      </c>
      <c r="H16" s="426" t="s">
        <v>150</v>
      </c>
      <c r="I16" s="429"/>
      <c r="J16" s="438"/>
      <c r="K16" s="439"/>
      <c r="L16" s="440"/>
      <c r="M16" s="428" t="s">
        <v>150</v>
      </c>
      <c r="N16" s="426" t="s">
        <v>150</v>
      </c>
      <c r="O16" s="429"/>
      <c r="P16" s="428" t="s">
        <v>150</v>
      </c>
      <c r="Q16" s="426" t="s">
        <v>150</v>
      </c>
      <c r="R16" s="429"/>
      <c r="S16" s="428"/>
      <c r="T16" s="426"/>
      <c r="U16" s="429"/>
      <c r="V16" s="755"/>
      <c r="W16" s="756"/>
      <c r="X16" s="757"/>
      <c r="Y16" s="423"/>
    </row>
    <row r="17" spans="1:25" x14ac:dyDescent="0.2">
      <c r="A17" s="184" t="s">
        <v>276</v>
      </c>
      <c r="B17" s="422" t="s">
        <v>413</v>
      </c>
      <c r="C17" s="426" t="s">
        <v>362</v>
      </c>
      <c r="D17" s="426" t="s">
        <v>7</v>
      </c>
      <c r="E17" s="426" t="s">
        <v>371</v>
      </c>
      <c r="F17" s="431" t="s">
        <v>536</v>
      </c>
      <c r="G17" s="432" t="s">
        <v>150</v>
      </c>
      <c r="H17" s="433" t="s">
        <v>150</v>
      </c>
      <c r="I17" s="434"/>
      <c r="J17" s="435"/>
      <c r="K17" s="436"/>
      <c r="L17" s="437"/>
      <c r="M17" s="432" t="s">
        <v>150</v>
      </c>
      <c r="N17" s="433" t="s">
        <v>150</v>
      </c>
      <c r="O17" s="434"/>
      <c r="P17" s="432" t="s">
        <v>150</v>
      </c>
      <c r="Q17" s="433" t="s">
        <v>150</v>
      </c>
      <c r="R17" s="434" t="s">
        <v>150</v>
      </c>
      <c r="S17" s="433"/>
      <c r="T17" s="433"/>
      <c r="U17" s="434"/>
      <c r="V17" s="755"/>
      <c r="W17" s="756"/>
      <c r="X17" s="757"/>
      <c r="Y17" s="423"/>
    </row>
    <row r="18" spans="1:25" x14ac:dyDescent="0.2">
      <c r="A18" s="184" t="s">
        <v>276</v>
      </c>
      <c r="B18" s="422" t="s">
        <v>327</v>
      </c>
      <c r="C18" s="426" t="s">
        <v>362</v>
      </c>
      <c r="D18" s="426" t="s">
        <v>74</v>
      </c>
      <c r="E18" s="426" t="s">
        <v>419</v>
      </c>
      <c r="F18" s="427" t="s">
        <v>196</v>
      </c>
      <c r="G18" s="428" t="s">
        <v>150</v>
      </c>
      <c r="H18" s="426" t="s">
        <v>150</v>
      </c>
      <c r="I18" s="429"/>
      <c r="J18" s="429" t="s">
        <v>150</v>
      </c>
      <c r="K18" s="429" t="s">
        <v>150</v>
      </c>
      <c r="L18" s="429"/>
      <c r="M18" s="428" t="s">
        <v>150</v>
      </c>
      <c r="N18" s="426" t="s">
        <v>150</v>
      </c>
      <c r="O18" s="429"/>
      <c r="P18" s="428" t="s">
        <v>150</v>
      </c>
      <c r="Q18" s="426" t="s">
        <v>150</v>
      </c>
      <c r="R18" s="429" t="s">
        <v>150</v>
      </c>
      <c r="S18" s="428" t="s">
        <v>150</v>
      </c>
      <c r="T18" s="426" t="s">
        <v>150</v>
      </c>
      <c r="U18" s="429"/>
      <c r="V18" s="755"/>
      <c r="W18" s="756"/>
      <c r="X18" s="757"/>
      <c r="Y18" s="423"/>
    </row>
    <row r="19" spans="1:25" x14ac:dyDescent="0.2">
      <c r="A19" s="184" t="s">
        <v>276</v>
      </c>
      <c r="B19" s="422" t="s">
        <v>327</v>
      </c>
      <c r="C19" s="426" t="s">
        <v>362</v>
      </c>
      <c r="D19" s="426" t="s">
        <v>74</v>
      </c>
      <c r="E19" s="426" t="s">
        <v>420</v>
      </c>
      <c r="F19" s="427" t="s">
        <v>196</v>
      </c>
      <c r="G19" s="428" t="s">
        <v>150</v>
      </c>
      <c r="H19" s="426" t="s">
        <v>150</v>
      </c>
      <c r="I19" s="429"/>
      <c r="J19" s="429" t="s">
        <v>150</v>
      </c>
      <c r="K19" s="429" t="s">
        <v>150</v>
      </c>
      <c r="L19" s="429"/>
      <c r="M19" s="428" t="s">
        <v>150</v>
      </c>
      <c r="N19" s="426" t="s">
        <v>150</v>
      </c>
      <c r="O19" s="429"/>
      <c r="P19" s="428" t="s">
        <v>150</v>
      </c>
      <c r="Q19" s="426" t="s">
        <v>150</v>
      </c>
      <c r="R19" s="429" t="s">
        <v>150</v>
      </c>
      <c r="S19" s="428" t="s">
        <v>150</v>
      </c>
      <c r="T19" s="426" t="s">
        <v>150</v>
      </c>
      <c r="U19" s="429"/>
      <c r="V19" s="755"/>
      <c r="W19" s="756"/>
      <c r="X19" s="757"/>
      <c r="Y19" s="423"/>
    </row>
    <row r="20" spans="1:25" x14ac:dyDescent="0.2">
      <c r="A20" s="184" t="s">
        <v>276</v>
      </c>
      <c r="B20" s="422" t="s">
        <v>424</v>
      </c>
      <c r="C20" s="426" t="s">
        <v>362</v>
      </c>
      <c r="D20" s="426" t="s">
        <v>74</v>
      </c>
      <c r="E20" s="424" t="s">
        <v>425</v>
      </c>
      <c r="F20" s="427" t="s">
        <v>196</v>
      </c>
      <c r="G20" s="428" t="s">
        <v>150</v>
      </c>
      <c r="H20" s="426" t="s">
        <v>150</v>
      </c>
      <c r="I20" s="429"/>
      <c r="J20" s="430"/>
      <c r="K20" s="430"/>
      <c r="L20" s="430"/>
      <c r="M20" s="428"/>
      <c r="N20" s="441"/>
      <c r="O20" s="430"/>
      <c r="P20" s="428"/>
      <c r="Q20" s="441"/>
      <c r="R20" s="430"/>
      <c r="S20" s="428"/>
      <c r="T20" s="441"/>
      <c r="U20" s="430"/>
      <c r="V20" s="755"/>
      <c r="W20" s="756"/>
      <c r="X20" s="757"/>
      <c r="Y20" s="423" t="s">
        <v>1532</v>
      </c>
    </row>
    <row r="21" spans="1:25" x14ac:dyDescent="0.2">
      <c r="A21" s="184" t="s">
        <v>276</v>
      </c>
      <c r="B21" s="422" t="s">
        <v>329</v>
      </c>
      <c r="C21" s="426" t="s">
        <v>362</v>
      </c>
      <c r="D21" s="426" t="s">
        <v>74</v>
      </c>
      <c r="E21" s="426" t="s">
        <v>426</v>
      </c>
      <c r="F21" s="427" t="s">
        <v>539</v>
      </c>
      <c r="G21" s="428" t="s">
        <v>540</v>
      </c>
      <c r="H21" s="428" t="s">
        <v>540</v>
      </c>
      <c r="I21" s="428"/>
      <c r="J21" s="428" t="s">
        <v>540</v>
      </c>
      <c r="K21" s="428" t="s">
        <v>540</v>
      </c>
      <c r="L21" s="428"/>
      <c r="M21" s="428" t="s">
        <v>540</v>
      </c>
      <c r="N21" s="428" t="s">
        <v>540</v>
      </c>
      <c r="O21" s="428"/>
      <c r="P21" s="428" t="s">
        <v>196</v>
      </c>
      <c r="Q21" s="428" t="s">
        <v>196</v>
      </c>
      <c r="R21" s="428" t="s">
        <v>196</v>
      </c>
      <c r="S21" s="428" t="s">
        <v>196</v>
      </c>
      <c r="T21" s="428" t="s">
        <v>196</v>
      </c>
      <c r="U21" s="428"/>
      <c r="V21" s="755"/>
      <c r="W21" s="756"/>
      <c r="X21" s="757"/>
      <c r="Y21" s="423" t="s">
        <v>541</v>
      </c>
    </row>
    <row r="22" spans="1:25" x14ac:dyDescent="0.2">
      <c r="A22" s="184" t="s">
        <v>276</v>
      </c>
      <c r="B22" s="422" t="s">
        <v>329</v>
      </c>
      <c r="C22" s="426" t="s">
        <v>362</v>
      </c>
      <c r="D22" s="426" t="s">
        <v>74</v>
      </c>
      <c r="E22" s="426" t="s">
        <v>427</v>
      </c>
      <c r="F22" s="427" t="s">
        <v>539</v>
      </c>
      <c r="G22" s="428" t="s">
        <v>540</v>
      </c>
      <c r="H22" s="428" t="s">
        <v>540</v>
      </c>
      <c r="I22" s="428"/>
      <c r="J22" s="428" t="s">
        <v>540</v>
      </c>
      <c r="K22" s="428" t="s">
        <v>540</v>
      </c>
      <c r="L22" s="428"/>
      <c r="M22" s="428" t="s">
        <v>540</v>
      </c>
      <c r="N22" s="428" t="s">
        <v>540</v>
      </c>
      <c r="O22" s="428"/>
      <c r="P22" s="428" t="s">
        <v>196</v>
      </c>
      <c r="Q22" s="428" t="s">
        <v>196</v>
      </c>
      <c r="R22" s="428" t="s">
        <v>196</v>
      </c>
      <c r="S22" s="428" t="s">
        <v>196</v>
      </c>
      <c r="T22" s="428" t="s">
        <v>196</v>
      </c>
      <c r="U22" s="428"/>
      <c r="V22" s="755"/>
      <c r="W22" s="756"/>
      <c r="X22" s="757"/>
      <c r="Y22" s="423" t="s">
        <v>541</v>
      </c>
    </row>
    <row r="23" spans="1:25" x14ac:dyDescent="0.2">
      <c r="A23" s="184" t="s">
        <v>276</v>
      </c>
      <c r="B23" s="422" t="s">
        <v>429</v>
      </c>
      <c r="C23" s="426" t="s">
        <v>362</v>
      </c>
      <c r="D23" s="426" t="s">
        <v>74</v>
      </c>
      <c r="E23" s="426" t="s">
        <v>426</v>
      </c>
      <c r="F23" s="427" t="s">
        <v>539</v>
      </c>
      <c r="G23" s="428" t="s">
        <v>540</v>
      </c>
      <c r="H23" s="428" t="s">
        <v>540</v>
      </c>
      <c r="I23" s="428"/>
      <c r="J23" s="428" t="s">
        <v>540</v>
      </c>
      <c r="K23" s="428" t="s">
        <v>540</v>
      </c>
      <c r="L23" s="428"/>
      <c r="M23" s="428" t="s">
        <v>540</v>
      </c>
      <c r="N23" s="428" t="s">
        <v>540</v>
      </c>
      <c r="O23" s="428"/>
      <c r="P23" s="428" t="s">
        <v>196</v>
      </c>
      <c r="Q23" s="428" t="s">
        <v>196</v>
      </c>
      <c r="R23" s="428" t="s">
        <v>196</v>
      </c>
      <c r="S23" s="428" t="s">
        <v>196</v>
      </c>
      <c r="T23" s="428" t="s">
        <v>196</v>
      </c>
      <c r="U23" s="428"/>
      <c r="V23" s="755"/>
      <c r="W23" s="756"/>
      <c r="X23" s="757"/>
      <c r="Y23" s="423" t="s">
        <v>541</v>
      </c>
    </row>
    <row r="24" spans="1:25" x14ac:dyDescent="0.2">
      <c r="A24" s="184" t="s">
        <v>276</v>
      </c>
      <c r="B24" s="422" t="s">
        <v>429</v>
      </c>
      <c r="C24" s="426" t="s">
        <v>362</v>
      </c>
      <c r="D24" s="426" t="s">
        <v>74</v>
      </c>
      <c r="E24" s="426" t="s">
        <v>427</v>
      </c>
      <c r="F24" s="427" t="s">
        <v>539</v>
      </c>
      <c r="G24" s="428" t="s">
        <v>540</v>
      </c>
      <c r="H24" s="428" t="s">
        <v>540</v>
      </c>
      <c r="I24" s="428"/>
      <c r="J24" s="428" t="s">
        <v>540</v>
      </c>
      <c r="K24" s="428" t="s">
        <v>540</v>
      </c>
      <c r="L24" s="428"/>
      <c r="M24" s="428" t="s">
        <v>540</v>
      </c>
      <c r="N24" s="428" t="s">
        <v>540</v>
      </c>
      <c r="O24" s="428"/>
      <c r="P24" s="428" t="s">
        <v>196</v>
      </c>
      <c r="Q24" s="428" t="s">
        <v>196</v>
      </c>
      <c r="R24" s="428" t="s">
        <v>196</v>
      </c>
      <c r="S24" s="428" t="s">
        <v>196</v>
      </c>
      <c r="T24" s="428" t="s">
        <v>196</v>
      </c>
      <c r="U24" s="428"/>
      <c r="V24" s="755"/>
      <c r="W24" s="756"/>
      <c r="X24" s="757"/>
      <c r="Y24" s="423" t="s">
        <v>541</v>
      </c>
    </row>
    <row r="25" spans="1:25" x14ac:dyDescent="0.2">
      <c r="A25" s="184" t="s">
        <v>276</v>
      </c>
      <c r="B25" s="422" t="s">
        <v>301</v>
      </c>
      <c r="C25" s="426" t="s">
        <v>362</v>
      </c>
      <c r="D25" s="426" t="s">
        <v>74</v>
      </c>
      <c r="E25" s="426" t="s">
        <v>365</v>
      </c>
      <c r="F25" s="427" t="s">
        <v>539</v>
      </c>
      <c r="G25" s="428" t="s">
        <v>540</v>
      </c>
      <c r="H25" s="428" t="s">
        <v>540</v>
      </c>
      <c r="I25" s="428"/>
      <c r="J25" s="428" t="s">
        <v>540</v>
      </c>
      <c r="K25" s="428" t="s">
        <v>540</v>
      </c>
      <c r="L25" s="428"/>
      <c r="M25" s="428" t="s">
        <v>540</v>
      </c>
      <c r="N25" s="428" t="s">
        <v>540</v>
      </c>
      <c r="O25" s="428"/>
      <c r="P25" s="428" t="s">
        <v>196</v>
      </c>
      <c r="Q25" s="428" t="s">
        <v>196</v>
      </c>
      <c r="R25" s="428" t="s">
        <v>196</v>
      </c>
      <c r="S25" s="428" t="s">
        <v>196</v>
      </c>
      <c r="T25" s="428" t="s">
        <v>196</v>
      </c>
      <c r="U25" s="428"/>
      <c r="V25" s="755"/>
      <c r="W25" s="756"/>
      <c r="X25" s="757"/>
      <c r="Y25" s="423" t="s">
        <v>542</v>
      </c>
    </row>
    <row r="26" spans="1:25" x14ac:dyDescent="0.2">
      <c r="A26" s="184" t="s">
        <v>276</v>
      </c>
      <c r="B26" s="422" t="s">
        <v>301</v>
      </c>
      <c r="C26" s="426" t="s">
        <v>362</v>
      </c>
      <c r="D26" s="426" t="s">
        <v>74</v>
      </c>
      <c r="E26" s="426" t="s">
        <v>409</v>
      </c>
      <c r="F26" s="427" t="s">
        <v>539</v>
      </c>
      <c r="G26" s="428" t="s">
        <v>540</v>
      </c>
      <c r="H26" s="428" t="s">
        <v>540</v>
      </c>
      <c r="I26" s="428"/>
      <c r="J26" s="428" t="s">
        <v>540</v>
      </c>
      <c r="K26" s="428" t="s">
        <v>540</v>
      </c>
      <c r="L26" s="428"/>
      <c r="M26" s="428" t="s">
        <v>540</v>
      </c>
      <c r="N26" s="428" t="s">
        <v>540</v>
      </c>
      <c r="O26" s="428"/>
      <c r="P26" s="428"/>
      <c r="Q26" s="426"/>
      <c r="R26" s="429"/>
      <c r="S26" s="428"/>
      <c r="T26" s="426"/>
      <c r="U26" s="429"/>
      <c r="V26" s="755"/>
      <c r="W26" s="756"/>
      <c r="X26" s="757"/>
      <c r="Y26" s="423" t="s">
        <v>542</v>
      </c>
    </row>
    <row r="27" spans="1:25" x14ac:dyDescent="0.2">
      <c r="A27" s="184" t="s">
        <v>276</v>
      </c>
      <c r="B27" s="422" t="s">
        <v>301</v>
      </c>
      <c r="C27" s="426" t="s">
        <v>362</v>
      </c>
      <c r="D27" s="426" t="s">
        <v>74</v>
      </c>
      <c r="E27" s="426" t="s">
        <v>384</v>
      </c>
      <c r="F27" s="427" t="s">
        <v>539</v>
      </c>
      <c r="G27" s="428" t="s">
        <v>540</v>
      </c>
      <c r="H27" s="428" t="s">
        <v>540</v>
      </c>
      <c r="I27" s="428"/>
      <c r="J27" s="428" t="s">
        <v>540</v>
      </c>
      <c r="K27" s="428" t="s">
        <v>540</v>
      </c>
      <c r="L27" s="428"/>
      <c r="M27" s="428" t="s">
        <v>540</v>
      </c>
      <c r="N27" s="428" t="s">
        <v>540</v>
      </c>
      <c r="O27" s="428"/>
      <c r="P27" s="428" t="s">
        <v>196</v>
      </c>
      <c r="Q27" s="428" t="s">
        <v>196</v>
      </c>
      <c r="R27" s="428" t="s">
        <v>196</v>
      </c>
      <c r="S27" s="428" t="s">
        <v>196</v>
      </c>
      <c r="T27" s="428" t="s">
        <v>196</v>
      </c>
      <c r="U27" s="428"/>
      <c r="V27" s="755"/>
      <c r="W27" s="756"/>
      <c r="X27" s="757"/>
      <c r="Y27" s="423" t="s">
        <v>542</v>
      </c>
    </row>
    <row r="28" spans="1:25" x14ac:dyDescent="0.2">
      <c r="A28" s="184" t="s">
        <v>276</v>
      </c>
      <c r="B28" s="422" t="s">
        <v>301</v>
      </c>
      <c r="C28" s="426" t="s">
        <v>362</v>
      </c>
      <c r="D28" s="426" t="s">
        <v>74</v>
      </c>
      <c r="E28" s="426" t="s">
        <v>431</v>
      </c>
      <c r="F28" s="427" t="s">
        <v>539</v>
      </c>
      <c r="G28" s="428" t="s">
        <v>540</v>
      </c>
      <c r="H28" s="428" t="s">
        <v>540</v>
      </c>
      <c r="I28" s="428"/>
      <c r="J28" s="428" t="s">
        <v>540</v>
      </c>
      <c r="K28" s="428" t="s">
        <v>540</v>
      </c>
      <c r="L28" s="428"/>
      <c r="M28" s="428" t="s">
        <v>540</v>
      </c>
      <c r="N28" s="428" t="s">
        <v>540</v>
      </c>
      <c r="O28" s="428"/>
      <c r="P28" s="428" t="s">
        <v>196</v>
      </c>
      <c r="Q28" s="428" t="s">
        <v>196</v>
      </c>
      <c r="R28" s="428" t="s">
        <v>196</v>
      </c>
      <c r="S28" s="428" t="s">
        <v>196</v>
      </c>
      <c r="T28" s="428" t="s">
        <v>196</v>
      </c>
      <c r="U28" s="428"/>
      <c r="V28" s="755"/>
      <c r="W28" s="756"/>
      <c r="X28" s="757"/>
      <c r="Y28" s="423" t="s">
        <v>542</v>
      </c>
    </row>
    <row r="29" spans="1:25" x14ac:dyDescent="0.2">
      <c r="A29" s="184" t="s">
        <v>276</v>
      </c>
      <c r="B29" s="422" t="s">
        <v>332</v>
      </c>
      <c r="C29" s="426" t="s">
        <v>362</v>
      </c>
      <c r="D29" s="426" t="s">
        <v>74</v>
      </c>
      <c r="E29" s="426" t="s">
        <v>365</v>
      </c>
      <c r="F29" s="427" t="s">
        <v>539</v>
      </c>
      <c r="G29" s="428" t="s">
        <v>540</v>
      </c>
      <c r="H29" s="428" t="s">
        <v>540</v>
      </c>
      <c r="I29" s="428"/>
      <c r="J29" s="428" t="s">
        <v>540</v>
      </c>
      <c r="K29" s="428" t="s">
        <v>540</v>
      </c>
      <c r="L29" s="428"/>
      <c r="M29" s="428" t="s">
        <v>540</v>
      </c>
      <c r="N29" s="428" t="s">
        <v>540</v>
      </c>
      <c r="O29" s="428"/>
      <c r="P29" s="428" t="s">
        <v>196</v>
      </c>
      <c r="Q29" s="428" t="s">
        <v>196</v>
      </c>
      <c r="R29" s="428" t="s">
        <v>196</v>
      </c>
      <c r="S29" s="428" t="s">
        <v>196</v>
      </c>
      <c r="T29" s="428" t="s">
        <v>196</v>
      </c>
      <c r="U29" s="428"/>
      <c r="V29" s="755"/>
      <c r="W29" s="756"/>
      <c r="X29" s="757"/>
      <c r="Y29" s="423" t="s">
        <v>542</v>
      </c>
    </row>
    <row r="30" spans="1:25" x14ac:dyDescent="0.2">
      <c r="A30" s="184" t="s">
        <v>276</v>
      </c>
      <c r="B30" s="422" t="s">
        <v>332</v>
      </c>
      <c r="C30" s="426" t="s">
        <v>362</v>
      </c>
      <c r="D30" s="426" t="s">
        <v>74</v>
      </c>
      <c r="E30" s="426" t="s">
        <v>384</v>
      </c>
      <c r="F30" s="427" t="s">
        <v>539</v>
      </c>
      <c r="G30" s="428" t="s">
        <v>540</v>
      </c>
      <c r="H30" s="428" t="s">
        <v>540</v>
      </c>
      <c r="I30" s="428"/>
      <c r="J30" s="428" t="s">
        <v>540</v>
      </c>
      <c r="K30" s="428" t="s">
        <v>540</v>
      </c>
      <c r="L30" s="428"/>
      <c r="M30" s="428" t="s">
        <v>540</v>
      </c>
      <c r="N30" s="428" t="s">
        <v>540</v>
      </c>
      <c r="O30" s="428"/>
      <c r="P30" s="428" t="s">
        <v>196</v>
      </c>
      <c r="Q30" s="428" t="s">
        <v>196</v>
      </c>
      <c r="R30" s="428" t="s">
        <v>196</v>
      </c>
      <c r="S30" s="428" t="s">
        <v>196</v>
      </c>
      <c r="T30" s="428" t="s">
        <v>196</v>
      </c>
      <c r="U30" s="428"/>
      <c r="V30" s="755"/>
      <c r="W30" s="756"/>
      <c r="X30" s="757"/>
      <c r="Y30" s="423" t="s">
        <v>542</v>
      </c>
    </row>
    <row r="31" spans="1:25" x14ac:dyDescent="0.2">
      <c r="A31" s="184" t="s">
        <v>276</v>
      </c>
      <c r="B31" s="422" t="s">
        <v>332</v>
      </c>
      <c r="C31" s="426" t="s">
        <v>362</v>
      </c>
      <c r="D31" s="426" t="s">
        <v>74</v>
      </c>
      <c r="E31" s="426" t="s">
        <v>411</v>
      </c>
      <c r="F31" s="427" t="s">
        <v>539</v>
      </c>
      <c r="G31" s="428" t="s">
        <v>540</v>
      </c>
      <c r="H31" s="428" t="s">
        <v>540</v>
      </c>
      <c r="I31" s="428"/>
      <c r="J31" s="428" t="s">
        <v>540</v>
      </c>
      <c r="K31" s="428" t="s">
        <v>540</v>
      </c>
      <c r="L31" s="428"/>
      <c r="M31" s="428" t="s">
        <v>540</v>
      </c>
      <c r="N31" s="428" t="s">
        <v>540</v>
      </c>
      <c r="O31" s="428"/>
      <c r="P31" s="428" t="s">
        <v>196</v>
      </c>
      <c r="Q31" s="428" t="s">
        <v>196</v>
      </c>
      <c r="R31" s="428" t="s">
        <v>196</v>
      </c>
      <c r="S31" s="428" t="s">
        <v>196</v>
      </c>
      <c r="T31" s="428" t="s">
        <v>196</v>
      </c>
      <c r="U31" s="428"/>
      <c r="V31" s="755"/>
      <c r="W31" s="756"/>
      <c r="X31" s="757"/>
      <c r="Y31" s="423" t="s">
        <v>542</v>
      </c>
    </row>
    <row r="32" spans="1:25" x14ac:dyDescent="0.2">
      <c r="A32" s="184" t="s">
        <v>276</v>
      </c>
      <c r="B32" s="422" t="s">
        <v>333</v>
      </c>
      <c r="C32" s="426" t="s">
        <v>362</v>
      </c>
      <c r="D32" s="426" t="s">
        <v>74</v>
      </c>
      <c r="E32" s="426" t="s">
        <v>434</v>
      </c>
      <c r="F32" s="427" t="s">
        <v>539</v>
      </c>
      <c r="G32" s="428" t="s">
        <v>540</v>
      </c>
      <c r="H32" s="428" t="s">
        <v>540</v>
      </c>
      <c r="I32" s="428"/>
      <c r="J32" s="428" t="s">
        <v>540</v>
      </c>
      <c r="K32" s="428" t="s">
        <v>540</v>
      </c>
      <c r="L32" s="428"/>
      <c r="M32" s="428" t="s">
        <v>540</v>
      </c>
      <c r="N32" s="428" t="s">
        <v>540</v>
      </c>
      <c r="O32" s="428"/>
      <c r="P32" s="428" t="s">
        <v>196</v>
      </c>
      <c r="Q32" s="428" t="s">
        <v>196</v>
      </c>
      <c r="R32" s="428" t="s">
        <v>196</v>
      </c>
      <c r="S32" s="428" t="s">
        <v>196</v>
      </c>
      <c r="T32" s="428" t="s">
        <v>196</v>
      </c>
      <c r="U32" s="428"/>
      <c r="V32" s="755"/>
      <c r="W32" s="756"/>
      <c r="X32" s="757"/>
      <c r="Y32" s="423" t="s">
        <v>543</v>
      </c>
    </row>
    <row r="33" spans="1:25" x14ac:dyDescent="0.2">
      <c r="A33" s="184" t="s">
        <v>276</v>
      </c>
      <c r="B33" s="422" t="s">
        <v>302</v>
      </c>
      <c r="C33" s="426" t="s">
        <v>362</v>
      </c>
      <c r="D33" s="426" t="s">
        <v>74</v>
      </c>
      <c r="E33" s="426" t="s">
        <v>437</v>
      </c>
      <c r="F33" s="427" t="s">
        <v>538</v>
      </c>
      <c r="G33" s="428" t="s">
        <v>150</v>
      </c>
      <c r="H33" s="426" t="s">
        <v>150</v>
      </c>
      <c r="I33" s="429"/>
      <c r="J33" s="429" t="s">
        <v>150</v>
      </c>
      <c r="K33" s="429" t="s">
        <v>150</v>
      </c>
      <c r="L33" s="429"/>
      <c r="M33" s="428" t="s">
        <v>150</v>
      </c>
      <c r="N33" s="426" t="s">
        <v>150</v>
      </c>
      <c r="O33" s="429"/>
      <c r="P33" s="428" t="s">
        <v>150</v>
      </c>
      <c r="Q33" s="426" t="s">
        <v>150</v>
      </c>
      <c r="R33" s="429" t="s">
        <v>150</v>
      </c>
      <c r="S33" s="428" t="s">
        <v>150</v>
      </c>
      <c r="T33" s="426" t="s">
        <v>150</v>
      </c>
      <c r="U33" s="429"/>
      <c r="V33" s="755"/>
      <c r="W33" s="756"/>
      <c r="X33" s="757"/>
      <c r="Y33" s="423"/>
    </row>
    <row r="34" spans="1:25" x14ac:dyDescent="0.2">
      <c r="A34" s="184" t="s">
        <v>276</v>
      </c>
      <c r="B34" s="422" t="s">
        <v>341</v>
      </c>
      <c r="C34" s="426" t="s">
        <v>362</v>
      </c>
      <c r="D34" s="426" t="s">
        <v>74</v>
      </c>
      <c r="E34" s="426" t="s">
        <v>445</v>
      </c>
      <c r="F34" s="427" t="s">
        <v>539</v>
      </c>
      <c r="G34" s="428" t="s">
        <v>540</v>
      </c>
      <c r="H34" s="428" t="s">
        <v>540</v>
      </c>
      <c r="I34" s="428"/>
      <c r="J34" s="438"/>
      <c r="K34" s="439"/>
      <c r="L34" s="440"/>
      <c r="M34" s="428" t="s">
        <v>196</v>
      </c>
      <c r="N34" s="428" t="s">
        <v>196</v>
      </c>
      <c r="O34" s="428"/>
      <c r="P34" s="428" t="s">
        <v>540</v>
      </c>
      <c r="Q34" s="428" t="s">
        <v>540</v>
      </c>
      <c r="R34" s="428" t="s">
        <v>540</v>
      </c>
      <c r="S34" s="428" t="s">
        <v>540</v>
      </c>
      <c r="T34" s="428" t="s">
        <v>540</v>
      </c>
      <c r="U34" s="428"/>
      <c r="V34" s="755"/>
      <c r="W34" s="756"/>
      <c r="X34" s="757"/>
      <c r="Y34" s="423" t="s">
        <v>544</v>
      </c>
    </row>
    <row r="35" spans="1:25" x14ac:dyDescent="0.2">
      <c r="A35" s="184" t="s">
        <v>276</v>
      </c>
      <c r="B35" s="422" t="s">
        <v>349</v>
      </c>
      <c r="C35" s="426" t="s">
        <v>362</v>
      </c>
      <c r="D35" s="426" t="s">
        <v>74</v>
      </c>
      <c r="E35" s="426" t="s">
        <v>384</v>
      </c>
      <c r="F35" s="427" t="s">
        <v>196</v>
      </c>
      <c r="G35" s="428" t="s">
        <v>150</v>
      </c>
      <c r="H35" s="426" t="s">
        <v>150</v>
      </c>
      <c r="I35" s="429"/>
      <c r="J35" s="429" t="s">
        <v>150</v>
      </c>
      <c r="K35" s="429" t="s">
        <v>150</v>
      </c>
      <c r="L35" s="429"/>
      <c r="M35" s="428" t="s">
        <v>150</v>
      </c>
      <c r="N35" s="426" t="s">
        <v>150</v>
      </c>
      <c r="O35" s="429"/>
      <c r="P35" s="428" t="s">
        <v>150</v>
      </c>
      <c r="Q35" s="426" t="s">
        <v>150</v>
      </c>
      <c r="R35" s="429" t="s">
        <v>150</v>
      </c>
      <c r="S35" s="428" t="s">
        <v>150</v>
      </c>
      <c r="T35" s="426" t="s">
        <v>150</v>
      </c>
      <c r="U35" s="429"/>
      <c r="V35" s="755"/>
      <c r="W35" s="756"/>
      <c r="X35" s="757"/>
      <c r="Y35" s="423"/>
    </row>
    <row r="36" spans="1:25" x14ac:dyDescent="0.2">
      <c r="A36" s="184" t="s">
        <v>276</v>
      </c>
      <c r="B36" s="422" t="s">
        <v>349</v>
      </c>
      <c r="C36" s="426" t="s">
        <v>362</v>
      </c>
      <c r="D36" s="426" t="s">
        <v>74</v>
      </c>
      <c r="E36" s="426" t="s">
        <v>453</v>
      </c>
      <c r="F36" s="427" t="s">
        <v>196</v>
      </c>
      <c r="G36" s="428" t="s">
        <v>150</v>
      </c>
      <c r="H36" s="426" t="s">
        <v>150</v>
      </c>
      <c r="I36" s="429"/>
      <c r="J36" s="429"/>
      <c r="K36" s="429"/>
      <c r="L36" s="429"/>
      <c r="M36" s="428" t="s">
        <v>150</v>
      </c>
      <c r="N36" s="426" t="s">
        <v>150</v>
      </c>
      <c r="O36" s="429"/>
      <c r="P36" s="428" t="s">
        <v>150</v>
      </c>
      <c r="Q36" s="426" t="s">
        <v>150</v>
      </c>
      <c r="R36" s="429" t="s">
        <v>150</v>
      </c>
      <c r="S36" s="428" t="s">
        <v>150</v>
      </c>
      <c r="T36" s="426" t="s">
        <v>150</v>
      </c>
      <c r="U36" s="429"/>
      <c r="V36" s="755"/>
      <c r="W36" s="756"/>
      <c r="X36" s="757"/>
      <c r="Y36" s="423" t="s">
        <v>545</v>
      </c>
    </row>
    <row r="37" spans="1:25" x14ac:dyDescent="0.2">
      <c r="A37" s="184" t="s">
        <v>276</v>
      </c>
      <c r="B37" s="422" t="s">
        <v>349</v>
      </c>
      <c r="C37" s="426" t="s">
        <v>362</v>
      </c>
      <c r="D37" s="426" t="s">
        <v>74</v>
      </c>
      <c r="E37" s="426" t="s">
        <v>452</v>
      </c>
      <c r="F37" s="427" t="s">
        <v>196</v>
      </c>
      <c r="G37" s="428" t="s">
        <v>150</v>
      </c>
      <c r="H37" s="426" t="s">
        <v>150</v>
      </c>
      <c r="I37" s="429"/>
      <c r="J37" s="429" t="s">
        <v>150</v>
      </c>
      <c r="K37" s="429" t="s">
        <v>150</v>
      </c>
      <c r="L37" s="429"/>
      <c r="M37" s="428" t="s">
        <v>150</v>
      </c>
      <c r="N37" s="426" t="s">
        <v>150</v>
      </c>
      <c r="O37" s="429"/>
      <c r="P37" s="428" t="s">
        <v>150</v>
      </c>
      <c r="Q37" s="426" t="s">
        <v>150</v>
      </c>
      <c r="R37" s="429" t="s">
        <v>150</v>
      </c>
      <c r="S37" s="428" t="s">
        <v>150</v>
      </c>
      <c r="T37" s="426" t="s">
        <v>150</v>
      </c>
      <c r="U37" s="429"/>
      <c r="V37" s="755"/>
      <c r="W37" s="756"/>
      <c r="X37" s="757"/>
      <c r="Y37" s="423"/>
    </row>
    <row r="38" spans="1:25" x14ac:dyDescent="0.2">
      <c r="A38" s="184" t="s">
        <v>276</v>
      </c>
      <c r="B38" s="422" t="s">
        <v>349</v>
      </c>
      <c r="C38" s="426" t="s">
        <v>362</v>
      </c>
      <c r="D38" s="426" t="s">
        <v>74</v>
      </c>
      <c r="E38" s="426" t="s">
        <v>454</v>
      </c>
      <c r="F38" s="427" t="s">
        <v>196</v>
      </c>
      <c r="G38" s="428" t="s">
        <v>150</v>
      </c>
      <c r="H38" s="426" t="s">
        <v>150</v>
      </c>
      <c r="I38" s="429"/>
      <c r="J38" s="429" t="s">
        <v>150</v>
      </c>
      <c r="K38" s="429" t="s">
        <v>150</v>
      </c>
      <c r="L38" s="429"/>
      <c r="M38" s="428" t="s">
        <v>150</v>
      </c>
      <c r="N38" s="426" t="s">
        <v>150</v>
      </c>
      <c r="O38" s="429"/>
      <c r="P38" s="428" t="s">
        <v>150</v>
      </c>
      <c r="Q38" s="426" t="s">
        <v>150</v>
      </c>
      <c r="R38" s="429" t="s">
        <v>150</v>
      </c>
      <c r="S38" s="428" t="s">
        <v>150</v>
      </c>
      <c r="T38" s="426" t="s">
        <v>150</v>
      </c>
      <c r="U38" s="429"/>
      <c r="V38" s="755"/>
      <c r="W38" s="756"/>
      <c r="X38" s="757"/>
      <c r="Y38" s="423"/>
    </row>
    <row r="39" spans="1:25" x14ac:dyDescent="0.2">
      <c r="A39" s="184" t="s">
        <v>276</v>
      </c>
      <c r="B39" s="422" t="s">
        <v>456</v>
      </c>
      <c r="C39" s="426" t="s">
        <v>362</v>
      </c>
      <c r="D39" s="426" t="s">
        <v>74</v>
      </c>
      <c r="E39" s="426" t="s">
        <v>457</v>
      </c>
      <c r="F39" s="427" t="s">
        <v>539</v>
      </c>
      <c r="G39" s="428" t="s">
        <v>540</v>
      </c>
      <c r="H39" s="428" t="s">
        <v>540</v>
      </c>
      <c r="I39" s="428"/>
      <c r="J39" s="428" t="s">
        <v>540</v>
      </c>
      <c r="K39" s="428" t="s">
        <v>540</v>
      </c>
      <c r="L39" s="428"/>
      <c r="M39" s="428" t="s">
        <v>540</v>
      </c>
      <c r="N39" s="428" t="s">
        <v>540</v>
      </c>
      <c r="O39" s="428"/>
      <c r="P39" s="428" t="s">
        <v>196</v>
      </c>
      <c r="Q39" s="428" t="s">
        <v>196</v>
      </c>
      <c r="R39" s="428" t="s">
        <v>196</v>
      </c>
      <c r="S39" s="428" t="s">
        <v>196</v>
      </c>
      <c r="T39" s="428" t="s">
        <v>196</v>
      </c>
      <c r="U39" s="428"/>
      <c r="V39" s="755"/>
      <c r="W39" s="756"/>
      <c r="X39" s="757"/>
      <c r="Y39" s="423" t="s">
        <v>542</v>
      </c>
    </row>
    <row r="40" spans="1:25" x14ac:dyDescent="0.2">
      <c r="A40" s="184" t="s">
        <v>276</v>
      </c>
      <c r="B40" s="422" t="s">
        <v>307</v>
      </c>
      <c r="C40" s="426" t="s">
        <v>362</v>
      </c>
      <c r="D40" s="426" t="s">
        <v>74</v>
      </c>
      <c r="E40" s="426" t="s">
        <v>460</v>
      </c>
      <c r="F40" s="427" t="s">
        <v>539</v>
      </c>
      <c r="G40" s="428" t="s">
        <v>540</v>
      </c>
      <c r="H40" s="426" t="s">
        <v>540</v>
      </c>
      <c r="I40" s="429"/>
      <c r="J40" s="429" t="s">
        <v>540</v>
      </c>
      <c r="K40" s="429" t="s">
        <v>540</v>
      </c>
      <c r="L40" s="429"/>
      <c r="M40" s="428" t="s">
        <v>540</v>
      </c>
      <c r="N40" s="426" t="s">
        <v>540</v>
      </c>
      <c r="O40" s="429"/>
      <c r="P40" s="428" t="s">
        <v>196</v>
      </c>
      <c r="Q40" s="426" t="s">
        <v>196</v>
      </c>
      <c r="R40" s="429" t="s">
        <v>196</v>
      </c>
      <c r="S40" s="428"/>
      <c r="T40" s="426"/>
      <c r="U40" s="429"/>
      <c r="V40" s="755"/>
      <c r="W40" s="756"/>
      <c r="X40" s="757"/>
      <c r="Y40" s="442" t="s">
        <v>1533</v>
      </c>
    </row>
    <row r="41" spans="1:25" x14ac:dyDescent="0.2">
      <c r="A41" s="184" t="s">
        <v>276</v>
      </c>
      <c r="B41" s="422" t="s">
        <v>307</v>
      </c>
      <c r="C41" s="426" t="s">
        <v>362</v>
      </c>
      <c r="D41" s="426" t="s">
        <v>74</v>
      </c>
      <c r="E41" s="426" t="s">
        <v>393</v>
      </c>
      <c r="F41" s="427" t="s">
        <v>539</v>
      </c>
      <c r="G41" s="428" t="s">
        <v>540</v>
      </c>
      <c r="H41" s="428" t="s">
        <v>540</v>
      </c>
      <c r="I41" s="428"/>
      <c r="J41" s="428" t="s">
        <v>540</v>
      </c>
      <c r="K41" s="428" t="s">
        <v>540</v>
      </c>
      <c r="L41" s="428"/>
      <c r="M41" s="428" t="s">
        <v>540</v>
      </c>
      <c r="N41" s="428" t="s">
        <v>540</v>
      </c>
      <c r="O41" s="428"/>
      <c r="P41" s="428" t="s">
        <v>196</v>
      </c>
      <c r="Q41" s="428" t="s">
        <v>196</v>
      </c>
      <c r="R41" s="428" t="s">
        <v>196</v>
      </c>
      <c r="S41" s="428"/>
      <c r="T41" s="426"/>
      <c r="U41" s="429"/>
      <c r="V41" s="755"/>
      <c r="W41" s="756"/>
      <c r="X41" s="757"/>
      <c r="Y41" s="423" t="s">
        <v>546</v>
      </c>
    </row>
    <row r="42" spans="1:25" x14ac:dyDescent="0.2">
      <c r="A42" s="184" t="s">
        <v>276</v>
      </c>
      <c r="B42" s="422" t="s">
        <v>309</v>
      </c>
      <c r="C42" s="426" t="s">
        <v>362</v>
      </c>
      <c r="D42" s="426" t="s">
        <v>74</v>
      </c>
      <c r="E42" s="426" t="s">
        <v>467</v>
      </c>
      <c r="F42" s="427" t="s">
        <v>539</v>
      </c>
      <c r="G42" s="428" t="s">
        <v>540</v>
      </c>
      <c r="H42" s="428" t="s">
        <v>540</v>
      </c>
      <c r="I42" s="428"/>
      <c r="J42" s="428" t="s">
        <v>540</v>
      </c>
      <c r="K42" s="428" t="s">
        <v>540</v>
      </c>
      <c r="L42" s="428"/>
      <c r="M42" s="428" t="s">
        <v>540</v>
      </c>
      <c r="N42" s="428" t="s">
        <v>540</v>
      </c>
      <c r="O42" s="428"/>
      <c r="P42" s="428" t="s">
        <v>196</v>
      </c>
      <c r="Q42" s="428" t="s">
        <v>196</v>
      </c>
      <c r="R42" s="428" t="s">
        <v>196</v>
      </c>
      <c r="S42" s="428" t="s">
        <v>196</v>
      </c>
      <c r="T42" s="428" t="s">
        <v>196</v>
      </c>
      <c r="U42" s="428"/>
      <c r="V42" s="755"/>
      <c r="W42" s="756"/>
      <c r="X42" s="757"/>
      <c r="Y42" s="423" t="s">
        <v>542</v>
      </c>
    </row>
    <row r="43" spans="1:25" x14ac:dyDescent="0.2">
      <c r="A43" s="184" t="s">
        <v>276</v>
      </c>
      <c r="B43" s="422" t="s">
        <v>352</v>
      </c>
      <c r="C43" s="426" t="s">
        <v>362</v>
      </c>
      <c r="D43" s="426" t="s">
        <v>74</v>
      </c>
      <c r="E43" s="426" t="s">
        <v>384</v>
      </c>
      <c r="F43" s="427" t="s">
        <v>196</v>
      </c>
      <c r="G43" s="428" t="s">
        <v>150</v>
      </c>
      <c r="H43" s="426" t="s">
        <v>150</v>
      </c>
      <c r="I43" s="429"/>
      <c r="J43" s="429" t="s">
        <v>150</v>
      </c>
      <c r="K43" s="429" t="s">
        <v>150</v>
      </c>
      <c r="L43" s="429"/>
      <c r="M43" s="428" t="s">
        <v>150</v>
      </c>
      <c r="N43" s="426" t="s">
        <v>150</v>
      </c>
      <c r="O43" s="429"/>
      <c r="P43" s="428" t="s">
        <v>150</v>
      </c>
      <c r="Q43" s="426" t="s">
        <v>150</v>
      </c>
      <c r="R43" s="429" t="s">
        <v>150</v>
      </c>
      <c r="S43" s="428" t="s">
        <v>150</v>
      </c>
      <c r="T43" s="426" t="s">
        <v>150</v>
      </c>
      <c r="U43" s="429"/>
      <c r="V43" s="755"/>
      <c r="W43" s="756"/>
      <c r="X43" s="757"/>
      <c r="Y43" s="423"/>
    </row>
    <row r="44" spans="1:25" x14ac:dyDescent="0.2">
      <c r="A44" s="184" t="s">
        <v>276</v>
      </c>
      <c r="B44" s="422" t="s">
        <v>352</v>
      </c>
      <c r="C44" s="426" t="s">
        <v>362</v>
      </c>
      <c r="D44" s="426" t="s">
        <v>74</v>
      </c>
      <c r="E44" s="426" t="s">
        <v>453</v>
      </c>
      <c r="F44" s="427" t="s">
        <v>196</v>
      </c>
      <c r="G44" s="428" t="s">
        <v>150</v>
      </c>
      <c r="H44" s="426" t="s">
        <v>150</v>
      </c>
      <c r="I44" s="429"/>
      <c r="J44" s="429"/>
      <c r="K44" s="429"/>
      <c r="L44" s="429"/>
      <c r="M44" s="428" t="s">
        <v>150</v>
      </c>
      <c r="N44" s="426" t="s">
        <v>150</v>
      </c>
      <c r="O44" s="429"/>
      <c r="P44" s="428" t="s">
        <v>150</v>
      </c>
      <c r="Q44" s="426" t="s">
        <v>150</v>
      </c>
      <c r="R44" s="429" t="s">
        <v>150</v>
      </c>
      <c r="S44" s="428" t="s">
        <v>150</v>
      </c>
      <c r="T44" s="426" t="s">
        <v>150</v>
      </c>
      <c r="U44" s="429"/>
      <c r="V44" s="755"/>
      <c r="W44" s="756"/>
      <c r="X44" s="757"/>
      <c r="Y44" s="423" t="s">
        <v>545</v>
      </c>
    </row>
    <row r="45" spans="1:25" x14ac:dyDescent="0.2">
      <c r="A45" s="184" t="s">
        <v>276</v>
      </c>
      <c r="B45" s="422" t="s">
        <v>352</v>
      </c>
      <c r="C45" s="426" t="s">
        <v>362</v>
      </c>
      <c r="D45" s="426" t="s">
        <v>74</v>
      </c>
      <c r="E45" s="426" t="s">
        <v>473</v>
      </c>
      <c r="F45" s="427" t="s">
        <v>196</v>
      </c>
      <c r="G45" s="428" t="s">
        <v>150</v>
      </c>
      <c r="H45" s="426" t="s">
        <v>150</v>
      </c>
      <c r="I45" s="429"/>
      <c r="J45" s="429" t="s">
        <v>150</v>
      </c>
      <c r="K45" s="429" t="s">
        <v>150</v>
      </c>
      <c r="L45" s="429"/>
      <c r="M45" s="428" t="s">
        <v>150</v>
      </c>
      <c r="N45" s="426" t="s">
        <v>150</v>
      </c>
      <c r="O45" s="429"/>
      <c r="P45" s="428" t="s">
        <v>150</v>
      </c>
      <c r="Q45" s="426" t="s">
        <v>150</v>
      </c>
      <c r="R45" s="429" t="s">
        <v>150</v>
      </c>
      <c r="S45" s="428" t="s">
        <v>150</v>
      </c>
      <c r="T45" s="426" t="s">
        <v>150</v>
      </c>
      <c r="U45" s="429"/>
      <c r="V45" s="755"/>
      <c r="W45" s="756"/>
      <c r="X45" s="757"/>
      <c r="Y45" s="423"/>
    </row>
    <row r="46" spans="1:25" x14ac:dyDescent="0.2">
      <c r="A46" s="184" t="s">
        <v>276</v>
      </c>
      <c r="B46" s="422" t="s">
        <v>313</v>
      </c>
      <c r="C46" s="426" t="s">
        <v>362</v>
      </c>
      <c r="D46" s="426" t="s">
        <v>74</v>
      </c>
      <c r="E46" s="426" t="s">
        <v>480</v>
      </c>
      <c r="F46" s="427" t="s">
        <v>539</v>
      </c>
      <c r="G46" s="428" t="s">
        <v>540</v>
      </c>
      <c r="H46" s="428" t="s">
        <v>540</v>
      </c>
      <c r="I46" s="428"/>
      <c r="J46" s="428" t="s">
        <v>540</v>
      </c>
      <c r="K46" s="428" t="s">
        <v>540</v>
      </c>
      <c r="L46" s="428"/>
      <c r="M46" s="428" t="s">
        <v>540</v>
      </c>
      <c r="N46" s="428" t="s">
        <v>540</v>
      </c>
      <c r="O46" s="428"/>
      <c r="P46" s="428" t="s">
        <v>540</v>
      </c>
      <c r="Q46" s="428" t="s">
        <v>540</v>
      </c>
      <c r="R46" s="428" t="s">
        <v>540</v>
      </c>
      <c r="S46" s="428" t="s">
        <v>540</v>
      </c>
      <c r="T46" s="428" t="s">
        <v>540</v>
      </c>
      <c r="U46" s="428"/>
      <c r="V46" s="755"/>
      <c r="W46" s="756"/>
      <c r="X46" s="757"/>
      <c r="Y46" s="423"/>
    </row>
    <row r="47" spans="1:25" x14ac:dyDescent="0.2">
      <c r="A47" s="184" t="s">
        <v>276</v>
      </c>
      <c r="B47" s="422" t="s">
        <v>483</v>
      </c>
      <c r="C47" s="426" t="s">
        <v>362</v>
      </c>
      <c r="D47" s="426" t="s">
        <v>74</v>
      </c>
      <c r="E47" s="426" t="s">
        <v>484</v>
      </c>
      <c r="F47" s="427" t="s">
        <v>196</v>
      </c>
      <c r="G47" s="428" t="s">
        <v>150</v>
      </c>
      <c r="H47" s="426" t="s">
        <v>150</v>
      </c>
      <c r="I47" s="429"/>
      <c r="J47" s="429"/>
      <c r="K47" s="429"/>
      <c r="L47" s="429"/>
      <c r="M47" s="428" t="s">
        <v>150</v>
      </c>
      <c r="N47" s="426" t="s">
        <v>150</v>
      </c>
      <c r="O47" s="429"/>
      <c r="P47" s="428" t="s">
        <v>150</v>
      </c>
      <c r="Q47" s="426" t="s">
        <v>150</v>
      </c>
      <c r="R47" s="429" t="s">
        <v>150</v>
      </c>
      <c r="S47" s="428" t="s">
        <v>150</v>
      </c>
      <c r="T47" s="426" t="s">
        <v>150</v>
      </c>
      <c r="U47" s="429"/>
      <c r="V47" s="755"/>
      <c r="W47" s="756"/>
      <c r="X47" s="757"/>
      <c r="Y47" s="423"/>
    </row>
    <row r="48" spans="1:25" x14ac:dyDescent="0.2">
      <c r="A48" s="184" t="s">
        <v>276</v>
      </c>
      <c r="B48" s="422" t="s">
        <v>486</v>
      </c>
      <c r="C48" s="426" t="s">
        <v>362</v>
      </c>
      <c r="D48" s="426" t="s">
        <v>74</v>
      </c>
      <c r="E48" s="426" t="s">
        <v>487</v>
      </c>
      <c r="F48" s="427" t="s">
        <v>196</v>
      </c>
      <c r="G48" s="428" t="s">
        <v>150</v>
      </c>
      <c r="H48" s="426" t="s">
        <v>150</v>
      </c>
      <c r="I48" s="429"/>
      <c r="J48" s="429"/>
      <c r="K48" s="429"/>
      <c r="L48" s="429"/>
      <c r="M48" s="428" t="s">
        <v>150</v>
      </c>
      <c r="N48" s="426" t="s">
        <v>150</v>
      </c>
      <c r="O48" s="429"/>
      <c r="P48" s="428" t="s">
        <v>150</v>
      </c>
      <c r="Q48" s="426" t="s">
        <v>150</v>
      </c>
      <c r="R48" s="429" t="s">
        <v>150</v>
      </c>
      <c r="S48" s="428" t="s">
        <v>150</v>
      </c>
      <c r="T48" s="426" t="s">
        <v>150</v>
      </c>
      <c r="U48" s="429"/>
      <c r="V48" s="755"/>
      <c r="W48" s="756"/>
      <c r="X48" s="757"/>
      <c r="Y48" s="423"/>
    </row>
    <row r="49" spans="1:25" x14ac:dyDescent="0.2">
      <c r="A49" s="184" t="s">
        <v>276</v>
      </c>
      <c r="B49" s="422" t="s">
        <v>492</v>
      </c>
      <c r="C49" s="426" t="s">
        <v>362</v>
      </c>
      <c r="D49" s="426" t="s">
        <v>74</v>
      </c>
      <c r="E49" s="426" t="s">
        <v>493</v>
      </c>
      <c r="F49" s="427" t="s">
        <v>196</v>
      </c>
      <c r="G49" s="428" t="s">
        <v>150</v>
      </c>
      <c r="H49" s="426" t="s">
        <v>150</v>
      </c>
      <c r="I49" s="429"/>
      <c r="J49" s="429"/>
      <c r="K49" s="429"/>
      <c r="L49" s="429"/>
      <c r="M49" s="428" t="s">
        <v>150</v>
      </c>
      <c r="N49" s="426" t="s">
        <v>150</v>
      </c>
      <c r="O49" s="429"/>
      <c r="P49" s="428" t="s">
        <v>150</v>
      </c>
      <c r="Q49" s="426" t="s">
        <v>150</v>
      </c>
      <c r="R49" s="429" t="s">
        <v>150</v>
      </c>
      <c r="S49" s="428" t="s">
        <v>150</v>
      </c>
      <c r="T49" s="426" t="s">
        <v>150</v>
      </c>
      <c r="U49" s="429"/>
      <c r="V49" s="755"/>
      <c r="W49" s="756"/>
      <c r="X49" s="757"/>
      <c r="Y49" s="423" t="s">
        <v>547</v>
      </c>
    </row>
    <row r="50" spans="1:25" x14ac:dyDescent="0.2">
      <c r="A50" s="184" t="s">
        <v>276</v>
      </c>
      <c r="B50" s="422" t="s">
        <v>494</v>
      </c>
      <c r="C50" s="426" t="s">
        <v>362</v>
      </c>
      <c r="D50" s="426" t="s">
        <v>74</v>
      </c>
      <c r="E50" s="426" t="s">
        <v>484</v>
      </c>
      <c r="F50" s="427" t="s">
        <v>196</v>
      </c>
      <c r="G50" s="428" t="s">
        <v>150</v>
      </c>
      <c r="H50" s="426" t="s">
        <v>150</v>
      </c>
      <c r="I50" s="429"/>
      <c r="J50" s="429"/>
      <c r="K50" s="429"/>
      <c r="L50" s="429"/>
      <c r="M50" s="428" t="s">
        <v>150</v>
      </c>
      <c r="N50" s="426" t="s">
        <v>150</v>
      </c>
      <c r="O50" s="429"/>
      <c r="P50" s="428" t="s">
        <v>150</v>
      </c>
      <c r="Q50" s="426" t="s">
        <v>150</v>
      </c>
      <c r="R50" s="429" t="s">
        <v>150</v>
      </c>
      <c r="S50" s="428" t="s">
        <v>150</v>
      </c>
      <c r="T50" s="426" t="s">
        <v>150</v>
      </c>
      <c r="U50" s="429"/>
      <c r="V50" s="755"/>
      <c r="W50" s="756"/>
      <c r="X50" s="757"/>
      <c r="Y50" s="423" t="s">
        <v>547</v>
      </c>
    </row>
    <row r="51" spans="1:25" x14ac:dyDescent="0.2">
      <c r="A51" s="184" t="s">
        <v>276</v>
      </c>
      <c r="B51" s="422" t="s">
        <v>494</v>
      </c>
      <c r="C51" s="426" t="s">
        <v>362</v>
      </c>
      <c r="D51" s="426" t="s">
        <v>74</v>
      </c>
      <c r="E51" s="426" t="s">
        <v>419</v>
      </c>
      <c r="F51" s="427" t="s">
        <v>196</v>
      </c>
      <c r="G51" s="428" t="s">
        <v>150</v>
      </c>
      <c r="H51" s="426" t="s">
        <v>150</v>
      </c>
      <c r="I51" s="429"/>
      <c r="J51" s="429"/>
      <c r="K51" s="429"/>
      <c r="L51" s="429"/>
      <c r="M51" s="428" t="s">
        <v>150</v>
      </c>
      <c r="N51" s="426" t="s">
        <v>150</v>
      </c>
      <c r="O51" s="429"/>
      <c r="P51" s="428" t="s">
        <v>150</v>
      </c>
      <c r="Q51" s="426" t="s">
        <v>150</v>
      </c>
      <c r="R51" s="429" t="s">
        <v>150</v>
      </c>
      <c r="S51" s="428" t="s">
        <v>150</v>
      </c>
      <c r="T51" s="426" t="s">
        <v>150</v>
      </c>
      <c r="U51" s="429"/>
      <c r="V51" s="755"/>
      <c r="W51" s="756"/>
      <c r="X51" s="757"/>
      <c r="Y51" s="423" t="s">
        <v>547</v>
      </c>
    </row>
    <row r="52" spans="1:25" x14ac:dyDescent="0.2">
      <c r="A52" s="184" t="s">
        <v>276</v>
      </c>
      <c r="B52" s="422" t="s">
        <v>498</v>
      </c>
      <c r="C52" s="426" t="s">
        <v>362</v>
      </c>
      <c r="D52" s="426" t="s">
        <v>74</v>
      </c>
      <c r="E52" s="426" t="s">
        <v>489</v>
      </c>
      <c r="F52" s="427" t="s">
        <v>196</v>
      </c>
      <c r="G52" s="428" t="s">
        <v>150</v>
      </c>
      <c r="H52" s="426" t="s">
        <v>150</v>
      </c>
      <c r="I52" s="429"/>
      <c r="J52" s="429"/>
      <c r="K52" s="429"/>
      <c r="L52" s="429"/>
      <c r="M52" s="428" t="s">
        <v>150</v>
      </c>
      <c r="N52" s="426" t="s">
        <v>150</v>
      </c>
      <c r="O52" s="429"/>
      <c r="P52" s="428" t="s">
        <v>150</v>
      </c>
      <c r="Q52" s="426" t="s">
        <v>150</v>
      </c>
      <c r="R52" s="429" t="s">
        <v>150</v>
      </c>
      <c r="S52" s="428" t="s">
        <v>150</v>
      </c>
      <c r="T52" s="426" t="s">
        <v>150</v>
      </c>
      <c r="U52" s="429"/>
      <c r="V52" s="755"/>
      <c r="W52" s="756"/>
      <c r="X52" s="757"/>
      <c r="Y52" s="423" t="s">
        <v>547</v>
      </c>
    </row>
    <row r="53" spans="1:25" x14ac:dyDescent="0.2">
      <c r="B53" s="422" t="s">
        <v>505</v>
      </c>
      <c r="C53" s="426" t="s">
        <v>500</v>
      </c>
      <c r="D53" s="426" t="s">
        <v>501</v>
      </c>
      <c r="E53" s="426" t="s">
        <v>502</v>
      </c>
      <c r="F53" s="427" t="s">
        <v>196</v>
      </c>
      <c r="G53" s="428" t="s">
        <v>150</v>
      </c>
      <c r="H53" s="426" t="s">
        <v>150</v>
      </c>
      <c r="I53" s="429"/>
      <c r="J53" s="429"/>
      <c r="K53" s="429"/>
      <c r="L53" s="429"/>
      <c r="M53" s="428" t="s">
        <v>150</v>
      </c>
      <c r="N53" s="426" t="s">
        <v>150</v>
      </c>
      <c r="O53" s="429"/>
      <c r="P53" s="428"/>
      <c r="Q53" s="426"/>
      <c r="R53" s="429"/>
      <c r="S53" s="428"/>
      <c r="T53" s="426"/>
      <c r="U53" s="429"/>
      <c r="V53" s="755"/>
      <c r="W53" s="756"/>
      <c r="X53" s="757"/>
      <c r="Y53" s="423"/>
    </row>
    <row r="54" spans="1:25" x14ac:dyDescent="0.2">
      <c r="B54" s="1"/>
      <c r="C54" s="36"/>
    </row>
    <row r="55" spans="1:25" x14ac:dyDescent="0.2">
      <c r="B55" s="1"/>
      <c r="C55" s="36"/>
      <c r="M55" s="3"/>
      <c r="N55" s="3"/>
      <c r="O55" s="3"/>
      <c r="P55" s="3"/>
      <c r="Q55" s="3"/>
    </row>
    <row r="56" spans="1:25" x14ac:dyDescent="0.2">
      <c r="B56" s="1"/>
      <c r="C56" s="36"/>
      <c r="M56" s="3"/>
      <c r="N56" s="3"/>
      <c r="O56" s="3"/>
      <c r="P56" s="3"/>
      <c r="Q56" s="3"/>
    </row>
    <row r="57" spans="1:25" x14ac:dyDescent="0.2">
      <c r="M57" s="3"/>
      <c r="N57" s="3"/>
      <c r="O57" s="3"/>
      <c r="P57" s="3"/>
      <c r="Q57" s="3"/>
    </row>
    <row r="58" spans="1:25" x14ac:dyDescent="0.2">
      <c r="M58" s="3"/>
      <c r="N58" s="3"/>
      <c r="O58" s="3"/>
      <c r="P58" s="3"/>
      <c r="Q58" s="3"/>
    </row>
    <row r="59" spans="1:25" x14ac:dyDescent="0.2">
      <c r="M59" s="3"/>
      <c r="N59" s="3"/>
      <c r="O59" s="3"/>
      <c r="P59" s="3"/>
      <c r="Q59" s="3"/>
    </row>
    <row r="60" spans="1:25" x14ac:dyDescent="0.2">
      <c r="M60" s="3"/>
      <c r="N60" s="3"/>
      <c r="O60" s="3"/>
      <c r="P60" s="3"/>
      <c r="Q60" s="3"/>
    </row>
    <row r="61" spans="1:25" x14ac:dyDescent="0.2">
      <c r="M61" s="3"/>
      <c r="N61" s="3"/>
      <c r="O61" s="3"/>
      <c r="P61" s="3"/>
      <c r="Q61" s="3"/>
    </row>
    <row r="62" spans="1:25" x14ac:dyDescent="0.2">
      <c r="M62" s="3"/>
      <c r="N62" s="3"/>
      <c r="O62" s="3"/>
      <c r="P62" s="3"/>
      <c r="Q62" s="3"/>
    </row>
    <row r="63" spans="1:25" x14ac:dyDescent="0.2">
      <c r="M63" s="3"/>
      <c r="N63" s="3"/>
      <c r="O63" s="3"/>
      <c r="P63" s="3"/>
      <c r="Q63" s="3"/>
    </row>
    <row r="64" spans="1:25" x14ac:dyDescent="0.2">
      <c r="M64" s="3"/>
      <c r="N64" s="3"/>
      <c r="O64" s="3"/>
      <c r="P64" s="3"/>
      <c r="Q64" s="3"/>
    </row>
    <row r="65" spans="13:17" x14ac:dyDescent="0.2">
      <c r="M65" s="3"/>
      <c r="N65" s="3"/>
      <c r="O65" s="3"/>
      <c r="P65" s="3"/>
      <c r="Q65" s="3"/>
    </row>
    <row r="66" spans="13:17" x14ac:dyDescent="0.2">
      <c r="M66" s="3"/>
      <c r="N66" s="3"/>
      <c r="O66" s="3"/>
      <c r="P66" s="3"/>
      <c r="Q66" s="3"/>
    </row>
    <row r="67" spans="13:17" x14ac:dyDescent="0.2">
      <c r="M67" s="3"/>
      <c r="N67" s="3"/>
      <c r="O67" s="3"/>
      <c r="P67" s="3"/>
      <c r="Q67" s="3"/>
    </row>
    <row r="68" spans="13:17" x14ac:dyDescent="0.2">
      <c r="M68" s="3"/>
      <c r="N68" s="3"/>
      <c r="O68" s="3"/>
      <c r="P68" s="3"/>
      <c r="Q68" s="3"/>
    </row>
    <row r="69" spans="13:17" x14ac:dyDescent="0.2">
      <c r="M69" s="3"/>
      <c r="N69" s="3"/>
      <c r="O69" s="3"/>
      <c r="P69" s="3"/>
      <c r="Q69" s="3"/>
    </row>
    <row r="70" spans="13:17" x14ac:dyDescent="0.2">
      <c r="M70" s="3"/>
      <c r="N70" s="3"/>
      <c r="O70" s="3"/>
      <c r="P70" s="3"/>
      <c r="Q70" s="3"/>
    </row>
    <row r="71" spans="13:17" x14ac:dyDescent="0.2">
      <c r="M71" s="3"/>
      <c r="N71" s="3"/>
      <c r="O71" s="3"/>
      <c r="P71" s="3"/>
      <c r="Q71" s="3"/>
    </row>
    <row r="72" spans="13:17" x14ac:dyDescent="0.2">
      <c r="M72" s="3"/>
      <c r="N72" s="3"/>
      <c r="O72" s="3"/>
      <c r="P72" s="3"/>
      <c r="Q72" s="3"/>
    </row>
    <row r="73" spans="13:17" x14ac:dyDescent="0.2">
      <c r="M73" s="3"/>
      <c r="N73" s="3"/>
      <c r="O73" s="3"/>
      <c r="P73" s="3"/>
      <c r="Q73" s="3"/>
    </row>
    <row r="74" spans="13:17" x14ac:dyDescent="0.2">
      <c r="M74" s="3"/>
      <c r="N74" s="3"/>
      <c r="O74" s="3"/>
      <c r="P74" s="3"/>
      <c r="Q74" s="3"/>
    </row>
    <row r="75" spans="13:17" x14ac:dyDescent="0.2">
      <c r="M75" s="3"/>
      <c r="N75" s="3"/>
      <c r="O75" s="3"/>
      <c r="P75" s="3"/>
      <c r="Q75" s="3"/>
    </row>
    <row r="76" spans="13:17" x14ac:dyDescent="0.2">
      <c r="M76" s="3"/>
      <c r="N76" s="3"/>
      <c r="O76" s="3"/>
      <c r="P76" s="3"/>
      <c r="Q76" s="3"/>
    </row>
    <row r="77" spans="13:17" x14ac:dyDescent="0.2">
      <c r="M77" s="3"/>
      <c r="N77" s="3"/>
      <c r="O77" s="3"/>
      <c r="P77" s="3"/>
      <c r="Q77" s="3"/>
    </row>
    <row r="78" spans="13:17" x14ac:dyDescent="0.2">
      <c r="M78" s="3"/>
      <c r="N78" s="3"/>
      <c r="O78" s="3"/>
      <c r="P78" s="3"/>
      <c r="Q78" s="3"/>
    </row>
    <row r="79" spans="13:17" x14ac:dyDescent="0.2">
      <c r="M79" s="3"/>
      <c r="N79" s="3"/>
      <c r="O79" s="3"/>
      <c r="P79" s="3"/>
      <c r="Q79" s="3"/>
    </row>
    <row r="80" spans="13:17" x14ac:dyDescent="0.2">
      <c r="M80" s="3"/>
      <c r="N80" s="3"/>
      <c r="O80" s="3"/>
      <c r="P80" s="3"/>
      <c r="Q80" s="3"/>
    </row>
    <row r="81" spans="13:17" x14ac:dyDescent="0.2">
      <c r="M81" s="3"/>
      <c r="N81" s="3"/>
      <c r="O81" s="3"/>
      <c r="P81" s="3"/>
      <c r="Q81" s="3"/>
    </row>
    <row r="82" spans="13:17" x14ac:dyDescent="0.2">
      <c r="M82" s="3"/>
      <c r="N82" s="3"/>
      <c r="O82" s="3"/>
      <c r="P82" s="3"/>
      <c r="Q82" s="3"/>
    </row>
    <row r="83" spans="13:17" x14ac:dyDescent="0.2">
      <c r="M83" s="3"/>
      <c r="N83" s="3"/>
      <c r="O83" s="3"/>
      <c r="P83" s="3"/>
      <c r="Q83" s="3"/>
    </row>
    <row r="84" spans="13:17" x14ac:dyDescent="0.2">
      <c r="M84" s="3"/>
      <c r="N84" s="3"/>
      <c r="O84" s="3"/>
      <c r="P84" s="3"/>
      <c r="Q84" s="3"/>
    </row>
    <row r="85" spans="13:17" x14ac:dyDescent="0.2">
      <c r="M85" s="3"/>
      <c r="N85" s="3"/>
      <c r="O85" s="3"/>
      <c r="P85" s="3"/>
      <c r="Q85" s="3"/>
    </row>
    <row r="86" spans="13:17" x14ac:dyDescent="0.2">
      <c r="M86" s="3"/>
      <c r="N86" s="3"/>
      <c r="O86" s="3"/>
      <c r="P86" s="3"/>
      <c r="Q86" s="3"/>
    </row>
    <row r="87" spans="13:17" x14ac:dyDescent="0.2">
      <c r="M87" s="3"/>
      <c r="N87" s="3"/>
      <c r="O87" s="3"/>
      <c r="P87" s="3"/>
      <c r="Q87" s="3"/>
    </row>
    <row r="88" spans="13:17" x14ac:dyDescent="0.2">
      <c r="M88" s="3"/>
      <c r="N88" s="3"/>
      <c r="O88" s="3"/>
      <c r="P88" s="3"/>
      <c r="Q88" s="3"/>
    </row>
    <row r="89" spans="13:17" x14ac:dyDescent="0.2">
      <c r="M89" s="3"/>
      <c r="N89" s="3"/>
      <c r="O89" s="3"/>
      <c r="P89" s="3"/>
      <c r="Q89" s="3"/>
    </row>
    <row r="90" spans="13:17" x14ac:dyDescent="0.2">
      <c r="M90" s="3"/>
      <c r="N90" s="3"/>
      <c r="O90" s="3"/>
      <c r="P90" s="3"/>
      <c r="Q90" s="3"/>
    </row>
    <row r="91" spans="13:17" x14ac:dyDescent="0.2">
      <c r="M91" s="3"/>
      <c r="N91" s="3"/>
      <c r="O91" s="3"/>
      <c r="P91" s="3"/>
      <c r="Q91" s="3"/>
    </row>
    <row r="92" spans="13:17" x14ac:dyDescent="0.2">
      <c r="M92" s="3"/>
      <c r="N92" s="3"/>
      <c r="O92" s="3"/>
      <c r="P92" s="3"/>
      <c r="Q92" s="3"/>
    </row>
    <row r="93" spans="13:17" x14ac:dyDescent="0.2">
      <c r="M93" s="3"/>
      <c r="N93" s="3"/>
      <c r="O93" s="3"/>
      <c r="P93" s="3"/>
      <c r="Q93" s="3"/>
    </row>
    <row r="94" spans="13:17" x14ac:dyDescent="0.2">
      <c r="M94" s="3"/>
      <c r="N94" s="3"/>
      <c r="O94" s="3"/>
      <c r="P94" s="3"/>
      <c r="Q94" s="3"/>
    </row>
    <row r="95" spans="13:17" x14ac:dyDescent="0.2">
      <c r="M95" s="3"/>
      <c r="N95" s="3"/>
      <c r="O95" s="3"/>
      <c r="P95" s="3"/>
      <c r="Q95" s="3"/>
    </row>
    <row r="96" spans="13:17" x14ac:dyDescent="0.2">
      <c r="M96" s="3"/>
      <c r="N96" s="3"/>
      <c r="O96" s="3"/>
      <c r="P96" s="3"/>
      <c r="Q96" s="3"/>
    </row>
    <row r="97" spans="13:17" x14ac:dyDescent="0.2">
      <c r="M97" s="3"/>
      <c r="N97" s="3"/>
      <c r="O97" s="3"/>
      <c r="P97" s="3"/>
      <c r="Q97" s="3"/>
    </row>
    <row r="98" spans="13:17" x14ac:dyDescent="0.2">
      <c r="M98" s="3"/>
      <c r="N98" s="3"/>
      <c r="O98" s="3"/>
      <c r="P98" s="3"/>
      <c r="Q98" s="3"/>
    </row>
    <row r="99" spans="13:17" x14ac:dyDescent="0.2">
      <c r="M99" s="3"/>
      <c r="N99" s="3"/>
      <c r="O99" s="3"/>
      <c r="P99" s="3"/>
      <c r="Q99" s="3"/>
    </row>
    <row r="100" spans="13:17" x14ac:dyDescent="0.2">
      <c r="M100" s="3"/>
      <c r="N100" s="3"/>
      <c r="O100" s="3"/>
      <c r="P100" s="3"/>
      <c r="Q100" s="3"/>
    </row>
    <row r="101" spans="13:17" x14ac:dyDescent="0.2">
      <c r="M101" s="3"/>
      <c r="N101" s="3"/>
      <c r="O101" s="3"/>
      <c r="P101" s="3"/>
      <c r="Q101" s="3"/>
    </row>
    <row r="102" spans="13:17" x14ac:dyDescent="0.2">
      <c r="M102" s="3"/>
      <c r="N102" s="3"/>
      <c r="O102" s="3"/>
      <c r="P102" s="3"/>
      <c r="Q102" s="3"/>
    </row>
    <row r="103" spans="13:17" x14ac:dyDescent="0.2">
      <c r="M103" s="3"/>
      <c r="N103" s="3"/>
      <c r="O103" s="3"/>
      <c r="P103" s="3"/>
      <c r="Q103" s="3"/>
    </row>
    <row r="104" spans="13:17" x14ac:dyDescent="0.2">
      <c r="M104" s="3"/>
      <c r="N104" s="3"/>
      <c r="O104" s="3"/>
      <c r="P104" s="3"/>
      <c r="Q104" s="3"/>
    </row>
    <row r="105" spans="13:17" x14ac:dyDescent="0.2">
      <c r="M105" s="3"/>
      <c r="N105" s="3"/>
      <c r="O105" s="3"/>
      <c r="P105" s="3"/>
      <c r="Q105" s="3"/>
    </row>
    <row r="106" spans="13:17" x14ac:dyDescent="0.2">
      <c r="M106" s="3"/>
      <c r="N106" s="3"/>
      <c r="O106" s="3"/>
      <c r="P106" s="3"/>
      <c r="Q106" s="3"/>
    </row>
    <row r="107" spans="13:17" x14ac:dyDescent="0.2">
      <c r="M107" s="3"/>
      <c r="N107" s="3"/>
      <c r="O107" s="3"/>
      <c r="P107" s="3"/>
      <c r="Q107" s="3"/>
    </row>
    <row r="108" spans="13:17" x14ac:dyDescent="0.2">
      <c r="M108" s="3"/>
      <c r="N108" s="3"/>
      <c r="O108" s="3"/>
      <c r="P108" s="3"/>
      <c r="Q108" s="3"/>
    </row>
    <row r="109" spans="13:17" x14ac:dyDescent="0.2">
      <c r="M109" s="3"/>
      <c r="N109" s="3"/>
      <c r="O109" s="3"/>
      <c r="P109" s="3"/>
      <c r="Q109" s="3"/>
    </row>
    <row r="110" spans="13:17" x14ac:dyDescent="0.2">
      <c r="M110" s="3"/>
      <c r="N110" s="3"/>
      <c r="O110" s="3"/>
      <c r="P110" s="3"/>
      <c r="Q110" s="3"/>
    </row>
    <row r="111" spans="13:17" x14ac:dyDescent="0.2">
      <c r="M111" s="3"/>
      <c r="N111" s="3"/>
      <c r="O111" s="3"/>
      <c r="P111" s="3"/>
      <c r="Q111" s="3"/>
    </row>
    <row r="112" spans="13:17" x14ac:dyDescent="0.2">
      <c r="M112" s="3"/>
      <c r="N112" s="3"/>
      <c r="O112" s="3"/>
      <c r="P112" s="3"/>
      <c r="Q112" s="3"/>
    </row>
    <row r="113" spans="13:17" x14ac:dyDescent="0.2">
      <c r="M113" s="3"/>
      <c r="N113" s="3"/>
      <c r="O113" s="3"/>
      <c r="P113" s="3"/>
      <c r="Q113" s="3"/>
    </row>
    <row r="114" spans="13:17" x14ac:dyDescent="0.2">
      <c r="M114" s="3"/>
      <c r="N114" s="3"/>
      <c r="O114" s="3"/>
      <c r="P114" s="3"/>
      <c r="Q114" s="3"/>
    </row>
    <row r="115" spans="13:17" x14ac:dyDescent="0.2">
      <c r="M115" s="3"/>
      <c r="N115" s="3"/>
      <c r="O115" s="3"/>
      <c r="P115" s="3"/>
      <c r="Q115" s="3"/>
    </row>
    <row r="116" spans="13:17" x14ac:dyDescent="0.2">
      <c r="M116" s="3"/>
      <c r="N116" s="3"/>
      <c r="O116" s="3"/>
      <c r="P116" s="3"/>
      <c r="Q116" s="3"/>
    </row>
    <row r="117" spans="13:17" x14ac:dyDescent="0.2">
      <c r="M117" s="3"/>
      <c r="N117" s="3"/>
      <c r="O117" s="3"/>
      <c r="P117" s="3"/>
      <c r="Q117" s="3"/>
    </row>
    <row r="118" spans="13:17" x14ac:dyDescent="0.2">
      <c r="M118" s="3"/>
      <c r="N118" s="3"/>
      <c r="O118" s="3"/>
      <c r="P118" s="3"/>
      <c r="Q118" s="3"/>
    </row>
    <row r="119" spans="13:17" x14ac:dyDescent="0.2">
      <c r="M119" s="3"/>
      <c r="N119" s="3"/>
      <c r="O119" s="3"/>
      <c r="P119" s="3"/>
      <c r="Q119" s="3"/>
    </row>
    <row r="120" spans="13:17" x14ac:dyDescent="0.2">
      <c r="M120" s="3"/>
      <c r="N120" s="3"/>
      <c r="O120" s="3"/>
      <c r="P120" s="3"/>
      <c r="Q120" s="3"/>
    </row>
    <row r="121" spans="13:17" x14ac:dyDescent="0.2">
      <c r="M121" s="3"/>
      <c r="N121" s="3"/>
      <c r="O121" s="3"/>
      <c r="P121" s="3"/>
      <c r="Q121" s="3"/>
    </row>
    <row r="122" spans="13:17" x14ac:dyDescent="0.2">
      <c r="M122" s="3"/>
      <c r="N122" s="3"/>
      <c r="O122" s="3"/>
      <c r="P122" s="3"/>
      <c r="Q122" s="3"/>
    </row>
    <row r="123" spans="13:17" x14ac:dyDescent="0.2">
      <c r="M123" s="3"/>
      <c r="N123" s="3"/>
      <c r="O123" s="3"/>
      <c r="P123" s="3"/>
      <c r="Q123" s="3"/>
    </row>
    <row r="124" spans="13:17" x14ac:dyDescent="0.2">
      <c r="M124" s="3"/>
      <c r="N124" s="3"/>
      <c r="O124" s="3"/>
      <c r="P124" s="3"/>
      <c r="Q124" s="3"/>
    </row>
    <row r="125" spans="13:17" x14ac:dyDescent="0.2">
      <c r="M125" s="3"/>
      <c r="N125" s="3"/>
      <c r="O125" s="3"/>
      <c r="P125" s="3"/>
      <c r="Q125" s="3"/>
    </row>
    <row r="126" spans="13:17" x14ac:dyDescent="0.2">
      <c r="M126" s="3"/>
      <c r="N126" s="3"/>
      <c r="O126" s="3"/>
      <c r="P126" s="3"/>
      <c r="Q126" s="3"/>
    </row>
    <row r="127" spans="13:17" x14ac:dyDescent="0.2">
      <c r="M127" s="3"/>
      <c r="N127" s="3"/>
      <c r="O127" s="3"/>
      <c r="P127" s="3"/>
      <c r="Q127" s="3"/>
    </row>
    <row r="128" spans="13:17" x14ac:dyDescent="0.2">
      <c r="M128" s="3"/>
      <c r="N128" s="3"/>
      <c r="O128" s="3"/>
      <c r="P128" s="3"/>
      <c r="Q128" s="3"/>
    </row>
    <row r="129" spans="13:17" x14ac:dyDescent="0.2">
      <c r="M129" s="3"/>
      <c r="N129" s="3"/>
      <c r="O129" s="3"/>
      <c r="P129" s="3"/>
      <c r="Q129" s="3"/>
    </row>
    <row r="130" spans="13:17" x14ac:dyDescent="0.2">
      <c r="M130" s="3"/>
      <c r="N130" s="3"/>
      <c r="O130" s="3"/>
      <c r="P130" s="3"/>
      <c r="Q130" s="3"/>
    </row>
    <row r="131" spans="13:17" x14ac:dyDescent="0.2">
      <c r="M131" s="3"/>
      <c r="N131" s="3"/>
      <c r="O131" s="3"/>
      <c r="P131" s="3"/>
      <c r="Q131" s="3"/>
    </row>
    <row r="132" spans="13:17" x14ac:dyDescent="0.2">
      <c r="M132" s="3"/>
      <c r="N132" s="3"/>
      <c r="O132" s="3"/>
      <c r="P132" s="3"/>
      <c r="Q132" s="3"/>
    </row>
    <row r="133" spans="13:17" x14ac:dyDescent="0.2">
      <c r="M133" s="3"/>
      <c r="N133" s="3"/>
      <c r="O133" s="3"/>
      <c r="P133" s="3"/>
      <c r="Q133" s="3"/>
    </row>
    <row r="134" spans="13:17" x14ac:dyDescent="0.2">
      <c r="M134" s="3"/>
      <c r="N134" s="3"/>
      <c r="O134" s="3"/>
      <c r="P134" s="3"/>
      <c r="Q134" s="3"/>
    </row>
    <row r="135" spans="13:17" x14ac:dyDescent="0.2">
      <c r="M135" s="3"/>
      <c r="N135" s="3"/>
      <c r="O135" s="3"/>
      <c r="P135" s="3"/>
      <c r="Q135" s="3"/>
    </row>
    <row r="136" spans="13:17" x14ac:dyDescent="0.2">
      <c r="M136" s="3"/>
      <c r="N136" s="3"/>
      <c r="O136" s="3"/>
      <c r="P136" s="3"/>
      <c r="Q136" s="3"/>
    </row>
    <row r="137" spans="13:17" x14ac:dyDescent="0.2">
      <c r="M137" s="3"/>
      <c r="N137" s="3"/>
      <c r="O137" s="3"/>
      <c r="P137" s="3"/>
      <c r="Q137" s="3"/>
    </row>
    <row r="138" spans="13:17" x14ac:dyDescent="0.2">
      <c r="M138" s="3"/>
      <c r="N138" s="3"/>
      <c r="O138" s="3"/>
      <c r="P138" s="3"/>
      <c r="Q138" s="3"/>
    </row>
    <row r="139" spans="13:17" x14ac:dyDescent="0.2">
      <c r="M139" s="3"/>
      <c r="N139" s="3"/>
      <c r="O139" s="3"/>
      <c r="P139" s="3"/>
      <c r="Q139" s="3"/>
    </row>
    <row r="140" spans="13:17" x14ac:dyDescent="0.2">
      <c r="M140" s="3"/>
      <c r="N140" s="3"/>
      <c r="O140" s="3"/>
      <c r="P140" s="3"/>
      <c r="Q140" s="3"/>
    </row>
    <row r="141" spans="13:17" x14ac:dyDescent="0.2">
      <c r="M141" s="3"/>
      <c r="N141" s="3"/>
      <c r="O141" s="3"/>
      <c r="P141" s="3"/>
      <c r="Q141" s="3"/>
    </row>
    <row r="142" spans="13:17" x14ac:dyDescent="0.2">
      <c r="M142" s="3"/>
      <c r="N142" s="3"/>
      <c r="O142" s="3"/>
      <c r="P142" s="3"/>
      <c r="Q142" s="3"/>
    </row>
    <row r="143" spans="13:17" x14ac:dyDescent="0.2">
      <c r="M143" s="3"/>
      <c r="N143" s="3"/>
      <c r="O143" s="3"/>
      <c r="P143" s="3"/>
      <c r="Q143" s="3"/>
    </row>
    <row r="144" spans="13:17" x14ac:dyDescent="0.2">
      <c r="M144" s="3"/>
      <c r="N144" s="3"/>
      <c r="O144" s="3"/>
      <c r="P144" s="3"/>
      <c r="Q144" s="3"/>
    </row>
    <row r="145" spans="13:17" x14ac:dyDescent="0.2">
      <c r="M145" s="3"/>
      <c r="N145" s="3"/>
      <c r="O145" s="3"/>
      <c r="P145" s="3"/>
      <c r="Q145" s="3"/>
    </row>
    <row r="146" spans="13:17" x14ac:dyDescent="0.2">
      <c r="M146" s="3"/>
      <c r="N146" s="3"/>
      <c r="O146" s="3"/>
      <c r="P146" s="3"/>
      <c r="Q146" s="3"/>
    </row>
    <row r="147" spans="13:17" x14ac:dyDescent="0.2">
      <c r="M147" s="3"/>
      <c r="N147" s="3"/>
      <c r="O147" s="3"/>
      <c r="P147" s="3"/>
      <c r="Q147" s="3"/>
    </row>
    <row r="148" spans="13:17" x14ac:dyDescent="0.2">
      <c r="M148" s="3"/>
      <c r="N148" s="3"/>
      <c r="O148" s="3"/>
      <c r="P148" s="3"/>
      <c r="Q148" s="3"/>
    </row>
    <row r="149" spans="13:17" x14ac:dyDescent="0.2">
      <c r="M149" s="3"/>
      <c r="N149" s="3"/>
      <c r="O149" s="3"/>
      <c r="P149" s="3"/>
      <c r="Q149" s="3"/>
    </row>
    <row r="150" spans="13:17" x14ac:dyDescent="0.2">
      <c r="M150" s="3"/>
      <c r="N150" s="3"/>
      <c r="O150" s="3"/>
      <c r="P150" s="3"/>
      <c r="Q150" s="3"/>
    </row>
    <row r="151" spans="13:17" x14ac:dyDescent="0.2">
      <c r="M151" s="3"/>
      <c r="N151" s="3"/>
      <c r="O151" s="3"/>
      <c r="P151" s="3"/>
      <c r="Q151" s="3"/>
    </row>
    <row r="152" spans="13:17" x14ac:dyDescent="0.2">
      <c r="M152" s="3"/>
      <c r="N152" s="3"/>
      <c r="O152" s="3"/>
      <c r="P152" s="3"/>
      <c r="Q152" s="3"/>
    </row>
    <row r="153" spans="13:17" x14ac:dyDescent="0.2">
      <c r="M153" s="3"/>
      <c r="N153" s="3"/>
      <c r="O153" s="3"/>
      <c r="P153" s="3"/>
      <c r="Q153" s="3"/>
    </row>
    <row r="154" spans="13:17" x14ac:dyDescent="0.2">
      <c r="M154" s="3"/>
      <c r="N154" s="3"/>
      <c r="O154" s="3"/>
      <c r="P154" s="3"/>
      <c r="Q154" s="3"/>
    </row>
    <row r="155" spans="13:17" x14ac:dyDescent="0.2">
      <c r="M155" s="3"/>
      <c r="N155" s="3"/>
      <c r="O155" s="3"/>
      <c r="P155" s="3"/>
      <c r="Q155" s="3"/>
    </row>
    <row r="156" spans="13:17" x14ac:dyDescent="0.2">
      <c r="M156" s="3"/>
      <c r="N156" s="3"/>
      <c r="O156" s="3"/>
      <c r="P156" s="3"/>
      <c r="Q156" s="3"/>
    </row>
    <row r="157" spans="13:17" x14ac:dyDescent="0.2">
      <c r="M157" s="3"/>
      <c r="N157" s="3"/>
      <c r="O157" s="3"/>
      <c r="P157" s="3"/>
      <c r="Q157" s="3"/>
    </row>
    <row r="158" spans="13:17" x14ac:dyDescent="0.2">
      <c r="M158" s="3"/>
      <c r="N158" s="3"/>
      <c r="O158" s="3"/>
      <c r="P158" s="3"/>
      <c r="Q158" s="3"/>
    </row>
    <row r="159" spans="13:17" x14ac:dyDescent="0.2">
      <c r="M159" s="3"/>
      <c r="N159" s="3"/>
      <c r="O159" s="3"/>
      <c r="P159" s="3"/>
      <c r="Q159" s="3"/>
    </row>
    <row r="160" spans="13:17" x14ac:dyDescent="0.2">
      <c r="M160" s="3"/>
      <c r="N160" s="3"/>
      <c r="O160" s="3"/>
      <c r="P160" s="3"/>
      <c r="Q160" s="3"/>
    </row>
    <row r="161" spans="13:17" x14ac:dyDescent="0.2">
      <c r="M161" s="3"/>
      <c r="N161" s="3"/>
      <c r="O161" s="3"/>
      <c r="P161" s="3"/>
      <c r="Q161" s="3"/>
    </row>
    <row r="162" spans="13:17" x14ac:dyDescent="0.2">
      <c r="M162" s="3"/>
      <c r="N162" s="3"/>
      <c r="O162" s="3"/>
      <c r="P162" s="3"/>
      <c r="Q162" s="3"/>
    </row>
    <row r="163" spans="13:17" x14ac:dyDescent="0.2">
      <c r="M163" s="3"/>
      <c r="N163" s="3"/>
      <c r="O163" s="3"/>
      <c r="P163" s="3"/>
      <c r="Q163" s="3"/>
    </row>
    <row r="164" spans="13:17" x14ac:dyDescent="0.2">
      <c r="M164" s="3"/>
      <c r="N164" s="3"/>
      <c r="O164" s="3"/>
      <c r="P164" s="3"/>
      <c r="Q164" s="3"/>
    </row>
    <row r="165" spans="13:17" x14ac:dyDescent="0.2">
      <c r="M165" s="3"/>
      <c r="N165" s="3"/>
      <c r="O165" s="3"/>
      <c r="P165" s="3"/>
      <c r="Q165" s="3"/>
    </row>
    <row r="166" spans="13:17" x14ac:dyDescent="0.2">
      <c r="M166" s="3"/>
      <c r="N166" s="3"/>
      <c r="O166" s="3"/>
      <c r="P166" s="3"/>
      <c r="Q166" s="3"/>
    </row>
    <row r="167" spans="13:17" x14ac:dyDescent="0.2">
      <c r="M167" s="3"/>
      <c r="N167" s="3"/>
      <c r="O167" s="3"/>
      <c r="P167" s="3"/>
      <c r="Q167" s="3"/>
    </row>
    <row r="168" spans="13:17" x14ac:dyDescent="0.2">
      <c r="M168" s="3"/>
      <c r="N168" s="3"/>
      <c r="O168" s="3"/>
      <c r="P168" s="3"/>
      <c r="Q168" s="3"/>
    </row>
    <row r="169" spans="13:17" x14ac:dyDescent="0.2">
      <c r="M169" s="3"/>
      <c r="N169" s="3"/>
      <c r="O169" s="3"/>
      <c r="P169" s="3"/>
      <c r="Q169" s="3"/>
    </row>
    <row r="170" spans="13:17" x14ac:dyDescent="0.2">
      <c r="M170" s="3"/>
      <c r="N170" s="3"/>
      <c r="O170" s="3"/>
      <c r="P170" s="3"/>
      <c r="Q170" s="3"/>
    </row>
    <row r="171" spans="13:17" x14ac:dyDescent="0.2">
      <c r="M171" s="3"/>
      <c r="N171" s="3"/>
      <c r="O171" s="3"/>
      <c r="P171" s="3"/>
      <c r="Q171" s="3"/>
    </row>
    <row r="172" spans="13:17" x14ac:dyDescent="0.2">
      <c r="M172" s="3"/>
      <c r="N172" s="3"/>
      <c r="O172" s="3"/>
      <c r="P172" s="3"/>
      <c r="Q172" s="3"/>
    </row>
    <row r="173" spans="13:17" x14ac:dyDescent="0.2">
      <c r="M173" s="3"/>
      <c r="N173" s="3"/>
      <c r="O173" s="3"/>
      <c r="P173" s="3"/>
      <c r="Q173" s="3"/>
    </row>
    <row r="174" spans="13:17" x14ac:dyDescent="0.2">
      <c r="M174" s="3"/>
      <c r="N174" s="3"/>
      <c r="O174" s="3"/>
      <c r="P174" s="3"/>
      <c r="Q174" s="3"/>
    </row>
    <row r="175" spans="13:17" x14ac:dyDescent="0.2">
      <c r="M175" s="3"/>
      <c r="N175" s="3"/>
      <c r="O175" s="3"/>
      <c r="P175" s="3"/>
      <c r="Q175" s="3"/>
    </row>
    <row r="176" spans="13:17" x14ac:dyDescent="0.2">
      <c r="M176" s="3"/>
      <c r="N176" s="3"/>
      <c r="O176" s="3"/>
      <c r="P176" s="3"/>
      <c r="Q176" s="3"/>
    </row>
    <row r="177" spans="13:17" x14ac:dyDescent="0.2">
      <c r="M177" s="3"/>
      <c r="N177" s="3"/>
      <c r="O177" s="3"/>
      <c r="P177" s="3"/>
      <c r="Q177" s="3"/>
    </row>
    <row r="178" spans="13:17" x14ac:dyDescent="0.2">
      <c r="M178" s="3"/>
      <c r="N178" s="3"/>
      <c r="O178" s="3"/>
      <c r="P178" s="3"/>
      <c r="Q178" s="3"/>
    </row>
    <row r="179" spans="13:17" x14ac:dyDescent="0.2">
      <c r="M179" s="3"/>
      <c r="N179" s="3"/>
      <c r="O179" s="3"/>
      <c r="P179" s="3"/>
      <c r="Q179" s="3"/>
    </row>
    <row r="180" spans="13:17" x14ac:dyDescent="0.2">
      <c r="M180" s="3"/>
      <c r="N180" s="3"/>
      <c r="O180" s="3"/>
      <c r="P180" s="3"/>
      <c r="Q180" s="3"/>
    </row>
    <row r="181" spans="13:17" x14ac:dyDescent="0.2">
      <c r="M181" s="3"/>
      <c r="N181" s="3"/>
      <c r="O181" s="3"/>
      <c r="P181" s="3"/>
      <c r="Q181" s="3"/>
    </row>
    <row r="182" spans="13:17" x14ac:dyDescent="0.2">
      <c r="M182" s="3"/>
      <c r="N182" s="3"/>
      <c r="O182" s="3"/>
      <c r="P182" s="3"/>
      <c r="Q182" s="3"/>
    </row>
    <row r="183" spans="13:17" x14ac:dyDescent="0.2">
      <c r="M183" s="3"/>
      <c r="N183" s="3"/>
      <c r="O183" s="3"/>
      <c r="P183" s="3"/>
      <c r="Q183" s="3"/>
    </row>
    <row r="184" spans="13:17" x14ac:dyDescent="0.2">
      <c r="M184" s="3"/>
      <c r="N184" s="3"/>
      <c r="O184" s="3"/>
      <c r="P184" s="3"/>
      <c r="Q184" s="3"/>
    </row>
    <row r="185" spans="13:17" x14ac:dyDescent="0.2">
      <c r="M185" s="3"/>
      <c r="N185" s="3"/>
      <c r="O185" s="3"/>
      <c r="P185" s="3"/>
      <c r="Q185" s="3"/>
    </row>
    <row r="186" spans="13:17" x14ac:dyDescent="0.2">
      <c r="M186" s="3"/>
      <c r="N186" s="3"/>
      <c r="O186" s="3"/>
      <c r="P186" s="3"/>
      <c r="Q186" s="3"/>
    </row>
    <row r="187" spans="13:17" x14ac:dyDescent="0.2">
      <c r="M187" s="3"/>
      <c r="N187" s="3"/>
      <c r="O187" s="3"/>
      <c r="P187" s="3"/>
      <c r="Q187" s="3"/>
    </row>
    <row r="188" spans="13:17" x14ac:dyDescent="0.2">
      <c r="M188" s="3"/>
      <c r="N188" s="3"/>
      <c r="O188" s="3"/>
      <c r="P188" s="3"/>
      <c r="Q188" s="3"/>
    </row>
    <row r="189" spans="13:17" x14ac:dyDescent="0.2">
      <c r="M189" s="3"/>
      <c r="N189" s="3"/>
      <c r="O189" s="3"/>
      <c r="P189" s="3"/>
      <c r="Q189" s="3"/>
    </row>
    <row r="190" spans="13:17" x14ac:dyDescent="0.2">
      <c r="M190" s="3"/>
      <c r="N190" s="3"/>
      <c r="O190" s="3"/>
      <c r="P190" s="3"/>
      <c r="Q190" s="3"/>
    </row>
    <row r="191" spans="13:17" x14ac:dyDescent="0.2">
      <c r="M191" s="3"/>
      <c r="N191" s="3"/>
      <c r="O191" s="3"/>
      <c r="P191" s="3"/>
      <c r="Q191" s="3"/>
    </row>
    <row r="192" spans="13:17" x14ac:dyDescent="0.2">
      <c r="M192" s="3"/>
      <c r="N192" s="3"/>
      <c r="O192" s="3"/>
      <c r="P192" s="3"/>
      <c r="Q192" s="3"/>
    </row>
    <row r="193" spans="13:17" x14ac:dyDescent="0.2">
      <c r="M193" s="3"/>
      <c r="N193" s="3"/>
      <c r="O193" s="3"/>
      <c r="P193" s="3"/>
      <c r="Q193" s="3"/>
    </row>
    <row r="194" spans="13:17" x14ac:dyDescent="0.2">
      <c r="M194" s="3"/>
      <c r="N194" s="3"/>
      <c r="O194" s="3"/>
      <c r="P194" s="3"/>
      <c r="Q194" s="3"/>
    </row>
    <row r="195" spans="13:17" x14ac:dyDescent="0.2">
      <c r="M195" s="3"/>
      <c r="N195" s="3"/>
      <c r="O195" s="3"/>
      <c r="P195" s="3"/>
      <c r="Q195" s="3"/>
    </row>
    <row r="196" spans="13:17" x14ac:dyDescent="0.2">
      <c r="M196" s="3"/>
      <c r="N196" s="3"/>
      <c r="O196" s="3"/>
      <c r="P196" s="3"/>
      <c r="Q196" s="3"/>
    </row>
    <row r="197" spans="13:17" x14ac:dyDescent="0.2">
      <c r="M197" s="3"/>
      <c r="N197" s="3"/>
      <c r="O197" s="3"/>
      <c r="P197" s="3"/>
      <c r="Q197" s="3"/>
    </row>
    <row r="198" spans="13:17" x14ac:dyDescent="0.2">
      <c r="M198" s="3"/>
      <c r="N198" s="3"/>
      <c r="O198" s="3"/>
      <c r="P198" s="3"/>
      <c r="Q198" s="3"/>
    </row>
    <row r="199" spans="13:17" x14ac:dyDescent="0.2">
      <c r="M199" s="3"/>
      <c r="N199" s="3"/>
      <c r="O199" s="3"/>
      <c r="P199" s="3"/>
      <c r="Q199" s="3"/>
    </row>
    <row r="200" spans="13:17" x14ac:dyDescent="0.2">
      <c r="M200" s="3"/>
      <c r="N200" s="3"/>
      <c r="O200" s="3"/>
      <c r="P200" s="3"/>
      <c r="Q200" s="3"/>
    </row>
    <row r="201" spans="13:17" x14ac:dyDescent="0.2">
      <c r="M201" s="3"/>
      <c r="N201" s="3"/>
      <c r="O201" s="3"/>
      <c r="P201" s="3"/>
      <c r="Q201" s="3"/>
    </row>
    <row r="202" spans="13:17" x14ac:dyDescent="0.2">
      <c r="M202" s="3"/>
      <c r="N202" s="3"/>
      <c r="O202" s="3"/>
      <c r="P202" s="3"/>
      <c r="Q202" s="3"/>
    </row>
    <row r="203" spans="13:17" x14ac:dyDescent="0.2">
      <c r="M203" s="3"/>
      <c r="N203" s="3"/>
      <c r="O203" s="3"/>
      <c r="P203" s="3"/>
      <c r="Q203" s="3"/>
    </row>
    <row r="204" spans="13:17" x14ac:dyDescent="0.2">
      <c r="M204" s="3"/>
      <c r="N204" s="3"/>
      <c r="O204" s="3"/>
      <c r="P204" s="3"/>
      <c r="Q204" s="3"/>
    </row>
    <row r="205" spans="13:17" x14ac:dyDescent="0.2">
      <c r="M205" s="3"/>
      <c r="N205" s="3"/>
      <c r="O205" s="3"/>
      <c r="P205" s="3"/>
      <c r="Q205" s="3"/>
    </row>
    <row r="206" spans="13:17" x14ac:dyDescent="0.2">
      <c r="M206" s="3"/>
      <c r="N206" s="3"/>
      <c r="O206" s="3"/>
      <c r="P206" s="3"/>
      <c r="Q206" s="3"/>
    </row>
    <row r="207" spans="13:17" x14ac:dyDescent="0.2">
      <c r="M207" s="3"/>
      <c r="N207" s="3"/>
      <c r="O207" s="3"/>
      <c r="P207" s="3"/>
      <c r="Q207" s="3"/>
    </row>
    <row r="208" spans="13:17" x14ac:dyDescent="0.2">
      <c r="M208" s="3"/>
      <c r="N208" s="3"/>
      <c r="O208" s="3"/>
      <c r="P208" s="3"/>
      <c r="Q208" s="3"/>
    </row>
    <row r="209" spans="13:17" x14ac:dyDescent="0.2">
      <c r="M209" s="3"/>
      <c r="N209" s="3"/>
      <c r="O209" s="3"/>
      <c r="P209" s="3"/>
      <c r="Q209" s="3"/>
    </row>
    <row r="210" spans="13:17" x14ac:dyDescent="0.2">
      <c r="M210" s="3"/>
      <c r="N210" s="3"/>
      <c r="O210" s="3"/>
      <c r="P210" s="3"/>
      <c r="Q210" s="3"/>
    </row>
    <row r="211" spans="13:17" x14ac:dyDescent="0.2">
      <c r="M211" s="3"/>
      <c r="N211" s="3"/>
      <c r="O211" s="3"/>
      <c r="P211" s="3"/>
      <c r="Q211" s="3"/>
    </row>
    <row r="212" spans="13:17" x14ac:dyDescent="0.2">
      <c r="M212" s="3"/>
      <c r="N212" s="3"/>
      <c r="O212" s="3"/>
      <c r="P212" s="3"/>
      <c r="Q212" s="3"/>
    </row>
    <row r="213" spans="13:17" x14ac:dyDescent="0.2">
      <c r="M213" s="3"/>
      <c r="N213" s="3"/>
      <c r="O213" s="3"/>
      <c r="P213" s="3"/>
      <c r="Q213" s="3"/>
    </row>
    <row r="214" spans="13:17" x14ac:dyDescent="0.2">
      <c r="M214" s="3"/>
      <c r="N214" s="3"/>
      <c r="O214" s="3"/>
      <c r="P214" s="3"/>
      <c r="Q214" s="3"/>
    </row>
    <row r="215" spans="13:17" x14ac:dyDescent="0.2">
      <c r="M215" s="3"/>
      <c r="N215" s="3"/>
      <c r="O215" s="3"/>
      <c r="P215" s="3"/>
      <c r="Q215" s="3"/>
    </row>
    <row r="216" spans="13:17" x14ac:dyDescent="0.2">
      <c r="M216" s="3"/>
      <c r="N216" s="3"/>
      <c r="O216" s="3"/>
      <c r="P216" s="3"/>
      <c r="Q216" s="3"/>
    </row>
    <row r="217" spans="13:17" x14ac:dyDescent="0.2">
      <c r="M217" s="3"/>
      <c r="N217" s="3"/>
      <c r="O217" s="3"/>
      <c r="P217" s="3"/>
      <c r="Q217" s="3"/>
    </row>
    <row r="218" spans="13:17" x14ac:dyDescent="0.2">
      <c r="M218" s="3"/>
      <c r="N218" s="3"/>
      <c r="O218" s="3"/>
      <c r="P218" s="3"/>
      <c r="Q218" s="3"/>
    </row>
    <row r="219" spans="13:17" x14ac:dyDescent="0.2">
      <c r="M219" s="3"/>
      <c r="N219" s="3"/>
      <c r="O219" s="3"/>
      <c r="P219" s="3"/>
      <c r="Q219" s="3"/>
    </row>
    <row r="220" spans="13:17" x14ac:dyDescent="0.2">
      <c r="M220" s="3"/>
      <c r="N220" s="3"/>
      <c r="O220" s="3"/>
      <c r="P220" s="3"/>
      <c r="Q220" s="3"/>
    </row>
    <row r="221" spans="13:17" x14ac:dyDescent="0.2">
      <c r="M221" s="3"/>
      <c r="N221" s="3"/>
      <c r="O221" s="3"/>
      <c r="P221" s="3"/>
      <c r="Q221" s="3"/>
    </row>
    <row r="222" spans="13:17" x14ac:dyDescent="0.2">
      <c r="M222" s="3"/>
      <c r="N222" s="3"/>
      <c r="O222" s="3"/>
      <c r="P222" s="3"/>
      <c r="Q222" s="3"/>
    </row>
    <row r="223" spans="13:17" x14ac:dyDescent="0.2">
      <c r="M223" s="3"/>
      <c r="N223" s="3"/>
      <c r="O223" s="3"/>
      <c r="P223" s="3"/>
      <c r="Q223" s="3"/>
    </row>
    <row r="224" spans="13:17" x14ac:dyDescent="0.2">
      <c r="M224" s="3"/>
      <c r="N224" s="3"/>
      <c r="O224" s="3"/>
      <c r="P224" s="3"/>
      <c r="Q224" s="3"/>
    </row>
    <row r="225" spans="13:17" x14ac:dyDescent="0.2">
      <c r="M225" s="3"/>
      <c r="N225" s="3"/>
      <c r="O225" s="3"/>
      <c r="P225" s="3"/>
      <c r="Q225" s="3"/>
    </row>
    <row r="226" spans="13:17" x14ac:dyDescent="0.2">
      <c r="M226" s="3"/>
      <c r="N226" s="3"/>
      <c r="O226" s="3"/>
      <c r="P226" s="3"/>
      <c r="Q226" s="3"/>
    </row>
    <row r="227" spans="13:17" x14ac:dyDescent="0.2">
      <c r="M227" s="3"/>
      <c r="N227" s="3"/>
      <c r="O227" s="3"/>
      <c r="P227" s="3"/>
      <c r="Q227" s="3"/>
    </row>
    <row r="228" spans="13:17" x14ac:dyDescent="0.2">
      <c r="M228" s="3"/>
      <c r="N228" s="3"/>
      <c r="O228" s="3"/>
      <c r="P228" s="3"/>
      <c r="Q228" s="3"/>
    </row>
    <row r="229" spans="13:17" x14ac:dyDescent="0.2">
      <c r="M229" s="3"/>
      <c r="N229" s="3"/>
      <c r="O229" s="3"/>
      <c r="P229" s="3"/>
      <c r="Q229" s="3"/>
    </row>
    <row r="230" spans="13:17" x14ac:dyDescent="0.2">
      <c r="M230" s="3"/>
      <c r="N230" s="3"/>
      <c r="O230" s="3"/>
      <c r="P230" s="3"/>
      <c r="Q230" s="3"/>
    </row>
    <row r="231" spans="13:17" x14ac:dyDescent="0.2">
      <c r="M231" s="3"/>
      <c r="N231" s="3"/>
      <c r="O231" s="3"/>
      <c r="P231" s="3"/>
      <c r="Q231" s="3"/>
    </row>
    <row r="232" spans="13:17" x14ac:dyDescent="0.2">
      <c r="M232" s="3"/>
      <c r="N232" s="3"/>
      <c r="O232" s="3"/>
      <c r="P232" s="3"/>
      <c r="Q232" s="3"/>
    </row>
    <row r="233" spans="13:17" x14ac:dyDescent="0.2">
      <c r="M233" s="3"/>
      <c r="N233" s="3"/>
      <c r="O233" s="3"/>
      <c r="P233" s="3"/>
      <c r="Q233" s="3"/>
    </row>
    <row r="234" spans="13:17" x14ac:dyDescent="0.2">
      <c r="M234" s="3"/>
      <c r="N234" s="3"/>
      <c r="O234" s="3"/>
      <c r="P234" s="3"/>
      <c r="Q234" s="3"/>
    </row>
    <row r="235" spans="13:17" x14ac:dyDescent="0.2">
      <c r="M235" s="3"/>
      <c r="N235" s="3"/>
      <c r="O235" s="3"/>
      <c r="P235" s="3"/>
      <c r="Q235" s="3"/>
    </row>
    <row r="236" spans="13:17" x14ac:dyDescent="0.2">
      <c r="M236" s="3"/>
      <c r="N236" s="3"/>
      <c r="O236" s="3"/>
      <c r="P236" s="3"/>
      <c r="Q236" s="3"/>
    </row>
    <row r="237" spans="13:17" x14ac:dyDescent="0.2">
      <c r="M237" s="3"/>
      <c r="N237" s="3"/>
      <c r="O237" s="3"/>
      <c r="P237" s="3"/>
      <c r="Q237" s="3"/>
    </row>
    <row r="238" spans="13:17" x14ac:dyDescent="0.2">
      <c r="M238" s="3"/>
      <c r="N238" s="3"/>
      <c r="O238" s="3"/>
      <c r="P238" s="3"/>
      <c r="Q238" s="3"/>
    </row>
    <row r="239" spans="13:17" x14ac:dyDescent="0.2">
      <c r="M239" s="3"/>
      <c r="N239" s="3"/>
      <c r="O239" s="3"/>
      <c r="P239" s="3"/>
      <c r="Q239" s="3"/>
    </row>
    <row r="240" spans="13:17" x14ac:dyDescent="0.2">
      <c r="M240" s="3"/>
      <c r="N240" s="3"/>
      <c r="O240" s="3"/>
      <c r="P240" s="3"/>
      <c r="Q240" s="3"/>
    </row>
    <row r="241" spans="13:17" x14ac:dyDescent="0.2">
      <c r="M241" s="3"/>
      <c r="N241" s="3"/>
      <c r="O241" s="3"/>
      <c r="P241" s="3"/>
      <c r="Q241" s="3"/>
    </row>
    <row r="242" spans="13:17" x14ac:dyDescent="0.2">
      <c r="M242" s="3"/>
      <c r="N242" s="3"/>
      <c r="O242" s="3"/>
      <c r="P242" s="3"/>
      <c r="Q242" s="3"/>
    </row>
    <row r="243" spans="13:17" x14ac:dyDescent="0.2">
      <c r="M243" s="3"/>
      <c r="N243" s="3"/>
      <c r="O243" s="3"/>
      <c r="P243" s="3"/>
      <c r="Q243" s="3"/>
    </row>
    <row r="244" spans="13:17" x14ac:dyDescent="0.2">
      <c r="M244" s="3"/>
      <c r="N244" s="3"/>
      <c r="O244" s="3"/>
      <c r="P244" s="3"/>
      <c r="Q244" s="3"/>
    </row>
    <row r="245" spans="13:17" x14ac:dyDescent="0.2">
      <c r="M245" s="3"/>
      <c r="N245" s="3"/>
      <c r="O245" s="3"/>
      <c r="P245" s="3"/>
      <c r="Q245" s="3"/>
    </row>
    <row r="246" spans="13:17" x14ac:dyDescent="0.2">
      <c r="M246" s="3"/>
      <c r="N246" s="3"/>
      <c r="O246" s="3"/>
      <c r="P246" s="3"/>
      <c r="Q246" s="3"/>
    </row>
    <row r="247" spans="13:17" x14ac:dyDescent="0.2">
      <c r="M247" s="3"/>
      <c r="N247" s="3"/>
      <c r="O247" s="3"/>
      <c r="P247" s="3"/>
      <c r="Q247" s="3"/>
    </row>
    <row r="248" spans="13:17" x14ac:dyDescent="0.2">
      <c r="M248" s="3"/>
      <c r="N248" s="3"/>
      <c r="O248" s="3"/>
      <c r="P248" s="3"/>
      <c r="Q248" s="3"/>
    </row>
    <row r="249" spans="13:17" x14ac:dyDescent="0.2">
      <c r="M249" s="3"/>
      <c r="N249" s="3"/>
      <c r="O249" s="3"/>
      <c r="P249" s="3"/>
      <c r="Q249" s="3"/>
    </row>
    <row r="250" spans="13:17" x14ac:dyDescent="0.2">
      <c r="M250" s="3"/>
      <c r="N250" s="3"/>
      <c r="O250" s="3"/>
      <c r="P250" s="3"/>
      <c r="Q250" s="3"/>
    </row>
    <row r="251" spans="13:17" x14ac:dyDescent="0.2">
      <c r="M251" s="3"/>
      <c r="N251" s="3"/>
      <c r="O251" s="3"/>
      <c r="P251" s="3"/>
      <c r="Q251" s="3"/>
    </row>
    <row r="252" spans="13:17" x14ac:dyDescent="0.2">
      <c r="M252" s="3"/>
      <c r="N252" s="3"/>
      <c r="O252" s="3"/>
      <c r="P252" s="3"/>
      <c r="Q252" s="3"/>
    </row>
    <row r="253" spans="13:17" x14ac:dyDescent="0.2">
      <c r="M253" s="3"/>
      <c r="N253" s="3"/>
      <c r="O253" s="3"/>
      <c r="P253" s="3"/>
      <c r="Q253" s="3"/>
    </row>
    <row r="254" spans="13:17" x14ac:dyDescent="0.2">
      <c r="M254" s="3"/>
      <c r="N254" s="3"/>
      <c r="O254" s="3"/>
      <c r="P254" s="3"/>
      <c r="Q254" s="3"/>
    </row>
    <row r="255" spans="13:17" x14ac:dyDescent="0.2">
      <c r="M255" s="3"/>
      <c r="N255" s="3"/>
      <c r="O255" s="3"/>
      <c r="P255" s="3"/>
      <c r="Q255" s="3"/>
    </row>
    <row r="256" spans="13:17" x14ac:dyDescent="0.2">
      <c r="M256" s="3"/>
      <c r="N256" s="3"/>
      <c r="O256" s="3"/>
      <c r="P256" s="3"/>
      <c r="Q256" s="3"/>
    </row>
    <row r="257" spans="13:17" x14ac:dyDescent="0.2">
      <c r="M257" s="3"/>
      <c r="N257" s="3"/>
      <c r="O257" s="3"/>
      <c r="P257" s="3"/>
      <c r="Q257" s="3"/>
    </row>
    <row r="258" spans="13:17" x14ac:dyDescent="0.2">
      <c r="M258" s="3"/>
      <c r="N258" s="3"/>
      <c r="O258" s="3"/>
      <c r="P258" s="3"/>
      <c r="Q258" s="3"/>
    </row>
    <row r="259" spans="13:17" x14ac:dyDescent="0.2">
      <c r="M259" s="3"/>
      <c r="N259" s="3"/>
      <c r="O259" s="3"/>
      <c r="P259" s="3"/>
      <c r="Q259" s="3"/>
    </row>
    <row r="260" spans="13:17" x14ac:dyDescent="0.2">
      <c r="M260" s="3"/>
      <c r="N260" s="3"/>
      <c r="O260" s="3"/>
      <c r="P260" s="3"/>
      <c r="Q260" s="3"/>
    </row>
    <row r="261" spans="13:17" x14ac:dyDescent="0.2">
      <c r="M261" s="3"/>
      <c r="N261" s="3"/>
      <c r="O261" s="3"/>
      <c r="P261" s="3"/>
      <c r="Q261" s="3"/>
    </row>
    <row r="262" spans="13:17" x14ac:dyDescent="0.2">
      <c r="M262" s="3"/>
      <c r="N262" s="3"/>
      <c r="O262" s="3"/>
      <c r="P262" s="3"/>
      <c r="Q262" s="3"/>
    </row>
    <row r="263" spans="13:17" x14ac:dyDescent="0.2">
      <c r="M263" s="3"/>
      <c r="N263" s="3"/>
      <c r="O263" s="3"/>
      <c r="P263" s="3"/>
      <c r="Q263" s="3"/>
    </row>
    <row r="264" spans="13:17" x14ac:dyDescent="0.2">
      <c r="M264" s="3"/>
      <c r="N264" s="3"/>
      <c r="O264" s="3"/>
      <c r="P264" s="3"/>
      <c r="Q264" s="3"/>
    </row>
    <row r="265" spans="13:17" x14ac:dyDescent="0.2">
      <c r="M265" s="3"/>
      <c r="N265" s="3"/>
      <c r="O265" s="3"/>
      <c r="P265" s="3"/>
      <c r="Q265" s="3"/>
    </row>
    <row r="266" spans="13:17" x14ac:dyDescent="0.2">
      <c r="M266" s="3"/>
      <c r="N266" s="3"/>
      <c r="O266" s="3"/>
      <c r="P266" s="3"/>
      <c r="Q266" s="3"/>
    </row>
    <row r="267" spans="13:17" x14ac:dyDescent="0.2">
      <c r="M267" s="3"/>
      <c r="N267" s="3"/>
      <c r="O267" s="3"/>
      <c r="P267" s="3"/>
      <c r="Q267" s="3"/>
    </row>
    <row r="268" spans="13:17" x14ac:dyDescent="0.2">
      <c r="M268" s="3"/>
      <c r="N268" s="3"/>
      <c r="O268" s="3"/>
      <c r="P268" s="3"/>
      <c r="Q268" s="3"/>
    </row>
    <row r="269" spans="13:17" x14ac:dyDescent="0.2">
      <c r="M269" s="3"/>
      <c r="N269" s="3"/>
      <c r="O269" s="3"/>
      <c r="P269" s="3"/>
      <c r="Q269" s="3"/>
    </row>
    <row r="270" spans="13:17" x14ac:dyDescent="0.2">
      <c r="M270" s="3"/>
      <c r="N270" s="3"/>
      <c r="O270" s="3"/>
      <c r="P270" s="3"/>
      <c r="Q270" s="3"/>
    </row>
    <row r="271" spans="13:17" x14ac:dyDescent="0.2">
      <c r="M271" s="3"/>
      <c r="N271" s="3"/>
      <c r="O271" s="3"/>
      <c r="P271" s="3"/>
      <c r="Q271" s="3"/>
    </row>
    <row r="272" spans="13:17" x14ac:dyDescent="0.2">
      <c r="M272" s="3"/>
      <c r="N272" s="3"/>
      <c r="O272" s="3"/>
      <c r="P272" s="3"/>
      <c r="Q272" s="3"/>
    </row>
    <row r="273" spans="13:17" x14ac:dyDescent="0.2">
      <c r="M273" s="3"/>
      <c r="N273" s="3"/>
      <c r="O273" s="3"/>
      <c r="P273" s="3"/>
      <c r="Q273" s="3"/>
    </row>
    <row r="274" spans="13:17" x14ac:dyDescent="0.2">
      <c r="M274" s="3"/>
      <c r="N274" s="3"/>
      <c r="O274" s="3"/>
      <c r="P274" s="3"/>
      <c r="Q274" s="3"/>
    </row>
    <row r="275" spans="13:17" x14ac:dyDescent="0.2">
      <c r="M275" s="3"/>
      <c r="N275" s="3"/>
      <c r="O275" s="3"/>
      <c r="P275" s="3"/>
      <c r="Q275" s="3"/>
    </row>
    <row r="276" spans="13:17" x14ac:dyDescent="0.2">
      <c r="M276" s="3"/>
      <c r="N276" s="3"/>
      <c r="O276" s="3"/>
      <c r="P276" s="3"/>
      <c r="Q276" s="3"/>
    </row>
    <row r="277" spans="13:17" x14ac:dyDescent="0.2">
      <c r="M277" s="3"/>
      <c r="N277" s="3"/>
      <c r="O277" s="3"/>
      <c r="P277" s="3"/>
      <c r="Q277" s="3"/>
    </row>
    <row r="278" spans="13:17" x14ac:dyDescent="0.2">
      <c r="M278" s="3"/>
      <c r="N278" s="3"/>
      <c r="O278" s="3"/>
      <c r="P278" s="3"/>
      <c r="Q278" s="3"/>
    </row>
    <row r="279" spans="13:17" x14ac:dyDescent="0.2">
      <c r="M279" s="3"/>
      <c r="N279" s="3"/>
      <c r="O279" s="3"/>
      <c r="P279" s="3"/>
      <c r="Q279" s="3"/>
    </row>
    <row r="280" spans="13:17" x14ac:dyDescent="0.2">
      <c r="M280" s="3"/>
      <c r="N280" s="3"/>
      <c r="O280" s="3"/>
      <c r="P280" s="3"/>
      <c r="Q280" s="3"/>
    </row>
    <row r="281" spans="13:17" x14ac:dyDescent="0.2">
      <c r="M281" s="3"/>
      <c r="N281" s="3"/>
      <c r="O281" s="3"/>
      <c r="P281" s="3"/>
      <c r="Q281" s="3"/>
    </row>
    <row r="282" spans="13:17" x14ac:dyDescent="0.2">
      <c r="M282" s="3"/>
      <c r="N282" s="3"/>
      <c r="O282" s="3"/>
      <c r="P282" s="3"/>
      <c r="Q282" s="3"/>
    </row>
    <row r="283" spans="13:17" x14ac:dyDescent="0.2">
      <c r="M283" s="3"/>
      <c r="N283" s="3"/>
      <c r="O283" s="3"/>
      <c r="P283" s="3"/>
      <c r="Q283" s="3"/>
    </row>
    <row r="284" spans="13:17" x14ac:dyDescent="0.2">
      <c r="M284" s="3"/>
      <c r="N284" s="3"/>
      <c r="O284" s="3"/>
      <c r="P284" s="3"/>
      <c r="Q284" s="3"/>
    </row>
    <row r="285" spans="13:17" x14ac:dyDescent="0.2">
      <c r="M285" s="3"/>
      <c r="N285" s="3"/>
      <c r="O285" s="3"/>
      <c r="P285" s="3"/>
      <c r="Q285" s="3"/>
    </row>
    <row r="286" spans="13:17" x14ac:dyDescent="0.2">
      <c r="M286" s="3"/>
      <c r="N286" s="3"/>
      <c r="O286" s="3"/>
      <c r="P286" s="3"/>
      <c r="Q286" s="3"/>
    </row>
    <row r="287" spans="13:17" x14ac:dyDescent="0.2">
      <c r="M287" s="3"/>
      <c r="N287" s="3"/>
      <c r="O287" s="3"/>
      <c r="P287" s="3"/>
      <c r="Q287" s="3"/>
    </row>
    <row r="288" spans="13:17" x14ac:dyDescent="0.2">
      <c r="M288" s="3"/>
      <c r="N288" s="3"/>
      <c r="O288" s="3"/>
      <c r="P288" s="3"/>
      <c r="Q288" s="3"/>
    </row>
    <row r="289" spans="13:17" x14ac:dyDescent="0.2">
      <c r="M289" s="3"/>
      <c r="N289" s="3"/>
      <c r="O289" s="3"/>
      <c r="P289" s="3"/>
      <c r="Q289" s="3"/>
    </row>
    <row r="290" spans="13:17" x14ac:dyDescent="0.2">
      <c r="M290" s="3"/>
      <c r="N290" s="3"/>
      <c r="O290" s="3"/>
      <c r="P290" s="3"/>
      <c r="Q290" s="3"/>
    </row>
    <row r="291" spans="13:17" x14ac:dyDescent="0.2">
      <c r="M291" s="3"/>
      <c r="N291" s="3"/>
      <c r="O291" s="3"/>
      <c r="P291" s="3"/>
      <c r="Q291" s="3"/>
    </row>
    <row r="292" spans="13:17" x14ac:dyDescent="0.2">
      <c r="M292" s="3"/>
      <c r="N292" s="3"/>
      <c r="O292" s="3"/>
      <c r="P292" s="3"/>
      <c r="Q292" s="3"/>
    </row>
    <row r="293" spans="13:17" x14ac:dyDescent="0.2">
      <c r="M293" s="3"/>
      <c r="N293" s="3"/>
      <c r="O293" s="3"/>
      <c r="P293" s="3"/>
      <c r="Q293" s="3"/>
    </row>
    <row r="294" spans="13:17" x14ac:dyDescent="0.2">
      <c r="M294" s="3"/>
      <c r="N294" s="3"/>
      <c r="O294" s="3"/>
      <c r="P294" s="3"/>
      <c r="Q294" s="3"/>
    </row>
    <row r="295" spans="13:17" x14ac:dyDescent="0.2">
      <c r="M295" s="3"/>
      <c r="N295" s="3"/>
      <c r="O295" s="3"/>
      <c r="P295" s="3"/>
      <c r="Q295" s="3"/>
    </row>
    <row r="296" spans="13:17" x14ac:dyDescent="0.2">
      <c r="M296" s="3"/>
      <c r="N296" s="3"/>
      <c r="O296" s="3"/>
      <c r="P296" s="3"/>
      <c r="Q296" s="3"/>
    </row>
    <row r="297" spans="13:17" x14ac:dyDescent="0.2">
      <c r="M297" s="3"/>
      <c r="N297" s="3"/>
      <c r="O297" s="3"/>
      <c r="P297" s="3"/>
      <c r="Q297" s="3"/>
    </row>
    <row r="298" spans="13:17" x14ac:dyDescent="0.2">
      <c r="M298" s="3"/>
      <c r="N298" s="3"/>
      <c r="O298" s="3"/>
      <c r="P298" s="3"/>
      <c r="Q298" s="3"/>
    </row>
    <row r="299" spans="13:17" x14ac:dyDescent="0.2">
      <c r="M299" s="3"/>
      <c r="N299" s="3"/>
      <c r="O299" s="3"/>
      <c r="P299" s="3"/>
      <c r="Q299" s="3"/>
    </row>
    <row r="300" spans="13:17" x14ac:dyDescent="0.2">
      <c r="M300" s="3"/>
      <c r="N300" s="3"/>
      <c r="O300" s="3"/>
      <c r="P300" s="3"/>
      <c r="Q300" s="3"/>
    </row>
    <row r="301" spans="13:17" x14ac:dyDescent="0.2">
      <c r="M301" s="3"/>
      <c r="N301" s="3"/>
      <c r="O301" s="3"/>
      <c r="P301" s="3"/>
      <c r="Q301" s="3"/>
    </row>
    <row r="302" spans="13:17" x14ac:dyDescent="0.2">
      <c r="M302" s="3"/>
      <c r="N302" s="3"/>
      <c r="O302" s="3"/>
      <c r="P302" s="3"/>
      <c r="Q302" s="3"/>
    </row>
    <row r="303" spans="13:17" x14ac:dyDescent="0.2">
      <c r="M303" s="3"/>
      <c r="N303" s="3"/>
      <c r="O303" s="3"/>
      <c r="P303" s="3"/>
      <c r="Q303" s="3"/>
    </row>
    <row r="304" spans="13:17" x14ac:dyDescent="0.2">
      <c r="M304" s="3"/>
      <c r="N304" s="3"/>
      <c r="O304" s="3"/>
      <c r="P304" s="3"/>
      <c r="Q304" s="3"/>
    </row>
    <row r="305" spans="13:17" x14ac:dyDescent="0.2">
      <c r="M305" s="3"/>
      <c r="N305" s="3"/>
      <c r="O305" s="3"/>
      <c r="P305" s="3"/>
      <c r="Q305" s="3"/>
    </row>
    <row r="306" spans="13:17" x14ac:dyDescent="0.2">
      <c r="M306" s="3"/>
      <c r="N306" s="3"/>
      <c r="O306" s="3"/>
      <c r="P306" s="3"/>
      <c r="Q306" s="3"/>
    </row>
    <row r="307" spans="13:17" x14ac:dyDescent="0.2">
      <c r="M307" s="3"/>
      <c r="N307" s="3"/>
      <c r="O307" s="3"/>
      <c r="P307" s="3"/>
      <c r="Q307" s="3"/>
    </row>
    <row r="308" spans="13:17" x14ac:dyDescent="0.2">
      <c r="M308" s="3"/>
      <c r="N308" s="3"/>
      <c r="O308" s="3"/>
      <c r="P308" s="3"/>
      <c r="Q308" s="3"/>
    </row>
    <row r="309" spans="13:17" x14ac:dyDescent="0.2">
      <c r="M309" s="3"/>
      <c r="N309" s="3"/>
      <c r="O309" s="3"/>
      <c r="P309" s="3"/>
      <c r="Q309" s="3"/>
    </row>
    <row r="310" spans="13:17" x14ac:dyDescent="0.2">
      <c r="M310" s="3"/>
      <c r="N310" s="3"/>
      <c r="O310" s="3"/>
      <c r="P310" s="3"/>
      <c r="Q310" s="3"/>
    </row>
    <row r="311" spans="13:17" x14ac:dyDescent="0.2">
      <c r="M311" s="3"/>
      <c r="N311" s="3"/>
      <c r="O311" s="3"/>
      <c r="P311" s="3"/>
      <c r="Q311" s="3"/>
    </row>
    <row r="312" spans="13:17" x14ac:dyDescent="0.2">
      <c r="M312" s="3"/>
      <c r="N312" s="3"/>
      <c r="O312" s="3"/>
      <c r="P312" s="3"/>
      <c r="Q312" s="3"/>
    </row>
    <row r="313" spans="13:17" x14ac:dyDescent="0.2">
      <c r="M313" s="3"/>
      <c r="N313" s="3"/>
      <c r="O313" s="3"/>
      <c r="P313" s="3"/>
      <c r="Q313" s="3"/>
    </row>
    <row r="314" spans="13:17" x14ac:dyDescent="0.2">
      <c r="M314" s="3"/>
      <c r="N314" s="3"/>
      <c r="O314" s="3"/>
      <c r="P314" s="3"/>
      <c r="Q314" s="3"/>
    </row>
    <row r="315" spans="13:17" x14ac:dyDescent="0.2">
      <c r="M315" s="3"/>
      <c r="N315" s="3"/>
      <c r="O315" s="3"/>
      <c r="P315" s="3"/>
      <c r="Q315" s="3"/>
    </row>
    <row r="316" spans="13:17" x14ac:dyDescent="0.2">
      <c r="M316" s="3"/>
      <c r="N316" s="3"/>
      <c r="O316" s="3"/>
      <c r="P316" s="3"/>
      <c r="Q316" s="3"/>
    </row>
    <row r="317" spans="13:17" x14ac:dyDescent="0.2">
      <c r="M317" s="3"/>
      <c r="N317" s="3"/>
      <c r="O317" s="3"/>
      <c r="P317" s="3"/>
      <c r="Q317" s="3"/>
    </row>
    <row r="318" spans="13:17" x14ac:dyDescent="0.2">
      <c r="M318" s="3"/>
      <c r="N318" s="3"/>
      <c r="O318" s="3"/>
      <c r="P318" s="3"/>
      <c r="Q318" s="3"/>
    </row>
    <row r="319" spans="13:17" x14ac:dyDescent="0.2">
      <c r="M319" s="3"/>
      <c r="N319" s="3"/>
      <c r="O319" s="3"/>
      <c r="P319" s="3"/>
      <c r="Q319" s="3"/>
    </row>
    <row r="320" spans="13:17" x14ac:dyDescent="0.2">
      <c r="M320" s="3"/>
      <c r="N320" s="3"/>
      <c r="O320" s="3"/>
      <c r="P320" s="3"/>
      <c r="Q320" s="3"/>
    </row>
    <row r="321" spans="13:17" x14ac:dyDescent="0.2">
      <c r="M321" s="3"/>
      <c r="N321" s="3"/>
      <c r="O321" s="3"/>
      <c r="P321" s="3"/>
      <c r="Q321" s="3"/>
    </row>
    <row r="322" spans="13:17" x14ac:dyDescent="0.2">
      <c r="M322" s="3"/>
      <c r="N322" s="3"/>
      <c r="O322" s="3"/>
      <c r="P322" s="3"/>
      <c r="Q322" s="3"/>
    </row>
    <row r="323" spans="13:17" x14ac:dyDescent="0.2">
      <c r="M323" s="3"/>
      <c r="N323" s="3"/>
      <c r="O323" s="3"/>
      <c r="P323" s="3"/>
      <c r="Q323" s="3"/>
    </row>
    <row r="324" spans="13:17" x14ac:dyDescent="0.2">
      <c r="M324" s="3"/>
      <c r="N324" s="3"/>
      <c r="O324" s="3"/>
      <c r="P324" s="3"/>
      <c r="Q324" s="3"/>
    </row>
    <row r="325" spans="13:17" x14ac:dyDescent="0.2">
      <c r="M325" s="3"/>
      <c r="N325" s="3"/>
      <c r="O325" s="3"/>
      <c r="P325" s="3"/>
      <c r="Q325" s="3"/>
    </row>
    <row r="326" spans="13:17" x14ac:dyDescent="0.2">
      <c r="M326" s="3"/>
      <c r="N326" s="3"/>
      <c r="O326" s="3"/>
      <c r="P326" s="3"/>
      <c r="Q326" s="3"/>
    </row>
    <row r="327" spans="13:17" x14ac:dyDescent="0.2">
      <c r="M327" s="3"/>
      <c r="N327" s="3"/>
      <c r="O327" s="3"/>
      <c r="P327" s="3"/>
      <c r="Q327" s="3"/>
    </row>
    <row r="328" spans="13:17" x14ac:dyDescent="0.2">
      <c r="M328" s="3"/>
      <c r="N328" s="3"/>
      <c r="O328" s="3"/>
      <c r="P328" s="3"/>
      <c r="Q328" s="3"/>
    </row>
    <row r="329" spans="13:17" x14ac:dyDescent="0.2">
      <c r="M329" s="3"/>
      <c r="N329" s="3"/>
      <c r="O329" s="3"/>
      <c r="P329" s="3"/>
      <c r="Q329" s="3"/>
    </row>
    <row r="330" spans="13:17" x14ac:dyDescent="0.2">
      <c r="M330" s="3"/>
      <c r="N330" s="3"/>
      <c r="O330" s="3"/>
      <c r="P330" s="3"/>
      <c r="Q330" s="3"/>
    </row>
    <row r="331" spans="13:17" x14ac:dyDescent="0.2">
      <c r="M331" s="3"/>
      <c r="N331" s="3"/>
      <c r="O331" s="3"/>
      <c r="P331" s="3"/>
      <c r="Q331" s="3"/>
    </row>
    <row r="332" spans="13:17" x14ac:dyDescent="0.2">
      <c r="M332" s="3"/>
      <c r="N332" s="3"/>
      <c r="O332" s="3"/>
      <c r="P332" s="3"/>
      <c r="Q332" s="3"/>
    </row>
    <row r="333" spans="13:17" x14ac:dyDescent="0.2">
      <c r="M333" s="3"/>
      <c r="N333" s="3"/>
      <c r="O333" s="3"/>
      <c r="P333" s="3"/>
      <c r="Q333" s="3"/>
    </row>
    <row r="334" spans="13:17" x14ac:dyDescent="0.2">
      <c r="M334" s="3"/>
      <c r="N334" s="3"/>
      <c r="O334" s="3"/>
      <c r="P334" s="3"/>
      <c r="Q334" s="3"/>
    </row>
    <row r="335" spans="13:17" x14ac:dyDescent="0.2">
      <c r="M335" s="3"/>
      <c r="N335" s="3"/>
      <c r="O335" s="3"/>
      <c r="P335" s="3"/>
      <c r="Q335" s="3"/>
    </row>
    <row r="336" spans="13:17" x14ac:dyDescent="0.2">
      <c r="M336" s="3"/>
      <c r="N336" s="3"/>
      <c r="O336" s="3"/>
      <c r="P336" s="3"/>
      <c r="Q336" s="3"/>
    </row>
    <row r="337" spans="13:17" x14ac:dyDescent="0.2">
      <c r="M337" s="3"/>
      <c r="N337" s="3"/>
      <c r="O337" s="3"/>
      <c r="P337" s="3"/>
      <c r="Q337" s="3"/>
    </row>
    <row r="338" spans="13:17" x14ac:dyDescent="0.2">
      <c r="M338" s="3"/>
      <c r="N338" s="3"/>
      <c r="O338" s="3"/>
      <c r="P338" s="3"/>
      <c r="Q338" s="3"/>
    </row>
    <row r="339" spans="13:17" x14ac:dyDescent="0.2">
      <c r="M339" s="3"/>
      <c r="N339" s="3"/>
      <c r="O339" s="3"/>
      <c r="P339" s="3"/>
      <c r="Q339" s="3"/>
    </row>
    <row r="340" spans="13:17" x14ac:dyDescent="0.2">
      <c r="M340" s="3"/>
      <c r="N340" s="3"/>
      <c r="O340" s="3"/>
      <c r="P340" s="3"/>
      <c r="Q340" s="3"/>
    </row>
    <row r="341" spans="13:17" x14ac:dyDescent="0.2">
      <c r="M341" s="3"/>
      <c r="N341" s="3"/>
      <c r="O341" s="3"/>
      <c r="P341" s="3"/>
      <c r="Q341" s="3"/>
    </row>
    <row r="342" spans="13:17" x14ac:dyDescent="0.2">
      <c r="M342" s="3"/>
      <c r="N342" s="3"/>
      <c r="O342" s="3"/>
      <c r="P342" s="3"/>
      <c r="Q342" s="3"/>
    </row>
    <row r="343" spans="13:17" x14ac:dyDescent="0.2">
      <c r="M343" s="3"/>
      <c r="N343" s="3"/>
      <c r="O343" s="3"/>
      <c r="P343" s="3"/>
      <c r="Q343" s="3"/>
    </row>
    <row r="344" spans="13:17" x14ac:dyDescent="0.2">
      <c r="M344" s="3"/>
      <c r="N344" s="3"/>
      <c r="O344" s="3"/>
      <c r="P344" s="3"/>
      <c r="Q344" s="3"/>
    </row>
    <row r="345" spans="13:17" x14ac:dyDescent="0.2">
      <c r="M345" s="3"/>
      <c r="N345" s="3"/>
      <c r="O345" s="3"/>
      <c r="P345" s="3"/>
      <c r="Q345" s="3"/>
    </row>
    <row r="346" spans="13:17" x14ac:dyDescent="0.2">
      <c r="M346" s="3"/>
      <c r="N346" s="3"/>
      <c r="O346" s="3"/>
      <c r="P346" s="3"/>
      <c r="Q346" s="3"/>
    </row>
    <row r="347" spans="13:17" x14ac:dyDescent="0.2">
      <c r="M347" s="3"/>
      <c r="N347" s="3"/>
      <c r="O347" s="3"/>
      <c r="P347" s="3"/>
      <c r="Q347" s="3"/>
    </row>
    <row r="348" spans="13:17" x14ac:dyDescent="0.2">
      <c r="M348" s="3"/>
      <c r="N348" s="3"/>
      <c r="O348" s="3"/>
      <c r="P348" s="3"/>
      <c r="Q348" s="3"/>
    </row>
    <row r="349" spans="13:17" x14ac:dyDescent="0.2">
      <c r="M349" s="3"/>
      <c r="N349" s="3"/>
      <c r="O349" s="3"/>
      <c r="P349" s="3"/>
      <c r="Q349" s="3"/>
    </row>
    <row r="350" spans="13:17" x14ac:dyDescent="0.2">
      <c r="M350" s="3"/>
      <c r="N350" s="3"/>
      <c r="O350" s="3"/>
      <c r="P350" s="3"/>
      <c r="Q350" s="3"/>
    </row>
    <row r="351" spans="13:17" x14ac:dyDescent="0.2">
      <c r="M351" s="3"/>
      <c r="N351" s="3"/>
      <c r="O351" s="3"/>
      <c r="P351" s="3"/>
      <c r="Q351" s="3"/>
    </row>
    <row r="352" spans="13:17" x14ac:dyDescent="0.2">
      <c r="M352" s="3"/>
      <c r="N352" s="3"/>
      <c r="O352" s="3"/>
      <c r="P352" s="3"/>
      <c r="Q352" s="3"/>
    </row>
    <row r="353" spans="13:17" x14ac:dyDescent="0.2">
      <c r="M353" s="3"/>
      <c r="N353" s="3"/>
      <c r="O353" s="3"/>
      <c r="P353" s="3"/>
      <c r="Q353" s="3"/>
    </row>
    <row r="354" spans="13:17" x14ac:dyDescent="0.2">
      <c r="M354" s="3"/>
      <c r="N354" s="3"/>
      <c r="O354" s="3"/>
      <c r="P354" s="3"/>
      <c r="Q354" s="3"/>
    </row>
    <row r="355" spans="13:17" x14ac:dyDescent="0.2">
      <c r="M355" s="3"/>
      <c r="N355" s="3"/>
      <c r="O355" s="3"/>
      <c r="P355" s="3"/>
      <c r="Q355" s="3"/>
    </row>
    <row r="356" spans="13:17" x14ac:dyDescent="0.2">
      <c r="M356" s="3"/>
      <c r="N356" s="3"/>
      <c r="O356" s="3"/>
      <c r="P356" s="3"/>
      <c r="Q356" s="3"/>
    </row>
    <row r="357" spans="13:17" x14ac:dyDescent="0.2">
      <c r="M357" s="3"/>
      <c r="N357" s="3"/>
      <c r="O357" s="3"/>
      <c r="P357" s="3"/>
      <c r="Q357" s="3"/>
    </row>
    <row r="358" spans="13:17" x14ac:dyDescent="0.2">
      <c r="M358" s="3"/>
      <c r="N358" s="3"/>
      <c r="O358" s="3"/>
      <c r="P358" s="3"/>
      <c r="Q358" s="3"/>
    </row>
    <row r="359" spans="13:17" x14ac:dyDescent="0.2">
      <c r="M359" s="3"/>
      <c r="N359" s="3"/>
      <c r="O359" s="3"/>
      <c r="P359" s="3"/>
      <c r="Q359" s="3"/>
    </row>
    <row r="360" spans="13:17" x14ac:dyDescent="0.2">
      <c r="M360" s="3"/>
      <c r="N360" s="3"/>
      <c r="O360" s="3"/>
      <c r="P360" s="3"/>
      <c r="Q360" s="3"/>
    </row>
    <row r="361" spans="13:17" x14ac:dyDescent="0.2">
      <c r="M361" s="3"/>
      <c r="N361" s="3"/>
      <c r="O361" s="3"/>
      <c r="P361" s="3"/>
      <c r="Q361" s="3"/>
    </row>
    <row r="362" spans="13:17" x14ac:dyDescent="0.2">
      <c r="M362" s="3"/>
      <c r="N362" s="3"/>
      <c r="O362" s="3"/>
      <c r="P362" s="3"/>
      <c r="Q362" s="3"/>
    </row>
    <row r="363" spans="13:17" x14ac:dyDescent="0.2">
      <c r="M363" s="3"/>
      <c r="N363" s="3"/>
      <c r="O363" s="3"/>
      <c r="P363" s="3"/>
      <c r="Q363" s="3"/>
    </row>
    <row r="364" spans="13:17" x14ac:dyDescent="0.2">
      <c r="M364" s="3"/>
      <c r="N364" s="3"/>
      <c r="O364" s="3"/>
      <c r="P364" s="3"/>
      <c r="Q364" s="3"/>
    </row>
    <row r="365" spans="13:17" x14ac:dyDescent="0.2">
      <c r="M365" s="3"/>
      <c r="N365" s="3"/>
      <c r="O365" s="3"/>
      <c r="P365" s="3"/>
      <c r="Q365" s="3"/>
    </row>
    <row r="366" spans="13:17" x14ac:dyDescent="0.2">
      <c r="M366" s="3"/>
      <c r="N366" s="3"/>
      <c r="O366" s="3"/>
      <c r="P366" s="3"/>
      <c r="Q366" s="3"/>
    </row>
    <row r="367" spans="13:17" x14ac:dyDescent="0.2">
      <c r="M367" s="3"/>
      <c r="N367" s="3"/>
      <c r="O367" s="3"/>
      <c r="P367" s="3"/>
      <c r="Q367" s="3"/>
    </row>
    <row r="368" spans="13:17" x14ac:dyDescent="0.2">
      <c r="M368" s="3"/>
      <c r="N368" s="3"/>
      <c r="O368" s="3"/>
      <c r="P368" s="3"/>
      <c r="Q368" s="3"/>
    </row>
    <row r="369" spans="13:17" x14ac:dyDescent="0.2">
      <c r="M369" s="3"/>
      <c r="N369" s="3"/>
      <c r="O369" s="3"/>
      <c r="P369" s="3"/>
      <c r="Q369" s="3"/>
    </row>
    <row r="370" spans="13:17" x14ac:dyDescent="0.2">
      <c r="M370" s="3"/>
      <c r="N370" s="3"/>
      <c r="O370" s="3"/>
      <c r="P370" s="3"/>
      <c r="Q370" s="3"/>
    </row>
    <row r="371" spans="13:17" x14ac:dyDescent="0.2">
      <c r="M371" s="3"/>
      <c r="N371" s="3"/>
      <c r="O371" s="3"/>
      <c r="P371" s="3"/>
      <c r="Q371" s="3"/>
    </row>
    <row r="372" spans="13:17" x14ac:dyDescent="0.2">
      <c r="M372" s="3"/>
      <c r="N372" s="3"/>
      <c r="O372" s="3"/>
      <c r="P372" s="3"/>
      <c r="Q372" s="3"/>
    </row>
    <row r="373" spans="13:17" x14ac:dyDescent="0.2">
      <c r="M373" s="3"/>
      <c r="N373" s="3"/>
      <c r="O373" s="3"/>
      <c r="P373" s="3"/>
      <c r="Q373" s="3"/>
    </row>
    <row r="374" spans="13:17" x14ac:dyDescent="0.2">
      <c r="M374" s="3"/>
      <c r="N374" s="3"/>
      <c r="O374" s="3"/>
      <c r="P374" s="3"/>
      <c r="Q374" s="3"/>
    </row>
    <row r="375" spans="13:17" x14ac:dyDescent="0.2">
      <c r="M375" s="3"/>
      <c r="N375" s="3"/>
      <c r="O375" s="3"/>
      <c r="P375" s="3"/>
      <c r="Q375" s="3"/>
    </row>
    <row r="376" spans="13:17" x14ac:dyDescent="0.2">
      <c r="M376" s="3"/>
      <c r="N376" s="3"/>
      <c r="O376" s="3"/>
      <c r="P376" s="3"/>
      <c r="Q376" s="3"/>
    </row>
    <row r="377" spans="13:17" x14ac:dyDescent="0.2">
      <c r="M377" s="3"/>
      <c r="N377" s="3"/>
      <c r="O377" s="3"/>
      <c r="P377" s="3"/>
      <c r="Q377" s="3"/>
    </row>
    <row r="378" spans="13:17" x14ac:dyDescent="0.2">
      <c r="M378" s="3"/>
      <c r="N378" s="3"/>
      <c r="O378" s="3"/>
      <c r="P378" s="3"/>
      <c r="Q378" s="3"/>
    </row>
    <row r="379" spans="13:17" x14ac:dyDescent="0.2">
      <c r="M379" s="3"/>
      <c r="N379" s="3"/>
      <c r="O379" s="3"/>
      <c r="P379" s="3"/>
      <c r="Q379" s="3"/>
    </row>
    <row r="380" spans="13:17" x14ac:dyDescent="0.2">
      <c r="M380" s="3"/>
      <c r="N380" s="3"/>
      <c r="O380" s="3"/>
      <c r="P380" s="3"/>
      <c r="Q380" s="3"/>
    </row>
    <row r="381" spans="13:17" x14ac:dyDescent="0.2">
      <c r="M381" s="3"/>
      <c r="N381" s="3"/>
      <c r="O381" s="3"/>
      <c r="P381" s="3"/>
      <c r="Q381" s="3"/>
    </row>
    <row r="382" spans="13:17" x14ac:dyDescent="0.2">
      <c r="M382" s="3"/>
      <c r="N382" s="3"/>
      <c r="O382" s="3"/>
      <c r="P382" s="3"/>
      <c r="Q382" s="3"/>
    </row>
    <row r="383" spans="13:17" x14ac:dyDescent="0.2">
      <c r="M383" s="3"/>
      <c r="N383" s="3"/>
      <c r="O383" s="3"/>
      <c r="P383" s="3"/>
      <c r="Q383" s="3"/>
    </row>
    <row r="384" spans="13:17" x14ac:dyDescent="0.2">
      <c r="M384" s="3"/>
      <c r="N384" s="3"/>
      <c r="O384" s="3"/>
      <c r="P384" s="3"/>
      <c r="Q384" s="3"/>
    </row>
    <row r="385" spans="13:17" x14ac:dyDescent="0.2">
      <c r="M385" s="3"/>
      <c r="N385" s="3"/>
      <c r="O385" s="3"/>
      <c r="P385" s="3"/>
      <c r="Q385" s="3"/>
    </row>
    <row r="386" spans="13:17" x14ac:dyDescent="0.2">
      <c r="M386" s="3"/>
      <c r="N386" s="3"/>
      <c r="O386" s="3"/>
      <c r="P386" s="3"/>
      <c r="Q386" s="3"/>
    </row>
    <row r="387" spans="13:17" x14ac:dyDescent="0.2">
      <c r="M387" s="3"/>
      <c r="N387" s="3"/>
      <c r="O387" s="3"/>
      <c r="P387" s="3"/>
      <c r="Q387" s="3"/>
    </row>
    <row r="388" spans="13:17" x14ac:dyDescent="0.2">
      <c r="M388" s="3"/>
      <c r="N388" s="3"/>
      <c r="O388" s="3"/>
      <c r="P388" s="3"/>
      <c r="Q388" s="3"/>
    </row>
    <row r="389" spans="13:17" x14ac:dyDescent="0.2">
      <c r="M389" s="3"/>
      <c r="N389" s="3"/>
      <c r="O389" s="3"/>
      <c r="P389" s="3"/>
      <c r="Q389" s="3"/>
    </row>
    <row r="390" spans="13:17" x14ac:dyDescent="0.2">
      <c r="M390" s="3"/>
      <c r="N390" s="3"/>
      <c r="O390" s="3"/>
      <c r="P390" s="3"/>
      <c r="Q390" s="3"/>
    </row>
    <row r="391" spans="13:17" x14ac:dyDescent="0.2">
      <c r="M391" s="3"/>
      <c r="N391" s="3"/>
      <c r="O391" s="3"/>
      <c r="P391" s="3"/>
      <c r="Q391" s="3"/>
    </row>
    <row r="392" spans="13:17" x14ac:dyDescent="0.2">
      <c r="M392" s="3"/>
      <c r="N392" s="3"/>
      <c r="O392" s="3"/>
      <c r="P392" s="3"/>
      <c r="Q392" s="3"/>
    </row>
    <row r="393" spans="13:17" x14ac:dyDescent="0.2">
      <c r="M393" s="3"/>
      <c r="N393" s="3"/>
      <c r="O393" s="3"/>
      <c r="P393" s="3"/>
      <c r="Q393" s="3"/>
    </row>
    <row r="394" spans="13:17" x14ac:dyDescent="0.2">
      <c r="M394" s="3"/>
      <c r="N394" s="3"/>
      <c r="O394" s="3"/>
      <c r="P394" s="3"/>
      <c r="Q394" s="3"/>
    </row>
    <row r="395" spans="13:17" x14ac:dyDescent="0.2">
      <c r="M395" s="3"/>
      <c r="N395" s="3"/>
      <c r="O395" s="3"/>
      <c r="P395" s="3"/>
      <c r="Q395" s="3"/>
    </row>
    <row r="396" spans="13:17" x14ac:dyDescent="0.2">
      <c r="M396" s="3"/>
      <c r="N396" s="3"/>
      <c r="O396" s="3"/>
      <c r="P396" s="3"/>
      <c r="Q396" s="3"/>
    </row>
    <row r="397" spans="13:17" x14ac:dyDescent="0.2">
      <c r="M397" s="3"/>
      <c r="N397" s="3"/>
      <c r="O397" s="3"/>
      <c r="P397" s="3"/>
      <c r="Q397" s="3"/>
    </row>
    <row r="398" spans="13:17" x14ac:dyDescent="0.2">
      <c r="M398" s="3"/>
      <c r="N398" s="3"/>
      <c r="O398" s="3"/>
      <c r="P398" s="3"/>
      <c r="Q398" s="3"/>
    </row>
    <row r="399" spans="13:17" x14ac:dyDescent="0.2">
      <c r="M399" s="3"/>
      <c r="N399" s="3"/>
      <c r="O399" s="3"/>
      <c r="P399" s="3"/>
      <c r="Q399" s="3"/>
    </row>
    <row r="400" spans="13:17" x14ac:dyDescent="0.2">
      <c r="M400" s="3"/>
      <c r="N400" s="3"/>
      <c r="O400" s="3"/>
      <c r="P400" s="3"/>
      <c r="Q400" s="3"/>
    </row>
    <row r="401" spans="13:17" x14ac:dyDescent="0.2">
      <c r="M401" s="3"/>
      <c r="N401" s="3"/>
      <c r="O401" s="3"/>
      <c r="P401" s="3"/>
      <c r="Q401" s="3"/>
    </row>
    <row r="402" spans="13:17" x14ac:dyDescent="0.2">
      <c r="M402" s="3"/>
      <c r="N402" s="3"/>
      <c r="O402" s="3"/>
      <c r="P402" s="3"/>
      <c r="Q402" s="3"/>
    </row>
    <row r="403" spans="13:17" x14ac:dyDescent="0.2">
      <c r="M403" s="3"/>
      <c r="N403" s="3"/>
      <c r="O403" s="3"/>
      <c r="P403" s="3"/>
      <c r="Q403" s="3"/>
    </row>
    <row r="404" spans="13:17" x14ac:dyDescent="0.2">
      <c r="M404" s="3"/>
      <c r="N404" s="3"/>
      <c r="O404" s="3"/>
      <c r="P404" s="3"/>
      <c r="Q404" s="3"/>
    </row>
    <row r="405" spans="13:17" x14ac:dyDescent="0.2">
      <c r="M405" s="3"/>
      <c r="N405" s="3"/>
      <c r="O405" s="3"/>
      <c r="P405" s="3"/>
      <c r="Q405" s="3"/>
    </row>
    <row r="406" spans="13:17" x14ac:dyDescent="0.2">
      <c r="M406" s="3"/>
      <c r="N406" s="3"/>
      <c r="O406" s="3"/>
      <c r="P406" s="3"/>
      <c r="Q406" s="3"/>
    </row>
    <row r="407" spans="13:17" x14ac:dyDescent="0.2">
      <c r="M407" s="3"/>
      <c r="N407" s="3"/>
      <c r="O407" s="3"/>
      <c r="P407" s="3"/>
      <c r="Q407" s="3"/>
    </row>
    <row r="408" spans="13:17" x14ac:dyDescent="0.2">
      <c r="M408" s="3"/>
      <c r="N408" s="3"/>
      <c r="O408" s="3"/>
      <c r="P408" s="3"/>
      <c r="Q408" s="3"/>
    </row>
    <row r="409" spans="13:17" x14ac:dyDescent="0.2">
      <c r="M409" s="3"/>
      <c r="N409" s="3"/>
      <c r="O409" s="3"/>
      <c r="P409" s="3"/>
      <c r="Q409" s="3"/>
    </row>
    <row r="410" spans="13:17" x14ac:dyDescent="0.2">
      <c r="M410" s="3"/>
      <c r="N410" s="3"/>
      <c r="O410" s="3"/>
      <c r="P410" s="3"/>
      <c r="Q410" s="3"/>
    </row>
    <row r="411" spans="13:17" x14ac:dyDescent="0.2">
      <c r="M411" s="3"/>
      <c r="N411" s="3"/>
      <c r="O411" s="3"/>
      <c r="P411" s="3"/>
      <c r="Q411" s="3"/>
    </row>
    <row r="412" spans="13:17" x14ac:dyDescent="0.2">
      <c r="M412" s="3"/>
      <c r="N412" s="3"/>
      <c r="O412" s="3"/>
      <c r="P412" s="3"/>
      <c r="Q412" s="3"/>
    </row>
    <row r="413" spans="13:17" x14ac:dyDescent="0.2">
      <c r="M413" s="3"/>
      <c r="N413" s="3"/>
      <c r="O413" s="3"/>
      <c r="P413" s="3"/>
      <c r="Q413" s="3"/>
    </row>
    <row r="414" spans="13:17" x14ac:dyDescent="0.2">
      <c r="M414" s="3"/>
      <c r="N414" s="3"/>
      <c r="O414" s="3"/>
      <c r="P414" s="3"/>
      <c r="Q414" s="3"/>
    </row>
    <row r="415" spans="13:17" x14ac:dyDescent="0.2">
      <c r="M415" s="3"/>
      <c r="N415" s="3"/>
      <c r="O415" s="3"/>
      <c r="P415" s="3"/>
      <c r="Q415" s="3"/>
    </row>
    <row r="416" spans="13:17" x14ac:dyDescent="0.2">
      <c r="M416" s="3"/>
      <c r="N416" s="3"/>
      <c r="O416" s="3"/>
      <c r="P416" s="3"/>
      <c r="Q416" s="3"/>
    </row>
    <row r="417" spans="13:17" x14ac:dyDescent="0.2">
      <c r="M417" s="3"/>
      <c r="N417" s="3"/>
      <c r="O417" s="3"/>
      <c r="P417" s="3"/>
      <c r="Q417" s="3"/>
    </row>
    <row r="418" spans="13:17" x14ac:dyDescent="0.2">
      <c r="M418" s="3"/>
      <c r="N418" s="3"/>
      <c r="O418" s="3"/>
      <c r="P418" s="3"/>
      <c r="Q418" s="3"/>
    </row>
    <row r="419" spans="13:17" x14ac:dyDescent="0.2">
      <c r="M419" s="3"/>
      <c r="N419" s="3"/>
      <c r="O419" s="3"/>
      <c r="P419" s="3"/>
      <c r="Q419" s="3"/>
    </row>
    <row r="420" spans="13:17" x14ac:dyDescent="0.2">
      <c r="M420" s="3"/>
      <c r="N420" s="3"/>
      <c r="O420" s="3"/>
      <c r="P420" s="3"/>
      <c r="Q420" s="3"/>
    </row>
    <row r="421" spans="13:17" x14ac:dyDescent="0.2">
      <c r="M421" s="3"/>
      <c r="N421" s="3"/>
      <c r="O421" s="3"/>
      <c r="P421" s="3"/>
      <c r="Q421" s="3"/>
    </row>
    <row r="422" spans="13:17" x14ac:dyDescent="0.2">
      <c r="M422" s="3"/>
      <c r="N422" s="3"/>
      <c r="O422" s="3"/>
      <c r="P422" s="3"/>
      <c r="Q422" s="3"/>
    </row>
    <row r="423" spans="13:17" x14ac:dyDescent="0.2">
      <c r="M423" s="3"/>
      <c r="N423" s="3"/>
      <c r="O423" s="3"/>
      <c r="P423" s="3"/>
      <c r="Q423" s="3"/>
    </row>
    <row r="424" spans="13:17" x14ac:dyDescent="0.2">
      <c r="M424" s="3"/>
      <c r="N424" s="3"/>
      <c r="O424" s="3"/>
      <c r="P424" s="3"/>
      <c r="Q424" s="3"/>
    </row>
    <row r="425" spans="13:17" x14ac:dyDescent="0.2">
      <c r="M425" s="3"/>
      <c r="N425" s="3"/>
      <c r="O425" s="3"/>
      <c r="P425" s="3"/>
      <c r="Q425" s="3"/>
    </row>
    <row r="426" spans="13:17" x14ac:dyDescent="0.2">
      <c r="M426" s="3"/>
      <c r="N426" s="3"/>
      <c r="O426" s="3"/>
      <c r="P426" s="3"/>
      <c r="Q426" s="3"/>
    </row>
    <row r="427" spans="13:17" x14ac:dyDescent="0.2">
      <c r="M427" s="3"/>
      <c r="N427" s="3"/>
      <c r="O427" s="3"/>
      <c r="P427" s="3"/>
      <c r="Q427" s="3"/>
    </row>
    <row r="428" spans="13:17" x14ac:dyDescent="0.2">
      <c r="M428" s="3"/>
      <c r="N428" s="3"/>
      <c r="O428" s="3"/>
      <c r="P428" s="3"/>
      <c r="Q428" s="3"/>
    </row>
    <row r="429" spans="13:17" x14ac:dyDescent="0.2">
      <c r="M429" s="3"/>
      <c r="N429" s="3"/>
      <c r="O429" s="3"/>
      <c r="P429" s="3"/>
      <c r="Q429" s="3"/>
    </row>
    <row r="430" spans="13:17" x14ac:dyDescent="0.2">
      <c r="M430" s="3"/>
      <c r="N430" s="3"/>
      <c r="O430" s="3"/>
      <c r="P430" s="3"/>
      <c r="Q430" s="3"/>
    </row>
    <row r="431" spans="13:17" x14ac:dyDescent="0.2">
      <c r="M431" s="3"/>
      <c r="N431" s="3"/>
      <c r="O431" s="3"/>
      <c r="P431" s="3"/>
      <c r="Q431" s="3"/>
    </row>
    <row r="432" spans="13:17" x14ac:dyDescent="0.2">
      <c r="M432" s="3"/>
      <c r="N432" s="3"/>
      <c r="O432" s="3"/>
      <c r="P432" s="3"/>
      <c r="Q432" s="3"/>
    </row>
    <row r="433" spans="13:17" x14ac:dyDescent="0.2">
      <c r="M433" s="3"/>
      <c r="N433" s="3"/>
      <c r="O433" s="3"/>
      <c r="P433" s="3"/>
      <c r="Q433" s="3"/>
    </row>
    <row r="434" spans="13:17" x14ac:dyDescent="0.2">
      <c r="M434" s="3"/>
      <c r="N434" s="3"/>
      <c r="O434" s="3"/>
      <c r="P434" s="3"/>
      <c r="Q434" s="3"/>
    </row>
    <row r="435" spans="13:17" x14ac:dyDescent="0.2">
      <c r="M435" s="3"/>
      <c r="N435" s="3"/>
      <c r="O435" s="3"/>
      <c r="P435" s="3"/>
      <c r="Q435" s="3"/>
    </row>
    <row r="436" spans="13:17" x14ac:dyDescent="0.2">
      <c r="M436" s="3"/>
      <c r="N436" s="3"/>
      <c r="O436" s="3"/>
      <c r="P436" s="3"/>
      <c r="Q436" s="3"/>
    </row>
    <row r="437" spans="13:17" x14ac:dyDescent="0.2">
      <c r="M437" s="3"/>
      <c r="N437" s="3"/>
      <c r="O437" s="3"/>
      <c r="P437" s="3"/>
      <c r="Q437" s="3"/>
    </row>
    <row r="438" spans="13:17" x14ac:dyDescent="0.2">
      <c r="M438" s="3"/>
      <c r="N438" s="3"/>
      <c r="O438" s="3"/>
      <c r="P438" s="3"/>
      <c r="Q438" s="3"/>
    </row>
    <row r="439" spans="13:17" x14ac:dyDescent="0.2">
      <c r="M439" s="3"/>
      <c r="N439" s="3"/>
      <c r="O439" s="3"/>
      <c r="P439" s="3"/>
      <c r="Q439" s="3"/>
    </row>
    <row r="440" spans="13:17" x14ac:dyDescent="0.2">
      <c r="M440" s="3"/>
      <c r="N440" s="3"/>
      <c r="O440" s="3"/>
      <c r="P440" s="3"/>
      <c r="Q440" s="3"/>
    </row>
    <row r="441" spans="13:17" x14ac:dyDescent="0.2">
      <c r="M441" s="3"/>
      <c r="N441" s="3"/>
      <c r="O441" s="3"/>
      <c r="P441" s="3"/>
      <c r="Q441" s="3"/>
    </row>
    <row r="442" spans="13:17" x14ac:dyDescent="0.2">
      <c r="M442" s="3"/>
      <c r="N442" s="3"/>
      <c r="O442" s="3"/>
      <c r="P442" s="3"/>
      <c r="Q442" s="3"/>
    </row>
    <row r="443" spans="13:17" x14ac:dyDescent="0.2">
      <c r="M443" s="3"/>
      <c r="N443" s="3"/>
      <c r="O443" s="3"/>
      <c r="P443" s="3"/>
      <c r="Q443" s="3"/>
    </row>
    <row r="444" spans="13:17" x14ac:dyDescent="0.2">
      <c r="M444" s="3"/>
      <c r="N444" s="3"/>
      <c r="O444" s="3"/>
      <c r="P444" s="3"/>
      <c r="Q444" s="3"/>
    </row>
    <row r="445" spans="13:17" x14ac:dyDescent="0.2">
      <c r="M445" s="3"/>
      <c r="N445" s="3"/>
      <c r="O445" s="3"/>
      <c r="P445" s="3"/>
      <c r="Q445" s="3"/>
    </row>
    <row r="446" spans="13:17" x14ac:dyDescent="0.2">
      <c r="M446" s="3"/>
      <c r="N446" s="3"/>
      <c r="O446" s="3"/>
      <c r="P446" s="3"/>
      <c r="Q446" s="3"/>
    </row>
    <row r="447" spans="13:17" x14ac:dyDescent="0.2">
      <c r="M447" s="3"/>
      <c r="N447" s="3"/>
      <c r="O447" s="3"/>
      <c r="P447" s="3"/>
      <c r="Q447" s="3"/>
    </row>
    <row r="448" spans="13:17" x14ac:dyDescent="0.2">
      <c r="M448" s="3"/>
      <c r="N448" s="3"/>
      <c r="O448" s="3"/>
      <c r="P448" s="3"/>
      <c r="Q448" s="3"/>
    </row>
    <row r="449" spans="13:17" x14ac:dyDescent="0.2">
      <c r="M449" s="3"/>
      <c r="N449" s="3"/>
      <c r="O449" s="3"/>
      <c r="P449" s="3"/>
      <c r="Q449" s="3"/>
    </row>
    <row r="450" spans="13:17" x14ac:dyDescent="0.2">
      <c r="M450" s="3"/>
      <c r="N450" s="3"/>
      <c r="O450" s="3"/>
      <c r="P450" s="3"/>
      <c r="Q450" s="3"/>
    </row>
    <row r="451" spans="13:17" x14ac:dyDescent="0.2">
      <c r="M451" s="3"/>
      <c r="N451" s="3"/>
      <c r="O451" s="3"/>
      <c r="P451" s="3"/>
      <c r="Q451" s="3"/>
    </row>
    <row r="452" spans="13:17" x14ac:dyDescent="0.2">
      <c r="M452" s="3"/>
      <c r="N452" s="3"/>
      <c r="O452" s="3"/>
      <c r="P452" s="3"/>
      <c r="Q452" s="3"/>
    </row>
    <row r="453" spans="13:17" x14ac:dyDescent="0.2">
      <c r="M453" s="3"/>
      <c r="N453" s="3"/>
      <c r="O453" s="3"/>
      <c r="P453" s="3"/>
      <c r="Q453" s="3"/>
    </row>
    <row r="454" spans="13:17" x14ac:dyDescent="0.2">
      <c r="M454" s="3"/>
      <c r="N454" s="3"/>
      <c r="O454" s="3"/>
      <c r="P454" s="3"/>
      <c r="Q454" s="3"/>
    </row>
    <row r="455" spans="13:17" x14ac:dyDescent="0.2">
      <c r="M455" s="3"/>
      <c r="N455" s="3"/>
      <c r="O455" s="3"/>
      <c r="P455" s="3"/>
      <c r="Q455" s="3"/>
    </row>
    <row r="456" spans="13:17" x14ac:dyDescent="0.2">
      <c r="M456" s="3"/>
      <c r="N456" s="3"/>
      <c r="O456" s="3"/>
      <c r="P456" s="3"/>
      <c r="Q456" s="3"/>
    </row>
    <row r="457" spans="13:17" x14ac:dyDescent="0.2">
      <c r="M457" s="3"/>
      <c r="N457" s="3"/>
      <c r="O457" s="3"/>
      <c r="P457" s="3"/>
      <c r="Q457" s="3"/>
    </row>
    <row r="458" spans="13:17" x14ac:dyDescent="0.2">
      <c r="M458" s="3"/>
      <c r="N458" s="3"/>
      <c r="O458" s="3"/>
      <c r="P458" s="3"/>
      <c r="Q458" s="3"/>
    </row>
    <row r="459" spans="13:17" x14ac:dyDescent="0.2">
      <c r="M459" s="3"/>
      <c r="N459" s="3"/>
      <c r="O459" s="3"/>
      <c r="P459" s="3"/>
      <c r="Q459" s="3"/>
    </row>
    <row r="460" spans="13:17" x14ac:dyDescent="0.2">
      <c r="M460" s="3"/>
      <c r="N460" s="3"/>
      <c r="O460" s="3"/>
      <c r="P460" s="3"/>
      <c r="Q460" s="3"/>
    </row>
    <row r="461" spans="13:17" x14ac:dyDescent="0.2">
      <c r="M461" s="3"/>
      <c r="N461" s="3"/>
      <c r="O461" s="3"/>
      <c r="P461" s="3"/>
      <c r="Q461" s="3"/>
    </row>
    <row r="462" spans="13:17" x14ac:dyDescent="0.2">
      <c r="M462" s="3"/>
      <c r="N462" s="3"/>
      <c r="O462" s="3"/>
      <c r="P462" s="3"/>
      <c r="Q462" s="3"/>
    </row>
    <row r="463" spans="13:17" x14ac:dyDescent="0.2">
      <c r="M463" s="3"/>
      <c r="N463" s="3"/>
      <c r="O463" s="3"/>
      <c r="P463" s="3"/>
      <c r="Q463" s="3"/>
    </row>
  </sheetData>
  <mergeCells count="63">
    <mergeCell ref="A4:A5"/>
    <mergeCell ref="R3:X3"/>
    <mergeCell ref="R2:X2"/>
    <mergeCell ref="G4:I4"/>
    <mergeCell ref="B4:B5"/>
    <mergeCell ref="C4:C5"/>
    <mergeCell ref="D4:D5"/>
    <mergeCell ref="E4:E5"/>
    <mergeCell ref="F4:F5"/>
    <mergeCell ref="V4:X4"/>
    <mergeCell ref="J4:L4"/>
    <mergeCell ref="M4:O4"/>
    <mergeCell ref="P4:R4"/>
    <mergeCell ref="S4:U4"/>
    <mergeCell ref="A2:Q3"/>
    <mergeCell ref="V7:X7"/>
    <mergeCell ref="V10:X10"/>
    <mergeCell ref="V9:X9"/>
    <mergeCell ref="V19:X19"/>
    <mergeCell ref="V6:X6"/>
    <mergeCell ref="V17:X17"/>
    <mergeCell ref="V11:X11"/>
    <mergeCell ref="V12:X12"/>
    <mergeCell ref="V16:X16"/>
    <mergeCell ref="V21:X21"/>
    <mergeCell ref="V8:X8"/>
    <mergeCell ref="V13:X13"/>
    <mergeCell ref="V14:X14"/>
    <mergeCell ref="V15:X15"/>
    <mergeCell ref="V20:X20"/>
    <mergeCell ref="V18:X18"/>
    <mergeCell ref="V24:X24"/>
    <mergeCell ref="V25:X25"/>
    <mergeCell ref="V27:X27"/>
    <mergeCell ref="V28:X28"/>
    <mergeCell ref="V22:X22"/>
    <mergeCell ref="V23:X23"/>
    <mergeCell ref="V26:X26"/>
    <mergeCell ref="V30:X30"/>
    <mergeCell ref="V38:X38"/>
    <mergeCell ref="V39:X39"/>
    <mergeCell ref="V41:X41"/>
    <mergeCell ref="V29:X29"/>
    <mergeCell ref="V40:X40"/>
    <mergeCell ref="V35:X35"/>
    <mergeCell ref="V37:X37"/>
    <mergeCell ref="V31:X31"/>
    <mergeCell ref="V32:X32"/>
    <mergeCell ref="V33:X33"/>
    <mergeCell ref="V34:X34"/>
    <mergeCell ref="V53:X53"/>
    <mergeCell ref="V52:X52"/>
    <mergeCell ref="V45:X45"/>
    <mergeCell ref="V36:X36"/>
    <mergeCell ref="V44:X44"/>
    <mergeCell ref="V47:X47"/>
    <mergeCell ref="V46:X46"/>
    <mergeCell ref="V51:X51"/>
    <mergeCell ref="V48:X48"/>
    <mergeCell ref="V49:X49"/>
    <mergeCell ref="V43:X43"/>
    <mergeCell ref="V42:X42"/>
    <mergeCell ref="V50:X50"/>
  </mergeCells>
  <pageMargins left="0.7" right="0.7" top="0.75" bottom="0.75" header="0.3" footer="0.3"/>
  <pageSetup paperSize="9" scale="6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Y479"/>
  <sheetViews>
    <sheetView topLeftCell="H1" zoomScale="70" zoomScaleNormal="70" workbookViewId="0">
      <pane ySplit="4" topLeftCell="A425" activePane="bottomLeft" state="frozen"/>
      <selection activeCell="K1" sqref="K1"/>
      <selection pane="bottomLeft" activeCell="Q332" sqref="Q332"/>
    </sheetView>
  </sheetViews>
  <sheetFormatPr defaultColWidth="8.85546875" defaultRowHeight="12.75" x14ac:dyDescent="0.2"/>
  <cols>
    <col min="1" max="1" width="5.7109375" style="1" customWidth="1"/>
    <col min="2" max="2" width="10" style="1" customWidth="1"/>
    <col min="3" max="3" width="9.140625" style="1" customWidth="1"/>
    <col min="4" max="4" width="18.5703125" style="1" customWidth="1"/>
    <col min="5" max="5" width="23.28515625" style="1" customWidth="1"/>
    <col min="6" max="6" width="8.7109375" style="1" customWidth="1"/>
    <col min="7" max="7" width="29.140625" style="1" customWidth="1"/>
    <col min="8" max="8" width="8.7109375" style="1" customWidth="1"/>
    <col min="9" max="9" width="11" style="1" customWidth="1"/>
    <col min="10" max="10" width="17.42578125" style="1" customWidth="1"/>
    <col min="11" max="11" width="15.5703125" style="1" customWidth="1"/>
    <col min="12" max="12" width="59.5703125" style="1" customWidth="1"/>
    <col min="13" max="13" width="19" style="617" customWidth="1"/>
    <col min="14" max="14" width="15" style="26" customWidth="1"/>
    <col min="15" max="15" width="14.42578125" style="26" customWidth="1"/>
    <col min="16" max="16" width="44.42578125" style="376" customWidth="1"/>
    <col min="17" max="17" width="41.5703125" style="379" customWidth="1"/>
    <col min="18" max="24" width="8.85546875" style="1"/>
    <col min="25" max="25" width="52.7109375" style="1" customWidth="1"/>
    <col min="26" max="16384" width="8.85546875" style="1"/>
  </cols>
  <sheetData>
    <row r="1" spans="1:25" ht="13.5" thickBot="1" x14ac:dyDescent="0.25">
      <c r="A1" s="8" t="s">
        <v>48</v>
      </c>
      <c r="B1" s="2"/>
      <c r="C1" s="2"/>
      <c r="D1" s="2"/>
      <c r="E1" s="2"/>
      <c r="F1" s="2"/>
      <c r="G1" s="2"/>
      <c r="H1" s="2"/>
      <c r="I1" s="2"/>
      <c r="J1" s="2"/>
      <c r="K1" s="2"/>
      <c r="L1" s="2"/>
      <c r="M1" s="614"/>
      <c r="N1" s="9"/>
      <c r="O1" s="9"/>
    </row>
    <row r="2" spans="1:25" x14ac:dyDescent="0.2">
      <c r="A2" s="42"/>
      <c r="B2" s="288"/>
      <c r="C2" s="288"/>
      <c r="D2" s="288"/>
      <c r="E2" s="288"/>
      <c r="F2" s="288"/>
      <c r="G2" s="288"/>
      <c r="H2" s="288"/>
      <c r="I2" s="288"/>
      <c r="J2" s="79"/>
      <c r="K2" s="79"/>
      <c r="L2" s="79"/>
      <c r="M2" s="615"/>
      <c r="N2" s="263"/>
      <c r="O2" s="263"/>
      <c r="P2" s="377" t="s">
        <v>56</v>
      </c>
      <c r="Q2" s="380" t="s">
        <v>1541</v>
      </c>
    </row>
    <row r="3" spans="1:25" s="5" customFormat="1" ht="13.5" thickBot="1" x14ac:dyDescent="0.25">
      <c r="A3" s="288"/>
      <c r="B3" s="288"/>
      <c r="C3" s="288"/>
      <c r="D3" s="288"/>
      <c r="E3" s="288"/>
      <c r="F3" s="288"/>
      <c r="G3" s="288"/>
      <c r="H3" s="288"/>
      <c r="I3" s="288"/>
      <c r="J3" s="79"/>
      <c r="K3" s="79"/>
      <c r="L3" s="79"/>
      <c r="M3" s="615"/>
      <c r="N3" s="263"/>
      <c r="O3" s="263"/>
      <c r="P3" s="378" t="s">
        <v>55</v>
      </c>
      <c r="Q3" s="381">
        <v>2020</v>
      </c>
    </row>
    <row r="4" spans="1:25" ht="51.75" thickBot="1" x14ac:dyDescent="0.25">
      <c r="A4" s="165" t="s">
        <v>0</v>
      </c>
      <c r="B4" s="166" t="s">
        <v>24</v>
      </c>
      <c r="C4" s="166" t="s">
        <v>11</v>
      </c>
      <c r="D4" s="166" t="s">
        <v>8</v>
      </c>
      <c r="E4" s="166" t="s">
        <v>1</v>
      </c>
      <c r="F4" s="166" t="s">
        <v>5</v>
      </c>
      <c r="G4" s="166" t="s">
        <v>18</v>
      </c>
      <c r="H4" s="166" t="s">
        <v>2</v>
      </c>
      <c r="I4" s="166" t="s">
        <v>3</v>
      </c>
      <c r="J4" s="166" t="s">
        <v>44</v>
      </c>
      <c r="K4" s="166" t="s">
        <v>45</v>
      </c>
      <c r="L4" s="166" t="s">
        <v>4</v>
      </c>
      <c r="M4" s="612" t="s">
        <v>51</v>
      </c>
      <c r="N4" s="375" t="s">
        <v>60</v>
      </c>
      <c r="O4" s="374" t="s">
        <v>52</v>
      </c>
      <c r="P4" s="626" t="s">
        <v>53</v>
      </c>
      <c r="Q4" s="626" t="s">
        <v>59</v>
      </c>
    </row>
    <row r="5" spans="1:25" s="36" customFormat="1" ht="25.5" x14ac:dyDescent="0.2">
      <c r="A5" s="605" t="s">
        <v>276</v>
      </c>
      <c r="B5" s="605" t="s">
        <v>276</v>
      </c>
      <c r="C5" s="605">
        <v>2020</v>
      </c>
      <c r="D5" s="444" t="s">
        <v>366</v>
      </c>
      <c r="E5" s="584" t="s">
        <v>362</v>
      </c>
      <c r="F5" s="584" t="s">
        <v>74</v>
      </c>
      <c r="G5" s="584" t="s">
        <v>367</v>
      </c>
      <c r="H5" s="584" t="s">
        <v>42</v>
      </c>
      <c r="I5" s="584" t="s">
        <v>548</v>
      </c>
      <c r="J5" s="584">
        <v>2000</v>
      </c>
      <c r="K5" s="584"/>
      <c r="L5" s="445"/>
      <c r="M5" s="613">
        <v>5377</v>
      </c>
      <c r="N5" s="616">
        <f>M5/J5</f>
        <v>2.6884999999999999</v>
      </c>
      <c r="O5" s="296">
        <v>62</v>
      </c>
      <c r="P5" s="606" t="s">
        <v>1736</v>
      </c>
      <c r="Q5" s="627" t="s">
        <v>1695</v>
      </c>
    </row>
    <row r="6" spans="1:25" s="36" customFormat="1" ht="25.5" x14ac:dyDescent="0.2">
      <c r="A6" s="605" t="s">
        <v>276</v>
      </c>
      <c r="B6" s="605" t="s">
        <v>276</v>
      </c>
      <c r="C6" s="605">
        <v>2020</v>
      </c>
      <c r="D6" s="444" t="s">
        <v>366</v>
      </c>
      <c r="E6" s="584" t="s">
        <v>362</v>
      </c>
      <c r="F6" s="584" t="s">
        <v>74</v>
      </c>
      <c r="G6" s="584" t="s">
        <v>367</v>
      </c>
      <c r="H6" s="584" t="s">
        <v>19</v>
      </c>
      <c r="I6" s="584" t="s">
        <v>548</v>
      </c>
      <c r="J6" s="584">
        <v>150</v>
      </c>
      <c r="K6" s="584"/>
      <c r="L6" s="445" t="s">
        <v>1534</v>
      </c>
      <c r="M6" s="613">
        <v>446</v>
      </c>
      <c r="N6" s="616">
        <f t="shared" ref="N6:N69" si="0">M6/J6</f>
        <v>2.9733333333333332</v>
      </c>
      <c r="O6" s="213">
        <v>8</v>
      </c>
      <c r="P6" s="607" t="s">
        <v>1534</v>
      </c>
      <c r="Q6" s="628" t="s">
        <v>1695</v>
      </c>
    </row>
    <row r="7" spans="1:25" s="36" customFormat="1" ht="25.5" x14ac:dyDescent="0.2">
      <c r="A7" s="605" t="s">
        <v>276</v>
      </c>
      <c r="B7" s="605" t="s">
        <v>276</v>
      </c>
      <c r="C7" s="605">
        <v>2020</v>
      </c>
      <c r="D7" s="444" t="s">
        <v>366</v>
      </c>
      <c r="E7" s="584" t="s">
        <v>362</v>
      </c>
      <c r="F7" s="584" t="s">
        <v>74</v>
      </c>
      <c r="G7" s="584" t="s">
        <v>367</v>
      </c>
      <c r="H7" s="584" t="s">
        <v>20</v>
      </c>
      <c r="I7" s="584" t="s">
        <v>548</v>
      </c>
      <c r="J7" s="584">
        <v>150</v>
      </c>
      <c r="K7" s="584"/>
      <c r="L7" s="445" t="s">
        <v>1534</v>
      </c>
      <c r="M7" s="613">
        <v>446</v>
      </c>
      <c r="N7" s="616">
        <f t="shared" si="0"/>
        <v>2.9733333333333332</v>
      </c>
      <c r="O7" s="213">
        <v>8</v>
      </c>
      <c r="P7" s="607" t="s">
        <v>1534</v>
      </c>
      <c r="Q7" s="628" t="s">
        <v>1695</v>
      </c>
    </row>
    <row r="8" spans="1:25" s="36" customFormat="1" ht="25.5" x14ac:dyDescent="0.2">
      <c r="A8" s="605" t="s">
        <v>276</v>
      </c>
      <c r="B8" s="605" t="s">
        <v>276</v>
      </c>
      <c r="C8" s="605">
        <v>2020</v>
      </c>
      <c r="D8" s="444" t="s">
        <v>366</v>
      </c>
      <c r="E8" s="584" t="s">
        <v>362</v>
      </c>
      <c r="F8" s="584" t="s">
        <v>74</v>
      </c>
      <c r="G8" s="584" t="s">
        <v>367</v>
      </c>
      <c r="H8" s="584" t="s">
        <v>549</v>
      </c>
      <c r="I8" s="584" t="s">
        <v>548</v>
      </c>
      <c r="J8" s="584">
        <v>150</v>
      </c>
      <c r="K8" s="584"/>
      <c r="L8" s="445" t="s">
        <v>1534</v>
      </c>
      <c r="M8" s="613">
        <v>433</v>
      </c>
      <c r="N8" s="616">
        <f t="shared" si="0"/>
        <v>2.8866666666666667</v>
      </c>
      <c r="O8" s="213">
        <v>8</v>
      </c>
      <c r="P8" s="607" t="s">
        <v>1534</v>
      </c>
      <c r="Q8" s="628" t="s">
        <v>1695</v>
      </c>
    </row>
    <row r="9" spans="1:25" s="36" customFormat="1" ht="25.5" x14ac:dyDescent="0.2">
      <c r="A9" s="605" t="s">
        <v>276</v>
      </c>
      <c r="B9" s="605" t="s">
        <v>276</v>
      </c>
      <c r="C9" s="605">
        <v>2020</v>
      </c>
      <c r="D9" s="444" t="s">
        <v>366</v>
      </c>
      <c r="E9" s="584" t="s">
        <v>362</v>
      </c>
      <c r="F9" s="584" t="s">
        <v>74</v>
      </c>
      <c r="G9" s="584" t="s">
        <v>367</v>
      </c>
      <c r="H9" s="584" t="s">
        <v>550</v>
      </c>
      <c r="I9" s="584" t="s">
        <v>548</v>
      </c>
      <c r="J9" s="584">
        <v>150</v>
      </c>
      <c r="K9" s="584"/>
      <c r="L9" s="445" t="s">
        <v>1534</v>
      </c>
      <c r="M9" s="613">
        <v>446</v>
      </c>
      <c r="N9" s="616">
        <f t="shared" si="0"/>
        <v>2.9733333333333332</v>
      </c>
      <c r="O9" s="213">
        <v>8</v>
      </c>
      <c r="P9" s="607" t="s">
        <v>1534</v>
      </c>
      <c r="Q9" s="628" t="s">
        <v>1695</v>
      </c>
    </row>
    <row r="10" spans="1:25" s="36" customFormat="1" ht="25.5" x14ac:dyDescent="0.2">
      <c r="A10" s="605" t="s">
        <v>276</v>
      </c>
      <c r="B10" s="605" t="s">
        <v>276</v>
      </c>
      <c r="C10" s="605">
        <v>2020</v>
      </c>
      <c r="D10" s="444" t="s">
        <v>366</v>
      </c>
      <c r="E10" s="584" t="s">
        <v>362</v>
      </c>
      <c r="F10" s="584" t="s">
        <v>74</v>
      </c>
      <c r="G10" s="584" t="s">
        <v>367</v>
      </c>
      <c r="H10" s="584" t="s">
        <v>42</v>
      </c>
      <c r="I10" s="584" t="s">
        <v>551</v>
      </c>
      <c r="J10" s="584">
        <v>2000</v>
      </c>
      <c r="K10" s="584"/>
      <c r="L10" s="445" t="s">
        <v>1535</v>
      </c>
      <c r="M10" s="613">
        <v>4684</v>
      </c>
      <c r="N10" s="616">
        <f t="shared" si="0"/>
        <v>2.3420000000000001</v>
      </c>
      <c r="O10" s="213">
        <v>90</v>
      </c>
      <c r="P10" s="607" t="s">
        <v>1736</v>
      </c>
      <c r="Q10" s="628" t="s">
        <v>1695</v>
      </c>
      <c r="R10" s="199"/>
      <c r="S10" s="199"/>
      <c r="T10" s="199"/>
      <c r="U10" s="199"/>
      <c r="V10" s="199"/>
      <c r="W10" s="199"/>
      <c r="X10" s="199"/>
      <c r="Y10" s="199"/>
    </row>
    <row r="11" spans="1:25" s="36" customFormat="1" x14ac:dyDescent="0.2">
      <c r="A11" s="605" t="s">
        <v>276</v>
      </c>
      <c r="B11" s="605" t="s">
        <v>276</v>
      </c>
      <c r="C11" s="605">
        <v>2020</v>
      </c>
      <c r="D11" s="444" t="s">
        <v>366</v>
      </c>
      <c r="E11" s="584" t="s">
        <v>362</v>
      </c>
      <c r="F11" s="584" t="s">
        <v>74</v>
      </c>
      <c r="G11" s="584" t="s">
        <v>367</v>
      </c>
      <c r="H11" s="584" t="s">
        <v>19</v>
      </c>
      <c r="I11" s="584" t="s">
        <v>551</v>
      </c>
      <c r="J11" s="584">
        <v>500</v>
      </c>
      <c r="K11" s="584"/>
      <c r="L11" s="445" t="s">
        <v>1696</v>
      </c>
      <c r="M11" s="613">
        <v>651</v>
      </c>
      <c r="N11" s="616">
        <f t="shared" si="0"/>
        <v>1.302</v>
      </c>
      <c r="O11" s="213">
        <v>15</v>
      </c>
      <c r="P11" s="607" t="s">
        <v>1534</v>
      </c>
      <c r="Q11" s="628"/>
      <c r="R11" s="199"/>
      <c r="S11" s="199"/>
      <c r="T11" s="199"/>
      <c r="U11" s="199"/>
      <c r="V11" s="199"/>
      <c r="W11" s="199"/>
      <c r="X11" s="199"/>
      <c r="Y11" s="199"/>
    </row>
    <row r="12" spans="1:25" s="36" customFormat="1" ht="25.5" x14ac:dyDescent="0.2">
      <c r="A12" s="605" t="s">
        <v>276</v>
      </c>
      <c r="B12" s="605" t="s">
        <v>276</v>
      </c>
      <c r="C12" s="605">
        <v>2020</v>
      </c>
      <c r="D12" s="444" t="s">
        <v>366</v>
      </c>
      <c r="E12" s="584" t="s">
        <v>362</v>
      </c>
      <c r="F12" s="584" t="s">
        <v>74</v>
      </c>
      <c r="G12" s="584" t="s">
        <v>367</v>
      </c>
      <c r="H12" s="584" t="s">
        <v>20</v>
      </c>
      <c r="I12" s="584" t="s">
        <v>551</v>
      </c>
      <c r="J12" s="584">
        <v>500</v>
      </c>
      <c r="K12" s="584"/>
      <c r="L12" s="445" t="s">
        <v>1696</v>
      </c>
      <c r="M12" s="613">
        <v>1024</v>
      </c>
      <c r="N12" s="616">
        <f t="shared" si="0"/>
        <v>2.048</v>
      </c>
      <c r="O12" s="213">
        <v>15</v>
      </c>
      <c r="P12" s="607" t="s">
        <v>1534</v>
      </c>
      <c r="Q12" s="628" t="s">
        <v>1695</v>
      </c>
      <c r="R12" s="199"/>
      <c r="S12" s="199"/>
      <c r="T12" s="199"/>
      <c r="U12" s="199"/>
      <c r="V12" s="199"/>
      <c r="W12" s="199"/>
      <c r="X12" s="199"/>
      <c r="Y12" s="199"/>
    </row>
    <row r="13" spans="1:25" s="36" customFormat="1" ht="25.5" x14ac:dyDescent="0.2">
      <c r="A13" s="605" t="s">
        <v>276</v>
      </c>
      <c r="B13" s="605" t="s">
        <v>276</v>
      </c>
      <c r="C13" s="605">
        <v>2020</v>
      </c>
      <c r="D13" s="444" t="s">
        <v>366</v>
      </c>
      <c r="E13" s="584" t="s">
        <v>362</v>
      </c>
      <c r="F13" s="584" t="s">
        <v>74</v>
      </c>
      <c r="G13" s="584" t="s">
        <v>367</v>
      </c>
      <c r="H13" s="584" t="s">
        <v>549</v>
      </c>
      <c r="I13" s="584" t="s">
        <v>551</v>
      </c>
      <c r="J13" s="584">
        <v>500</v>
      </c>
      <c r="K13" s="584"/>
      <c r="L13" s="445" t="s">
        <v>1696</v>
      </c>
      <c r="M13" s="613">
        <v>1024</v>
      </c>
      <c r="N13" s="616">
        <f t="shared" si="0"/>
        <v>2.048</v>
      </c>
      <c r="O13" s="213">
        <v>15</v>
      </c>
      <c r="P13" s="607" t="s">
        <v>1534</v>
      </c>
      <c r="Q13" s="628" t="s">
        <v>1695</v>
      </c>
      <c r="R13" s="199"/>
      <c r="S13" s="199"/>
      <c r="T13" s="199"/>
      <c r="U13" s="199"/>
      <c r="V13" s="199"/>
      <c r="W13" s="199"/>
      <c r="X13" s="199"/>
      <c r="Y13" s="199"/>
    </row>
    <row r="14" spans="1:25" s="36" customFormat="1" ht="25.5" x14ac:dyDescent="0.2">
      <c r="A14" s="605" t="s">
        <v>276</v>
      </c>
      <c r="B14" s="605" t="s">
        <v>276</v>
      </c>
      <c r="C14" s="605">
        <v>2020</v>
      </c>
      <c r="D14" s="444" t="s">
        <v>366</v>
      </c>
      <c r="E14" s="584" t="s">
        <v>362</v>
      </c>
      <c r="F14" s="584" t="s">
        <v>74</v>
      </c>
      <c r="G14" s="584" t="s">
        <v>367</v>
      </c>
      <c r="H14" s="584" t="s">
        <v>550</v>
      </c>
      <c r="I14" s="584" t="s">
        <v>551</v>
      </c>
      <c r="J14" s="584">
        <v>500</v>
      </c>
      <c r="K14" s="584"/>
      <c r="L14" s="445" t="s">
        <v>1696</v>
      </c>
      <c r="M14" s="613">
        <v>1024</v>
      </c>
      <c r="N14" s="616">
        <f t="shared" si="0"/>
        <v>2.048</v>
      </c>
      <c r="O14" s="213">
        <v>15</v>
      </c>
      <c r="P14" s="607" t="s">
        <v>1534</v>
      </c>
      <c r="Q14" s="628" t="s">
        <v>1695</v>
      </c>
      <c r="R14" s="199"/>
      <c r="S14" s="199"/>
      <c r="T14" s="199"/>
      <c r="U14" s="199"/>
      <c r="V14" s="199"/>
      <c r="W14" s="199"/>
      <c r="X14" s="199"/>
      <c r="Y14" s="199"/>
    </row>
    <row r="15" spans="1:25" s="36" customFormat="1" ht="25.5" x14ac:dyDescent="0.2">
      <c r="A15" s="605" t="s">
        <v>276</v>
      </c>
      <c r="B15" s="605" t="s">
        <v>276</v>
      </c>
      <c r="C15" s="605">
        <v>2020</v>
      </c>
      <c r="D15" s="444" t="s">
        <v>344</v>
      </c>
      <c r="E15" s="604" t="s">
        <v>362</v>
      </c>
      <c r="F15" s="604" t="s">
        <v>7</v>
      </c>
      <c r="G15" s="604" t="s">
        <v>368</v>
      </c>
      <c r="H15" s="584" t="s">
        <v>42</v>
      </c>
      <c r="I15" s="584" t="s">
        <v>548</v>
      </c>
      <c r="J15" s="584">
        <v>3000</v>
      </c>
      <c r="K15" s="584"/>
      <c r="L15" s="609"/>
      <c r="M15" s="638">
        <v>9000</v>
      </c>
      <c r="N15" s="616">
        <f t="shared" si="0"/>
        <v>3</v>
      </c>
      <c r="O15" s="213">
        <v>22</v>
      </c>
      <c r="P15" s="711" t="s">
        <v>1694</v>
      </c>
      <c r="Q15" s="628" t="s">
        <v>1693</v>
      </c>
      <c r="R15" s="199"/>
      <c r="S15" s="199"/>
      <c r="T15" s="199"/>
      <c r="U15" s="199"/>
    </row>
    <row r="16" spans="1:25" s="36" customFormat="1" x14ac:dyDescent="0.2">
      <c r="A16" s="605" t="s">
        <v>276</v>
      </c>
      <c r="B16" s="605" t="s">
        <v>276</v>
      </c>
      <c r="C16" s="605">
        <v>2020</v>
      </c>
      <c r="D16" s="444" t="s">
        <v>344</v>
      </c>
      <c r="E16" s="604" t="s">
        <v>362</v>
      </c>
      <c r="F16" s="604" t="s">
        <v>7</v>
      </c>
      <c r="G16" s="604" t="s">
        <v>368</v>
      </c>
      <c r="H16" s="584" t="s">
        <v>19</v>
      </c>
      <c r="I16" s="584" t="s">
        <v>548</v>
      </c>
      <c r="J16" s="584">
        <v>0</v>
      </c>
      <c r="K16" s="584"/>
      <c r="L16" s="445" t="s">
        <v>552</v>
      </c>
      <c r="M16" s="717" t="s">
        <v>7</v>
      </c>
      <c r="N16" s="616"/>
      <c r="O16" s="718" t="s">
        <v>7</v>
      </c>
      <c r="P16" s="724" t="s">
        <v>7</v>
      </c>
      <c r="Q16" s="628" t="s">
        <v>552</v>
      </c>
      <c r="R16" s="199"/>
      <c r="S16" s="199"/>
      <c r="T16" s="199"/>
      <c r="U16" s="199"/>
    </row>
    <row r="17" spans="1:21" s="36" customFormat="1" ht="51" x14ac:dyDescent="0.2">
      <c r="A17" s="605" t="s">
        <v>276</v>
      </c>
      <c r="B17" s="605" t="s">
        <v>276</v>
      </c>
      <c r="C17" s="605">
        <v>2020</v>
      </c>
      <c r="D17" s="444" t="s">
        <v>344</v>
      </c>
      <c r="E17" s="604" t="s">
        <v>362</v>
      </c>
      <c r="F17" s="604" t="s">
        <v>7</v>
      </c>
      <c r="G17" s="604" t="s">
        <v>368</v>
      </c>
      <c r="H17" s="584" t="s">
        <v>20</v>
      </c>
      <c r="I17" s="584" t="s">
        <v>548</v>
      </c>
      <c r="J17" s="584">
        <v>300</v>
      </c>
      <c r="K17" s="584"/>
      <c r="L17" s="609"/>
      <c r="M17" s="638">
        <v>0</v>
      </c>
      <c r="N17" s="616">
        <f t="shared" si="0"/>
        <v>0</v>
      </c>
      <c r="O17" s="213">
        <v>0</v>
      </c>
      <c r="P17" s="725"/>
      <c r="Q17" s="628" t="s">
        <v>1751</v>
      </c>
      <c r="R17" s="199"/>
      <c r="S17" s="199"/>
      <c r="T17" s="199"/>
      <c r="U17" s="199"/>
    </row>
    <row r="18" spans="1:21" s="36" customFormat="1" x14ac:dyDescent="0.2">
      <c r="A18" s="605" t="s">
        <v>276</v>
      </c>
      <c r="B18" s="605" t="s">
        <v>276</v>
      </c>
      <c r="C18" s="605">
        <v>2020</v>
      </c>
      <c r="D18" s="444" t="s">
        <v>344</v>
      </c>
      <c r="E18" s="604" t="s">
        <v>362</v>
      </c>
      <c r="F18" s="604" t="s">
        <v>7</v>
      </c>
      <c r="G18" s="604" t="s">
        <v>368</v>
      </c>
      <c r="H18" s="584" t="s">
        <v>549</v>
      </c>
      <c r="I18" s="584" t="s">
        <v>548</v>
      </c>
      <c r="J18" s="584">
        <v>0</v>
      </c>
      <c r="K18" s="584"/>
      <c r="L18" s="445" t="s">
        <v>552</v>
      </c>
      <c r="M18" s="717" t="s">
        <v>7</v>
      </c>
      <c r="N18" s="616"/>
      <c r="O18" s="718" t="s">
        <v>7</v>
      </c>
      <c r="P18" s="724" t="s">
        <v>7</v>
      </c>
      <c r="Q18" s="628" t="s">
        <v>552</v>
      </c>
      <c r="R18" s="199"/>
      <c r="S18" s="199"/>
      <c r="T18" s="199"/>
      <c r="U18" s="199"/>
    </row>
    <row r="19" spans="1:21" s="36" customFormat="1" x14ac:dyDescent="0.2">
      <c r="A19" s="605" t="s">
        <v>276</v>
      </c>
      <c r="B19" s="605" t="s">
        <v>276</v>
      </c>
      <c r="C19" s="605">
        <v>2020</v>
      </c>
      <c r="D19" s="444" t="s">
        <v>344</v>
      </c>
      <c r="E19" s="604" t="s">
        <v>362</v>
      </c>
      <c r="F19" s="604" t="s">
        <v>7</v>
      </c>
      <c r="G19" s="604" t="s">
        <v>368</v>
      </c>
      <c r="H19" s="584" t="s">
        <v>550</v>
      </c>
      <c r="I19" s="584" t="s">
        <v>548</v>
      </c>
      <c r="J19" s="584">
        <v>0</v>
      </c>
      <c r="K19" s="584"/>
      <c r="L19" s="445" t="s">
        <v>552</v>
      </c>
      <c r="M19" s="717" t="s">
        <v>7</v>
      </c>
      <c r="N19" s="616"/>
      <c r="O19" s="718" t="s">
        <v>7</v>
      </c>
      <c r="P19" s="724" t="s">
        <v>7</v>
      </c>
      <c r="Q19" s="628" t="s">
        <v>552</v>
      </c>
      <c r="R19" s="199"/>
      <c r="S19" s="199"/>
      <c r="T19" s="199"/>
      <c r="U19" s="199"/>
    </row>
    <row r="20" spans="1:21" s="36" customFormat="1" ht="25.5" x14ac:dyDescent="0.2">
      <c r="A20" s="605" t="s">
        <v>276</v>
      </c>
      <c r="B20" s="605" t="s">
        <v>276</v>
      </c>
      <c r="C20" s="605">
        <v>2020</v>
      </c>
      <c r="D20" s="444" t="s">
        <v>344</v>
      </c>
      <c r="E20" s="604" t="s">
        <v>362</v>
      </c>
      <c r="F20" s="604" t="s">
        <v>7</v>
      </c>
      <c r="G20" s="604" t="s">
        <v>368</v>
      </c>
      <c r="H20" s="584" t="s">
        <v>42</v>
      </c>
      <c r="I20" s="584" t="s">
        <v>551</v>
      </c>
      <c r="J20" s="584">
        <v>500</v>
      </c>
      <c r="K20" s="584"/>
      <c r="L20" s="445"/>
      <c r="M20" s="638">
        <v>0</v>
      </c>
      <c r="N20" s="616">
        <f t="shared" si="0"/>
        <v>0</v>
      </c>
      <c r="O20" s="213">
        <v>0</v>
      </c>
      <c r="P20" s="725"/>
      <c r="Q20" s="628" t="s">
        <v>1691</v>
      </c>
    </row>
    <row r="21" spans="1:21" s="36" customFormat="1" x14ac:dyDescent="0.2">
      <c r="A21" s="605" t="s">
        <v>276</v>
      </c>
      <c r="B21" s="605" t="s">
        <v>276</v>
      </c>
      <c r="C21" s="605">
        <v>2020</v>
      </c>
      <c r="D21" s="444" t="s">
        <v>344</v>
      </c>
      <c r="E21" s="604" t="s">
        <v>362</v>
      </c>
      <c r="F21" s="604" t="s">
        <v>7</v>
      </c>
      <c r="G21" s="604" t="s">
        <v>368</v>
      </c>
      <c r="H21" s="584" t="s">
        <v>19</v>
      </c>
      <c r="I21" s="584" t="s">
        <v>551</v>
      </c>
      <c r="J21" s="584">
        <v>0</v>
      </c>
      <c r="K21" s="584"/>
      <c r="L21" s="445" t="s">
        <v>552</v>
      </c>
      <c r="M21" s="717" t="s">
        <v>7</v>
      </c>
      <c r="N21" s="616"/>
      <c r="O21" s="718" t="s">
        <v>7</v>
      </c>
      <c r="P21" s="724" t="s">
        <v>7</v>
      </c>
      <c r="Q21" s="628" t="s">
        <v>552</v>
      </c>
    </row>
    <row r="22" spans="1:21" s="36" customFormat="1" ht="25.5" x14ac:dyDescent="0.2">
      <c r="A22" s="605" t="s">
        <v>276</v>
      </c>
      <c r="B22" s="605" t="s">
        <v>276</v>
      </c>
      <c r="C22" s="605">
        <v>2020</v>
      </c>
      <c r="D22" s="444" t="s">
        <v>344</v>
      </c>
      <c r="E22" s="604" t="s">
        <v>362</v>
      </c>
      <c r="F22" s="604" t="s">
        <v>7</v>
      </c>
      <c r="G22" s="604" t="s">
        <v>368</v>
      </c>
      <c r="H22" s="584" t="s">
        <v>20</v>
      </c>
      <c r="I22" s="584" t="s">
        <v>551</v>
      </c>
      <c r="J22" s="584">
        <v>100</v>
      </c>
      <c r="K22" s="584"/>
      <c r="L22" s="445"/>
      <c r="M22" s="638">
        <v>0</v>
      </c>
      <c r="N22" s="616">
        <f t="shared" si="0"/>
        <v>0</v>
      </c>
      <c r="O22" s="213">
        <v>0</v>
      </c>
      <c r="P22" s="725"/>
      <c r="Q22" s="628" t="s">
        <v>1691</v>
      </c>
    </row>
    <row r="23" spans="1:21" s="36" customFormat="1" x14ac:dyDescent="0.2">
      <c r="A23" s="605" t="s">
        <v>276</v>
      </c>
      <c r="B23" s="605" t="s">
        <v>276</v>
      </c>
      <c r="C23" s="605">
        <v>2020</v>
      </c>
      <c r="D23" s="444" t="s">
        <v>344</v>
      </c>
      <c r="E23" s="604" t="s">
        <v>362</v>
      </c>
      <c r="F23" s="604" t="s">
        <v>7</v>
      </c>
      <c r="G23" s="604" t="s">
        <v>368</v>
      </c>
      <c r="H23" s="584" t="s">
        <v>549</v>
      </c>
      <c r="I23" s="584" t="s">
        <v>551</v>
      </c>
      <c r="J23" s="584">
        <v>0</v>
      </c>
      <c r="K23" s="584"/>
      <c r="L23" s="445" t="s">
        <v>552</v>
      </c>
      <c r="M23" s="717" t="s">
        <v>7</v>
      </c>
      <c r="N23" s="616"/>
      <c r="O23" s="718" t="s">
        <v>7</v>
      </c>
      <c r="P23" s="724" t="s">
        <v>7</v>
      </c>
      <c r="Q23" s="628" t="s">
        <v>552</v>
      </c>
    </row>
    <row r="24" spans="1:21" s="36" customFormat="1" x14ac:dyDescent="0.2">
      <c r="A24" s="605" t="s">
        <v>276</v>
      </c>
      <c r="B24" s="605" t="s">
        <v>276</v>
      </c>
      <c r="C24" s="605">
        <v>2020</v>
      </c>
      <c r="D24" s="444" t="s">
        <v>344</v>
      </c>
      <c r="E24" s="604" t="s">
        <v>362</v>
      </c>
      <c r="F24" s="604" t="s">
        <v>7</v>
      </c>
      <c r="G24" s="604" t="s">
        <v>368</v>
      </c>
      <c r="H24" s="584" t="s">
        <v>550</v>
      </c>
      <c r="I24" s="584" t="s">
        <v>551</v>
      </c>
      <c r="J24" s="584">
        <v>0</v>
      </c>
      <c r="K24" s="584"/>
      <c r="L24" s="445" t="s">
        <v>552</v>
      </c>
      <c r="M24" s="717" t="s">
        <v>7</v>
      </c>
      <c r="N24" s="616"/>
      <c r="O24" s="718" t="s">
        <v>7</v>
      </c>
      <c r="P24" s="724" t="s">
        <v>7</v>
      </c>
      <c r="Q24" s="628" t="s">
        <v>552</v>
      </c>
    </row>
    <row r="25" spans="1:21" s="36" customFormat="1" ht="38.25" x14ac:dyDescent="0.2">
      <c r="A25" s="605" t="s">
        <v>276</v>
      </c>
      <c r="B25" s="605" t="s">
        <v>276</v>
      </c>
      <c r="C25" s="605">
        <v>2020</v>
      </c>
      <c r="D25" s="444" t="s">
        <v>370</v>
      </c>
      <c r="E25" s="584" t="s">
        <v>362</v>
      </c>
      <c r="F25" s="584" t="s">
        <v>7</v>
      </c>
      <c r="G25" s="584" t="s">
        <v>367</v>
      </c>
      <c r="H25" s="584" t="s">
        <v>42</v>
      </c>
      <c r="I25" s="584" t="s">
        <v>548</v>
      </c>
      <c r="J25" s="584">
        <v>500</v>
      </c>
      <c r="K25" s="584"/>
      <c r="L25" s="445"/>
      <c r="M25" s="638">
        <v>831</v>
      </c>
      <c r="N25" s="616">
        <f t="shared" si="0"/>
        <v>1.6619999999999999</v>
      </c>
      <c r="O25" s="213">
        <v>20</v>
      </c>
      <c r="P25" s="711" t="s">
        <v>2026</v>
      </c>
      <c r="Q25" s="712" t="s">
        <v>1695</v>
      </c>
    </row>
    <row r="26" spans="1:21" s="36" customFormat="1" x14ac:dyDescent="0.2">
      <c r="A26" s="605" t="s">
        <v>276</v>
      </c>
      <c r="B26" s="605" t="s">
        <v>276</v>
      </c>
      <c r="C26" s="605">
        <v>2020</v>
      </c>
      <c r="D26" s="444" t="s">
        <v>370</v>
      </c>
      <c r="E26" s="584" t="s">
        <v>362</v>
      </c>
      <c r="F26" s="584" t="s">
        <v>7</v>
      </c>
      <c r="G26" s="584" t="s">
        <v>367</v>
      </c>
      <c r="H26" s="584" t="s">
        <v>19</v>
      </c>
      <c r="I26" s="584" t="s">
        <v>548</v>
      </c>
      <c r="J26" s="584">
        <v>0</v>
      </c>
      <c r="K26" s="584"/>
      <c r="L26" s="445" t="s">
        <v>552</v>
      </c>
      <c r="M26" s="717" t="s">
        <v>7</v>
      </c>
      <c r="N26" s="616"/>
      <c r="O26" s="718" t="s">
        <v>7</v>
      </c>
      <c r="P26" s="724" t="s">
        <v>7</v>
      </c>
      <c r="Q26" s="628" t="s">
        <v>552</v>
      </c>
    </row>
    <row r="27" spans="1:21" s="36" customFormat="1" ht="51" x14ac:dyDescent="0.2">
      <c r="A27" s="605" t="s">
        <v>276</v>
      </c>
      <c r="B27" s="605" t="s">
        <v>276</v>
      </c>
      <c r="C27" s="605">
        <v>2020</v>
      </c>
      <c r="D27" s="444" t="s">
        <v>370</v>
      </c>
      <c r="E27" s="584" t="s">
        <v>362</v>
      </c>
      <c r="F27" s="584" t="s">
        <v>7</v>
      </c>
      <c r="G27" s="584" t="s">
        <v>367</v>
      </c>
      <c r="H27" s="584" t="s">
        <v>20</v>
      </c>
      <c r="I27" s="584" t="s">
        <v>548</v>
      </c>
      <c r="J27" s="584">
        <v>200</v>
      </c>
      <c r="K27" s="584"/>
      <c r="L27" s="445"/>
      <c r="M27" s="638">
        <v>0</v>
      </c>
      <c r="N27" s="616">
        <f t="shared" si="0"/>
        <v>0</v>
      </c>
      <c r="O27" s="213">
        <v>0</v>
      </c>
      <c r="P27" s="695" t="s">
        <v>1752</v>
      </c>
      <c r="Q27" s="628" t="s">
        <v>1692</v>
      </c>
    </row>
    <row r="28" spans="1:21" s="36" customFormat="1" x14ac:dyDescent="0.2">
      <c r="A28" s="605" t="s">
        <v>276</v>
      </c>
      <c r="B28" s="605" t="s">
        <v>276</v>
      </c>
      <c r="C28" s="605">
        <v>2020</v>
      </c>
      <c r="D28" s="444" t="s">
        <v>370</v>
      </c>
      <c r="E28" s="584" t="s">
        <v>362</v>
      </c>
      <c r="F28" s="584" t="s">
        <v>7</v>
      </c>
      <c r="G28" s="584" t="s">
        <v>367</v>
      </c>
      <c r="H28" s="584" t="s">
        <v>549</v>
      </c>
      <c r="I28" s="584" t="s">
        <v>548</v>
      </c>
      <c r="J28" s="584">
        <v>500</v>
      </c>
      <c r="K28" s="584"/>
      <c r="L28" s="445"/>
      <c r="M28" s="638">
        <v>831</v>
      </c>
      <c r="N28" s="616">
        <f t="shared" si="0"/>
        <v>1.6619999999999999</v>
      </c>
      <c r="O28" s="213">
        <v>20</v>
      </c>
      <c r="P28" s="607" t="s">
        <v>1752</v>
      </c>
      <c r="Q28" s="628"/>
    </row>
    <row r="29" spans="1:21" s="36" customFormat="1" x14ac:dyDescent="0.2">
      <c r="A29" s="605" t="s">
        <v>276</v>
      </c>
      <c r="B29" s="605" t="s">
        <v>276</v>
      </c>
      <c r="C29" s="605">
        <v>2020</v>
      </c>
      <c r="D29" s="444" t="s">
        <v>370</v>
      </c>
      <c r="E29" s="584" t="s">
        <v>362</v>
      </c>
      <c r="F29" s="584" t="s">
        <v>7</v>
      </c>
      <c r="G29" s="584" t="s">
        <v>367</v>
      </c>
      <c r="H29" s="584" t="s">
        <v>550</v>
      </c>
      <c r="I29" s="584" t="s">
        <v>548</v>
      </c>
      <c r="J29" s="584">
        <v>0</v>
      </c>
      <c r="K29" s="584"/>
      <c r="L29" s="445" t="s">
        <v>552</v>
      </c>
      <c r="M29" s="717" t="s">
        <v>7</v>
      </c>
      <c r="N29" s="616"/>
      <c r="O29" s="718" t="s">
        <v>7</v>
      </c>
      <c r="P29" s="724" t="s">
        <v>7</v>
      </c>
      <c r="Q29" s="628" t="s">
        <v>552</v>
      </c>
    </row>
    <row r="30" spans="1:21" s="36" customFormat="1" ht="25.5" x14ac:dyDescent="0.2">
      <c r="A30" s="605" t="s">
        <v>276</v>
      </c>
      <c r="B30" s="605" t="s">
        <v>276</v>
      </c>
      <c r="C30" s="605">
        <v>2020</v>
      </c>
      <c r="D30" s="444" t="s">
        <v>380</v>
      </c>
      <c r="E30" s="584" t="s">
        <v>362</v>
      </c>
      <c r="F30" s="584" t="s">
        <v>74</v>
      </c>
      <c r="G30" s="584" t="s">
        <v>371</v>
      </c>
      <c r="H30" s="584" t="s">
        <v>42</v>
      </c>
      <c r="I30" s="584" t="s">
        <v>548</v>
      </c>
      <c r="J30" s="584">
        <v>3000</v>
      </c>
      <c r="K30" s="584"/>
      <c r="L30" s="445"/>
      <c r="M30" s="638">
        <v>8156</v>
      </c>
      <c r="N30" s="616">
        <f t="shared" si="0"/>
        <v>2.7186666666666666</v>
      </c>
      <c r="O30" s="213">
        <v>24</v>
      </c>
      <c r="P30" s="610" t="s">
        <v>1744</v>
      </c>
      <c r="Q30" s="628" t="s">
        <v>1695</v>
      </c>
    </row>
    <row r="31" spans="1:21" s="36" customFormat="1" x14ac:dyDescent="0.2">
      <c r="A31" s="605" t="s">
        <v>276</v>
      </c>
      <c r="B31" s="605" t="s">
        <v>276</v>
      </c>
      <c r="C31" s="605">
        <v>2020</v>
      </c>
      <c r="D31" s="444" t="s">
        <v>380</v>
      </c>
      <c r="E31" s="584" t="s">
        <v>362</v>
      </c>
      <c r="F31" s="584" t="s">
        <v>74</v>
      </c>
      <c r="G31" s="584" t="s">
        <v>371</v>
      </c>
      <c r="H31" s="584" t="s">
        <v>19</v>
      </c>
      <c r="I31" s="584" t="s">
        <v>548</v>
      </c>
      <c r="J31" s="584">
        <v>0</v>
      </c>
      <c r="K31" s="584"/>
      <c r="L31" s="445" t="s">
        <v>552</v>
      </c>
      <c r="M31" s="717" t="s">
        <v>7</v>
      </c>
      <c r="N31" s="616"/>
      <c r="O31" s="718" t="s">
        <v>7</v>
      </c>
      <c r="P31" s="724" t="s">
        <v>7</v>
      </c>
      <c r="Q31" s="628" t="s">
        <v>552</v>
      </c>
    </row>
    <row r="32" spans="1:21" s="36" customFormat="1" ht="25.5" x14ac:dyDescent="0.2">
      <c r="A32" s="605" t="s">
        <v>276</v>
      </c>
      <c r="B32" s="605" t="s">
        <v>276</v>
      </c>
      <c r="C32" s="605">
        <v>2020</v>
      </c>
      <c r="D32" s="444" t="s">
        <v>380</v>
      </c>
      <c r="E32" s="584" t="s">
        <v>362</v>
      </c>
      <c r="F32" s="584" t="s">
        <v>74</v>
      </c>
      <c r="G32" s="584" t="s">
        <v>371</v>
      </c>
      <c r="H32" s="584" t="s">
        <v>20</v>
      </c>
      <c r="I32" s="584" t="s">
        <v>548</v>
      </c>
      <c r="J32" s="584">
        <v>1000</v>
      </c>
      <c r="K32" s="584"/>
      <c r="L32" s="445"/>
      <c r="M32" s="638">
        <v>970</v>
      </c>
      <c r="N32" s="616">
        <f t="shared" si="0"/>
        <v>0.97</v>
      </c>
      <c r="O32" s="213">
        <v>4</v>
      </c>
      <c r="P32" s="339" t="s">
        <v>1697</v>
      </c>
      <c r="Q32" s="628"/>
    </row>
    <row r="33" spans="1:17" s="36" customFormat="1" ht="25.5" x14ac:dyDescent="0.2">
      <c r="A33" s="605" t="s">
        <v>276</v>
      </c>
      <c r="B33" s="605" t="s">
        <v>276</v>
      </c>
      <c r="C33" s="605">
        <v>2020</v>
      </c>
      <c r="D33" s="444" t="s">
        <v>380</v>
      </c>
      <c r="E33" s="584" t="s">
        <v>362</v>
      </c>
      <c r="F33" s="584" t="s">
        <v>74</v>
      </c>
      <c r="G33" s="584" t="s">
        <v>371</v>
      </c>
      <c r="H33" s="584" t="s">
        <v>549</v>
      </c>
      <c r="I33" s="584" t="s">
        <v>548</v>
      </c>
      <c r="J33" s="584">
        <v>3000</v>
      </c>
      <c r="K33" s="584"/>
      <c r="L33" s="445"/>
      <c r="M33" s="638">
        <v>7934</v>
      </c>
      <c r="N33" s="616">
        <f t="shared" si="0"/>
        <v>2.6446666666666667</v>
      </c>
      <c r="O33" s="213">
        <v>27</v>
      </c>
      <c r="P33" s="607" t="s">
        <v>1697</v>
      </c>
      <c r="Q33" s="628" t="s">
        <v>1695</v>
      </c>
    </row>
    <row r="34" spans="1:17" s="36" customFormat="1" x14ac:dyDescent="0.2">
      <c r="A34" s="605" t="s">
        <v>276</v>
      </c>
      <c r="B34" s="605" t="s">
        <v>276</v>
      </c>
      <c r="C34" s="605">
        <v>2020</v>
      </c>
      <c r="D34" s="444" t="s">
        <v>380</v>
      </c>
      <c r="E34" s="584" t="s">
        <v>362</v>
      </c>
      <c r="F34" s="584" t="s">
        <v>74</v>
      </c>
      <c r="G34" s="584" t="s">
        <v>371</v>
      </c>
      <c r="H34" s="584" t="s">
        <v>550</v>
      </c>
      <c r="I34" s="584" t="s">
        <v>548</v>
      </c>
      <c r="J34" s="584">
        <v>0</v>
      </c>
      <c r="K34" s="584"/>
      <c r="L34" s="445" t="s">
        <v>552</v>
      </c>
      <c r="M34" s="717" t="s">
        <v>7</v>
      </c>
      <c r="N34" s="616"/>
      <c r="O34" s="718" t="s">
        <v>7</v>
      </c>
      <c r="P34" s="724" t="s">
        <v>7</v>
      </c>
      <c r="Q34" s="628" t="s">
        <v>552</v>
      </c>
    </row>
    <row r="35" spans="1:17" s="36" customFormat="1" ht="63.75" x14ac:dyDescent="0.2">
      <c r="A35" s="605" t="s">
        <v>276</v>
      </c>
      <c r="B35" s="605" t="s">
        <v>276</v>
      </c>
      <c r="C35" s="605">
        <v>2020</v>
      </c>
      <c r="D35" s="444" t="s">
        <v>297</v>
      </c>
      <c r="E35" s="584" t="s">
        <v>362</v>
      </c>
      <c r="F35" s="584" t="s">
        <v>74</v>
      </c>
      <c r="G35" s="584" t="s">
        <v>381</v>
      </c>
      <c r="H35" s="584" t="s">
        <v>42</v>
      </c>
      <c r="I35" s="584" t="s">
        <v>548</v>
      </c>
      <c r="J35" s="584">
        <v>320</v>
      </c>
      <c r="K35" s="584"/>
      <c r="L35" s="445"/>
      <c r="M35" s="613">
        <v>0</v>
      </c>
      <c r="N35" s="616">
        <f t="shared" si="0"/>
        <v>0</v>
      </c>
      <c r="O35" s="213">
        <v>0</v>
      </c>
      <c r="P35" s="607"/>
      <c r="Q35" s="627" t="s">
        <v>2028</v>
      </c>
    </row>
    <row r="36" spans="1:17" s="634" customFormat="1" ht="63.75" x14ac:dyDescent="0.2">
      <c r="A36" s="633" t="s">
        <v>276</v>
      </c>
      <c r="B36" s="633" t="s">
        <v>276</v>
      </c>
      <c r="C36" s="633">
        <v>2020</v>
      </c>
      <c r="D36" s="444" t="s">
        <v>297</v>
      </c>
      <c r="E36" s="584" t="s">
        <v>362</v>
      </c>
      <c r="F36" s="584" t="s">
        <v>74</v>
      </c>
      <c r="G36" s="584" t="s">
        <v>381</v>
      </c>
      <c r="H36" s="584" t="s">
        <v>19</v>
      </c>
      <c r="I36" s="584" t="s">
        <v>548</v>
      </c>
      <c r="J36" s="584">
        <v>320</v>
      </c>
      <c r="K36" s="584"/>
      <c r="L36" s="445" t="s">
        <v>1439</v>
      </c>
      <c r="M36" s="613">
        <v>0</v>
      </c>
      <c r="N36" s="616">
        <f t="shared" si="0"/>
        <v>0</v>
      </c>
      <c r="O36" s="213">
        <v>1</v>
      </c>
      <c r="P36" s="607"/>
      <c r="Q36" s="627" t="s">
        <v>2028</v>
      </c>
    </row>
    <row r="37" spans="1:17" s="36" customFormat="1" ht="63.75" x14ac:dyDescent="0.2">
      <c r="A37" s="605" t="s">
        <v>276</v>
      </c>
      <c r="B37" s="605" t="s">
        <v>276</v>
      </c>
      <c r="C37" s="605">
        <v>2020</v>
      </c>
      <c r="D37" s="444" t="s">
        <v>297</v>
      </c>
      <c r="E37" s="584" t="s">
        <v>362</v>
      </c>
      <c r="F37" s="584" t="s">
        <v>74</v>
      </c>
      <c r="G37" s="584" t="s">
        <v>381</v>
      </c>
      <c r="H37" s="584" t="s">
        <v>20</v>
      </c>
      <c r="I37" s="584" t="s">
        <v>548</v>
      </c>
      <c r="J37" s="584">
        <v>320</v>
      </c>
      <c r="K37" s="584"/>
      <c r="L37" s="445" t="s">
        <v>1439</v>
      </c>
      <c r="M37" s="613">
        <v>0</v>
      </c>
      <c r="N37" s="616">
        <f t="shared" si="0"/>
        <v>0</v>
      </c>
      <c r="O37" s="213">
        <v>0</v>
      </c>
      <c r="P37" s="607"/>
      <c r="Q37" s="627" t="s">
        <v>2028</v>
      </c>
    </row>
    <row r="38" spans="1:17" s="36" customFormat="1" ht="63.75" x14ac:dyDescent="0.2">
      <c r="A38" s="605" t="s">
        <v>276</v>
      </c>
      <c r="B38" s="605" t="s">
        <v>276</v>
      </c>
      <c r="C38" s="605">
        <v>2020</v>
      </c>
      <c r="D38" s="444" t="s">
        <v>297</v>
      </c>
      <c r="E38" s="584" t="s">
        <v>362</v>
      </c>
      <c r="F38" s="584" t="s">
        <v>74</v>
      </c>
      <c r="G38" s="584" t="s">
        <v>381</v>
      </c>
      <c r="H38" s="584" t="s">
        <v>549</v>
      </c>
      <c r="I38" s="584" t="s">
        <v>548</v>
      </c>
      <c r="J38" s="584">
        <v>320</v>
      </c>
      <c r="K38" s="584"/>
      <c r="L38" s="445" t="s">
        <v>1439</v>
      </c>
      <c r="M38" s="613">
        <v>0</v>
      </c>
      <c r="N38" s="616">
        <f t="shared" si="0"/>
        <v>0</v>
      </c>
      <c r="O38" s="213">
        <v>0</v>
      </c>
      <c r="P38" s="607"/>
      <c r="Q38" s="627" t="s">
        <v>2028</v>
      </c>
    </row>
    <row r="39" spans="1:17" s="36" customFormat="1" ht="63.75" x14ac:dyDescent="0.2">
      <c r="A39" s="605" t="s">
        <v>276</v>
      </c>
      <c r="B39" s="605" t="s">
        <v>276</v>
      </c>
      <c r="C39" s="605">
        <v>2020</v>
      </c>
      <c r="D39" s="444" t="s">
        <v>297</v>
      </c>
      <c r="E39" s="584" t="s">
        <v>362</v>
      </c>
      <c r="F39" s="584" t="s">
        <v>74</v>
      </c>
      <c r="G39" s="584" t="s">
        <v>381</v>
      </c>
      <c r="H39" s="584" t="s">
        <v>550</v>
      </c>
      <c r="I39" s="584" t="s">
        <v>548</v>
      </c>
      <c r="J39" s="584">
        <v>320</v>
      </c>
      <c r="K39" s="584"/>
      <c r="L39" s="445" t="s">
        <v>1439</v>
      </c>
      <c r="M39" s="613">
        <v>0</v>
      </c>
      <c r="N39" s="616">
        <f t="shared" si="0"/>
        <v>0</v>
      </c>
      <c r="O39" s="213">
        <v>0</v>
      </c>
      <c r="P39" s="607"/>
      <c r="Q39" s="627" t="s">
        <v>2028</v>
      </c>
    </row>
    <row r="40" spans="1:17" s="36" customFormat="1" x14ac:dyDescent="0.2">
      <c r="A40" s="605" t="s">
        <v>276</v>
      </c>
      <c r="B40" s="605" t="s">
        <v>276</v>
      </c>
      <c r="C40" s="605">
        <v>2020</v>
      </c>
      <c r="D40" s="444" t="s">
        <v>297</v>
      </c>
      <c r="E40" s="584" t="s">
        <v>362</v>
      </c>
      <c r="F40" s="584" t="s">
        <v>74</v>
      </c>
      <c r="G40" s="584" t="s">
        <v>381</v>
      </c>
      <c r="H40" s="584" t="s">
        <v>42</v>
      </c>
      <c r="I40" s="584" t="s">
        <v>551</v>
      </c>
      <c r="J40" s="583">
        <v>2500</v>
      </c>
      <c r="K40" s="592"/>
      <c r="L40" s="445" t="s">
        <v>1535</v>
      </c>
      <c r="M40" s="613">
        <v>2271</v>
      </c>
      <c r="N40" s="616">
        <f t="shared" si="0"/>
        <v>0.90839999999999999</v>
      </c>
      <c r="O40" s="213">
        <v>4</v>
      </c>
      <c r="P40" s="607" t="s">
        <v>1736</v>
      </c>
      <c r="Q40" s="628"/>
    </row>
    <row r="41" spans="1:17" s="36" customFormat="1" x14ac:dyDescent="0.2">
      <c r="A41" s="605" t="s">
        <v>276</v>
      </c>
      <c r="B41" s="605" t="s">
        <v>276</v>
      </c>
      <c r="C41" s="605">
        <v>2020</v>
      </c>
      <c r="D41" s="444" t="s">
        <v>297</v>
      </c>
      <c r="E41" s="584" t="s">
        <v>362</v>
      </c>
      <c r="F41" s="584" t="s">
        <v>74</v>
      </c>
      <c r="G41" s="584" t="s">
        <v>381</v>
      </c>
      <c r="H41" s="584" t="s">
        <v>19</v>
      </c>
      <c r="I41" s="584" t="s">
        <v>551</v>
      </c>
      <c r="J41" s="584">
        <v>400</v>
      </c>
      <c r="K41" s="584"/>
      <c r="L41" s="445" t="s">
        <v>1696</v>
      </c>
      <c r="M41" s="613">
        <v>400</v>
      </c>
      <c r="N41" s="616">
        <f t="shared" si="0"/>
        <v>1</v>
      </c>
      <c r="O41" s="213">
        <v>4</v>
      </c>
      <c r="P41" s="607" t="s">
        <v>1737</v>
      </c>
      <c r="Q41" s="628"/>
    </row>
    <row r="42" spans="1:17" s="36" customFormat="1" x14ac:dyDescent="0.2">
      <c r="A42" s="605" t="s">
        <v>276</v>
      </c>
      <c r="B42" s="605" t="s">
        <v>276</v>
      </c>
      <c r="C42" s="605">
        <v>2020</v>
      </c>
      <c r="D42" s="444" t="s">
        <v>297</v>
      </c>
      <c r="E42" s="584" t="s">
        <v>362</v>
      </c>
      <c r="F42" s="584" t="s">
        <v>74</v>
      </c>
      <c r="G42" s="584" t="s">
        <v>381</v>
      </c>
      <c r="H42" s="584" t="s">
        <v>20</v>
      </c>
      <c r="I42" s="584" t="s">
        <v>551</v>
      </c>
      <c r="J42" s="584">
        <v>400</v>
      </c>
      <c r="K42" s="584"/>
      <c r="L42" s="445" t="s">
        <v>1696</v>
      </c>
      <c r="M42" s="613">
        <v>400</v>
      </c>
      <c r="N42" s="616">
        <f t="shared" si="0"/>
        <v>1</v>
      </c>
      <c r="O42" s="213">
        <v>4</v>
      </c>
      <c r="P42" s="607" t="s">
        <v>1737</v>
      </c>
      <c r="Q42" s="628"/>
    </row>
    <row r="43" spans="1:17" s="36" customFormat="1" x14ac:dyDescent="0.2">
      <c r="A43" s="605" t="s">
        <v>276</v>
      </c>
      <c r="B43" s="605" t="s">
        <v>276</v>
      </c>
      <c r="C43" s="605">
        <v>2020</v>
      </c>
      <c r="D43" s="444" t="s">
        <v>297</v>
      </c>
      <c r="E43" s="584" t="s">
        <v>362</v>
      </c>
      <c r="F43" s="584" t="s">
        <v>74</v>
      </c>
      <c r="G43" s="584" t="s">
        <v>381</v>
      </c>
      <c r="H43" s="584" t="s">
        <v>549</v>
      </c>
      <c r="I43" s="584" t="s">
        <v>551</v>
      </c>
      <c r="J43" s="584">
        <v>400</v>
      </c>
      <c r="K43" s="584"/>
      <c r="L43" s="445" t="s">
        <v>1696</v>
      </c>
      <c r="M43" s="613">
        <v>400</v>
      </c>
      <c r="N43" s="616">
        <f t="shared" si="0"/>
        <v>1</v>
      </c>
      <c r="O43" s="213">
        <v>4</v>
      </c>
      <c r="P43" s="607" t="s">
        <v>1737</v>
      </c>
      <c r="Q43" s="628"/>
    </row>
    <row r="44" spans="1:17" s="36" customFormat="1" x14ac:dyDescent="0.2">
      <c r="A44" s="605" t="s">
        <v>276</v>
      </c>
      <c r="B44" s="605" t="s">
        <v>276</v>
      </c>
      <c r="C44" s="605">
        <v>2020</v>
      </c>
      <c r="D44" s="444" t="s">
        <v>297</v>
      </c>
      <c r="E44" s="584" t="s">
        <v>362</v>
      </c>
      <c r="F44" s="584" t="s">
        <v>74</v>
      </c>
      <c r="G44" s="584" t="s">
        <v>381</v>
      </c>
      <c r="H44" s="584" t="s">
        <v>550</v>
      </c>
      <c r="I44" s="584" t="s">
        <v>551</v>
      </c>
      <c r="J44" s="584">
        <v>400</v>
      </c>
      <c r="K44" s="584"/>
      <c r="L44" s="445" t="s">
        <v>1696</v>
      </c>
      <c r="M44" s="613">
        <v>400</v>
      </c>
      <c r="N44" s="616">
        <f t="shared" si="0"/>
        <v>1</v>
      </c>
      <c r="O44" s="213">
        <v>4</v>
      </c>
      <c r="P44" s="607" t="s">
        <v>1737</v>
      </c>
      <c r="Q44" s="628"/>
    </row>
    <row r="45" spans="1:17" s="36" customFormat="1" ht="25.5" x14ac:dyDescent="0.2">
      <c r="A45" s="605" t="s">
        <v>276</v>
      </c>
      <c r="B45" s="605" t="s">
        <v>276</v>
      </c>
      <c r="C45" s="605">
        <v>2020</v>
      </c>
      <c r="D45" s="444" t="s">
        <v>297</v>
      </c>
      <c r="E45" s="584" t="s">
        <v>362</v>
      </c>
      <c r="F45" s="584" t="s">
        <v>74</v>
      </c>
      <c r="G45" s="584" t="s">
        <v>383</v>
      </c>
      <c r="H45" s="584" t="s">
        <v>42</v>
      </c>
      <c r="I45" s="584" t="s">
        <v>548</v>
      </c>
      <c r="J45" s="584">
        <v>320</v>
      </c>
      <c r="K45" s="584"/>
      <c r="L45" s="445"/>
      <c r="M45" s="613">
        <v>13204</v>
      </c>
      <c r="N45" s="616">
        <f t="shared" si="0"/>
        <v>41.262500000000003</v>
      </c>
      <c r="O45" s="213">
        <v>50</v>
      </c>
      <c r="P45" s="607" t="s">
        <v>1736</v>
      </c>
      <c r="Q45" s="628" t="s">
        <v>1695</v>
      </c>
    </row>
    <row r="46" spans="1:17" s="36" customFormat="1" ht="25.5" x14ac:dyDescent="0.2">
      <c r="A46" s="605" t="s">
        <v>276</v>
      </c>
      <c r="B46" s="605" t="s">
        <v>276</v>
      </c>
      <c r="C46" s="605">
        <v>2020</v>
      </c>
      <c r="D46" s="444" t="s">
        <v>297</v>
      </c>
      <c r="E46" s="584" t="s">
        <v>362</v>
      </c>
      <c r="F46" s="584" t="s">
        <v>74</v>
      </c>
      <c r="G46" s="584" t="s">
        <v>383</v>
      </c>
      <c r="H46" s="584" t="s">
        <v>19</v>
      </c>
      <c r="I46" s="584" t="s">
        <v>548</v>
      </c>
      <c r="J46" s="584">
        <v>320</v>
      </c>
      <c r="K46" s="584"/>
      <c r="L46" s="445" t="s">
        <v>1536</v>
      </c>
      <c r="M46" s="613">
        <v>2886</v>
      </c>
      <c r="N46" s="616">
        <f t="shared" si="0"/>
        <v>9.0187500000000007</v>
      </c>
      <c r="O46" s="213">
        <v>41</v>
      </c>
      <c r="P46" s="607" t="s">
        <v>1738</v>
      </c>
      <c r="Q46" s="628" t="s">
        <v>1695</v>
      </c>
    </row>
    <row r="47" spans="1:17" s="36" customFormat="1" ht="25.5" x14ac:dyDescent="0.2">
      <c r="A47" s="605" t="s">
        <v>276</v>
      </c>
      <c r="B47" s="605" t="s">
        <v>276</v>
      </c>
      <c r="C47" s="605">
        <v>2020</v>
      </c>
      <c r="D47" s="444" t="s">
        <v>297</v>
      </c>
      <c r="E47" s="584" t="s">
        <v>362</v>
      </c>
      <c r="F47" s="584" t="s">
        <v>74</v>
      </c>
      <c r="G47" s="584" t="s">
        <v>383</v>
      </c>
      <c r="H47" s="584" t="s">
        <v>20</v>
      </c>
      <c r="I47" s="584" t="s">
        <v>548</v>
      </c>
      <c r="J47" s="584">
        <v>320</v>
      </c>
      <c r="K47" s="584"/>
      <c r="L47" s="445" t="s">
        <v>1536</v>
      </c>
      <c r="M47" s="613">
        <v>2886</v>
      </c>
      <c r="N47" s="616">
        <f t="shared" si="0"/>
        <v>9.0187500000000007</v>
      </c>
      <c r="O47" s="213">
        <v>41</v>
      </c>
      <c r="P47" s="607" t="s">
        <v>1738</v>
      </c>
      <c r="Q47" s="628" t="s">
        <v>1695</v>
      </c>
    </row>
    <row r="48" spans="1:17" s="36" customFormat="1" ht="25.5" x14ac:dyDescent="0.2">
      <c r="A48" s="605" t="s">
        <v>276</v>
      </c>
      <c r="B48" s="605" t="s">
        <v>276</v>
      </c>
      <c r="C48" s="605">
        <v>2020</v>
      </c>
      <c r="D48" s="444" t="s">
        <v>297</v>
      </c>
      <c r="E48" s="584" t="s">
        <v>362</v>
      </c>
      <c r="F48" s="584" t="s">
        <v>74</v>
      </c>
      <c r="G48" s="584" t="s">
        <v>383</v>
      </c>
      <c r="H48" s="584" t="s">
        <v>549</v>
      </c>
      <c r="I48" s="584" t="s">
        <v>548</v>
      </c>
      <c r="J48" s="584">
        <v>320</v>
      </c>
      <c r="K48" s="584"/>
      <c r="L48" s="445" t="s">
        <v>1536</v>
      </c>
      <c r="M48" s="613">
        <v>2882</v>
      </c>
      <c r="N48" s="616">
        <f t="shared" si="0"/>
        <v>9.0062499999999996</v>
      </c>
      <c r="O48" s="213">
        <v>41</v>
      </c>
      <c r="P48" s="607" t="s">
        <v>1738</v>
      </c>
      <c r="Q48" s="628" t="s">
        <v>1695</v>
      </c>
    </row>
    <row r="49" spans="1:17" s="36" customFormat="1" ht="25.5" x14ac:dyDescent="0.2">
      <c r="A49" s="605" t="s">
        <v>276</v>
      </c>
      <c r="B49" s="605" t="s">
        <v>276</v>
      </c>
      <c r="C49" s="605">
        <v>2020</v>
      </c>
      <c r="D49" s="444" t="s">
        <v>297</v>
      </c>
      <c r="E49" s="584" t="s">
        <v>362</v>
      </c>
      <c r="F49" s="584" t="s">
        <v>74</v>
      </c>
      <c r="G49" s="584" t="s">
        <v>383</v>
      </c>
      <c r="H49" s="584" t="s">
        <v>550</v>
      </c>
      <c r="I49" s="584" t="s">
        <v>548</v>
      </c>
      <c r="J49" s="584">
        <v>320</v>
      </c>
      <c r="K49" s="584"/>
      <c r="L49" s="445" t="s">
        <v>1536</v>
      </c>
      <c r="M49" s="613">
        <v>2886</v>
      </c>
      <c r="N49" s="616">
        <f t="shared" si="0"/>
        <v>9.0187500000000007</v>
      </c>
      <c r="O49" s="213">
        <v>41</v>
      </c>
      <c r="P49" s="607" t="s">
        <v>1738</v>
      </c>
      <c r="Q49" s="628" t="s">
        <v>1695</v>
      </c>
    </row>
    <row r="50" spans="1:17" s="36" customFormat="1" ht="25.5" x14ac:dyDescent="0.2">
      <c r="A50" s="605" t="s">
        <v>276</v>
      </c>
      <c r="B50" s="605" t="s">
        <v>276</v>
      </c>
      <c r="C50" s="605">
        <v>2020</v>
      </c>
      <c r="D50" s="444" t="s">
        <v>297</v>
      </c>
      <c r="E50" s="584" t="s">
        <v>362</v>
      </c>
      <c r="F50" s="584" t="s">
        <v>74</v>
      </c>
      <c r="G50" s="584" t="s">
        <v>383</v>
      </c>
      <c r="H50" s="584" t="s">
        <v>42</v>
      </c>
      <c r="I50" s="584" t="s">
        <v>551</v>
      </c>
      <c r="J50" s="584">
        <v>500</v>
      </c>
      <c r="K50" s="584"/>
      <c r="L50" s="445"/>
      <c r="M50" s="613">
        <v>5464</v>
      </c>
      <c r="N50" s="616">
        <f t="shared" si="0"/>
        <v>10.928000000000001</v>
      </c>
      <c r="O50" s="213">
        <v>15</v>
      </c>
      <c r="P50" s="607" t="s">
        <v>1742</v>
      </c>
      <c r="Q50" s="628" t="s">
        <v>1695</v>
      </c>
    </row>
    <row r="51" spans="1:17" s="36" customFormat="1" ht="25.5" x14ac:dyDescent="0.2">
      <c r="A51" s="605" t="s">
        <v>276</v>
      </c>
      <c r="B51" s="605" t="s">
        <v>276</v>
      </c>
      <c r="C51" s="605">
        <v>2020</v>
      </c>
      <c r="D51" s="444" t="s">
        <v>297</v>
      </c>
      <c r="E51" s="584" t="s">
        <v>362</v>
      </c>
      <c r="F51" s="584" t="s">
        <v>74</v>
      </c>
      <c r="G51" s="584" t="s">
        <v>383</v>
      </c>
      <c r="H51" s="584" t="s">
        <v>19</v>
      </c>
      <c r="I51" s="584" t="s">
        <v>551</v>
      </c>
      <c r="J51" s="584">
        <v>250</v>
      </c>
      <c r="K51" s="584"/>
      <c r="L51" s="445" t="s">
        <v>553</v>
      </c>
      <c r="M51" s="613">
        <v>913</v>
      </c>
      <c r="N51" s="616">
        <f t="shared" si="0"/>
        <v>3.6520000000000001</v>
      </c>
      <c r="O51" s="213">
        <v>15</v>
      </c>
      <c r="P51" s="607" t="s">
        <v>1737</v>
      </c>
      <c r="Q51" s="628" t="s">
        <v>1695</v>
      </c>
    </row>
    <row r="52" spans="1:17" s="36" customFormat="1" ht="25.5" x14ac:dyDescent="0.2">
      <c r="A52" s="605" t="s">
        <v>276</v>
      </c>
      <c r="B52" s="605" t="s">
        <v>276</v>
      </c>
      <c r="C52" s="605">
        <v>2020</v>
      </c>
      <c r="D52" s="444" t="s">
        <v>297</v>
      </c>
      <c r="E52" s="584" t="s">
        <v>362</v>
      </c>
      <c r="F52" s="584" t="s">
        <v>74</v>
      </c>
      <c r="G52" s="584" t="s">
        <v>383</v>
      </c>
      <c r="H52" s="584" t="s">
        <v>20</v>
      </c>
      <c r="I52" s="584" t="s">
        <v>551</v>
      </c>
      <c r="J52" s="584">
        <v>250</v>
      </c>
      <c r="K52" s="584"/>
      <c r="L52" s="445" t="s">
        <v>553</v>
      </c>
      <c r="M52" s="613">
        <v>913</v>
      </c>
      <c r="N52" s="616">
        <f t="shared" si="0"/>
        <v>3.6520000000000001</v>
      </c>
      <c r="O52" s="213">
        <v>15</v>
      </c>
      <c r="P52" s="607" t="s">
        <v>1737</v>
      </c>
      <c r="Q52" s="628" t="s">
        <v>1695</v>
      </c>
    </row>
    <row r="53" spans="1:17" s="36" customFormat="1" ht="25.5" x14ac:dyDescent="0.2">
      <c r="A53" s="605" t="s">
        <v>276</v>
      </c>
      <c r="B53" s="605" t="s">
        <v>276</v>
      </c>
      <c r="C53" s="605">
        <v>2020</v>
      </c>
      <c r="D53" s="444" t="s">
        <v>297</v>
      </c>
      <c r="E53" s="584" t="s">
        <v>362</v>
      </c>
      <c r="F53" s="584" t="s">
        <v>74</v>
      </c>
      <c r="G53" s="584" t="s">
        <v>383</v>
      </c>
      <c r="H53" s="584" t="s">
        <v>549</v>
      </c>
      <c r="I53" s="584" t="s">
        <v>551</v>
      </c>
      <c r="J53" s="584">
        <v>250</v>
      </c>
      <c r="K53" s="584"/>
      <c r="L53" s="445" t="s">
        <v>553</v>
      </c>
      <c r="M53" s="613">
        <v>913</v>
      </c>
      <c r="N53" s="616">
        <f t="shared" si="0"/>
        <v>3.6520000000000001</v>
      </c>
      <c r="O53" s="213">
        <v>15</v>
      </c>
      <c r="P53" s="607" t="s">
        <v>1737</v>
      </c>
      <c r="Q53" s="628" t="s">
        <v>1695</v>
      </c>
    </row>
    <row r="54" spans="1:17" s="36" customFormat="1" ht="25.5" x14ac:dyDescent="0.2">
      <c r="A54" s="605" t="s">
        <v>276</v>
      </c>
      <c r="B54" s="605" t="s">
        <v>276</v>
      </c>
      <c r="C54" s="605">
        <v>2020</v>
      </c>
      <c r="D54" s="444" t="s">
        <v>297</v>
      </c>
      <c r="E54" s="584" t="s">
        <v>362</v>
      </c>
      <c r="F54" s="584" t="s">
        <v>74</v>
      </c>
      <c r="G54" s="584" t="s">
        <v>383</v>
      </c>
      <c r="H54" s="584" t="s">
        <v>550</v>
      </c>
      <c r="I54" s="584" t="s">
        <v>551</v>
      </c>
      <c r="J54" s="584">
        <v>250</v>
      </c>
      <c r="K54" s="584"/>
      <c r="L54" s="445" t="s">
        <v>553</v>
      </c>
      <c r="M54" s="613">
        <v>913</v>
      </c>
      <c r="N54" s="616">
        <f t="shared" si="0"/>
        <v>3.6520000000000001</v>
      </c>
      <c r="O54" s="213">
        <v>15</v>
      </c>
      <c r="P54" s="607" t="s">
        <v>1737</v>
      </c>
      <c r="Q54" s="628" t="s">
        <v>1695</v>
      </c>
    </row>
    <row r="55" spans="1:17" s="36" customFormat="1" ht="25.5" x14ac:dyDescent="0.2">
      <c r="A55" s="605" t="s">
        <v>276</v>
      </c>
      <c r="B55" s="605" t="s">
        <v>276</v>
      </c>
      <c r="C55" s="605">
        <v>2020</v>
      </c>
      <c r="D55" s="444" t="s">
        <v>297</v>
      </c>
      <c r="E55" s="584" t="s">
        <v>362</v>
      </c>
      <c r="F55" s="584" t="s">
        <v>74</v>
      </c>
      <c r="G55" s="584" t="s">
        <v>384</v>
      </c>
      <c r="H55" s="584" t="s">
        <v>42</v>
      </c>
      <c r="I55" s="584" t="s">
        <v>548</v>
      </c>
      <c r="J55" s="583">
        <v>80</v>
      </c>
      <c r="K55" s="592"/>
      <c r="L55" s="445"/>
      <c r="M55" s="613">
        <v>2768</v>
      </c>
      <c r="N55" s="616">
        <f t="shared" si="0"/>
        <v>34.6</v>
      </c>
      <c r="O55" s="213">
        <v>10</v>
      </c>
      <c r="P55" s="607" t="s">
        <v>1736</v>
      </c>
      <c r="Q55" s="628" t="s">
        <v>1695</v>
      </c>
    </row>
    <row r="56" spans="1:17" s="36" customFormat="1" ht="25.5" x14ac:dyDescent="0.2">
      <c r="A56" s="605" t="s">
        <v>276</v>
      </c>
      <c r="B56" s="605" t="s">
        <v>276</v>
      </c>
      <c r="C56" s="605">
        <v>2020</v>
      </c>
      <c r="D56" s="444" t="s">
        <v>297</v>
      </c>
      <c r="E56" s="584" t="s">
        <v>362</v>
      </c>
      <c r="F56" s="584" t="s">
        <v>74</v>
      </c>
      <c r="G56" s="584" t="s">
        <v>384</v>
      </c>
      <c r="H56" s="584" t="s">
        <v>19</v>
      </c>
      <c r="I56" s="584" t="s">
        <v>548</v>
      </c>
      <c r="J56" s="583">
        <v>80</v>
      </c>
      <c r="K56" s="592"/>
      <c r="L56" s="445" t="s">
        <v>1439</v>
      </c>
      <c r="M56" s="613">
        <v>500</v>
      </c>
      <c r="N56" s="616">
        <f t="shared" si="0"/>
        <v>6.25</v>
      </c>
      <c r="O56" s="213">
        <v>10</v>
      </c>
      <c r="P56" s="607" t="s">
        <v>1739</v>
      </c>
      <c r="Q56" s="628" t="s">
        <v>1695</v>
      </c>
    </row>
    <row r="57" spans="1:17" s="36" customFormat="1" ht="25.5" x14ac:dyDescent="0.2">
      <c r="A57" s="605" t="s">
        <v>276</v>
      </c>
      <c r="B57" s="605" t="s">
        <v>276</v>
      </c>
      <c r="C57" s="605">
        <v>2020</v>
      </c>
      <c r="D57" s="444" t="s">
        <v>297</v>
      </c>
      <c r="E57" s="584" t="s">
        <v>362</v>
      </c>
      <c r="F57" s="584" t="s">
        <v>74</v>
      </c>
      <c r="G57" s="584" t="s">
        <v>384</v>
      </c>
      <c r="H57" s="584" t="s">
        <v>20</v>
      </c>
      <c r="I57" s="584" t="s">
        <v>548</v>
      </c>
      <c r="J57" s="583">
        <v>80</v>
      </c>
      <c r="K57" s="592"/>
      <c r="L57" s="445" t="s">
        <v>1439</v>
      </c>
      <c r="M57" s="613">
        <v>500</v>
      </c>
      <c r="N57" s="616">
        <f t="shared" si="0"/>
        <v>6.25</v>
      </c>
      <c r="O57" s="213">
        <v>10</v>
      </c>
      <c r="P57" s="607" t="s">
        <v>1739</v>
      </c>
      <c r="Q57" s="628" t="s">
        <v>1695</v>
      </c>
    </row>
    <row r="58" spans="1:17" s="36" customFormat="1" ht="25.5" x14ac:dyDescent="0.2">
      <c r="A58" s="605" t="s">
        <v>276</v>
      </c>
      <c r="B58" s="605" t="s">
        <v>276</v>
      </c>
      <c r="C58" s="605">
        <v>2020</v>
      </c>
      <c r="D58" s="444" t="s">
        <v>297</v>
      </c>
      <c r="E58" s="584" t="s">
        <v>362</v>
      </c>
      <c r="F58" s="584" t="s">
        <v>74</v>
      </c>
      <c r="G58" s="584" t="s">
        <v>384</v>
      </c>
      <c r="H58" s="584" t="s">
        <v>549</v>
      </c>
      <c r="I58" s="584" t="s">
        <v>548</v>
      </c>
      <c r="J58" s="583">
        <v>80</v>
      </c>
      <c r="K58" s="592"/>
      <c r="L58" s="445" t="s">
        <v>1439</v>
      </c>
      <c r="M58" s="613">
        <v>492</v>
      </c>
      <c r="N58" s="616">
        <f t="shared" si="0"/>
        <v>6.15</v>
      </c>
      <c r="O58" s="213">
        <v>10</v>
      </c>
      <c r="P58" s="607" t="s">
        <v>1739</v>
      </c>
      <c r="Q58" s="628" t="s">
        <v>1695</v>
      </c>
    </row>
    <row r="59" spans="1:17" s="36" customFormat="1" ht="25.5" x14ac:dyDescent="0.2">
      <c r="A59" s="605" t="s">
        <v>276</v>
      </c>
      <c r="B59" s="605" t="s">
        <v>276</v>
      </c>
      <c r="C59" s="605">
        <v>2020</v>
      </c>
      <c r="D59" s="444" t="s">
        <v>297</v>
      </c>
      <c r="E59" s="584" t="s">
        <v>362</v>
      </c>
      <c r="F59" s="584" t="s">
        <v>74</v>
      </c>
      <c r="G59" s="584" t="s">
        <v>384</v>
      </c>
      <c r="H59" s="584" t="s">
        <v>550</v>
      </c>
      <c r="I59" s="584" t="s">
        <v>548</v>
      </c>
      <c r="J59" s="583">
        <v>80</v>
      </c>
      <c r="K59" s="592"/>
      <c r="L59" s="445" t="s">
        <v>1439</v>
      </c>
      <c r="M59" s="613">
        <v>450</v>
      </c>
      <c r="N59" s="616">
        <f t="shared" si="0"/>
        <v>5.625</v>
      </c>
      <c r="O59" s="213">
        <v>9</v>
      </c>
      <c r="P59" s="607" t="s">
        <v>1739</v>
      </c>
      <c r="Q59" s="628" t="s">
        <v>1695</v>
      </c>
    </row>
    <row r="60" spans="1:17" s="36" customFormat="1" x14ac:dyDescent="0.2">
      <c r="A60" s="605" t="s">
        <v>276</v>
      </c>
      <c r="B60" s="605" t="s">
        <v>276</v>
      </c>
      <c r="C60" s="605">
        <v>2020</v>
      </c>
      <c r="D60" s="444" t="s">
        <v>297</v>
      </c>
      <c r="E60" s="584" t="s">
        <v>362</v>
      </c>
      <c r="F60" s="584" t="s">
        <v>74</v>
      </c>
      <c r="G60" s="584" t="s">
        <v>384</v>
      </c>
      <c r="H60" s="584" t="s">
        <v>42</v>
      </c>
      <c r="I60" s="584" t="s">
        <v>551</v>
      </c>
      <c r="J60" s="584">
        <v>0</v>
      </c>
      <c r="K60" s="584"/>
      <c r="L60" s="445" t="s">
        <v>554</v>
      </c>
      <c r="M60" s="717" t="s">
        <v>7</v>
      </c>
      <c r="N60" s="616"/>
      <c r="O60" s="718" t="s">
        <v>7</v>
      </c>
      <c r="P60" s="718" t="s">
        <v>7</v>
      </c>
      <c r="Q60" s="628" t="s">
        <v>1740</v>
      </c>
    </row>
    <row r="61" spans="1:17" s="36" customFormat="1" x14ac:dyDescent="0.2">
      <c r="A61" s="605" t="s">
        <v>276</v>
      </c>
      <c r="B61" s="605" t="s">
        <v>276</v>
      </c>
      <c r="C61" s="605">
        <v>2020</v>
      </c>
      <c r="D61" s="444" t="s">
        <v>297</v>
      </c>
      <c r="E61" s="584" t="s">
        <v>362</v>
      </c>
      <c r="F61" s="584" t="s">
        <v>74</v>
      </c>
      <c r="G61" s="584" t="s">
        <v>384</v>
      </c>
      <c r="H61" s="584" t="s">
        <v>19</v>
      </c>
      <c r="I61" s="584" t="s">
        <v>551</v>
      </c>
      <c r="J61" s="584">
        <v>0</v>
      </c>
      <c r="K61" s="584"/>
      <c r="L61" s="445" t="s">
        <v>554</v>
      </c>
      <c r="M61" s="613">
        <v>9</v>
      </c>
      <c r="N61" s="616"/>
      <c r="O61" s="213">
        <v>1</v>
      </c>
      <c r="P61" s="607"/>
      <c r="Q61" s="628" t="s">
        <v>552</v>
      </c>
    </row>
    <row r="62" spans="1:17" s="36" customFormat="1" x14ac:dyDescent="0.2">
      <c r="A62" s="605" t="s">
        <v>276</v>
      </c>
      <c r="B62" s="605" t="s">
        <v>276</v>
      </c>
      <c r="C62" s="605">
        <v>2020</v>
      </c>
      <c r="D62" s="444" t="s">
        <v>297</v>
      </c>
      <c r="E62" s="584" t="s">
        <v>362</v>
      </c>
      <c r="F62" s="584" t="s">
        <v>74</v>
      </c>
      <c r="G62" s="584" t="s">
        <v>384</v>
      </c>
      <c r="H62" s="584" t="s">
        <v>20</v>
      </c>
      <c r="I62" s="584" t="s">
        <v>551</v>
      </c>
      <c r="J62" s="584">
        <v>0</v>
      </c>
      <c r="K62" s="584"/>
      <c r="L62" s="445" t="s">
        <v>554</v>
      </c>
      <c r="M62" s="613">
        <v>9</v>
      </c>
      <c r="N62" s="616"/>
      <c r="O62" s="213">
        <v>1</v>
      </c>
      <c r="P62" s="607"/>
      <c r="Q62" s="628" t="s">
        <v>552</v>
      </c>
    </row>
    <row r="63" spans="1:17" s="36" customFormat="1" x14ac:dyDescent="0.2">
      <c r="A63" s="605" t="s">
        <v>276</v>
      </c>
      <c r="B63" s="605" t="s">
        <v>276</v>
      </c>
      <c r="C63" s="605">
        <v>2020</v>
      </c>
      <c r="D63" s="444" t="s">
        <v>297</v>
      </c>
      <c r="E63" s="584" t="s">
        <v>362</v>
      </c>
      <c r="F63" s="584" t="s">
        <v>74</v>
      </c>
      <c r="G63" s="584" t="s">
        <v>384</v>
      </c>
      <c r="H63" s="584" t="s">
        <v>549</v>
      </c>
      <c r="I63" s="584" t="s">
        <v>551</v>
      </c>
      <c r="J63" s="584">
        <v>0</v>
      </c>
      <c r="K63" s="584"/>
      <c r="L63" s="445" t="s">
        <v>554</v>
      </c>
      <c r="M63" s="613">
        <v>9</v>
      </c>
      <c r="N63" s="616"/>
      <c r="O63" s="213">
        <v>1</v>
      </c>
      <c r="P63" s="607"/>
      <c r="Q63" s="628" t="s">
        <v>552</v>
      </c>
    </row>
    <row r="64" spans="1:17" s="36" customFormat="1" x14ac:dyDescent="0.2">
      <c r="A64" s="605" t="s">
        <v>276</v>
      </c>
      <c r="B64" s="605" t="s">
        <v>276</v>
      </c>
      <c r="C64" s="605">
        <v>2020</v>
      </c>
      <c r="D64" s="444" t="s">
        <v>297</v>
      </c>
      <c r="E64" s="584" t="s">
        <v>362</v>
      </c>
      <c r="F64" s="584" t="s">
        <v>74</v>
      </c>
      <c r="G64" s="584" t="s">
        <v>384</v>
      </c>
      <c r="H64" s="584" t="s">
        <v>550</v>
      </c>
      <c r="I64" s="584" t="s">
        <v>551</v>
      </c>
      <c r="J64" s="584">
        <v>0</v>
      </c>
      <c r="K64" s="584"/>
      <c r="L64" s="445" t="s">
        <v>554</v>
      </c>
      <c r="M64" s="613">
        <v>9</v>
      </c>
      <c r="N64" s="616"/>
      <c r="O64" s="213">
        <v>1</v>
      </c>
      <c r="P64" s="607"/>
      <c r="Q64" s="628" t="s">
        <v>552</v>
      </c>
    </row>
    <row r="65" spans="1:17" s="634" customFormat="1" ht="25.5" x14ac:dyDescent="0.2">
      <c r="A65" s="605" t="s">
        <v>276</v>
      </c>
      <c r="B65" s="605" t="s">
        <v>276</v>
      </c>
      <c r="C65" s="444">
        <v>2020</v>
      </c>
      <c r="D65" s="584" t="s">
        <v>297</v>
      </c>
      <c r="E65" s="584" t="s">
        <v>362</v>
      </c>
      <c r="F65" s="584" t="s">
        <v>74</v>
      </c>
      <c r="G65" s="652" t="s">
        <v>385</v>
      </c>
      <c r="H65" s="605" t="s">
        <v>42</v>
      </c>
      <c r="I65" s="444" t="s">
        <v>548</v>
      </c>
      <c r="J65" s="584">
        <v>1500</v>
      </c>
      <c r="K65" s="584"/>
      <c r="L65" s="635" t="s">
        <v>555</v>
      </c>
      <c r="M65" s="613">
        <v>681</v>
      </c>
      <c r="N65" s="616">
        <f t="shared" si="0"/>
        <v>0.45400000000000001</v>
      </c>
      <c r="O65" s="213">
        <v>4</v>
      </c>
      <c r="P65" s="607" t="s">
        <v>1736</v>
      </c>
      <c r="Q65" s="339" t="s">
        <v>1764</v>
      </c>
    </row>
    <row r="66" spans="1:17" s="634" customFormat="1" ht="25.5" x14ac:dyDescent="0.2">
      <c r="A66" s="605" t="s">
        <v>276</v>
      </c>
      <c r="B66" s="605" t="s">
        <v>276</v>
      </c>
      <c r="C66" s="444">
        <v>2020</v>
      </c>
      <c r="D66" s="584" t="s">
        <v>297</v>
      </c>
      <c r="E66" s="584" t="s">
        <v>362</v>
      </c>
      <c r="F66" s="584" t="s">
        <v>74</v>
      </c>
      <c r="G66" s="652" t="s">
        <v>385</v>
      </c>
      <c r="H66" s="605" t="s">
        <v>19</v>
      </c>
      <c r="I66" s="444" t="s">
        <v>548</v>
      </c>
      <c r="J66" s="584">
        <v>1500</v>
      </c>
      <c r="K66" s="584"/>
      <c r="L66" s="635" t="s">
        <v>555</v>
      </c>
      <c r="M66" s="613">
        <v>206</v>
      </c>
      <c r="N66" s="616">
        <f t="shared" si="0"/>
        <v>0.13733333333333334</v>
      </c>
      <c r="O66" s="213">
        <v>5</v>
      </c>
      <c r="P66" s="607" t="s">
        <v>1739</v>
      </c>
      <c r="Q66" s="339" t="s">
        <v>1764</v>
      </c>
    </row>
    <row r="67" spans="1:17" s="634" customFormat="1" ht="25.5" x14ac:dyDescent="0.2">
      <c r="A67" s="605" t="s">
        <v>276</v>
      </c>
      <c r="B67" s="605" t="s">
        <v>276</v>
      </c>
      <c r="C67" s="444">
        <v>2020</v>
      </c>
      <c r="D67" s="584" t="s">
        <v>297</v>
      </c>
      <c r="E67" s="584" t="s">
        <v>362</v>
      </c>
      <c r="F67" s="584" t="s">
        <v>74</v>
      </c>
      <c r="G67" s="652" t="s">
        <v>385</v>
      </c>
      <c r="H67" s="605" t="s">
        <v>20</v>
      </c>
      <c r="I67" s="444" t="s">
        <v>548</v>
      </c>
      <c r="J67" s="584">
        <v>1500</v>
      </c>
      <c r="K67" s="584"/>
      <c r="L67" s="635" t="s">
        <v>555</v>
      </c>
      <c r="M67" s="613">
        <v>150</v>
      </c>
      <c r="N67" s="616">
        <f t="shared" si="0"/>
        <v>0.1</v>
      </c>
      <c r="O67" s="213">
        <v>3</v>
      </c>
      <c r="P67" s="607" t="s">
        <v>1739</v>
      </c>
      <c r="Q67" s="339" t="s">
        <v>1764</v>
      </c>
    </row>
    <row r="68" spans="1:17" s="634" customFormat="1" ht="25.5" x14ac:dyDescent="0.2">
      <c r="A68" s="605" t="s">
        <v>276</v>
      </c>
      <c r="B68" s="605" t="s">
        <v>276</v>
      </c>
      <c r="C68" s="444">
        <v>2020</v>
      </c>
      <c r="D68" s="584" t="s">
        <v>297</v>
      </c>
      <c r="E68" s="584" t="s">
        <v>362</v>
      </c>
      <c r="F68" s="584" t="s">
        <v>74</v>
      </c>
      <c r="G68" s="652" t="s">
        <v>385</v>
      </c>
      <c r="H68" s="605" t="s">
        <v>549</v>
      </c>
      <c r="I68" s="444" t="s">
        <v>548</v>
      </c>
      <c r="J68" s="584">
        <v>1500</v>
      </c>
      <c r="K68" s="584"/>
      <c r="L68" s="635" t="s">
        <v>555</v>
      </c>
      <c r="M68" s="613">
        <v>197</v>
      </c>
      <c r="N68" s="616">
        <f t="shared" si="0"/>
        <v>0.13133333333333333</v>
      </c>
      <c r="O68" s="213">
        <v>4</v>
      </c>
      <c r="P68" s="607" t="s">
        <v>1739</v>
      </c>
      <c r="Q68" s="339" t="s">
        <v>1764</v>
      </c>
    </row>
    <row r="69" spans="1:17" s="634" customFormat="1" ht="25.5" x14ac:dyDescent="0.2">
      <c r="A69" s="605" t="s">
        <v>276</v>
      </c>
      <c r="B69" s="605" t="s">
        <v>276</v>
      </c>
      <c r="C69" s="444">
        <v>2020</v>
      </c>
      <c r="D69" s="584" t="s">
        <v>297</v>
      </c>
      <c r="E69" s="584" t="s">
        <v>362</v>
      </c>
      <c r="F69" s="584" t="s">
        <v>74</v>
      </c>
      <c r="G69" s="652" t="s">
        <v>385</v>
      </c>
      <c r="H69" s="605" t="s">
        <v>550</v>
      </c>
      <c r="I69" s="444" t="s">
        <v>548</v>
      </c>
      <c r="J69" s="584">
        <v>1500</v>
      </c>
      <c r="K69" s="584"/>
      <c r="L69" s="635" t="s">
        <v>555</v>
      </c>
      <c r="M69" s="613">
        <v>206</v>
      </c>
      <c r="N69" s="616">
        <f t="shared" si="0"/>
        <v>0.13733333333333334</v>
      </c>
      <c r="O69" s="213">
        <v>5</v>
      </c>
      <c r="P69" s="607" t="s">
        <v>1739</v>
      </c>
      <c r="Q69" s="339" t="s">
        <v>1764</v>
      </c>
    </row>
    <row r="70" spans="1:17" s="36" customFormat="1" ht="25.5" x14ac:dyDescent="0.2">
      <c r="A70" s="605" t="s">
        <v>276</v>
      </c>
      <c r="B70" s="605" t="s">
        <v>276</v>
      </c>
      <c r="C70" s="444">
        <v>2020</v>
      </c>
      <c r="D70" s="584" t="s">
        <v>297</v>
      </c>
      <c r="E70" s="584" t="s">
        <v>362</v>
      </c>
      <c r="F70" s="584" t="s">
        <v>74</v>
      </c>
      <c r="G70" s="652" t="s">
        <v>385</v>
      </c>
      <c r="H70" s="605" t="s">
        <v>42</v>
      </c>
      <c r="I70" s="444" t="s">
        <v>551</v>
      </c>
      <c r="J70" s="584">
        <v>100</v>
      </c>
      <c r="K70" s="584"/>
      <c r="L70" s="635" t="s">
        <v>555</v>
      </c>
      <c r="M70" s="613">
        <v>1164</v>
      </c>
      <c r="N70" s="616">
        <f t="shared" ref="N70:N133" si="1">M70/J70</f>
        <v>11.64</v>
      </c>
      <c r="O70" s="213">
        <v>16</v>
      </c>
      <c r="P70" s="607" t="s">
        <v>1736</v>
      </c>
      <c r="Q70" s="628" t="s">
        <v>1695</v>
      </c>
    </row>
    <row r="71" spans="1:17" s="36" customFormat="1" ht="25.5" x14ac:dyDescent="0.2">
      <c r="A71" s="605" t="s">
        <v>276</v>
      </c>
      <c r="B71" s="605" t="s">
        <v>276</v>
      </c>
      <c r="C71" s="605">
        <v>2020</v>
      </c>
      <c r="D71" s="444" t="s">
        <v>297</v>
      </c>
      <c r="E71" s="584" t="s">
        <v>362</v>
      </c>
      <c r="F71" s="584" t="s">
        <v>74</v>
      </c>
      <c r="G71" s="584" t="s">
        <v>385</v>
      </c>
      <c r="H71" s="584" t="s">
        <v>19</v>
      </c>
      <c r="I71" s="584" t="s">
        <v>551</v>
      </c>
      <c r="J71" s="584">
        <v>100</v>
      </c>
      <c r="K71" s="584"/>
      <c r="L71" s="445" t="s">
        <v>556</v>
      </c>
      <c r="M71" s="613">
        <v>540</v>
      </c>
      <c r="N71" s="616">
        <f t="shared" si="1"/>
        <v>5.4</v>
      </c>
      <c r="O71" s="213">
        <v>16</v>
      </c>
      <c r="P71" s="607" t="s">
        <v>1737</v>
      </c>
      <c r="Q71" s="628" t="s">
        <v>1695</v>
      </c>
    </row>
    <row r="72" spans="1:17" s="36" customFormat="1" ht="25.5" x14ac:dyDescent="0.2">
      <c r="A72" s="605" t="s">
        <v>276</v>
      </c>
      <c r="B72" s="605" t="s">
        <v>276</v>
      </c>
      <c r="C72" s="605">
        <v>2020</v>
      </c>
      <c r="D72" s="444" t="s">
        <v>297</v>
      </c>
      <c r="E72" s="584" t="s">
        <v>362</v>
      </c>
      <c r="F72" s="584" t="s">
        <v>74</v>
      </c>
      <c r="G72" s="584" t="s">
        <v>385</v>
      </c>
      <c r="H72" s="584" t="s">
        <v>20</v>
      </c>
      <c r="I72" s="584" t="s">
        <v>551</v>
      </c>
      <c r="J72" s="584">
        <v>100</v>
      </c>
      <c r="K72" s="584"/>
      <c r="L72" s="445" t="s">
        <v>556</v>
      </c>
      <c r="M72" s="613">
        <v>242</v>
      </c>
      <c r="N72" s="616">
        <f t="shared" si="1"/>
        <v>2.42</v>
      </c>
      <c r="O72" s="213">
        <v>16</v>
      </c>
      <c r="P72" s="607" t="s">
        <v>1737</v>
      </c>
      <c r="Q72" s="628" t="s">
        <v>1695</v>
      </c>
    </row>
    <row r="73" spans="1:17" s="36" customFormat="1" ht="25.5" x14ac:dyDescent="0.2">
      <c r="A73" s="605" t="s">
        <v>276</v>
      </c>
      <c r="B73" s="605" t="s">
        <v>276</v>
      </c>
      <c r="C73" s="605">
        <v>2020</v>
      </c>
      <c r="D73" s="444" t="s">
        <v>297</v>
      </c>
      <c r="E73" s="584" t="s">
        <v>362</v>
      </c>
      <c r="F73" s="584" t="s">
        <v>74</v>
      </c>
      <c r="G73" s="584" t="s">
        <v>385</v>
      </c>
      <c r="H73" s="584" t="s">
        <v>549</v>
      </c>
      <c r="I73" s="584" t="s">
        <v>551</v>
      </c>
      <c r="J73" s="584">
        <v>100</v>
      </c>
      <c r="K73" s="584"/>
      <c r="L73" s="445" t="s">
        <v>556</v>
      </c>
      <c r="M73" s="613">
        <v>540</v>
      </c>
      <c r="N73" s="616">
        <f t="shared" si="1"/>
        <v>5.4</v>
      </c>
      <c r="O73" s="213">
        <v>16</v>
      </c>
      <c r="P73" s="607" t="s">
        <v>1737</v>
      </c>
      <c r="Q73" s="628" t="s">
        <v>1695</v>
      </c>
    </row>
    <row r="74" spans="1:17" s="36" customFormat="1" ht="25.5" x14ac:dyDescent="0.2">
      <c r="A74" s="605" t="s">
        <v>276</v>
      </c>
      <c r="B74" s="605" t="s">
        <v>276</v>
      </c>
      <c r="C74" s="605">
        <v>2020</v>
      </c>
      <c r="D74" s="444" t="s">
        <v>297</v>
      </c>
      <c r="E74" s="584" t="s">
        <v>362</v>
      </c>
      <c r="F74" s="584" t="s">
        <v>74</v>
      </c>
      <c r="G74" s="584" t="s">
        <v>385</v>
      </c>
      <c r="H74" s="584" t="s">
        <v>550</v>
      </c>
      <c r="I74" s="584" t="s">
        <v>551</v>
      </c>
      <c r="J74" s="584">
        <v>100</v>
      </c>
      <c r="K74" s="584"/>
      <c r="L74" s="445" t="s">
        <v>556</v>
      </c>
      <c r="M74" s="613">
        <v>540</v>
      </c>
      <c r="N74" s="616">
        <f t="shared" si="1"/>
        <v>5.4</v>
      </c>
      <c r="O74" s="213">
        <v>16</v>
      </c>
      <c r="P74" s="607" t="s">
        <v>1737</v>
      </c>
      <c r="Q74" s="628" t="s">
        <v>1695</v>
      </c>
    </row>
    <row r="75" spans="1:17" s="36" customFormat="1" x14ac:dyDescent="0.2">
      <c r="A75" s="605" t="s">
        <v>276</v>
      </c>
      <c r="B75" s="605" t="s">
        <v>276</v>
      </c>
      <c r="C75" s="605">
        <v>2020</v>
      </c>
      <c r="D75" s="444" t="s">
        <v>75</v>
      </c>
      <c r="E75" s="584" t="s">
        <v>362</v>
      </c>
      <c r="F75" s="584" t="s">
        <v>74</v>
      </c>
      <c r="G75" s="584" t="s">
        <v>365</v>
      </c>
      <c r="H75" s="584" t="s">
        <v>42</v>
      </c>
      <c r="I75" s="584" t="s">
        <v>548</v>
      </c>
      <c r="J75" s="584">
        <v>1000</v>
      </c>
      <c r="K75" s="584"/>
      <c r="L75" s="445"/>
      <c r="M75" s="613">
        <v>921</v>
      </c>
      <c r="N75" s="616">
        <f t="shared" si="1"/>
        <v>0.92100000000000004</v>
      </c>
      <c r="O75" s="213">
        <v>23</v>
      </c>
      <c r="P75" s="607" t="s">
        <v>1736</v>
      </c>
      <c r="Q75" s="628"/>
    </row>
    <row r="76" spans="1:17" s="36" customFormat="1" ht="76.5" x14ac:dyDescent="0.2">
      <c r="A76" s="605" t="s">
        <v>276</v>
      </c>
      <c r="B76" s="605" t="s">
        <v>276</v>
      </c>
      <c r="C76" s="605">
        <v>2020</v>
      </c>
      <c r="D76" s="444" t="s">
        <v>75</v>
      </c>
      <c r="E76" s="584" t="s">
        <v>362</v>
      </c>
      <c r="F76" s="584" t="s">
        <v>74</v>
      </c>
      <c r="G76" s="584" t="s">
        <v>365</v>
      </c>
      <c r="H76" s="584" t="s">
        <v>19</v>
      </c>
      <c r="I76" s="584" t="s">
        <v>548</v>
      </c>
      <c r="J76" s="584">
        <v>750</v>
      </c>
      <c r="K76" s="584"/>
      <c r="L76" s="445" t="s">
        <v>558</v>
      </c>
      <c r="M76" s="613">
        <v>380</v>
      </c>
      <c r="N76" s="616">
        <f t="shared" si="1"/>
        <v>0.50666666666666671</v>
      </c>
      <c r="O76" s="213">
        <v>20</v>
      </c>
      <c r="P76" s="607" t="s">
        <v>1753</v>
      </c>
      <c r="Q76" s="628" t="s">
        <v>1765</v>
      </c>
    </row>
    <row r="77" spans="1:17" s="36" customFormat="1" ht="76.5" x14ac:dyDescent="0.2">
      <c r="A77" s="605" t="s">
        <v>276</v>
      </c>
      <c r="B77" s="605" t="s">
        <v>276</v>
      </c>
      <c r="C77" s="605">
        <v>2020</v>
      </c>
      <c r="D77" s="444" t="s">
        <v>75</v>
      </c>
      <c r="E77" s="584" t="s">
        <v>362</v>
      </c>
      <c r="F77" s="584" t="s">
        <v>74</v>
      </c>
      <c r="G77" s="584" t="s">
        <v>365</v>
      </c>
      <c r="H77" s="584" t="s">
        <v>20</v>
      </c>
      <c r="I77" s="584" t="s">
        <v>548</v>
      </c>
      <c r="J77" s="584">
        <v>750</v>
      </c>
      <c r="K77" s="584"/>
      <c r="L77" s="445" t="s">
        <v>558</v>
      </c>
      <c r="M77" s="613">
        <v>380</v>
      </c>
      <c r="N77" s="616">
        <f t="shared" si="1"/>
        <v>0.50666666666666671</v>
      </c>
      <c r="O77" s="213">
        <v>20</v>
      </c>
      <c r="P77" s="607" t="s">
        <v>1753</v>
      </c>
      <c r="Q77" s="628" t="s">
        <v>1765</v>
      </c>
    </row>
    <row r="78" spans="1:17" s="36" customFormat="1" ht="76.5" x14ac:dyDescent="0.2">
      <c r="A78" s="605" t="s">
        <v>276</v>
      </c>
      <c r="B78" s="605" t="s">
        <v>276</v>
      </c>
      <c r="C78" s="605">
        <v>2020</v>
      </c>
      <c r="D78" s="444" t="s">
        <v>75</v>
      </c>
      <c r="E78" s="584" t="s">
        <v>362</v>
      </c>
      <c r="F78" s="584" t="s">
        <v>74</v>
      </c>
      <c r="G78" s="584" t="s">
        <v>365</v>
      </c>
      <c r="H78" s="584" t="s">
        <v>549</v>
      </c>
      <c r="I78" s="584" t="s">
        <v>548</v>
      </c>
      <c r="J78" s="584">
        <v>250</v>
      </c>
      <c r="K78" s="584"/>
      <c r="L78" s="445" t="s">
        <v>558</v>
      </c>
      <c r="M78" s="613">
        <v>6</v>
      </c>
      <c r="N78" s="616">
        <f t="shared" si="1"/>
        <v>2.4E-2</v>
      </c>
      <c r="O78" s="213">
        <v>1</v>
      </c>
      <c r="P78" s="607" t="s">
        <v>1753</v>
      </c>
      <c r="Q78" s="628" t="s">
        <v>1765</v>
      </c>
    </row>
    <row r="79" spans="1:17" s="36" customFormat="1" ht="76.5" x14ac:dyDescent="0.2">
      <c r="A79" s="605" t="s">
        <v>276</v>
      </c>
      <c r="B79" s="605" t="s">
        <v>276</v>
      </c>
      <c r="C79" s="605">
        <v>2020</v>
      </c>
      <c r="D79" s="444" t="s">
        <v>75</v>
      </c>
      <c r="E79" s="584" t="s">
        <v>362</v>
      </c>
      <c r="F79" s="584" t="s">
        <v>74</v>
      </c>
      <c r="G79" s="584" t="s">
        <v>365</v>
      </c>
      <c r="H79" s="584" t="s">
        <v>550</v>
      </c>
      <c r="I79" s="584" t="s">
        <v>548</v>
      </c>
      <c r="J79" s="584">
        <v>100</v>
      </c>
      <c r="K79" s="584"/>
      <c r="L79" s="445" t="s">
        <v>558</v>
      </c>
      <c r="M79" s="613">
        <v>6</v>
      </c>
      <c r="N79" s="616">
        <f t="shared" si="1"/>
        <v>0.06</v>
      </c>
      <c r="O79" s="213">
        <v>1</v>
      </c>
      <c r="P79" s="607" t="s">
        <v>1753</v>
      </c>
      <c r="Q79" s="628" t="s">
        <v>1765</v>
      </c>
    </row>
    <row r="80" spans="1:17" s="36" customFormat="1" ht="25.5" x14ac:dyDescent="0.2">
      <c r="A80" s="605" t="s">
        <v>276</v>
      </c>
      <c r="B80" s="605" t="s">
        <v>276</v>
      </c>
      <c r="C80" s="605">
        <v>2020</v>
      </c>
      <c r="D80" s="444" t="s">
        <v>75</v>
      </c>
      <c r="E80" s="584" t="s">
        <v>362</v>
      </c>
      <c r="F80" s="584" t="s">
        <v>74</v>
      </c>
      <c r="G80" s="584" t="s">
        <v>365</v>
      </c>
      <c r="H80" s="584" t="s">
        <v>42</v>
      </c>
      <c r="I80" s="584" t="s">
        <v>551</v>
      </c>
      <c r="J80" s="584">
        <v>25</v>
      </c>
      <c r="K80" s="584"/>
      <c r="L80" s="445" t="s">
        <v>557</v>
      </c>
      <c r="M80" s="613">
        <v>57</v>
      </c>
      <c r="N80" s="616">
        <f t="shared" si="1"/>
        <v>2.2799999999999998</v>
      </c>
      <c r="O80" s="213">
        <v>14</v>
      </c>
      <c r="P80" s="607" t="s">
        <v>1741</v>
      </c>
      <c r="Q80" s="628" t="s">
        <v>1695</v>
      </c>
    </row>
    <row r="81" spans="1:17" s="36" customFormat="1" ht="25.5" x14ac:dyDescent="0.2">
      <c r="A81" s="605" t="s">
        <v>276</v>
      </c>
      <c r="B81" s="605" t="s">
        <v>276</v>
      </c>
      <c r="C81" s="605">
        <v>2020</v>
      </c>
      <c r="D81" s="444" t="s">
        <v>75</v>
      </c>
      <c r="E81" s="584" t="s">
        <v>362</v>
      </c>
      <c r="F81" s="584" t="s">
        <v>74</v>
      </c>
      <c r="G81" s="584" t="s">
        <v>365</v>
      </c>
      <c r="H81" s="584" t="s">
        <v>19</v>
      </c>
      <c r="I81" s="584" t="s">
        <v>551</v>
      </c>
      <c r="J81" s="584">
        <v>25</v>
      </c>
      <c r="K81" s="584"/>
      <c r="L81" s="445" t="s">
        <v>557</v>
      </c>
      <c r="M81" s="613">
        <v>49</v>
      </c>
      <c r="N81" s="616">
        <f t="shared" si="1"/>
        <v>1.96</v>
      </c>
      <c r="O81" s="213">
        <v>14</v>
      </c>
      <c r="P81" s="607" t="s">
        <v>1741</v>
      </c>
      <c r="Q81" s="628" t="s">
        <v>1695</v>
      </c>
    </row>
    <row r="82" spans="1:17" s="36" customFormat="1" ht="25.5" x14ac:dyDescent="0.2">
      <c r="A82" s="605" t="s">
        <v>276</v>
      </c>
      <c r="B82" s="605" t="s">
        <v>276</v>
      </c>
      <c r="C82" s="605">
        <v>2020</v>
      </c>
      <c r="D82" s="444" t="s">
        <v>75</v>
      </c>
      <c r="E82" s="584" t="s">
        <v>362</v>
      </c>
      <c r="F82" s="584" t="s">
        <v>74</v>
      </c>
      <c r="G82" s="584" t="s">
        <v>365</v>
      </c>
      <c r="H82" s="584" t="s">
        <v>20</v>
      </c>
      <c r="I82" s="584" t="s">
        <v>551</v>
      </c>
      <c r="J82" s="584">
        <v>25</v>
      </c>
      <c r="K82" s="584"/>
      <c r="L82" s="445" t="s">
        <v>557</v>
      </c>
      <c r="M82" s="613">
        <v>49</v>
      </c>
      <c r="N82" s="616">
        <f t="shared" si="1"/>
        <v>1.96</v>
      </c>
      <c r="O82" s="213">
        <v>14</v>
      </c>
      <c r="P82" s="607" t="s">
        <v>1741</v>
      </c>
      <c r="Q82" s="628" t="s">
        <v>1695</v>
      </c>
    </row>
    <row r="83" spans="1:17" s="36" customFormat="1" ht="25.5" x14ac:dyDescent="0.2">
      <c r="A83" s="605" t="s">
        <v>276</v>
      </c>
      <c r="B83" s="605" t="s">
        <v>276</v>
      </c>
      <c r="C83" s="605">
        <v>2020</v>
      </c>
      <c r="D83" s="444" t="s">
        <v>75</v>
      </c>
      <c r="E83" s="584" t="s">
        <v>362</v>
      </c>
      <c r="F83" s="584" t="s">
        <v>74</v>
      </c>
      <c r="G83" s="584" t="s">
        <v>365</v>
      </c>
      <c r="H83" s="584" t="s">
        <v>549</v>
      </c>
      <c r="I83" s="584" t="s">
        <v>551</v>
      </c>
      <c r="J83" s="584">
        <v>25</v>
      </c>
      <c r="K83" s="584"/>
      <c r="L83" s="445" t="s">
        <v>557</v>
      </c>
      <c r="M83" s="613">
        <v>49</v>
      </c>
      <c r="N83" s="616">
        <f t="shared" si="1"/>
        <v>1.96</v>
      </c>
      <c r="O83" s="213">
        <v>14</v>
      </c>
      <c r="P83" s="607" t="s">
        <v>1741</v>
      </c>
      <c r="Q83" s="628" t="s">
        <v>1695</v>
      </c>
    </row>
    <row r="84" spans="1:17" s="36" customFormat="1" x14ac:dyDescent="0.2">
      <c r="A84" s="605" t="s">
        <v>276</v>
      </c>
      <c r="B84" s="605" t="s">
        <v>276</v>
      </c>
      <c r="C84" s="605">
        <v>2020</v>
      </c>
      <c r="D84" s="444" t="s">
        <v>75</v>
      </c>
      <c r="E84" s="584" t="s">
        <v>362</v>
      </c>
      <c r="F84" s="584" t="s">
        <v>74</v>
      </c>
      <c r="G84" s="584" t="s">
        <v>365</v>
      </c>
      <c r="H84" s="584" t="s">
        <v>550</v>
      </c>
      <c r="I84" s="584" t="s">
        <v>551</v>
      </c>
      <c r="J84" s="584">
        <v>0</v>
      </c>
      <c r="K84" s="584"/>
      <c r="L84" s="445" t="s">
        <v>554</v>
      </c>
      <c r="M84" s="613">
        <v>49</v>
      </c>
      <c r="N84" s="616"/>
      <c r="O84" s="213">
        <v>14</v>
      </c>
      <c r="P84" s="607" t="s">
        <v>1741</v>
      </c>
      <c r="Q84" s="628" t="s">
        <v>552</v>
      </c>
    </row>
    <row r="85" spans="1:17" s="36" customFormat="1" ht="51" x14ac:dyDescent="0.2">
      <c r="A85" s="605" t="s">
        <v>276</v>
      </c>
      <c r="B85" s="605" t="s">
        <v>276</v>
      </c>
      <c r="C85" s="605">
        <v>2020</v>
      </c>
      <c r="D85" s="444" t="s">
        <v>75</v>
      </c>
      <c r="E85" s="584" t="s">
        <v>362</v>
      </c>
      <c r="F85" s="584" t="s">
        <v>74</v>
      </c>
      <c r="G85" s="584" t="s">
        <v>384</v>
      </c>
      <c r="H85" s="584" t="s">
        <v>42</v>
      </c>
      <c r="I85" s="584" t="s">
        <v>548</v>
      </c>
      <c r="J85" s="584">
        <v>1000</v>
      </c>
      <c r="K85" s="584"/>
      <c r="L85" s="445"/>
      <c r="M85" s="613">
        <v>199</v>
      </c>
      <c r="N85" s="616">
        <f t="shared" si="1"/>
        <v>0.19900000000000001</v>
      </c>
      <c r="O85" s="213">
        <v>7</v>
      </c>
      <c r="P85" s="607" t="s">
        <v>1736</v>
      </c>
      <c r="Q85" s="628" t="s">
        <v>1766</v>
      </c>
    </row>
    <row r="86" spans="1:17" s="36" customFormat="1" ht="51" x14ac:dyDescent="0.2">
      <c r="A86" s="605" t="s">
        <v>276</v>
      </c>
      <c r="B86" s="605" t="s">
        <v>276</v>
      </c>
      <c r="C86" s="605">
        <v>2020</v>
      </c>
      <c r="D86" s="444" t="s">
        <v>75</v>
      </c>
      <c r="E86" s="584" t="s">
        <v>362</v>
      </c>
      <c r="F86" s="584" t="s">
        <v>74</v>
      </c>
      <c r="G86" s="584" t="s">
        <v>384</v>
      </c>
      <c r="H86" s="584" t="s">
        <v>19</v>
      </c>
      <c r="I86" s="584" t="s">
        <v>548</v>
      </c>
      <c r="J86" s="584">
        <v>750</v>
      </c>
      <c r="K86" s="584"/>
      <c r="L86" s="445" t="s">
        <v>558</v>
      </c>
      <c r="M86" s="613">
        <v>331</v>
      </c>
      <c r="N86" s="616">
        <f t="shared" si="1"/>
        <v>0.44133333333333336</v>
      </c>
      <c r="O86" s="213">
        <v>12</v>
      </c>
      <c r="P86" s="607" t="s">
        <v>1753</v>
      </c>
      <c r="Q86" s="628" t="s">
        <v>1766</v>
      </c>
    </row>
    <row r="87" spans="1:17" s="36" customFormat="1" ht="51" x14ac:dyDescent="0.2">
      <c r="A87" s="605" t="s">
        <v>276</v>
      </c>
      <c r="B87" s="605" t="s">
        <v>276</v>
      </c>
      <c r="C87" s="605">
        <v>2020</v>
      </c>
      <c r="D87" s="444" t="s">
        <v>75</v>
      </c>
      <c r="E87" s="584" t="s">
        <v>362</v>
      </c>
      <c r="F87" s="584" t="s">
        <v>74</v>
      </c>
      <c r="G87" s="584" t="s">
        <v>384</v>
      </c>
      <c r="H87" s="584" t="s">
        <v>20</v>
      </c>
      <c r="I87" s="584" t="s">
        <v>548</v>
      </c>
      <c r="J87" s="584">
        <v>750</v>
      </c>
      <c r="K87" s="584"/>
      <c r="L87" s="445" t="s">
        <v>558</v>
      </c>
      <c r="M87" s="613">
        <v>331</v>
      </c>
      <c r="N87" s="616">
        <f t="shared" si="1"/>
        <v>0.44133333333333336</v>
      </c>
      <c r="O87" s="213">
        <v>12</v>
      </c>
      <c r="P87" s="607" t="s">
        <v>1753</v>
      </c>
      <c r="Q87" s="628" t="s">
        <v>1766</v>
      </c>
    </row>
    <row r="88" spans="1:17" s="36" customFormat="1" ht="51" x14ac:dyDescent="0.2">
      <c r="A88" s="605" t="s">
        <v>276</v>
      </c>
      <c r="B88" s="605" t="s">
        <v>276</v>
      </c>
      <c r="C88" s="605">
        <v>2020</v>
      </c>
      <c r="D88" s="444" t="s">
        <v>75</v>
      </c>
      <c r="E88" s="584" t="s">
        <v>362</v>
      </c>
      <c r="F88" s="584" t="s">
        <v>74</v>
      </c>
      <c r="G88" s="584" t="s">
        <v>384</v>
      </c>
      <c r="H88" s="584" t="s">
        <v>549</v>
      </c>
      <c r="I88" s="584" t="s">
        <v>548</v>
      </c>
      <c r="J88" s="584">
        <v>250</v>
      </c>
      <c r="K88" s="584"/>
      <c r="L88" s="445" t="s">
        <v>558</v>
      </c>
      <c r="M88" s="613">
        <v>29</v>
      </c>
      <c r="N88" s="616">
        <f t="shared" si="1"/>
        <v>0.11600000000000001</v>
      </c>
      <c r="O88" s="213">
        <v>1</v>
      </c>
      <c r="P88" s="607" t="s">
        <v>1753</v>
      </c>
      <c r="Q88" s="628" t="s">
        <v>1766</v>
      </c>
    </row>
    <row r="89" spans="1:17" s="36" customFormat="1" ht="51" x14ac:dyDescent="0.2">
      <c r="A89" s="605" t="s">
        <v>276</v>
      </c>
      <c r="B89" s="605" t="s">
        <v>276</v>
      </c>
      <c r="C89" s="605">
        <v>2020</v>
      </c>
      <c r="D89" s="444" t="s">
        <v>75</v>
      </c>
      <c r="E89" s="584" t="s">
        <v>362</v>
      </c>
      <c r="F89" s="584" t="s">
        <v>74</v>
      </c>
      <c r="G89" s="584" t="s">
        <v>384</v>
      </c>
      <c r="H89" s="584" t="s">
        <v>550</v>
      </c>
      <c r="I89" s="584" t="s">
        <v>548</v>
      </c>
      <c r="J89" s="584">
        <v>250</v>
      </c>
      <c r="K89" s="584"/>
      <c r="L89" s="445" t="s">
        <v>558</v>
      </c>
      <c r="M89" s="613">
        <v>29</v>
      </c>
      <c r="N89" s="616">
        <f t="shared" si="1"/>
        <v>0.11600000000000001</v>
      </c>
      <c r="O89" s="213">
        <v>1</v>
      </c>
      <c r="P89" s="607" t="s">
        <v>1753</v>
      </c>
      <c r="Q89" s="628" t="s">
        <v>1766</v>
      </c>
    </row>
    <row r="90" spans="1:17" s="36" customFormat="1" x14ac:dyDescent="0.2">
      <c r="A90" s="605" t="s">
        <v>276</v>
      </c>
      <c r="B90" s="605" t="s">
        <v>276</v>
      </c>
      <c r="C90" s="605">
        <v>2020</v>
      </c>
      <c r="D90" s="444" t="s">
        <v>75</v>
      </c>
      <c r="E90" s="584" t="s">
        <v>362</v>
      </c>
      <c r="F90" s="584" t="s">
        <v>74</v>
      </c>
      <c r="G90" s="584" t="s">
        <v>384</v>
      </c>
      <c r="H90" s="584" t="s">
        <v>42</v>
      </c>
      <c r="I90" s="584" t="s">
        <v>551</v>
      </c>
      <c r="J90" s="584">
        <v>0</v>
      </c>
      <c r="K90" s="584"/>
      <c r="L90" s="445" t="s">
        <v>554</v>
      </c>
      <c r="M90" s="613">
        <v>0</v>
      </c>
      <c r="N90" s="616"/>
      <c r="O90" s="213">
        <v>0</v>
      </c>
      <c r="P90" s="607"/>
      <c r="Q90" s="628" t="s">
        <v>552</v>
      </c>
    </row>
    <row r="91" spans="1:17" s="36" customFormat="1" x14ac:dyDescent="0.2">
      <c r="A91" s="605" t="s">
        <v>276</v>
      </c>
      <c r="B91" s="605" t="s">
        <v>276</v>
      </c>
      <c r="C91" s="605">
        <v>2020</v>
      </c>
      <c r="D91" s="444" t="s">
        <v>75</v>
      </c>
      <c r="E91" s="584" t="s">
        <v>362</v>
      </c>
      <c r="F91" s="584" t="s">
        <v>74</v>
      </c>
      <c r="G91" s="584" t="s">
        <v>384</v>
      </c>
      <c r="H91" s="584" t="s">
        <v>19</v>
      </c>
      <c r="I91" s="584" t="s">
        <v>551</v>
      </c>
      <c r="J91" s="584">
        <v>0</v>
      </c>
      <c r="K91" s="584"/>
      <c r="L91" s="445" t="s">
        <v>554</v>
      </c>
      <c r="M91" s="613">
        <v>0</v>
      </c>
      <c r="N91" s="616"/>
      <c r="O91" s="213">
        <v>0</v>
      </c>
      <c r="P91" s="607"/>
      <c r="Q91" s="628" t="s">
        <v>552</v>
      </c>
    </row>
    <row r="92" spans="1:17" s="36" customFormat="1" x14ac:dyDescent="0.2">
      <c r="A92" s="605" t="s">
        <v>276</v>
      </c>
      <c r="B92" s="605" t="s">
        <v>276</v>
      </c>
      <c r="C92" s="605">
        <v>2020</v>
      </c>
      <c r="D92" s="444" t="s">
        <v>75</v>
      </c>
      <c r="E92" s="584" t="s">
        <v>362</v>
      </c>
      <c r="F92" s="584" t="s">
        <v>74</v>
      </c>
      <c r="G92" s="584" t="s">
        <v>384</v>
      </c>
      <c r="H92" s="584" t="s">
        <v>20</v>
      </c>
      <c r="I92" s="584" t="s">
        <v>551</v>
      </c>
      <c r="J92" s="584">
        <v>0</v>
      </c>
      <c r="K92" s="584"/>
      <c r="L92" s="445" t="s">
        <v>554</v>
      </c>
      <c r="M92" s="613">
        <v>0</v>
      </c>
      <c r="N92" s="616"/>
      <c r="O92" s="213">
        <v>0</v>
      </c>
      <c r="P92" s="607"/>
      <c r="Q92" s="628" t="s">
        <v>552</v>
      </c>
    </row>
    <row r="93" spans="1:17" s="36" customFormat="1" x14ac:dyDescent="0.2">
      <c r="A93" s="605" t="s">
        <v>276</v>
      </c>
      <c r="B93" s="605" t="s">
        <v>276</v>
      </c>
      <c r="C93" s="605">
        <v>2020</v>
      </c>
      <c r="D93" s="444" t="s">
        <v>75</v>
      </c>
      <c r="E93" s="584" t="s">
        <v>362</v>
      </c>
      <c r="F93" s="584" t="s">
        <v>74</v>
      </c>
      <c r="G93" s="584" t="s">
        <v>384</v>
      </c>
      <c r="H93" s="584" t="s">
        <v>549</v>
      </c>
      <c r="I93" s="584" t="s">
        <v>551</v>
      </c>
      <c r="J93" s="584">
        <v>0</v>
      </c>
      <c r="K93" s="584"/>
      <c r="L93" s="445" t="s">
        <v>554</v>
      </c>
      <c r="M93" s="613">
        <v>0</v>
      </c>
      <c r="N93" s="616"/>
      <c r="O93" s="213">
        <v>0</v>
      </c>
      <c r="P93" s="607"/>
      <c r="Q93" s="628" t="s">
        <v>552</v>
      </c>
    </row>
    <row r="94" spans="1:17" s="36" customFormat="1" x14ac:dyDescent="0.2">
      <c r="A94" s="605" t="s">
        <v>276</v>
      </c>
      <c r="B94" s="605" t="s">
        <v>276</v>
      </c>
      <c r="C94" s="605">
        <v>2020</v>
      </c>
      <c r="D94" s="444" t="s">
        <v>75</v>
      </c>
      <c r="E94" s="584" t="s">
        <v>362</v>
      </c>
      <c r="F94" s="584" t="s">
        <v>74</v>
      </c>
      <c r="G94" s="584" t="s">
        <v>384</v>
      </c>
      <c r="H94" s="584" t="s">
        <v>550</v>
      </c>
      <c r="I94" s="584" t="s">
        <v>551</v>
      </c>
      <c r="J94" s="584">
        <v>0</v>
      </c>
      <c r="K94" s="584"/>
      <c r="L94" s="445" t="s">
        <v>554</v>
      </c>
      <c r="M94" s="613">
        <v>0</v>
      </c>
      <c r="N94" s="616"/>
      <c r="O94" s="213">
        <v>0</v>
      </c>
      <c r="P94" s="607"/>
      <c r="Q94" s="628" t="s">
        <v>552</v>
      </c>
    </row>
    <row r="95" spans="1:17" s="36" customFormat="1" ht="25.5" x14ac:dyDescent="0.2">
      <c r="A95" s="605" t="s">
        <v>276</v>
      </c>
      <c r="B95" s="605" t="s">
        <v>276</v>
      </c>
      <c r="C95" s="605">
        <v>2020</v>
      </c>
      <c r="D95" s="444" t="s">
        <v>75</v>
      </c>
      <c r="E95" s="584" t="s">
        <v>362</v>
      </c>
      <c r="F95" s="584" t="s">
        <v>74</v>
      </c>
      <c r="G95" s="584" t="s">
        <v>411</v>
      </c>
      <c r="H95" s="584" t="s">
        <v>42</v>
      </c>
      <c r="I95" s="584" t="s">
        <v>548</v>
      </c>
      <c r="J95" s="584">
        <v>2000</v>
      </c>
      <c r="K95" s="584"/>
      <c r="L95" s="445"/>
      <c r="M95" s="613">
        <v>3742</v>
      </c>
      <c r="N95" s="616">
        <f t="shared" si="1"/>
        <v>1.871</v>
      </c>
      <c r="O95" s="213">
        <v>143</v>
      </c>
      <c r="P95" s="607" t="s">
        <v>1736</v>
      </c>
      <c r="Q95" s="628" t="s">
        <v>1698</v>
      </c>
    </row>
    <row r="96" spans="1:17" s="36" customFormat="1" ht="25.5" x14ac:dyDescent="0.2">
      <c r="A96" s="605" t="s">
        <v>276</v>
      </c>
      <c r="B96" s="605" t="s">
        <v>276</v>
      </c>
      <c r="C96" s="605">
        <v>2020</v>
      </c>
      <c r="D96" s="444" t="s">
        <v>75</v>
      </c>
      <c r="E96" s="584" t="s">
        <v>362</v>
      </c>
      <c r="F96" s="584" t="s">
        <v>74</v>
      </c>
      <c r="G96" s="584" t="s">
        <v>411</v>
      </c>
      <c r="H96" s="584" t="s">
        <v>19</v>
      </c>
      <c r="I96" s="584" t="s">
        <v>548</v>
      </c>
      <c r="J96" s="584">
        <v>1000</v>
      </c>
      <c r="K96" s="584"/>
      <c r="L96" s="445" t="s">
        <v>558</v>
      </c>
      <c r="M96" s="613">
        <v>1676</v>
      </c>
      <c r="N96" s="616">
        <f t="shared" si="1"/>
        <v>1.6759999999999999</v>
      </c>
      <c r="O96" s="213">
        <v>102</v>
      </c>
      <c r="P96" s="607" t="s">
        <v>1753</v>
      </c>
      <c r="Q96" s="628" t="s">
        <v>1695</v>
      </c>
    </row>
    <row r="97" spans="1:17" s="36" customFormat="1" ht="25.5" x14ac:dyDescent="0.2">
      <c r="A97" s="605" t="s">
        <v>276</v>
      </c>
      <c r="B97" s="605" t="s">
        <v>276</v>
      </c>
      <c r="C97" s="605">
        <v>2020</v>
      </c>
      <c r="D97" s="444" t="s">
        <v>75</v>
      </c>
      <c r="E97" s="584" t="s">
        <v>362</v>
      </c>
      <c r="F97" s="584" t="s">
        <v>74</v>
      </c>
      <c r="G97" s="584" t="s">
        <v>411</v>
      </c>
      <c r="H97" s="584" t="s">
        <v>20</v>
      </c>
      <c r="I97" s="584" t="s">
        <v>548</v>
      </c>
      <c r="J97" s="584">
        <v>1000</v>
      </c>
      <c r="K97" s="584"/>
      <c r="L97" s="445" t="s">
        <v>558</v>
      </c>
      <c r="M97" s="613">
        <v>1676</v>
      </c>
      <c r="N97" s="616">
        <f t="shared" si="1"/>
        <v>1.6759999999999999</v>
      </c>
      <c r="O97" s="213">
        <v>102</v>
      </c>
      <c r="P97" s="607" t="s">
        <v>1753</v>
      </c>
      <c r="Q97" s="628" t="s">
        <v>1695</v>
      </c>
    </row>
    <row r="98" spans="1:17" s="36" customFormat="1" ht="51" x14ac:dyDescent="0.2">
      <c r="A98" s="605" t="s">
        <v>276</v>
      </c>
      <c r="B98" s="605" t="s">
        <v>276</v>
      </c>
      <c r="C98" s="605">
        <v>2020</v>
      </c>
      <c r="D98" s="444" t="s">
        <v>75</v>
      </c>
      <c r="E98" s="584" t="s">
        <v>362</v>
      </c>
      <c r="F98" s="584" t="s">
        <v>74</v>
      </c>
      <c r="G98" s="584" t="s">
        <v>411</v>
      </c>
      <c r="H98" s="584" t="s">
        <v>549</v>
      </c>
      <c r="I98" s="584" t="s">
        <v>548</v>
      </c>
      <c r="J98" s="584">
        <v>500</v>
      </c>
      <c r="K98" s="584"/>
      <c r="L98" s="445" t="s">
        <v>558</v>
      </c>
      <c r="M98" s="613">
        <v>151</v>
      </c>
      <c r="N98" s="616">
        <f t="shared" si="1"/>
        <v>0.30199999999999999</v>
      </c>
      <c r="O98" s="213">
        <v>6</v>
      </c>
      <c r="P98" s="607" t="s">
        <v>1753</v>
      </c>
      <c r="Q98" s="628" t="s">
        <v>1796</v>
      </c>
    </row>
    <row r="99" spans="1:17" s="36" customFormat="1" ht="51" x14ac:dyDescent="0.2">
      <c r="A99" s="605" t="s">
        <v>276</v>
      </c>
      <c r="B99" s="605" t="s">
        <v>276</v>
      </c>
      <c r="C99" s="605">
        <v>2020</v>
      </c>
      <c r="D99" s="444" t="s">
        <v>75</v>
      </c>
      <c r="E99" s="584" t="s">
        <v>362</v>
      </c>
      <c r="F99" s="584" t="s">
        <v>74</v>
      </c>
      <c r="G99" s="584" t="s">
        <v>411</v>
      </c>
      <c r="H99" s="584" t="s">
        <v>550</v>
      </c>
      <c r="I99" s="584" t="s">
        <v>548</v>
      </c>
      <c r="J99" s="584">
        <v>500</v>
      </c>
      <c r="K99" s="584"/>
      <c r="L99" s="445" t="s">
        <v>558</v>
      </c>
      <c r="M99" s="613">
        <v>151</v>
      </c>
      <c r="N99" s="616">
        <f t="shared" si="1"/>
        <v>0.30199999999999999</v>
      </c>
      <c r="O99" s="213">
        <v>6</v>
      </c>
      <c r="P99" s="607" t="s">
        <v>1753</v>
      </c>
      <c r="Q99" s="628" t="s">
        <v>1796</v>
      </c>
    </row>
    <row r="100" spans="1:17" s="36" customFormat="1" ht="25.5" x14ac:dyDescent="0.2">
      <c r="A100" s="605" t="s">
        <v>276</v>
      </c>
      <c r="B100" s="605" t="s">
        <v>276</v>
      </c>
      <c r="C100" s="605">
        <v>2020</v>
      </c>
      <c r="D100" s="444" t="s">
        <v>75</v>
      </c>
      <c r="E100" s="584" t="s">
        <v>362</v>
      </c>
      <c r="F100" s="584" t="s">
        <v>74</v>
      </c>
      <c r="G100" s="584" t="s">
        <v>411</v>
      </c>
      <c r="H100" s="584" t="s">
        <v>42</v>
      </c>
      <c r="I100" s="584" t="s">
        <v>551</v>
      </c>
      <c r="J100" s="584">
        <v>50</v>
      </c>
      <c r="K100" s="584"/>
      <c r="L100" s="445" t="s">
        <v>557</v>
      </c>
      <c r="M100" s="613">
        <v>88</v>
      </c>
      <c r="N100" s="616">
        <f t="shared" si="1"/>
        <v>1.76</v>
      </c>
      <c r="O100" s="213">
        <v>32</v>
      </c>
      <c r="P100" s="607" t="s">
        <v>1741</v>
      </c>
      <c r="Q100" s="628" t="s">
        <v>1695</v>
      </c>
    </row>
    <row r="101" spans="1:17" s="36" customFormat="1" ht="25.5" x14ac:dyDescent="0.2">
      <c r="A101" s="605" t="s">
        <v>276</v>
      </c>
      <c r="B101" s="605" t="s">
        <v>276</v>
      </c>
      <c r="C101" s="605">
        <v>2020</v>
      </c>
      <c r="D101" s="444" t="s">
        <v>75</v>
      </c>
      <c r="E101" s="584" t="s">
        <v>362</v>
      </c>
      <c r="F101" s="584" t="s">
        <v>74</v>
      </c>
      <c r="G101" s="584" t="s">
        <v>411</v>
      </c>
      <c r="H101" s="584" t="s">
        <v>19</v>
      </c>
      <c r="I101" s="584" t="s">
        <v>551</v>
      </c>
      <c r="J101" s="584">
        <v>50</v>
      </c>
      <c r="K101" s="584"/>
      <c r="L101" s="445" t="s">
        <v>557</v>
      </c>
      <c r="M101" s="613">
        <v>90</v>
      </c>
      <c r="N101" s="616">
        <f t="shared" si="1"/>
        <v>1.8</v>
      </c>
      <c r="O101" s="213">
        <v>33</v>
      </c>
      <c r="P101" s="607" t="s">
        <v>1741</v>
      </c>
      <c r="Q101" s="628" t="s">
        <v>1695</v>
      </c>
    </row>
    <row r="102" spans="1:17" s="36" customFormat="1" ht="25.5" x14ac:dyDescent="0.2">
      <c r="A102" s="605" t="s">
        <v>276</v>
      </c>
      <c r="B102" s="605" t="s">
        <v>276</v>
      </c>
      <c r="C102" s="605">
        <v>2020</v>
      </c>
      <c r="D102" s="444" t="s">
        <v>75</v>
      </c>
      <c r="E102" s="584" t="s">
        <v>362</v>
      </c>
      <c r="F102" s="584" t="s">
        <v>74</v>
      </c>
      <c r="G102" s="584" t="s">
        <v>411</v>
      </c>
      <c r="H102" s="584" t="s">
        <v>20</v>
      </c>
      <c r="I102" s="584" t="s">
        <v>551</v>
      </c>
      <c r="J102" s="584">
        <v>50</v>
      </c>
      <c r="K102" s="584"/>
      <c r="L102" s="445" t="s">
        <v>557</v>
      </c>
      <c r="M102" s="613">
        <v>90</v>
      </c>
      <c r="N102" s="616">
        <f t="shared" si="1"/>
        <v>1.8</v>
      </c>
      <c r="O102" s="213">
        <v>33</v>
      </c>
      <c r="P102" s="607" t="s">
        <v>1741</v>
      </c>
      <c r="Q102" s="628" t="s">
        <v>1695</v>
      </c>
    </row>
    <row r="103" spans="1:17" s="36" customFormat="1" ht="25.5" x14ac:dyDescent="0.2">
      <c r="A103" s="605" t="s">
        <v>276</v>
      </c>
      <c r="B103" s="605" t="s">
        <v>276</v>
      </c>
      <c r="C103" s="605">
        <v>2020</v>
      </c>
      <c r="D103" s="444" t="s">
        <v>75</v>
      </c>
      <c r="E103" s="584" t="s">
        <v>362</v>
      </c>
      <c r="F103" s="584" t="s">
        <v>74</v>
      </c>
      <c r="G103" s="584" t="s">
        <v>411</v>
      </c>
      <c r="H103" s="584" t="s">
        <v>549</v>
      </c>
      <c r="I103" s="584" t="s">
        <v>551</v>
      </c>
      <c r="J103" s="584">
        <v>50</v>
      </c>
      <c r="K103" s="584"/>
      <c r="L103" s="445" t="s">
        <v>557</v>
      </c>
      <c r="M103" s="613">
        <v>90</v>
      </c>
      <c r="N103" s="616">
        <f t="shared" si="1"/>
        <v>1.8</v>
      </c>
      <c r="O103" s="213">
        <v>33</v>
      </c>
      <c r="P103" s="607" t="s">
        <v>1741</v>
      </c>
      <c r="Q103" s="628" t="s">
        <v>1695</v>
      </c>
    </row>
    <row r="104" spans="1:17" s="36" customFormat="1" ht="25.5" x14ac:dyDescent="0.2">
      <c r="A104" s="605" t="s">
        <v>276</v>
      </c>
      <c r="B104" s="605" t="s">
        <v>276</v>
      </c>
      <c r="C104" s="605">
        <v>2020</v>
      </c>
      <c r="D104" s="444" t="s">
        <v>75</v>
      </c>
      <c r="E104" s="584" t="s">
        <v>362</v>
      </c>
      <c r="F104" s="584" t="s">
        <v>74</v>
      </c>
      <c r="G104" s="584" t="s">
        <v>411</v>
      </c>
      <c r="H104" s="584" t="s">
        <v>550</v>
      </c>
      <c r="I104" s="584" t="s">
        <v>551</v>
      </c>
      <c r="J104" s="584">
        <v>50</v>
      </c>
      <c r="K104" s="584"/>
      <c r="L104" s="445" t="s">
        <v>557</v>
      </c>
      <c r="M104" s="613">
        <v>90</v>
      </c>
      <c r="N104" s="616">
        <f t="shared" si="1"/>
        <v>1.8</v>
      </c>
      <c r="O104" s="213">
        <v>33</v>
      </c>
      <c r="P104" s="607" t="s">
        <v>1741</v>
      </c>
      <c r="Q104" s="628" t="s">
        <v>1695</v>
      </c>
    </row>
    <row r="105" spans="1:17" s="36" customFormat="1" ht="25.5" x14ac:dyDescent="0.2">
      <c r="A105" s="605" t="s">
        <v>276</v>
      </c>
      <c r="B105" s="605" t="s">
        <v>276</v>
      </c>
      <c r="C105" s="605">
        <v>2020</v>
      </c>
      <c r="D105" s="444" t="s">
        <v>324</v>
      </c>
      <c r="E105" s="584" t="s">
        <v>362</v>
      </c>
      <c r="F105" s="584" t="s">
        <v>7</v>
      </c>
      <c r="G105" s="584" t="s">
        <v>412</v>
      </c>
      <c r="H105" s="584" t="s">
        <v>42</v>
      </c>
      <c r="I105" s="584" t="s">
        <v>548</v>
      </c>
      <c r="J105" s="584">
        <v>1000</v>
      </c>
      <c r="K105" s="584"/>
      <c r="L105" s="445" t="s">
        <v>557</v>
      </c>
      <c r="M105" s="613">
        <v>2172</v>
      </c>
      <c r="N105" s="616">
        <f t="shared" si="1"/>
        <v>2.1720000000000002</v>
      </c>
      <c r="O105" s="213">
        <v>14</v>
      </c>
      <c r="P105" s="607" t="s">
        <v>1736</v>
      </c>
      <c r="Q105" s="628" t="s">
        <v>1695</v>
      </c>
    </row>
    <row r="106" spans="1:17" s="36" customFormat="1" x14ac:dyDescent="0.2">
      <c r="A106" s="605" t="s">
        <v>276</v>
      </c>
      <c r="B106" s="605" t="s">
        <v>276</v>
      </c>
      <c r="C106" s="605">
        <v>2020</v>
      </c>
      <c r="D106" s="444" t="s">
        <v>324</v>
      </c>
      <c r="E106" s="584" t="s">
        <v>362</v>
      </c>
      <c r="F106" s="584" t="s">
        <v>7</v>
      </c>
      <c r="G106" s="584" t="s">
        <v>412</v>
      </c>
      <c r="H106" s="584" t="s">
        <v>19</v>
      </c>
      <c r="I106" s="584" t="s">
        <v>548</v>
      </c>
      <c r="J106" s="584">
        <v>0</v>
      </c>
      <c r="K106" s="584"/>
      <c r="L106" s="445" t="s">
        <v>552</v>
      </c>
      <c r="M106" s="613">
        <v>0</v>
      </c>
      <c r="N106" s="616"/>
      <c r="O106" s="213">
        <v>0</v>
      </c>
      <c r="P106" s="607"/>
      <c r="Q106" s="628" t="s">
        <v>552</v>
      </c>
    </row>
    <row r="107" spans="1:17" s="36" customFormat="1" x14ac:dyDescent="0.2">
      <c r="A107" s="605" t="s">
        <v>276</v>
      </c>
      <c r="B107" s="605" t="s">
        <v>276</v>
      </c>
      <c r="C107" s="605">
        <v>2020</v>
      </c>
      <c r="D107" s="444" t="s">
        <v>324</v>
      </c>
      <c r="E107" s="584" t="s">
        <v>362</v>
      </c>
      <c r="F107" s="584" t="s">
        <v>7</v>
      </c>
      <c r="G107" s="584" t="s">
        <v>412</v>
      </c>
      <c r="H107" s="584" t="s">
        <v>20</v>
      </c>
      <c r="I107" s="584" t="s">
        <v>548</v>
      </c>
      <c r="J107" s="584">
        <v>0</v>
      </c>
      <c r="K107" s="584"/>
      <c r="L107" s="445" t="s">
        <v>559</v>
      </c>
      <c r="M107" s="613">
        <v>0</v>
      </c>
      <c r="N107" s="616"/>
      <c r="O107" s="213">
        <v>0</v>
      </c>
      <c r="P107" s="607"/>
      <c r="Q107" s="628" t="s">
        <v>552</v>
      </c>
    </row>
    <row r="108" spans="1:17" s="36" customFormat="1" x14ac:dyDescent="0.2">
      <c r="A108" s="605" t="s">
        <v>276</v>
      </c>
      <c r="B108" s="605" t="s">
        <v>276</v>
      </c>
      <c r="C108" s="605">
        <v>2020</v>
      </c>
      <c r="D108" s="444" t="s">
        <v>324</v>
      </c>
      <c r="E108" s="584" t="s">
        <v>362</v>
      </c>
      <c r="F108" s="584" t="s">
        <v>7</v>
      </c>
      <c r="G108" s="584" t="s">
        <v>412</v>
      </c>
      <c r="H108" s="584" t="s">
        <v>549</v>
      </c>
      <c r="I108" s="584" t="s">
        <v>548</v>
      </c>
      <c r="J108" s="584">
        <v>0</v>
      </c>
      <c r="K108" s="584"/>
      <c r="L108" s="445" t="s">
        <v>559</v>
      </c>
      <c r="M108" s="613">
        <v>0</v>
      </c>
      <c r="N108" s="616"/>
      <c r="O108" s="213">
        <v>0</v>
      </c>
      <c r="P108" s="607"/>
      <c r="Q108" s="628" t="s">
        <v>552</v>
      </c>
    </row>
    <row r="109" spans="1:17" s="36" customFormat="1" x14ac:dyDescent="0.2">
      <c r="A109" s="605" t="s">
        <v>276</v>
      </c>
      <c r="B109" s="605" t="s">
        <v>276</v>
      </c>
      <c r="C109" s="605">
        <v>2020</v>
      </c>
      <c r="D109" s="444" t="s">
        <v>324</v>
      </c>
      <c r="E109" s="584" t="s">
        <v>362</v>
      </c>
      <c r="F109" s="584" t="s">
        <v>7</v>
      </c>
      <c r="G109" s="584" t="s">
        <v>412</v>
      </c>
      <c r="H109" s="584" t="s">
        <v>550</v>
      </c>
      <c r="I109" s="584" t="s">
        <v>548</v>
      </c>
      <c r="J109" s="584">
        <v>0</v>
      </c>
      <c r="K109" s="584"/>
      <c r="L109" s="445" t="s">
        <v>552</v>
      </c>
      <c r="M109" s="613">
        <v>0</v>
      </c>
      <c r="N109" s="616"/>
      <c r="O109" s="213">
        <v>0</v>
      </c>
      <c r="P109" s="607"/>
      <c r="Q109" s="628" t="s">
        <v>552</v>
      </c>
    </row>
    <row r="110" spans="1:17" s="36" customFormat="1" ht="38.25" x14ac:dyDescent="0.2">
      <c r="A110" s="605" t="s">
        <v>276</v>
      </c>
      <c r="B110" s="605" t="s">
        <v>276</v>
      </c>
      <c r="C110" s="605">
        <v>2020</v>
      </c>
      <c r="D110" s="444" t="s">
        <v>324</v>
      </c>
      <c r="E110" s="584" t="s">
        <v>362</v>
      </c>
      <c r="F110" s="584" t="s">
        <v>7</v>
      </c>
      <c r="G110" s="584" t="s">
        <v>412</v>
      </c>
      <c r="H110" s="584" t="s">
        <v>42</v>
      </c>
      <c r="I110" s="584" t="s">
        <v>551</v>
      </c>
      <c r="J110" s="584">
        <v>1000</v>
      </c>
      <c r="K110" s="584"/>
      <c r="L110" s="445" t="s">
        <v>1535</v>
      </c>
      <c r="M110" s="613">
        <v>829</v>
      </c>
      <c r="N110" s="616">
        <f t="shared" si="1"/>
        <v>0.82899999999999996</v>
      </c>
      <c r="O110" s="213">
        <v>101</v>
      </c>
      <c r="P110" s="607" t="s">
        <v>1741</v>
      </c>
      <c r="Q110" s="628" t="s">
        <v>1767</v>
      </c>
    </row>
    <row r="111" spans="1:17" s="36" customFormat="1" ht="38.25" x14ac:dyDescent="0.2">
      <c r="A111" s="605" t="s">
        <v>276</v>
      </c>
      <c r="B111" s="605" t="s">
        <v>276</v>
      </c>
      <c r="C111" s="605">
        <v>2020</v>
      </c>
      <c r="D111" s="444" t="s">
        <v>324</v>
      </c>
      <c r="E111" s="584" t="s">
        <v>362</v>
      </c>
      <c r="F111" s="584" t="s">
        <v>7</v>
      </c>
      <c r="G111" s="584" t="s">
        <v>412</v>
      </c>
      <c r="H111" s="584" t="s">
        <v>19</v>
      </c>
      <c r="I111" s="584" t="s">
        <v>551</v>
      </c>
      <c r="J111" s="584">
        <v>800</v>
      </c>
      <c r="K111" s="584"/>
      <c r="L111" s="445" t="s">
        <v>1535</v>
      </c>
      <c r="M111" s="613">
        <v>678</v>
      </c>
      <c r="N111" s="616">
        <f t="shared" si="1"/>
        <v>0.84750000000000003</v>
      </c>
      <c r="O111" s="213">
        <v>100</v>
      </c>
      <c r="P111" s="607" t="s">
        <v>1741</v>
      </c>
      <c r="Q111" s="628" t="s">
        <v>1767</v>
      </c>
    </row>
    <row r="112" spans="1:17" s="36" customFormat="1" ht="38.25" x14ac:dyDescent="0.2">
      <c r="A112" s="605" t="s">
        <v>276</v>
      </c>
      <c r="B112" s="605" t="s">
        <v>276</v>
      </c>
      <c r="C112" s="605">
        <v>2020</v>
      </c>
      <c r="D112" s="444" t="s">
        <v>324</v>
      </c>
      <c r="E112" s="584" t="s">
        <v>362</v>
      </c>
      <c r="F112" s="584" t="s">
        <v>7</v>
      </c>
      <c r="G112" s="584" t="s">
        <v>412</v>
      </c>
      <c r="H112" s="584" t="s">
        <v>20</v>
      </c>
      <c r="I112" s="584" t="s">
        <v>551</v>
      </c>
      <c r="J112" s="584">
        <v>800</v>
      </c>
      <c r="K112" s="584"/>
      <c r="L112" s="445" t="s">
        <v>1535</v>
      </c>
      <c r="M112" s="613">
        <v>678</v>
      </c>
      <c r="N112" s="616">
        <f t="shared" si="1"/>
        <v>0.84750000000000003</v>
      </c>
      <c r="O112" s="213">
        <v>100</v>
      </c>
      <c r="P112" s="607" t="s">
        <v>1741</v>
      </c>
      <c r="Q112" s="628" t="s">
        <v>1767</v>
      </c>
    </row>
    <row r="113" spans="1:17" s="36" customFormat="1" ht="38.25" x14ac:dyDescent="0.2">
      <c r="A113" s="605" t="s">
        <v>276</v>
      </c>
      <c r="B113" s="605" t="s">
        <v>276</v>
      </c>
      <c r="C113" s="605">
        <v>2020</v>
      </c>
      <c r="D113" s="444" t="s">
        <v>324</v>
      </c>
      <c r="E113" s="584" t="s">
        <v>362</v>
      </c>
      <c r="F113" s="584" t="s">
        <v>7</v>
      </c>
      <c r="G113" s="584" t="s">
        <v>412</v>
      </c>
      <c r="H113" s="584" t="s">
        <v>549</v>
      </c>
      <c r="I113" s="584" t="s">
        <v>551</v>
      </c>
      <c r="J113" s="584">
        <v>800</v>
      </c>
      <c r="K113" s="584"/>
      <c r="L113" s="445" t="s">
        <v>1535</v>
      </c>
      <c r="M113" s="613">
        <v>678</v>
      </c>
      <c r="N113" s="616">
        <f t="shared" si="1"/>
        <v>0.84750000000000003</v>
      </c>
      <c r="O113" s="213">
        <v>100</v>
      </c>
      <c r="P113" s="607" t="s">
        <v>1741</v>
      </c>
      <c r="Q113" s="628" t="s">
        <v>1767</v>
      </c>
    </row>
    <row r="114" spans="1:17" s="36" customFormat="1" ht="38.25" x14ac:dyDescent="0.2">
      <c r="A114" s="605" t="s">
        <v>276</v>
      </c>
      <c r="B114" s="605" t="s">
        <v>276</v>
      </c>
      <c r="C114" s="605">
        <v>2020</v>
      </c>
      <c r="D114" s="444" t="s">
        <v>324</v>
      </c>
      <c r="E114" s="584" t="s">
        <v>362</v>
      </c>
      <c r="F114" s="584" t="s">
        <v>7</v>
      </c>
      <c r="G114" s="584" t="s">
        <v>412</v>
      </c>
      <c r="H114" s="584" t="s">
        <v>550</v>
      </c>
      <c r="I114" s="584" t="s">
        <v>551</v>
      </c>
      <c r="J114" s="584">
        <v>800</v>
      </c>
      <c r="K114" s="584"/>
      <c r="L114" s="445" t="s">
        <v>1535</v>
      </c>
      <c r="M114" s="613">
        <v>678</v>
      </c>
      <c r="N114" s="616">
        <f t="shared" si="1"/>
        <v>0.84750000000000003</v>
      </c>
      <c r="O114" s="213">
        <v>100</v>
      </c>
      <c r="P114" s="607" t="s">
        <v>1741</v>
      </c>
      <c r="Q114" s="628" t="s">
        <v>1767</v>
      </c>
    </row>
    <row r="115" spans="1:17" s="36" customFormat="1" ht="63.75" x14ac:dyDescent="0.2">
      <c r="A115" s="605" t="s">
        <v>276</v>
      </c>
      <c r="B115" s="605" t="s">
        <v>276</v>
      </c>
      <c r="C115" s="605">
        <v>2020</v>
      </c>
      <c r="D115" s="444" t="s">
        <v>413</v>
      </c>
      <c r="E115" s="584" t="s">
        <v>362</v>
      </c>
      <c r="F115" s="584" t="s">
        <v>7</v>
      </c>
      <c r="G115" s="584" t="s">
        <v>371</v>
      </c>
      <c r="H115" s="584" t="s">
        <v>42</v>
      </c>
      <c r="I115" s="584" t="s">
        <v>548</v>
      </c>
      <c r="J115" s="584">
        <v>3000</v>
      </c>
      <c r="K115" s="584"/>
      <c r="L115" s="445"/>
      <c r="M115" s="638">
        <v>3741</v>
      </c>
      <c r="N115" s="616">
        <f t="shared" si="1"/>
        <v>1.2470000000000001</v>
      </c>
      <c r="O115" s="213">
        <v>26</v>
      </c>
      <c r="P115" s="711" t="s">
        <v>2029</v>
      </c>
      <c r="Q115" s="711" t="s">
        <v>1745</v>
      </c>
    </row>
    <row r="116" spans="1:17" s="36" customFormat="1" x14ac:dyDescent="0.2">
      <c r="A116" s="605" t="s">
        <v>276</v>
      </c>
      <c r="B116" s="605" t="s">
        <v>276</v>
      </c>
      <c r="C116" s="605">
        <v>2020</v>
      </c>
      <c r="D116" s="444" t="s">
        <v>413</v>
      </c>
      <c r="E116" s="584" t="s">
        <v>362</v>
      </c>
      <c r="F116" s="584" t="s">
        <v>7</v>
      </c>
      <c r="G116" s="584" t="s">
        <v>371</v>
      </c>
      <c r="H116" s="584" t="s">
        <v>19</v>
      </c>
      <c r="I116" s="584" t="s">
        <v>548</v>
      </c>
      <c r="J116" s="584">
        <v>0</v>
      </c>
      <c r="K116" s="584"/>
      <c r="L116" s="445" t="s">
        <v>552</v>
      </c>
      <c r="M116" s="717" t="s">
        <v>7</v>
      </c>
      <c r="N116" s="616"/>
      <c r="O116" s="718" t="s">
        <v>7</v>
      </c>
      <c r="P116" s="718" t="s">
        <v>7</v>
      </c>
      <c r="Q116" s="628" t="s">
        <v>552</v>
      </c>
    </row>
    <row r="117" spans="1:17" s="36" customFormat="1" ht="51" x14ac:dyDescent="0.2">
      <c r="A117" s="605" t="s">
        <v>276</v>
      </c>
      <c r="B117" s="605" t="s">
        <v>276</v>
      </c>
      <c r="C117" s="605">
        <v>2020</v>
      </c>
      <c r="D117" s="444" t="s">
        <v>413</v>
      </c>
      <c r="E117" s="584" t="s">
        <v>362</v>
      </c>
      <c r="F117" s="584" t="s">
        <v>7</v>
      </c>
      <c r="G117" s="584" t="s">
        <v>371</v>
      </c>
      <c r="H117" s="584" t="s">
        <v>20</v>
      </c>
      <c r="I117" s="584" t="s">
        <v>548</v>
      </c>
      <c r="J117" s="584">
        <v>1000</v>
      </c>
      <c r="K117" s="584"/>
      <c r="L117" s="445"/>
      <c r="M117" s="638">
        <v>0</v>
      </c>
      <c r="N117" s="616">
        <f t="shared" si="1"/>
        <v>0</v>
      </c>
      <c r="O117" s="213"/>
      <c r="P117" s="632" t="s">
        <v>1755</v>
      </c>
      <c r="Q117" s="628" t="s">
        <v>1692</v>
      </c>
    </row>
    <row r="118" spans="1:17" s="36" customFormat="1" ht="25.5" x14ac:dyDescent="0.2">
      <c r="A118" s="605" t="s">
        <v>276</v>
      </c>
      <c r="B118" s="605" t="s">
        <v>276</v>
      </c>
      <c r="C118" s="605">
        <v>2020</v>
      </c>
      <c r="D118" s="444" t="s">
        <v>413</v>
      </c>
      <c r="E118" s="584" t="s">
        <v>362</v>
      </c>
      <c r="F118" s="584" t="s">
        <v>7</v>
      </c>
      <c r="G118" s="584" t="s">
        <v>371</v>
      </c>
      <c r="H118" s="584" t="s">
        <v>549</v>
      </c>
      <c r="I118" s="584" t="s">
        <v>548</v>
      </c>
      <c r="J118" s="584">
        <v>3000</v>
      </c>
      <c r="K118" s="584"/>
      <c r="L118" s="445"/>
      <c r="M118" s="638">
        <v>3741</v>
      </c>
      <c r="N118" s="616">
        <f t="shared" si="1"/>
        <v>1.2470000000000001</v>
      </c>
      <c r="O118" s="213">
        <v>26</v>
      </c>
      <c r="P118" s="632" t="s">
        <v>1755</v>
      </c>
      <c r="Q118" s="628"/>
    </row>
    <row r="119" spans="1:17" s="36" customFormat="1" x14ac:dyDescent="0.2">
      <c r="A119" s="605" t="s">
        <v>276</v>
      </c>
      <c r="B119" s="605" t="s">
        <v>276</v>
      </c>
      <c r="C119" s="605">
        <v>2020</v>
      </c>
      <c r="D119" s="444" t="s">
        <v>413</v>
      </c>
      <c r="E119" s="584" t="s">
        <v>362</v>
      </c>
      <c r="F119" s="584" t="s">
        <v>7</v>
      </c>
      <c r="G119" s="584" t="s">
        <v>371</v>
      </c>
      <c r="H119" s="584" t="s">
        <v>550</v>
      </c>
      <c r="I119" s="584" t="s">
        <v>548</v>
      </c>
      <c r="J119" s="584">
        <v>0</v>
      </c>
      <c r="K119" s="584"/>
      <c r="L119" s="445" t="s">
        <v>552</v>
      </c>
      <c r="M119" s="717" t="s">
        <v>7</v>
      </c>
      <c r="N119" s="616"/>
      <c r="O119" s="718" t="s">
        <v>7</v>
      </c>
      <c r="P119" s="718" t="s">
        <v>7</v>
      </c>
      <c r="Q119" s="628" t="s">
        <v>552</v>
      </c>
    </row>
    <row r="120" spans="1:17" s="36" customFormat="1" ht="38.25" x14ac:dyDescent="0.2">
      <c r="A120" s="605" t="s">
        <v>276</v>
      </c>
      <c r="B120" s="605" t="s">
        <v>276</v>
      </c>
      <c r="C120" s="605">
        <v>2020</v>
      </c>
      <c r="D120" s="444" t="s">
        <v>327</v>
      </c>
      <c r="E120" s="584" t="s">
        <v>362</v>
      </c>
      <c r="F120" s="584" t="s">
        <v>74</v>
      </c>
      <c r="G120" s="584" t="s">
        <v>419</v>
      </c>
      <c r="H120" s="584" t="s">
        <v>42</v>
      </c>
      <c r="I120" s="584" t="s">
        <v>548</v>
      </c>
      <c r="J120" s="584">
        <v>10000</v>
      </c>
      <c r="K120" s="584"/>
      <c r="L120" s="445" t="s">
        <v>1537</v>
      </c>
      <c r="M120" s="613">
        <v>3872</v>
      </c>
      <c r="N120" s="616">
        <f t="shared" si="1"/>
        <v>0.38719999999999999</v>
      </c>
      <c r="O120" s="213">
        <v>108</v>
      </c>
      <c r="P120" s="607" t="s">
        <v>1736</v>
      </c>
      <c r="Q120" s="628" t="s">
        <v>1699</v>
      </c>
    </row>
    <row r="121" spans="1:17" s="36" customFormat="1" x14ac:dyDescent="0.2">
      <c r="A121" s="605" t="s">
        <v>276</v>
      </c>
      <c r="B121" s="605" t="s">
        <v>276</v>
      </c>
      <c r="C121" s="605">
        <v>2020</v>
      </c>
      <c r="D121" s="444" t="s">
        <v>327</v>
      </c>
      <c r="E121" s="584" t="s">
        <v>362</v>
      </c>
      <c r="F121" s="584" t="s">
        <v>74</v>
      </c>
      <c r="G121" s="584" t="s">
        <v>419</v>
      </c>
      <c r="H121" s="584" t="s">
        <v>19</v>
      </c>
      <c r="I121" s="584" t="s">
        <v>548</v>
      </c>
      <c r="J121" s="584">
        <v>1000</v>
      </c>
      <c r="K121" s="584"/>
      <c r="L121" s="445" t="s">
        <v>561</v>
      </c>
      <c r="M121" s="613">
        <v>1188</v>
      </c>
      <c r="N121" s="616">
        <f t="shared" si="1"/>
        <v>1.1879999999999999</v>
      </c>
      <c r="O121" s="213">
        <v>31</v>
      </c>
      <c r="P121" s="607" t="s">
        <v>1753</v>
      </c>
      <c r="Q121" s="628"/>
    </row>
    <row r="122" spans="1:17" s="36" customFormat="1" x14ac:dyDescent="0.2">
      <c r="A122" s="605" t="s">
        <v>276</v>
      </c>
      <c r="B122" s="605" t="s">
        <v>276</v>
      </c>
      <c r="C122" s="605">
        <v>2020</v>
      </c>
      <c r="D122" s="444" t="s">
        <v>327</v>
      </c>
      <c r="E122" s="584" t="s">
        <v>362</v>
      </c>
      <c r="F122" s="584" t="s">
        <v>74</v>
      </c>
      <c r="G122" s="584" t="s">
        <v>419</v>
      </c>
      <c r="H122" s="584" t="s">
        <v>20</v>
      </c>
      <c r="I122" s="584" t="s">
        <v>548</v>
      </c>
      <c r="J122" s="584">
        <v>1000</v>
      </c>
      <c r="K122" s="584"/>
      <c r="L122" s="445" t="s">
        <v>561</v>
      </c>
      <c r="M122" s="613">
        <v>1188</v>
      </c>
      <c r="N122" s="616">
        <f t="shared" si="1"/>
        <v>1.1879999999999999</v>
      </c>
      <c r="O122" s="213">
        <v>31</v>
      </c>
      <c r="P122" s="607" t="s">
        <v>1753</v>
      </c>
      <c r="Q122" s="628"/>
    </row>
    <row r="123" spans="1:17" s="36" customFormat="1" ht="25.5" x14ac:dyDescent="0.2">
      <c r="A123" s="605" t="s">
        <v>276</v>
      </c>
      <c r="B123" s="605" t="s">
        <v>276</v>
      </c>
      <c r="C123" s="605">
        <v>2020</v>
      </c>
      <c r="D123" s="444" t="s">
        <v>327</v>
      </c>
      <c r="E123" s="584" t="s">
        <v>362</v>
      </c>
      <c r="F123" s="584" t="s">
        <v>74</v>
      </c>
      <c r="G123" s="584" t="s">
        <v>419</v>
      </c>
      <c r="H123" s="584" t="s">
        <v>549</v>
      </c>
      <c r="I123" s="584" t="s">
        <v>548</v>
      </c>
      <c r="J123" s="584">
        <v>750</v>
      </c>
      <c r="K123" s="584"/>
      <c r="L123" s="445" t="s">
        <v>561</v>
      </c>
      <c r="M123" s="613">
        <v>1188</v>
      </c>
      <c r="N123" s="616">
        <f t="shared" si="1"/>
        <v>1.5840000000000001</v>
      </c>
      <c r="O123" s="213">
        <v>31</v>
      </c>
      <c r="P123" s="607" t="s">
        <v>1753</v>
      </c>
      <c r="Q123" s="628" t="s">
        <v>1695</v>
      </c>
    </row>
    <row r="124" spans="1:17" s="36" customFormat="1" x14ac:dyDescent="0.2">
      <c r="A124" s="605" t="s">
        <v>276</v>
      </c>
      <c r="B124" s="605" t="s">
        <v>276</v>
      </c>
      <c r="C124" s="605">
        <v>2020</v>
      </c>
      <c r="D124" s="444" t="s">
        <v>327</v>
      </c>
      <c r="E124" s="584" t="s">
        <v>362</v>
      </c>
      <c r="F124" s="584" t="s">
        <v>74</v>
      </c>
      <c r="G124" s="584" t="s">
        <v>419</v>
      </c>
      <c r="H124" s="584" t="s">
        <v>550</v>
      </c>
      <c r="I124" s="584" t="s">
        <v>548</v>
      </c>
      <c r="J124" s="584">
        <v>0</v>
      </c>
      <c r="K124" s="584"/>
      <c r="L124" s="445" t="s">
        <v>559</v>
      </c>
      <c r="M124" s="613">
        <v>62</v>
      </c>
      <c r="N124" s="616"/>
      <c r="O124" s="213">
        <v>1</v>
      </c>
      <c r="P124" s="607" t="s">
        <v>1753</v>
      </c>
      <c r="Q124" s="628" t="s">
        <v>552</v>
      </c>
    </row>
    <row r="125" spans="1:17" s="36" customFormat="1" x14ac:dyDescent="0.2">
      <c r="A125" s="605" t="s">
        <v>276</v>
      </c>
      <c r="B125" s="605" t="s">
        <v>276</v>
      </c>
      <c r="C125" s="605">
        <v>2020</v>
      </c>
      <c r="D125" s="444" t="s">
        <v>327</v>
      </c>
      <c r="E125" s="584" t="s">
        <v>362</v>
      </c>
      <c r="F125" s="584" t="s">
        <v>74</v>
      </c>
      <c r="G125" s="584" t="s">
        <v>419</v>
      </c>
      <c r="H125" s="584" t="s">
        <v>42</v>
      </c>
      <c r="I125" s="584" t="s">
        <v>551</v>
      </c>
      <c r="J125" s="584">
        <v>500</v>
      </c>
      <c r="K125" s="584"/>
      <c r="L125" s="445" t="s">
        <v>1700</v>
      </c>
      <c r="M125" s="613">
        <v>649</v>
      </c>
      <c r="N125" s="616">
        <f t="shared" si="1"/>
        <v>1.298</v>
      </c>
      <c r="O125" s="213">
        <v>37</v>
      </c>
      <c r="P125" s="607" t="s">
        <v>1741</v>
      </c>
      <c r="Q125" s="628"/>
    </row>
    <row r="126" spans="1:17" s="36" customFormat="1" x14ac:dyDescent="0.2">
      <c r="A126" s="605" t="s">
        <v>276</v>
      </c>
      <c r="B126" s="605" t="s">
        <v>276</v>
      </c>
      <c r="C126" s="605">
        <v>2020</v>
      </c>
      <c r="D126" s="444" t="s">
        <v>327</v>
      </c>
      <c r="E126" s="584" t="s">
        <v>362</v>
      </c>
      <c r="F126" s="584" t="s">
        <v>74</v>
      </c>
      <c r="G126" s="584" t="s">
        <v>419</v>
      </c>
      <c r="H126" s="584" t="s">
        <v>19</v>
      </c>
      <c r="I126" s="584" t="s">
        <v>551</v>
      </c>
      <c r="J126" s="584">
        <v>400</v>
      </c>
      <c r="K126" s="584"/>
      <c r="L126" s="445" t="s">
        <v>1700</v>
      </c>
      <c r="M126" s="613">
        <v>364</v>
      </c>
      <c r="N126" s="616">
        <f t="shared" si="1"/>
        <v>0.91</v>
      </c>
      <c r="O126" s="213">
        <v>37</v>
      </c>
      <c r="P126" s="607" t="s">
        <v>1741</v>
      </c>
      <c r="Q126" s="628"/>
    </row>
    <row r="127" spans="1:17" s="36" customFormat="1" x14ac:dyDescent="0.2">
      <c r="A127" s="605" t="s">
        <v>276</v>
      </c>
      <c r="B127" s="605" t="s">
        <v>276</v>
      </c>
      <c r="C127" s="605">
        <v>2020</v>
      </c>
      <c r="D127" s="444" t="s">
        <v>327</v>
      </c>
      <c r="E127" s="584" t="s">
        <v>362</v>
      </c>
      <c r="F127" s="584" t="s">
        <v>74</v>
      </c>
      <c r="G127" s="584" t="s">
        <v>419</v>
      </c>
      <c r="H127" s="584" t="s">
        <v>20</v>
      </c>
      <c r="I127" s="584" t="s">
        <v>551</v>
      </c>
      <c r="J127" s="584">
        <v>400</v>
      </c>
      <c r="K127" s="584"/>
      <c r="L127" s="445" t="s">
        <v>1700</v>
      </c>
      <c r="M127" s="613">
        <v>364</v>
      </c>
      <c r="N127" s="616">
        <f t="shared" si="1"/>
        <v>0.91</v>
      </c>
      <c r="O127" s="213">
        <v>37</v>
      </c>
      <c r="P127" s="607" t="s">
        <v>1741</v>
      </c>
      <c r="Q127" s="628"/>
    </row>
    <row r="128" spans="1:17" s="36" customFormat="1" x14ac:dyDescent="0.2">
      <c r="A128" s="605" t="s">
        <v>276</v>
      </c>
      <c r="B128" s="605" t="s">
        <v>276</v>
      </c>
      <c r="C128" s="605">
        <v>2020</v>
      </c>
      <c r="D128" s="444" t="s">
        <v>327</v>
      </c>
      <c r="E128" s="584" t="s">
        <v>362</v>
      </c>
      <c r="F128" s="584" t="s">
        <v>74</v>
      </c>
      <c r="G128" s="584" t="s">
        <v>419</v>
      </c>
      <c r="H128" s="584" t="s">
        <v>549</v>
      </c>
      <c r="I128" s="584" t="s">
        <v>551</v>
      </c>
      <c r="J128" s="584">
        <v>400</v>
      </c>
      <c r="K128" s="584"/>
      <c r="L128" s="445" t="s">
        <v>1700</v>
      </c>
      <c r="M128" s="613">
        <v>364</v>
      </c>
      <c r="N128" s="616">
        <f t="shared" si="1"/>
        <v>0.91</v>
      </c>
      <c r="O128" s="213">
        <v>37</v>
      </c>
      <c r="P128" s="607" t="s">
        <v>1741</v>
      </c>
      <c r="Q128" s="628"/>
    </row>
    <row r="129" spans="1:17" s="36" customFormat="1" x14ac:dyDescent="0.2">
      <c r="A129" s="605" t="s">
        <v>276</v>
      </c>
      <c r="B129" s="605" t="s">
        <v>276</v>
      </c>
      <c r="C129" s="605">
        <v>2020</v>
      </c>
      <c r="D129" s="444" t="s">
        <v>327</v>
      </c>
      <c r="E129" s="584" t="s">
        <v>362</v>
      </c>
      <c r="F129" s="584" t="s">
        <v>74</v>
      </c>
      <c r="G129" s="584" t="s">
        <v>419</v>
      </c>
      <c r="H129" s="584" t="s">
        <v>550</v>
      </c>
      <c r="I129" s="584" t="s">
        <v>551</v>
      </c>
      <c r="J129" s="584">
        <v>400</v>
      </c>
      <c r="K129" s="584"/>
      <c r="L129" s="445" t="s">
        <v>1700</v>
      </c>
      <c r="M129" s="613">
        <v>364</v>
      </c>
      <c r="N129" s="616">
        <f t="shared" si="1"/>
        <v>0.91</v>
      </c>
      <c r="O129" s="213">
        <v>37</v>
      </c>
      <c r="P129" s="607" t="s">
        <v>1741</v>
      </c>
      <c r="Q129" s="628"/>
    </row>
    <row r="130" spans="1:17" s="36" customFormat="1" x14ac:dyDescent="0.2">
      <c r="A130" s="605" t="s">
        <v>276</v>
      </c>
      <c r="B130" s="605" t="s">
        <v>276</v>
      </c>
      <c r="C130" s="605">
        <v>2020</v>
      </c>
      <c r="D130" s="444" t="s">
        <v>327</v>
      </c>
      <c r="E130" s="584" t="s">
        <v>362</v>
      </c>
      <c r="F130" s="584" t="s">
        <v>74</v>
      </c>
      <c r="G130" s="584" t="s">
        <v>420</v>
      </c>
      <c r="H130" s="584" t="s">
        <v>42</v>
      </c>
      <c r="I130" s="584" t="s">
        <v>548</v>
      </c>
      <c r="J130" s="584">
        <v>10000</v>
      </c>
      <c r="K130" s="584"/>
      <c r="L130" s="445" t="s">
        <v>1537</v>
      </c>
      <c r="M130" s="613">
        <v>10187</v>
      </c>
      <c r="N130" s="616">
        <f t="shared" si="1"/>
        <v>1.0186999999999999</v>
      </c>
      <c r="O130" s="213">
        <v>224</v>
      </c>
      <c r="P130" s="607" t="s">
        <v>1736</v>
      </c>
      <c r="Q130" s="628"/>
    </row>
    <row r="131" spans="1:17" s="36" customFormat="1" ht="25.5" x14ac:dyDescent="0.2">
      <c r="A131" s="605" t="s">
        <v>276</v>
      </c>
      <c r="B131" s="605" t="s">
        <v>276</v>
      </c>
      <c r="C131" s="605">
        <v>2020</v>
      </c>
      <c r="D131" s="444" t="s">
        <v>327</v>
      </c>
      <c r="E131" s="584" t="s">
        <v>362</v>
      </c>
      <c r="F131" s="584" t="s">
        <v>74</v>
      </c>
      <c r="G131" s="584" t="s">
        <v>420</v>
      </c>
      <c r="H131" s="584" t="s">
        <v>19</v>
      </c>
      <c r="I131" s="584" t="s">
        <v>548</v>
      </c>
      <c r="J131" s="584">
        <v>1000</v>
      </c>
      <c r="K131" s="584"/>
      <c r="L131" s="445" t="s">
        <v>561</v>
      </c>
      <c r="M131" s="613">
        <v>2192</v>
      </c>
      <c r="N131" s="616">
        <f t="shared" si="1"/>
        <v>2.1920000000000002</v>
      </c>
      <c r="O131" s="213">
        <v>77</v>
      </c>
      <c r="P131" s="607" t="s">
        <v>1753</v>
      </c>
      <c r="Q131" s="628" t="s">
        <v>1695</v>
      </c>
    </row>
    <row r="132" spans="1:17" s="36" customFormat="1" ht="25.5" x14ac:dyDescent="0.2">
      <c r="A132" s="605" t="s">
        <v>276</v>
      </c>
      <c r="B132" s="605" t="s">
        <v>276</v>
      </c>
      <c r="C132" s="605">
        <v>2020</v>
      </c>
      <c r="D132" s="444" t="s">
        <v>327</v>
      </c>
      <c r="E132" s="584" t="s">
        <v>362</v>
      </c>
      <c r="F132" s="584" t="s">
        <v>74</v>
      </c>
      <c r="G132" s="584" t="s">
        <v>420</v>
      </c>
      <c r="H132" s="584" t="s">
        <v>20</v>
      </c>
      <c r="I132" s="584" t="s">
        <v>548</v>
      </c>
      <c r="J132" s="584">
        <v>1000</v>
      </c>
      <c r="K132" s="584"/>
      <c r="L132" s="445" t="s">
        <v>561</v>
      </c>
      <c r="M132" s="613">
        <v>2192</v>
      </c>
      <c r="N132" s="616">
        <f t="shared" si="1"/>
        <v>2.1920000000000002</v>
      </c>
      <c r="O132" s="213">
        <v>77</v>
      </c>
      <c r="P132" s="607" t="s">
        <v>1753</v>
      </c>
      <c r="Q132" s="628" t="s">
        <v>1695</v>
      </c>
    </row>
    <row r="133" spans="1:17" s="36" customFormat="1" ht="25.5" x14ac:dyDescent="0.2">
      <c r="A133" s="605" t="s">
        <v>276</v>
      </c>
      <c r="B133" s="605" t="s">
        <v>276</v>
      </c>
      <c r="C133" s="605">
        <v>2020</v>
      </c>
      <c r="D133" s="444" t="s">
        <v>327</v>
      </c>
      <c r="E133" s="584" t="s">
        <v>362</v>
      </c>
      <c r="F133" s="584" t="s">
        <v>74</v>
      </c>
      <c r="G133" s="584" t="s">
        <v>420</v>
      </c>
      <c r="H133" s="584" t="s">
        <v>549</v>
      </c>
      <c r="I133" s="584" t="s">
        <v>548</v>
      </c>
      <c r="J133" s="584">
        <v>750</v>
      </c>
      <c r="K133" s="584"/>
      <c r="L133" s="445" t="s">
        <v>561</v>
      </c>
      <c r="M133" s="613">
        <v>1871</v>
      </c>
      <c r="N133" s="616">
        <f t="shared" si="1"/>
        <v>2.4946666666666668</v>
      </c>
      <c r="O133" s="213">
        <v>66</v>
      </c>
      <c r="P133" s="607" t="s">
        <v>1753</v>
      </c>
      <c r="Q133" s="628" t="s">
        <v>1695</v>
      </c>
    </row>
    <row r="134" spans="1:17" s="36" customFormat="1" ht="51" x14ac:dyDescent="0.2">
      <c r="A134" s="605" t="s">
        <v>276</v>
      </c>
      <c r="B134" s="605" t="s">
        <v>276</v>
      </c>
      <c r="C134" s="605">
        <v>2020</v>
      </c>
      <c r="D134" s="444" t="s">
        <v>327</v>
      </c>
      <c r="E134" s="584" t="s">
        <v>362</v>
      </c>
      <c r="F134" s="584" t="s">
        <v>74</v>
      </c>
      <c r="G134" s="584" t="s">
        <v>420</v>
      </c>
      <c r="H134" s="584" t="s">
        <v>550</v>
      </c>
      <c r="I134" s="584" t="s">
        <v>548</v>
      </c>
      <c r="J134" s="584">
        <v>500</v>
      </c>
      <c r="K134" s="584"/>
      <c r="L134" s="445" t="s">
        <v>561</v>
      </c>
      <c r="M134" s="613">
        <v>58</v>
      </c>
      <c r="N134" s="616">
        <f t="shared" ref="N134:N197" si="2">M134/J134</f>
        <v>0.11600000000000001</v>
      </c>
      <c r="O134" s="213">
        <v>3</v>
      </c>
      <c r="P134" s="607" t="s">
        <v>1753</v>
      </c>
      <c r="Q134" s="628" t="s">
        <v>1794</v>
      </c>
    </row>
    <row r="135" spans="1:17" s="36" customFormat="1" x14ac:dyDescent="0.2">
      <c r="A135" s="605" t="s">
        <v>276</v>
      </c>
      <c r="B135" s="605" t="s">
        <v>276</v>
      </c>
      <c r="C135" s="605">
        <v>2020</v>
      </c>
      <c r="D135" s="444" t="s">
        <v>327</v>
      </c>
      <c r="E135" s="584" t="s">
        <v>362</v>
      </c>
      <c r="F135" s="584" t="s">
        <v>74</v>
      </c>
      <c r="G135" s="584" t="s">
        <v>420</v>
      </c>
      <c r="H135" s="584" t="s">
        <v>42</v>
      </c>
      <c r="I135" s="584" t="s">
        <v>551</v>
      </c>
      <c r="J135" s="584">
        <v>8000</v>
      </c>
      <c r="K135" s="584"/>
      <c r="L135" s="445" t="s">
        <v>1700</v>
      </c>
      <c r="M135" s="613">
        <v>2778</v>
      </c>
      <c r="N135" s="616">
        <f t="shared" si="2"/>
        <v>0.34725</v>
      </c>
      <c r="O135" s="213">
        <v>142</v>
      </c>
      <c r="P135" s="607" t="s">
        <v>1741</v>
      </c>
      <c r="Q135" s="628" t="s">
        <v>1701</v>
      </c>
    </row>
    <row r="136" spans="1:17" s="36" customFormat="1" x14ac:dyDescent="0.2">
      <c r="A136" s="605" t="s">
        <v>276</v>
      </c>
      <c r="B136" s="605" t="s">
        <v>276</v>
      </c>
      <c r="C136" s="605">
        <v>2020</v>
      </c>
      <c r="D136" s="444" t="s">
        <v>327</v>
      </c>
      <c r="E136" s="584" t="s">
        <v>362</v>
      </c>
      <c r="F136" s="584" t="s">
        <v>74</v>
      </c>
      <c r="G136" s="584" t="s">
        <v>420</v>
      </c>
      <c r="H136" s="584" t="s">
        <v>19</v>
      </c>
      <c r="I136" s="584" t="s">
        <v>551</v>
      </c>
      <c r="J136" s="584">
        <v>3000</v>
      </c>
      <c r="K136" s="584"/>
      <c r="L136" s="445" t="s">
        <v>1700</v>
      </c>
      <c r="M136" s="613">
        <v>1849</v>
      </c>
      <c r="N136" s="616">
        <f t="shared" si="2"/>
        <v>0.61633333333333329</v>
      </c>
      <c r="O136" s="213">
        <v>143</v>
      </c>
      <c r="P136" s="607" t="s">
        <v>1741</v>
      </c>
      <c r="Q136" s="628" t="s">
        <v>1701</v>
      </c>
    </row>
    <row r="137" spans="1:17" s="36" customFormat="1" x14ac:dyDescent="0.2">
      <c r="A137" s="605" t="s">
        <v>276</v>
      </c>
      <c r="B137" s="605" t="s">
        <v>276</v>
      </c>
      <c r="C137" s="605">
        <v>2020</v>
      </c>
      <c r="D137" s="444" t="s">
        <v>327</v>
      </c>
      <c r="E137" s="584" t="s">
        <v>362</v>
      </c>
      <c r="F137" s="584" t="s">
        <v>74</v>
      </c>
      <c r="G137" s="584" t="s">
        <v>420</v>
      </c>
      <c r="H137" s="584" t="s">
        <v>20</v>
      </c>
      <c r="I137" s="584" t="s">
        <v>551</v>
      </c>
      <c r="J137" s="584">
        <v>3000</v>
      </c>
      <c r="K137" s="584"/>
      <c r="L137" s="445" t="s">
        <v>1700</v>
      </c>
      <c r="M137" s="613">
        <v>1849</v>
      </c>
      <c r="N137" s="616">
        <f t="shared" si="2"/>
        <v>0.61633333333333329</v>
      </c>
      <c r="O137" s="213">
        <v>143</v>
      </c>
      <c r="P137" s="607" t="s">
        <v>1741</v>
      </c>
      <c r="Q137" s="628" t="s">
        <v>1701</v>
      </c>
    </row>
    <row r="138" spans="1:17" s="36" customFormat="1" x14ac:dyDescent="0.2">
      <c r="A138" s="605" t="s">
        <v>276</v>
      </c>
      <c r="B138" s="605" t="s">
        <v>276</v>
      </c>
      <c r="C138" s="605">
        <v>2020</v>
      </c>
      <c r="D138" s="444" t="s">
        <v>327</v>
      </c>
      <c r="E138" s="584" t="s">
        <v>362</v>
      </c>
      <c r="F138" s="584" t="s">
        <v>74</v>
      </c>
      <c r="G138" s="584" t="s">
        <v>420</v>
      </c>
      <c r="H138" s="584" t="s">
        <v>549</v>
      </c>
      <c r="I138" s="584" t="s">
        <v>551</v>
      </c>
      <c r="J138" s="584">
        <v>3000</v>
      </c>
      <c r="K138" s="584"/>
      <c r="L138" s="445" t="s">
        <v>1700</v>
      </c>
      <c r="M138" s="613">
        <v>1849</v>
      </c>
      <c r="N138" s="616">
        <f t="shared" si="2"/>
        <v>0.61633333333333329</v>
      </c>
      <c r="O138" s="213">
        <v>143</v>
      </c>
      <c r="P138" s="607" t="s">
        <v>1741</v>
      </c>
      <c r="Q138" s="628" t="s">
        <v>1701</v>
      </c>
    </row>
    <row r="139" spans="1:17" s="36" customFormat="1" x14ac:dyDescent="0.2">
      <c r="A139" s="605" t="s">
        <v>276</v>
      </c>
      <c r="B139" s="605" t="s">
        <v>276</v>
      </c>
      <c r="C139" s="605">
        <v>2020</v>
      </c>
      <c r="D139" s="444" t="s">
        <v>327</v>
      </c>
      <c r="E139" s="584" t="s">
        <v>362</v>
      </c>
      <c r="F139" s="584" t="s">
        <v>74</v>
      </c>
      <c r="G139" s="584" t="s">
        <v>420</v>
      </c>
      <c r="H139" s="584" t="s">
        <v>550</v>
      </c>
      <c r="I139" s="584" t="s">
        <v>551</v>
      </c>
      <c r="J139" s="584">
        <v>3000</v>
      </c>
      <c r="K139" s="584"/>
      <c r="L139" s="445" t="s">
        <v>1700</v>
      </c>
      <c r="M139" s="613">
        <v>1849</v>
      </c>
      <c r="N139" s="616">
        <f t="shared" si="2"/>
        <v>0.61633333333333329</v>
      </c>
      <c r="O139" s="213">
        <v>143</v>
      </c>
      <c r="P139" s="607" t="s">
        <v>1741</v>
      </c>
      <c r="Q139" s="628" t="s">
        <v>1701</v>
      </c>
    </row>
    <row r="140" spans="1:17" s="36" customFormat="1" ht="76.5" x14ac:dyDescent="0.2">
      <c r="A140" s="698" t="s">
        <v>276</v>
      </c>
      <c r="B140" s="698" t="s">
        <v>276</v>
      </c>
      <c r="C140" s="698">
        <v>2020</v>
      </c>
      <c r="D140" s="444" t="s">
        <v>424</v>
      </c>
      <c r="E140" s="584" t="s">
        <v>362</v>
      </c>
      <c r="F140" s="584" t="s">
        <v>74</v>
      </c>
      <c r="G140" s="584" t="s">
        <v>426</v>
      </c>
      <c r="H140" s="584" t="s">
        <v>42</v>
      </c>
      <c r="I140" s="584" t="s">
        <v>548</v>
      </c>
      <c r="J140" s="584">
        <v>2500</v>
      </c>
      <c r="K140" s="584"/>
      <c r="L140" s="697"/>
      <c r="M140" s="613">
        <v>0</v>
      </c>
      <c r="N140" s="616">
        <f t="shared" si="2"/>
        <v>0</v>
      </c>
      <c r="O140" s="213">
        <v>0</v>
      </c>
      <c r="P140" s="310" t="s">
        <v>1736</v>
      </c>
      <c r="Q140" s="628" t="s">
        <v>1768</v>
      </c>
    </row>
    <row r="141" spans="1:17" s="36" customFormat="1" x14ac:dyDescent="0.2">
      <c r="A141" s="605" t="s">
        <v>276</v>
      </c>
      <c r="B141" s="605" t="s">
        <v>276</v>
      </c>
      <c r="C141" s="605">
        <v>2020</v>
      </c>
      <c r="D141" s="444" t="s">
        <v>424</v>
      </c>
      <c r="E141" s="584" t="s">
        <v>362</v>
      </c>
      <c r="F141" s="584" t="s">
        <v>74</v>
      </c>
      <c r="G141" s="584" t="s">
        <v>426</v>
      </c>
      <c r="H141" s="584" t="s">
        <v>19</v>
      </c>
      <c r="I141" s="584" t="s">
        <v>548</v>
      </c>
      <c r="J141" s="584">
        <v>0</v>
      </c>
      <c r="K141" s="584"/>
      <c r="L141" s="445"/>
      <c r="M141" s="613">
        <v>0</v>
      </c>
      <c r="N141" s="616"/>
      <c r="O141" s="213">
        <v>0</v>
      </c>
      <c r="P141" s="607"/>
      <c r="Q141" s="628" t="s">
        <v>552</v>
      </c>
    </row>
    <row r="142" spans="1:17" s="36" customFormat="1" x14ac:dyDescent="0.2">
      <c r="A142" s="605" t="s">
        <v>276</v>
      </c>
      <c r="B142" s="605" t="s">
        <v>276</v>
      </c>
      <c r="C142" s="605">
        <v>2020</v>
      </c>
      <c r="D142" s="444" t="s">
        <v>424</v>
      </c>
      <c r="E142" s="584" t="s">
        <v>362</v>
      </c>
      <c r="F142" s="584" t="s">
        <v>74</v>
      </c>
      <c r="G142" s="584" t="s">
        <v>426</v>
      </c>
      <c r="H142" s="584" t="s">
        <v>20</v>
      </c>
      <c r="I142" s="584" t="s">
        <v>548</v>
      </c>
      <c r="J142" s="584">
        <v>0</v>
      </c>
      <c r="K142" s="584"/>
      <c r="L142" s="445"/>
      <c r="M142" s="613">
        <v>0</v>
      </c>
      <c r="N142" s="616"/>
      <c r="O142" s="213">
        <v>0</v>
      </c>
      <c r="P142" s="607"/>
      <c r="Q142" s="628" t="s">
        <v>552</v>
      </c>
    </row>
    <row r="143" spans="1:17" s="36" customFormat="1" x14ac:dyDescent="0.2">
      <c r="A143" s="605" t="s">
        <v>276</v>
      </c>
      <c r="B143" s="605" t="s">
        <v>276</v>
      </c>
      <c r="C143" s="605">
        <v>2020</v>
      </c>
      <c r="D143" s="444" t="s">
        <v>424</v>
      </c>
      <c r="E143" s="584" t="s">
        <v>362</v>
      </c>
      <c r="F143" s="584" t="s">
        <v>74</v>
      </c>
      <c r="G143" s="584" t="s">
        <v>426</v>
      </c>
      <c r="H143" s="584" t="s">
        <v>549</v>
      </c>
      <c r="I143" s="584" t="s">
        <v>548</v>
      </c>
      <c r="J143" s="584">
        <v>0</v>
      </c>
      <c r="K143" s="584"/>
      <c r="L143" s="445"/>
      <c r="M143" s="613">
        <v>0</v>
      </c>
      <c r="N143" s="616"/>
      <c r="O143" s="213">
        <v>0</v>
      </c>
      <c r="P143" s="607"/>
      <c r="Q143" s="628" t="s">
        <v>552</v>
      </c>
    </row>
    <row r="144" spans="1:17" s="36" customFormat="1" x14ac:dyDescent="0.2">
      <c r="A144" s="605" t="s">
        <v>276</v>
      </c>
      <c r="B144" s="605" t="s">
        <v>276</v>
      </c>
      <c r="C144" s="605">
        <v>2020</v>
      </c>
      <c r="D144" s="444" t="s">
        <v>424</v>
      </c>
      <c r="E144" s="584" t="s">
        <v>362</v>
      </c>
      <c r="F144" s="584" t="s">
        <v>74</v>
      </c>
      <c r="G144" s="584" t="s">
        <v>426</v>
      </c>
      <c r="H144" s="584" t="s">
        <v>550</v>
      </c>
      <c r="I144" s="584" t="s">
        <v>548</v>
      </c>
      <c r="J144" s="584">
        <v>0</v>
      </c>
      <c r="K144" s="584"/>
      <c r="L144" s="445"/>
      <c r="M144" s="613">
        <v>0</v>
      </c>
      <c r="N144" s="616"/>
      <c r="O144" s="213">
        <v>0</v>
      </c>
      <c r="P144" s="607"/>
      <c r="Q144" s="628" t="s">
        <v>552</v>
      </c>
    </row>
    <row r="145" spans="1:17" s="36" customFormat="1" x14ac:dyDescent="0.2">
      <c r="A145" s="605" t="s">
        <v>276</v>
      </c>
      <c r="B145" s="605" t="s">
        <v>276</v>
      </c>
      <c r="C145" s="605">
        <v>2020</v>
      </c>
      <c r="D145" s="444" t="s">
        <v>424</v>
      </c>
      <c r="E145" s="584" t="s">
        <v>362</v>
      </c>
      <c r="F145" s="584" t="s">
        <v>74</v>
      </c>
      <c r="G145" s="584" t="s">
        <v>426</v>
      </c>
      <c r="H145" s="584" t="s">
        <v>42</v>
      </c>
      <c r="I145" s="584" t="s">
        <v>551</v>
      </c>
      <c r="J145" s="584">
        <v>2000</v>
      </c>
      <c r="K145" s="584"/>
      <c r="L145" s="445" t="s">
        <v>560</v>
      </c>
      <c r="M145" s="613">
        <v>724</v>
      </c>
      <c r="N145" s="616">
        <f t="shared" si="2"/>
        <v>0.36199999999999999</v>
      </c>
      <c r="O145" s="213">
        <v>23</v>
      </c>
      <c r="P145" s="607" t="s">
        <v>1741</v>
      </c>
      <c r="Q145" s="628" t="s">
        <v>1701</v>
      </c>
    </row>
    <row r="146" spans="1:17" s="36" customFormat="1" x14ac:dyDescent="0.2">
      <c r="A146" s="605" t="s">
        <v>276</v>
      </c>
      <c r="B146" s="605" t="s">
        <v>276</v>
      </c>
      <c r="C146" s="605">
        <v>2020</v>
      </c>
      <c r="D146" s="444" t="s">
        <v>424</v>
      </c>
      <c r="E146" s="584" t="s">
        <v>362</v>
      </c>
      <c r="F146" s="584" t="s">
        <v>74</v>
      </c>
      <c r="G146" s="584" t="s">
        <v>426</v>
      </c>
      <c r="H146" s="584" t="s">
        <v>19</v>
      </c>
      <c r="I146" s="584" t="s">
        <v>551</v>
      </c>
      <c r="J146" s="584">
        <v>0</v>
      </c>
      <c r="K146" s="584"/>
      <c r="L146" s="445" t="s">
        <v>560</v>
      </c>
      <c r="M146" s="613">
        <v>0</v>
      </c>
      <c r="N146" s="616"/>
      <c r="O146" s="213">
        <v>0</v>
      </c>
      <c r="P146" s="607"/>
      <c r="Q146" s="628" t="s">
        <v>552</v>
      </c>
    </row>
    <row r="147" spans="1:17" s="36" customFormat="1" x14ac:dyDescent="0.2">
      <c r="A147" s="605" t="s">
        <v>276</v>
      </c>
      <c r="B147" s="605" t="s">
        <v>276</v>
      </c>
      <c r="C147" s="605">
        <v>2020</v>
      </c>
      <c r="D147" s="444" t="s">
        <v>424</v>
      </c>
      <c r="E147" s="584" t="s">
        <v>362</v>
      </c>
      <c r="F147" s="584" t="s">
        <v>74</v>
      </c>
      <c r="G147" s="584" t="s">
        <v>426</v>
      </c>
      <c r="H147" s="584" t="s">
        <v>20</v>
      </c>
      <c r="I147" s="584" t="s">
        <v>551</v>
      </c>
      <c r="J147" s="584">
        <v>0</v>
      </c>
      <c r="K147" s="584"/>
      <c r="L147" s="445" t="s">
        <v>560</v>
      </c>
      <c r="M147" s="613">
        <v>0</v>
      </c>
      <c r="N147" s="616"/>
      <c r="O147" s="213">
        <v>0</v>
      </c>
      <c r="P147" s="607"/>
      <c r="Q147" s="628" t="s">
        <v>552</v>
      </c>
    </row>
    <row r="148" spans="1:17" s="36" customFormat="1" x14ac:dyDescent="0.2">
      <c r="A148" s="605" t="s">
        <v>276</v>
      </c>
      <c r="B148" s="605" t="s">
        <v>276</v>
      </c>
      <c r="C148" s="605">
        <v>2020</v>
      </c>
      <c r="D148" s="444" t="s">
        <v>424</v>
      </c>
      <c r="E148" s="584" t="s">
        <v>362</v>
      </c>
      <c r="F148" s="584" t="s">
        <v>74</v>
      </c>
      <c r="G148" s="584" t="s">
        <v>426</v>
      </c>
      <c r="H148" s="584" t="s">
        <v>549</v>
      </c>
      <c r="I148" s="584" t="s">
        <v>551</v>
      </c>
      <c r="J148" s="584">
        <v>0</v>
      </c>
      <c r="K148" s="584"/>
      <c r="L148" s="445" t="s">
        <v>560</v>
      </c>
      <c r="M148" s="613">
        <v>0</v>
      </c>
      <c r="N148" s="616"/>
      <c r="O148" s="213">
        <v>0</v>
      </c>
      <c r="P148" s="607"/>
      <c r="Q148" s="628" t="s">
        <v>552</v>
      </c>
    </row>
    <row r="149" spans="1:17" s="36" customFormat="1" x14ac:dyDescent="0.2">
      <c r="A149" s="605" t="s">
        <v>276</v>
      </c>
      <c r="B149" s="605" t="s">
        <v>276</v>
      </c>
      <c r="C149" s="605">
        <v>2020</v>
      </c>
      <c r="D149" s="444" t="s">
        <v>424</v>
      </c>
      <c r="E149" s="584" t="s">
        <v>362</v>
      </c>
      <c r="F149" s="584" t="s">
        <v>74</v>
      </c>
      <c r="G149" s="584" t="s">
        <v>426</v>
      </c>
      <c r="H149" s="584" t="s">
        <v>550</v>
      </c>
      <c r="I149" s="584" t="s">
        <v>551</v>
      </c>
      <c r="J149" s="584">
        <v>0</v>
      </c>
      <c r="K149" s="584"/>
      <c r="L149" s="445" t="s">
        <v>560</v>
      </c>
      <c r="M149" s="613">
        <v>0</v>
      </c>
      <c r="N149" s="616"/>
      <c r="O149" s="213">
        <v>0</v>
      </c>
      <c r="P149" s="607"/>
      <c r="Q149" s="628" t="s">
        <v>552</v>
      </c>
    </row>
    <row r="150" spans="1:17" s="36" customFormat="1" ht="63.75" x14ac:dyDescent="0.2">
      <c r="A150" s="605" t="s">
        <v>276</v>
      </c>
      <c r="B150" s="605" t="s">
        <v>276</v>
      </c>
      <c r="C150" s="605">
        <v>2020</v>
      </c>
      <c r="D150" s="444" t="s">
        <v>329</v>
      </c>
      <c r="E150" s="584" t="s">
        <v>362</v>
      </c>
      <c r="F150" s="584" t="s">
        <v>74</v>
      </c>
      <c r="G150" s="584" t="s">
        <v>426</v>
      </c>
      <c r="H150" s="584" t="s">
        <v>42</v>
      </c>
      <c r="I150" s="584" t="s">
        <v>548</v>
      </c>
      <c r="J150" s="584">
        <v>250</v>
      </c>
      <c r="K150" s="584"/>
      <c r="L150" s="445"/>
      <c r="M150" s="613">
        <v>17</v>
      </c>
      <c r="N150" s="616">
        <f t="shared" si="2"/>
        <v>6.8000000000000005E-2</v>
      </c>
      <c r="O150" s="213">
        <v>34</v>
      </c>
      <c r="P150" s="607" t="s">
        <v>1736</v>
      </c>
      <c r="Q150" s="628" t="s">
        <v>1756</v>
      </c>
    </row>
    <row r="151" spans="1:17" s="36" customFormat="1" ht="63.75" x14ac:dyDescent="0.2">
      <c r="A151" s="605" t="s">
        <v>276</v>
      </c>
      <c r="B151" s="605" t="s">
        <v>276</v>
      </c>
      <c r="C151" s="605">
        <v>2020</v>
      </c>
      <c r="D151" s="444" t="s">
        <v>329</v>
      </c>
      <c r="E151" s="584" t="s">
        <v>362</v>
      </c>
      <c r="F151" s="584" t="s">
        <v>74</v>
      </c>
      <c r="G151" s="584" t="s">
        <v>426</v>
      </c>
      <c r="H151" s="584" t="s">
        <v>19</v>
      </c>
      <c r="I151" s="584" t="s">
        <v>548</v>
      </c>
      <c r="J151" s="584">
        <v>50</v>
      </c>
      <c r="K151" s="584"/>
      <c r="L151" s="445" t="s">
        <v>562</v>
      </c>
      <c r="M151" s="613">
        <v>17</v>
      </c>
      <c r="N151" s="616">
        <f t="shared" si="2"/>
        <v>0.34</v>
      </c>
      <c r="O151" s="213">
        <v>2</v>
      </c>
      <c r="P151" s="632" t="s">
        <v>1753</v>
      </c>
      <c r="Q151" s="628" t="s">
        <v>1756</v>
      </c>
    </row>
    <row r="152" spans="1:17" s="36" customFormat="1" ht="63.75" x14ac:dyDescent="0.2">
      <c r="A152" s="605" t="s">
        <v>276</v>
      </c>
      <c r="B152" s="605" t="s">
        <v>276</v>
      </c>
      <c r="C152" s="605">
        <v>2020</v>
      </c>
      <c r="D152" s="444" t="s">
        <v>329</v>
      </c>
      <c r="E152" s="584" t="s">
        <v>362</v>
      </c>
      <c r="F152" s="584" t="s">
        <v>74</v>
      </c>
      <c r="G152" s="584" t="s">
        <v>426</v>
      </c>
      <c r="H152" s="584" t="s">
        <v>20</v>
      </c>
      <c r="I152" s="584" t="s">
        <v>548</v>
      </c>
      <c r="J152" s="584">
        <v>50</v>
      </c>
      <c r="K152" s="584"/>
      <c r="L152" s="445" t="s">
        <v>562</v>
      </c>
      <c r="M152" s="613">
        <v>17</v>
      </c>
      <c r="N152" s="616">
        <f t="shared" si="2"/>
        <v>0.34</v>
      </c>
      <c r="O152" s="213">
        <v>2</v>
      </c>
      <c r="P152" s="632" t="s">
        <v>1753</v>
      </c>
      <c r="Q152" s="628" t="s">
        <v>1756</v>
      </c>
    </row>
    <row r="153" spans="1:17" s="36" customFormat="1" x14ac:dyDescent="0.2">
      <c r="A153" s="605" t="s">
        <v>276</v>
      </c>
      <c r="B153" s="605" t="s">
        <v>276</v>
      </c>
      <c r="C153" s="605">
        <v>2020</v>
      </c>
      <c r="D153" s="444" t="s">
        <v>329</v>
      </c>
      <c r="E153" s="584" t="s">
        <v>362</v>
      </c>
      <c r="F153" s="584" t="s">
        <v>74</v>
      </c>
      <c r="G153" s="584" t="s">
        <v>426</v>
      </c>
      <c r="H153" s="584" t="s">
        <v>549</v>
      </c>
      <c r="I153" s="584" t="s">
        <v>548</v>
      </c>
      <c r="J153" s="584">
        <v>0</v>
      </c>
      <c r="K153" s="584"/>
      <c r="L153" s="445" t="s">
        <v>559</v>
      </c>
      <c r="M153" s="613">
        <v>0</v>
      </c>
      <c r="N153" s="616"/>
      <c r="O153" s="213">
        <v>0</v>
      </c>
      <c r="P153" s="607"/>
      <c r="Q153" s="628" t="s">
        <v>552</v>
      </c>
    </row>
    <row r="154" spans="1:17" s="36" customFormat="1" x14ac:dyDescent="0.2">
      <c r="A154" s="605" t="s">
        <v>276</v>
      </c>
      <c r="B154" s="605" t="s">
        <v>276</v>
      </c>
      <c r="C154" s="605">
        <v>2020</v>
      </c>
      <c r="D154" s="444" t="s">
        <v>329</v>
      </c>
      <c r="E154" s="584" t="s">
        <v>362</v>
      </c>
      <c r="F154" s="584" t="s">
        <v>74</v>
      </c>
      <c r="G154" s="584" t="s">
        <v>426</v>
      </c>
      <c r="H154" s="584" t="s">
        <v>550</v>
      </c>
      <c r="I154" s="584" t="s">
        <v>548</v>
      </c>
      <c r="J154" s="584">
        <v>0</v>
      </c>
      <c r="K154" s="584"/>
      <c r="L154" s="445" t="s">
        <v>559</v>
      </c>
      <c r="M154" s="613">
        <v>0</v>
      </c>
      <c r="N154" s="616"/>
      <c r="O154" s="213">
        <v>0</v>
      </c>
      <c r="P154" s="607"/>
      <c r="Q154" s="628" t="s">
        <v>552</v>
      </c>
    </row>
    <row r="155" spans="1:17" s="36" customFormat="1" x14ac:dyDescent="0.2">
      <c r="A155" s="605" t="s">
        <v>276</v>
      </c>
      <c r="B155" s="605" t="s">
        <v>276</v>
      </c>
      <c r="C155" s="605">
        <v>2020</v>
      </c>
      <c r="D155" s="444" t="s">
        <v>329</v>
      </c>
      <c r="E155" s="584" t="s">
        <v>362</v>
      </c>
      <c r="F155" s="584" t="s">
        <v>74</v>
      </c>
      <c r="G155" s="584" t="s">
        <v>426</v>
      </c>
      <c r="H155" s="584" t="s">
        <v>42</v>
      </c>
      <c r="I155" s="584" t="s">
        <v>551</v>
      </c>
      <c r="J155" s="584">
        <v>150</v>
      </c>
      <c r="K155" s="584"/>
      <c r="L155" s="445" t="s">
        <v>560</v>
      </c>
      <c r="M155" s="613">
        <v>161</v>
      </c>
      <c r="N155" s="616">
        <f t="shared" si="2"/>
        <v>1.0733333333333333</v>
      </c>
      <c r="O155" s="213">
        <v>23</v>
      </c>
      <c r="P155" s="607" t="s">
        <v>1741</v>
      </c>
      <c r="Q155" s="628"/>
    </row>
    <row r="156" spans="1:17" s="36" customFormat="1" x14ac:dyDescent="0.2">
      <c r="A156" s="605" t="s">
        <v>276</v>
      </c>
      <c r="B156" s="605" t="s">
        <v>276</v>
      </c>
      <c r="C156" s="605">
        <v>2020</v>
      </c>
      <c r="D156" s="444" t="s">
        <v>329</v>
      </c>
      <c r="E156" s="584" t="s">
        <v>362</v>
      </c>
      <c r="F156" s="584" t="s">
        <v>74</v>
      </c>
      <c r="G156" s="584" t="s">
        <v>426</v>
      </c>
      <c r="H156" s="584" t="s">
        <v>19</v>
      </c>
      <c r="I156" s="584" t="s">
        <v>551</v>
      </c>
      <c r="J156" s="584">
        <v>150</v>
      </c>
      <c r="K156" s="584"/>
      <c r="L156" s="445" t="s">
        <v>560</v>
      </c>
      <c r="M156" s="613">
        <v>160</v>
      </c>
      <c r="N156" s="616">
        <f t="shared" si="2"/>
        <v>1.0666666666666667</v>
      </c>
      <c r="O156" s="213">
        <v>23</v>
      </c>
      <c r="P156" s="607" t="s">
        <v>1741</v>
      </c>
      <c r="Q156" s="628"/>
    </row>
    <row r="157" spans="1:17" s="36" customFormat="1" x14ac:dyDescent="0.2">
      <c r="A157" s="605" t="s">
        <v>276</v>
      </c>
      <c r="B157" s="605" t="s">
        <v>276</v>
      </c>
      <c r="C157" s="605">
        <v>2020</v>
      </c>
      <c r="D157" s="444" t="s">
        <v>329</v>
      </c>
      <c r="E157" s="584" t="s">
        <v>362</v>
      </c>
      <c r="F157" s="584" t="s">
        <v>74</v>
      </c>
      <c r="G157" s="584" t="s">
        <v>426</v>
      </c>
      <c r="H157" s="584" t="s">
        <v>20</v>
      </c>
      <c r="I157" s="584" t="s">
        <v>551</v>
      </c>
      <c r="J157" s="584">
        <v>150</v>
      </c>
      <c r="K157" s="584"/>
      <c r="L157" s="445" t="s">
        <v>560</v>
      </c>
      <c r="M157" s="613">
        <v>160</v>
      </c>
      <c r="N157" s="616">
        <f t="shared" si="2"/>
        <v>1.0666666666666667</v>
      </c>
      <c r="O157" s="213">
        <v>23</v>
      </c>
      <c r="P157" s="607" t="s">
        <v>1741</v>
      </c>
      <c r="Q157" s="628"/>
    </row>
    <row r="158" spans="1:17" s="36" customFormat="1" x14ac:dyDescent="0.2">
      <c r="A158" s="605" t="s">
        <v>276</v>
      </c>
      <c r="B158" s="605" t="s">
        <v>276</v>
      </c>
      <c r="C158" s="605">
        <v>2020</v>
      </c>
      <c r="D158" s="444" t="s">
        <v>329</v>
      </c>
      <c r="E158" s="584" t="s">
        <v>362</v>
      </c>
      <c r="F158" s="584" t="s">
        <v>74</v>
      </c>
      <c r="G158" s="584" t="s">
        <v>426</v>
      </c>
      <c r="H158" s="584" t="s">
        <v>549</v>
      </c>
      <c r="I158" s="584" t="s">
        <v>551</v>
      </c>
      <c r="J158" s="584">
        <v>150</v>
      </c>
      <c r="K158" s="584"/>
      <c r="L158" s="445" t="s">
        <v>560</v>
      </c>
      <c r="M158" s="613">
        <v>160</v>
      </c>
      <c r="N158" s="616">
        <f t="shared" si="2"/>
        <v>1.0666666666666667</v>
      </c>
      <c r="O158" s="213">
        <v>23</v>
      </c>
      <c r="P158" s="607" t="s">
        <v>1741</v>
      </c>
      <c r="Q158" s="628"/>
    </row>
    <row r="159" spans="1:17" s="36" customFormat="1" x14ac:dyDescent="0.2">
      <c r="A159" s="605" t="s">
        <v>276</v>
      </c>
      <c r="B159" s="605" t="s">
        <v>276</v>
      </c>
      <c r="C159" s="605">
        <v>2020</v>
      </c>
      <c r="D159" s="444" t="s">
        <v>329</v>
      </c>
      <c r="E159" s="584" t="s">
        <v>362</v>
      </c>
      <c r="F159" s="584" t="s">
        <v>74</v>
      </c>
      <c r="G159" s="584" t="s">
        <v>426</v>
      </c>
      <c r="H159" s="584" t="s">
        <v>550</v>
      </c>
      <c r="I159" s="584" t="s">
        <v>551</v>
      </c>
      <c r="J159" s="584">
        <v>150</v>
      </c>
      <c r="K159" s="584"/>
      <c r="L159" s="445" t="s">
        <v>560</v>
      </c>
      <c r="M159" s="613">
        <v>160</v>
      </c>
      <c r="N159" s="616">
        <f t="shared" si="2"/>
        <v>1.0666666666666667</v>
      </c>
      <c r="O159" s="213">
        <v>23</v>
      </c>
      <c r="P159" s="607" t="s">
        <v>1741</v>
      </c>
      <c r="Q159" s="628"/>
    </row>
    <row r="160" spans="1:17" s="36" customFormat="1" ht="38.25" x14ac:dyDescent="0.2">
      <c r="A160" s="605" t="s">
        <v>276</v>
      </c>
      <c r="B160" s="605" t="s">
        <v>276</v>
      </c>
      <c r="C160" s="605">
        <v>2020</v>
      </c>
      <c r="D160" s="444" t="s">
        <v>329</v>
      </c>
      <c r="E160" s="584" t="s">
        <v>362</v>
      </c>
      <c r="F160" s="584" t="s">
        <v>74</v>
      </c>
      <c r="G160" s="584" t="s">
        <v>427</v>
      </c>
      <c r="H160" s="584" t="s">
        <v>42</v>
      </c>
      <c r="I160" s="584" t="s">
        <v>548</v>
      </c>
      <c r="J160" s="584">
        <v>2000</v>
      </c>
      <c r="K160" s="584"/>
      <c r="L160" s="445" t="s">
        <v>562</v>
      </c>
      <c r="M160" s="613">
        <v>963</v>
      </c>
      <c r="N160" s="616">
        <f t="shared" si="2"/>
        <v>0.48149999999999998</v>
      </c>
      <c r="O160" s="213">
        <v>90</v>
      </c>
      <c r="P160" s="607" t="s">
        <v>1736</v>
      </c>
      <c r="Q160" s="628" t="s">
        <v>1757</v>
      </c>
    </row>
    <row r="161" spans="1:17" s="36" customFormat="1" ht="38.25" x14ac:dyDescent="0.2">
      <c r="A161" s="605" t="s">
        <v>276</v>
      </c>
      <c r="B161" s="605" t="s">
        <v>276</v>
      </c>
      <c r="C161" s="605">
        <v>2020</v>
      </c>
      <c r="D161" s="444" t="s">
        <v>329</v>
      </c>
      <c r="E161" s="584" t="s">
        <v>362</v>
      </c>
      <c r="F161" s="584" t="s">
        <v>74</v>
      </c>
      <c r="G161" s="584" t="s">
        <v>427</v>
      </c>
      <c r="H161" s="584" t="s">
        <v>19</v>
      </c>
      <c r="I161" s="584" t="s">
        <v>548</v>
      </c>
      <c r="J161" s="584">
        <v>500</v>
      </c>
      <c r="K161" s="584"/>
      <c r="L161" s="445" t="s">
        <v>562</v>
      </c>
      <c r="M161" s="613">
        <v>236</v>
      </c>
      <c r="N161" s="616">
        <f t="shared" si="2"/>
        <v>0.47199999999999998</v>
      </c>
      <c r="O161" s="213">
        <v>32</v>
      </c>
      <c r="P161" s="632" t="s">
        <v>1753</v>
      </c>
      <c r="Q161" s="628" t="s">
        <v>1757</v>
      </c>
    </row>
    <row r="162" spans="1:17" s="36" customFormat="1" ht="38.25" x14ac:dyDescent="0.2">
      <c r="A162" s="605" t="s">
        <v>276</v>
      </c>
      <c r="B162" s="605" t="s">
        <v>276</v>
      </c>
      <c r="C162" s="605">
        <v>2020</v>
      </c>
      <c r="D162" s="444" t="s">
        <v>329</v>
      </c>
      <c r="E162" s="584" t="s">
        <v>362</v>
      </c>
      <c r="F162" s="584" t="s">
        <v>74</v>
      </c>
      <c r="G162" s="584" t="s">
        <v>427</v>
      </c>
      <c r="H162" s="584" t="s">
        <v>20</v>
      </c>
      <c r="I162" s="584" t="s">
        <v>548</v>
      </c>
      <c r="J162" s="584">
        <v>500</v>
      </c>
      <c r="K162" s="584"/>
      <c r="L162" s="445" t="s">
        <v>562</v>
      </c>
      <c r="M162" s="613">
        <v>236</v>
      </c>
      <c r="N162" s="616">
        <f t="shared" si="2"/>
        <v>0.47199999999999998</v>
      </c>
      <c r="O162" s="213">
        <v>32</v>
      </c>
      <c r="P162" s="632" t="s">
        <v>1753</v>
      </c>
      <c r="Q162" s="628" t="s">
        <v>1757</v>
      </c>
    </row>
    <row r="163" spans="1:17" s="36" customFormat="1" ht="38.25" x14ac:dyDescent="0.2">
      <c r="A163" s="605" t="s">
        <v>276</v>
      </c>
      <c r="B163" s="605" t="s">
        <v>276</v>
      </c>
      <c r="C163" s="605">
        <v>2020</v>
      </c>
      <c r="D163" s="444" t="s">
        <v>329</v>
      </c>
      <c r="E163" s="584" t="s">
        <v>362</v>
      </c>
      <c r="F163" s="584" t="s">
        <v>74</v>
      </c>
      <c r="G163" s="584" t="s">
        <v>427</v>
      </c>
      <c r="H163" s="584" t="s">
        <v>549</v>
      </c>
      <c r="I163" s="584" t="s">
        <v>548</v>
      </c>
      <c r="J163" s="584">
        <v>200</v>
      </c>
      <c r="K163" s="584"/>
      <c r="L163" s="445" t="s">
        <v>562</v>
      </c>
      <c r="M163" s="613">
        <v>11</v>
      </c>
      <c r="N163" s="616">
        <f t="shared" si="2"/>
        <v>5.5E-2</v>
      </c>
      <c r="O163" s="213">
        <v>2</v>
      </c>
      <c r="P163" s="632" t="s">
        <v>1753</v>
      </c>
      <c r="Q163" s="628" t="s">
        <v>1757</v>
      </c>
    </row>
    <row r="164" spans="1:17" s="36" customFormat="1" ht="38.25" x14ac:dyDescent="0.2">
      <c r="A164" s="605" t="s">
        <v>276</v>
      </c>
      <c r="B164" s="605" t="s">
        <v>276</v>
      </c>
      <c r="C164" s="605">
        <v>2020</v>
      </c>
      <c r="D164" s="444" t="s">
        <v>329</v>
      </c>
      <c r="E164" s="584" t="s">
        <v>362</v>
      </c>
      <c r="F164" s="584" t="s">
        <v>74</v>
      </c>
      <c r="G164" s="584" t="s">
        <v>427</v>
      </c>
      <c r="H164" s="584" t="s">
        <v>550</v>
      </c>
      <c r="I164" s="584" t="s">
        <v>548</v>
      </c>
      <c r="J164" s="584">
        <v>200</v>
      </c>
      <c r="K164" s="584"/>
      <c r="L164" s="445" t="s">
        <v>562</v>
      </c>
      <c r="M164" s="613">
        <v>26</v>
      </c>
      <c r="N164" s="616">
        <f t="shared" si="2"/>
        <v>0.13</v>
      </c>
      <c r="O164" s="213">
        <v>2</v>
      </c>
      <c r="P164" s="632" t="s">
        <v>1753</v>
      </c>
      <c r="Q164" s="628" t="s">
        <v>1757</v>
      </c>
    </row>
    <row r="165" spans="1:17" s="36" customFormat="1" x14ac:dyDescent="0.2">
      <c r="A165" s="605" t="s">
        <v>276</v>
      </c>
      <c r="B165" s="605" t="s">
        <v>276</v>
      </c>
      <c r="C165" s="605">
        <v>2020</v>
      </c>
      <c r="D165" s="444" t="s">
        <v>329</v>
      </c>
      <c r="E165" s="584" t="s">
        <v>362</v>
      </c>
      <c r="F165" s="584" t="s">
        <v>74</v>
      </c>
      <c r="G165" s="584" t="s">
        <v>427</v>
      </c>
      <c r="H165" s="584" t="s">
        <v>42</v>
      </c>
      <c r="I165" s="584" t="s">
        <v>551</v>
      </c>
      <c r="J165" s="584">
        <v>1000</v>
      </c>
      <c r="K165" s="584"/>
      <c r="L165" s="445" t="s">
        <v>560</v>
      </c>
      <c r="M165" s="613">
        <v>623</v>
      </c>
      <c r="N165" s="616">
        <f t="shared" si="2"/>
        <v>0.623</v>
      </c>
      <c r="O165" s="213">
        <v>92</v>
      </c>
      <c r="P165" s="607" t="s">
        <v>1741</v>
      </c>
      <c r="Q165" s="628" t="s">
        <v>1701</v>
      </c>
    </row>
    <row r="166" spans="1:17" s="36" customFormat="1" x14ac:dyDescent="0.2">
      <c r="A166" s="605" t="s">
        <v>276</v>
      </c>
      <c r="B166" s="605" t="s">
        <v>276</v>
      </c>
      <c r="C166" s="605">
        <v>2020</v>
      </c>
      <c r="D166" s="444" t="s">
        <v>329</v>
      </c>
      <c r="E166" s="584" t="s">
        <v>362</v>
      </c>
      <c r="F166" s="584" t="s">
        <v>74</v>
      </c>
      <c r="G166" s="584" t="s">
        <v>427</v>
      </c>
      <c r="H166" s="584" t="s">
        <v>19</v>
      </c>
      <c r="I166" s="584" t="s">
        <v>551</v>
      </c>
      <c r="J166" s="584">
        <v>1000</v>
      </c>
      <c r="K166" s="584"/>
      <c r="L166" s="445" t="s">
        <v>560</v>
      </c>
      <c r="M166" s="613">
        <v>517</v>
      </c>
      <c r="N166" s="616">
        <f t="shared" si="2"/>
        <v>0.51700000000000002</v>
      </c>
      <c r="O166" s="213">
        <v>93</v>
      </c>
      <c r="P166" s="607" t="s">
        <v>1741</v>
      </c>
      <c r="Q166" s="628" t="s">
        <v>1701</v>
      </c>
    </row>
    <row r="167" spans="1:17" s="36" customFormat="1" x14ac:dyDescent="0.2">
      <c r="A167" s="605" t="s">
        <v>276</v>
      </c>
      <c r="B167" s="605" t="s">
        <v>276</v>
      </c>
      <c r="C167" s="605">
        <v>2020</v>
      </c>
      <c r="D167" s="444" t="s">
        <v>329</v>
      </c>
      <c r="E167" s="584" t="s">
        <v>362</v>
      </c>
      <c r="F167" s="584" t="s">
        <v>74</v>
      </c>
      <c r="G167" s="584" t="s">
        <v>427</v>
      </c>
      <c r="H167" s="584" t="s">
        <v>20</v>
      </c>
      <c r="I167" s="584" t="s">
        <v>551</v>
      </c>
      <c r="J167" s="584">
        <v>1000</v>
      </c>
      <c r="K167" s="584"/>
      <c r="L167" s="445" t="s">
        <v>560</v>
      </c>
      <c r="M167" s="613">
        <v>517</v>
      </c>
      <c r="N167" s="616">
        <f t="shared" si="2"/>
        <v>0.51700000000000002</v>
      </c>
      <c r="O167" s="213">
        <v>93</v>
      </c>
      <c r="P167" s="607" t="s">
        <v>1741</v>
      </c>
      <c r="Q167" s="628" t="s">
        <v>1701</v>
      </c>
    </row>
    <row r="168" spans="1:17" s="36" customFormat="1" x14ac:dyDescent="0.2">
      <c r="A168" s="605" t="s">
        <v>276</v>
      </c>
      <c r="B168" s="605" t="s">
        <v>276</v>
      </c>
      <c r="C168" s="605">
        <v>2020</v>
      </c>
      <c r="D168" s="444" t="s">
        <v>329</v>
      </c>
      <c r="E168" s="584" t="s">
        <v>362</v>
      </c>
      <c r="F168" s="584" t="s">
        <v>74</v>
      </c>
      <c r="G168" s="584" t="s">
        <v>427</v>
      </c>
      <c r="H168" s="584" t="s">
        <v>549</v>
      </c>
      <c r="I168" s="584" t="s">
        <v>551</v>
      </c>
      <c r="J168" s="584">
        <v>1000</v>
      </c>
      <c r="K168" s="584"/>
      <c r="L168" s="445" t="s">
        <v>560</v>
      </c>
      <c r="M168" s="613">
        <v>517</v>
      </c>
      <c r="N168" s="616">
        <f t="shared" si="2"/>
        <v>0.51700000000000002</v>
      </c>
      <c r="O168" s="213">
        <v>93</v>
      </c>
      <c r="P168" s="607" t="s">
        <v>1741</v>
      </c>
      <c r="Q168" s="628" t="s">
        <v>1701</v>
      </c>
    </row>
    <row r="169" spans="1:17" s="36" customFormat="1" x14ac:dyDescent="0.2">
      <c r="A169" s="605" t="s">
        <v>276</v>
      </c>
      <c r="B169" s="605" t="s">
        <v>276</v>
      </c>
      <c r="C169" s="605">
        <v>2020</v>
      </c>
      <c r="D169" s="444" t="s">
        <v>329</v>
      </c>
      <c r="E169" s="584" t="s">
        <v>362</v>
      </c>
      <c r="F169" s="584" t="s">
        <v>74</v>
      </c>
      <c r="G169" s="584" t="s">
        <v>427</v>
      </c>
      <c r="H169" s="584" t="s">
        <v>550</v>
      </c>
      <c r="I169" s="584" t="s">
        <v>551</v>
      </c>
      <c r="J169" s="584">
        <v>1000</v>
      </c>
      <c r="K169" s="584"/>
      <c r="L169" s="445" t="s">
        <v>560</v>
      </c>
      <c r="M169" s="613">
        <v>517</v>
      </c>
      <c r="N169" s="616">
        <f t="shared" si="2"/>
        <v>0.51700000000000002</v>
      </c>
      <c r="O169" s="213">
        <v>93</v>
      </c>
      <c r="P169" s="607" t="s">
        <v>1741</v>
      </c>
      <c r="Q169" s="628" t="s">
        <v>1701</v>
      </c>
    </row>
    <row r="170" spans="1:17" s="36" customFormat="1" ht="51" x14ac:dyDescent="0.2">
      <c r="A170" s="605" t="s">
        <v>276</v>
      </c>
      <c r="B170" s="605" t="s">
        <v>276</v>
      </c>
      <c r="C170" s="605">
        <v>2020</v>
      </c>
      <c r="D170" s="444" t="s">
        <v>429</v>
      </c>
      <c r="E170" s="584" t="s">
        <v>362</v>
      </c>
      <c r="F170" s="584" t="s">
        <v>74</v>
      </c>
      <c r="G170" s="584" t="s">
        <v>426</v>
      </c>
      <c r="H170" s="584" t="s">
        <v>42</v>
      </c>
      <c r="I170" s="584" t="s">
        <v>548</v>
      </c>
      <c r="J170" s="584">
        <v>2000</v>
      </c>
      <c r="K170" s="584"/>
      <c r="L170" s="445"/>
      <c r="M170" s="613">
        <v>1068</v>
      </c>
      <c r="N170" s="616">
        <f t="shared" si="2"/>
        <v>0.53400000000000003</v>
      </c>
      <c r="O170" s="213">
        <v>58</v>
      </c>
      <c r="P170" s="607" t="s">
        <v>1736</v>
      </c>
      <c r="Q170" s="628" t="s">
        <v>1790</v>
      </c>
    </row>
    <row r="171" spans="1:17" s="36" customFormat="1" ht="51" x14ac:dyDescent="0.2">
      <c r="A171" s="605" t="s">
        <v>276</v>
      </c>
      <c r="B171" s="605" t="s">
        <v>276</v>
      </c>
      <c r="C171" s="605">
        <v>2020</v>
      </c>
      <c r="D171" s="444" t="s">
        <v>429</v>
      </c>
      <c r="E171" s="584" t="s">
        <v>362</v>
      </c>
      <c r="F171" s="584" t="s">
        <v>74</v>
      </c>
      <c r="G171" s="584" t="s">
        <v>426</v>
      </c>
      <c r="H171" s="584" t="s">
        <v>19</v>
      </c>
      <c r="I171" s="584" t="s">
        <v>548</v>
      </c>
      <c r="J171" s="584">
        <v>500</v>
      </c>
      <c r="K171" s="584"/>
      <c r="L171" s="445" t="s">
        <v>562</v>
      </c>
      <c r="M171" s="613">
        <v>272</v>
      </c>
      <c r="N171" s="616">
        <f t="shared" si="2"/>
        <v>0.54400000000000004</v>
      </c>
      <c r="O171" s="213">
        <v>16</v>
      </c>
      <c r="P171" s="632" t="s">
        <v>1753</v>
      </c>
      <c r="Q171" s="628" t="s">
        <v>1790</v>
      </c>
    </row>
    <row r="172" spans="1:17" s="36" customFormat="1" ht="51" x14ac:dyDescent="0.2">
      <c r="A172" s="605" t="s">
        <v>276</v>
      </c>
      <c r="B172" s="605" t="s">
        <v>276</v>
      </c>
      <c r="C172" s="605">
        <v>2020</v>
      </c>
      <c r="D172" s="444" t="s">
        <v>429</v>
      </c>
      <c r="E172" s="584" t="s">
        <v>362</v>
      </c>
      <c r="F172" s="584" t="s">
        <v>74</v>
      </c>
      <c r="G172" s="584" t="s">
        <v>426</v>
      </c>
      <c r="H172" s="584" t="s">
        <v>20</v>
      </c>
      <c r="I172" s="584" t="s">
        <v>548</v>
      </c>
      <c r="J172" s="584">
        <v>500</v>
      </c>
      <c r="K172" s="584"/>
      <c r="L172" s="445" t="s">
        <v>562</v>
      </c>
      <c r="M172" s="613">
        <v>272</v>
      </c>
      <c r="N172" s="616">
        <f t="shared" si="2"/>
        <v>0.54400000000000004</v>
      </c>
      <c r="O172" s="213">
        <v>16</v>
      </c>
      <c r="P172" s="632" t="s">
        <v>1753</v>
      </c>
      <c r="Q172" s="628" t="s">
        <v>1790</v>
      </c>
    </row>
    <row r="173" spans="1:17" s="36" customFormat="1" x14ac:dyDescent="0.2">
      <c r="A173" s="605" t="s">
        <v>276</v>
      </c>
      <c r="B173" s="605" t="s">
        <v>276</v>
      </c>
      <c r="C173" s="605">
        <v>2020</v>
      </c>
      <c r="D173" s="444" t="s">
        <v>429</v>
      </c>
      <c r="E173" s="584" t="s">
        <v>362</v>
      </c>
      <c r="F173" s="584" t="s">
        <v>74</v>
      </c>
      <c r="G173" s="584" t="s">
        <v>426</v>
      </c>
      <c r="H173" s="584" t="s">
        <v>549</v>
      </c>
      <c r="I173" s="584" t="s">
        <v>548</v>
      </c>
      <c r="J173" s="584">
        <v>0</v>
      </c>
      <c r="K173" s="584"/>
      <c r="L173" s="445" t="s">
        <v>559</v>
      </c>
      <c r="M173" s="613">
        <v>0</v>
      </c>
      <c r="N173" s="616"/>
      <c r="O173" s="213">
        <v>0</v>
      </c>
      <c r="P173" s="607"/>
      <c r="Q173" s="628" t="s">
        <v>552</v>
      </c>
    </row>
    <row r="174" spans="1:17" s="36" customFormat="1" x14ac:dyDescent="0.2">
      <c r="A174" s="605" t="s">
        <v>276</v>
      </c>
      <c r="B174" s="605" t="s">
        <v>276</v>
      </c>
      <c r="C174" s="605">
        <v>2020</v>
      </c>
      <c r="D174" s="444" t="s">
        <v>429</v>
      </c>
      <c r="E174" s="584" t="s">
        <v>362</v>
      </c>
      <c r="F174" s="584" t="s">
        <v>74</v>
      </c>
      <c r="G174" s="584" t="s">
        <v>426</v>
      </c>
      <c r="H174" s="584" t="s">
        <v>550</v>
      </c>
      <c r="I174" s="584" t="s">
        <v>548</v>
      </c>
      <c r="J174" s="584">
        <v>0</v>
      </c>
      <c r="K174" s="584"/>
      <c r="L174" s="445" t="s">
        <v>559</v>
      </c>
      <c r="M174" s="613">
        <v>0</v>
      </c>
      <c r="N174" s="616"/>
      <c r="O174" s="213">
        <v>0</v>
      </c>
      <c r="P174" s="607"/>
      <c r="Q174" s="628" t="s">
        <v>552</v>
      </c>
    </row>
    <row r="175" spans="1:17" s="36" customFormat="1" x14ac:dyDescent="0.2">
      <c r="A175" s="605" t="s">
        <v>276</v>
      </c>
      <c r="B175" s="605" t="s">
        <v>276</v>
      </c>
      <c r="C175" s="605">
        <v>2020</v>
      </c>
      <c r="D175" s="444" t="s">
        <v>429</v>
      </c>
      <c r="E175" s="584" t="s">
        <v>362</v>
      </c>
      <c r="F175" s="584" t="s">
        <v>74</v>
      </c>
      <c r="G175" s="584" t="s">
        <v>426</v>
      </c>
      <c r="H175" s="584" t="s">
        <v>42</v>
      </c>
      <c r="I175" s="584" t="s">
        <v>551</v>
      </c>
      <c r="J175" s="584">
        <v>750</v>
      </c>
      <c r="K175" s="584"/>
      <c r="L175" s="445" t="s">
        <v>560</v>
      </c>
      <c r="M175" s="613">
        <v>488</v>
      </c>
      <c r="N175" s="616">
        <f t="shared" si="2"/>
        <v>0.65066666666666662</v>
      </c>
      <c r="O175" s="213">
        <v>36</v>
      </c>
      <c r="P175" s="607" t="s">
        <v>1741</v>
      </c>
      <c r="Q175" s="628" t="s">
        <v>1701</v>
      </c>
    </row>
    <row r="176" spans="1:17" s="36" customFormat="1" x14ac:dyDescent="0.2">
      <c r="A176" s="605" t="s">
        <v>276</v>
      </c>
      <c r="B176" s="605" t="s">
        <v>276</v>
      </c>
      <c r="C176" s="605">
        <v>2020</v>
      </c>
      <c r="D176" s="444" t="s">
        <v>429</v>
      </c>
      <c r="E176" s="584" t="s">
        <v>362</v>
      </c>
      <c r="F176" s="584" t="s">
        <v>74</v>
      </c>
      <c r="G176" s="584" t="s">
        <v>426</v>
      </c>
      <c r="H176" s="584" t="s">
        <v>19</v>
      </c>
      <c r="I176" s="584" t="s">
        <v>551</v>
      </c>
      <c r="J176" s="584">
        <v>750</v>
      </c>
      <c r="K176" s="584"/>
      <c r="L176" s="445" t="s">
        <v>560</v>
      </c>
      <c r="M176" s="613">
        <v>486</v>
      </c>
      <c r="N176" s="616">
        <f t="shared" si="2"/>
        <v>0.64800000000000002</v>
      </c>
      <c r="O176" s="213">
        <v>36</v>
      </c>
      <c r="P176" s="607" t="s">
        <v>1741</v>
      </c>
      <c r="Q176" s="628" t="s">
        <v>1701</v>
      </c>
    </row>
    <row r="177" spans="1:17" s="36" customFormat="1" x14ac:dyDescent="0.2">
      <c r="A177" s="605" t="s">
        <v>276</v>
      </c>
      <c r="B177" s="605" t="s">
        <v>276</v>
      </c>
      <c r="C177" s="605">
        <v>2020</v>
      </c>
      <c r="D177" s="444" t="s">
        <v>429</v>
      </c>
      <c r="E177" s="584" t="s">
        <v>362</v>
      </c>
      <c r="F177" s="584" t="s">
        <v>74</v>
      </c>
      <c r="G177" s="584" t="s">
        <v>426</v>
      </c>
      <c r="H177" s="584" t="s">
        <v>20</v>
      </c>
      <c r="I177" s="584" t="s">
        <v>551</v>
      </c>
      <c r="J177" s="584">
        <v>750</v>
      </c>
      <c r="K177" s="584"/>
      <c r="L177" s="445" t="s">
        <v>560</v>
      </c>
      <c r="M177" s="613">
        <v>486</v>
      </c>
      <c r="N177" s="616">
        <f t="shared" si="2"/>
        <v>0.64800000000000002</v>
      </c>
      <c r="O177" s="213">
        <v>36</v>
      </c>
      <c r="P177" s="607" t="s">
        <v>1741</v>
      </c>
      <c r="Q177" s="628" t="s">
        <v>1701</v>
      </c>
    </row>
    <row r="178" spans="1:17" s="36" customFormat="1" x14ac:dyDescent="0.2">
      <c r="A178" s="605" t="s">
        <v>276</v>
      </c>
      <c r="B178" s="605" t="s">
        <v>276</v>
      </c>
      <c r="C178" s="605">
        <v>2020</v>
      </c>
      <c r="D178" s="444" t="s">
        <v>429</v>
      </c>
      <c r="E178" s="584" t="s">
        <v>362</v>
      </c>
      <c r="F178" s="584" t="s">
        <v>74</v>
      </c>
      <c r="G178" s="584" t="s">
        <v>426</v>
      </c>
      <c r="H178" s="584" t="s">
        <v>549</v>
      </c>
      <c r="I178" s="584" t="s">
        <v>551</v>
      </c>
      <c r="J178" s="584">
        <v>750</v>
      </c>
      <c r="K178" s="584"/>
      <c r="L178" s="445" t="s">
        <v>560</v>
      </c>
      <c r="M178" s="613">
        <v>486</v>
      </c>
      <c r="N178" s="616">
        <f t="shared" si="2"/>
        <v>0.64800000000000002</v>
      </c>
      <c r="O178" s="213">
        <v>36</v>
      </c>
      <c r="P178" s="607" t="s">
        <v>1741</v>
      </c>
      <c r="Q178" s="628" t="s">
        <v>1701</v>
      </c>
    </row>
    <row r="179" spans="1:17" s="36" customFormat="1" x14ac:dyDescent="0.2">
      <c r="A179" s="605" t="s">
        <v>276</v>
      </c>
      <c r="B179" s="605" t="s">
        <v>276</v>
      </c>
      <c r="C179" s="605">
        <v>2020</v>
      </c>
      <c r="D179" s="444" t="s">
        <v>429</v>
      </c>
      <c r="E179" s="584" t="s">
        <v>362</v>
      </c>
      <c r="F179" s="584" t="s">
        <v>74</v>
      </c>
      <c r="G179" s="584" t="s">
        <v>426</v>
      </c>
      <c r="H179" s="584" t="s">
        <v>550</v>
      </c>
      <c r="I179" s="584" t="s">
        <v>551</v>
      </c>
      <c r="J179" s="584">
        <v>750</v>
      </c>
      <c r="K179" s="584"/>
      <c r="L179" s="445" t="s">
        <v>560</v>
      </c>
      <c r="M179" s="613">
        <v>486</v>
      </c>
      <c r="N179" s="616">
        <f t="shared" si="2"/>
        <v>0.64800000000000002</v>
      </c>
      <c r="O179" s="213">
        <v>36</v>
      </c>
      <c r="P179" s="607" t="s">
        <v>1741</v>
      </c>
      <c r="Q179" s="628" t="s">
        <v>1701</v>
      </c>
    </row>
    <row r="180" spans="1:17" s="36" customFormat="1" x14ac:dyDescent="0.2">
      <c r="A180" s="605" t="s">
        <v>276</v>
      </c>
      <c r="B180" s="605" t="s">
        <v>276</v>
      </c>
      <c r="C180" s="605">
        <v>2020</v>
      </c>
      <c r="D180" s="444" t="s">
        <v>429</v>
      </c>
      <c r="E180" s="584" t="s">
        <v>362</v>
      </c>
      <c r="F180" s="584" t="s">
        <v>74</v>
      </c>
      <c r="G180" s="584" t="s">
        <v>427</v>
      </c>
      <c r="H180" s="584" t="s">
        <v>42</v>
      </c>
      <c r="I180" s="584" t="s">
        <v>548</v>
      </c>
      <c r="J180" s="584">
        <v>2000</v>
      </c>
      <c r="K180" s="584"/>
      <c r="L180" s="445"/>
      <c r="M180" s="613">
        <v>1799</v>
      </c>
      <c r="N180" s="616">
        <f t="shared" si="2"/>
        <v>0.89949999999999997</v>
      </c>
      <c r="O180" s="213">
        <v>116</v>
      </c>
      <c r="P180" s="607" t="s">
        <v>1736</v>
      </c>
      <c r="Q180" s="628"/>
    </row>
    <row r="181" spans="1:17" s="36" customFormat="1" ht="38.25" x14ac:dyDescent="0.2">
      <c r="A181" s="605" t="s">
        <v>276</v>
      </c>
      <c r="B181" s="605" t="s">
        <v>276</v>
      </c>
      <c r="C181" s="605">
        <v>2020</v>
      </c>
      <c r="D181" s="444" t="s">
        <v>429</v>
      </c>
      <c r="E181" s="584" t="s">
        <v>362</v>
      </c>
      <c r="F181" s="584" t="s">
        <v>74</v>
      </c>
      <c r="G181" s="584" t="s">
        <v>427</v>
      </c>
      <c r="H181" s="584" t="s">
        <v>19</v>
      </c>
      <c r="I181" s="584" t="s">
        <v>548</v>
      </c>
      <c r="J181" s="584">
        <v>750</v>
      </c>
      <c r="K181" s="584"/>
      <c r="L181" s="445" t="s">
        <v>562</v>
      </c>
      <c r="M181" s="613">
        <v>426</v>
      </c>
      <c r="N181" s="616">
        <f t="shared" si="2"/>
        <v>0.56799999999999995</v>
      </c>
      <c r="O181" s="213">
        <v>45</v>
      </c>
      <c r="P181" s="632" t="s">
        <v>1753</v>
      </c>
      <c r="Q181" s="628" t="s">
        <v>1757</v>
      </c>
    </row>
    <row r="182" spans="1:17" s="36" customFormat="1" ht="38.25" x14ac:dyDescent="0.2">
      <c r="A182" s="605" t="s">
        <v>276</v>
      </c>
      <c r="B182" s="605" t="s">
        <v>276</v>
      </c>
      <c r="C182" s="605">
        <v>2020</v>
      </c>
      <c r="D182" s="444" t="s">
        <v>429</v>
      </c>
      <c r="E182" s="584" t="s">
        <v>362</v>
      </c>
      <c r="F182" s="584" t="s">
        <v>74</v>
      </c>
      <c r="G182" s="584" t="s">
        <v>427</v>
      </c>
      <c r="H182" s="584" t="s">
        <v>20</v>
      </c>
      <c r="I182" s="584" t="s">
        <v>548</v>
      </c>
      <c r="J182" s="584">
        <v>750</v>
      </c>
      <c r="K182" s="584"/>
      <c r="L182" s="445" t="s">
        <v>562</v>
      </c>
      <c r="M182" s="613">
        <v>426</v>
      </c>
      <c r="N182" s="616">
        <f t="shared" si="2"/>
        <v>0.56799999999999995</v>
      </c>
      <c r="O182" s="213">
        <v>45</v>
      </c>
      <c r="P182" s="632" t="s">
        <v>1753</v>
      </c>
      <c r="Q182" s="628" t="s">
        <v>1757</v>
      </c>
    </row>
    <row r="183" spans="1:17" s="36" customFormat="1" x14ac:dyDescent="0.2">
      <c r="A183" s="605" t="s">
        <v>276</v>
      </c>
      <c r="B183" s="605" t="s">
        <v>276</v>
      </c>
      <c r="C183" s="605">
        <v>2020</v>
      </c>
      <c r="D183" s="444" t="s">
        <v>429</v>
      </c>
      <c r="E183" s="584" t="s">
        <v>362</v>
      </c>
      <c r="F183" s="584" t="s">
        <v>74</v>
      </c>
      <c r="G183" s="584" t="s">
        <v>427</v>
      </c>
      <c r="H183" s="584" t="s">
        <v>549</v>
      </c>
      <c r="I183" s="584" t="s">
        <v>548</v>
      </c>
      <c r="J183" s="584">
        <v>0</v>
      </c>
      <c r="K183" s="584"/>
      <c r="L183" s="445" t="s">
        <v>559</v>
      </c>
      <c r="M183" s="613">
        <v>5</v>
      </c>
      <c r="N183" s="616"/>
      <c r="O183" s="213">
        <v>2</v>
      </c>
      <c r="P183" s="607"/>
      <c r="Q183" s="628" t="s">
        <v>552</v>
      </c>
    </row>
    <row r="184" spans="1:17" s="36" customFormat="1" x14ac:dyDescent="0.2">
      <c r="A184" s="605" t="s">
        <v>276</v>
      </c>
      <c r="B184" s="605" t="s">
        <v>276</v>
      </c>
      <c r="C184" s="605">
        <v>2020</v>
      </c>
      <c r="D184" s="444" t="s">
        <v>429</v>
      </c>
      <c r="E184" s="584" t="s">
        <v>362</v>
      </c>
      <c r="F184" s="584" t="s">
        <v>74</v>
      </c>
      <c r="G184" s="584" t="s">
        <v>427</v>
      </c>
      <c r="H184" s="584" t="s">
        <v>550</v>
      </c>
      <c r="I184" s="584" t="s">
        <v>548</v>
      </c>
      <c r="J184" s="584">
        <v>0</v>
      </c>
      <c r="K184" s="584"/>
      <c r="L184" s="445" t="s">
        <v>559</v>
      </c>
      <c r="M184" s="613">
        <v>5</v>
      </c>
      <c r="N184" s="616"/>
      <c r="O184" s="213">
        <v>2</v>
      </c>
      <c r="P184" s="607"/>
      <c r="Q184" s="628" t="s">
        <v>552</v>
      </c>
    </row>
    <row r="185" spans="1:17" s="36" customFormat="1" x14ac:dyDescent="0.2">
      <c r="A185" s="605" t="s">
        <v>276</v>
      </c>
      <c r="B185" s="605" t="s">
        <v>276</v>
      </c>
      <c r="C185" s="605">
        <v>2020</v>
      </c>
      <c r="D185" s="444" t="s">
        <v>429</v>
      </c>
      <c r="E185" s="584" t="s">
        <v>362</v>
      </c>
      <c r="F185" s="584" t="s">
        <v>74</v>
      </c>
      <c r="G185" s="584" t="s">
        <v>427</v>
      </c>
      <c r="H185" s="584" t="s">
        <v>42</v>
      </c>
      <c r="I185" s="584" t="s">
        <v>551</v>
      </c>
      <c r="J185" s="584">
        <v>750</v>
      </c>
      <c r="K185" s="584"/>
      <c r="L185" s="445" t="s">
        <v>560</v>
      </c>
      <c r="M185" s="613">
        <v>716</v>
      </c>
      <c r="N185" s="616">
        <f t="shared" si="2"/>
        <v>0.95466666666666666</v>
      </c>
      <c r="O185" s="213">
        <v>135</v>
      </c>
      <c r="P185" s="607" t="s">
        <v>1741</v>
      </c>
      <c r="Q185" s="628"/>
    </row>
    <row r="186" spans="1:17" s="36" customFormat="1" x14ac:dyDescent="0.2">
      <c r="A186" s="605" t="s">
        <v>276</v>
      </c>
      <c r="B186" s="605" t="s">
        <v>276</v>
      </c>
      <c r="C186" s="605">
        <v>2020</v>
      </c>
      <c r="D186" s="444" t="s">
        <v>429</v>
      </c>
      <c r="E186" s="584" t="s">
        <v>362</v>
      </c>
      <c r="F186" s="584" t="s">
        <v>74</v>
      </c>
      <c r="G186" s="584" t="s">
        <v>427</v>
      </c>
      <c r="H186" s="584" t="s">
        <v>19</v>
      </c>
      <c r="I186" s="584" t="s">
        <v>551</v>
      </c>
      <c r="J186" s="584">
        <v>750</v>
      </c>
      <c r="K186" s="584"/>
      <c r="L186" s="445" t="s">
        <v>560</v>
      </c>
      <c r="M186" s="613">
        <v>686</v>
      </c>
      <c r="N186" s="616">
        <f t="shared" si="2"/>
        <v>0.91466666666666663</v>
      </c>
      <c r="O186" s="213">
        <v>139</v>
      </c>
      <c r="P186" s="607" t="s">
        <v>1741</v>
      </c>
      <c r="Q186" s="628"/>
    </row>
    <row r="187" spans="1:17" s="36" customFormat="1" x14ac:dyDescent="0.2">
      <c r="A187" s="605" t="s">
        <v>276</v>
      </c>
      <c r="B187" s="605" t="s">
        <v>276</v>
      </c>
      <c r="C187" s="605">
        <v>2020</v>
      </c>
      <c r="D187" s="444" t="s">
        <v>429</v>
      </c>
      <c r="E187" s="584" t="s">
        <v>362</v>
      </c>
      <c r="F187" s="584" t="s">
        <v>74</v>
      </c>
      <c r="G187" s="584" t="s">
        <v>427</v>
      </c>
      <c r="H187" s="584" t="s">
        <v>20</v>
      </c>
      <c r="I187" s="584" t="s">
        <v>551</v>
      </c>
      <c r="J187" s="584">
        <v>750</v>
      </c>
      <c r="K187" s="584"/>
      <c r="L187" s="445" t="s">
        <v>560</v>
      </c>
      <c r="M187" s="613">
        <v>686</v>
      </c>
      <c r="N187" s="616">
        <f t="shared" si="2"/>
        <v>0.91466666666666663</v>
      </c>
      <c r="O187" s="213">
        <v>139</v>
      </c>
      <c r="P187" s="607" t="s">
        <v>1741</v>
      </c>
      <c r="Q187" s="628"/>
    </row>
    <row r="188" spans="1:17" s="36" customFormat="1" x14ac:dyDescent="0.2">
      <c r="A188" s="605" t="s">
        <v>276</v>
      </c>
      <c r="B188" s="605" t="s">
        <v>276</v>
      </c>
      <c r="C188" s="605">
        <v>2020</v>
      </c>
      <c r="D188" s="444" t="s">
        <v>429</v>
      </c>
      <c r="E188" s="584" t="s">
        <v>362</v>
      </c>
      <c r="F188" s="584" t="s">
        <v>74</v>
      </c>
      <c r="G188" s="584" t="s">
        <v>427</v>
      </c>
      <c r="H188" s="584" t="s">
        <v>549</v>
      </c>
      <c r="I188" s="584" t="s">
        <v>551</v>
      </c>
      <c r="J188" s="584">
        <v>750</v>
      </c>
      <c r="K188" s="584"/>
      <c r="L188" s="445" t="s">
        <v>560</v>
      </c>
      <c r="M188" s="613">
        <v>686</v>
      </c>
      <c r="N188" s="616">
        <f t="shared" si="2"/>
        <v>0.91466666666666663</v>
      </c>
      <c r="O188" s="213">
        <v>139</v>
      </c>
      <c r="P188" s="607" t="s">
        <v>1741</v>
      </c>
      <c r="Q188" s="628"/>
    </row>
    <row r="189" spans="1:17" s="36" customFormat="1" x14ac:dyDescent="0.2">
      <c r="A189" s="605" t="s">
        <v>276</v>
      </c>
      <c r="B189" s="605" t="s">
        <v>276</v>
      </c>
      <c r="C189" s="605">
        <v>2020</v>
      </c>
      <c r="D189" s="444" t="s">
        <v>429</v>
      </c>
      <c r="E189" s="584" t="s">
        <v>362</v>
      </c>
      <c r="F189" s="584" t="s">
        <v>74</v>
      </c>
      <c r="G189" s="584" t="s">
        <v>427</v>
      </c>
      <c r="H189" s="584" t="s">
        <v>550</v>
      </c>
      <c r="I189" s="584" t="s">
        <v>551</v>
      </c>
      <c r="J189" s="584">
        <v>750</v>
      </c>
      <c r="K189" s="584"/>
      <c r="L189" s="445" t="s">
        <v>560</v>
      </c>
      <c r="M189" s="613">
        <v>686</v>
      </c>
      <c r="N189" s="616">
        <f t="shared" si="2"/>
        <v>0.91466666666666663</v>
      </c>
      <c r="O189" s="213">
        <v>139</v>
      </c>
      <c r="P189" s="607" t="s">
        <v>1741</v>
      </c>
      <c r="Q189" s="628"/>
    </row>
    <row r="190" spans="1:17" s="36" customFormat="1" x14ac:dyDescent="0.2">
      <c r="A190" s="605" t="s">
        <v>276</v>
      </c>
      <c r="B190" s="605" t="s">
        <v>276</v>
      </c>
      <c r="C190" s="605">
        <v>2020</v>
      </c>
      <c r="D190" s="444" t="s">
        <v>301</v>
      </c>
      <c r="E190" s="584" t="s">
        <v>362</v>
      </c>
      <c r="F190" s="584" t="s">
        <v>74</v>
      </c>
      <c r="G190" s="584" t="s">
        <v>365</v>
      </c>
      <c r="H190" s="584" t="s">
        <v>42</v>
      </c>
      <c r="I190" s="584" t="s">
        <v>548</v>
      </c>
      <c r="J190" s="584">
        <v>5000</v>
      </c>
      <c r="K190" s="584"/>
      <c r="L190" s="445"/>
      <c r="M190" s="613">
        <v>5867</v>
      </c>
      <c r="N190" s="616">
        <f t="shared" si="2"/>
        <v>1.1734</v>
      </c>
      <c r="O190" s="213">
        <v>53</v>
      </c>
      <c r="P190" s="607" t="s">
        <v>1736</v>
      </c>
      <c r="Q190" s="628"/>
    </row>
    <row r="191" spans="1:17" s="36" customFormat="1" ht="13.5" customHeight="1" x14ac:dyDescent="0.2">
      <c r="A191" s="605" t="s">
        <v>276</v>
      </c>
      <c r="B191" s="605" t="s">
        <v>276</v>
      </c>
      <c r="C191" s="605">
        <v>2020</v>
      </c>
      <c r="D191" s="444" t="s">
        <v>301</v>
      </c>
      <c r="E191" s="584" t="s">
        <v>362</v>
      </c>
      <c r="F191" s="584" t="s">
        <v>74</v>
      </c>
      <c r="G191" s="584" t="s">
        <v>365</v>
      </c>
      <c r="H191" s="584" t="s">
        <v>19</v>
      </c>
      <c r="I191" s="584" t="s">
        <v>548</v>
      </c>
      <c r="J191" s="584">
        <v>1000</v>
      </c>
      <c r="K191" s="584"/>
      <c r="L191" s="445" t="s">
        <v>558</v>
      </c>
      <c r="M191" s="613">
        <v>900</v>
      </c>
      <c r="N191" s="616">
        <f t="shared" si="2"/>
        <v>0.9</v>
      </c>
      <c r="O191" s="213">
        <v>25</v>
      </c>
      <c r="P191" s="632" t="s">
        <v>1753</v>
      </c>
      <c r="Q191" s="628"/>
    </row>
    <row r="192" spans="1:17" s="36" customFormat="1" x14ac:dyDescent="0.2">
      <c r="A192" s="605" t="s">
        <v>276</v>
      </c>
      <c r="B192" s="605" t="s">
        <v>276</v>
      </c>
      <c r="C192" s="605">
        <v>2020</v>
      </c>
      <c r="D192" s="444" t="s">
        <v>301</v>
      </c>
      <c r="E192" s="584" t="s">
        <v>362</v>
      </c>
      <c r="F192" s="584" t="s">
        <v>74</v>
      </c>
      <c r="G192" s="584" t="s">
        <v>365</v>
      </c>
      <c r="H192" s="584" t="s">
        <v>20</v>
      </c>
      <c r="I192" s="584" t="s">
        <v>548</v>
      </c>
      <c r="J192" s="584">
        <v>1000</v>
      </c>
      <c r="K192" s="584"/>
      <c r="L192" s="445" t="s">
        <v>558</v>
      </c>
      <c r="M192" s="613">
        <v>900</v>
      </c>
      <c r="N192" s="616">
        <f t="shared" si="2"/>
        <v>0.9</v>
      </c>
      <c r="O192" s="213">
        <v>25</v>
      </c>
      <c r="P192" s="632" t="s">
        <v>1753</v>
      </c>
      <c r="Q192" s="628"/>
    </row>
    <row r="193" spans="1:17" s="36" customFormat="1" ht="51" x14ac:dyDescent="0.2">
      <c r="A193" s="605" t="s">
        <v>276</v>
      </c>
      <c r="B193" s="605" t="s">
        <v>276</v>
      </c>
      <c r="C193" s="605">
        <v>2020</v>
      </c>
      <c r="D193" s="444" t="s">
        <v>301</v>
      </c>
      <c r="E193" s="584" t="s">
        <v>362</v>
      </c>
      <c r="F193" s="584" t="s">
        <v>74</v>
      </c>
      <c r="G193" s="584" t="s">
        <v>365</v>
      </c>
      <c r="H193" s="584" t="s">
        <v>549</v>
      </c>
      <c r="I193" s="584" t="s">
        <v>548</v>
      </c>
      <c r="J193" s="584">
        <v>100</v>
      </c>
      <c r="K193" s="584"/>
      <c r="L193" s="445" t="s">
        <v>558</v>
      </c>
      <c r="M193" s="613">
        <v>41</v>
      </c>
      <c r="N193" s="616">
        <f t="shared" si="2"/>
        <v>0.41</v>
      </c>
      <c r="O193" s="213">
        <v>1</v>
      </c>
      <c r="P193" s="632" t="s">
        <v>1753</v>
      </c>
      <c r="Q193" s="628" t="s">
        <v>1790</v>
      </c>
    </row>
    <row r="194" spans="1:17" s="36" customFormat="1" ht="51" x14ac:dyDescent="0.2">
      <c r="A194" s="605" t="s">
        <v>276</v>
      </c>
      <c r="B194" s="605" t="s">
        <v>276</v>
      </c>
      <c r="C194" s="605">
        <v>2020</v>
      </c>
      <c r="D194" s="444" t="s">
        <v>301</v>
      </c>
      <c r="E194" s="584" t="s">
        <v>362</v>
      </c>
      <c r="F194" s="584" t="s">
        <v>74</v>
      </c>
      <c r="G194" s="584" t="s">
        <v>365</v>
      </c>
      <c r="H194" s="584" t="s">
        <v>550</v>
      </c>
      <c r="I194" s="584" t="s">
        <v>548</v>
      </c>
      <c r="J194" s="584">
        <v>100</v>
      </c>
      <c r="K194" s="584"/>
      <c r="L194" s="445" t="s">
        <v>558</v>
      </c>
      <c r="M194" s="613">
        <v>41</v>
      </c>
      <c r="N194" s="616">
        <f t="shared" si="2"/>
        <v>0.41</v>
      </c>
      <c r="O194" s="213">
        <v>1</v>
      </c>
      <c r="P194" s="632" t="s">
        <v>1753</v>
      </c>
      <c r="Q194" s="628" t="s">
        <v>1790</v>
      </c>
    </row>
    <row r="195" spans="1:17" s="36" customFormat="1" x14ac:dyDescent="0.2">
      <c r="A195" s="605" t="s">
        <v>276</v>
      </c>
      <c r="B195" s="605" t="s">
        <v>276</v>
      </c>
      <c r="C195" s="605">
        <v>2020</v>
      </c>
      <c r="D195" s="444" t="s">
        <v>301</v>
      </c>
      <c r="E195" s="584" t="s">
        <v>362</v>
      </c>
      <c r="F195" s="584" t="s">
        <v>74</v>
      </c>
      <c r="G195" s="584" t="s">
        <v>365</v>
      </c>
      <c r="H195" s="584" t="s">
        <v>42</v>
      </c>
      <c r="I195" s="584" t="s">
        <v>551</v>
      </c>
      <c r="J195" s="584">
        <v>5000</v>
      </c>
      <c r="K195" s="584"/>
      <c r="L195" s="445" t="s">
        <v>560</v>
      </c>
      <c r="M195" s="613">
        <v>5903</v>
      </c>
      <c r="N195" s="616">
        <f t="shared" si="2"/>
        <v>1.1806000000000001</v>
      </c>
      <c r="O195" s="213">
        <v>48</v>
      </c>
      <c r="P195" s="607" t="s">
        <v>1741</v>
      </c>
      <c r="Q195" s="628"/>
    </row>
    <row r="196" spans="1:17" s="36" customFormat="1" x14ac:dyDescent="0.2">
      <c r="A196" s="605" t="s">
        <v>276</v>
      </c>
      <c r="B196" s="605" t="s">
        <v>276</v>
      </c>
      <c r="C196" s="605">
        <v>2020</v>
      </c>
      <c r="D196" s="444" t="s">
        <v>301</v>
      </c>
      <c r="E196" s="584" t="s">
        <v>362</v>
      </c>
      <c r="F196" s="584" t="s">
        <v>74</v>
      </c>
      <c r="G196" s="584" t="s">
        <v>365</v>
      </c>
      <c r="H196" s="584" t="s">
        <v>19</v>
      </c>
      <c r="I196" s="584" t="s">
        <v>551</v>
      </c>
      <c r="J196" s="584">
        <v>500</v>
      </c>
      <c r="K196" s="584"/>
      <c r="L196" s="445" t="s">
        <v>560</v>
      </c>
      <c r="M196" s="613">
        <v>725</v>
      </c>
      <c r="N196" s="616">
        <f t="shared" si="2"/>
        <v>1.45</v>
      </c>
      <c r="O196" s="213">
        <v>48</v>
      </c>
      <c r="P196" s="607" t="s">
        <v>1741</v>
      </c>
      <c r="Q196" s="628"/>
    </row>
    <row r="197" spans="1:17" s="36" customFormat="1" x14ac:dyDescent="0.2">
      <c r="A197" s="605" t="s">
        <v>276</v>
      </c>
      <c r="B197" s="605" t="s">
        <v>276</v>
      </c>
      <c r="C197" s="605">
        <v>2020</v>
      </c>
      <c r="D197" s="444" t="s">
        <v>301</v>
      </c>
      <c r="E197" s="584" t="s">
        <v>362</v>
      </c>
      <c r="F197" s="584" t="s">
        <v>74</v>
      </c>
      <c r="G197" s="584" t="s">
        <v>365</v>
      </c>
      <c r="H197" s="584" t="s">
        <v>20</v>
      </c>
      <c r="I197" s="584" t="s">
        <v>551</v>
      </c>
      <c r="J197" s="584">
        <v>500</v>
      </c>
      <c r="K197" s="584"/>
      <c r="L197" s="445" t="s">
        <v>560</v>
      </c>
      <c r="M197" s="613">
        <v>725</v>
      </c>
      <c r="N197" s="616">
        <f t="shared" si="2"/>
        <v>1.45</v>
      </c>
      <c r="O197" s="213">
        <v>48</v>
      </c>
      <c r="P197" s="607" t="s">
        <v>1741</v>
      </c>
      <c r="Q197" s="628"/>
    </row>
    <row r="198" spans="1:17" s="36" customFormat="1" ht="25.5" x14ac:dyDescent="0.2">
      <c r="A198" s="605" t="s">
        <v>276</v>
      </c>
      <c r="B198" s="605" t="s">
        <v>276</v>
      </c>
      <c r="C198" s="605">
        <v>2020</v>
      </c>
      <c r="D198" s="444" t="s">
        <v>301</v>
      </c>
      <c r="E198" s="584" t="s">
        <v>362</v>
      </c>
      <c r="F198" s="584" t="s">
        <v>74</v>
      </c>
      <c r="G198" s="584" t="s">
        <v>365</v>
      </c>
      <c r="H198" s="584" t="s">
        <v>549</v>
      </c>
      <c r="I198" s="584" t="s">
        <v>551</v>
      </c>
      <c r="J198" s="584">
        <v>100</v>
      </c>
      <c r="K198" s="584"/>
      <c r="L198" s="445" t="s">
        <v>560</v>
      </c>
      <c r="M198" s="613">
        <v>725</v>
      </c>
      <c r="N198" s="616">
        <f t="shared" ref="N198:N261" si="3">M198/J198</f>
        <v>7.25</v>
      </c>
      <c r="O198" s="213">
        <v>48</v>
      </c>
      <c r="P198" s="607" t="s">
        <v>1741</v>
      </c>
      <c r="Q198" s="628" t="s">
        <v>1695</v>
      </c>
    </row>
    <row r="199" spans="1:17" s="36" customFormat="1" ht="25.5" x14ac:dyDescent="0.2">
      <c r="A199" s="605" t="s">
        <v>276</v>
      </c>
      <c r="B199" s="605" t="s">
        <v>276</v>
      </c>
      <c r="C199" s="605">
        <v>2020</v>
      </c>
      <c r="D199" s="444" t="s">
        <v>301</v>
      </c>
      <c r="E199" s="584" t="s">
        <v>362</v>
      </c>
      <c r="F199" s="584" t="s">
        <v>74</v>
      </c>
      <c r="G199" s="584" t="s">
        <v>365</v>
      </c>
      <c r="H199" s="584" t="s">
        <v>550</v>
      </c>
      <c r="I199" s="584" t="s">
        <v>551</v>
      </c>
      <c r="J199" s="584">
        <v>100</v>
      </c>
      <c r="K199" s="584"/>
      <c r="L199" s="445" t="s">
        <v>560</v>
      </c>
      <c r="M199" s="613">
        <v>725</v>
      </c>
      <c r="N199" s="616">
        <f t="shared" si="3"/>
        <v>7.25</v>
      </c>
      <c r="O199" s="213">
        <v>48</v>
      </c>
      <c r="P199" s="607" t="s">
        <v>1741</v>
      </c>
      <c r="Q199" s="628" t="s">
        <v>1695</v>
      </c>
    </row>
    <row r="200" spans="1:17" s="36" customFormat="1" ht="25.5" x14ac:dyDescent="0.2">
      <c r="A200" s="605" t="s">
        <v>276</v>
      </c>
      <c r="B200" s="605" t="s">
        <v>276</v>
      </c>
      <c r="C200" s="605">
        <v>2020</v>
      </c>
      <c r="D200" s="444" t="s">
        <v>301</v>
      </c>
      <c r="E200" s="584" t="s">
        <v>362</v>
      </c>
      <c r="F200" s="584" t="s">
        <v>74</v>
      </c>
      <c r="G200" s="584" t="s">
        <v>409</v>
      </c>
      <c r="H200" s="584" t="s">
        <v>42</v>
      </c>
      <c r="I200" s="584" t="s">
        <v>548</v>
      </c>
      <c r="J200" s="584">
        <v>2500</v>
      </c>
      <c r="K200" s="584"/>
      <c r="L200" s="445"/>
      <c r="M200" s="613">
        <v>5875</v>
      </c>
      <c r="N200" s="616">
        <f t="shared" si="3"/>
        <v>2.35</v>
      </c>
      <c r="O200" s="213">
        <v>50</v>
      </c>
      <c r="P200" s="607" t="s">
        <v>1736</v>
      </c>
      <c r="Q200" s="628" t="s">
        <v>1695</v>
      </c>
    </row>
    <row r="201" spans="1:17" s="36" customFormat="1" ht="25.5" x14ac:dyDescent="0.2">
      <c r="A201" s="605" t="s">
        <v>276</v>
      </c>
      <c r="B201" s="605" t="s">
        <v>276</v>
      </c>
      <c r="C201" s="605">
        <v>2020</v>
      </c>
      <c r="D201" s="444" t="s">
        <v>301</v>
      </c>
      <c r="E201" s="584" t="s">
        <v>362</v>
      </c>
      <c r="F201" s="584" t="s">
        <v>74</v>
      </c>
      <c r="G201" s="584" t="s">
        <v>409</v>
      </c>
      <c r="H201" s="584" t="s">
        <v>19</v>
      </c>
      <c r="I201" s="584" t="s">
        <v>548</v>
      </c>
      <c r="J201" s="584">
        <v>500</v>
      </c>
      <c r="K201" s="584"/>
      <c r="L201" s="445" t="s">
        <v>558</v>
      </c>
      <c r="M201" s="613">
        <v>1530</v>
      </c>
      <c r="N201" s="616">
        <f t="shared" si="3"/>
        <v>3.06</v>
      </c>
      <c r="O201" s="213">
        <v>18</v>
      </c>
      <c r="P201" s="632" t="s">
        <v>1753</v>
      </c>
      <c r="Q201" s="628" t="s">
        <v>1695</v>
      </c>
    </row>
    <row r="202" spans="1:17" s="36" customFormat="1" ht="25.5" x14ac:dyDescent="0.2">
      <c r="A202" s="605" t="s">
        <v>276</v>
      </c>
      <c r="B202" s="605" t="s">
        <v>276</v>
      </c>
      <c r="C202" s="605">
        <v>2020</v>
      </c>
      <c r="D202" s="444" t="s">
        <v>301</v>
      </c>
      <c r="E202" s="584" t="s">
        <v>362</v>
      </c>
      <c r="F202" s="584" t="s">
        <v>74</v>
      </c>
      <c r="G202" s="584" t="s">
        <v>409</v>
      </c>
      <c r="H202" s="584" t="s">
        <v>20</v>
      </c>
      <c r="I202" s="584" t="s">
        <v>548</v>
      </c>
      <c r="J202" s="584">
        <v>500</v>
      </c>
      <c r="K202" s="584"/>
      <c r="L202" s="445" t="s">
        <v>558</v>
      </c>
      <c r="M202" s="613">
        <v>1530</v>
      </c>
      <c r="N202" s="616">
        <f t="shared" si="3"/>
        <v>3.06</v>
      </c>
      <c r="O202" s="213">
        <v>18</v>
      </c>
      <c r="P202" s="632" t="s">
        <v>1753</v>
      </c>
      <c r="Q202" s="628" t="s">
        <v>1695</v>
      </c>
    </row>
    <row r="203" spans="1:17" s="36" customFormat="1" x14ac:dyDescent="0.2">
      <c r="A203" s="605" t="s">
        <v>276</v>
      </c>
      <c r="B203" s="605" t="s">
        <v>276</v>
      </c>
      <c r="C203" s="605">
        <v>2020</v>
      </c>
      <c r="D203" s="444" t="s">
        <v>301</v>
      </c>
      <c r="E203" s="584" t="s">
        <v>362</v>
      </c>
      <c r="F203" s="584" t="s">
        <v>74</v>
      </c>
      <c r="G203" s="584" t="s">
        <v>409</v>
      </c>
      <c r="H203" s="584" t="s">
        <v>549</v>
      </c>
      <c r="I203" s="584" t="s">
        <v>548</v>
      </c>
      <c r="J203" s="584">
        <v>0</v>
      </c>
      <c r="K203" s="584"/>
      <c r="L203" s="445" t="s">
        <v>552</v>
      </c>
      <c r="M203" s="613">
        <v>1</v>
      </c>
      <c r="N203" s="616"/>
      <c r="O203" s="213">
        <v>1</v>
      </c>
      <c r="P203" s="607"/>
      <c r="Q203" s="628" t="s">
        <v>552</v>
      </c>
    </row>
    <row r="204" spans="1:17" s="36" customFormat="1" x14ac:dyDescent="0.2">
      <c r="A204" s="605" t="s">
        <v>276</v>
      </c>
      <c r="B204" s="605" t="s">
        <v>276</v>
      </c>
      <c r="C204" s="605">
        <v>2020</v>
      </c>
      <c r="D204" s="444" t="s">
        <v>301</v>
      </c>
      <c r="E204" s="584" t="s">
        <v>362</v>
      </c>
      <c r="F204" s="584" t="s">
        <v>74</v>
      </c>
      <c r="G204" s="584" t="s">
        <v>409</v>
      </c>
      <c r="H204" s="584" t="s">
        <v>550</v>
      </c>
      <c r="I204" s="584" t="s">
        <v>548</v>
      </c>
      <c r="J204" s="584">
        <v>0</v>
      </c>
      <c r="K204" s="584"/>
      <c r="L204" s="445" t="s">
        <v>552</v>
      </c>
      <c r="M204" s="613">
        <v>0</v>
      </c>
      <c r="N204" s="616"/>
      <c r="O204" s="213">
        <v>0</v>
      </c>
      <c r="P204" s="607"/>
      <c r="Q204" s="628" t="s">
        <v>552</v>
      </c>
    </row>
    <row r="205" spans="1:17" s="36" customFormat="1" x14ac:dyDescent="0.2">
      <c r="A205" s="605" t="s">
        <v>276</v>
      </c>
      <c r="B205" s="605" t="s">
        <v>276</v>
      </c>
      <c r="C205" s="605">
        <v>2020</v>
      </c>
      <c r="D205" s="444" t="s">
        <v>301</v>
      </c>
      <c r="E205" s="584" t="s">
        <v>362</v>
      </c>
      <c r="F205" s="584" t="s">
        <v>74</v>
      </c>
      <c r="G205" s="584" t="s">
        <v>409</v>
      </c>
      <c r="H205" s="584" t="s">
        <v>42</v>
      </c>
      <c r="I205" s="584" t="s">
        <v>551</v>
      </c>
      <c r="J205" s="584">
        <v>0</v>
      </c>
      <c r="K205" s="584"/>
      <c r="L205" s="445" t="s">
        <v>554</v>
      </c>
      <c r="M205" s="613">
        <v>0</v>
      </c>
      <c r="N205" s="616"/>
      <c r="O205" s="213">
        <v>0</v>
      </c>
      <c r="P205" s="607"/>
      <c r="Q205" s="628" t="s">
        <v>552</v>
      </c>
    </row>
    <row r="206" spans="1:17" s="36" customFormat="1" x14ac:dyDescent="0.2">
      <c r="A206" s="605" t="s">
        <v>276</v>
      </c>
      <c r="B206" s="605" t="s">
        <v>276</v>
      </c>
      <c r="C206" s="605">
        <v>2020</v>
      </c>
      <c r="D206" s="444" t="s">
        <v>301</v>
      </c>
      <c r="E206" s="584" t="s">
        <v>362</v>
      </c>
      <c r="F206" s="584" t="s">
        <v>74</v>
      </c>
      <c r="G206" s="584" t="s">
        <v>409</v>
      </c>
      <c r="H206" s="584" t="s">
        <v>19</v>
      </c>
      <c r="I206" s="584" t="s">
        <v>551</v>
      </c>
      <c r="J206" s="584">
        <v>0</v>
      </c>
      <c r="K206" s="584"/>
      <c r="L206" s="445" t="s">
        <v>554</v>
      </c>
      <c r="M206" s="613">
        <v>0</v>
      </c>
      <c r="N206" s="616"/>
      <c r="O206" s="213">
        <v>0</v>
      </c>
      <c r="P206" s="607"/>
      <c r="Q206" s="628" t="s">
        <v>552</v>
      </c>
    </row>
    <row r="207" spans="1:17" s="36" customFormat="1" x14ac:dyDescent="0.2">
      <c r="A207" s="605" t="s">
        <v>276</v>
      </c>
      <c r="B207" s="605" t="s">
        <v>276</v>
      </c>
      <c r="C207" s="605">
        <v>2020</v>
      </c>
      <c r="D207" s="444" t="s">
        <v>301</v>
      </c>
      <c r="E207" s="584" t="s">
        <v>362</v>
      </c>
      <c r="F207" s="584" t="s">
        <v>74</v>
      </c>
      <c r="G207" s="584" t="s">
        <v>409</v>
      </c>
      <c r="H207" s="584" t="s">
        <v>20</v>
      </c>
      <c r="I207" s="584" t="s">
        <v>551</v>
      </c>
      <c r="J207" s="584">
        <v>0</v>
      </c>
      <c r="K207" s="584"/>
      <c r="L207" s="445" t="s">
        <v>554</v>
      </c>
      <c r="M207" s="613">
        <v>0</v>
      </c>
      <c r="N207" s="616"/>
      <c r="O207" s="213">
        <v>0</v>
      </c>
      <c r="P207" s="607"/>
      <c r="Q207" s="628" t="s">
        <v>552</v>
      </c>
    </row>
    <row r="208" spans="1:17" s="36" customFormat="1" x14ac:dyDescent="0.2">
      <c r="A208" s="605" t="s">
        <v>276</v>
      </c>
      <c r="B208" s="605" t="s">
        <v>276</v>
      </c>
      <c r="C208" s="605">
        <v>2020</v>
      </c>
      <c r="D208" s="444" t="s">
        <v>301</v>
      </c>
      <c r="E208" s="584" t="s">
        <v>362</v>
      </c>
      <c r="F208" s="584" t="s">
        <v>74</v>
      </c>
      <c r="G208" s="584" t="s">
        <v>409</v>
      </c>
      <c r="H208" s="584" t="s">
        <v>549</v>
      </c>
      <c r="I208" s="584" t="s">
        <v>551</v>
      </c>
      <c r="J208" s="584">
        <v>0</v>
      </c>
      <c r="K208" s="584"/>
      <c r="L208" s="445" t="s">
        <v>552</v>
      </c>
      <c r="M208" s="613">
        <v>0</v>
      </c>
      <c r="N208" s="616"/>
      <c r="O208" s="213">
        <v>0</v>
      </c>
      <c r="P208" s="607"/>
      <c r="Q208" s="628" t="s">
        <v>552</v>
      </c>
    </row>
    <row r="209" spans="1:17" s="36" customFormat="1" x14ac:dyDescent="0.2">
      <c r="A209" s="605" t="s">
        <v>276</v>
      </c>
      <c r="B209" s="605" t="s">
        <v>276</v>
      </c>
      <c r="C209" s="605">
        <v>2020</v>
      </c>
      <c r="D209" s="444" t="s">
        <v>301</v>
      </c>
      <c r="E209" s="584" t="s">
        <v>362</v>
      </c>
      <c r="F209" s="584" t="s">
        <v>74</v>
      </c>
      <c r="G209" s="584" t="s">
        <v>409</v>
      </c>
      <c r="H209" s="584" t="s">
        <v>550</v>
      </c>
      <c r="I209" s="584" t="s">
        <v>551</v>
      </c>
      <c r="J209" s="584">
        <v>0</v>
      </c>
      <c r="K209" s="584"/>
      <c r="L209" s="445" t="s">
        <v>552</v>
      </c>
      <c r="M209" s="613">
        <v>0</v>
      </c>
      <c r="N209" s="616"/>
      <c r="O209" s="213">
        <v>0</v>
      </c>
      <c r="P209" s="607"/>
      <c r="Q209" s="628" t="s">
        <v>552</v>
      </c>
    </row>
    <row r="210" spans="1:17" s="36" customFormat="1" ht="76.5" x14ac:dyDescent="0.2">
      <c r="A210" s="605" t="s">
        <v>276</v>
      </c>
      <c r="B210" s="605" t="s">
        <v>276</v>
      </c>
      <c r="C210" s="605">
        <v>2020</v>
      </c>
      <c r="D210" s="444" t="s">
        <v>301</v>
      </c>
      <c r="E210" s="584" t="s">
        <v>362</v>
      </c>
      <c r="F210" s="584" t="s">
        <v>74</v>
      </c>
      <c r="G210" s="584" t="s">
        <v>384</v>
      </c>
      <c r="H210" s="584" t="s">
        <v>42</v>
      </c>
      <c r="I210" s="584" t="s">
        <v>548</v>
      </c>
      <c r="J210" s="584">
        <v>2000</v>
      </c>
      <c r="K210" s="584"/>
      <c r="L210" s="445"/>
      <c r="M210" s="613">
        <v>576</v>
      </c>
      <c r="N210" s="616">
        <f t="shared" si="3"/>
        <v>0.28799999999999998</v>
      </c>
      <c r="O210" s="213">
        <v>14</v>
      </c>
      <c r="P210" s="607" t="s">
        <v>1736</v>
      </c>
      <c r="Q210" s="628" t="s">
        <v>1770</v>
      </c>
    </row>
    <row r="211" spans="1:17" s="36" customFormat="1" x14ac:dyDescent="0.2">
      <c r="A211" s="605" t="s">
        <v>276</v>
      </c>
      <c r="B211" s="605" t="s">
        <v>276</v>
      </c>
      <c r="C211" s="605">
        <v>2020</v>
      </c>
      <c r="D211" s="444" t="s">
        <v>301</v>
      </c>
      <c r="E211" s="584" t="s">
        <v>362</v>
      </c>
      <c r="F211" s="584" t="s">
        <v>74</v>
      </c>
      <c r="G211" s="584" t="s">
        <v>384</v>
      </c>
      <c r="H211" s="584" t="s">
        <v>19</v>
      </c>
      <c r="I211" s="584" t="s">
        <v>548</v>
      </c>
      <c r="J211" s="584">
        <v>300</v>
      </c>
      <c r="K211" s="584"/>
      <c r="L211" s="445" t="s">
        <v>558</v>
      </c>
      <c r="M211" s="613">
        <v>301</v>
      </c>
      <c r="N211" s="616">
        <f t="shared" si="3"/>
        <v>1.0033333333333334</v>
      </c>
      <c r="O211" s="213">
        <v>17</v>
      </c>
      <c r="P211" s="607" t="s">
        <v>1753</v>
      </c>
      <c r="Q211" s="628"/>
    </row>
    <row r="212" spans="1:17" s="36" customFormat="1" x14ac:dyDescent="0.2">
      <c r="A212" s="605" t="s">
        <v>276</v>
      </c>
      <c r="B212" s="605" t="s">
        <v>276</v>
      </c>
      <c r="C212" s="605">
        <v>2020</v>
      </c>
      <c r="D212" s="444" t="s">
        <v>301</v>
      </c>
      <c r="E212" s="584" t="s">
        <v>362</v>
      </c>
      <c r="F212" s="584" t="s">
        <v>74</v>
      </c>
      <c r="G212" s="584" t="s">
        <v>384</v>
      </c>
      <c r="H212" s="584" t="s">
        <v>20</v>
      </c>
      <c r="I212" s="584" t="s">
        <v>548</v>
      </c>
      <c r="J212" s="584">
        <v>300</v>
      </c>
      <c r="K212" s="584"/>
      <c r="L212" s="445" t="s">
        <v>558</v>
      </c>
      <c r="M212" s="613">
        <v>301</v>
      </c>
      <c r="N212" s="616">
        <f t="shared" si="3"/>
        <v>1.0033333333333334</v>
      </c>
      <c r="O212" s="213">
        <v>17</v>
      </c>
      <c r="P212" s="607" t="s">
        <v>1753</v>
      </c>
      <c r="Q212" s="628"/>
    </row>
    <row r="213" spans="1:17" s="36" customFormat="1" ht="76.5" x14ac:dyDescent="0.2">
      <c r="A213" s="605" t="s">
        <v>276</v>
      </c>
      <c r="B213" s="605" t="s">
        <v>276</v>
      </c>
      <c r="C213" s="605">
        <v>2020</v>
      </c>
      <c r="D213" s="444" t="s">
        <v>301</v>
      </c>
      <c r="E213" s="584" t="s">
        <v>362</v>
      </c>
      <c r="F213" s="584" t="s">
        <v>74</v>
      </c>
      <c r="G213" s="584" t="s">
        <v>384</v>
      </c>
      <c r="H213" s="584" t="s">
        <v>549</v>
      </c>
      <c r="I213" s="584" t="s">
        <v>548</v>
      </c>
      <c r="J213" s="584">
        <v>100</v>
      </c>
      <c r="K213" s="584"/>
      <c r="L213" s="445" t="s">
        <v>558</v>
      </c>
      <c r="M213" s="613">
        <v>0</v>
      </c>
      <c r="N213" s="616">
        <f t="shared" si="3"/>
        <v>0</v>
      </c>
      <c r="O213" s="213">
        <v>0</v>
      </c>
      <c r="P213" s="607" t="s">
        <v>1753</v>
      </c>
      <c r="Q213" s="628" t="s">
        <v>1770</v>
      </c>
    </row>
    <row r="214" spans="1:17" s="36" customFormat="1" ht="76.5" x14ac:dyDescent="0.2">
      <c r="A214" s="605" t="s">
        <v>276</v>
      </c>
      <c r="B214" s="605" t="s">
        <v>276</v>
      </c>
      <c r="C214" s="605">
        <v>2020</v>
      </c>
      <c r="D214" s="444" t="s">
        <v>301</v>
      </c>
      <c r="E214" s="584" t="s">
        <v>362</v>
      </c>
      <c r="F214" s="584" t="s">
        <v>74</v>
      </c>
      <c r="G214" s="584" t="s">
        <v>384</v>
      </c>
      <c r="H214" s="584" t="s">
        <v>550</v>
      </c>
      <c r="I214" s="584" t="s">
        <v>548</v>
      </c>
      <c r="J214" s="584">
        <v>100</v>
      </c>
      <c r="K214" s="584"/>
      <c r="L214" s="445" t="s">
        <v>558</v>
      </c>
      <c r="M214" s="613">
        <v>0</v>
      </c>
      <c r="N214" s="616">
        <f t="shared" si="3"/>
        <v>0</v>
      </c>
      <c r="O214" s="213">
        <v>0</v>
      </c>
      <c r="P214" s="607" t="s">
        <v>1753</v>
      </c>
      <c r="Q214" s="628" t="s">
        <v>1770</v>
      </c>
    </row>
    <row r="215" spans="1:17" s="36" customFormat="1" x14ac:dyDescent="0.2">
      <c r="A215" s="605" t="s">
        <v>276</v>
      </c>
      <c r="B215" s="605" t="s">
        <v>276</v>
      </c>
      <c r="C215" s="605">
        <v>2020</v>
      </c>
      <c r="D215" s="444" t="s">
        <v>301</v>
      </c>
      <c r="E215" s="584" t="s">
        <v>362</v>
      </c>
      <c r="F215" s="584" t="s">
        <v>74</v>
      </c>
      <c r="G215" s="584" t="s">
        <v>384</v>
      </c>
      <c r="H215" s="584" t="s">
        <v>42</v>
      </c>
      <c r="I215" s="584" t="s">
        <v>551</v>
      </c>
      <c r="J215" s="584">
        <v>0</v>
      </c>
      <c r="K215" s="584"/>
      <c r="L215" s="445" t="s">
        <v>554</v>
      </c>
      <c r="M215" s="613">
        <v>5</v>
      </c>
      <c r="N215" s="616"/>
      <c r="O215" s="213">
        <v>1</v>
      </c>
      <c r="P215" s="607"/>
      <c r="Q215" s="628" t="s">
        <v>552</v>
      </c>
    </row>
    <row r="216" spans="1:17" s="36" customFormat="1" x14ac:dyDescent="0.2">
      <c r="A216" s="605" t="s">
        <v>276</v>
      </c>
      <c r="B216" s="605" t="s">
        <v>276</v>
      </c>
      <c r="C216" s="605">
        <v>2020</v>
      </c>
      <c r="D216" s="444" t="s">
        <v>301</v>
      </c>
      <c r="E216" s="584" t="s">
        <v>362</v>
      </c>
      <c r="F216" s="584" t="s">
        <v>74</v>
      </c>
      <c r="G216" s="584" t="s">
        <v>384</v>
      </c>
      <c r="H216" s="584" t="s">
        <v>19</v>
      </c>
      <c r="I216" s="584" t="s">
        <v>551</v>
      </c>
      <c r="J216" s="584">
        <v>0</v>
      </c>
      <c r="K216" s="584"/>
      <c r="L216" s="445" t="s">
        <v>554</v>
      </c>
      <c r="M216" s="613">
        <v>4</v>
      </c>
      <c r="N216" s="616"/>
      <c r="O216" s="213">
        <v>1</v>
      </c>
      <c r="P216" s="607"/>
      <c r="Q216" s="628" t="s">
        <v>552</v>
      </c>
    </row>
    <row r="217" spans="1:17" s="36" customFormat="1" x14ac:dyDescent="0.2">
      <c r="A217" s="605" t="s">
        <v>276</v>
      </c>
      <c r="B217" s="605" t="s">
        <v>276</v>
      </c>
      <c r="C217" s="605">
        <v>2020</v>
      </c>
      <c r="D217" s="444" t="s">
        <v>301</v>
      </c>
      <c r="E217" s="584" t="s">
        <v>362</v>
      </c>
      <c r="F217" s="584" t="s">
        <v>74</v>
      </c>
      <c r="G217" s="584" t="s">
        <v>384</v>
      </c>
      <c r="H217" s="584" t="s">
        <v>20</v>
      </c>
      <c r="I217" s="584" t="s">
        <v>551</v>
      </c>
      <c r="J217" s="584">
        <v>0</v>
      </c>
      <c r="K217" s="584"/>
      <c r="L217" s="445" t="s">
        <v>554</v>
      </c>
      <c r="M217" s="613">
        <v>4</v>
      </c>
      <c r="N217" s="616"/>
      <c r="O217" s="213">
        <v>1</v>
      </c>
      <c r="P217" s="607"/>
      <c r="Q217" s="628" t="s">
        <v>552</v>
      </c>
    </row>
    <row r="218" spans="1:17" s="36" customFormat="1" x14ac:dyDescent="0.2">
      <c r="A218" s="605" t="s">
        <v>276</v>
      </c>
      <c r="B218" s="605" t="s">
        <v>276</v>
      </c>
      <c r="C218" s="605">
        <v>2020</v>
      </c>
      <c r="D218" s="444" t="s">
        <v>301</v>
      </c>
      <c r="E218" s="584" t="s">
        <v>362</v>
      </c>
      <c r="F218" s="584" t="s">
        <v>74</v>
      </c>
      <c r="G218" s="584" t="s">
        <v>384</v>
      </c>
      <c r="H218" s="584" t="s">
        <v>549</v>
      </c>
      <c r="I218" s="584" t="s">
        <v>551</v>
      </c>
      <c r="J218" s="584">
        <v>0</v>
      </c>
      <c r="K218" s="584"/>
      <c r="L218" s="445" t="s">
        <v>554</v>
      </c>
      <c r="M218" s="613">
        <v>4</v>
      </c>
      <c r="N218" s="616"/>
      <c r="O218" s="213">
        <v>1</v>
      </c>
      <c r="P218" s="607"/>
      <c r="Q218" s="628" t="s">
        <v>552</v>
      </c>
    </row>
    <row r="219" spans="1:17" s="36" customFormat="1" x14ac:dyDescent="0.2">
      <c r="A219" s="605" t="s">
        <v>276</v>
      </c>
      <c r="B219" s="605" t="s">
        <v>276</v>
      </c>
      <c r="C219" s="605">
        <v>2020</v>
      </c>
      <c r="D219" s="444" t="s">
        <v>301</v>
      </c>
      <c r="E219" s="584" t="s">
        <v>362</v>
      </c>
      <c r="F219" s="584" t="s">
        <v>74</v>
      </c>
      <c r="G219" s="584" t="s">
        <v>384</v>
      </c>
      <c r="H219" s="584" t="s">
        <v>550</v>
      </c>
      <c r="I219" s="584" t="s">
        <v>551</v>
      </c>
      <c r="J219" s="584">
        <v>0</v>
      </c>
      <c r="K219" s="584"/>
      <c r="L219" s="445" t="s">
        <v>554</v>
      </c>
      <c r="M219" s="613">
        <v>4</v>
      </c>
      <c r="N219" s="616"/>
      <c r="O219" s="213">
        <v>1</v>
      </c>
      <c r="P219" s="607"/>
      <c r="Q219" s="628" t="s">
        <v>552</v>
      </c>
    </row>
    <row r="220" spans="1:17" s="36" customFormat="1" x14ac:dyDescent="0.2">
      <c r="A220" s="605" t="s">
        <v>276</v>
      </c>
      <c r="B220" s="605" t="s">
        <v>276</v>
      </c>
      <c r="C220" s="605">
        <v>2020</v>
      </c>
      <c r="D220" s="444" t="s">
        <v>301</v>
      </c>
      <c r="E220" s="584" t="s">
        <v>362</v>
      </c>
      <c r="F220" s="584" t="s">
        <v>74</v>
      </c>
      <c r="G220" s="584" t="s">
        <v>431</v>
      </c>
      <c r="H220" s="584" t="s">
        <v>42</v>
      </c>
      <c r="I220" s="584" t="s">
        <v>548</v>
      </c>
      <c r="J220" s="584">
        <v>15000</v>
      </c>
      <c r="K220" s="584"/>
      <c r="L220" s="445" t="s">
        <v>1538</v>
      </c>
      <c r="M220" s="613">
        <v>13612</v>
      </c>
      <c r="N220" s="616">
        <f t="shared" si="3"/>
        <v>0.90746666666666664</v>
      </c>
      <c r="O220" s="213">
        <v>217</v>
      </c>
      <c r="P220" s="607" t="s">
        <v>1736</v>
      </c>
      <c r="Q220" s="639"/>
    </row>
    <row r="221" spans="1:17" s="36" customFormat="1" ht="25.5" x14ac:dyDescent="0.2">
      <c r="A221" s="605" t="s">
        <v>276</v>
      </c>
      <c r="B221" s="605" t="s">
        <v>276</v>
      </c>
      <c r="C221" s="605">
        <v>2020</v>
      </c>
      <c r="D221" s="444" t="s">
        <v>301</v>
      </c>
      <c r="E221" s="584" t="s">
        <v>362</v>
      </c>
      <c r="F221" s="584" t="s">
        <v>74</v>
      </c>
      <c r="G221" s="584" t="s">
        <v>431</v>
      </c>
      <c r="H221" s="584" t="s">
        <v>19</v>
      </c>
      <c r="I221" s="584" t="s">
        <v>548</v>
      </c>
      <c r="J221" s="584">
        <v>1000</v>
      </c>
      <c r="K221" s="584"/>
      <c r="L221" s="445" t="s">
        <v>558</v>
      </c>
      <c r="M221" s="613">
        <v>2512</v>
      </c>
      <c r="N221" s="616">
        <f t="shared" si="3"/>
        <v>2.512</v>
      </c>
      <c r="O221" s="213">
        <v>106</v>
      </c>
      <c r="P221" s="607" t="s">
        <v>1753</v>
      </c>
      <c r="Q221" s="628" t="s">
        <v>1695</v>
      </c>
    </row>
    <row r="222" spans="1:17" s="36" customFormat="1" ht="25.5" x14ac:dyDescent="0.2">
      <c r="A222" s="605" t="s">
        <v>276</v>
      </c>
      <c r="B222" s="605" t="s">
        <v>276</v>
      </c>
      <c r="C222" s="605">
        <v>2020</v>
      </c>
      <c r="D222" s="444" t="s">
        <v>301</v>
      </c>
      <c r="E222" s="584" t="s">
        <v>362</v>
      </c>
      <c r="F222" s="584" t="s">
        <v>74</v>
      </c>
      <c r="G222" s="584" t="s">
        <v>431</v>
      </c>
      <c r="H222" s="584" t="s">
        <v>20</v>
      </c>
      <c r="I222" s="584" t="s">
        <v>548</v>
      </c>
      <c r="J222" s="584">
        <v>1000</v>
      </c>
      <c r="K222" s="584"/>
      <c r="L222" s="445" t="s">
        <v>558</v>
      </c>
      <c r="M222" s="613">
        <v>2512</v>
      </c>
      <c r="N222" s="616">
        <f t="shared" si="3"/>
        <v>2.512</v>
      </c>
      <c r="O222" s="213">
        <v>106</v>
      </c>
      <c r="P222" s="607" t="s">
        <v>1753</v>
      </c>
      <c r="Q222" s="628" t="s">
        <v>1695</v>
      </c>
    </row>
    <row r="223" spans="1:17" s="36" customFormat="1" ht="38.25" x14ac:dyDescent="0.2">
      <c r="A223" s="605" t="s">
        <v>276</v>
      </c>
      <c r="B223" s="605" t="s">
        <v>276</v>
      </c>
      <c r="C223" s="605">
        <v>2020</v>
      </c>
      <c r="D223" s="444" t="s">
        <v>301</v>
      </c>
      <c r="E223" s="584" t="s">
        <v>362</v>
      </c>
      <c r="F223" s="584" t="s">
        <v>74</v>
      </c>
      <c r="G223" s="584" t="s">
        <v>431</v>
      </c>
      <c r="H223" s="584" t="s">
        <v>549</v>
      </c>
      <c r="I223" s="584" t="s">
        <v>548</v>
      </c>
      <c r="J223" s="584">
        <v>500</v>
      </c>
      <c r="K223" s="584"/>
      <c r="L223" s="445" t="s">
        <v>558</v>
      </c>
      <c r="M223" s="613">
        <v>59</v>
      </c>
      <c r="N223" s="616">
        <f t="shared" si="3"/>
        <v>0.11799999999999999</v>
      </c>
      <c r="O223" s="213">
        <v>2</v>
      </c>
      <c r="P223" s="607" t="s">
        <v>1753</v>
      </c>
      <c r="Q223" s="628" t="s">
        <v>1758</v>
      </c>
    </row>
    <row r="224" spans="1:17" s="36" customFormat="1" ht="38.25" x14ac:dyDescent="0.2">
      <c r="A224" s="605" t="s">
        <v>276</v>
      </c>
      <c r="B224" s="605" t="s">
        <v>276</v>
      </c>
      <c r="C224" s="605">
        <v>2020</v>
      </c>
      <c r="D224" s="444" t="s">
        <v>301</v>
      </c>
      <c r="E224" s="584" t="s">
        <v>362</v>
      </c>
      <c r="F224" s="584" t="s">
        <v>74</v>
      </c>
      <c r="G224" s="584" t="s">
        <v>431</v>
      </c>
      <c r="H224" s="584" t="s">
        <v>550</v>
      </c>
      <c r="I224" s="584" t="s">
        <v>548</v>
      </c>
      <c r="J224" s="584">
        <v>500</v>
      </c>
      <c r="K224" s="584"/>
      <c r="L224" s="445" t="s">
        <v>558</v>
      </c>
      <c r="M224" s="613">
        <v>66</v>
      </c>
      <c r="N224" s="616">
        <f t="shared" si="3"/>
        <v>0.13200000000000001</v>
      </c>
      <c r="O224" s="213">
        <v>2</v>
      </c>
      <c r="P224" s="607" t="s">
        <v>1753</v>
      </c>
      <c r="Q224" s="628" t="s">
        <v>1758</v>
      </c>
    </row>
    <row r="225" spans="1:17" s="36" customFormat="1" ht="25.5" x14ac:dyDescent="0.2">
      <c r="A225" s="605" t="s">
        <v>276</v>
      </c>
      <c r="B225" s="605" t="s">
        <v>276</v>
      </c>
      <c r="C225" s="605">
        <v>2020</v>
      </c>
      <c r="D225" s="444" t="s">
        <v>301</v>
      </c>
      <c r="E225" s="584" t="s">
        <v>362</v>
      </c>
      <c r="F225" s="584" t="s">
        <v>74</v>
      </c>
      <c r="G225" s="584" t="s">
        <v>431</v>
      </c>
      <c r="H225" s="584" t="s">
        <v>42</v>
      </c>
      <c r="I225" s="584" t="s">
        <v>551</v>
      </c>
      <c r="J225" s="584">
        <v>5000</v>
      </c>
      <c r="K225" s="584"/>
      <c r="L225" s="445" t="s">
        <v>560</v>
      </c>
      <c r="M225" s="613">
        <v>10715</v>
      </c>
      <c r="N225" s="616">
        <f t="shared" si="3"/>
        <v>2.1429999999999998</v>
      </c>
      <c r="O225" s="213">
        <v>137</v>
      </c>
      <c r="P225" s="608" t="s">
        <v>1741</v>
      </c>
      <c r="Q225" s="628" t="s">
        <v>1695</v>
      </c>
    </row>
    <row r="226" spans="1:17" s="36" customFormat="1" ht="25.5" x14ac:dyDescent="0.2">
      <c r="A226" s="605" t="s">
        <v>276</v>
      </c>
      <c r="B226" s="605" t="s">
        <v>276</v>
      </c>
      <c r="C226" s="605">
        <v>2020</v>
      </c>
      <c r="D226" s="444" t="s">
        <v>301</v>
      </c>
      <c r="E226" s="584" t="s">
        <v>362</v>
      </c>
      <c r="F226" s="584" t="s">
        <v>74</v>
      </c>
      <c r="G226" s="584" t="s">
        <v>431</v>
      </c>
      <c r="H226" s="584" t="s">
        <v>19</v>
      </c>
      <c r="I226" s="584" t="s">
        <v>551</v>
      </c>
      <c r="J226" s="584">
        <v>750</v>
      </c>
      <c r="K226" s="584"/>
      <c r="L226" s="445" t="s">
        <v>560</v>
      </c>
      <c r="M226" s="613">
        <v>1654</v>
      </c>
      <c r="N226" s="616">
        <f t="shared" si="3"/>
        <v>2.2053333333333334</v>
      </c>
      <c r="O226" s="213">
        <v>139</v>
      </c>
      <c r="P226" s="607" t="s">
        <v>1741</v>
      </c>
      <c r="Q226" s="628" t="s">
        <v>1695</v>
      </c>
    </row>
    <row r="227" spans="1:17" s="36" customFormat="1" ht="25.5" x14ac:dyDescent="0.2">
      <c r="A227" s="605" t="s">
        <v>276</v>
      </c>
      <c r="B227" s="605" t="s">
        <v>276</v>
      </c>
      <c r="C227" s="605">
        <v>2020</v>
      </c>
      <c r="D227" s="444" t="s">
        <v>301</v>
      </c>
      <c r="E227" s="584" t="s">
        <v>362</v>
      </c>
      <c r="F227" s="584" t="s">
        <v>74</v>
      </c>
      <c r="G227" s="584" t="s">
        <v>431</v>
      </c>
      <c r="H227" s="584" t="s">
        <v>20</v>
      </c>
      <c r="I227" s="584" t="s">
        <v>551</v>
      </c>
      <c r="J227" s="584">
        <v>750</v>
      </c>
      <c r="K227" s="584"/>
      <c r="L227" s="445" t="s">
        <v>560</v>
      </c>
      <c r="M227" s="613">
        <v>1654</v>
      </c>
      <c r="N227" s="616">
        <f t="shared" si="3"/>
        <v>2.2053333333333334</v>
      </c>
      <c r="O227" s="213">
        <v>139</v>
      </c>
      <c r="P227" s="607" t="s">
        <v>1741</v>
      </c>
      <c r="Q227" s="628" t="s">
        <v>1695</v>
      </c>
    </row>
    <row r="228" spans="1:17" s="36" customFormat="1" ht="25.5" x14ac:dyDescent="0.2">
      <c r="A228" s="605" t="s">
        <v>276</v>
      </c>
      <c r="B228" s="605" t="s">
        <v>276</v>
      </c>
      <c r="C228" s="605">
        <v>2020</v>
      </c>
      <c r="D228" s="444" t="s">
        <v>301</v>
      </c>
      <c r="E228" s="584" t="s">
        <v>362</v>
      </c>
      <c r="F228" s="584" t="s">
        <v>74</v>
      </c>
      <c r="G228" s="584" t="s">
        <v>431</v>
      </c>
      <c r="H228" s="584" t="s">
        <v>549</v>
      </c>
      <c r="I228" s="584" t="s">
        <v>551</v>
      </c>
      <c r="J228" s="584">
        <v>750</v>
      </c>
      <c r="K228" s="584"/>
      <c r="L228" s="445" t="s">
        <v>1702</v>
      </c>
      <c r="M228" s="613">
        <v>1654</v>
      </c>
      <c r="N228" s="616">
        <f t="shared" si="3"/>
        <v>2.2053333333333334</v>
      </c>
      <c r="O228" s="213">
        <v>139</v>
      </c>
      <c r="P228" s="607" t="s">
        <v>1741</v>
      </c>
      <c r="Q228" s="628" t="s">
        <v>1695</v>
      </c>
    </row>
    <row r="229" spans="1:17" s="36" customFormat="1" ht="25.5" x14ac:dyDescent="0.2">
      <c r="A229" s="605" t="s">
        <v>276</v>
      </c>
      <c r="B229" s="605" t="s">
        <v>276</v>
      </c>
      <c r="C229" s="605">
        <v>2020</v>
      </c>
      <c r="D229" s="444" t="s">
        <v>301</v>
      </c>
      <c r="E229" s="584" t="s">
        <v>362</v>
      </c>
      <c r="F229" s="584" t="s">
        <v>74</v>
      </c>
      <c r="G229" s="584" t="s">
        <v>431</v>
      </c>
      <c r="H229" s="584" t="s">
        <v>550</v>
      </c>
      <c r="I229" s="584" t="s">
        <v>551</v>
      </c>
      <c r="J229" s="584">
        <v>750</v>
      </c>
      <c r="K229" s="584"/>
      <c r="L229" s="445" t="s">
        <v>1702</v>
      </c>
      <c r="M229" s="613">
        <v>1654</v>
      </c>
      <c r="N229" s="616">
        <f t="shared" si="3"/>
        <v>2.2053333333333334</v>
      </c>
      <c r="O229" s="213">
        <v>139</v>
      </c>
      <c r="P229" s="607" t="s">
        <v>1741</v>
      </c>
      <c r="Q229" s="628" t="s">
        <v>1695</v>
      </c>
    </row>
    <row r="230" spans="1:17" s="36" customFormat="1" x14ac:dyDescent="0.2">
      <c r="A230" s="605" t="s">
        <v>276</v>
      </c>
      <c r="B230" s="605" t="s">
        <v>276</v>
      </c>
      <c r="C230" s="605">
        <v>2020</v>
      </c>
      <c r="D230" s="444" t="s">
        <v>332</v>
      </c>
      <c r="E230" s="584" t="s">
        <v>362</v>
      </c>
      <c r="F230" s="584" t="s">
        <v>74</v>
      </c>
      <c r="G230" s="584" t="s">
        <v>365</v>
      </c>
      <c r="H230" s="584" t="s">
        <v>42</v>
      </c>
      <c r="I230" s="584" t="s">
        <v>548</v>
      </c>
      <c r="J230" s="584">
        <v>3000</v>
      </c>
      <c r="K230" s="584"/>
      <c r="L230" s="445"/>
      <c r="M230" s="613">
        <v>2915</v>
      </c>
      <c r="N230" s="616">
        <f t="shared" si="3"/>
        <v>0.97166666666666668</v>
      </c>
      <c r="O230" s="213">
        <v>42</v>
      </c>
      <c r="P230" s="607" t="s">
        <v>1736</v>
      </c>
      <c r="Q230" s="628"/>
    </row>
    <row r="231" spans="1:17" s="36" customFormat="1" x14ac:dyDescent="0.2">
      <c r="A231" s="605" t="s">
        <v>276</v>
      </c>
      <c r="B231" s="605" t="s">
        <v>276</v>
      </c>
      <c r="C231" s="605">
        <v>2020</v>
      </c>
      <c r="D231" s="444" t="s">
        <v>332</v>
      </c>
      <c r="E231" s="584" t="s">
        <v>362</v>
      </c>
      <c r="F231" s="584" t="s">
        <v>74</v>
      </c>
      <c r="G231" s="584" t="s">
        <v>365</v>
      </c>
      <c r="H231" s="584" t="s">
        <v>19</v>
      </c>
      <c r="I231" s="584" t="s">
        <v>548</v>
      </c>
      <c r="J231" s="584">
        <v>400</v>
      </c>
      <c r="K231" s="584"/>
      <c r="L231" s="445" t="s">
        <v>558</v>
      </c>
      <c r="M231" s="613">
        <v>548</v>
      </c>
      <c r="N231" s="616">
        <f t="shared" si="3"/>
        <v>1.37</v>
      </c>
      <c r="O231" s="213">
        <v>24</v>
      </c>
      <c r="P231" s="607" t="s">
        <v>1753</v>
      </c>
      <c r="Q231" s="628"/>
    </row>
    <row r="232" spans="1:17" s="36" customFormat="1" x14ac:dyDescent="0.2">
      <c r="A232" s="605" t="s">
        <v>276</v>
      </c>
      <c r="B232" s="605" t="s">
        <v>276</v>
      </c>
      <c r="C232" s="605">
        <v>2020</v>
      </c>
      <c r="D232" s="444" t="s">
        <v>332</v>
      </c>
      <c r="E232" s="584" t="s">
        <v>362</v>
      </c>
      <c r="F232" s="584" t="s">
        <v>74</v>
      </c>
      <c r="G232" s="584" t="s">
        <v>365</v>
      </c>
      <c r="H232" s="584" t="s">
        <v>20</v>
      </c>
      <c r="I232" s="584" t="s">
        <v>548</v>
      </c>
      <c r="J232" s="584">
        <v>400</v>
      </c>
      <c r="K232" s="584"/>
      <c r="L232" s="445" t="s">
        <v>558</v>
      </c>
      <c r="M232" s="613">
        <v>548</v>
      </c>
      <c r="N232" s="616">
        <f t="shared" si="3"/>
        <v>1.37</v>
      </c>
      <c r="O232" s="213">
        <v>24</v>
      </c>
      <c r="P232" s="607" t="s">
        <v>1753</v>
      </c>
      <c r="Q232" s="628"/>
    </row>
    <row r="233" spans="1:17" s="36" customFormat="1" ht="38.25" x14ac:dyDescent="0.2">
      <c r="A233" s="605" t="s">
        <v>276</v>
      </c>
      <c r="B233" s="605" t="s">
        <v>276</v>
      </c>
      <c r="C233" s="605">
        <v>2020</v>
      </c>
      <c r="D233" s="444" t="s">
        <v>332</v>
      </c>
      <c r="E233" s="584" t="s">
        <v>362</v>
      </c>
      <c r="F233" s="584" t="s">
        <v>74</v>
      </c>
      <c r="G233" s="584" t="s">
        <v>365</v>
      </c>
      <c r="H233" s="584" t="s">
        <v>549</v>
      </c>
      <c r="I233" s="584" t="s">
        <v>548</v>
      </c>
      <c r="J233" s="584">
        <v>100</v>
      </c>
      <c r="K233" s="584"/>
      <c r="L233" s="445" t="s">
        <v>558</v>
      </c>
      <c r="M233" s="613">
        <v>44</v>
      </c>
      <c r="N233" s="616">
        <f t="shared" si="3"/>
        <v>0.44</v>
      </c>
      <c r="O233" s="213">
        <v>1</v>
      </c>
      <c r="P233" s="607" t="s">
        <v>1753</v>
      </c>
      <c r="Q233" s="628" t="s">
        <v>1759</v>
      </c>
    </row>
    <row r="234" spans="1:17" s="36" customFormat="1" ht="38.25" x14ac:dyDescent="0.2">
      <c r="A234" s="605" t="s">
        <v>276</v>
      </c>
      <c r="B234" s="605" t="s">
        <v>276</v>
      </c>
      <c r="C234" s="605">
        <v>2020</v>
      </c>
      <c r="D234" s="444" t="s">
        <v>332</v>
      </c>
      <c r="E234" s="584" t="s">
        <v>362</v>
      </c>
      <c r="F234" s="584" t="s">
        <v>74</v>
      </c>
      <c r="G234" s="584" t="s">
        <v>365</v>
      </c>
      <c r="H234" s="584" t="s">
        <v>550</v>
      </c>
      <c r="I234" s="584" t="s">
        <v>548</v>
      </c>
      <c r="J234" s="584">
        <v>100</v>
      </c>
      <c r="K234" s="584"/>
      <c r="L234" s="445" t="s">
        <v>558</v>
      </c>
      <c r="M234" s="613">
        <v>44</v>
      </c>
      <c r="N234" s="616">
        <f t="shared" si="3"/>
        <v>0.44</v>
      </c>
      <c r="O234" s="213">
        <v>1</v>
      </c>
      <c r="P234" s="607" t="s">
        <v>1753</v>
      </c>
      <c r="Q234" s="628" t="s">
        <v>1759</v>
      </c>
    </row>
    <row r="235" spans="1:17" s="36" customFormat="1" x14ac:dyDescent="0.2">
      <c r="A235" s="605" t="s">
        <v>276</v>
      </c>
      <c r="B235" s="605" t="s">
        <v>276</v>
      </c>
      <c r="C235" s="605">
        <v>2020</v>
      </c>
      <c r="D235" s="444" t="s">
        <v>332</v>
      </c>
      <c r="E235" s="584" t="s">
        <v>362</v>
      </c>
      <c r="F235" s="584" t="s">
        <v>74</v>
      </c>
      <c r="G235" s="584" t="s">
        <v>365</v>
      </c>
      <c r="H235" s="584" t="s">
        <v>42</v>
      </c>
      <c r="I235" s="584" t="s">
        <v>551</v>
      </c>
      <c r="J235" s="584">
        <v>5000</v>
      </c>
      <c r="K235" s="584"/>
      <c r="L235" s="445" t="s">
        <v>560</v>
      </c>
      <c r="M235" s="613">
        <v>5521</v>
      </c>
      <c r="N235" s="616">
        <f t="shared" si="3"/>
        <v>1.1042000000000001</v>
      </c>
      <c r="O235" s="213">
        <v>41</v>
      </c>
      <c r="P235" s="608" t="s">
        <v>1741</v>
      </c>
      <c r="Q235" s="628"/>
    </row>
    <row r="236" spans="1:17" s="36" customFormat="1" x14ac:dyDescent="0.2">
      <c r="A236" s="605" t="s">
        <v>276</v>
      </c>
      <c r="B236" s="605" t="s">
        <v>276</v>
      </c>
      <c r="C236" s="605">
        <v>2020</v>
      </c>
      <c r="D236" s="444" t="s">
        <v>332</v>
      </c>
      <c r="E236" s="584" t="s">
        <v>362</v>
      </c>
      <c r="F236" s="584" t="s">
        <v>74</v>
      </c>
      <c r="G236" s="584" t="s">
        <v>365</v>
      </c>
      <c r="H236" s="584" t="s">
        <v>19</v>
      </c>
      <c r="I236" s="584" t="s">
        <v>551</v>
      </c>
      <c r="J236" s="584">
        <v>500</v>
      </c>
      <c r="K236" s="584"/>
      <c r="L236" s="445" t="s">
        <v>560</v>
      </c>
      <c r="M236" s="613">
        <v>561</v>
      </c>
      <c r="N236" s="616">
        <f t="shared" si="3"/>
        <v>1.1220000000000001</v>
      </c>
      <c r="O236" s="213">
        <v>41</v>
      </c>
      <c r="P236" s="607" t="s">
        <v>1741</v>
      </c>
      <c r="Q236" s="628"/>
    </row>
    <row r="237" spans="1:17" s="36" customFormat="1" x14ac:dyDescent="0.2">
      <c r="A237" s="605" t="s">
        <v>276</v>
      </c>
      <c r="B237" s="605" t="s">
        <v>276</v>
      </c>
      <c r="C237" s="605">
        <v>2020</v>
      </c>
      <c r="D237" s="444" t="s">
        <v>332</v>
      </c>
      <c r="E237" s="584" t="s">
        <v>362</v>
      </c>
      <c r="F237" s="584" t="s">
        <v>74</v>
      </c>
      <c r="G237" s="584" t="s">
        <v>365</v>
      </c>
      <c r="H237" s="584" t="s">
        <v>20</v>
      </c>
      <c r="I237" s="584" t="s">
        <v>551</v>
      </c>
      <c r="J237" s="584">
        <v>500</v>
      </c>
      <c r="K237" s="584"/>
      <c r="L237" s="445" t="s">
        <v>560</v>
      </c>
      <c r="M237" s="613">
        <v>561</v>
      </c>
      <c r="N237" s="616">
        <f t="shared" si="3"/>
        <v>1.1220000000000001</v>
      </c>
      <c r="O237" s="213">
        <v>41</v>
      </c>
      <c r="P237" s="607" t="s">
        <v>1741</v>
      </c>
      <c r="Q237" s="628"/>
    </row>
    <row r="238" spans="1:17" s="36" customFormat="1" x14ac:dyDescent="0.2">
      <c r="A238" s="605" t="s">
        <v>276</v>
      </c>
      <c r="B238" s="605" t="s">
        <v>276</v>
      </c>
      <c r="C238" s="605">
        <v>2020</v>
      </c>
      <c r="D238" s="444" t="s">
        <v>332</v>
      </c>
      <c r="E238" s="584" t="s">
        <v>362</v>
      </c>
      <c r="F238" s="584" t="s">
        <v>74</v>
      </c>
      <c r="G238" s="584" t="s">
        <v>365</v>
      </c>
      <c r="H238" s="584" t="s">
        <v>549</v>
      </c>
      <c r="I238" s="584" t="s">
        <v>551</v>
      </c>
      <c r="J238" s="584">
        <v>500</v>
      </c>
      <c r="K238" s="584"/>
      <c r="L238" s="445" t="s">
        <v>560</v>
      </c>
      <c r="M238" s="613">
        <v>561</v>
      </c>
      <c r="N238" s="616">
        <f t="shared" si="3"/>
        <v>1.1220000000000001</v>
      </c>
      <c r="O238" s="213">
        <v>41</v>
      </c>
      <c r="P238" s="607" t="s">
        <v>1741</v>
      </c>
      <c r="Q238" s="628"/>
    </row>
    <row r="239" spans="1:17" s="36" customFormat="1" x14ac:dyDescent="0.2">
      <c r="A239" s="605" t="s">
        <v>276</v>
      </c>
      <c r="B239" s="605" t="s">
        <v>276</v>
      </c>
      <c r="C239" s="605">
        <v>2020</v>
      </c>
      <c r="D239" s="444" t="s">
        <v>332</v>
      </c>
      <c r="E239" s="584" t="s">
        <v>362</v>
      </c>
      <c r="F239" s="584" t="s">
        <v>74</v>
      </c>
      <c r="G239" s="584" t="s">
        <v>365</v>
      </c>
      <c r="H239" s="584" t="s">
        <v>550</v>
      </c>
      <c r="I239" s="584" t="s">
        <v>551</v>
      </c>
      <c r="J239" s="584">
        <v>500</v>
      </c>
      <c r="K239" s="584"/>
      <c r="L239" s="445" t="s">
        <v>1703</v>
      </c>
      <c r="M239" s="613">
        <v>561</v>
      </c>
      <c r="N239" s="616">
        <f t="shared" si="3"/>
        <v>1.1220000000000001</v>
      </c>
      <c r="O239" s="213">
        <v>41</v>
      </c>
      <c r="P239" s="607" t="s">
        <v>1741</v>
      </c>
      <c r="Q239" s="628"/>
    </row>
    <row r="240" spans="1:17" s="36" customFormat="1" ht="76.5" x14ac:dyDescent="0.2">
      <c r="A240" s="605" t="s">
        <v>276</v>
      </c>
      <c r="B240" s="605" t="s">
        <v>276</v>
      </c>
      <c r="C240" s="605">
        <v>2020</v>
      </c>
      <c r="D240" s="444" t="s">
        <v>332</v>
      </c>
      <c r="E240" s="584" t="s">
        <v>362</v>
      </c>
      <c r="F240" s="584" t="s">
        <v>74</v>
      </c>
      <c r="G240" s="584" t="s">
        <v>384</v>
      </c>
      <c r="H240" s="584" t="s">
        <v>42</v>
      </c>
      <c r="I240" s="584" t="s">
        <v>548</v>
      </c>
      <c r="J240" s="584">
        <v>2500</v>
      </c>
      <c r="K240" s="584"/>
      <c r="L240" s="445"/>
      <c r="M240" s="613">
        <v>553</v>
      </c>
      <c r="N240" s="616">
        <f t="shared" si="3"/>
        <v>0.22120000000000001</v>
      </c>
      <c r="O240" s="213">
        <v>12</v>
      </c>
      <c r="P240" s="607" t="s">
        <v>1736</v>
      </c>
      <c r="Q240" s="628" t="s">
        <v>1771</v>
      </c>
    </row>
    <row r="241" spans="1:17" s="36" customFormat="1" ht="25.5" x14ac:dyDescent="0.2">
      <c r="A241" s="605" t="s">
        <v>276</v>
      </c>
      <c r="B241" s="605" t="s">
        <v>276</v>
      </c>
      <c r="C241" s="605">
        <v>2020</v>
      </c>
      <c r="D241" s="444" t="s">
        <v>332</v>
      </c>
      <c r="E241" s="584" t="s">
        <v>362</v>
      </c>
      <c r="F241" s="584" t="s">
        <v>74</v>
      </c>
      <c r="G241" s="584" t="s">
        <v>384</v>
      </c>
      <c r="H241" s="584" t="s">
        <v>19</v>
      </c>
      <c r="I241" s="584" t="s">
        <v>548</v>
      </c>
      <c r="J241" s="584">
        <v>100</v>
      </c>
      <c r="K241" s="584"/>
      <c r="L241" s="445" t="s">
        <v>558</v>
      </c>
      <c r="M241" s="613">
        <v>201</v>
      </c>
      <c r="N241" s="616">
        <f t="shared" si="3"/>
        <v>2.0099999999999998</v>
      </c>
      <c r="O241" s="213">
        <v>9</v>
      </c>
      <c r="P241" s="607" t="s">
        <v>1753</v>
      </c>
      <c r="Q241" s="628" t="s">
        <v>1695</v>
      </c>
    </row>
    <row r="242" spans="1:17" s="36" customFormat="1" ht="25.5" x14ac:dyDescent="0.2">
      <c r="A242" s="605" t="s">
        <v>276</v>
      </c>
      <c r="B242" s="605" t="s">
        <v>276</v>
      </c>
      <c r="C242" s="605">
        <v>2020</v>
      </c>
      <c r="D242" s="444" t="s">
        <v>332</v>
      </c>
      <c r="E242" s="584" t="s">
        <v>362</v>
      </c>
      <c r="F242" s="584" t="s">
        <v>74</v>
      </c>
      <c r="G242" s="584" t="s">
        <v>384</v>
      </c>
      <c r="H242" s="584" t="s">
        <v>20</v>
      </c>
      <c r="I242" s="584" t="s">
        <v>548</v>
      </c>
      <c r="J242" s="584">
        <v>100</v>
      </c>
      <c r="K242" s="584"/>
      <c r="L242" s="445" t="s">
        <v>558</v>
      </c>
      <c r="M242" s="613">
        <v>201</v>
      </c>
      <c r="N242" s="616">
        <f t="shared" si="3"/>
        <v>2.0099999999999998</v>
      </c>
      <c r="O242" s="213">
        <v>9</v>
      </c>
      <c r="P242" s="607" t="s">
        <v>1753</v>
      </c>
      <c r="Q242" s="628" t="s">
        <v>1695</v>
      </c>
    </row>
    <row r="243" spans="1:17" s="36" customFormat="1" ht="76.5" x14ac:dyDescent="0.2">
      <c r="A243" s="605" t="s">
        <v>276</v>
      </c>
      <c r="B243" s="605" t="s">
        <v>276</v>
      </c>
      <c r="C243" s="605">
        <v>2020</v>
      </c>
      <c r="D243" s="444" t="s">
        <v>332</v>
      </c>
      <c r="E243" s="584" t="s">
        <v>362</v>
      </c>
      <c r="F243" s="584" t="s">
        <v>74</v>
      </c>
      <c r="G243" s="584" t="s">
        <v>384</v>
      </c>
      <c r="H243" s="584" t="s">
        <v>549</v>
      </c>
      <c r="I243" s="584" t="s">
        <v>548</v>
      </c>
      <c r="J243" s="584">
        <v>100</v>
      </c>
      <c r="K243" s="584"/>
      <c r="L243" s="445" t="s">
        <v>558</v>
      </c>
      <c r="M243" s="613">
        <v>0</v>
      </c>
      <c r="N243" s="616">
        <f t="shared" si="3"/>
        <v>0</v>
      </c>
      <c r="O243" s="213">
        <v>0</v>
      </c>
      <c r="P243" s="607" t="s">
        <v>1753</v>
      </c>
      <c r="Q243" s="628" t="s">
        <v>1771</v>
      </c>
    </row>
    <row r="244" spans="1:17" s="36" customFormat="1" ht="76.5" x14ac:dyDescent="0.2">
      <c r="A244" s="605" t="s">
        <v>276</v>
      </c>
      <c r="B244" s="605" t="s">
        <v>276</v>
      </c>
      <c r="C244" s="605">
        <v>2020</v>
      </c>
      <c r="D244" s="444" t="s">
        <v>332</v>
      </c>
      <c r="E244" s="584" t="s">
        <v>362</v>
      </c>
      <c r="F244" s="584" t="s">
        <v>74</v>
      </c>
      <c r="G244" s="584" t="s">
        <v>384</v>
      </c>
      <c r="H244" s="584" t="s">
        <v>550</v>
      </c>
      <c r="I244" s="584" t="s">
        <v>548</v>
      </c>
      <c r="J244" s="584">
        <v>100</v>
      </c>
      <c r="K244" s="584"/>
      <c r="L244" s="445" t="s">
        <v>558</v>
      </c>
      <c r="M244" s="613">
        <v>0</v>
      </c>
      <c r="N244" s="616">
        <f t="shared" si="3"/>
        <v>0</v>
      </c>
      <c r="O244" s="213">
        <v>0</v>
      </c>
      <c r="P244" s="607" t="s">
        <v>1753</v>
      </c>
      <c r="Q244" s="628" t="s">
        <v>1771</v>
      </c>
    </row>
    <row r="245" spans="1:17" s="36" customFormat="1" x14ac:dyDescent="0.2">
      <c r="A245" s="605" t="s">
        <v>276</v>
      </c>
      <c r="B245" s="605" t="s">
        <v>276</v>
      </c>
      <c r="C245" s="605">
        <v>2020</v>
      </c>
      <c r="D245" s="444" t="s">
        <v>332</v>
      </c>
      <c r="E245" s="584" t="s">
        <v>362</v>
      </c>
      <c r="F245" s="584" t="s">
        <v>74</v>
      </c>
      <c r="G245" s="584" t="s">
        <v>384</v>
      </c>
      <c r="H245" s="584" t="s">
        <v>42</v>
      </c>
      <c r="I245" s="584" t="s">
        <v>551</v>
      </c>
      <c r="J245" s="584">
        <v>0</v>
      </c>
      <c r="K245" s="584"/>
      <c r="L245" s="445" t="s">
        <v>554</v>
      </c>
      <c r="M245" s="613">
        <v>162</v>
      </c>
      <c r="N245" s="616"/>
      <c r="O245" s="213">
        <v>1</v>
      </c>
      <c r="P245" s="607"/>
      <c r="Q245" s="628" t="s">
        <v>552</v>
      </c>
    </row>
    <row r="246" spans="1:17" s="36" customFormat="1" x14ac:dyDescent="0.2">
      <c r="A246" s="605" t="s">
        <v>276</v>
      </c>
      <c r="B246" s="605" t="s">
        <v>276</v>
      </c>
      <c r="C246" s="605">
        <v>2020</v>
      </c>
      <c r="D246" s="444" t="s">
        <v>332</v>
      </c>
      <c r="E246" s="584" t="s">
        <v>362</v>
      </c>
      <c r="F246" s="584" t="s">
        <v>74</v>
      </c>
      <c r="G246" s="584" t="s">
        <v>384</v>
      </c>
      <c r="H246" s="584" t="s">
        <v>19</v>
      </c>
      <c r="I246" s="584" t="s">
        <v>551</v>
      </c>
      <c r="J246" s="584">
        <v>0</v>
      </c>
      <c r="K246" s="584"/>
      <c r="L246" s="445" t="s">
        <v>554</v>
      </c>
      <c r="M246" s="613">
        <v>43</v>
      </c>
      <c r="N246" s="616"/>
      <c r="O246" s="213">
        <v>1</v>
      </c>
      <c r="P246" s="607"/>
      <c r="Q246" s="628" t="s">
        <v>552</v>
      </c>
    </row>
    <row r="247" spans="1:17" s="36" customFormat="1" x14ac:dyDescent="0.2">
      <c r="A247" s="605" t="s">
        <v>276</v>
      </c>
      <c r="B247" s="605" t="s">
        <v>276</v>
      </c>
      <c r="C247" s="605">
        <v>2020</v>
      </c>
      <c r="D247" s="444" t="s">
        <v>332</v>
      </c>
      <c r="E247" s="584" t="s">
        <v>362</v>
      </c>
      <c r="F247" s="584" t="s">
        <v>74</v>
      </c>
      <c r="G247" s="584" t="s">
        <v>384</v>
      </c>
      <c r="H247" s="584" t="s">
        <v>20</v>
      </c>
      <c r="I247" s="584" t="s">
        <v>551</v>
      </c>
      <c r="J247" s="584">
        <v>0</v>
      </c>
      <c r="K247" s="584"/>
      <c r="L247" s="445" t="s">
        <v>554</v>
      </c>
      <c r="M247" s="613">
        <v>43</v>
      </c>
      <c r="N247" s="616"/>
      <c r="O247" s="213">
        <v>1</v>
      </c>
      <c r="P247" s="607"/>
      <c r="Q247" s="628" t="s">
        <v>552</v>
      </c>
    </row>
    <row r="248" spans="1:17" s="36" customFormat="1" x14ac:dyDescent="0.2">
      <c r="A248" s="605" t="s">
        <v>276</v>
      </c>
      <c r="B248" s="605" t="s">
        <v>276</v>
      </c>
      <c r="C248" s="605">
        <v>2020</v>
      </c>
      <c r="D248" s="444" t="s">
        <v>332</v>
      </c>
      <c r="E248" s="584" t="s">
        <v>362</v>
      </c>
      <c r="F248" s="584" t="s">
        <v>74</v>
      </c>
      <c r="G248" s="584" t="s">
        <v>384</v>
      </c>
      <c r="H248" s="584" t="s">
        <v>549</v>
      </c>
      <c r="I248" s="584" t="s">
        <v>551</v>
      </c>
      <c r="J248" s="584">
        <v>0</v>
      </c>
      <c r="K248" s="584"/>
      <c r="L248" s="445" t="s">
        <v>554</v>
      </c>
      <c r="M248" s="613">
        <v>43</v>
      </c>
      <c r="N248" s="616"/>
      <c r="O248" s="213">
        <v>1</v>
      </c>
      <c r="P248" s="607"/>
      <c r="Q248" s="628" t="s">
        <v>552</v>
      </c>
    </row>
    <row r="249" spans="1:17" s="36" customFormat="1" x14ac:dyDescent="0.2">
      <c r="A249" s="605" t="s">
        <v>276</v>
      </c>
      <c r="B249" s="605" t="s">
        <v>276</v>
      </c>
      <c r="C249" s="605">
        <v>2020</v>
      </c>
      <c r="D249" s="444" t="s">
        <v>332</v>
      </c>
      <c r="E249" s="584" t="s">
        <v>362</v>
      </c>
      <c r="F249" s="584" t="s">
        <v>74</v>
      </c>
      <c r="G249" s="584" t="s">
        <v>384</v>
      </c>
      <c r="H249" s="584" t="s">
        <v>550</v>
      </c>
      <c r="I249" s="584" t="s">
        <v>551</v>
      </c>
      <c r="J249" s="584">
        <v>0</v>
      </c>
      <c r="K249" s="584"/>
      <c r="L249" s="445" t="s">
        <v>554</v>
      </c>
      <c r="M249" s="613">
        <v>43</v>
      </c>
      <c r="N249" s="616"/>
      <c r="O249" s="213">
        <v>1</v>
      </c>
      <c r="P249" s="607"/>
      <c r="Q249" s="628" t="s">
        <v>552</v>
      </c>
    </row>
    <row r="250" spans="1:17" s="36" customFormat="1" ht="25.5" x14ac:dyDescent="0.2">
      <c r="A250" s="605" t="s">
        <v>276</v>
      </c>
      <c r="B250" s="605" t="s">
        <v>276</v>
      </c>
      <c r="C250" s="605">
        <v>2020</v>
      </c>
      <c r="D250" s="444" t="s">
        <v>332</v>
      </c>
      <c r="E250" s="584" t="s">
        <v>362</v>
      </c>
      <c r="F250" s="584" t="s">
        <v>74</v>
      </c>
      <c r="G250" s="584" t="s">
        <v>411</v>
      </c>
      <c r="H250" s="584" t="s">
        <v>42</v>
      </c>
      <c r="I250" s="584" t="s">
        <v>548</v>
      </c>
      <c r="J250" s="584">
        <v>5000</v>
      </c>
      <c r="K250" s="584"/>
      <c r="L250" s="445"/>
      <c r="M250" s="613">
        <v>7532</v>
      </c>
      <c r="N250" s="616">
        <f t="shared" si="3"/>
        <v>1.5064</v>
      </c>
      <c r="O250" s="213">
        <v>147</v>
      </c>
      <c r="P250" s="607" t="s">
        <v>1736</v>
      </c>
      <c r="Q250" s="628" t="s">
        <v>1695</v>
      </c>
    </row>
    <row r="251" spans="1:17" s="36" customFormat="1" ht="25.5" x14ac:dyDescent="0.2">
      <c r="A251" s="605" t="s">
        <v>276</v>
      </c>
      <c r="B251" s="605" t="s">
        <v>276</v>
      </c>
      <c r="C251" s="605">
        <v>2020</v>
      </c>
      <c r="D251" s="444" t="s">
        <v>332</v>
      </c>
      <c r="E251" s="584" t="s">
        <v>362</v>
      </c>
      <c r="F251" s="584" t="s">
        <v>74</v>
      </c>
      <c r="G251" s="584" t="s">
        <v>411</v>
      </c>
      <c r="H251" s="584" t="s">
        <v>19</v>
      </c>
      <c r="I251" s="584" t="s">
        <v>548</v>
      </c>
      <c r="J251" s="584">
        <v>1000</v>
      </c>
      <c r="K251" s="584"/>
      <c r="L251" s="445" t="s">
        <v>558</v>
      </c>
      <c r="M251" s="613">
        <v>1609</v>
      </c>
      <c r="N251" s="616">
        <f t="shared" si="3"/>
        <v>1.609</v>
      </c>
      <c r="O251" s="213">
        <v>91</v>
      </c>
      <c r="P251" s="607" t="s">
        <v>1753</v>
      </c>
      <c r="Q251" s="628" t="s">
        <v>1695</v>
      </c>
    </row>
    <row r="252" spans="1:17" s="36" customFormat="1" ht="25.5" x14ac:dyDescent="0.2">
      <c r="A252" s="605" t="s">
        <v>276</v>
      </c>
      <c r="B252" s="605" t="s">
        <v>276</v>
      </c>
      <c r="C252" s="605">
        <v>2020</v>
      </c>
      <c r="D252" s="444" t="s">
        <v>332</v>
      </c>
      <c r="E252" s="584" t="s">
        <v>362</v>
      </c>
      <c r="F252" s="584" t="s">
        <v>74</v>
      </c>
      <c r="G252" s="584" t="s">
        <v>411</v>
      </c>
      <c r="H252" s="584" t="s">
        <v>20</v>
      </c>
      <c r="I252" s="584" t="s">
        <v>548</v>
      </c>
      <c r="J252" s="584">
        <v>1000</v>
      </c>
      <c r="K252" s="584"/>
      <c r="L252" s="445" t="s">
        <v>558</v>
      </c>
      <c r="M252" s="613">
        <v>1609</v>
      </c>
      <c r="N252" s="616">
        <f t="shared" si="3"/>
        <v>1.609</v>
      </c>
      <c r="O252" s="213">
        <v>91</v>
      </c>
      <c r="P252" s="607" t="s">
        <v>1753</v>
      </c>
      <c r="Q252" s="628" t="s">
        <v>1695</v>
      </c>
    </row>
    <row r="253" spans="1:17" s="36" customFormat="1" ht="38.25" x14ac:dyDescent="0.2">
      <c r="A253" s="605" t="s">
        <v>276</v>
      </c>
      <c r="B253" s="605" t="s">
        <v>276</v>
      </c>
      <c r="C253" s="605">
        <v>2020</v>
      </c>
      <c r="D253" s="444" t="s">
        <v>332</v>
      </c>
      <c r="E253" s="584" t="s">
        <v>362</v>
      </c>
      <c r="F253" s="584" t="s">
        <v>74</v>
      </c>
      <c r="G253" s="584" t="s">
        <v>411</v>
      </c>
      <c r="H253" s="584" t="s">
        <v>549</v>
      </c>
      <c r="I253" s="584" t="s">
        <v>548</v>
      </c>
      <c r="J253" s="584">
        <v>250</v>
      </c>
      <c r="K253" s="584"/>
      <c r="L253" s="445" t="s">
        <v>558</v>
      </c>
      <c r="M253" s="613">
        <v>24</v>
      </c>
      <c r="N253" s="616">
        <f t="shared" si="3"/>
        <v>9.6000000000000002E-2</v>
      </c>
      <c r="O253" s="213">
        <v>2</v>
      </c>
      <c r="P253" s="607" t="s">
        <v>1753</v>
      </c>
      <c r="Q253" s="628" t="s">
        <v>1759</v>
      </c>
    </row>
    <row r="254" spans="1:17" s="36" customFormat="1" ht="38.25" x14ac:dyDescent="0.2">
      <c r="A254" s="605" t="s">
        <v>276</v>
      </c>
      <c r="B254" s="605" t="s">
        <v>276</v>
      </c>
      <c r="C254" s="605">
        <v>2020</v>
      </c>
      <c r="D254" s="444" t="s">
        <v>332</v>
      </c>
      <c r="E254" s="584" t="s">
        <v>362</v>
      </c>
      <c r="F254" s="584" t="s">
        <v>74</v>
      </c>
      <c r="G254" s="584" t="s">
        <v>411</v>
      </c>
      <c r="H254" s="584" t="s">
        <v>550</v>
      </c>
      <c r="I254" s="584" t="s">
        <v>548</v>
      </c>
      <c r="J254" s="584">
        <v>250</v>
      </c>
      <c r="K254" s="584"/>
      <c r="L254" s="445" t="s">
        <v>558</v>
      </c>
      <c r="M254" s="613">
        <v>25</v>
      </c>
      <c r="N254" s="616">
        <f t="shared" si="3"/>
        <v>0.1</v>
      </c>
      <c r="O254" s="213">
        <v>2</v>
      </c>
      <c r="P254" s="607" t="s">
        <v>1753</v>
      </c>
      <c r="Q254" s="628" t="s">
        <v>1759</v>
      </c>
    </row>
    <row r="255" spans="1:17" s="36" customFormat="1" x14ac:dyDescent="0.2">
      <c r="A255" s="605" t="s">
        <v>276</v>
      </c>
      <c r="B255" s="605" t="s">
        <v>276</v>
      </c>
      <c r="C255" s="605">
        <v>2020</v>
      </c>
      <c r="D255" s="444" t="s">
        <v>332</v>
      </c>
      <c r="E255" s="584" t="s">
        <v>362</v>
      </c>
      <c r="F255" s="584" t="s">
        <v>74</v>
      </c>
      <c r="G255" s="584" t="s">
        <v>411</v>
      </c>
      <c r="H255" s="584" t="s">
        <v>42</v>
      </c>
      <c r="I255" s="584" t="s">
        <v>551</v>
      </c>
      <c r="J255" s="584">
        <v>5000</v>
      </c>
      <c r="K255" s="584"/>
      <c r="L255" s="445" t="s">
        <v>560</v>
      </c>
      <c r="M255" s="613">
        <v>3037</v>
      </c>
      <c r="N255" s="616">
        <f t="shared" si="3"/>
        <v>0.60740000000000005</v>
      </c>
      <c r="O255" s="213">
        <v>65</v>
      </c>
      <c r="P255" s="608" t="s">
        <v>1741</v>
      </c>
      <c r="Q255" s="628" t="s">
        <v>1701</v>
      </c>
    </row>
    <row r="256" spans="1:17" s="36" customFormat="1" x14ac:dyDescent="0.2">
      <c r="A256" s="605" t="s">
        <v>276</v>
      </c>
      <c r="B256" s="605" t="s">
        <v>276</v>
      </c>
      <c r="C256" s="605">
        <v>2020</v>
      </c>
      <c r="D256" s="444" t="s">
        <v>332</v>
      </c>
      <c r="E256" s="584" t="s">
        <v>362</v>
      </c>
      <c r="F256" s="584" t="s">
        <v>74</v>
      </c>
      <c r="G256" s="584" t="s">
        <v>411</v>
      </c>
      <c r="H256" s="584" t="s">
        <v>19</v>
      </c>
      <c r="I256" s="584" t="s">
        <v>551</v>
      </c>
      <c r="J256" s="584">
        <v>750</v>
      </c>
      <c r="K256" s="584"/>
      <c r="L256" s="445" t="s">
        <v>560</v>
      </c>
      <c r="M256" s="613">
        <v>756</v>
      </c>
      <c r="N256" s="616">
        <f t="shared" si="3"/>
        <v>1.008</v>
      </c>
      <c r="O256" s="213">
        <v>65</v>
      </c>
      <c r="P256" s="607" t="s">
        <v>1741</v>
      </c>
      <c r="Q256" s="628"/>
    </row>
    <row r="257" spans="1:17" s="36" customFormat="1" x14ac:dyDescent="0.2">
      <c r="A257" s="605" t="s">
        <v>276</v>
      </c>
      <c r="B257" s="605" t="s">
        <v>276</v>
      </c>
      <c r="C257" s="605">
        <v>2020</v>
      </c>
      <c r="D257" s="444" t="s">
        <v>332</v>
      </c>
      <c r="E257" s="584" t="s">
        <v>362</v>
      </c>
      <c r="F257" s="584" t="s">
        <v>74</v>
      </c>
      <c r="G257" s="584" t="s">
        <v>411</v>
      </c>
      <c r="H257" s="584" t="s">
        <v>20</v>
      </c>
      <c r="I257" s="584" t="s">
        <v>551</v>
      </c>
      <c r="J257" s="584">
        <v>750</v>
      </c>
      <c r="K257" s="584"/>
      <c r="L257" s="445" t="s">
        <v>560</v>
      </c>
      <c r="M257" s="613">
        <v>756</v>
      </c>
      <c r="N257" s="616">
        <f t="shared" si="3"/>
        <v>1.008</v>
      </c>
      <c r="O257" s="213">
        <v>65</v>
      </c>
      <c r="P257" s="607" t="s">
        <v>1741</v>
      </c>
      <c r="Q257" s="628"/>
    </row>
    <row r="258" spans="1:17" s="36" customFormat="1" x14ac:dyDescent="0.2">
      <c r="A258" s="605" t="s">
        <v>276</v>
      </c>
      <c r="B258" s="605" t="s">
        <v>276</v>
      </c>
      <c r="C258" s="605">
        <v>2020</v>
      </c>
      <c r="D258" s="444" t="s">
        <v>332</v>
      </c>
      <c r="E258" s="584" t="s">
        <v>362</v>
      </c>
      <c r="F258" s="584" t="s">
        <v>74</v>
      </c>
      <c r="G258" s="584" t="s">
        <v>411</v>
      </c>
      <c r="H258" s="584" t="s">
        <v>549</v>
      </c>
      <c r="I258" s="584" t="s">
        <v>551</v>
      </c>
      <c r="J258" s="584">
        <v>750</v>
      </c>
      <c r="K258" s="584"/>
      <c r="L258" s="445" t="s">
        <v>560</v>
      </c>
      <c r="M258" s="613">
        <v>756</v>
      </c>
      <c r="N258" s="616">
        <f t="shared" si="3"/>
        <v>1.008</v>
      </c>
      <c r="O258" s="213">
        <v>65</v>
      </c>
      <c r="P258" s="607" t="s">
        <v>1741</v>
      </c>
      <c r="Q258" s="628"/>
    </row>
    <row r="259" spans="1:17" s="36" customFormat="1" ht="25.5" x14ac:dyDescent="0.2">
      <c r="A259" s="605" t="s">
        <v>276</v>
      </c>
      <c r="B259" s="605" t="s">
        <v>276</v>
      </c>
      <c r="C259" s="605">
        <v>2020</v>
      </c>
      <c r="D259" s="444" t="s">
        <v>332</v>
      </c>
      <c r="E259" s="584" t="s">
        <v>362</v>
      </c>
      <c r="F259" s="584" t="s">
        <v>74</v>
      </c>
      <c r="G259" s="584" t="s">
        <v>411</v>
      </c>
      <c r="H259" s="584" t="s">
        <v>550</v>
      </c>
      <c r="I259" s="584" t="s">
        <v>551</v>
      </c>
      <c r="J259" s="584">
        <v>100</v>
      </c>
      <c r="K259" s="584"/>
      <c r="L259" s="445" t="s">
        <v>560</v>
      </c>
      <c r="M259" s="613">
        <v>756</v>
      </c>
      <c r="N259" s="616">
        <f t="shared" si="3"/>
        <v>7.56</v>
      </c>
      <c r="O259" s="213">
        <v>65</v>
      </c>
      <c r="P259" s="607" t="s">
        <v>1741</v>
      </c>
      <c r="Q259" s="628" t="s">
        <v>1695</v>
      </c>
    </row>
    <row r="260" spans="1:17" s="36" customFormat="1" x14ac:dyDescent="0.2">
      <c r="A260" s="605" t="s">
        <v>276</v>
      </c>
      <c r="B260" s="605" t="s">
        <v>276</v>
      </c>
      <c r="C260" s="605">
        <v>2020</v>
      </c>
      <c r="D260" s="444" t="s">
        <v>333</v>
      </c>
      <c r="E260" s="584" t="s">
        <v>362</v>
      </c>
      <c r="F260" s="584" t="s">
        <v>74</v>
      </c>
      <c r="G260" s="584" t="s">
        <v>434</v>
      </c>
      <c r="H260" s="584" t="s">
        <v>42</v>
      </c>
      <c r="I260" s="584" t="s">
        <v>548</v>
      </c>
      <c r="J260" s="584">
        <v>5000</v>
      </c>
      <c r="K260" s="584"/>
      <c r="L260" s="445"/>
      <c r="M260" s="613">
        <v>5556</v>
      </c>
      <c r="N260" s="616">
        <f t="shared" si="3"/>
        <v>1.1112</v>
      </c>
      <c r="O260" s="213">
        <v>249</v>
      </c>
      <c r="P260" s="607" t="s">
        <v>1736</v>
      </c>
      <c r="Q260" s="628"/>
    </row>
    <row r="261" spans="1:17" s="36" customFormat="1" ht="25.5" x14ac:dyDescent="0.2">
      <c r="A261" s="605" t="s">
        <v>276</v>
      </c>
      <c r="B261" s="605" t="s">
        <v>276</v>
      </c>
      <c r="C261" s="605">
        <v>2020</v>
      </c>
      <c r="D261" s="444" t="s">
        <v>333</v>
      </c>
      <c r="E261" s="584" t="s">
        <v>362</v>
      </c>
      <c r="F261" s="584" t="s">
        <v>74</v>
      </c>
      <c r="G261" s="584" t="s">
        <v>434</v>
      </c>
      <c r="H261" s="584" t="s">
        <v>19</v>
      </c>
      <c r="I261" s="584" t="s">
        <v>548</v>
      </c>
      <c r="J261" s="584">
        <v>250</v>
      </c>
      <c r="K261" s="584"/>
      <c r="L261" s="445" t="s">
        <v>562</v>
      </c>
      <c r="M261" s="613">
        <v>1034</v>
      </c>
      <c r="N261" s="616">
        <f t="shared" si="3"/>
        <v>4.1360000000000001</v>
      </c>
      <c r="O261" s="213">
        <v>75</v>
      </c>
      <c r="P261" s="607" t="s">
        <v>1753</v>
      </c>
      <c r="Q261" s="628" t="s">
        <v>1695</v>
      </c>
    </row>
    <row r="262" spans="1:17" s="36" customFormat="1" ht="25.5" x14ac:dyDescent="0.2">
      <c r="A262" s="605" t="s">
        <v>276</v>
      </c>
      <c r="B262" s="605" t="s">
        <v>276</v>
      </c>
      <c r="C262" s="605">
        <v>2020</v>
      </c>
      <c r="D262" s="444" t="s">
        <v>333</v>
      </c>
      <c r="E262" s="584" t="s">
        <v>362</v>
      </c>
      <c r="F262" s="584" t="s">
        <v>74</v>
      </c>
      <c r="G262" s="584" t="s">
        <v>434</v>
      </c>
      <c r="H262" s="584" t="s">
        <v>20</v>
      </c>
      <c r="I262" s="584" t="s">
        <v>548</v>
      </c>
      <c r="J262" s="584">
        <v>250</v>
      </c>
      <c r="K262" s="584"/>
      <c r="L262" s="445" t="s">
        <v>562</v>
      </c>
      <c r="M262" s="613">
        <v>1034</v>
      </c>
      <c r="N262" s="616">
        <f t="shared" ref="N262:N325" si="4">M262/J262</f>
        <v>4.1360000000000001</v>
      </c>
      <c r="O262" s="213">
        <v>75</v>
      </c>
      <c r="P262" s="607" t="s">
        <v>1753</v>
      </c>
      <c r="Q262" s="628" t="s">
        <v>1695</v>
      </c>
    </row>
    <row r="263" spans="1:17" s="36" customFormat="1" x14ac:dyDescent="0.2">
      <c r="A263" s="605" t="s">
        <v>276</v>
      </c>
      <c r="B263" s="605" t="s">
        <v>276</v>
      </c>
      <c r="C263" s="605">
        <v>2020</v>
      </c>
      <c r="D263" s="444" t="s">
        <v>333</v>
      </c>
      <c r="E263" s="584" t="s">
        <v>362</v>
      </c>
      <c r="F263" s="584" t="s">
        <v>74</v>
      </c>
      <c r="G263" s="584" t="s">
        <v>434</v>
      </c>
      <c r="H263" s="584" t="s">
        <v>549</v>
      </c>
      <c r="I263" s="584" t="s">
        <v>548</v>
      </c>
      <c r="J263" s="584">
        <v>0</v>
      </c>
      <c r="K263" s="584"/>
      <c r="L263" s="445" t="s">
        <v>562</v>
      </c>
      <c r="M263" s="613">
        <v>24</v>
      </c>
      <c r="N263" s="616"/>
      <c r="O263" s="213">
        <v>3</v>
      </c>
      <c r="P263" s="607" t="s">
        <v>1753</v>
      </c>
      <c r="Q263" s="628" t="s">
        <v>552</v>
      </c>
    </row>
    <row r="264" spans="1:17" s="36" customFormat="1" x14ac:dyDescent="0.2">
      <c r="A264" s="605" t="s">
        <v>276</v>
      </c>
      <c r="B264" s="605" t="s">
        <v>276</v>
      </c>
      <c r="C264" s="605">
        <v>2020</v>
      </c>
      <c r="D264" s="444" t="s">
        <v>333</v>
      </c>
      <c r="E264" s="584" t="s">
        <v>362</v>
      </c>
      <c r="F264" s="584" t="s">
        <v>74</v>
      </c>
      <c r="G264" s="584" t="s">
        <v>434</v>
      </c>
      <c r="H264" s="584" t="s">
        <v>550</v>
      </c>
      <c r="I264" s="584" t="s">
        <v>548</v>
      </c>
      <c r="J264" s="584">
        <v>0</v>
      </c>
      <c r="K264" s="584"/>
      <c r="L264" s="445" t="s">
        <v>562</v>
      </c>
      <c r="M264" s="613">
        <v>31</v>
      </c>
      <c r="N264" s="616"/>
      <c r="O264" s="213">
        <v>4</v>
      </c>
      <c r="P264" s="607"/>
      <c r="Q264" s="628" t="s">
        <v>552</v>
      </c>
    </row>
    <row r="265" spans="1:17" s="36" customFormat="1" x14ac:dyDescent="0.2">
      <c r="A265" s="605" t="s">
        <v>276</v>
      </c>
      <c r="B265" s="605" t="s">
        <v>276</v>
      </c>
      <c r="C265" s="605">
        <v>2020</v>
      </c>
      <c r="D265" s="444" t="s">
        <v>333</v>
      </c>
      <c r="E265" s="584" t="s">
        <v>362</v>
      </c>
      <c r="F265" s="584" t="s">
        <v>74</v>
      </c>
      <c r="G265" s="584" t="s">
        <v>434</v>
      </c>
      <c r="H265" s="584" t="s">
        <v>42</v>
      </c>
      <c r="I265" s="584" t="s">
        <v>551</v>
      </c>
      <c r="J265" s="584">
        <v>5000</v>
      </c>
      <c r="K265" s="584"/>
      <c r="L265" s="445" t="s">
        <v>560</v>
      </c>
      <c r="M265" s="613">
        <v>5992</v>
      </c>
      <c r="N265" s="616">
        <f t="shared" si="4"/>
        <v>1.1983999999999999</v>
      </c>
      <c r="O265" s="213">
        <v>199</v>
      </c>
      <c r="P265" s="608" t="s">
        <v>1741</v>
      </c>
      <c r="Q265" s="628"/>
    </row>
    <row r="266" spans="1:17" s="36" customFormat="1" ht="25.5" x14ac:dyDescent="0.2">
      <c r="A266" s="605" t="s">
        <v>276</v>
      </c>
      <c r="B266" s="605" t="s">
        <v>276</v>
      </c>
      <c r="C266" s="605">
        <v>2020</v>
      </c>
      <c r="D266" s="444" t="s">
        <v>333</v>
      </c>
      <c r="E266" s="584" t="s">
        <v>362</v>
      </c>
      <c r="F266" s="584" t="s">
        <v>74</v>
      </c>
      <c r="G266" s="584" t="s">
        <v>434</v>
      </c>
      <c r="H266" s="584" t="s">
        <v>19</v>
      </c>
      <c r="I266" s="584" t="s">
        <v>551</v>
      </c>
      <c r="J266" s="584">
        <v>500</v>
      </c>
      <c r="K266" s="584"/>
      <c r="L266" s="445" t="s">
        <v>560</v>
      </c>
      <c r="M266" s="613">
        <v>2158</v>
      </c>
      <c r="N266" s="616">
        <f t="shared" si="4"/>
        <v>4.3159999999999998</v>
      </c>
      <c r="O266" s="213">
        <v>191</v>
      </c>
      <c r="P266" s="607" t="s">
        <v>1741</v>
      </c>
      <c r="Q266" s="628" t="s">
        <v>1695</v>
      </c>
    </row>
    <row r="267" spans="1:17" s="36" customFormat="1" ht="25.5" x14ac:dyDescent="0.2">
      <c r="A267" s="605" t="s">
        <v>276</v>
      </c>
      <c r="B267" s="605" t="s">
        <v>276</v>
      </c>
      <c r="C267" s="605">
        <v>2020</v>
      </c>
      <c r="D267" s="444" t="s">
        <v>333</v>
      </c>
      <c r="E267" s="584" t="s">
        <v>362</v>
      </c>
      <c r="F267" s="584" t="s">
        <v>74</v>
      </c>
      <c r="G267" s="584" t="s">
        <v>434</v>
      </c>
      <c r="H267" s="584" t="s">
        <v>20</v>
      </c>
      <c r="I267" s="584" t="s">
        <v>551</v>
      </c>
      <c r="J267" s="584">
        <v>500</v>
      </c>
      <c r="K267" s="584"/>
      <c r="L267" s="445" t="s">
        <v>560</v>
      </c>
      <c r="M267" s="613">
        <v>2158</v>
      </c>
      <c r="N267" s="616">
        <f t="shared" si="4"/>
        <v>4.3159999999999998</v>
      </c>
      <c r="O267" s="213">
        <v>191</v>
      </c>
      <c r="P267" s="607" t="s">
        <v>1741</v>
      </c>
      <c r="Q267" s="628" t="s">
        <v>1695</v>
      </c>
    </row>
    <row r="268" spans="1:17" s="36" customFormat="1" ht="25.5" x14ac:dyDescent="0.2">
      <c r="A268" s="605" t="s">
        <v>276</v>
      </c>
      <c r="B268" s="605" t="s">
        <v>276</v>
      </c>
      <c r="C268" s="605">
        <v>2020</v>
      </c>
      <c r="D268" s="444" t="s">
        <v>333</v>
      </c>
      <c r="E268" s="584" t="s">
        <v>362</v>
      </c>
      <c r="F268" s="584" t="s">
        <v>74</v>
      </c>
      <c r="G268" s="584" t="s">
        <v>434</v>
      </c>
      <c r="H268" s="584" t="s">
        <v>549</v>
      </c>
      <c r="I268" s="584" t="s">
        <v>551</v>
      </c>
      <c r="J268" s="584">
        <v>500</v>
      </c>
      <c r="K268" s="584"/>
      <c r="L268" s="445" t="s">
        <v>560</v>
      </c>
      <c r="M268" s="613">
        <v>2158</v>
      </c>
      <c r="N268" s="616">
        <f t="shared" si="4"/>
        <v>4.3159999999999998</v>
      </c>
      <c r="O268" s="213">
        <v>191</v>
      </c>
      <c r="P268" s="607" t="s">
        <v>1741</v>
      </c>
      <c r="Q268" s="628" t="s">
        <v>1695</v>
      </c>
    </row>
    <row r="269" spans="1:17" s="36" customFormat="1" ht="25.5" x14ac:dyDescent="0.2">
      <c r="A269" s="605" t="s">
        <v>276</v>
      </c>
      <c r="B269" s="605" t="s">
        <v>276</v>
      </c>
      <c r="C269" s="605">
        <v>2020</v>
      </c>
      <c r="D269" s="444" t="s">
        <v>333</v>
      </c>
      <c r="E269" s="584" t="s">
        <v>362</v>
      </c>
      <c r="F269" s="584" t="s">
        <v>74</v>
      </c>
      <c r="G269" s="584" t="s">
        <v>434</v>
      </c>
      <c r="H269" s="584" t="s">
        <v>550</v>
      </c>
      <c r="I269" s="584" t="s">
        <v>551</v>
      </c>
      <c r="J269" s="584">
        <v>500</v>
      </c>
      <c r="K269" s="584"/>
      <c r="L269" s="445" t="s">
        <v>560</v>
      </c>
      <c r="M269" s="613">
        <v>2158</v>
      </c>
      <c r="N269" s="616">
        <f t="shared" si="4"/>
        <v>4.3159999999999998</v>
      </c>
      <c r="O269" s="213">
        <v>191</v>
      </c>
      <c r="P269" s="607" t="s">
        <v>1741</v>
      </c>
      <c r="Q269" s="628" t="s">
        <v>1695</v>
      </c>
    </row>
    <row r="270" spans="1:17" s="36" customFormat="1" ht="25.5" x14ac:dyDescent="0.2">
      <c r="A270" s="605" t="s">
        <v>276</v>
      </c>
      <c r="B270" s="605" t="s">
        <v>276</v>
      </c>
      <c r="C270" s="605">
        <v>2020</v>
      </c>
      <c r="D270" s="444" t="s">
        <v>302</v>
      </c>
      <c r="E270" s="584" t="s">
        <v>362</v>
      </c>
      <c r="F270" s="584" t="s">
        <v>74</v>
      </c>
      <c r="G270" s="584" t="s">
        <v>437</v>
      </c>
      <c r="H270" s="584" t="s">
        <v>42</v>
      </c>
      <c r="I270" s="584" t="s">
        <v>548</v>
      </c>
      <c r="J270" s="583">
        <v>2500</v>
      </c>
      <c r="K270" s="592"/>
      <c r="L270" s="445"/>
      <c r="M270" s="613">
        <v>4197</v>
      </c>
      <c r="N270" s="616">
        <f t="shared" si="4"/>
        <v>1.6788000000000001</v>
      </c>
      <c r="O270" s="213">
        <v>18</v>
      </c>
      <c r="P270" s="607" t="s">
        <v>1736</v>
      </c>
      <c r="Q270" s="628" t="s">
        <v>1695</v>
      </c>
    </row>
    <row r="271" spans="1:17" s="36" customFormat="1" ht="25.5" x14ac:dyDescent="0.2">
      <c r="A271" s="605" t="s">
        <v>276</v>
      </c>
      <c r="B271" s="605" t="s">
        <v>276</v>
      </c>
      <c r="C271" s="605">
        <v>2020</v>
      </c>
      <c r="D271" s="444" t="s">
        <v>302</v>
      </c>
      <c r="E271" s="584" t="s">
        <v>362</v>
      </c>
      <c r="F271" s="584" t="s">
        <v>74</v>
      </c>
      <c r="G271" s="584" t="s">
        <v>437</v>
      </c>
      <c r="H271" s="584" t="s">
        <v>19</v>
      </c>
      <c r="I271" s="584" t="s">
        <v>548</v>
      </c>
      <c r="J271" s="583">
        <v>1000</v>
      </c>
      <c r="K271" s="592"/>
      <c r="L271" s="445" t="s">
        <v>563</v>
      </c>
      <c r="M271" s="613">
        <v>1800</v>
      </c>
      <c r="N271" s="616">
        <f t="shared" si="4"/>
        <v>1.8</v>
      </c>
      <c r="O271" s="213">
        <v>18</v>
      </c>
      <c r="P271" s="608" t="s">
        <v>1746</v>
      </c>
      <c r="Q271" s="628" t="s">
        <v>1695</v>
      </c>
    </row>
    <row r="272" spans="1:17" s="36" customFormat="1" ht="25.5" x14ac:dyDescent="0.2">
      <c r="A272" s="605" t="s">
        <v>276</v>
      </c>
      <c r="B272" s="605" t="s">
        <v>276</v>
      </c>
      <c r="C272" s="605">
        <v>2020</v>
      </c>
      <c r="D272" s="444" t="s">
        <v>302</v>
      </c>
      <c r="E272" s="584" t="s">
        <v>362</v>
      </c>
      <c r="F272" s="584" t="s">
        <v>74</v>
      </c>
      <c r="G272" s="584" t="s">
        <v>437</v>
      </c>
      <c r="H272" s="584" t="s">
        <v>20</v>
      </c>
      <c r="I272" s="584" t="s">
        <v>548</v>
      </c>
      <c r="J272" s="583">
        <v>1000</v>
      </c>
      <c r="K272" s="592"/>
      <c r="L272" s="445" t="s">
        <v>563</v>
      </c>
      <c r="M272" s="613">
        <v>1800</v>
      </c>
      <c r="N272" s="616">
        <f t="shared" si="4"/>
        <v>1.8</v>
      </c>
      <c r="O272" s="213">
        <v>18</v>
      </c>
      <c r="P272" s="608" t="s">
        <v>1746</v>
      </c>
      <c r="Q272" s="628" t="s">
        <v>1695</v>
      </c>
    </row>
    <row r="273" spans="1:17" s="36" customFormat="1" ht="25.5" x14ac:dyDescent="0.2">
      <c r="A273" s="605" t="s">
        <v>276</v>
      </c>
      <c r="B273" s="605" t="s">
        <v>276</v>
      </c>
      <c r="C273" s="605">
        <v>2020</v>
      </c>
      <c r="D273" s="444" t="s">
        <v>302</v>
      </c>
      <c r="E273" s="584" t="s">
        <v>362</v>
      </c>
      <c r="F273" s="584" t="s">
        <v>74</v>
      </c>
      <c r="G273" s="584" t="s">
        <v>437</v>
      </c>
      <c r="H273" s="584" t="s">
        <v>549</v>
      </c>
      <c r="I273" s="584" t="s">
        <v>548</v>
      </c>
      <c r="J273" s="583">
        <v>250</v>
      </c>
      <c r="K273" s="592"/>
      <c r="L273" s="445" t="s">
        <v>563</v>
      </c>
      <c r="M273" s="613">
        <v>1800</v>
      </c>
      <c r="N273" s="616">
        <f t="shared" si="4"/>
        <v>7.2</v>
      </c>
      <c r="O273" s="213">
        <v>18</v>
      </c>
      <c r="P273" s="608" t="s">
        <v>1746</v>
      </c>
      <c r="Q273" s="628" t="s">
        <v>1695</v>
      </c>
    </row>
    <row r="274" spans="1:17" s="36" customFormat="1" ht="25.5" x14ac:dyDescent="0.2">
      <c r="A274" s="605" t="s">
        <v>276</v>
      </c>
      <c r="B274" s="605" t="s">
        <v>276</v>
      </c>
      <c r="C274" s="605">
        <v>2020</v>
      </c>
      <c r="D274" s="444" t="s">
        <v>302</v>
      </c>
      <c r="E274" s="584" t="s">
        <v>362</v>
      </c>
      <c r="F274" s="584" t="s">
        <v>74</v>
      </c>
      <c r="G274" s="584" t="s">
        <v>437</v>
      </c>
      <c r="H274" s="584" t="s">
        <v>550</v>
      </c>
      <c r="I274" s="584" t="s">
        <v>548</v>
      </c>
      <c r="J274" s="583">
        <v>250</v>
      </c>
      <c r="K274" s="592"/>
      <c r="L274" s="445" t="s">
        <v>563</v>
      </c>
      <c r="M274" s="613">
        <v>1799</v>
      </c>
      <c r="N274" s="616">
        <f t="shared" si="4"/>
        <v>7.1959999999999997</v>
      </c>
      <c r="O274" s="213">
        <v>18</v>
      </c>
      <c r="P274" s="608" t="s">
        <v>1746</v>
      </c>
      <c r="Q274" s="628" t="s">
        <v>1695</v>
      </c>
    </row>
    <row r="275" spans="1:17" s="36" customFormat="1" x14ac:dyDescent="0.2">
      <c r="A275" s="605" t="s">
        <v>276</v>
      </c>
      <c r="B275" s="605" t="s">
        <v>276</v>
      </c>
      <c r="C275" s="605">
        <v>2020</v>
      </c>
      <c r="D275" s="444" t="s">
        <v>302</v>
      </c>
      <c r="E275" s="584" t="s">
        <v>362</v>
      </c>
      <c r="F275" s="584" t="s">
        <v>74</v>
      </c>
      <c r="G275" s="584" t="s">
        <v>437</v>
      </c>
      <c r="H275" s="584" t="s">
        <v>42</v>
      </c>
      <c r="I275" s="584" t="s">
        <v>551</v>
      </c>
      <c r="J275" s="583">
        <v>5000</v>
      </c>
      <c r="K275" s="592"/>
      <c r="L275" s="445" t="s">
        <v>1736</v>
      </c>
      <c r="M275" s="613">
        <v>7313</v>
      </c>
      <c r="N275" s="616">
        <f t="shared" si="4"/>
        <v>1.4625999999999999</v>
      </c>
      <c r="O275" s="213">
        <v>89</v>
      </c>
      <c r="P275" s="608" t="s">
        <v>1736</v>
      </c>
      <c r="Q275" s="628"/>
    </row>
    <row r="276" spans="1:17" s="36" customFormat="1" x14ac:dyDescent="0.2">
      <c r="A276" s="605" t="s">
        <v>276</v>
      </c>
      <c r="B276" s="605" t="s">
        <v>276</v>
      </c>
      <c r="C276" s="605">
        <v>2020</v>
      </c>
      <c r="D276" s="444" t="s">
        <v>302</v>
      </c>
      <c r="E276" s="584" t="s">
        <v>362</v>
      </c>
      <c r="F276" s="584" t="s">
        <v>74</v>
      </c>
      <c r="G276" s="584" t="s">
        <v>437</v>
      </c>
      <c r="H276" s="584" t="s">
        <v>19</v>
      </c>
      <c r="I276" s="584" t="s">
        <v>551</v>
      </c>
      <c r="J276" s="583">
        <v>500</v>
      </c>
      <c r="K276" s="592"/>
      <c r="L276" s="445" t="s">
        <v>563</v>
      </c>
      <c r="M276" s="613">
        <v>632</v>
      </c>
      <c r="N276" s="616">
        <f t="shared" si="4"/>
        <v>1.264</v>
      </c>
      <c r="O276" s="213">
        <v>91</v>
      </c>
      <c r="P276" s="607" t="s">
        <v>1746</v>
      </c>
      <c r="Q276" s="628"/>
    </row>
    <row r="277" spans="1:17" s="36" customFormat="1" x14ac:dyDescent="0.2">
      <c r="A277" s="605" t="s">
        <v>276</v>
      </c>
      <c r="B277" s="605" t="s">
        <v>276</v>
      </c>
      <c r="C277" s="605">
        <v>2020</v>
      </c>
      <c r="D277" s="444" t="s">
        <v>302</v>
      </c>
      <c r="E277" s="584" t="s">
        <v>362</v>
      </c>
      <c r="F277" s="584" t="s">
        <v>74</v>
      </c>
      <c r="G277" s="584" t="s">
        <v>437</v>
      </c>
      <c r="H277" s="584" t="s">
        <v>20</v>
      </c>
      <c r="I277" s="584" t="s">
        <v>551</v>
      </c>
      <c r="J277" s="583">
        <v>500</v>
      </c>
      <c r="K277" s="592"/>
      <c r="L277" s="445" t="s">
        <v>563</v>
      </c>
      <c r="M277" s="613">
        <v>632</v>
      </c>
      <c r="N277" s="616">
        <f t="shared" si="4"/>
        <v>1.264</v>
      </c>
      <c r="O277" s="213">
        <v>91</v>
      </c>
      <c r="P277" s="607" t="s">
        <v>1746</v>
      </c>
      <c r="Q277" s="628"/>
    </row>
    <row r="278" spans="1:17" s="36" customFormat="1" x14ac:dyDescent="0.2">
      <c r="A278" s="605" t="s">
        <v>276</v>
      </c>
      <c r="B278" s="605" t="s">
        <v>276</v>
      </c>
      <c r="C278" s="605">
        <v>2020</v>
      </c>
      <c r="D278" s="444" t="s">
        <v>302</v>
      </c>
      <c r="E278" s="584" t="s">
        <v>362</v>
      </c>
      <c r="F278" s="584" t="s">
        <v>74</v>
      </c>
      <c r="G278" s="584" t="s">
        <v>437</v>
      </c>
      <c r="H278" s="584" t="s">
        <v>549</v>
      </c>
      <c r="I278" s="584" t="s">
        <v>551</v>
      </c>
      <c r="J278" s="583">
        <v>500</v>
      </c>
      <c r="K278" s="592"/>
      <c r="L278" s="445" t="s">
        <v>563</v>
      </c>
      <c r="M278" s="613">
        <v>632</v>
      </c>
      <c r="N278" s="616">
        <f t="shared" si="4"/>
        <v>1.264</v>
      </c>
      <c r="O278" s="213">
        <v>91</v>
      </c>
      <c r="P278" s="607" t="s">
        <v>1746</v>
      </c>
      <c r="Q278" s="628"/>
    </row>
    <row r="279" spans="1:17" s="36" customFormat="1" ht="25.5" x14ac:dyDescent="0.2">
      <c r="A279" s="605" t="s">
        <v>276</v>
      </c>
      <c r="B279" s="605" t="s">
        <v>276</v>
      </c>
      <c r="C279" s="605">
        <v>2020</v>
      </c>
      <c r="D279" s="444" t="s">
        <v>302</v>
      </c>
      <c r="E279" s="584" t="s">
        <v>362</v>
      </c>
      <c r="F279" s="584" t="s">
        <v>74</v>
      </c>
      <c r="G279" s="584" t="s">
        <v>437</v>
      </c>
      <c r="H279" s="584" t="s">
        <v>550</v>
      </c>
      <c r="I279" s="584" t="s">
        <v>551</v>
      </c>
      <c r="J279" s="583">
        <v>100</v>
      </c>
      <c r="K279" s="592"/>
      <c r="L279" s="445" t="s">
        <v>563</v>
      </c>
      <c r="M279" s="613">
        <v>632</v>
      </c>
      <c r="N279" s="616">
        <f t="shared" si="4"/>
        <v>6.32</v>
      </c>
      <c r="O279" s="213">
        <v>91</v>
      </c>
      <c r="P279" s="607" t="s">
        <v>1746</v>
      </c>
      <c r="Q279" s="628" t="s">
        <v>1695</v>
      </c>
    </row>
    <row r="280" spans="1:17" s="36" customFormat="1" x14ac:dyDescent="0.2">
      <c r="A280" s="605" t="s">
        <v>276</v>
      </c>
      <c r="B280" s="605" t="s">
        <v>276</v>
      </c>
      <c r="C280" s="605">
        <v>2020</v>
      </c>
      <c r="D280" s="444" t="s">
        <v>341</v>
      </c>
      <c r="E280" s="584" t="s">
        <v>362</v>
      </c>
      <c r="F280" s="584" t="s">
        <v>74</v>
      </c>
      <c r="G280" s="584" t="s">
        <v>445</v>
      </c>
      <c r="H280" s="584" t="s">
        <v>42</v>
      </c>
      <c r="I280" s="584" t="s">
        <v>548</v>
      </c>
      <c r="J280" s="584">
        <v>80000</v>
      </c>
      <c r="K280" s="584"/>
      <c r="L280" s="445"/>
      <c r="M280" s="613">
        <v>82089</v>
      </c>
      <c r="N280" s="616">
        <f t="shared" si="4"/>
        <v>1.0261125</v>
      </c>
      <c r="O280" s="213">
        <v>196</v>
      </c>
      <c r="P280" s="607" t="s">
        <v>1736</v>
      </c>
      <c r="Q280" s="628"/>
    </row>
    <row r="281" spans="1:17" s="36" customFormat="1" x14ac:dyDescent="0.2">
      <c r="A281" s="605" t="s">
        <v>276</v>
      </c>
      <c r="B281" s="605" t="s">
        <v>276</v>
      </c>
      <c r="C281" s="605">
        <v>2020</v>
      </c>
      <c r="D281" s="444" t="s">
        <v>341</v>
      </c>
      <c r="E281" s="584" t="s">
        <v>362</v>
      </c>
      <c r="F281" s="584" t="s">
        <v>74</v>
      </c>
      <c r="G281" s="584" t="s">
        <v>445</v>
      </c>
      <c r="H281" s="584" t="s">
        <v>19</v>
      </c>
      <c r="I281" s="584" t="s">
        <v>548</v>
      </c>
      <c r="J281" s="584">
        <v>0</v>
      </c>
      <c r="K281" s="584"/>
      <c r="L281" s="445" t="s">
        <v>552</v>
      </c>
      <c r="M281" s="613">
        <v>0</v>
      </c>
      <c r="N281" s="616"/>
      <c r="O281" s="213">
        <v>0</v>
      </c>
      <c r="P281" s="607"/>
      <c r="Q281" s="628" t="s">
        <v>552</v>
      </c>
    </row>
    <row r="282" spans="1:17" s="36" customFormat="1" x14ac:dyDescent="0.2">
      <c r="A282" s="605" t="s">
        <v>276</v>
      </c>
      <c r="B282" s="605" t="s">
        <v>276</v>
      </c>
      <c r="C282" s="605">
        <v>2020</v>
      </c>
      <c r="D282" s="444" t="s">
        <v>341</v>
      </c>
      <c r="E282" s="584" t="s">
        <v>362</v>
      </c>
      <c r="F282" s="584" t="s">
        <v>74</v>
      </c>
      <c r="G282" s="584" t="s">
        <v>445</v>
      </c>
      <c r="H282" s="584" t="s">
        <v>20</v>
      </c>
      <c r="I282" s="584" t="s">
        <v>548</v>
      </c>
      <c r="J282" s="584">
        <v>0</v>
      </c>
      <c r="K282" s="584"/>
      <c r="L282" s="445"/>
      <c r="M282" s="613">
        <v>0</v>
      </c>
      <c r="N282" s="616"/>
      <c r="O282" s="213">
        <v>0</v>
      </c>
      <c r="P282" s="607"/>
      <c r="Q282" s="628" t="s">
        <v>552</v>
      </c>
    </row>
    <row r="283" spans="1:17" s="36" customFormat="1" x14ac:dyDescent="0.2">
      <c r="A283" s="605" t="s">
        <v>276</v>
      </c>
      <c r="B283" s="605" t="s">
        <v>276</v>
      </c>
      <c r="C283" s="605">
        <v>2020</v>
      </c>
      <c r="D283" s="444" t="s">
        <v>341</v>
      </c>
      <c r="E283" s="584" t="s">
        <v>362</v>
      </c>
      <c r="F283" s="584" t="s">
        <v>74</v>
      </c>
      <c r="G283" s="584" t="s">
        <v>445</v>
      </c>
      <c r="H283" s="584" t="s">
        <v>549</v>
      </c>
      <c r="I283" s="584" t="s">
        <v>548</v>
      </c>
      <c r="J283" s="584">
        <v>80000</v>
      </c>
      <c r="K283" s="584"/>
      <c r="L283" s="445"/>
      <c r="M283" s="613">
        <v>82089</v>
      </c>
      <c r="N283" s="616">
        <f t="shared" si="4"/>
        <v>1.0261125</v>
      </c>
      <c r="O283" s="213">
        <v>196</v>
      </c>
      <c r="P283" s="608" t="s">
        <v>1736</v>
      </c>
      <c r="Q283" s="628"/>
    </row>
    <row r="284" spans="1:17" s="36" customFormat="1" x14ac:dyDescent="0.2">
      <c r="A284" s="605" t="s">
        <v>276</v>
      </c>
      <c r="B284" s="605" t="s">
        <v>276</v>
      </c>
      <c r="C284" s="605">
        <v>2020</v>
      </c>
      <c r="D284" s="444" t="s">
        <v>341</v>
      </c>
      <c r="E284" s="584" t="s">
        <v>362</v>
      </c>
      <c r="F284" s="584" t="s">
        <v>74</v>
      </c>
      <c r="G284" s="584" t="s">
        <v>445</v>
      </c>
      <c r="H284" s="584" t="s">
        <v>550</v>
      </c>
      <c r="I284" s="584" t="s">
        <v>548</v>
      </c>
      <c r="J284" s="584">
        <v>20000</v>
      </c>
      <c r="K284" s="584"/>
      <c r="L284" s="445"/>
      <c r="M284" s="613">
        <v>20962</v>
      </c>
      <c r="N284" s="616">
        <f t="shared" si="4"/>
        <v>1.0481</v>
      </c>
      <c r="O284" s="213">
        <v>196</v>
      </c>
      <c r="P284" s="608" t="s">
        <v>1736</v>
      </c>
      <c r="Q284" s="628"/>
    </row>
    <row r="285" spans="1:17" s="36" customFormat="1" ht="25.5" x14ac:dyDescent="0.2">
      <c r="A285" s="605" t="s">
        <v>276</v>
      </c>
      <c r="B285" s="605" t="s">
        <v>276</v>
      </c>
      <c r="C285" s="605">
        <v>2020</v>
      </c>
      <c r="D285" s="444" t="s">
        <v>341</v>
      </c>
      <c r="E285" s="584" t="s">
        <v>362</v>
      </c>
      <c r="F285" s="584" t="s">
        <v>74</v>
      </c>
      <c r="G285" s="584" t="s">
        <v>445</v>
      </c>
      <c r="H285" s="584" t="s">
        <v>42</v>
      </c>
      <c r="I285" s="584" t="s">
        <v>551</v>
      </c>
      <c r="J285" s="584">
        <v>1000</v>
      </c>
      <c r="K285" s="584"/>
      <c r="L285" s="445"/>
      <c r="M285" s="613">
        <v>82089</v>
      </c>
      <c r="N285" s="616">
        <f t="shared" si="4"/>
        <v>82.088999999999999</v>
      </c>
      <c r="O285" s="213">
        <v>196</v>
      </c>
      <c r="P285" s="607" t="s">
        <v>1743</v>
      </c>
      <c r="Q285" s="628" t="s">
        <v>1695</v>
      </c>
    </row>
    <row r="286" spans="1:17" s="36" customFormat="1" x14ac:dyDescent="0.2">
      <c r="A286" s="605" t="s">
        <v>276</v>
      </c>
      <c r="B286" s="605" t="s">
        <v>276</v>
      </c>
      <c r="C286" s="605">
        <v>2020</v>
      </c>
      <c r="D286" s="444" t="s">
        <v>341</v>
      </c>
      <c r="E286" s="584" t="s">
        <v>362</v>
      </c>
      <c r="F286" s="584" t="s">
        <v>74</v>
      </c>
      <c r="G286" s="584" t="s">
        <v>445</v>
      </c>
      <c r="H286" s="584" t="s">
        <v>19</v>
      </c>
      <c r="I286" s="584" t="s">
        <v>551</v>
      </c>
      <c r="J286" s="584">
        <v>0</v>
      </c>
      <c r="K286" s="584"/>
      <c r="L286" s="445" t="s">
        <v>552</v>
      </c>
      <c r="M286" s="613">
        <v>0</v>
      </c>
      <c r="N286" s="616"/>
      <c r="O286" s="213">
        <v>0</v>
      </c>
      <c r="P286" s="607"/>
      <c r="Q286" s="628" t="s">
        <v>552</v>
      </c>
    </row>
    <row r="287" spans="1:17" s="36" customFormat="1" ht="25.5" x14ac:dyDescent="0.2">
      <c r="A287" s="605" t="s">
        <v>276</v>
      </c>
      <c r="B287" s="605" t="s">
        <v>276</v>
      </c>
      <c r="C287" s="605">
        <v>2020</v>
      </c>
      <c r="D287" s="444" t="s">
        <v>341</v>
      </c>
      <c r="E287" s="584" t="s">
        <v>362</v>
      </c>
      <c r="F287" s="584" t="s">
        <v>74</v>
      </c>
      <c r="G287" s="584" t="s">
        <v>445</v>
      </c>
      <c r="H287" s="584" t="s">
        <v>20</v>
      </c>
      <c r="I287" s="584" t="s">
        <v>551</v>
      </c>
      <c r="J287" s="584">
        <v>500</v>
      </c>
      <c r="K287" s="584"/>
      <c r="L287" s="445"/>
      <c r="M287" s="613">
        <v>20962</v>
      </c>
      <c r="N287" s="616">
        <f t="shared" si="4"/>
        <v>41.923999999999999</v>
      </c>
      <c r="O287" s="213">
        <v>196</v>
      </c>
      <c r="P287" s="608" t="s">
        <v>1743</v>
      </c>
      <c r="Q287" s="628" t="s">
        <v>1695</v>
      </c>
    </row>
    <row r="288" spans="1:17" s="36" customFormat="1" ht="25.5" x14ac:dyDescent="0.2">
      <c r="A288" s="605" t="s">
        <v>276</v>
      </c>
      <c r="B288" s="605" t="s">
        <v>276</v>
      </c>
      <c r="C288" s="605">
        <v>2020</v>
      </c>
      <c r="D288" s="444" t="s">
        <v>341</v>
      </c>
      <c r="E288" s="584" t="s">
        <v>362</v>
      </c>
      <c r="F288" s="584" t="s">
        <v>74</v>
      </c>
      <c r="G288" s="584" t="s">
        <v>445</v>
      </c>
      <c r="H288" s="584" t="s">
        <v>549</v>
      </c>
      <c r="I288" s="584" t="s">
        <v>551</v>
      </c>
      <c r="J288" s="584">
        <v>1000</v>
      </c>
      <c r="K288" s="584"/>
      <c r="L288" s="445"/>
      <c r="M288" s="613">
        <v>82089</v>
      </c>
      <c r="N288" s="616">
        <f t="shared" si="4"/>
        <v>82.088999999999999</v>
      </c>
      <c r="O288" s="213">
        <v>196</v>
      </c>
      <c r="P288" s="608" t="s">
        <v>1743</v>
      </c>
      <c r="Q288" s="628" t="s">
        <v>1695</v>
      </c>
    </row>
    <row r="289" spans="1:17" s="36" customFormat="1" ht="25.5" x14ac:dyDescent="0.2">
      <c r="A289" s="605" t="s">
        <v>276</v>
      </c>
      <c r="B289" s="605" t="s">
        <v>276</v>
      </c>
      <c r="C289" s="605">
        <v>2020</v>
      </c>
      <c r="D289" s="444" t="s">
        <v>341</v>
      </c>
      <c r="E289" s="584" t="s">
        <v>362</v>
      </c>
      <c r="F289" s="584" t="s">
        <v>74</v>
      </c>
      <c r="G289" s="584" t="s">
        <v>445</v>
      </c>
      <c r="H289" s="584" t="s">
        <v>550</v>
      </c>
      <c r="I289" s="584" t="s">
        <v>551</v>
      </c>
      <c r="J289" s="584">
        <v>300</v>
      </c>
      <c r="K289" s="584"/>
      <c r="L289" s="445"/>
      <c r="M289" s="613">
        <v>20962</v>
      </c>
      <c r="N289" s="616">
        <f t="shared" si="4"/>
        <v>69.873333333333335</v>
      </c>
      <c r="O289" s="213">
        <v>196</v>
      </c>
      <c r="P289" s="608" t="s">
        <v>1743</v>
      </c>
      <c r="Q289" s="628" t="s">
        <v>1695</v>
      </c>
    </row>
    <row r="290" spans="1:17" s="36" customFormat="1" ht="76.5" x14ac:dyDescent="0.2">
      <c r="A290" s="605" t="s">
        <v>276</v>
      </c>
      <c r="B290" s="605" t="s">
        <v>276</v>
      </c>
      <c r="C290" s="605">
        <v>2020</v>
      </c>
      <c r="D290" s="444" t="s">
        <v>349</v>
      </c>
      <c r="E290" s="584" t="s">
        <v>362</v>
      </c>
      <c r="F290" s="584" t="s">
        <v>74</v>
      </c>
      <c r="G290" s="584" t="s">
        <v>384</v>
      </c>
      <c r="H290" s="584" t="s">
        <v>42</v>
      </c>
      <c r="I290" s="584" t="s">
        <v>548</v>
      </c>
      <c r="J290" s="584">
        <v>2000</v>
      </c>
      <c r="K290" s="584"/>
      <c r="L290" s="445"/>
      <c r="M290" s="613">
        <v>622</v>
      </c>
      <c r="N290" s="616">
        <f t="shared" si="4"/>
        <v>0.311</v>
      </c>
      <c r="O290" s="213">
        <v>16</v>
      </c>
      <c r="P290" s="607" t="s">
        <v>1736</v>
      </c>
      <c r="Q290" s="628" t="s">
        <v>1777</v>
      </c>
    </row>
    <row r="291" spans="1:17" s="36" customFormat="1" ht="25.5" x14ac:dyDescent="0.2">
      <c r="A291" s="605" t="s">
        <v>276</v>
      </c>
      <c r="B291" s="605" t="s">
        <v>276</v>
      </c>
      <c r="C291" s="605">
        <v>2020</v>
      </c>
      <c r="D291" s="444" t="s">
        <v>349</v>
      </c>
      <c r="E291" s="584" t="s">
        <v>362</v>
      </c>
      <c r="F291" s="584" t="s">
        <v>74</v>
      </c>
      <c r="G291" s="584" t="s">
        <v>384</v>
      </c>
      <c r="H291" s="584" t="s">
        <v>19</v>
      </c>
      <c r="I291" s="584" t="s">
        <v>548</v>
      </c>
      <c r="J291" s="584">
        <v>250</v>
      </c>
      <c r="K291" s="584"/>
      <c r="L291" s="445" t="s">
        <v>561</v>
      </c>
      <c r="M291" s="613">
        <v>476</v>
      </c>
      <c r="N291" s="616">
        <f t="shared" si="4"/>
        <v>1.9039999999999999</v>
      </c>
      <c r="O291" s="213">
        <v>22</v>
      </c>
      <c r="P291" s="607" t="s">
        <v>1753</v>
      </c>
      <c r="Q291" s="628" t="s">
        <v>1695</v>
      </c>
    </row>
    <row r="292" spans="1:17" s="36" customFormat="1" ht="25.5" x14ac:dyDescent="0.2">
      <c r="A292" s="605" t="s">
        <v>276</v>
      </c>
      <c r="B292" s="605" t="s">
        <v>276</v>
      </c>
      <c r="C292" s="605">
        <v>2020</v>
      </c>
      <c r="D292" s="444" t="s">
        <v>349</v>
      </c>
      <c r="E292" s="584" t="s">
        <v>362</v>
      </c>
      <c r="F292" s="584" t="s">
        <v>74</v>
      </c>
      <c r="G292" s="584" t="s">
        <v>384</v>
      </c>
      <c r="H292" s="584" t="s">
        <v>20</v>
      </c>
      <c r="I292" s="584" t="s">
        <v>548</v>
      </c>
      <c r="J292" s="584">
        <v>250</v>
      </c>
      <c r="K292" s="584"/>
      <c r="L292" s="445" t="s">
        <v>561</v>
      </c>
      <c r="M292" s="613">
        <v>476</v>
      </c>
      <c r="N292" s="616">
        <f t="shared" si="4"/>
        <v>1.9039999999999999</v>
      </c>
      <c r="O292" s="213">
        <v>22</v>
      </c>
      <c r="P292" s="607" t="s">
        <v>1753</v>
      </c>
      <c r="Q292" s="628" t="s">
        <v>1695</v>
      </c>
    </row>
    <row r="293" spans="1:17" s="36" customFormat="1" ht="76.5" x14ac:dyDescent="0.2">
      <c r="A293" s="605" t="s">
        <v>276</v>
      </c>
      <c r="B293" s="605" t="s">
        <v>276</v>
      </c>
      <c r="C293" s="605">
        <v>2020</v>
      </c>
      <c r="D293" s="444" t="s">
        <v>349</v>
      </c>
      <c r="E293" s="584" t="s">
        <v>362</v>
      </c>
      <c r="F293" s="584" t="s">
        <v>74</v>
      </c>
      <c r="G293" s="584" t="s">
        <v>384</v>
      </c>
      <c r="H293" s="584" t="s">
        <v>549</v>
      </c>
      <c r="I293" s="584" t="s">
        <v>548</v>
      </c>
      <c r="J293" s="584">
        <v>100</v>
      </c>
      <c r="K293" s="584"/>
      <c r="L293" s="445" t="s">
        <v>561</v>
      </c>
      <c r="M293" s="613">
        <v>40</v>
      </c>
      <c r="N293" s="616">
        <f t="shared" si="4"/>
        <v>0.4</v>
      </c>
      <c r="O293" s="213">
        <v>2</v>
      </c>
      <c r="P293" s="607" t="s">
        <v>1753</v>
      </c>
      <c r="Q293" s="628" t="s">
        <v>1777</v>
      </c>
    </row>
    <row r="294" spans="1:17" s="36" customFormat="1" ht="76.5" x14ac:dyDescent="0.2">
      <c r="A294" s="605" t="s">
        <v>276</v>
      </c>
      <c r="B294" s="605" t="s">
        <v>276</v>
      </c>
      <c r="C294" s="605">
        <v>2020</v>
      </c>
      <c r="D294" s="444" t="s">
        <v>349</v>
      </c>
      <c r="E294" s="584" t="s">
        <v>362</v>
      </c>
      <c r="F294" s="584" t="s">
        <v>74</v>
      </c>
      <c r="G294" s="584" t="s">
        <v>384</v>
      </c>
      <c r="H294" s="584" t="s">
        <v>550</v>
      </c>
      <c r="I294" s="584" t="s">
        <v>548</v>
      </c>
      <c r="J294" s="584">
        <v>100</v>
      </c>
      <c r="K294" s="584"/>
      <c r="L294" s="445" t="s">
        <v>561</v>
      </c>
      <c r="M294" s="613">
        <v>0</v>
      </c>
      <c r="N294" s="616">
        <f t="shared" si="4"/>
        <v>0</v>
      </c>
      <c r="O294" s="213">
        <v>0</v>
      </c>
      <c r="P294" s="607" t="s">
        <v>1753</v>
      </c>
      <c r="Q294" s="628" t="s">
        <v>1777</v>
      </c>
    </row>
    <row r="295" spans="1:17" s="36" customFormat="1" x14ac:dyDescent="0.2">
      <c r="A295" s="605" t="s">
        <v>276</v>
      </c>
      <c r="B295" s="605" t="s">
        <v>276</v>
      </c>
      <c r="C295" s="605">
        <v>2020</v>
      </c>
      <c r="D295" s="444" t="s">
        <v>349</v>
      </c>
      <c r="E295" s="584" t="s">
        <v>362</v>
      </c>
      <c r="F295" s="584" t="s">
        <v>74</v>
      </c>
      <c r="G295" s="584" t="s">
        <v>384</v>
      </c>
      <c r="H295" s="584" t="s">
        <v>42</v>
      </c>
      <c r="I295" s="584" t="s">
        <v>551</v>
      </c>
      <c r="J295" s="584">
        <v>0</v>
      </c>
      <c r="K295" s="584"/>
      <c r="L295" s="445" t="s">
        <v>554</v>
      </c>
      <c r="M295" s="613">
        <v>18</v>
      </c>
      <c r="N295" s="616"/>
      <c r="O295" s="213">
        <v>1</v>
      </c>
      <c r="P295" s="607"/>
      <c r="Q295" s="628" t="s">
        <v>552</v>
      </c>
    </row>
    <row r="296" spans="1:17" s="36" customFormat="1" x14ac:dyDescent="0.2">
      <c r="A296" s="605" t="s">
        <v>276</v>
      </c>
      <c r="B296" s="605" t="s">
        <v>276</v>
      </c>
      <c r="C296" s="605">
        <v>2020</v>
      </c>
      <c r="D296" s="444" t="s">
        <v>349</v>
      </c>
      <c r="E296" s="584" t="s">
        <v>362</v>
      </c>
      <c r="F296" s="584" t="s">
        <v>74</v>
      </c>
      <c r="G296" s="584" t="s">
        <v>384</v>
      </c>
      <c r="H296" s="584" t="s">
        <v>19</v>
      </c>
      <c r="I296" s="584" t="s">
        <v>551</v>
      </c>
      <c r="J296" s="584">
        <v>0</v>
      </c>
      <c r="K296" s="584"/>
      <c r="L296" s="445" t="s">
        <v>554</v>
      </c>
      <c r="M296" s="613">
        <v>17</v>
      </c>
      <c r="N296" s="616"/>
      <c r="O296" s="213">
        <v>1</v>
      </c>
      <c r="P296" s="607"/>
      <c r="Q296" s="628" t="s">
        <v>552</v>
      </c>
    </row>
    <row r="297" spans="1:17" s="36" customFormat="1" x14ac:dyDescent="0.2">
      <c r="A297" s="605" t="s">
        <v>276</v>
      </c>
      <c r="B297" s="605" t="s">
        <v>276</v>
      </c>
      <c r="C297" s="605">
        <v>2020</v>
      </c>
      <c r="D297" s="444" t="s">
        <v>349</v>
      </c>
      <c r="E297" s="584" t="s">
        <v>362</v>
      </c>
      <c r="F297" s="584" t="s">
        <v>74</v>
      </c>
      <c r="G297" s="584" t="s">
        <v>384</v>
      </c>
      <c r="H297" s="584" t="s">
        <v>20</v>
      </c>
      <c r="I297" s="584" t="s">
        <v>551</v>
      </c>
      <c r="J297" s="584">
        <v>0</v>
      </c>
      <c r="K297" s="584"/>
      <c r="L297" s="445" t="s">
        <v>554</v>
      </c>
      <c r="M297" s="613">
        <v>17</v>
      </c>
      <c r="N297" s="616"/>
      <c r="O297" s="213">
        <v>1</v>
      </c>
      <c r="P297" s="607"/>
      <c r="Q297" s="628" t="s">
        <v>552</v>
      </c>
    </row>
    <row r="298" spans="1:17" s="36" customFormat="1" x14ac:dyDescent="0.2">
      <c r="A298" s="605" t="s">
        <v>276</v>
      </c>
      <c r="B298" s="605" t="s">
        <v>276</v>
      </c>
      <c r="C298" s="605">
        <v>2020</v>
      </c>
      <c r="D298" s="444" t="s">
        <v>349</v>
      </c>
      <c r="E298" s="584" t="s">
        <v>362</v>
      </c>
      <c r="F298" s="584" t="s">
        <v>74</v>
      </c>
      <c r="G298" s="584" t="s">
        <v>384</v>
      </c>
      <c r="H298" s="584" t="s">
        <v>549</v>
      </c>
      <c r="I298" s="584" t="s">
        <v>551</v>
      </c>
      <c r="J298" s="584">
        <v>0</v>
      </c>
      <c r="K298" s="584"/>
      <c r="L298" s="445" t="s">
        <v>554</v>
      </c>
      <c r="M298" s="613">
        <v>17</v>
      </c>
      <c r="N298" s="616"/>
      <c r="O298" s="213">
        <v>1</v>
      </c>
      <c r="P298" s="607"/>
      <c r="Q298" s="628" t="s">
        <v>552</v>
      </c>
    </row>
    <row r="299" spans="1:17" s="36" customFormat="1" x14ac:dyDescent="0.2">
      <c r="A299" s="605" t="s">
        <v>276</v>
      </c>
      <c r="B299" s="605" t="s">
        <v>276</v>
      </c>
      <c r="C299" s="605">
        <v>2020</v>
      </c>
      <c r="D299" s="444" t="s">
        <v>349</v>
      </c>
      <c r="E299" s="584" t="s">
        <v>362</v>
      </c>
      <c r="F299" s="584" t="s">
        <v>74</v>
      </c>
      <c r="G299" s="584" t="s">
        <v>384</v>
      </c>
      <c r="H299" s="584" t="s">
        <v>550</v>
      </c>
      <c r="I299" s="584" t="s">
        <v>551</v>
      </c>
      <c r="J299" s="584">
        <v>0</v>
      </c>
      <c r="K299" s="584"/>
      <c r="L299" s="445" t="s">
        <v>554</v>
      </c>
      <c r="M299" s="613">
        <v>17</v>
      </c>
      <c r="N299" s="616"/>
      <c r="O299" s="213">
        <v>1</v>
      </c>
      <c r="P299" s="608"/>
      <c r="Q299" s="628" t="s">
        <v>552</v>
      </c>
    </row>
    <row r="300" spans="1:17" s="36" customFormat="1" ht="25.5" x14ac:dyDescent="0.2">
      <c r="A300" s="605" t="s">
        <v>276</v>
      </c>
      <c r="B300" s="605" t="s">
        <v>276</v>
      </c>
      <c r="C300" s="605">
        <v>2020</v>
      </c>
      <c r="D300" s="444" t="s">
        <v>349</v>
      </c>
      <c r="E300" s="584" t="s">
        <v>362</v>
      </c>
      <c r="F300" s="584" t="s">
        <v>74</v>
      </c>
      <c r="G300" s="584" t="s">
        <v>453</v>
      </c>
      <c r="H300" s="584" t="s">
        <v>42</v>
      </c>
      <c r="I300" s="584" t="s">
        <v>548</v>
      </c>
      <c r="J300" s="584">
        <v>100</v>
      </c>
      <c r="K300" s="584"/>
      <c r="L300" s="445"/>
      <c r="M300" s="613">
        <v>321</v>
      </c>
      <c r="N300" s="616">
        <f t="shared" si="4"/>
        <v>3.21</v>
      </c>
      <c r="O300" s="213">
        <v>8</v>
      </c>
      <c r="P300" s="607" t="s">
        <v>1736</v>
      </c>
      <c r="Q300" s="628" t="s">
        <v>1695</v>
      </c>
    </row>
    <row r="301" spans="1:17" s="36" customFormat="1" x14ac:dyDescent="0.2">
      <c r="A301" s="605" t="s">
        <v>276</v>
      </c>
      <c r="B301" s="605" t="s">
        <v>276</v>
      </c>
      <c r="C301" s="605">
        <v>2020</v>
      </c>
      <c r="D301" s="444" t="s">
        <v>349</v>
      </c>
      <c r="E301" s="584" t="s">
        <v>362</v>
      </c>
      <c r="F301" s="584" t="s">
        <v>74</v>
      </c>
      <c r="G301" s="584" t="s">
        <v>453</v>
      </c>
      <c r="H301" s="584" t="s">
        <v>19</v>
      </c>
      <c r="I301" s="584" t="s">
        <v>548</v>
      </c>
      <c r="J301" s="584">
        <v>0</v>
      </c>
      <c r="K301" s="584"/>
      <c r="L301" s="445" t="s">
        <v>552</v>
      </c>
      <c r="M301" s="613">
        <v>119</v>
      </c>
      <c r="N301" s="616"/>
      <c r="O301" s="213">
        <v>6</v>
      </c>
      <c r="P301" s="608"/>
      <c r="Q301" s="628" t="s">
        <v>552</v>
      </c>
    </row>
    <row r="302" spans="1:17" s="36" customFormat="1" ht="25.5" x14ac:dyDescent="0.2">
      <c r="A302" s="605" t="s">
        <v>276</v>
      </c>
      <c r="B302" s="605" t="s">
        <v>276</v>
      </c>
      <c r="C302" s="605">
        <v>2020</v>
      </c>
      <c r="D302" s="444" t="s">
        <v>349</v>
      </c>
      <c r="E302" s="584" t="s">
        <v>362</v>
      </c>
      <c r="F302" s="584" t="s">
        <v>74</v>
      </c>
      <c r="G302" s="584" t="s">
        <v>453</v>
      </c>
      <c r="H302" s="584" t="s">
        <v>20</v>
      </c>
      <c r="I302" s="584" t="s">
        <v>548</v>
      </c>
      <c r="J302" s="584">
        <v>50</v>
      </c>
      <c r="K302" s="584"/>
      <c r="L302" s="445" t="s">
        <v>561</v>
      </c>
      <c r="M302" s="613">
        <v>119</v>
      </c>
      <c r="N302" s="616">
        <f t="shared" si="4"/>
        <v>2.38</v>
      </c>
      <c r="O302" s="213">
        <v>6</v>
      </c>
      <c r="P302" s="607" t="s">
        <v>561</v>
      </c>
      <c r="Q302" s="628" t="s">
        <v>1695</v>
      </c>
    </row>
    <row r="303" spans="1:17" s="36" customFormat="1" ht="63.75" x14ac:dyDescent="0.2">
      <c r="A303" s="605" t="s">
        <v>276</v>
      </c>
      <c r="B303" s="605" t="s">
        <v>276</v>
      </c>
      <c r="C303" s="605">
        <v>2020</v>
      </c>
      <c r="D303" s="444" t="s">
        <v>349</v>
      </c>
      <c r="E303" s="584" t="s">
        <v>362</v>
      </c>
      <c r="F303" s="584" t="s">
        <v>74</v>
      </c>
      <c r="G303" s="584" t="s">
        <v>453</v>
      </c>
      <c r="H303" s="584" t="s">
        <v>549</v>
      </c>
      <c r="I303" s="584" t="s">
        <v>548</v>
      </c>
      <c r="J303" s="584">
        <v>50</v>
      </c>
      <c r="K303" s="584"/>
      <c r="L303" s="445" t="s">
        <v>561</v>
      </c>
      <c r="M303" s="613">
        <v>0</v>
      </c>
      <c r="N303" s="616">
        <f t="shared" si="4"/>
        <v>0</v>
      </c>
      <c r="O303" s="213">
        <v>0</v>
      </c>
      <c r="P303" s="607" t="s">
        <v>561</v>
      </c>
      <c r="Q303" s="628" t="s">
        <v>1786</v>
      </c>
    </row>
    <row r="304" spans="1:17" s="36" customFormat="1" ht="63.75" x14ac:dyDescent="0.2">
      <c r="A304" s="605" t="s">
        <v>276</v>
      </c>
      <c r="B304" s="605" t="s">
        <v>276</v>
      </c>
      <c r="C304" s="605">
        <v>2020</v>
      </c>
      <c r="D304" s="444" t="s">
        <v>349</v>
      </c>
      <c r="E304" s="584" t="s">
        <v>362</v>
      </c>
      <c r="F304" s="584" t="s">
        <v>74</v>
      </c>
      <c r="G304" s="584" t="s">
        <v>453</v>
      </c>
      <c r="H304" s="584" t="s">
        <v>550</v>
      </c>
      <c r="I304" s="584" t="s">
        <v>548</v>
      </c>
      <c r="J304" s="584">
        <v>50</v>
      </c>
      <c r="K304" s="584"/>
      <c r="L304" s="630" t="s">
        <v>561</v>
      </c>
      <c r="M304" s="613">
        <v>0</v>
      </c>
      <c r="N304" s="616">
        <f t="shared" si="4"/>
        <v>0</v>
      </c>
      <c r="O304" s="213">
        <v>0</v>
      </c>
      <c r="P304" s="607" t="s">
        <v>561</v>
      </c>
      <c r="Q304" s="628" t="s">
        <v>1786</v>
      </c>
    </row>
    <row r="305" spans="1:17" s="36" customFormat="1" x14ac:dyDescent="0.2">
      <c r="A305" s="605" t="s">
        <v>276</v>
      </c>
      <c r="B305" s="605" t="s">
        <v>276</v>
      </c>
      <c r="C305" s="605">
        <v>2020</v>
      </c>
      <c r="D305" s="444" t="s">
        <v>349</v>
      </c>
      <c r="E305" s="584" t="s">
        <v>362</v>
      </c>
      <c r="F305" s="584" t="s">
        <v>74</v>
      </c>
      <c r="G305" s="584" t="s">
        <v>453</v>
      </c>
      <c r="H305" s="584" t="s">
        <v>42</v>
      </c>
      <c r="I305" s="584" t="s">
        <v>551</v>
      </c>
      <c r="J305" s="584">
        <v>500</v>
      </c>
      <c r="K305" s="584"/>
      <c r="L305" s="609"/>
      <c r="M305" s="613">
        <v>483</v>
      </c>
      <c r="N305" s="616">
        <f t="shared" si="4"/>
        <v>0.96599999999999997</v>
      </c>
      <c r="O305" s="213">
        <v>26</v>
      </c>
      <c r="P305" s="607" t="s">
        <v>560</v>
      </c>
      <c r="Q305" s="628"/>
    </row>
    <row r="306" spans="1:17" s="36" customFormat="1" ht="25.5" x14ac:dyDescent="0.2">
      <c r="A306" s="605" t="s">
        <v>276</v>
      </c>
      <c r="B306" s="605" t="s">
        <v>276</v>
      </c>
      <c r="C306" s="605">
        <v>2020</v>
      </c>
      <c r="D306" s="444" t="s">
        <v>349</v>
      </c>
      <c r="E306" s="584" t="s">
        <v>362</v>
      </c>
      <c r="F306" s="584" t="s">
        <v>74</v>
      </c>
      <c r="G306" s="584" t="s">
        <v>453</v>
      </c>
      <c r="H306" s="584" t="s">
        <v>19</v>
      </c>
      <c r="I306" s="584" t="s">
        <v>551</v>
      </c>
      <c r="J306" s="584">
        <v>100</v>
      </c>
      <c r="K306" s="584"/>
      <c r="L306" s="609"/>
      <c r="M306" s="613">
        <v>288</v>
      </c>
      <c r="N306" s="616">
        <f t="shared" si="4"/>
        <v>2.88</v>
      </c>
      <c r="O306" s="213">
        <v>27</v>
      </c>
      <c r="P306" s="607" t="s">
        <v>1747</v>
      </c>
      <c r="Q306" s="628" t="s">
        <v>1695</v>
      </c>
    </row>
    <row r="307" spans="1:17" s="36" customFormat="1" ht="25.5" x14ac:dyDescent="0.2">
      <c r="A307" s="605" t="s">
        <v>276</v>
      </c>
      <c r="B307" s="605" t="s">
        <v>276</v>
      </c>
      <c r="C307" s="605">
        <v>2020</v>
      </c>
      <c r="D307" s="444" t="s">
        <v>349</v>
      </c>
      <c r="E307" s="584" t="s">
        <v>362</v>
      </c>
      <c r="F307" s="584" t="s">
        <v>74</v>
      </c>
      <c r="G307" s="584" t="s">
        <v>453</v>
      </c>
      <c r="H307" s="584" t="s">
        <v>20</v>
      </c>
      <c r="I307" s="584" t="s">
        <v>551</v>
      </c>
      <c r="J307" s="584">
        <v>100</v>
      </c>
      <c r="K307" s="584"/>
      <c r="L307" s="609"/>
      <c r="M307" s="613">
        <v>288</v>
      </c>
      <c r="N307" s="616">
        <f t="shared" si="4"/>
        <v>2.88</v>
      </c>
      <c r="O307" s="213">
        <v>27</v>
      </c>
      <c r="P307" s="607" t="s">
        <v>560</v>
      </c>
      <c r="Q307" s="628" t="s">
        <v>1695</v>
      </c>
    </row>
    <row r="308" spans="1:17" s="36" customFormat="1" ht="25.5" x14ac:dyDescent="0.2">
      <c r="A308" s="605" t="s">
        <v>276</v>
      </c>
      <c r="B308" s="605" t="s">
        <v>276</v>
      </c>
      <c r="C308" s="605">
        <v>2020</v>
      </c>
      <c r="D308" s="444" t="s">
        <v>349</v>
      </c>
      <c r="E308" s="584" t="s">
        <v>362</v>
      </c>
      <c r="F308" s="584" t="s">
        <v>74</v>
      </c>
      <c r="G308" s="584" t="s">
        <v>453</v>
      </c>
      <c r="H308" s="584" t="s">
        <v>549</v>
      </c>
      <c r="I308" s="584" t="s">
        <v>551</v>
      </c>
      <c r="J308" s="584">
        <v>100</v>
      </c>
      <c r="K308" s="584"/>
      <c r="L308" s="609"/>
      <c r="M308" s="613">
        <v>288</v>
      </c>
      <c r="N308" s="616">
        <f t="shared" si="4"/>
        <v>2.88</v>
      </c>
      <c r="O308" s="213">
        <v>27</v>
      </c>
      <c r="P308" s="607" t="s">
        <v>560</v>
      </c>
      <c r="Q308" s="628" t="s">
        <v>1695</v>
      </c>
    </row>
    <row r="309" spans="1:17" s="36" customFormat="1" ht="25.5" x14ac:dyDescent="0.2">
      <c r="A309" s="605" t="s">
        <v>276</v>
      </c>
      <c r="B309" s="605" t="s">
        <v>276</v>
      </c>
      <c r="C309" s="605">
        <v>2020</v>
      </c>
      <c r="D309" s="444" t="s">
        <v>349</v>
      </c>
      <c r="E309" s="584" t="s">
        <v>362</v>
      </c>
      <c r="F309" s="584" t="s">
        <v>74</v>
      </c>
      <c r="G309" s="584" t="s">
        <v>453</v>
      </c>
      <c r="H309" s="584" t="s">
        <v>550</v>
      </c>
      <c r="I309" s="584" t="s">
        <v>551</v>
      </c>
      <c r="J309" s="584">
        <v>100</v>
      </c>
      <c r="K309" s="584"/>
      <c r="L309" s="609"/>
      <c r="M309" s="613">
        <v>288</v>
      </c>
      <c r="N309" s="616">
        <f t="shared" si="4"/>
        <v>2.88</v>
      </c>
      <c r="O309" s="213">
        <v>27</v>
      </c>
      <c r="P309" s="607" t="s">
        <v>560</v>
      </c>
      <c r="Q309" s="628" t="s">
        <v>1695</v>
      </c>
    </row>
    <row r="310" spans="1:17" s="36" customFormat="1" x14ac:dyDescent="0.2">
      <c r="A310" s="605" t="s">
        <v>276</v>
      </c>
      <c r="B310" s="605" t="s">
        <v>276</v>
      </c>
      <c r="C310" s="605">
        <v>2020</v>
      </c>
      <c r="D310" s="444" t="s">
        <v>349</v>
      </c>
      <c r="E310" s="584" t="s">
        <v>362</v>
      </c>
      <c r="F310" s="584" t="s">
        <v>74</v>
      </c>
      <c r="G310" s="584" t="s">
        <v>452</v>
      </c>
      <c r="H310" s="584" t="s">
        <v>42</v>
      </c>
      <c r="I310" s="584" t="s">
        <v>548</v>
      </c>
      <c r="J310" s="584">
        <v>2500</v>
      </c>
      <c r="K310" s="584"/>
      <c r="L310" s="609"/>
      <c r="M310" s="613">
        <v>3549</v>
      </c>
      <c r="N310" s="616">
        <f t="shared" si="4"/>
        <v>1.4196</v>
      </c>
      <c r="O310" s="213">
        <v>76</v>
      </c>
      <c r="P310" s="607" t="s">
        <v>560</v>
      </c>
      <c r="Q310" s="628"/>
    </row>
    <row r="311" spans="1:17" s="36" customFormat="1" x14ac:dyDescent="0.2">
      <c r="A311" s="605" t="s">
        <v>276</v>
      </c>
      <c r="B311" s="605" t="s">
        <v>276</v>
      </c>
      <c r="C311" s="605">
        <v>2020</v>
      </c>
      <c r="D311" s="444" t="s">
        <v>349</v>
      </c>
      <c r="E311" s="584" t="s">
        <v>362</v>
      </c>
      <c r="F311" s="584" t="s">
        <v>74</v>
      </c>
      <c r="G311" s="584" t="s">
        <v>452</v>
      </c>
      <c r="H311" s="584" t="s">
        <v>19</v>
      </c>
      <c r="I311" s="584" t="s">
        <v>548</v>
      </c>
      <c r="J311" s="584">
        <v>1000</v>
      </c>
      <c r="K311" s="584"/>
      <c r="L311" s="609"/>
      <c r="M311" s="613">
        <v>946</v>
      </c>
      <c r="N311" s="616">
        <f t="shared" si="4"/>
        <v>0.94599999999999995</v>
      </c>
      <c r="O311" s="213">
        <v>43</v>
      </c>
      <c r="P311" s="607" t="s">
        <v>561</v>
      </c>
      <c r="Q311" s="628"/>
    </row>
    <row r="312" spans="1:17" s="36" customFormat="1" x14ac:dyDescent="0.2">
      <c r="A312" s="605" t="s">
        <v>276</v>
      </c>
      <c r="B312" s="605" t="s">
        <v>276</v>
      </c>
      <c r="C312" s="605">
        <v>2020</v>
      </c>
      <c r="D312" s="444" t="s">
        <v>349</v>
      </c>
      <c r="E312" s="584" t="s">
        <v>362</v>
      </c>
      <c r="F312" s="584" t="s">
        <v>74</v>
      </c>
      <c r="G312" s="584" t="s">
        <v>452</v>
      </c>
      <c r="H312" s="584" t="s">
        <v>20</v>
      </c>
      <c r="I312" s="584" t="s">
        <v>548</v>
      </c>
      <c r="J312" s="584">
        <v>1000</v>
      </c>
      <c r="K312" s="584"/>
      <c r="L312" s="609"/>
      <c r="M312" s="613">
        <v>946</v>
      </c>
      <c r="N312" s="616">
        <f t="shared" si="4"/>
        <v>0.94599999999999995</v>
      </c>
      <c r="O312" s="213">
        <v>43</v>
      </c>
      <c r="P312" s="607" t="s">
        <v>561</v>
      </c>
      <c r="Q312" s="628"/>
    </row>
    <row r="313" spans="1:17" s="36" customFormat="1" ht="25.5" x14ac:dyDescent="0.2">
      <c r="A313" s="605" t="s">
        <v>276</v>
      </c>
      <c r="B313" s="605" t="s">
        <v>276</v>
      </c>
      <c r="C313" s="605">
        <v>2020</v>
      </c>
      <c r="D313" s="444" t="s">
        <v>349</v>
      </c>
      <c r="E313" s="584" t="s">
        <v>362</v>
      </c>
      <c r="F313" s="584" t="s">
        <v>74</v>
      </c>
      <c r="G313" s="584" t="s">
        <v>452</v>
      </c>
      <c r="H313" s="584" t="s">
        <v>549</v>
      </c>
      <c r="I313" s="584" t="s">
        <v>548</v>
      </c>
      <c r="J313" s="584">
        <v>100</v>
      </c>
      <c r="K313" s="584"/>
      <c r="L313" s="609"/>
      <c r="M313" s="613">
        <v>308</v>
      </c>
      <c r="N313" s="616">
        <f t="shared" si="4"/>
        <v>3.08</v>
      </c>
      <c r="O313" s="213">
        <v>13</v>
      </c>
      <c r="P313" s="607" t="s">
        <v>561</v>
      </c>
      <c r="Q313" s="628" t="s">
        <v>1695</v>
      </c>
    </row>
    <row r="314" spans="1:17" s="36" customFormat="1" ht="38.25" x14ac:dyDescent="0.2">
      <c r="A314" s="605" t="s">
        <v>276</v>
      </c>
      <c r="B314" s="605" t="s">
        <v>276</v>
      </c>
      <c r="C314" s="605">
        <v>2020</v>
      </c>
      <c r="D314" s="444" t="s">
        <v>349</v>
      </c>
      <c r="E314" s="584" t="s">
        <v>362</v>
      </c>
      <c r="F314" s="584" t="s">
        <v>74</v>
      </c>
      <c r="G314" s="584" t="s">
        <v>452</v>
      </c>
      <c r="H314" s="584" t="s">
        <v>550</v>
      </c>
      <c r="I314" s="584" t="s">
        <v>548</v>
      </c>
      <c r="J314" s="584">
        <v>100</v>
      </c>
      <c r="K314" s="584"/>
      <c r="L314" s="609"/>
      <c r="M314" s="613">
        <v>3</v>
      </c>
      <c r="N314" s="616">
        <f t="shared" si="4"/>
        <v>0.03</v>
      </c>
      <c r="O314" s="213">
        <v>1</v>
      </c>
      <c r="P314" s="607" t="s">
        <v>561</v>
      </c>
      <c r="Q314" s="628" t="s">
        <v>1758</v>
      </c>
    </row>
    <row r="315" spans="1:17" s="36" customFormat="1" x14ac:dyDescent="0.2">
      <c r="A315" s="605" t="s">
        <v>276</v>
      </c>
      <c r="B315" s="605" t="s">
        <v>276</v>
      </c>
      <c r="C315" s="605">
        <v>2020</v>
      </c>
      <c r="D315" s="444" t="s">
        <v>349</v>
      </c>
      <c r="E315" s="584" t="s">
        <v>362</v>
      </c>
      <c r="F315" s="584" t="s">
        <v>74</v>
      </c>
      <c r="G315" s="584" t="s">
        <v>452</v>
      </c>
      <c r="H315" s="584" t="s">
        <v>42</v>
      </c>
      <c r="I315" s="584" t="s">
        <v>551</v>
      </c>
      <c r="J315" s="584">
        <v>750</v>
      </c>
      <c r="K315" s="584"/>
      <c r="L315" s="609"/>
      <c r="M315" s="613">
        <v>746</v>
      </c>
      <c r="N315" s="616">
        <f t="shared" si="4"/>
        <v>0.9946666666666667</v>
      </c>
      <c r="O315" s="213">
        <v>28</v>
      </c>
      <c r="P315" s="607" t="s">
        <v>560</v>
      </c>
      <c r="Q315" s="628"/>
    </row>
    <row r="316" spans="1:17" s="36" customFormat="1" ht="25.5" x14ac:dyDescent="0.2">
      <c r="A316" s="605" t="s">
        <v>276</v>
      </c>
      <c r="B316" s="605" t="s">
        <v>276</v>
      </c>
      <c r="C316" s="605">
        <v>2020</v>
      </c>
      <c r="D316" s="444" t="s">
        <v>349</v>
      </c>
      <c r="E316" s="584" t="s">
        <v>362</v>
      </c>
      <c r="F316" s="584" t="s">
        <v>74</v>
      </c>
      <c r="G316" s="584" t="s">
        <v>452</v>
      </c>
      <c r="H316" s="584" t="s">
        <v>19</v>
      </c>
      <c r="I316" s="584" t="s">
        <v>551</v>
      </c>
      <c r="J316" s="584">
        <v>250</v>
      </c>
      <c r="K316" s="584"/>
      <c r="L316" s="609"/>
      <c r="M316" s="613">
        <v>401</v>
      </c>
      <c r="N316" s="616">
        <f t="shared" si="4"/>
        <v>1.6040000000000001</v>
      </c>
      <c r="O316" s="213">
        <v>28</v>
      </c>
      <c r="P316" s="607" t="s">
        <v>560</v>
      </c>
      <c r="Q316" s="628" t="s">
        <v>1695</v>
      </c>
    </row>
    <row r="317" spans="1:17" s="36" customFormat="1" ht="25.5" x14ac:dyDescent="0.2">
      <c r="A317" s="605" t="s">
        <v>276</v>
      </c>
      <c r="B317" s="605" t="s">
        <v>276</v>
      </c>
      <c r="C317" s="605">
        <v>2020</v>
      </c>
      <c r="D317" s="444" t="s">
        <v>349</v>
      </c>
      <c r="E317" s="584" t="s">
        <v>362</v>
      </c>
      <c r="F317" s="584" t="s">
        <v>74</v>
      </c>
      <c r="G317" s="584" t="s">
        <v>452</v>
      </c>
      <c r="H317" s="584" t="s">
        <v>20</v>
      </c>
      <c r="I317" s="584" t="s">
        <v>551</v>
      </c>
      <c r="J317" s="584">
        <v>250</v>
      </c>
      <c r="K317" s="584"/>
      <c r="L317" s="609"/>
      <c r="M317" s="613">
        <v>401</v>
      </c>
      <c r="N317" s="616">
        <f t="shared" si="4"/>
        <v>1.6040000000000001</v>
      </c>
      <c r="O317" s="213">
        <v>28</v>
      </c>
      <c r="P317" s="607" t="s">
        <v>560</v>
      </c>
      <c r="Q317" s="628" t="s">
        <v>1695</v>
      </c>
    </row>
    <row r="318" spans="1:17" s="36" customFormat="1" ht="25.5" x14ac:dyDescent="0.2">
      <c r="A318" s="605" t="s">
        <v>276</v>
      </c>
      <c r="B318" s="605" t="s">
        <v>276</v>
      </c>
      <c r="C318" s="605">
        <v>2020</v>
      </c>
      <c r="D318" s="444" t="s">
        <v>349</v>
      </c>
      <c r="E318" s="584" t="s">
        <v>362</v>
      </c>
      <c r="F318" s="584" t="s">
        <v>74</v>
      </c>
      <c r="G318" s="584" t="s">
        <v>452</v>
      </c>
      <c r="H318" s="584" t="s">
        <v>549</v>
      </c>
      <c r="I318" s="584" t="s">
        <v>551</v>
      </c>
      <c r="J318" s="584">
        <v>250</v>
      </c>
      <c r="K318" s="584"/>
      <c r="L318" s="609"/>
      <c r="M318" s="613">
        <v>401</v>
      </c>
      <c r="N318" s="616">
        <f t="shared" si="4"/>
        <v>1.6040000000000001</v>
      </c>
      <c r="O318" s="213">
        <v>28</v>
      </c>
      <c r="P318" s="607" t="s">
        <v>560</v>
      </c>
      <c r="Q318" s="628" t="s">
        <v>1695</v>
      </c>
    </row>
    <row r="319" spans="1:17" s="36" customFormat="1" ht="25.5" x14ac:dyDescent="0.2">
      <c r="A319" s="605" t="s">
        <v>276</v>
      </c>
      <c r="B319" s="605" t="s">
        <v>276</v>
      </c>
      <c r="C319" s="605">
        <v>2020</v>
      </c>
      <c r="D319" s="444" t="s">
        <v>349</v>
      </c>
      <c r="E319" s="584" t="s">
        <v>362</v>
      </c>
      <c r="F319" s="584" t="s">
        <v>74</v>
      </c>
      <c r="G319" s="584" t="s">
        <v>452</v>
      </c>
      <c r="H319" s="584" t="s">
        <v>550</v>
      </c>
      <c r="I319" s="584" t="s">
        <v>551</v>
      </c>
      <c r="J319" s="584">
        <v>250</v>
      </c>
      <c r="K319" s="584"/>
      <c r="L319" s="609"/>
      <c r="M319" s="613">
        <v>401</v>
      </c>
      <c r="N319" s="616">
        <f t="shared" si="4"/>
        <v>1.6040000000000001</v>
      </c>
      <c r="O319" s="213">
        <v>28</v>
      </c>
      <c r="P319" s="607" t="s">
        <v>560</v>
      </c>
      <c r="Q319" s="628" t="s">
        <v>1695</v>
      </c>
    </row>
    <row r="320" spans="1:17" s="36" customFormat="1" x14ac:dyDescent="0.2">
      <c r="A320" s="605" t="s">
        <v>276</v>
      </c>
      <c r="B320" s="605" t="s">
        <v>276</v>
      </c>
      <c r="C320" s="605">
        <v>2020</v>
      </c>
      <c r="D320" s="444" t="s">
        <v>349</v>
      </c>
      <c r="E320" s="584" t="s">
        <v>362</v>
      </c>
      <c r="F320" s="584" t="s">
        <v>74</v>
      </c>
      <c r="G320" s="584" t="s">
        <v>454</v>
      </c>
      <c r="H320" s="584" t="s">
        <v>42</v>
      </c>
      <c r="I320" s="584" t="s">
        <v>548</v>
      </c>
      <c r="J320" s="584">
        <v>2000</v>
      </c>
      <c r="K320" s="584"/>
      <c r="L320" s="609"/>
      <c r="M320" s="613">
        <v>2536</v>
      </c>
      <c r="N320" s="616">
        <f t="shared" si="4"/>
        <v>1.268</v>
      </c>
      <c r="O320" s="213">
        <v>59</v>
      </c>
      <c r="P320" s="607"/>
      <c r="Q320" s="628"/>
    </row>
    <row r="321" spans="1:17" s="36" customFormat="1" x14ac:dyDescent="0.2">
      <c r="A321" s="605" t="s">
        <v>276</v>
      </c>
      <c r="B321" s="605" t="s">
        <v>276</v>
      </c>
      <c r="C321" s="605">
        <v>2020</v>
      </c>
      <c r="D321" s="444" t="s">
        <v>349</v>
      </c>
      <c r="E321" s="584" t="s">
        <v>362</v>
      </c>
      <c r="F321" s="584" t="s">
        <v>74</v>
      </c>
      <c r="G321" s="584" t="s">
        <v>454</v>
      </c>
      <c r="H321" s="584" t="s">
        <v>19</v>
      </c>
      <c r="I321" s="584" t="s">
        <v>548</v>
      </c>
      <c r="J321" s="584">
        <v>750</v>
      </c>
      <c r="K321" s="584"/>
      <c r="L321" s="609"/>
      <c r="M321" s="613">
        <v>867</v>
      </c>
      <c r="N321" s="616">
        <f t="shared" si="4"/>
        <v>1.1559999999999999</v>
      </c>
      <c r="O321" s="213">
        <v>42</v>
      </c>
      <c r="P321" s="607" t="s">
        <v>561</v>
      </c>
      <c r="Q321" s="628"/>
    </row>
    <row r="322" spans="1:17" s="36" customFormat="1" x14ac:dyDescent="0.2">
      <c r="A322" s="605" t="s">
        <v>276</v>
      </c>
      <c r="B322" s="605" t="s">
        <v>276</v>
      </c>
      <c r="C322" s="605">
        <v>2020</v>
      </c>
      <c r="D322" s="444" t="s">
        <v>349</v>
      </c>
      <c r="E322" s="584" t="s">
        <v>362</v>
      </c>
      <c r="F322" s="584" t="s">
        <v>74</v>
      </c>
      <c r="G322" s="584" t="s">
        <v>454</v>
      </c>
      <c r="H322" s="584" t="s">
        <v>20</v>
      </c>
      <c r="I322" s="584" t="s">
        <v>548</v>
      </c>
      <c r="J322" s="584">
        <v>750</v>
      </c>
      <c r="K322" s="584"/>
      <c r="L322" s="609"/>
      <c r="M322" s="613">
        <v>867</v>
      </c>
      <c r="N322" s="616">
        <f t="shared" si="4"/>
        <v>1.1559999999999999</v>
      </c>
      <c r="O322" s="213">
        <v>42</v>
      </c>
      <c r="P322" s="607" t="s">
        <v>561</v>
      </c>
      <c r="Q322" s="628"/>
    </row>
    <row r="323" spans="1:17" s="36" customFormat="1" ht="25.5" x14ac:dyDescent="0.2">
      <c r="A323" s="605" t="s">
        <v>276</v>
      </c>
      <c r="B323" s="605" t="s">
        <v>276</v>
      </c>
      <c r="C323" s="605">
        <v>2020</v>
      </c>
      <c r="D323" s="444" t="s">
        <v>349</v>
      </c>
      <c r="E323" s="584" t="s">
        <v>362</v>
      </c>
      <c r="F323" s="584" t="s">
        <v>74</v>
      </c>
      <c r="G323" s="584" t="s">
        <v>454</v>
      </c>
      <c r="H323" s="584" t="s">
        <v>549</v>
      </c>
      <c r="I323" s="584" t="s">
        <v>548</v>
      </c>
      <c r="J323" s="584">
        <v>100</v>
      </c>
      <c r="K323" s="584"/>
      <c r="L323" s="609"/>
      <c r="M323" s="613">
        <v>221</v>
      </c>
      <c r="N323" s="616">
        <f t="shared" si="4"/>
        <v>2.21</v>
      </c>
      <c r="O323" s="213">
        <v>11</v>
      </c>
      <c r="P323" s="607" t="s">
        <v>561</v>
      </c>
      <c r="Q323" s="628" t="s">
        <v>1695</v>
      </c>
    </row>
    <row r="324" spans="1:17" s="36" customFormat="1" ht="63.75" x14ac:dyDescent="0.2">
      <c r="A324" s="605" t="s">
        <v>276</v>
      </c>
      <c r="B324" s="605" t="s">
        <v>276</v>
      </c>
      <c r="C324" s="605">
        <v>2020</v>
      </c>
      <c r="D324" s="444" t="s">
        <v>349</v>
      </c>
      <c r="E324" s="584" t="s">
        <v>362</v>
      </c>
      <c r="F324" s="584" t="s">
        <v>74</v>
      </c>
      <c r="G324" s="584" t="s">
        <v>454</v>
      </c>
      <c r="H324" s="584" t="s">
        <v>550</v>
      </c>
      <c r="I324" s="584" t="s">
        <v>548</v>
      </c>
      <c r="J324" s="584">
        <v>100</v>
      </c>
      <c r="K324" s="584"/>
      <c r="L324" s="609"/>
      <c r="M324" s="613">
        <v>7</v>
      </c>
      <c r="N324" s="616">
        <f t="shared" si="4"/>
        <v>7.0000000000000007E-2</v>
      </c>
      <c r="O324" s="213">
        <v>1</v>
      </c>
      <c r="P324" s="607" t="s">
        <v>561</v>
      </c>
      <c r="Q324" s="628" t="s">
        <v>2039</v>
      </c>
    </row>
    <row r="325" spans="1:17" s="36" customFormat="1" ht="25.5" x14ac:dyDescent="0.2">
      <c r="A325" s="605" t="s">
        <v>276</v>
      </c>
      <c r="B325" s="605" t="s">
        <v>276</v>
      </c>
      <c r="C325" s="605">
        <v>2020</v>
      </c>
      <c r="D325" s="444" t="s">
        <v>349</v>
      </c>
      <c r="E325" s="584" t="s">
        <v>362</v>
      </c>
      <c r="F325" s="584" t="s">
        <v>74</v>
      </c>
      <c r="G325" s="584" t="s">
        <v>454</v>
      </c>
      <c r="H325" s="584" t="s">
        <v>42</v>
      </c>
      <c r="I325" s="584" t="s">
        <v>551</v>
      </c>
      <c r="J325" s="584">
        <v>100</v>
      </c>
      <c r="K325" s="584"/>
      <c r="L325" s="609"/>
      <c r="M325" s="613">
        <v>221</v>
      </c>
      <c r="N325" s="616">
        <f t="shared" si="4"/>
        <v>2.21</v>
      </c>
      <c r="O325" s="213">
        <v>15</v>
      </c>
      <c r="P325" s="607" t="s">
        <v>560</v>
      </c>
      <c r="Q325" s="628" t="s">
        <v>1695</v>
      </c>
    </row>
    <row r="326" spans="1:17" s="36" customFormat="1" ht="25.5" x14ac:dyDescent="0.2">
      <c r="A326" s="605" t="s">
        <v>276</v>
      </c>
      <c r="B326" s="605" t="s">
        <v>276</v>
      </c>
      <c r="C326" s="605">
        <v>2020</v>
      </c>
      <c r="D326" s="444" t="s">
        <v>349</v>
      </c>
      <c r="E326" s="584" t="s">
        <v>362</v>
      </c>
      <c r="F326" s="584" t="s">
        <v>74</v>
      </c>
      <c r="G326" s="584" t="s">
        <v>454</v>
      </c>
      <c r="H326" s="584" t="s">
        <v>19</v>
      </c>
      <c r="I326" s="584" t="s">
        <v>551</v>
      </c>
      <c r="J326" s="584">
        <v>50</v>
      </c>
      <c r="K326" s="584"/>
      <c r="L326" s="609"/>
      <c r="M326" s="613">
        <v>114</v>
      </c>
      <c r="N326" s="616">
        <f t="shared" ref="N326:N394" si="5">M326/J326</f>
        <v>2.2799999999999998</v>
      </c>
      <c r="O326" s="213">
        <v>15</v>
      </c>
      <c r="P326" s="607" t="s">
        <v>560</v>
      </c>
      <c r="Q326" s="628" t="s">
        <v>1695</v>
      </c>
    </row>
    <row r="327" spans="1:17" s="36" customFormat="1" ht="25.5" x14ac:dyDescent="0.2">
      <c r="A327" s="605" t="s">
        <v>276</v>
      </c>
      <c r="B327" s="605" t="s">
        <v>276</v>
      </c>
      <c r="C327" s="605">
        <v>2020</v>
      </c>
      <c r="D327" s="444" t="s">
        <v>349</v>
      </c>
      <c r="E327" s="584" t="s">
        <v>362</v>
      </c>
      <c r="F327" s="584" t="s">
        <v>74</v>
      </c>
      <c r="G327" s="584" t="s">
        <v>454</v>
      </c>
      <c r="H327" s="584" t="s">
        <v>20</v>
      </c>
      <c r="I327" s="584" t="s">
        <v>551</v>
      </c>
      <c r="J327" s="584">
        <v>50</v>
      </c>
      <c r="K327" s="584"/>
      <c r="L327" s="609"/>
      <c r="M327" s="613">
        <v>114</v>
      </c>
      <c r="N327" s="616">
        <f t="shared" si="5"/>
        <v>2.2799999999999998</v>
      </c>
      <c r="O327" s="213">
        <v>15</v>
      </c>
      <c r="P327" s="607" t="s">
        <v>560</v>
      </c>
      <c r="Q327" s="628" t="s">
        <v>1695</v>
      </c>
    </row>
    <row r="328" spans="1:17" s="36" customFormat="1" ht="25.5" x14ac:dyDescent="0.2">
      <c r="A328" s="605" t="s">
        <v>276</v>
      </c>
      <c r="B328" s="605" t="s">
        <v>276</v>
      </c>
      <c r="C328" s="605">
        <v>2020</v>
      </c>
      <c r="D328" s="444" t="s">
        <v>349</v>
      </c>
      <c r="E328" s="584" t="s">
        <v>362</v>
      </c>
      <c r="F328" s="584" t="s">
        <v>74</v>
      </c>
      <c r="G328" s="584" t="s">
        <v>454</v>
      </c>
      <c r="H328" s="584" t="s">
        <v>549</v>
      </c>
      <c r="I328" s="584" t="s">
        <v>551</v>
      </c>
      <c r="J328" s="584">
        <v>50</v>
      </c>
      <c r="K328" s="584"/>
      <c r="L328" s="609"/>
      <c r="M328" s="613">
        <v>114</v>
      </c>
      <c r="N328" s="616">
        <f t="shared" si="5"/>
        <v>2.2799999999999998</v>
      </c>
      <c r="O328" s="213">
        <v>15</v>
      </c>
      <c r="P328" s="607" t="s">
        <v>560</v>
      </c>
      <c r="Q328" s="628" t="s">
        <v>1695</v>
      </c>
    </row>
    <row r="329" spans="1:17" s="36" customFormat="1" ht="25.5" x14ac:dyDescent="0.2">
      <c r="A329" s="605" t="s">
        <v>276</v>
      </c>
      <c r="B329" s="605" t="s">
        <v>276</v>
      </c>
      <c r="C329" s="605">
        <v>2020</v>
      </c>
      <c r="D329" s="444" t="s">
        <v>349</v>
      </c>
      <c r="E329" s="584" t="s">
        <v>362</v>
      </c>
      <c r="F329" s="584" t="s">
        <v>74</v>
      </c>
      <c r="G329" s="584" t="s">
        <v>454</v>
      </c>
      <c r="H329" s="584" t="s">
        <v>550</v>
      </c>
      <c r="I329" s="584" t="s">
        <v>551</v>
      </c>
      <c r="J329" s="584">
        <v>50</v>
      </c>
      <c r="K329" s="584"/>
      <c r="L329" s="609"/>
      <c r="M329" s="613">
        <v>114</v>
      </c>
      <c r="N329" s="616">
        <f t="shared" si="5"/>
        <v>2.2799999999999998</v>
      </c>
      <c r="O329" s="213">
        <v>15</v>
      </c>
      <c r="P329" s="607" t="s">
        <v>560</v>
      </c>
      <c r="Q329" s="628" t="s">
        <v>1695</v>
      </c>
    </row>
    <row r="330" spans="1:17" s="36" customFormat="1" ht="25.5" x14ac:dyDescent="0.2">
      <c r="A330" s="605" t="s">
        <v>276</v>
      </c>
      <c r="B330" s="605" t="s">
        <v>276</v>
      </c>
      <c r="C330" s="605">
        <v>2020</v>
      </c>
      <c r="D330" s="444" t="s">
        <v>456</v>
      </c>
      <c r="E330" s="584" t="s">
        <v>362</v>
      </c>
      <c r="F330" s="584" t="s">
        <v>74</v>
      </c>
      <c r="G330" s="584" t="s">
        <v>457</v>
      </c>
      <c r="H330" s="584" t="s">
        <v>42</v>
      </c>
      <c r="I330" s="584" t="s">
        <v>548</v>
      </c>
      <c r="J330" s="584">
        <v>1000</v>
      </c>
      <c r="K330" s="584"/>
      <c r="L330" s="609"/>
      <c r="M330" s="613">
        <v>1558</v>
      </c>
      <c r="N330" s="616">
        <f t="shared" si="5"/>
        <v>1.5580000000000001</v>
      </c>
      <c r="O330" s="213">
        <v>45</v>
      </c>
      <c r="P330" s="607"/>
      <c r="Q330" s="628" t="s">
        <v>1695</v>
      </c>
    </row>
    <row r="331" spans="1:17" s="36" customFormat="1" ht="25.5" x14ac:dyDescent="0.2">
      <c r="A331" s="605" t="s">
        <v>276</v>
      </c>
      <c r="B331" s="605" t="s">
        <v>276</v>
      </c>
      <c r="C331" s="605">
        <v>2020</v>
      </c>
      <c r="D331" s="444" t="s">
        <v>456</v>
      </c>
      <c r="E331" s="584" t="s">
        <v>362</v>
      </c>
      <c r="F331" s="584" t="s">
        <v>74</v>
      </c>
      <c r="G331" s="584" t="s">
        <v>457</v>
      </c>
      <c r="H331" s="584" t="s">
        <v>19</v>
      </c>
      <c r="I331" s="584" t="s">
        <v>548</v>
      </c>
      <c r="J331" s="584">
        <v>250</v>
      </c>
      <c r="K331" s="584"/>
      <c r="L331" s="609"/>
      <c r="M331" s="613">
        <v>457</v>
      </c>
      <c r="N331" s="616">
        <f t="shared" si="5"/>
        <v>1.8280000000000001</v>
      </c>
      <c r="O331" s="213">
        <v>33</v>
      </c>
      <c r="P331" s="607" t="s">
        <v>558</v>
      </c>
      <c r="Q331" s="628" t="s">
        <v>1695</v>
      </c>
    </row>
    <row r="332" spans="1:17" s="36" customFormat="1" ht="25.5" x14ac:dyDescent="0.2">
      <c r="A332" s="605" t="s">
        <v>276</v>
      </c>
      <c r="B332" s="605" t="s">
        <v>276</v>
      </c>
      <c r="C332" s="605">
        <v>2020</v>
      </c>
      <c r="D332" s="444" t="s">
        <v>456</v>
      </c>
      <c r="E332" s="584" t="s">
        <v>362</v>
      </c>
      <c r="F332" s="584" t="s">
        <v>74</v>
      </c>
      <c r="G332" s="584" t="s">
        <v>457</v>
      </c>
      <c r="H332" s="584" t="s">
        <v>20</v>
      </c>
      <c r="I332" s="584" t="s">
        <v>548</v>
      </c>
      <c r="J332" s="584">
        <v>250</v>
      </c>
      <c r="K332" s="584"/>
      <c r="L332" s="609"/>
      <c r="M332" s="613">
        <v>457</v>
      </c>
      <c r="N332" s="616">
        <f t="shared" si="5"/>
        <v>1.8280000000000001</v>
      </c>
      <c r="O332" s="213">
        <v>33</v>
      </c>
      <c r="P332" s="607" t="s">
        <v>558</v>
      </c>
      <c r="Q332" s="628" t="s">
        <v>1695</v>
      </c>
    </row>
    <row r="333" spans="1:17" s="36" customFormat="1" x14ac:dyDescent="0.2">
      <c r="A333" s="605" t="s">
        <v>276</v>
      </c>
      <c r="B333" s="605" t="s">
        <v>276</v>
      </c>
      <c r="C333" s="605">
        <v>2020</v>
      </c>
      <c r="D333" s="444" t="s">
        <v>456</v>
      </c>
      <c r="E333" s="584" t="s">
        <v>362</v>
      </c>
      <c r="F333" s="584" t="s">
        <v>74</v>
      </c>
      <c r="G333" s="584" t="s">
        <v>457</v>
      </c>
      <c r="H333" s="584" t="s">
        <v>549</v>
      </c>
      <c r="I333" s="584" t="s">
        <v>548</v>
      </c>
      <c r="J333" s="584">
        <v>0</v>
      </c>
      <c r="K333" s="584"/>
      <c r="L333" s="584"/>
      <c r="M333" s="613">
        <v>0</v>
      </c>
      <c r="N333" s="616"/>
      <c r="O333" s="213">
        <v>0</v>
      </c>
      <c r="P333" s="607" t="s">
        <v>559</v>
      </c>
      <c r="Q333" s="628" t="s">
        <v>552</v>
      </c>
    </row>
    <row r="334" spans="1:17" s="36" customFormat="1" x14ac:dyDescent="0.2">
      <c r="A334" s="605" t="s">
        <v>276</v>
      </c>
      <c r="B334" s="605" t="s">
        <v>276</v>
      </c>
      <c r="C334" s="605">
        <v>2020</v>
      </c>
      <c r="D334" s="444" t="s">
        <v>456</v>
      </c>
      <c r="E334" s="584" t="s">
        <v>362</v>
      </c>
      <c r="F334" s="584" t="s">
        <v>74</v>
      </c>
      <c r="G334" s="584" t="s">
        <v>457</v>
      </c>
      <c r="H334" s="584" t="s">
        <v>550</v>
      </c>
      <c r="I334" s="584" t="s">
        <v>548</v>
      </c>
      <c r="J334" s="584">
        <v>0</v>
      </c>
      <c r="K334" s="584"/>
      <c r="L334" s="584"/>
      <c r="M334" s="613">
        <v>0</v>
      </c>
      <c r="N334" s="616"/>
      <c r="O334" s="213">
        <v>0</v>
      </c>
      <c r="P334" s="607" t="s">
        <v>559</v>
      </c>
      <c r="Q334" s="628" t="s">
        <v>552</v>
      </c>
    </row>
    <row r="335" spans="1:17" s="36" customFormat="1" ht="25.5" x14ac:dyDescent="0.2">
      <c r="A335" s="605" t="s">
        <v>276</v>
      </c>
      <c r="B335" s="605" t="s">
        <v>276</v>
      </c>
      <c r="C335" s="605">
        <v>2020</v>
      </c>
      <c r="D335" s="444" t="s">
        <v>456</v>
      </c>
      <c r="E335" s="584" t="s">
        <v>362</v>
      </c>
      <c r="F335" s="584" t="s">
        <v>74</v>
      </c>
      <c r="G335" s="584" t="s">
        <v>457</v>
      </c>
      <c r="H335" s="584" t="s">
        <v>42</v>
      </c>
      <c r="I335" s="584" t="s">
        <v>551</v>
      </c>
      <c r="J335" s="584">
        <v>25</v>
      </c>
      <c r="K335" s="584"/>
      <c r="L335" s="609"/>
      <c r="M335" s="613">
        <v>39</v>
      </c>
      <c r="N335" s="616">
        <f t="shared" si="5"/>
        <v>1.56</v>
      </c>
      <c r="O335" s="213">
        <v>11</v>
      </c>
      <c r="P335" s="607" t="s">
        <v>560</v>
      </c>
      <c r="Q335" s="628" t="s">
        <v>1695</v>
      </c>
    </row>
    <row r="336" spans="1:17" s="36" customFormat="1" x14ac:dyDescent="0.2">
      <c r="A336" s="605" t="s">
        <v>276</v>
      </c>
      <c r="B336" s="605" t="s">
        <v>276</v>
      </c>
      <c r="C336" s="605">
        <v>2020</v>
      </c>
      <c r="D336" s="444" t="s">
        <v>456</v>
      </c>
      <c r="E336" s="584" t="s">
        <v>362</v>
      </c>
      <c r="F336" s="584" t="s">
        <v>74</v>
      </c>
      <c r="G336" s="584" t="s">
        <v>457</v>
      </c>
      <c r="H336" s="584" t="s">
        <v>19</v>
      </c>
      <c r="I336" s="584" t="s">
        <v>551</v>
      </c>
      <c r="J336" s="584">
        <v>25</v>
      </c>
      <c r="K336" s="584"/>
      <c r="L336" s="609"/>
      <c r="M336" s="613">
        <v>34</v>
      </c>
      <c r="N336" s="616">
        <f t="shared" si="5"/>
        <v>1.36</v>
      </c>
      <c r="O336" s="213">
        <v>11</v>
      </c>
      <c r="P336" s="607" t="s">
        <v>560</v>
      </c>
      <c r="Q336" s="628"/>
    </row>
    <row r="337" spans="1:17" s="36" customFormat="1" x14ac:dyDescent="0.2">
      <c r="A337" s="605" t="s">
        <v>276</v>
      </c>
      <c r="B337" s="605" t="s">
        <v>276</v>
      </c>
      <c r="C337" s="605">
        <v>2020</v>
      </c>
      <c r="D337" s="444" t="s">
        <v>456</v>
      </c>
      <c r="E337" s="584" t="s">
        <v>362</v>
      </c>
      <c r="F337" s="584" t="s">
        <v>74</v>
      </c>
      <c r="G337" s="584" t="s">
        <v>457</v>
      </c>
      <c r="H337" s="584" t="s">
        <v>20</v>
      </c>
      <c r="I337" s="584" t="s">
        <v>551</v>
      </c>
      <c r="J337" s="584">
        <v>25</v>
      </c>
      <c r="K337" s="584"/>
      <c r="L337" s="609"/>
      <c r="M337" s="613">
        <v>34</v>
      </c>
      <c r="N337" s="616">
        <f t="shared" si="5"/>
        <v>1.36</v>
      </c>
      <c r="O337" s="213">
        <v>11</v>
      </c>
      <c r="P337" s="607" t="s">
        <v>560</v>
      </c>
      <c r="Q337" s="628"/>
    </row>
    <row r="338" spans="1:17" s="36" customFormat="1" x14ac:dyDescent="0.2">
      <c r="A338" s="605" t="s">
        <v>276</v>
      </c>
      <c r="B338" s="605" t="s">
        <v>276</v>
      </c>
      <c r="C338" s="605">
        <v>2020</v>
      </c>
      <c r="D338" s="444" t="s">
        <v>456</v>
      </c>
      <c r="E338" s="584" t="s">
        <v>362</v>
      </c>
      <c r="F338" s="584" t="s">
        <v>74</v>
      </c>
      <c r="G338" s="584" t="s">
        <v>457</v>
      </c>
      <c r="H338" s="584" t="s">
        <v>549</v>
      </c>
      <c r="I338" s="584" t="s">
        <v>551</v>
      </c>
      <c r="J338" s="584">
        <v>25</v>
      </c>
      <c r="K338" s="584"/>
      <c r="L338" s="609"/>
      <c r="M338" s="613">
        <v>34</v>
      </c>
      <c r="N338" s="616">
        <f t="shared" si="5"/>
        <v>1.36</v>
      </c>
      <c r="O338" s="213">
        <v>11</v>
      </c>
      <c r="P338" s="607" t="s">
        <v>560</v>
      </c>
      <c r="Q338" s="628"/>
    </row>
    <row r="339" spans="1:17" s="36" customFormat="1" x14ac:dyDescent="0.2">
      <c r="A339" s="605" t="s">
        <v>276</v>
      </c>
      <c r="B339" s="605" t="s">
        <v>276</v>
      </c>
      <c r="C339" s="605">
        <v>2020</v>
      </c>
      <c r="D339" s="444" t="s">
        <v>456</v>
      </c>
      <c r="E339" s="584" t="s">
        <v>362</v>
      </c>
      <c r="F339" s="584" t="s">
        <v>74</v>
      </c>
      <c r="G339" s="584" t="s">
        <v>457</v>
      </c>
      <c r="H339" s="584" t="s">
        <v>550</v>
      </c>
      <c r="I339" s="584" t="s">
        <v>551</v>
      </c>
      <c r="J339" s="584">
        <v>25</v>
      </c>
      <c r="K339" s="584"/>
      <c r="L339" s="609"/>
      <c r="M339" s="613">
        <v>34</v>
      </c>
      <c r="N339" s="616">
        <f t="shared" si="5"/>
        <v>1.36</v>
      </c>
      <c r="O339" s="213">
        <v>11</v>
      </c>
      <c r="P339" s="607" t="s">
        <v>560</v>
      </c>
      <c r="Q339" s="628"/>
    </row>
    <row r="340" spans="1:17" s="36" customFormat="1" ht="25.5" x14ac:dyDescent="0.2">
      <c r="A340" s="605" t="s">
        <v>276</v>
      </c>
      <c r="B340" s="605" t="s">
        <v>276</v>
      </c>
      <c r="C340" s="605">
        <v>2020</v>
      </c>
      <c r="D340" s="444" t="s">
        <v>307</v>
      </c>
      <c r="E340" s="584" t="s">
        <v>362</v>
      </c>
      <c r="F340" s="584" t="s">
        <v>74</v>
      </c>
      <c r="G340" s="584" t="s">
        <v>393</v>
      </c>
      <c r="H340" s="584" t="s">
        <v>42</v>
      </c>
      <c r="I340" s="584" t="s">
        <v>548</v>
      </c>
      <c r="J340" s="584">
        <v>250</v>
      </c>
      <c r="K340" s="584"/>
      <c r="L340" s="609"/>
      <c r="M340" s="613">
        <v>471</v>
      </c>
      <c r="N340" s="616">
        <f t="shared" si="5"/>
        <v>1.8839999999999999</v>
      </c>
      <c r="O340" s="213">
        <v>19</v>
      </c>
      <c r="P340" s="607" t="s">
        <v>558</v>
      </c>
      <c r="Q340" s="628" t="s">
        <v>1695</v>
      </c>
    </row>
    <row r="341" spans="1:17" s="36" customFormat="1" ht="25.5" x14ac:dyDescent="0.2">
      <c r="A341" s="605" t="s">
        <v>276</v>
      </c>
      <c r="B341" s="605" t="s">
        <v>276</v>
      </c>
      <c r="C341" s="605">
        <v>2020</v>
      </c>
      <c r="D341" s="444" t="s">
        <v>307</v>
      </c>
      <c r="E341" s="584" t="s">
        <v>362</v>
      </c>
      <c r="F341" s="584" t="s">
        <v>74</v>
      </c>
      <c r="G341" s="584" t="s">
        <v>393</v>
      </c>
      <c r="H341" s="584" t="s">
        <v>19</v>
      </c>
      <c r="I341" s="584" t="s">
        <v>548</v>
      </c>
      <c r="J341" s="584">
        <v>100</v>
      </c>
      <c r="K341" s="584"/>
      <c r="L341" s="609"/>
      <c r="M341" s="613">
        <v>211</v>
      </c>
      <c r="N341" s="616">
        <f t="shared" si="5"/>
        <v>2.11</v>
      </c>
      <c r="O341" s="213">
        <v>19</v>
      </c>
      <c r="P341" s="607" t="s">
        <v>558</v>
      </c>
      <c r="Q341" s="628" t="s">
        <v>1695</v>
      </c>
    </row>
    <row r="342" spans="1:17" s="36" customFormat="1" ht="25.5" x14ac:dyDescent="0.2">
      <c r="A342" s="605" t="s">
        <v>276</v>
      </c>
      <c r="B342" s="605" t="s">
        <v>276</v>
      </c>
      <c r="C342" s="605">
        <v>2020</v>
      </c>
      <c r="D342" s="444" t="s">
        <v>307</v>
      </c>
      <c r="E342" s="584" t="s">
        <v>362</v>
      </c>
      <c r="F342" s="584" t="s">
        <v>74</v>
      </c>
      <c r="G342" s="584" t="s">
        <v>393</v>
      </c>
      <c r="H342" s="584" t="s">
        <v>20</v>
      </c>
      <c r="I342" s="584" t="s">
        <v>548</v>
      </c>
      <c r="J342" s="584">
        <v>100</v>
      </c>
      <c r="K342" s="584"/>
      <c r="L342" s="609"/>
      <c r="M342" s="613">
        <v>211</v>
      </c>
      <c r="N342" s="616">
        <f t="shared" si="5"/>
        <v>2.11</v>
      </c>
      <c r="O342" s="213">
        <v>19</v>
      </c>
      <c r="P342" s="607" t="s">
        <v>558</v>
      </c>
      <c r="Q342" s="628" t="s">
        <v>1695</v>
      </c>
    </row>
    <row r="343" spans="1:17" s="36" customFormat="1" ht="38.25" x14ac:dyDescent="0.2">
      <c r="A343" s="605" t="s">
        <v>276</v>
      </c>
      <c r="B343" s="605" t="s">
        <v>276</v>
      </c>
      <c r="C343" s="605">
        <v>2020</v>
      </c>
      <c r="D343" s="444" t="s">
        <v>307</v>
      </c>
      <c r="E343" s="584" t="s">
        <v>362</v>
      </c>
      <c r="F343" s="584" t="s">
        <v>74</v>
      </c>
      <c r="G343" s="584" t="s">
        <v>393</v>
      </c>
      <c r="H343" s="584" t="s">
        <v>549</v>
      </c>
      <c r="I343" s="584" t="s">
        <v>548</v>
      </c>
      <c r="J343" s="584">
        <v>50</v>
      </c>
      <c r="K343" s="584"/>
      <c r="L343" s="609"/>
      <c r="M343" s="613">
        <v>0</v>
      </c>
      <c r="N343" s="616">
        <f t="shared" si="5"/>
        <v>0</v>
      </c>
      <c r="O343" s="213">
        <v>0</v>
      </c>
      <c r="P343" s="607" t="s">
        <v>558</v>
      </c>
      <c r="Q343" s="628" t="s">
        <v>1758</v>
      </c>
    </row>
    <row r="344" spans="1:17" s="36" customFormat="1" x14ac:dyDescent="0.2">
      <c r="A344" s="605" t="s">
        <v>276</v>
      </c>
      <c r="B344" s="605" t="s">
        <v>276</v>
      </c>
      <c r="C344" s="605">
        <v>2020</v>
      </c>
      <c r="D344" s="444" t="s">
        <v>307</v>
      </c>
      <c r="E344" s="584" t="s">
        <v>362</v>
      </c>
      <c r="F344" s="584" t="s">
        <v>74</v>
      </c>
      <c r="G344" s="584" t="s">
        <v>393</v>
      </c>
      <c r="H344" s="584" t="s">
        <v>550</v>
      </c>
      <c r="I344" s="584" t="s">
        <v>548</v>
      </c>
      <c r="J344" s="584">
        <v>0</v>
      </c>
      <c r="K344" s="584"/>
      <c r="L344" s="584"/>
      <c r="M344" s="613">
        <v>0</v>
      </c>
      <c r="N344" s="616"/>
      <c r="O344" s="213">
        <v>0</v>
      </c>
      <c r="P344" s="607" t="s">
        <v>552</v>
      </c>
      <c r="Q344" s="628" t="s">
        <v>552</v>
      </c>
    </row>
    <row r="345" spans="1:17" s="36" customFormat="1" ht="25.5" x14ac:dyDescent="0.2">
      <c r="A345" s="605" t="s">
        <v>276</v>
      </c>
      <c r="B345" s="605" t="s">
        <v>276</v>
      </c>
      <c r="C345" s="605">
        <v>2020</v>
      </c>
      <c r="D345" s="444" t="s">
        <v>307</v>
      </c>
      <c r="E345" s="584" t="s">
        <v>362</v>
      </c>
      <c r="F345" s="584" t="s">
        <v>74</v>
      </c>
      <c r="G345" s="584" t="s">
        <v>393</v>
      </c>
      <c r="H345" s="584" t="s">
        <v>42</v>
      </c>
      <c r="I345" s="584" t="s">
        <v>551</v>
      </c>
      <c r="J345" s="584">
        <v>25</v>
      </c>
      <c r="K345" s="584"/>
      <c r="L345" s="609"/>
      <c r="M345" s="613">
        <v>71</v>
      </c>
      <c r="N345" s="616">
        <f t="shared" si="5"/>
        <v>2.84</v>
      </c>
      <c r="O345" s="213">
        <v>10</v>
      </c>
      <c r="P345" s="607" t="s">
        <v>560</v>
      </c>
      <c r="Q345" s="628" t="s">
        <v>1695</v>
      </c>
    </row>
    <row r="346" spans="1:17" s="36" customFormat="1" x14ac:dyDescent="0.2">
      <c r="A346" s="605" t="s">
        <v>276</v>
      </c>
      <c r="B346" s="605" t="s">
        <v>276</v>
      </c>
      <c r="C346" s="605">
        <v>2020</v>
      </c>
      <c r="D346" s="444" t="s">
        <v>307</v>
      </c>
      <c r="E346" s="584" t="s">
        <v>362</v>
      </c>
      <c r="F346" s="584" t="s">
        <v>74</v>
      </c>
      <c r="G346" s="584" t="s">
        <v>393</v>
      </c>
      <c r="H346" s="584" t="s">
        <v>19</v>
      </c>
      <c r="I346" s="584" t="s">
        <v>551</v>
      </c>
      <c r="J346" s="584">
        <v>25</v>
      </c>
      <c r="K346" s="584"/>
      <c r="L346" s="631" t="s">
        <v>560</v>
      </c>
      <c r="M346" s="613">
        <v>37</v>
      </c>
      <c r="N346" s="616">
        <f t="shared" si="5"/>
        <v>1.48</v>
      </c>
      <c r="O346" s="213">
        <v>10</v>
      </c>
      <c r="P346" s="607" t="s">
        <v>560</v>
      </c>
      <c r="Q346" s="628"/>
    </row>
    <row r="347" spans="1:17" s="36" customFormat="1" x14ac:dyDescent="0.2">
      <c r="A347" s="605" t="s">
        <v>276</v>
      </c>
      <c r="B347" s="605" t="s">
        <v>276</v>
      </c>
      <c r="C347" s="605">
        <v>2020</v>
      </c>
      <c r="D347" s="444" t="s">
        <v>307</v>
      </c>
      <c r="E347" s="584" t="s">
        <v>362</v>
      </c>
      <c r="F347" s="584" t="s">
        <v>74</v>
      </c>
      <c r="G347" s="584" t="s">
        <v>393</v>
      </c>
      <c r="H347" s="584" t="s">
        <v>20</v>
      </c>
      <c r="I347" s="584" t="s">
        <v>551</v>
      </c>
      <c r="J347" s="584">
        <v>25</v>
      </c>
      <c r="K347" s="584"/>
      <c r="L347" s="631" t="s">
        <v>560</v>
      </c>
      <c r="M347" s="613">
        <v>37</v>
      </c>
      <c r="N347" s="616">
        <f t="shared" si="5"/>
        <v>1.48</v>
      </c>
      <c r="O347" s="213">
        <v>10</v>
      </c>
      <c r="P347" s="607" t="s">
        <v>560</v>
      </c>
      <c r="Q347" s="628"/>
    </row>
    <row r="348" spans="1:17" s="36" customFormat="1" x14ac:dyDescent="0.2">
      <c r="A348" s="605" t="s">
        <v>276</v>
      </c>
      <c r="B348" s="605" t="s">
        <v>276</v>
      </c>
      <c r="C348" s="605">
        <v>2020</v>
      </c>
      <c r="D348" s="444" t="s">
        <v>307</v>
      </c>
      <c r="E348" s="584" t="s">
        <v>362</v>
      </c>
      <c r="F348" s="584" t="s">
        <v>74</v>
      </c>
      <c r="G348" s="584" t="s">
        <v>393</v>
      </c>
      <c r="H348" s="584" t="s">
        <v>549</v>
      </c>
      <c r="I348" s="584" t="s">
        <v>551</v>
      </c>
      <c r="J348" s="584">
        <v>25</v>
      </c>
      <c r="K348" s="584"/>
      <c r="L348" s="631" t="s">
        <v>560</v>
      </c>
      <c r="M348" s="613">
        <v>37</v>
      </c>
      <c r="N348" s="616">
        <f t="shared" si="5"/>
        <v>1.48</v>
      </c>
      <c r="O348" s="213">
        <v>10</v>
      </c>
      <c r="P348" s="607" t="s">
        <v>560</v>
      </c>
      <c r="Q348" s="628"/>
    </row>
    <row r="349" spans="1:17" s="36" customFormat="1" x14ac:dyDescent="0.2">
      <c r="A349" s="605" t="s">
        <v>276</v>
      </c>
      <c r="B349" s="605" t="s">
        <v>276</v>
      </c>
      <c r="C349" s="605">
        <v>2020</v>
      </c>
      <c r="D349" s="444" t="s">
        <v>307</v>
      </c>
      <c r="E349" s="584" t="s">
        <v>362</v>
      </c>
      <c r="F349" s="584" t="s">
        <v>74</v>
      </c>
      <c r="G349" s="584" t="s">
        <v>393</v>
      </c>
      <c r="H349" s="584" t="s">
        <v>550</v>
      </c>
      <c r="I349" s="584" t="s">
        <v>551</v>
      </c>
      <c r="J349" s="584">
        <v>0</v>
      </c>
      <c r="K349" s="584"/>
      <c r="L349" s="631" t="s">
        <v>552</v>
      </c>
      <c r="M349" s="613">
        <v>37</v>
      </c>
      <c r="N349" s="616">
        <v>0</v>
      </c>
      <c r="O349" s="213">
        <v>10</v>
      </c>
      <c r="P349" s="722" t="s">
        <v>7</v>
      </c>
      <c r="Q349" s="628" t="s">
        <v>552</v>
      </c>
    </row>
    <row r="350" spans="1:17" s="36" customFormat="1" x14ac:dyDescent="0.2">
      <c r="A350" s="713" t="s">
        <v>276</v>
      </c>
      <c r="B350" s="713" t="s">
        <v>276</v>
      </c>
      <c r="C350" s="713">
        <v>2020</v>
      </c>
      <c r="D350" s="714" t="s">
        <v>307</v>
      </c>
      <c r="E350" s="715" t="s">
        <v>362</v>
      </c>
      <c r="F350" s="715" t="s">
        <v>74</v>
      </c>
      <c r="G350" s="723" t="s">
        <v>460</v>
      </c>
      <c r="H350" s="715" t="s">
        <v>42</v>
      </c>
      <c r="I350" s="715" t="s">
        <v>548</v>
      </c>
      <c r="J350" s="715">
        <v>250</v>
      </c>
      <c r="K350" s="715"/>
      <c r="L350" s="716"/>
      <c r="M350" s="717">
        <v>813</v>
      </c>
      <c r="N350" s="616">
        <f t="shared" si="5"/>
        <v>3.2519999999999998</v>
      </c>
      <c r="O350" s="721">
        <v>16</v>
      </c>
      <c r="P350" s="722" t="s">
        <v>558</v>
      </c>
      <c r="Q350" s="639"/>
    </row>
    <row r="351" spans="1:17" s="36" customFormat="1" x14ac:dyDescent="0.2">
      <c r="A351" s="713" t="s">
        <v>276</v>
      </c>
      <c r="B351" s="713" t="s">
        <v>276</v>
      </c>
      <c r="C351" s="713">
        <v>2020</v>
      </c>
      <c r="D351" s="714" t="s">
        <v>307</v>
      </c>
      <c r="E351" s="715" t="s">
        <v>362</v>
      </c>
      <c r="F351" s="715" t="s">
        <v>74</v>
      </c>
      <c r="G351" s="723" t="s">
        <v>460</v>
      </c>
      <c r="H351" s="715" t="s">
        <v>19</v>
      </c>
      <c r="I351" s="715" t="s">
        <v>548</v>
      </c>
      <c r="J351" s="715">
        <v>100</v>
      </c>
      <c r="K351" s="715"/>
      <c r="L351" s="716"/>
      <c r="M351" s="717">
        <v>386</v>
      </c>
      <c r="N351" s="616">
        <f t="shared" si="5"/>
        <v>3.86</v>
      </c>
      <c r="O351" s="721">
        <v>16</v>
      </c>
      <c r="P351" s="722" t="s">
        <v>558</v>
      </c>
      <c r="Q351" s="639"/>
    </row>
    <row r="352" spans="1:17" s="36" customFormat="1" x14ac:dyDescent="0.2">
      <c r="A352" s="713" t="s">
        <v>276</v>
      </c>
      <c r="B352" s="713" t="s">
        <v>276</v>
      </c>
      <c r="C352" s="713">
        <v>2020</v>
      </c>
      <c r="D352" s="714" t="s">
        <v>307</v>
      </c>
      <c r="E352" s="715" t="s">
        <v>362</v>
      </c>
      <c r="F352" s="715" t="s">
        <v>74</v>
      </c>
      <c r="G352" s="723" t="s">
        <v>460</v>
      </c>
      <c r="H352" s="715" t="s">
        <v>20</v>
      </c>
      <c r="I352" s="715" t="s">
        <v>548</v>
      </c>
      <c r="J352" s="715">
        <v>100</v>
      </c>
      <c r="K352" s="715"/>
      <c r="L352" s="716"/>
      <c r="M352" s="717">
        <v>386</v>
      </c>
      <c r="N352" s="616">
        <f t="shared" si="5"/>
        <v>3.86</v>
      </c>
      <c r="O352" s="721">
        <v>16</v>
      </c>
      <c r="P352" s="722" t="s">
        <v>558</v>
      </c>
      <c r="Q352" s="639"/>
    </row>
    <row r="353" spans="1:17" s="36" customFormat="1" x14ac:dyDescent="0.2">
      <c r="A353" s="713" t="s">
        <v>276</v>
      </c>
      <c r="B353" s="713" t="s">
        <v>276</v>
      </c>
      <c r="C353" s="713">
        <v>2020</v>
      </c>
      <c r="D353" s="714" t="s">
        <v>307</v>
      </c>
      <c r="E353" s="715" t="s">
        <v>362</v>
      </c>
      <c r="F353" s="715" t="s">
        <v>74</v>
      </c>
      <c r="G353" s="723" t="s">
        <v>460</v>
      </c>
      <c r="H353" s="715" t="s">
        <v>549</v>
      </c>
      <c r="I353" s="715" t="s">
        <v>548</v>
      </c>
      <c r="J353" s="715">
        <v>50</v>
      </c>
      <c r="K353" s="715"/>
      <c r="L353" s="716"/>
      <c r="M353" s="717">
        <v>386</v>
      </c>
      <c r="N353" s="616">
        <f t="shared" si="5"/>
        <v>7.72</v>
      </c>
      <c r="O353" s="721">
        <v>16</v>
      </c>
      <c r="P353" s="722" t="s">
        <v>558</v>
      </c>
      <c r="Q353" s="639"/>
    </row>
    <row r="354" spans="1:17" s="36" customFormat="1" x14ac:dyDescent="0.2">
      <c r="A354" s="713" t="s">
        <v>276</v>
      </c>
      <c r="B354" s="713" t="s">
        <v>276</v>
      </c>
      <c r="C354" s="713">
        <v>2020</v>
      </c>
      <c r="D354" s="714" t="s">
        <v>307</v>
      </c>
      <c r="E354" s="720" t="s">
        <v>362</v>
      </c>
      <c r="F354" s="715" t="s">
        <v>74</v>
      </c>
      <c r="G354" s="723" t="s">
        <v>460</v>
      </c>
      <c r="H354" s="715" t="s">
        <v>550</v>
      </c>
      <c r="I354" s="715" t="s">
        <v>548</v>
      </c>
      <c r="J354" s="715">
        <v>0</v>
      </c>
      <c r="K354" s="584"/>
      <c r="L354" s="631" t="s">
        <v>552</v>
      </c>
      <c r="M354" s="717" t="s">
        <v>7</v>
      </c>
      <c r="N354" s="616">
        <v>0</v>
      </c>
      <c r="O354" s="718" t="s">
        <v>7</v>
      </c>
      <c r="P354" s="722" t="s">
        <v>7</v>
      </c>
      <c r="Q354" s="628" t="s">
        <v>552</v>
      </c>
    </row>
    <row r="355" spans="1:17" s="36" customFormat="1" ht="25.5" x14ac:dyDescent="0.2">
      <c r="A355" s="605" t="s">
        <v>276</v>
      </c>
      <c r="B355" s="605" t="s">
        <v>276</v>
      </c>
      <c r="C355" s="605">
        <v>2020</v>
      </c>
      <c r="D355" s="444" t="s">
        <v>309</v>
      </c>
      <c r="E355" s="584" t="s">
        <v>362</v>
      </c>
      <c r="F355" s="584" t="s">
        <v>74</v>
      </c>
      <c r="G355" s="584" t="s">
        <v>467</v>
      </c>
      <c r="H355" s="584" t="s">
        <v>42</v>
      </c>
      <c r="I355" s="584" t="s">
        <v>548</v>
      </c>
      <c r="J355" s="584">
        <v>5000</v>
      </c>
      <c r="K355" s="584"/>
      <c r="L355" s="631"/>
      <c r="M355" s="613">
        <v>9953</v>
      </c>
      <c r="N355" s="616">
        <f t="shared" si="5"/>
        <v>1.9905999999999999</v>
      </c>
      <c r="O355" s="213">
        <v>58</v>
      </c>
      <c r="P355" s="607" t="s">
        <v>1736</v>
      </c>
      <c r="Q355" s="628" t="s">
        <v>1695</v>
      </c>
    </row>
    <row r="356" spans="1:17" s="36" customFormat="1" x14ac:dyDescent="0.2">
      <c r="A356" s="605" t="s">
        <v>276</v>
      </c>
      <c r="B356" s="605" t="s">
        <v>276</v>
      </c>
      <c r="C356" s="605">
        <v>2020</v>
      </c>
      <c r="D356" s="444" t="s">
        <v>309</v>
      </c>
      <c r="E356" s="584" t="s">
        <v>362</v>
      </c>
      <c r="F356" s="584" t="s">
        <v>74</v>
      </c>
      <c r="G356" s="584" t="s">
        <v>467</v>
      </c>
      <c r="H356" s="584" t="s">
        <v>19</v>
      </c>
      <c r="I356" s="584" t="s">
        <v>548</v>
      </c>
      <c r="J356" s="584">
        <v>2000</v>
      </c>
      <c r="K356" s="584"/>
      <c r="L356" s="631" t="s">
        <v>1440</v>
      </c>
      <c r="M356" s="613">
        <v>2297</v>
      </c>
      <c r="N356" s="616">
        <f t="shared" si="5"/>
        <v>1.1485000000000001</v>
      </c>
      <c r="O356" s="213">
        <v>51</v>
      </c>
      <c r="P356" s="611" t="s">
        <v>1440</v>
      </c>
      <c r="Q356" s="628"/>
    </row>
    <row r="357" spans="1:17" s="36" customFormat="1" x14ac:dyDescent="0.2">
      <c r="A357" s="605" t="s">
        <v>276</v>
      </c>
      <c r="B357" s="605" t="s">
        <v>276</v>
      </c>
      <c r="C357" s="605">
        <v>2020</v>
      </c>
      <c r="D357" s="444" t="s">
        <v>309</v>
      </c>
      <c r="E357" s="584" t="s">
        <v>362</v>
      </c>
      <c r="F357" s="584" t="s">
        <v>74</v>
      </c>
      <c r="G357" s="584" t="s">
        <v>467</v>
      </c>
      <c r="H357" s="584" t="s">
        <v>20</v>
      </c>
      <c r="I357" s="584" t="s">
        <v>548</v>
      </c>
      <c r="J357" s="584">
        <v>2000</v>
      </c>
      <c r="K357" s="584"/>
      <c r="L357" s="631" t="s">
        <v>1440</v>
      </c>
      <c r="M357" s="613">
        <v>2297</v>
      </c>
      <c r="N357" s="616">
        <f t="shared" si="5"/>
        <v>1.1485000000000001</v>
      </c>
      <c r="O357" s="213">
        <v>51</v>
      </c>
      <c r="P357" s="611" t="s">
        <v>1440</v>
      </c>
      <c r="Q357" s="628"/>
    </row>
    <row r="358" spans="1:17" s="36" customFormat="1" x14ac:dyDescent="0.2">
      <c r="A358" s="605" t="s">
        <v>276</v>
      </c>
      <c r="B358" s="605" t="s">
        <v>276</v>
      </c>
      <c r="C358" s="605">
        <v>2020</v>
      </c>
      <c r="D358" s="444" t="s">
        <v>309</v>
      </c>
      <c r="E358" s="584" t="s">
        <v>362</v>
      </c>
      <c r="F358" s="584" t="s">
        <v>74</v>
      </c>
      <c r="G358" s="584" t="s">
        <v>467</v>
      </c>
      <c r="H358" s="584" t="s">
        <v>549</v>
      </c>
      <c r="I358" s="584" t="s">
        <v>548</v>
      </c>
      <c r="J358" s="584">
        <v>2000</v>
      </c>
      <c r="K358" s="584"/>
      <c r="L358" s="631" t="s">
        <v>1440</v>
      </c>
      <c r="M358" s="613">
        <v>2297</v>
      </c>
      <c r="N358" s="616">
        <f t="shared" si="5"/>
        <v>1.1485000000000001</v>
      </c>
      <c r="O358" s="213">
        <v>51</v>
      </c>
      <c r="P358" s="611" t="s">
        <v>1440</v>
      </c>
      <c r="Q358" s="628"/>
    </row>
    <row r="359" spans="1:17" s="36" customFormat="1" x14ac:dyDescent="0.2">
      <c r="A359" s="605" t="s">
        <v>276</v>
      </c>
      <c r="B359" s="605" t="s">
        <v>276</v>
      </c>
      <c r="C359" s="605">
        <v>2020</v>
      </c>
      <c r="D359" s="444" t="s">
        <v>309</v>
      </c>
      <c r="E359" s="584" t="s">
        <v>362</v>
      </c>
      <c r="F359" s="584" t="s">
        <v>74</v>
      </c>
      <c r="G359" s="584" t="s">
        <v>467</v>
      </c>
      <c r="H359" s="584" t="s">
        <v>550</v>
      </c>
      <c r="I359" s="584" t="s">
        <v>548</v>
      </c>
      <c r="J359" s="584">
        <v>2000</v>
      </c>
      <c r="K359" s="584"/>
      <c r="L359" s="631" t="s">
        <v>1440</v>
      </c>
      <c r="M359" s="613">
        <v>2297</v>
      </c>
      <c r="N359" s="616">
        <f t="shared" si="5"/>
        <v>1.1485000000000001</v>
      </c>
      <c r="O359" s="213">
        <v>51</v>
      </c>
      <c r="P359" s="611" t="s">
        <v>1761</v>
      </c>
      <c r="Q359" s="628"/>
    </row>
    <row r="360" spans="1:17" s="36" customFormat="1" ht="25.5" x14ac:dyDescent="0.2">
      <c r="A360" s="605" t="s">
        <v>276</v>
      </c>
      <c r="B360" s="605" t="s">
        <v>276</v>
      </c>
      <c r="C360" s="605">
        <v>2020</v>
      </c>
      <c r="D360" s="444" t="s">
        <v>309</v>
      </c>
      <c r="E360" s="584" t="s">
        <v>362</v>
      </c>
      <c r="F360" s="584" t="s">
        <v>74</v>
      </c>
      <c r="G360" s="584" t="s">
        <v>467</v>
      </c>
      <c r="H360" s="584" t="s">
        <v>42</v>
      </c>
      <c r="I360" s="584" t="s">
        <v>551</v>
      </c>
      <c r="J360" s="584">
        <v>5000</v>
      </c>
      <c r="K360" s="584"/>
      <c r="L360" s="631"/>
      <c r="M360" s="613">
        <v>4122</v>
      </c>
      <c r="N360" s="616">
        <f t="shared" si="5"/>
        <v>0.82440000000000002</v>
      </c>
      <c r="O360" s="213">
        <v>89</v>
      </c>
      <c r="P360" s="611" t="s">
        <v>1736</v>
      </c>
      <c r="Q360" s="628" t="s">
        <v>1782</v>
      </c>
    </row>
    <row r="361" spans="1:17" s="36" customFormat="1" ht="25.5" x14ac:dyDescent="0.2">
      <c r="A361" s="605" t="s">
        <v>276</v>
      </c>
      <c r="B361" s="605" t="s">
        <v>276</v>
      </c>
      <c r="C361" s="605">
        <v>2020</v>
      </c>
      <c r="D361" s="444" t="s">
        <v>309</v>
      </c>
      <c r="E361" s="584" t="s">
        <v>362</v>
      </c>
      <c r="F361" s="584" t="s">
        <v>74</v>
      </c>
      <c r="G361" s="584" t="s">
        <v>467</v>
      </c>
      <c r="H361" s="584" t="s">
        <v>19</v>
      </c>
      <c r="I361" s="584" t="s">
        <v>551</v>
      </c>
      <c r="J361" s="584">
        <v>500</v>
      </c>
      <c r="K361" s="584"/>
      <c r="L361" s="631" t="s">
        <v>1539</v>
      </c>
      <c r="M361" s="613">
        <v>379</v>
      </c>
      <c r="N361" s="616">
        <f t="shared" si="5"/>
        <v>0.75800000000000001</v>
      </c>
      <c r="O361" s="213">
        <v>89</v>
      </c>
      <c r="P361" s="632" t="s">
        <v>1440</v>
      </c>
      <c r="Q361" s="628" t="s">
        <v>1782</v>
      </c>
    </row>
    <row r="362" spans="1:17" s="36" customFormat="1" ht="25.5" x14ac:dyDescent="0.2">
      <c r="A362" s="605" t="s">
        <v>276</v>
      </c>
      <c r="B362" s="605" t="s">
        <v>276</v>
      </c>
      <c r="C362" s="605">
        <v>2020</v>
      </c>
      <c r="D362" s="444" t="s">
        <v>309</v>
      </c>
      <c r="E362" s="584" t="s">
        <v>362</v>
      </c>
      <c r="F362" s="584" t="s">
        <v>74</v>
      </c>
      <c r="G362" s="584" t="s">
        <v>467</v>
      </c>
      <c r="H362" s="584" t="s">
        <v>20</v>
      </c>
      <c r="I362" s="584" t="s">
        <v>551</v>
      </c>
      <c r="J362" s="584">
        <v>500</v>
      </c>
      <c r="K362" s="584"/>
      <c r="L362" s="631" t="s">
        <v>1539</v>
      </c>
      <c r="M362" s="613">
        <v>379</v>
      </c>
      <c r="N362" s="616">
        <f t="shared" si="5"/>
        <v>0.75800000000000001</v>
      </c>
      <c r="O362" s="213">
        <v>89</v>
      </c>
      <c r="P362" s="632" t="s">
        <v>1440</v>
      </c>
      <c r="Q362" s="628" t="s">
        <v>1782</v>
      </c>
    </row>
    <row r="363" spans="1:17" s="36" customFormat="1" ht="25.5" x14ac:dyDescent="0.2">
      <c r="A363" s="605" t="s">
        <v>276</v>
      </c>
      <c r="B363" s="605" t="s">
        <v>276</v>
      </c>
      <c r="C363" s="605">
        <v>2020</v>
      </c>
      <c r="D363" s="444" t="s">
        <v>309</v>
      </c>
      <c r="E363" s="584" t="s">
        <v>362</v>
      </c>
      <c r="F363" s="584" t="s">
        <v>74</v>
      </c>
      <c r="G363" s="584" t="s">
        <v>467</v>
      </c>
      <c r="H363" s="584" t="s">
        <v>549</v>
      </c>
      <c r="I363" s="584" t="s">
        <v>551</v>
      </c>
      <c r="J363" s="584">
        <v>500</v>
      </c>
      <c r="K363" s="584"/>
      <c r="L363" s="631"/>
      <c r="M363" s="613">
        <v>379</v>
      </c>
      <c r="N363" s="616">
        <f t="shared" si="5"/>
        <v>0.75800000000000001</v>
      </c>
      <c r="O363" s="213">
        <v>89</v>
      </c>
      <c r="P363" s="632" t="s">
        <v>1440</v>
      </c>
      <c r="Q363" s="628" t="s">
        <v>1782</v>
      </c>
    </row>
    <row r="364" spans="1:17" s="36" customFormat="1" ht="25.5" x14ac:dyDescent="0.2">
      <c r="A364" s="605" t="s">
        <v>276</v>
      </c>
      <c r="B364" s="605" t="s">
        <v>276</v>
      </c>
      <c r="C364" s="605">
        <v>2020</v>
      </c>
      <c r="D364" s="444" t="s">
        <v>309</v>
      </c>
      <c r="E364" s="584" t="s">
        <v>362</v>
      </c>
      <c r="F364" s="584" t="s">
        <v>74</v>
      </c>
      <c r="G364" s="584" t="s">
        <v>467</v>
      </c>
      <c r="H364" s="584" t="s">
        <v>550</v>
      </c>
      <c r="I364" s="584" t="s">
        <v>551</v>
      </c>
      <c r="J364" s="584">
        <v>500</v>
      </c>
      <c r="K364" s="584"/>
      <c r="L364" s="631" t="s">
        <v>1539</v>
      </c>
      <c r="M364" s="613">
        <v>379</v>
      </c>
      <c r="N364" s="616">
        <f t="shared" si="5"/>
        <v>0.75800000000000001</v>
      </c>
      <c r="O364" s="213">
        <v>89</v>
      </c>
      <c r="P364" s="632" t="s">
        <v>1440</v>
      </c>
      <c r="Q364" s="628" t="s">
        <v>1782</v>
      </c>
    </row>
    <row r="365" spans="1:17" s="36" customFormat="1" ht="63.75" x14ac:dyDescent="0.2">
      <c r="A365" s="605" t="s">
        <v>276</v>
      </c>
      <c r="B365" s="605" t="s">
        <v>276</v>
      </c>
      <c r="C365" s="605">
        <v>2020</v>
      </c>
      <c r="D365" s="444" t="s">
        <v>352</v>
      </c>
      <c r="E365" s="584" t="s">
        <v>362</v>
      </c>
      <c r="F365" s="584" t="s">
        <v>74</v>
      </c>
      <c r="G365" s="584" t="s">
        <v>384</v>
      </c>
      <c r="H365" s="584" t="s">
        <v>42</v>
      </c>
      <c r="I365" s="584" t="s">
        <v>548</v>
      </c>
      <c r="J365" s="584">
        <v>500</v>
      </c>
      <c r="K365" s="584"/>
      <c r="L365" s="631"/>
      <c r="M365" s="613">
        <v>365</v>
      </c>
      <c r="N365" s="616">
        <f t="shared" si="5"/>
        <v>0.73</v>
      </c>
      <c r="O365" s="213">
        <v>7</v>
      </c>
      <c r="P365" s="607" t="s">
        <v>1736</v>
      </c>
      <c r="Q365" s="628" t="s">
        <v>1778</v>
      </c>
    </row>
    <row r="366" spans="1:17" s="36" customFormat="1" ht="25.5" x14ac:dyDescent="0.2">
      <c r="A366" s="605" t="s">
        <v>276</v>
      </c>
      <c r="B366" s="605" t="s">
        <v>276</v>
      </c>
      <c r="C366" s="605">
        <v>2020</v>
      </c>
      <c r="D366" s="444" t="s">
        <v>352</v>
      </c>
      <c r="E366" s="584" t="s">
        <v>362</v>
      </c>
      <c r="F366" s="584" t="s">
        <v>74</v>
      </c>
      <c r="G366" s="584" t="s">
        <v>384</v>
      </c>
      <c r="H366" s="584" t="s">
        <v>19</v>
      </c>
      <c r="I366" s="584" t="s">
        <v>548</v>
      </c>
      <c r="J366" s="584">
        <v>100</v>
      </c>
      <c r="K366" s="584"/>
      <c r="L366" s="631" t="s">
        <v>561</v>
      </c>
      <c r="M366" s="613">
        <v>153</v>
      </c>
      <c r="N366" s="616">
        <f t="shared" si="5"/>
        <v>1.53</v>
      </c>
      <c r="O366" s="213">
        <v>7</v>
      </c>
      <c r="P366" s="607" t="s">
        <v>1762</v>
      </c>
      <c r="Q366" s="628" t="s">
        <v>1695</v>
      </c>
    </row>
    <row r="367" spans="1:17" s="36" customFormat="1" ht="25.5" x14ac:dyDescent="0.2">
      <c r="A367" s="605" t="s">
        <v>276</v>
      </c>
      <c r="B367" s="605" t="s">
        <v>276</v>
      </c>
      <c r="C367" s="605">
        <v>2020</v>
      </c>
      <c r="D367" s="444" t="s">
        <v>352</v>
      </c>
      <c r="E367" s="584" t="s">
        <v>362</v>
      </c>
      <c r="F367" s="584" t="s">
        <v>74</v>
      </c>
      <c r="G367" s="584" t="s">
        <v>384</v>
      </c>
      <c r="H367" s="584" t="s">
        <v>20</v>
      </c>
      <c r="I367" s="584" t="s">
        <v>548</v>
      </c>
      <c r="J367" s="584">
        <v>100</v>
      </c>
      <c r="K367" s="584"/>
      <c r="L367" s="631" t="s">
        <v>561</v>
      </c>
      <c r="M367" s="613">
        <v>153</v>
      </c>
      <c r="N367" s="616">
        <f t="shared" si="5"/>
        <v>1.53</v>
      </c>
      <c r="O367" s="213">
        <v>7</v>
      </c>
      <c r="P367" s="607" t="s">
        <v>1753</v>
      </c>
      <c r="Q367" s="628" t="s">
        <v>1695</v>
      </c>
    </row>
    <row r="368" spans="1:17" s="36" customFormat="1" ht="63.75" x14ac:dyDescent="0.2">
      <c r="A368" s="605" t="s">
        <v>276</v>
      </c>
      <c r="B368" s="605" t="s">
        <v>276</v>
      </c>
      <c r="C368" s="605">
        <v>2020</v>
      </c>
      <c r="D368" s="444" t="s">
        <v>352</v>
      </c>
      <c r="E368" s="584" t="s">
        <v>362</v>
      </c>
      <c r="F368" s="584" t="s">
        <v>74</v>
      </c>
      <c r="G368" s="584" t="s">
        <v>384</v>
      </c>
      <c r="H368" s="584" t="s">
        <v>549</v>
      </c>
      <c r="I368" s="584" t="s">
        <v>548</v>
      </c>
      <c r="J368" s="584">
        <v>100</v>
      </c>
      <c r="K368" s="584"/>
      <c r="L368" s="631" t="s">
        <v>561</v>
      </c>
      <c r="M368" s="613">
        <v>67</v>
      </c>
      <c r="N368" s="616">
        <f t="shared" si="5"/>
        <v>0.67</v>
      </c>
      <c r="O368" s="213">
        <v>2</v>
      </c>
      <c r="P368" s="607" t="s">
        <v>1753</v>
      </c>
      <c r="Q368" s="628" t="s">
        <v>1778</v>
      </c>
    </row>
    <row r="369" spans="1:17" s="36" customFormat="1" ht="63.75" x14ac:dyDescent="0.2">
      <c r="A369" s="605" t="s">
        <v>276</v>
      </c>
      <c r="B369" s="605" t="s">
        <v>276</v>
      </c>
      <c r="C369" s="605">
        <v>2020</v>
      </c>
      <c r="D369" s="444" t="s">
        <v>352</v>
      </c>
      <c r="E369" s="584" t="s">
        <v>362</v>
      </c>
      <c r="F369" s="584" t="s">
        <v>74</v>
      </c>
      <c r="G369" s="584" t="s">
        <v>384</v>
      </c>
      <c r="H369" s="584" t="s">
        <v>550</v>
      </c>
      <c r="I369" s="584" t="s">
        <v>548</v>
      </c>
      <c r="J369" s="584">
        <v>100</v>
      </c>
      <c r="K369" s="584"/>
      <c r="L369" s="631" t="s">
        <v>561</v>
      </c>
      <c r="M369" s="613">
        <v>41</v>
      </c>
      <c r="N369" s="616">
        <f t="shared" si="5"/>
        <v>0.41</v>
      </c>
      <c r="O369" s="213">
        <v>1</v>
      </c>
      <c r="P369" s="607" t="s">
        <v>1753</v>
      </c>
      <c r="Q369" s="628" t="s">
        <v>1778</v>
      </c>
    </row>
    <row r="370" spans="1:17" s="36" customFormat="1" ht="12" customHeight="1" x14ac:dyDescent="0.2">
      <c r="A370" s="605" t="s">
        <v>276</v>
      </c>
      <c r="B370" s="605" t="s">
        <v>276</v>
      </c>
      <c r="C370" s="605">
        <v>2020</v>
      </c>
      <c r="D370" s="444" t="s">
        <v>352</v>
      </c>
      <c r="E370" s="584" t="s">
        <v>362</v>
      </c>
      <c r="F370" s="584" t="s">
        <v>74</v>
      </c>
      <c r="G370" s="584" t="s">
        <v>384</v>
      </c>
      <c r="H370" s="584" t="s">
        <v>42</v>
      </c>
      <c r="I370" s="584" t="s">
        <v>551</v>
      </c>
      <c r="J370" s="584">
        <v>0</v>
      </c>
      <c r="K370" s="584"/>
      <c r="L370" s="631" t="s">
        <v>554</v>
      </c>
      <c r="M370" s="613">
        <v>1</v>
      </c>
      <c r="N370" s="616"/>
      <c r="O370" s="213">
        <v>1</v>
      </c>
      <c r="P370" s="611"/>
      <c r="Q370" s="628" t="s">
        <v>552</v>
      </c>
    </row>
    <row r="371" spans="1:17" s="36" customFormat="1" x14ac:dyDescent="0.2">
      <c r="A371" s="605" t="s">
        <v>276</v>
      </c>
      <c r="B371" s="605" t="s">
        <v>276</v>
      </c>
      <c r="C371" s="605">
        <v>2020</v>
      </c>
      <c r="D371" s="444" t="s">
        <v>352</v>
      </c>
      <c r="E371" s="584" t="s">
        <v>362</v>
      </c>
      <c r="F371" s="584" t="s">
        <v>74</v>
      </c>
      <c r="G371" s="584" t="s">
        <v>384</v>
      </c>
      <c r="H371" s="584" t="s">
        <v>19</v>
      </c>
      <c r="I371" s="584" t="s">
        <v>551</v>
      </c>
      <c r="J371" s="584">
        <v>0</v>
      </c>
      <c r="K371" s="584"/>
      <c r="L371" s="631" t="s">
        <v>554</v>
      </c>
      <c r="M371" s="613">
        <v>1</v>
      </c>
      <c r="N371" s="616"/>
      <c r="O371" s="213">
        <v>1</v>
      </c>
      <c r="P371" s="611"/>
      <c r="Q371" s="628" t="s">
        <v>552</v>
      </c>
    </row>
    <row r="372" spans="1:17" s="36" customFormat="1" x14ac:dyDescent="0.2">
      <c r="A372" s="605" t="s">
        <v>276</v>
      </c>
      <c r="B372" s="605" t="s">
        <v>276</v>
      </c>
      <c r="C372" s="605">
        <v>2020</v>
      </c>
      <c r="D372" s="444" t="s">
        <v>352</v>
      </c>
      <c r="E372" s="584" t="s">
        <v>362</v>
      </c>
      <c r="F372" s="584" t="s">
        <v>74</v>
      </c>
      <c r="G372" s="584" t="s">
        <v>384</v>
      </c>
      <c r="H372" s="584" t="s">
        <v>20</v>
      </c>
      <c r="I372" s="584" t="s">
        <v>551</v>
      </c>
      <c r="J372" s="584">
        <v>0</v>
      </c>
      <c r="K372" s="584"/>
      <c r="L372" s="631" t="s">
        <v>554</v>
      </c>
      <c r="M372" s="613">
        <v>1</v>
      </c>
      <c r="N372" s="616"/>
      <c r="O372" s="213">
        <v>1</v>
      </c>
      <c r="P372" s="611"/>
      <c r="Q372" s="628" t="s">
        <v>552</v>
      </c>
    </row>
    <row r="373" spans="1:17" s="36" customFormat="1" x14ac:dyDescent="0.2">
      <c r="A373" s="605" t="s">
        <v>276</v>
      </c>
      <c r="B373" s="605" t="s">
        <v>276</v>
      </c>
      <c r="C373" s="605">
        <v>2020</v>
      </c>
      <c r="D373" s="444" t="s">
        <v>352</v>
      </c>
      <c r="E373" s="584" t="s">
        <v>362</v>
      </c>
      <c r="F373" s="584" t="s">
        <v>74</v>
      </c>
      <c r="G373" s="584" t="s">
        <v>384</v>
      </c>
      <c r="H373" s="584" t="s">
        <v>549</v>
      </c>
      <c r="I373" s="584" t="s">
        <v>551</v>
      </c>
      <c r="J373" s="584">
        <v>0</v>
      </c>
      <c r="K373" s="584"/>
      <c r="L373" s="631" t="s">
        <v>554</v>
      </c>
      <c r="M373" s="613">
        <v>1</v>
      </c>
      <c r="N373" s="616"/>
      <c r="O373" s="213">
        <v>1</v>
      </c>
      <c r="P373" s="611"/>
      <c r="Q373" s="628" t="s">
        <v>552</v>
      </c>
    </row>
    <row r="374" spans="1:17" s="36" customFormat="1" x14ac:dyDescent="0.2">
      <c r="A374" s="605" t="s">
        <v>276</v>
      </c>
      <c r="B374" s="605" t="s">
        <v>276</v>
      </c>
      <c r="C374" s="605">
        <v>2020</v>
      </c>
      <c r="D374" s="444" t="s">
        <v>352</v>
      </c>
      <c r="E374" s="584" t="s">
        <v>362</v>
      </c>
      <c r="F374" s="584" t="s">
        <v>74</v>
      </c>
      <c r="G374" s="584" t="s">
        <v>384</v>
      </c>
      <c r="H374" s="584" t="s">
        <v>550</v>
      </c>
      <c r="I374" s="584" t="s">
        <v>551</v>
      </c>
      <c r="J374" s="584">
        <v>0</v>
      </c>
      <c r="K374" s="584"/>
      <c r="L374" s="631" t="s">
        <v>554</v>
      </c>
      <c r="M374" s="613">
        <v>1</v>
      </c>
      <c r="N374" s="616"/>
      <c r="O374" s="213">
        <v>1</v>
      </c>
      <c r="P374" s="611"/>
      <c r="Q374" s="628" t="s">
        <v>552</v>
      </c>
    </row>
    <row r="375" spans="1:17" s="36" customFormat="1" x14ac:dyDescent="0.2">
      <c r="A375" s="605" t="s">
        <v>276</v>
      </c>
      <c r="B375" s="605" t="s">
        <v>276</v>
      </c>
      <c r="C375" s="605">
        <v>2020</v>
      </c>
      <c r="D375" s="444" t="s">
        <v>352</v>
      </c>
      <c r="E375" s="584" t="s">
        <v>362</v>
      </c>
      <c r="F375" s="584" t="s">
        <v>74</v>
      </c>
      <c r="G375" s="584" t="s">
        <v>453</v>
      </c>
      <c r="H375" s="584" t="s">
        <v>42</v>
      </c>
      <c r="I375" s="584" t="s">
        <v>548</v>
      </c>
      <c r="J375" s="584">
        <v>0</v>
      </c>
      <c r="K375" s="584"/>
      <c r="L375" s="631"/>
      <c r="M375" s="613">
        <v>225</v>
      </c>
      <c r="N375" s="616"/>
      <c r="O375" s="213">
        <v>4</v>
      </c>
      <c r="P375" s="607" t="s">
        <v>1736</v>
      </c>
      <c r="Q375" s="628" t="s">
        <v>552</v>
      </c>
    </row>
    <row r="376" spans="1:17" s="36" customFormat="1" x14ac:dyDescent="0.2">
      <c r="A376" s="605" t="s">
        <v>276</v>
      </c>
      <c r="B376" s="605" t="s">
        <v>276</v>
      </c>
      <c r="C376" s="605">
        <v>2020</v>
      </c>
      <c r="D376" s="444" t="s">
        <v>352</v>
      </c>
      <c r="E376" s="584" t="s">
        <v>362</v>
      </c>
      <c r="F376" s="584" t="s">
        <v>74</v>
      </c>
      <c r="G376" s="584" t="s">
        <v>453</v>
      </c>
      <c r="H376" s="584" t="s">
        <v>19</v>
      </c>
      <c r="I376" s="584" t="s">
        <v>548</v>
      </c>
      <c r="J376" s="584">
        <v>0</v>
      </c>
      <c r="K376" s="584"/>
      <c r="L376" s="631" t="s">
        <v>552</v>
      </c>
      <c r="M376" s="613">
        <v>138</v>
      </c>
      <c r="N376" s="616"/>
      <c r="O376" s="213">
        <v>5</v>
      </c>
      <c r="P376" s="611"/>
      <c r="Q376" s="628" t="s">
        <v>552</v>
      </c>
    </row>
    <row r="377" spans="1:17" s="36" customFormat="1" x14ac:dyDescent="0.2">
      <c r="A377" s="605" t="s">
        <v>276</v>
      </c>
      <c r="B377" s="605" t="s">
        <v>276</v>
      </c>
      <c r="C377" s="605">
        <v>2020</v>
      </c>
      <c r="D377" s="444" t="s">
        <v>352</v>
      </c>
      <c r="E377" s="584" t="s">
        <v>362</v>
      </c>
      <c r="F377" s="584" t="s">
        <v>74</v>
      </c>
      <c r="G377" s="584" t="s">
        <v>453</v>
      </c>
      <c r="H377" s="584" t="s">
        <v>20</v>
      </c>
      <c r="I377" s="584" t="s">
        <v>548</v>
      </c>
      <c r="J377" s="584">
        <v>0</v>
      </c>
      <c r="K377" s="584"/>
      <c r="L377" s="631" t="s">
        <v>552</v>
      </c>
      <c r="M377" s="613">
        <v>138</v>
      </c>
      <c r="N377" s="616"/>
      <c r="O377" s="213">
        <v>5</v>
      </c>
      <c r="P377" s="611"/>
      <c r="Q377" s="628" t="s">
        <v>552</v>
      </c>
    </row>
    <row r="378" spans="1:17" s="36" customFormat="1" x14ac:dyDescent="0.2">
      <c r="A378" s="605" t="s">
        <v>276</v>
      </c>
      <c r="B378" s="605" t="s">
        <v>276</v>
      </c>
      <c r="C378" s="605">
        <v>2020</v>
      </c>
      <c r="D378" s="444" t="s">
        <v>352</v>
      </c>
      <c r="E378" s="584" t="s">
        <v>362</v>
      </c>
      <c r="F378" s="584" t="s">
        <v>74</v>
      </c>
      <c r="G378" s="584" t="s">
        <v>453</v>
      </c>
      <c r="H378" s="584" t="s">
        <v>549</v>
      </c>
      <c r="I378" s="584" t="s">
        <v>548</v>
      </c>
      <c r="J378" s="584">
        <v>0</v>
      </c>
      <c r="K378" s="584"/>
      <c r="L378" s="631" t="s">
        <v>552</v>
      </c>
      <c r="M378" s="613">
        <v>65</v>
      </c>
      <c r="N378" s="616"/>
      <c r="O378" s="213">
        <v>2</v>
      </c>
      <c r="P378" s="611"/>
      <c r="Q378" s="628" t="s">
        <v>552</v>
      </c>
    </row>
    <row r="379" spans="1:17" s="36" customFormat="1" x14ac:dyDescent="0.2">
      <c r="A379" s="605" t="s">
        <v>276</v>
      </c>
      <c r="B379" s="605" t="s">
        <v>276</v>
      </c>
      <c r="C379" s="605">
        <v>2020</v>
      </c>
      <c r="D379" s="444" t="s">
        <v>352</v>
      </c>
      <c r="E379" s="584" t="s">
        <v>362</v>
      </c>
      <c r="F379" s="584" t="s">
        <v>74</v>
      </c>
      <c r="G379" s="584" t="s">
        <v>453</v>
      </c>
      <c r="H379" s="584" t="s">
        <v>550</v>
      </c>
      <c r="I379" s="584" t="s">
        <v>548</v>
      </c>
      <c r="J379" s="584">
        <v>0</v>
      </c>
      <c r="K379" s="584"/>
      <c r="L379" s="631" t="s">
        <v>552</v>
      </c>
      <c r="M379" s="613">
        <v>65</v>
      </c>
      <c r="N379" s="616"/>
      <c r="O379" s="213">
        <v>2</v>
      </c>
      <c r="P379" s="611"/>
      <c r="Q379" s="628" t="s">
        <v>552</v>
      </c>
    </row>
    <row r="380" spans="1:17" s="36" customFormat="1" ht="25.5" x14ac:dyDescent="0.2">
      <c r="A380" s="605" t="s">
        <v>276</v>
      </c>
      <c r="B380" s="605" t="s">
        <v>276</v>
      </c>
      <c r="C380" s="605">
        <v>2020</v>
      </c>
      <c r="D380" s="444" t="s">
        <v>352</v>
      </c>
      <c r="E380" s="584" t="s">
        <v>362</v>
      </c>
      <c r="F380" s="584" t="s">
        <v>74</v>
      </c>
      <c r="G380" s="584" t="s">
        <v>453</v>
      </c>
      <c r="H380" s="584" t="s">
        <v>42</v>
      </c>
      <c r="I380" s="584" t="s">
        <v>551</v>
      </c>
      <c r="J380" s="584">
        <v>50</v>
      </c>
      <c r="K380" s="584"/>
      <c r="L380" s="631"/>
      <c r="M380" s="613">
        <v>78</v>
      </c>
      <c r="N380" s="616">
        <f t="shared" si="5"/>
        <v>1.56</v>
      </c>
      <c r="O380" s="213">
        <v>17</v>
      </c>
      <c r="P380" s="607" t="s">
        <v>560</v>
      </c>
      <c r="Q380" s="628" t="s">
        <v>1695</v>
      </c>
    </row>
    <row r="381" spans="1:17" s="36" customFormat="1" ht="25.5" x14ac:dyDescent="0.2">
      <c r="A381" s="605" t="s">
        <v>276</v>
      </c>
      <c r="B381" s="605" t="s">
        <v>276</v>
      </c>
      <c r="C381" s="605">
        <v>2020</v>
      </c>
      <c r="D381" s="444" t="s">
        <v>352</v>
      </c>
      <c r="E381" s="584" t="s">
        <v>362</v>
      </c>
      <c r="F381" s="584" t="s">
        <v>74</v>
      </c>
      <c r="G381" s="584" t="s">
        <v>453</v>
      </c>
      <c r="H381" s="584" t="s">
        <v>19</v>
      </c>
      <c r="I381" s="584" t="s">
        <v>551</v>
      </c>
      <c r="J381" s="584">
        <v>50</v>
      </c>
      <c r="K381" s="584"/>
      <c r="L381" s="631" t="s">
        <v>552</v>
      </c>
      <c r="M381" s="613">
        <v>79</v>
      </c>
      <c r="N381" s="616">
        <f t="shared" si="5"/>
        <v>1.58</v>
      </c>
      <c r="O381" s="213">
        <v>18</v>
      </c>
      <c r="P381" s="611"/>
      <c r="Q381" s="628" t="s">
        <v>1695</v>
      </c>
    </row>
    <row r="382" spans="1:17" s="36" customFormat="1" ht="25.5" x14ac:dyDescent="0.2">
      <c r="A382" s="605" t="s">
        <v>276</v>
      </c>
      <c r="B382" s="605" t="s">
        <v>276</v>
      </c>
      <c r="C382" s="605">
        <v>2020</v>
      </c>
      <c r="D382" s="444" t="s">
        <v>352</v>
      </c>
      <c r="E382" s="584" t="s">
        <v>362</v>
      </c>
      <c r="F382" s="584" t="s">
        <v>74</v>
      </c>
      <c r="G382" s="584" t="s">
        <v>453</v>
      </c>
      <c r="H382" s="584" t="s">
        <v>20</v>
      </c>
      <c r="I382" s="584" t="s">
        <v>551</v>
      </c>
      <c r="J382" s="584">
        <v>50</v>
      </c>
      <c r="K382" s="584"/>
      <c r="L382" s="631" t="s">
        <v>560</v>
      </c>
      <c r="M382" s="613">
        <v>79</v>
      </c>
      <c r="N382" s="616">
        <f t="shared" si="5"/>
        <v>1.58</v>
      </c>
      <c r="O382" s="213">
        <v>18</v>
      </c>
      <c r="P382" s="611" t="s">
        <v>1747</v>
      </c>
      <c r="Q382" s="628" t="s">
        <v>1695</v>
      </c>
    </row>
    <row r="383" spans="1:17" s="36" customFormat="1" ht="25.5" x14ac:dyDescent="0.2">
      <c r="A383" s="605" t="s">
        <v>276</v>
      </c>
      <c r="B383" s="605" t="s">
        <v>276</v>
      </c>
      <c r="C383" s="605">
        <v>2020</v>
      </c>
      <c r="D383" s="444" t="s">
        <v>352</v>
      </c>
      <c r="E383" s="584" t="s">
        <v>362</v>
      </c>
      <c r="F383" s="584" t="s">
        <v>74</v>
      </c>
      <c r="G383" s="584" t="s">
        <v>453</v>
      </c>
      <c r="H383" s="584" t="s">
        <v>549</v>
      </c>
      <c r="I383" s="584" t="s">
        <v>551</v>
      </c>
      <c r="J383" s="584">
        <v>50</v>
      </c>
      <c r="K383" s="584"/>
      <c r="L383" s="631" t="s">
        <v>560</v>
      </c>
      <c r="M383" s="613">
        <v>79</v>
      </c>
      <c r="N383" s="616">
        <f t="shared" si="5"/>
        <v>1.58</v>
      </c>
      <c r="O383" s="213">
        <v>18</v>
      </c>
      <c r="P383" s="611" t="s">
        <v>1747</v>
      </c>
      <c r="Q383" s="628" t="s">
        <v>1695</v>
      </c>
    </row>
    <row r="384" spans="1:17" s="36" customFormat="1" ht="25.5" x14ac:dyDescent="0.2">
      <c r="A384" s="605" t="s">
        <v>276</v>
      </c>
      <c r="B384" s="605" t="s">
        <v>276</v>
      </c>
      <c r="C384" s="605">
        <v>2020</v>
      </c>
      <c r="D384" s="444" t="s">
        <v>352</v>
      </c>
      <c r="E384" s="584" t="s">
        <v>362</v>
      </c>
      <c r="F384" s="584" t="s">
        <v>74</v>
      </c>
      <c r="G384" s="584" t="s">
        <v>453</v>
      </c>
      <c r="H384" s="584" t="s">
        <v>550</v>
      </c>
      <c r="I384" s="584" t="s">
        <v>551</v>
      </c>
      <c r="J384" s="584">
        <v>50</v>
      </c>
      <c r="K384" s="584"/>
      <c r="L384" s="631" t="s">
        <v>560</v>
      </c>
      <c r="M384" s="613">
        <v>79</v>
      </c>
      <c r="N384" s="616">
        <f t="shared" si="5"/>
        <v>1.58</v>
      </c>
      <c r="O384" s="213">
        <v>18</v>
      </c>
      <c r="P384" s="611" t="s">
        <v>1747</v>
      </c>
      <c r="Q384" s="628" t="s">
        <v>1695</v>
      </c>
    </row>
    <row r="385" spans="1:17" s="36" customFormat="1" ht="25.5" x14ac:dyDescent="0.2">
      <c r="A385" s="605" t="s">
        <v>276</v>
      </c>
      <c r="B385" s="605" t="s">
        <v>276</v>
      </c>
      <c r="C385" s="605">
        <v>2020</v>
      </c>
      <c r="D385" s="444" t="s">
        <v>352</v>
      </c>
      <c r="E385" s="584" t="s">
        <v>362</v>
      </c>
      <c r="F385" s="584" t="s">
        <v>74</v>
      </c>
      <c r="G385" s="584" t="s">
        <v>473</v>
      </c>
      <c r="H385" s="584" t="s">
        <v>42</v>
      </c>
      <c r="I385" s="584" t="s">
        <v>548</v>
      </c>
      <c r="J385" s="584">
        <v>1500</v>
      </c>
      <c r="K385" s="584"/>
      <c r="L385" s="631"/>
      <c r="M385" s="613">
        <v>3459</v>
      </c>
      <c r="N385" s="616">
        <f t="shared" si="5"/>
        <v>2.306</v>
      </c>
      <c r="O385" s="213">
        <v>35</v>
      </c>
      <c r="P385" s="607" t="s">
        <v>1736</v>
      </c>
      <c r="Q385" s="628" t="s">
        <v>1695</v>
      </c>
    </row>
    <row r="386" spans="1:17" s="36" customFormat="1" x14ac:dyDescent="0.2">
      <c r="A386" s="605" t="s">
        <v>276</v>
      </c>
      <c r="B386" s="605" t="s">
        <v>276</v>
      </c>
      <c r="C386" s="605">
        <v>2020</v>
      </c>
      <c r="D386" s="444" t="s">
        <v>352</v>
      </c>
      <c r="E386" s="584" t="s">
        <v>362</v>
      </c>
      <c r="F386" s="584" t="s">
        <v>74</v>
      </c>
      <c r="G386" s="584" t="s">
        <v>473</v>
      </c>
      <c r="H386" s="584" t="s">
        <v>19</v>
      </c>
      <c r="I386" s="584" t="s">
        <v>548</v>
      </c>
      <c r="J386" s="584">
        <v>750</v>
      </c>
      <c r="K386" s="584"/>
      <c r="L386" s="631" t="s">
        <v>561</v>
      </c>
      <c r="M386" s="613">
        <v>773</v>
      </c>
      <c r="N386" s="616">
        <f t="shared" si="5"/>
        <v>1.0306666666666666</v>
      </c>
      <c r="O386" s="213">
        <v>29</v>
      </c>
      <c r="P386" s="611" t="s">
        <v>1760</v>
      </c>
      <c r="Q386" s="628"/>
    </row>
    <row r="387" spans="1:17" s="36" customFormat="1" x14ac:dyDescent="0.2">
      <c r="A387" s="605" t="s">
        <v>276</v>
      </c>
      <c r="B387" s="605" t="s">
        <v>276</v>
      </c>
      <c r="C387" s="605">
        <v>2020</v>
      </c>
      <c r="D387" s="444" t="s">
        <v>352</v>
      </c>
      <c r="E387" s="584" t="s">
        <v>362</v>
      </c>
      <c r="F387" s="584" t="s">
        <v>74</v>
      </c>
      <c r="G387" s="584" t="s">
        <v>473</v>
      </c>
      <c r="H387" s="584" t="s">
        <v>20</v>
      </c>
      <c r="I387" s="584" t="s">
        <v>548</v>
      </c>
      <c r="J387" s="584">
        <v>750</v>
      </c>
      <c r="K387" s="584"/>
      <c r="L387" s="631" t="s">
        <v>561</v>
      </c>
      <c r="M387" s="613">
        <v>773</v>
      </c>
      <c r="N387" s="616">
        <f t="shared" si="5"/>
        <v>1.0306666666666666</v>
      </c>
      <c r="O387" s="213">
        <v>29</v>
      </c>
      <c r="P387" s="611" t="s">
        <v>1760</v>
      </c>
      <c r="Q387" s="628"/>
    </row>
    <row r="388" spans="1:17" s="36" customFormat="1" ht="76.5" x14ac:dyDescent="0.2">
      <c r="A388" s="605" t="s">
        <v>276</v>
      </c>
      <c r="B388" s="605" t="s">
        <v>276</v>
      </c>
      <c r="C388" s="605">
        <v>2020</v>
      </c>
      <c r="D388" s="444" t="s">
        <v>352</v>
      </c>
      <c r="E388" s="584" t="s">
        <v>362</v>
      </c>
      <c r="F388" s="584" t="s">
        <v>74</v>
      </c>
      <c r="G388" s="584" t="s">
        <v>473</v>
      </c>
      <c r="H388" s="584" t="s">
        <v>549</v>
      </c>
      <c r="I388" s="584" t="s">
        <v>548</v>
      </c>
      <c r="J388" s="584">
        <v>750</v>
      </c>
      <c r="K388" s="584"/>
      <c r="L388" s="631" t="s">
        <v>561</v>
      </c>
      <c r="M388" s="613">
        <v>411</v>
      </c>
      <c r="N388" s="616">
        <f t="shared" si="5"/>
        <v>0.54800000000000004</v>
      </c>
      <c r="O388" s="213">
        <v>18</v>
      </c>
      <c r="P388" s="611"/>
      <c r="Q388" s="628" t="s">
        <v>1781</v>
      </c>
    </row>
    <row r="389" spans="1:17" s="36" customFormat="1" ht="76.5" x14ac:dyDescent="0.2">
      <c r="A389" s="605" t="s">
        <v>276</v>
      </c>
      <c r="B389" s="605" t="s">
        <v>276</v>
      </c>
      <c r="C389" s="605">
        <v>2020</v>
      </c>
      <c r="D389" s="444" t="s">
        <v>352</v>
      </c>
      <c r="E389" s="584" t="s">
        <v>362</v>
      </c>
      <c r="F389" s="584" t="s">
        <v>74</v>
      </c>
      <c r="G389" s="584" t="s">
        <v>473</v>
      </c>
      <c r="H389" s="584" t="s">
        <v>550</v>
      </c>
      <c r="I389" s="584" t="s">
        <v>548</v>
      </c>
      <c r="J389" s="584">
        <v>100</v>
      </c>
      <c r="K389" s="584"/>
      <c r="L389" s="631" t="s">
        <v>561</v>
      </c>
      <c r="M389" s="613">
        <v>0</v>
      </c>
      <c r="N389" s="616">
        <f t="shared" si="5"/>
        <v>0</v>
      </c>
      <c r="O389" s="213">
        <v>0</v>
      </c>
      <c r="P389" s="611"/>
      <c r="Q389" s="628" t="s">
        <v>1781</v>
      </c>
    </row>
    <row r="390" spans="1:17" s="36" customFormat="1" ht="25.5" x14ac:dyDescent="0.2">
      <c r="A390" s="605" t="s">
        <v>276</v>
      </c>
      <c r="B390" s="605" t="s">
        <v>276</v>
      </c>
      <c r="C390" s="605">
        <v>2020</v>
      </c>
      <c r="D390" s="444" t="s">
        <v>352</v>
      </c>
      <c r="E390" s="584" t="s">
        <v>362</v>
      </c>
      <c r="F390" s="584" t="s">
        <v>74</v>
      </c>
      <c r="G390" s="584" t="s">
        <v>473</v>
      </c>
      <c r="H390" s="584" t="s">
        <v>42</v>
      </c>
      <c r="I390" s="584" t="s">
        <v>551</v>
      </c>
      <c r="J390" s="584">
        <v>25</v>
      </c>
      <c r="K390" s="584"/>
      <c r="L390" s="631"/>
      <c r="M390" s="613">
        <v>50</v>
      </c>
      <c r="N390" s="616">
        <f t="shared" si="5"/>
        <v>2</v>
      </c>
      <c r="O390" s="213">
        <v>12</v>
      </c>
      <c r="P390" s="607" t="s">
        <v>560</v>
      </c>
      <c r="Q390" s="628" t="s">
        <v>1695</v>
      </c>
    </row>
    <row r="391" spans="1:17" s="36" customFormat="1" ht="25.5" x14ac:dyDescent="0.2">
      <c r="A391" s="605" t="s">
        <v>276</v>
      </c>
      <c r="B391" s="605" t="s">
        <v>276</v>
      </c>
      <c r="C391" s="605">
        <v>2020</v>
      </c>
      <c r="D391" s="444" t="s">
        <v>352</v>
      </c>
      <c r="E391" s="584" t="s">
        <v>362</v>
      </c>
      <c r="F391" s="584" t="s">
        <v>74</v>
      </c>
      <c r="G391" s="584" t="s">
        <v>473</v>
      </c>
      <c r="H391" s="584" t="s">
        <v>19</v>
      </c>
      <c r="I391" s="584" t="s">
        <v>551</v>
      </c>
      <c r="J391" s="584">
        <v>25</v>
      </c>
      <c r="K391" s="584"/>
      <c r="L391" s="631" t="s">
        <v>560</v>
      </c>
      <c r="M391" s="613">
        <v>50</v>
      </c>
      <c r="N391" s="616">
        <f t="shared" si="5"/>
        <v>2</v>
      </c>
      <c r="O391" s="213">
        <v>12</v>
      </c>
      <c r="P391" s="611" t="s">
        <v>1747</v>
      </c>
      <c r="Q391" s="628" t="s">
        <v>1695</v>
      </c>
    </row>
    <row r="392" spans="1:17" s="36" customFormat="1" ht="25.5" x14ac:dyDescent="0.2">
      <c r="A392" s="605" t="s">
        <v>276</v>
      </c>
      <c r="B392" s="605" t="s">
        <v>276</v>
      </c>
      <c r="C392" s="605">
        <v>2020</v>
      </c>
      <c r="D392" s="444" t="s">
        <v>352</v>
      </c>
      <c r="E392" s="584" t="s">
        <v>362</v>
      </c>
      <c r="F392" s="584" t="s">
        <v>74</v>
      </c>
      <c r="G392" s="584" t="s">
        <v>473</v>
      </c>
      <c r="H392" s="584" t="s">
        <v>20</v>
      </c>
      <c r="I392" s="584" t="s">
        <v>551</v>
      </c>
      <c r="J392" s="584">
        <v>25</v>
      </c>
      <c r="K392" s="584"/>
      <c r="L392" s="631" t="s">
        <v>560</v>
      </c>
      <c r="M392" s="613">
        <v>50</v>
      </c>
      <c r="N392" s="616">
        <f t="shared" si="5"/>
        <v>2</v>
      </c>
      <c r="O392" s="213">
        <v>12</v>
      </c>
      <c r="P392" s="611" t="s">
        <v>1747</v>
      </c>
      <c r="Q392" s="628" t="s">
        <v>1695</v>
      </c>
    </row>
    <row r="393" spans="1:17" s="36" customFormat="1" ht="25.5" x14ac:dyDescent="0.2">
      <c r="A393" s="605" t="s">
        <v>276</v>
      </c>
      <c r="B393" s="605" t="s">
        <v>276</v>
      </c>
      <c r="C393" s="605">
        <v>2020</v>
      </c>
      <c r="D393" s="444" t="s">
        <v>352</v>
      </c>
      <c r="E393" s="584" t="s">
        <v>362</v>
      </c>
      <c r="F393" s="584" t="s">
        <v>74</v>
      </c>
      <c r="G393" s="584" t="s">
        <v>473</v>
      </c>
      <c r="H393" s="584" t="s">
        <v>549</v>
      </c>
      <c r="I393" s="584" t="s">
        <v>551</v>
      </c>
      <c r="J393" s="584">
        <v>25</v>
      </c>
      <c r="K393" s="584"/>
      <c r="L393" s="631" t="s">
        <v>560</v>
      </c>
      <c r="M393" s="613">
        <v>50</v>
      </c>
      <c r="N393" s="616">
        <f t="shared" si="5"/>
        <v>2</v>
      </c>
      <c r="O393" s="213">
        <v>12</v>
      </c>
      <c r="P393" s="611" t="s">
        <v>1747</v>
      </c>
      <c r="Q393" s="628" t="s">
        <v>1695</v>
      </c>
    </row>
    <row r="394" spans="1:17" s="36" customFormat="1" ht="25.5" x14ac:dyDescent="0.2">
      <c r="A394" s="605" t="s">
        <v>276</v>
      </c>
      <c r="B394" s="605" t="s">
        <v>276</v>
      </c>
      <c r="C394" s="605">
        <v>2020</v>
      </c>
      <c r="D394" s="444" t="s">
        <v>352</v>
      </c>
      <c r="E394" s="584" t="s">
        <v>362</v>
      </c>
      <c r="F394" s="584" t="s">
        <v>74</v>
      </c>
      <c r="G394" s="584" t="s">
        <v>473</v>
      </c>
      <c r="H394" s="584" t="s">
        <v>550</v>
      </c>
      <c r="I394" s="584" t="s">
        <v>551</v>
      </c>
      <c r="J394" s="584">
        <v>25</v>
      </c>
      <c r="K394" s="584"/>
      <c r="L394" s="631" t="s">
        <v>560</v>
      </c>
      <c r="M394" s="613">
        <v>50</v>
      </c>
      <c r="N394" s="616">
        <f t="shared" si="5"/>
        <v>2</v>
      </c>
      <c r="O394" s="213">
        <v>12</v>
      </c>
      <c r="P394" s="611" t="s">
        <v>1747</v>
      </c>
      <c r="Q394" s="628" t="s">
        <v>1695</v>
      </c>
    </row>
    <row r="395" spans="1:17" s="36" customFormat="1" ht="25.5" x14ac:dyDescent="0.2">
      <c r="A395" s="605" t="s">
        <v>276</v>
      </c>
      <c r="B395" s="605" t="s">
        <v>276</v>
      </c>
      <c r="C395" s="605">
        <v>2020</v>
      </c>
      <c r="D395" s="444" t="s">
        <v>313</v>
      </c>
      <c r="E395" s="584" t="s">
        <v>362</v>
      </c>
      <c r="F395" s="584" t="s">
        <v>74</v>
      </c>
      <c r="G395" s="584" t="s">
        <v>480</v>
      </c>
      <c r="H395" s="584" t="s">
        <v>42</v>
      </c>
      <c r="I395" s="584" t="s">
        <v>548</v>
      </c>
      <c r="J395" s="584">
        <v>3000</v>
      </c>
      <c r="K395" s="584"/>
      <c r="L395" s="631"/>
      <c r="M395" s="613">
        <v>8841</v>
      </c>
      <c r="N395" s="616">
        <f t="shared" ref="N395:N454" si="6">M395/J395</f>
        <v>2.9470000000000001</v>
      </c>
      <c r="O395" s="213">
        <v>47</v>
      </c>
      <c r="P395" s="607" t="s">
        <v>1736</v>
      </c>
      <c r="Q395" s="628" t="s">
        <v>1695</v>
      </c>
    </row>
    <row r="396" spans="1:17" s="36" customFormat="1" x14ac:dyDescent="0.2">
      <c r="A396" s="605" t="s">
        <v>276</v>
      </c>
      <c r="B396" s="605" t="s">
        <v>276</v>
      </c>
      <c r="C396" s="605">
        <v>2020</v>
      </c>
      <c r="D396" s="444" t="s">
        <v>313</v>
      </c>
      <c r="E396" s="584" t="s">
        <v>362</v>
      </c>
      <c r="F396" s="584" t="s">
        <v>74</v>
      </c>
      <c r="G396" s="584" t="s">
        <v>480</v>
      </c>
      <c r="H396" s="584" t="s">
        <v>19</v>
      </c>
      <c r="I396" s="584" t="s">
        <v>548</v>
      </c>
      <c r="J396" s="584">
        <v>2000</v>
      </c>
      <c r="K396" s="584"/>
      <c r="L396" s="631" t="s">
        <v>1440</v>
      </c>
      <c r="M396" s="613">
        <v>2066</v>
      </c>
      <c r="N396" s="616">
        <f t="shared" si="6"/>
        <v>1.0329999999999999</v>
      </c>
      <c r="O396" s="213">
        <v>46</v>
      </c>
      <c r="P396" s="611" t="s">
        <v>1761</v>
      </c>
      <c r="Q396" s="628"/>
    </row>
    <row r="397" spans="1:17" s="36" customFormat="1" x14ac:dyDescent="0.2">
      <c r="A397" s="605" t="s">
        <v>276</v>
      </c>
      <c r="B397" s="605" t="s">
        <v>276</v>
      </c>
      <c r="C397" s="605">
        <v>2020</v>
      </c>
      <c r="D397" s="444" t="s">
        <v>313</v>
      </c>
      <c r="E397" s="584" t="s">
        <v>362</v>
      </c>
      <c r="F397" s="584" t="s">
        <v>74</v>
      </c>
      <c r="G397" s="584" t="s">
        <v>480</v>
      </c>
      <c r="H397" s="584" t="s">
        <v>20</v>
      </c>
      <c r="I397" s="584" t="s">
        <v>548</v>
      </c>
      <c r="J397" s="584">
        <v>2000</v>
      </c>
      <c r="K397" s="584"/>
      <c r="L397" s="631" t="s">
        <v>1440</v>
      </c>
      <c r="M397" s="613">
        <v>2066</v>
      </c>
      <c r="N397" s="616">
        <f t="shared" si="6"/>
        <v>1.0329999999999999</v>
      </c>
      <c r="O397" s="213">
        <v>46</v>
      </c>
      <c r="P397" s="611" t="s">
        <v>1761</v>
      </c>
      <c r="Q397" s="628"/>
    </row>
    <row r="398" spans="1:17" s="36" customFormat="1" x14ac:dyDescent="0.2">
      <c r="A398" s="605" t="s">
        <v>276</v>
      </c>
      <c r="B398" s="605" t="s">
        <v>276</v>
      </c>
      <c r="C398" s="605">
        <v>2020</v>
      </c>
      <c r="D398" s="444" t="s">
        <v>313</v>
      </c>
      <c r="E398" s="584" t="s">
        <v>362</v>
      </c>
      <c r="F398" s="584" t="s">
        <v>74</v>
      </c>
      <c r="G398" s="584" t="s">
        <v>480</v>
      </c>
      <c r="H398" s="584" t="s">
        <v>549</v>
      </c>
      <c r="I398" s="584" t="s">
        <v>548</v>
      </c>
      <c r="J398" s="584">
        <v>2000</v>
      </c>
      <c r="K398" s="584"/>
      <c r="L398" s="631" t="s">
        <v>1440</v>
      </c>
      <c r="M398" s="613">
        <v>2066</v>
      </c>
      <c r="N398" s="616">
        <f t="shared" si="6"/>
        <v>1.0329999999999999</v>
      </c>
      <c r="O398" s="213">
        <v>46</v>
      </c>
      <c r="P398" s="611" t="s">
        <v>1761</v>
      </c>
      <c r="Q398" s="628"/>
    </row>
    <row r="399" spans="1:17" s="36" customFormat="1" x14ac:dyDescent="0.2">
      <c r="A399" s="605" t="s">
        <v>276</v>
      </c>
      <c r="B399" s="605" t="s">
        <v>276</v>
      </c>
      <c r="C399" s="605">
        <v>2020</v>
      </c>
      <c r="D399" s="444" t="s">
        <v>313</v>
      </c>
      <c r="E399" s="584" t="s">
        <v>362</v>
      </c>
      <c r="F399" s="584" t="s">
        <v>74</v>
      </c>
      <c r="G399" s="584" t="s">
        <v>480</v>
      </c>
      <c r="H399" s="584" t="s">
        <v>550</v>
      </c>
      <c r="I399" s="584" t="s">
        <v>548</v>
      </c>
      <c r="J399" s="584">
        <v>2000</v>
      </c>
      <c r="K399" s="584"/>
      <c r="L399" s="631" t="s">
        <v>1440</v>
      </c>
      <c r="M399" s="613">
        <v>2066</v>
      </c>
      <c r="N399" s="616">
        <f t="shared" si="6"/>
        <v>1.0329999999999999</v>
      </c>
      <c r="O399" s="213">
        <v>46</v>
      </c>
      <c r="P399" s="611" t="s">
        <v>1761</v>
      </c>
      <c r="Q399" s="628"/>
    </row>
    <row r="400" spans="1:17" s="36" customFormat="1" ht="25.5" x14ac:dyDescent="0.2">
      <c r="A400" s="605" t="s">
        <v>276</v>
      </c>
      <c r="B400" s="605" t="s">
        <v>276</v>
      </c>
      <c r="C400" s="605">
        <v>2020</v>
      </c>
      <c r="D400" s="444" t="s">
        <v>313</v>
      </c>
      <c r="E400" s="584" t="s">
        <v>362</v>
      </c>
      <c r="F400" s="584" t="s">
        <v>74</v>
      </c>
      <c r="G400" s="584" t="s">
        <v>480</v>
      </c>
      <c r="H400" s="584" t="s">
        <v>42</v>
      </c>
      <c r="I400" s="584" t="s">
        <v>551</v>
      </c>
      <c r="J400" s="584">
        <v>5000</v>
      </c>
      <c r="K400" s="584"/>
      <c r="L400" s="631"/>
      <c r="M400" s="613">
        <v>7741</v>
      </c>
      <c r="N400" s="616">
        <f t="shared" si="6"/>
        <v>1.5482</v>
      </c>
      <c r="O400" s="213">
        <v>115</v>
      </c>
      <c r="P400" s="607" t="s">
        <v>560</v>
      </c>
      <c r="Q400" s="628" t="s">
        <v>1695</v>
      </c>
    </row>
    <row r="401" spans="1:17" s="36" customFormat="1" x14ac:dyDescent="0.2">
      <c r="A401" s="605" t="s">
        <v>276</v>
      </c>
      <c r="B401" s="605" t="s">
        <v>276</v>
      </c>
      <c r="C401" s="605">
        <v>2020</v>
      </c>
      <c r="D401" s="444" t="s">
        <v>313</v>
      </c>
      <c r="E401" s="584" t="s">
        <v>362</v>
      </c>
      <c r="F401" s="584" t="s">
        <v>74</v>
      </c>
      <c r="G401" s="584" t="s">
        <v>480</v>
      </c>
      <c r="H401" s="584" t="s">
        <v>19</v>
      </c>
      <c r="I401" s="584" t="s">
        <v>551</v>
      </c>
      <c r="J401" s="584">
        <v>750</v>
      </c>
      <c r="K401" s="584"/>
      <c r="L401" s="631" t="s">
        <v>560</v>
      </c>
      <c r="M401" s="613">
        <v>842</v>
      </c>
      <c r="N401" s="616">
        <f t="shared" si="6"/>
        <v>1.1226666666666667</v>
      </c>
      <c r="O401" s="213">
        <v>112</v>
      </c>
      <c r="P401" s="611" t="s">
        <v>1747</v>
      </c>
      <c r="Q401" s="628"/>
    </row>
    <row r="402" spans="1:17" s="36" customFormat="1" x14ac:dyDescent="0.2">
      <c r="A402" s="605" t="s">
        <v>276</v>
      </c>
      <c r="B402" s="605" t="s">
        <v>276</v>
      </c>
      <c r="C402" s="605">
        <v>2020</v>
      </c>
      <c r="D402" s="444" t="s">
        <v>313</v>
      </c>
      <c r="E402" s="584" t="s">
        <v>362</v>
      </c>
      <c r="F402" s="584" t="s">
        <v>74</v>
      </c>
      <c r="G402" s="584" t="s">
        <v>480</v>
      </c>
      <c r="H402" s="584" t="s">
        <v>20</v>
      </c>
      <c r="I402" s="584" t="s">
        <v>551</v>
      </c>
      <c r="J402" s="584">
        <v>750</v>
      </c>
      <c r="K402" s="584"/>
      <c r="L402" s="631" t="s">
        <v>560</v>
      </c>
      <c r="M402" s="613">
        <v>842</v>
      </c>
      <c r="N402" s="616">
        <f t="shared" si="6"/>
        <v>1.1226666666666667</v>
      </c>
      <c r="O402" s="213">
        <v>112</v>
      </c>
      <c r="P402" s="611" t="s">
        <v>1747</v>
      </c>
      <c r="Q402" s="628"/>
    </row>
    <row r="403" spans="1:17" s="36" customFormat="1" x14ac:dyDescent="0.2">
      <c r="A403" s="605" t="s">
        <v>276</v>
      </c>
      <c r="B403" s="605" t="s">
        <v>276</v>
      </c>
      <c r="C403" s="605">
        <v>2020</v>
      </c>
      <c r="D403" s="444" t="s">
        <v>313</v>
      </c>
      <c r="E403" s="584" t="s">
        <v>362</v>
      </c>
      <c r="F403" s="584" t="s">
        <v>74</v>
      </c>
      <c r="G403" s="584" t="s">
        <v>480</v>
      </c>
      <c r="H403" s="584" t="s">
        <v>549</v>
      </c>
      <c r="I403" s="584" t="s">
        <v>551</v>
      </c>
      <c r="J403" s="584">
        <v>750</v>
      </c>
      <c r="K403" s="584"/>
      <c r="L403" s="631" t="s">
        <v>560</v>
      </c>
      <c r="M403" s="613">
        <v>842</v>
      </c>
      <c r="N403" s="616">
        <f t="shared" si="6"/>
        <v>1.1226666666666667</v>
      </c>
      <c r="O403" s="213">
        <v>112</v>
      </c>
      <c r="P403" s="611" t="s">
        <v>1747</v>
      </c>
      <c r="Q403" s="628"/>
    </row>
    <row r="404" spans="1:17" s="36" customFormat="1" x14ac:dyDescent="0.2">
      <c r="A404" s="605" t="s">
        <v>276</v>
      </c>
      <c r="B404" s="605" t="s">
        <v>276</v>
      </c>
      <c r="C404" s="605">
        <v>2020</v>
      </c>
      <c r="D404" s="444" t="s">
        <v>313</v>
      </c>
      <c r="E404" s="584" t="s">
        <v>362</v>
      </c>
      <c r="F404" s="584" t="s">
        <v>74</v>
      </c>
      <c r="G404" s="584" t="s">
        <v>480</v>
      </c>
      <c r="H404" s="584" t="s">
        <v>550</v>
      </c>
      <c r="I404" s="584" t="s">
        <v>551</v>
      </c>
      <c r="J404" s="584">
        <v>750</v>
      </c>
      <c r="K404" s="584"/>
      <c r="L404" s="631" t="s">
        <v>560</v>
      </c>
      <c r="M404" s="613">
        <v>842</v>
      </c>
      <c r="N404" s="616">
        <f t="shared" si="6"/>
        <v>1.1226666666666667</v>
      </c>
      <c r="O404" s="213">
        <v>112</v>
      </c>
      <c r="P404" s="611" t="s">
        <v>1747</v>
      </c>
      <c r="Q404" s="628"/>
    </row>
    <row r="405" spans="1:17" s="36" customFormat="1" ht="76.5" x14ac:dyDescent="0.2">
      <c r="A405" s="605" t="s">
        <v>276</v>
      </c>
      <c r="B405" s="605" t="s">
        <v>276</v>
      </c>
      <c r="C405" s="605">
        <v>2020</v>
      </c>
      <c r="D405" s="444" t="s">
        <v>483</v>
      </c>
      <c r="E405" s="584" t="s">
        <v>362</v>
      </c>
      <c r="F405" s="584" t="s">
        <v>74</v>
      </c>
      <c r="G405" s="584" t="s">
        <v>484</v>
      </c>
      <c r="H405" s="584" t="s">
        <v>42</v>
      </c>
      <c r="I405" s="584" t="s">
        <v>548</v>
      </c>
      <c r="J405" s="584">
        <v>150</v>
      </c>
      <c r="K405" s="584"/>
      <c r="L405" s="631"/>
      <c r="M405" s="613">
        <v>73</v>
      </c>
      <c r="N405" s="616">
        <f t="shared" si="6"/>
        <v>0.48666666666666669</v>
      </c>
      <c r="O405" s="213">
        <v>8</v>
      </c>
      <c r="P405" s="607" t="s">
        <v>1736</v>
      </c>
      <c r="Q405" s="628" t="s">
        <v>1779</v>
      </c>
    </row>
    <row r="406" spans="1:17" s="36" customFormat="1" x14ac:dyDescent="0.2">
      <c r="A406" s="605" t="s">
        <v>276</v>
      </c>
      <c r="B406" s="605" t="s">
        <v>276</v>
      </c>
      <c r="C406" s="605">
        <v>2020</v>
      </c>
      <c r="D406" s="444" t="s">
        <v>483</v>
      </c>
      <c r="E406" s="584" t="s">
        <v>362</v>
      </c>
      <c r="F406" s="584" t="s">
        <v>74</v>
      </c>
      <c r="G406" s="584" t="s">
        <v>484</v>
      </c>
      <c r="H406" s="584" t="s">
        <v>19</v>
      </c>
      <c r="I406" s="584" t="s">
        <v>548</v>
      </c>
      <c r="J406" s="584">
        <v>0</v>
      </c>
      <c r="K406" s="584"/>
      <c r="L406" s="631" t="s">
        <v>552</v>
      </c>
      <c r="M406" s="613">
        <v>0</v>
      </c>
      <c r="N406" s="616"/>
      <c r="O406" s="213">
        <v>0</v>
      </c>
      <c r="P406" s="611"/>
      <c r="Q406" s="628" t="s">
        <v>552</v>
      </c>
    </row>
    <row r="407" spans="1:17" s="36" customFormat="1" x14ac:dyDescent="0.2">
      <c r="A407" s="605" t="s">
        <v>276</v>
      </c>
      <c r="B407" s="605" t="s">
        <v>276</v>
      </c>
      <c r="C407" s="605">
        <v>2020</v>
      </c>
      <c r="D407" s="444" t="s">
        <v>483</v>
      </c>
      <c r="E407" s="584" t="s">
        <v>362</v>
      </c>
      <c r="F407" s="584" t="s">
        <v>74</v>
      </c>
      <c r="G407" s="584" t="s">
        <v>484</v>
      </c>
      <c r="H407" s="584" t="s">
        <v>20</v>
      </c>
      <c r="I407" s="584" t="s">
        <v>548</v>
      </c>
      <c r="J407" s="584">
        <v>0</v>
      </c>
      <c r="K407" s="584"/>
      <c r="L407" s="631" t="s">
        <v>559</v>
      </c>
      <c r="M407" s="613">
        <v>0</v>
      </c>
      <c r="N407" s="616"/>
      <c r="O407" s="213">
        <v>0</v>
      </c>
      <c r="P407" s="611"/>
      <c r="Q407" s="628" t="s">
        <v>552</v>
      </c>
    </row>
    <row r="408" spans="1:17" s="36" customFormat="1" x14ac:dyDescent="0.2">
      <c r="A408" s="605" t="s">
        <v>276</v>
      </c>
      <c r="B408" s="605" t="s">
        <v>276</v>
      </c>
      <c r="C408" s="605">
        <v>2020</v>
      </c>
      <c r="D408" s="444" t="s">
        <v>483</v>
      </c>
      <c r="E408" s="584" t="s">
        <v>362</v>
      </c>
      <c r="F408" s="584" t="s">
        <v>74</v>
      </c>
      <c r="G408" s="584" t="s">
        <v>484</v>
      </c>
      <c r="H408" s="584" t="s">
        <v>549</v>
      </c>
      <c r="I408" s="584" t="s">
        <v>548</v>
      </c>
      <c r="J408" s="584">
        <v>0</v>
      </c>
      <c r="K408" s="584"/>
      <c r="L408" s="631" t="s">
        <v>559</v>
      </c>
      <c r="M408" s="613">
        <v>0</v>
      </c>
      <c r="N408" s="616"/>
      <c r="O408" s="213">
        <v>0</v>
      </c>
      <c r="P408" s="611"/>
      <c r="Q408" s="628" t="s">
        <v>552</v>
      </c>
    </row>
    <row r="409" spans="1:17" s="36" customFormat="1" x14ac:dyDescent="0.2">
      <c r="A409" s="605" t="s">
        <v>276</v>
      </c>
      <c r="B409" s="605" t="s">
        <v>276</v>
      </c>
      <c r="C409" s="605">
        <v>2020</v>
      </c>
      <c r="D409" s="444" t="s">
        <v>483</v>
      </c>
      <c r="E409" s="584" t="s">
        <v>362</v>
      </c>
      <c r="F409" s="584" t="s">
        <v>74</v>
      </c>
      <c r="G409" s="584" t="s">
        <v>484</v>
      </c>
      <c r="H409" s="584" t="s">
        <v>550</v>
      </c>
      <c r="I409" s="584" t="s">
        <v>548</v>
      </c>
      <c r="J409" s="584">
        <v>0</v>
      </c>
      <c r="K409" s="584"/>
      <c r="L409" s="631" t="s">
        <v>559</v>
      </c>
      <c r="M409" s="613">
        <v>0</v>
      </c>
      <c r="N409" s="616"/>
      <c r="O409" s="213">
        <v>0</v>
      </c>
      <c r="P409" s="611"/>
      <c r="Q409" s="628" t="s">
        <v>552</v>
      </c>
    </row>
    <row r="410" spans="1:17" s="36" customFormat="1" ht="25.5" x14ac:dyDescent="0.2">
      <c r="A410" s="605" t="s">
        <v>276</v>
      </c>
      <c r="B410" s="605" t="s">
        <v>276</v>
      </c>
      <c r="C410" s="605">
        <v>2020</v>
      </c>
      <c r="D410" s="444" t="s">
        <v>483</v>
      </c>
      <c r="E410" s="584" t="s">
        <v>362</v>
      </c>
      <c r="F410" s="584" t="s">
        <v>74</v>
      </c>
      <c r="G410" s="584" t="s">
        <v>484</v>
      </c>
      <c r="H410" s="584" t="s">
        <v>42</v>
      </c>
      <c r="I410" s="584" t="s">
        <v>551</v>
      </c>
      <c r="J410" s="584">
        <v>10</v>
      </c>
      <c r="K410" s="584"/>
      <c r="L410" s="631"/>
      <c r="M410" s="613">
        <v>17</v>
      </c>
      <c r="N410" s="616">
        <f t="shared" si="6"/>
        <v>1.7</v>
      </c>
      <c r="O410" s="213">
        <v>6</v>
      </c>
      <c r="P410" s="607" t="s">
        <v>560</v>
      </c>
      <c r="Q410" s="628" t="s">
        <v>1695</v>
      </c>
    </row>
    <row r="411" spans="1:17" s="36" customFormat="1" x14ac:dyDescent="0.2">
      <c r="A411" s="605" t="s">
        <v>276</v>
      </c>
      <c r="B411" s="605" t="s">
        <v>276</v>
      </c>
      <c r="C411" s="605">
        <v>2020</v>
      </c>
      <c r="D411" s="444" t="s">
        <v>483</v>
      </c>
      <c r="E411" s="584" t="s">
        <v>362</v>
      </c>
      <c r="F411" s="584" t="s">
        <v>74</v>
      </c>
      <c r="G411" s="584" t="s">
        <v>484</v>
      </c>
      <c r="H411" s="584" t="s">
        <v>19</v>
      </c>
      <c r="I411" s="584" t="s">
        <v>551</v>
      </c>
      <c r="J411" s="584">
        <v>0</v>
      </c>
      <c r="K411" s="584"/>
      <c r="L411" s="631" t="s">
        <v>552</v>
      </c>
      <c r="M411" s="613">
        <v>17</v>
      </c>
      <c r="N411" s="616"/>
      <c r="O411" s="213">
        <v>6</v>
      </c>
      <c r="P411" s="611"/>
      <c r="Q411" s="628" t="s">
        <v>552</v>
      </c>
    </row>
    <row r="412" spans="1:17" s="36" customFormat="1" ht="25.5" x14ac:dyDescent="0.2">
      <c r="A412" s="605" t="s">
        <v>276</v>
      </c>
      <c r="B412" s="605" t="s">
        <v>276</v>
      </c>
      <c r="C412" s="605">
        <v>2020</v>
      </c>
      <c r="D412" s="444" t="s">
        <v>483</v>
      </c>
      <c r="E412" s="584" t="s">
        <v>362</v>
      </c>
      <c r="F412" s="584" t="s">
        <v>74</v>
      </c>
      <c r="G412" s="584" t="s">
        <v>484</v>
      </c>
      <c r="H412" s="584" t="s">
        <v>20</v>
      </c>
      <c r="I412" s="584" t="s">
        <v>551</v>
      </c>
      <c r="J412" s="584">
        <v>10</v>
      </c>
      <c r="K412" s="584"/>
      <c r="L412" s="631" t="s">
        <v>552</v>
      </c>
      <c r="M412" s="613">
        <v>17</v>
      </c>
      <c r="N412" s="616">
        <f t="shared" si="6"/>
        <v>1.7</v>
      </c>
      <c r="O412" s="213">
        <v>6</v>
      </c>
      <c r="P412" s="611" t="s">
        <v>1747</v>
      </c>
      <c r="Q412" s="628" t="s">
        <v>1695</v>
      </c>
    </row>
    <row r="413" spans="1:17" s="36" customFormat="1" ht="25.5" x14ac:dyDescent="0.2">
      <c r="A413" s="605" t="s">
        <v>276</v>
      </c>
      <c r="B413" s="605" t="s">
        <v>276</v>
      </c>
      <c r="C413" s="605">
        <v>2020</v>
      </c>
      <c r="D413" s="444" t="s">
        <v>483</v>
      </c>
      <c r="E413" s="584" t="s">
        <v>362</v>
      </c>
      <c r="F413" s="584" t="s">
        <v>74</v>
      </c>
      <c r="G413" s="584" t="s">
        <v>484</v>
      </c>
      <c r="H413" s="584" t="s">
        <v>549</v>
      </c>
      <c r="I413" s="584" t="s">
        <v>551</v>
      </c>
      <c r="J413" s="584">
        <v>10</v>
      </c>
      <c r="K413" s="584"/>
      <c r="L413" s="631"/>
      <c r="M413" s="613">
        <v>17</v>
      </c>
      <c r="N413" s="616">
        <f t="shared" si="6"/>
        <v>1.7</v>
      </c>
      <c r="O413" s="213">
        <v>6</v>
      </c>
      <c r="P413" s="611" t="s">
        <v>1747</v>
      </c>
      <c r="Q413" s="628" t="s">
        <v>1695</v>
      </c>
    </row>
    <row r="414" spans="1:17" s="36" customFormat="1" ht="25.5" x14ac:dyDescent="0.2">
      <c r="A414" s="605" t="s">
        <v>276</v>
      </c>
      <c r="B414" s="605" t="s">
        <v>276</v>
      </c>
      <c r="C414" s="605">
        <v>2020</v>
      </c>
      <c r="D414" s="444" t="s">
        <v>483</v>
      </c>
      <c r="E414" s="584" t="s">
        <v>362</v>
      </c>
      <c r="F414" s="584" t="s">
        <v>74</v>
      </c>
      <c r="G414" s="584" t="s">
        <v>484</v>
      </c>
      <c r="H414" s="584" t="s">
        <v>550</v>
      </c>
      <c r="I414" s="584" t="s">
        <v>551</v>
      </c>
      <c r="J414" s="584">
        <v>10</v>
      </c>
      <c r="K414" s="584"/>
      <c r="L414" s="631"/>
      <c r="M414" s="613">
        <v>17</v>
      </c>
      <c r="N414" s="616">
        <f t="shared" si="6"/>
        <v>1.7</v>
      </c>
      <c r="O414" s="213">
        <v>6</v>
      </c>
      <c r="P414" s="611" t="s">
        <v>1747</v>
      </c>
      <c r="Q414" s="628" t="s">
        <v>1695</v>
      </c>
    </row>
    <row r="415" spans="1:17" s="36" customFormat="1" ht="76.5" x14ac:dyDescent="0.2">
      <c r="A415" s="605" t="s">
        <v>276</v>
      </c>
      <c r="B415" s="605" t="s">
        <v>276</v>
      </c>
      <c r="C415" s="605">
        <v>2020</v>
      </c>
      <c r="D415" s="444" t="s">
        <v>486</v>
      </c>
      <c r="E415" s="584" t="s">
        <v>362</v>
      </c>
      <c r="F415" s="584" t="s">
        <v>74</v>
      </c>
      <c r="G415" s="584" t="s">
        <v>487</v>
      </c>
      <c r="H415" s="584" t="s">
        <v>42</v>
      </c>
      <c r="I415" s="584" t="s">
        <v>548</v>
      </c>
      <c r="J415" s="584">
        <v>1200</v>
      </c>
      <c r="K415" s="584"/>
      <c r="L415" s="631"/>
      <c r="M415" s="613">
        <v>118</v>
      </c>
      <c r="N415" s="616">
        <f t="shared" si="6"/>
        <v>9.8333333333333328E-2</v>
      </c>
      <c r="O415" s="213">
        <v>45</v>
      </c>
      <c r="P415" s="607" t="s">
        <v>1736</v>
      </c>
      <c r="Q415" s="628" t="s">
        <v>1779</v>
      </c>
    </row>
    <row r="416" spans="1:17" s="36" customFormat="1" x14ac:dyDescent="0.2">
      <c r="A416" s="605" t="s">
        <v>276</v>
      </c>
      <c r="B416" s="605" t="s">
        <v>276</v>
      </c>
      <c r="C416" s="605">
        <v>2020</v>
      </c>
      <c r="D416" s="444" t="s">
        <v>486</v>
      </c>
      <c r="E416" s="584" t="s">
        <v>362</v>
      </c>
      <c r="F416" s="584" t="s">
        <v>74</v>
      </c>
      <c r="G416" s="584" t="s">
        <v>487</v>
      </c>
      <c r="H416" s="584" t="s">
        <v>19</v>
      </c>
      <c r="I416" s="584" t="s">
        <v>548</v>
      </c>
      <c r="J416" s="584">
        <v>0</v>
      </c>
      <c r="K416" s="584"/>
      <c r="L416" s="631" t="s">
        <v>552</v>
      </c>
      <c r="M416" s="613">
        <v>0</v>
      </c>
      <c r="N416" s="616"/>
      <c r="O416" s="213">
        <v>0</v>
      </c>
      <c r="P416" s="611"/>
      <c r="Q416" s="628" t="s">
        <v>552</v>
      </c>
    </row>
    <row r="417" spans="1:17" s="36" customFormat="1" x14ac:dyDescent="0.2">
      <c r="A417" s="605" t="s">
        <v>276</v>
      </c>
      <c r="B417" s="605" t="s">
        <v>276</v>
      </c>
      <c r="C417" s="605">
        <v>2020</v>
      </c>
      <c r="D417" s="444" t="s">
        <v>486</v>
      </c>
      <c r="E417" s="584" t="s">
        <v>362</v>
      </c>
      <c r="F417" s="584" t="s">
        <v>74</v>
      </c>
      <c r="G417" s="584" t="s">
        <v>487</v>
      </c>
      <c r="H417" s="584" t="s">
        <v>20</v>
      </c>
      <c r="I417" s="584" t="s">
        <v>548</v>
      </c>
      <c r="J417" s="584">
        <v>0</v>
      </c>
      <c r="K417" s="584"/>
      <c r="L417" s="631" t="s">
        <v>559</v>
      </c>
      <c r="M417" s="613">
        <v>0</v>
      </c>
      <c r="N417" s="616"/>
      <c r="O417" s="213">
        <v>0</v>
      </c>
      <c r="P417" s="611"/>
      <c r="Q417" s="628" t="s">
        <v>552</v>
      </c>
    </row>
    <row r="418" spans="1:17" s="36" customFormat="1" x14ac:dyDescent="0.2">
      <c r="A418" s="605" t="s">
        <v>276</v>
      </c>
      <c r="B418" s="605" t="s">
        <v>276</v>
      </c>
      <c r="C418" s="605">
        <v>2020</v>
      </c>
      <c r="D418" s="444" t="s">
        <v>486</v>
      </c>
      <c r="E418" s="584" t="s">
        <v>362</v>
      </c>
      <c r="F418" s="584" t="s">
        <v>74</v>
      </c>
      <c r="G418" s="584" t="s">
        <v>487</v>
      </c>
      <c r="H418" s="584" t="s">
        <v>549</v>
      </c>
      <c r="I418" s="584" t="s">
        <v>548</v>
      </c>
      <c r="J418" s="584">
        <v>0</v>
      </c>
      <c r="K418" s="584"/>
      <c r="L418" s="631" t="s">
        <v>559</v>
      </c>
      <c r="M418" s="613">
        <v>0</v>
      </c>
      <c r="N418" s="616"/>
      <c r="O418" s="213">
        <v>0</v>
      </c>
      <c r="P418" s="611"/>
      <c r="Q418" s="628" t="s">
        <v>552</v>
      </c>
    </row>
    <row r="419" spans="1:17" s="36" customFormat="1" x14ac:dyDescent="0.2">
      <c r="A419" s="605" t="s">
        <v>276</v>
      </c>
      <c r="B419" s="605" t="s">
        <v>276</v>
      </c>
      <c r="C419" s="605">
        <v>2020</v>
      </c>
      <c r="D419" s="444" t="s">
        <v>486</v>
      </c>
      <c r="E419" s="584" t="s">
        <v>362</v>
      </c>
      <c r="F419" s="584" t="s">
        <v>74</v>
      </c>
      <c r="G419" s="584" t="s">
        <v>487</v>
      </c>
      <c r="H419" s="584" t="s">
        <v>550</v>
      </c>
      <c r="I419" s="584" t="s">
        <v>548</v>
      </c>
      <c r="J419" s="584">
        <v>0</v>
      </c>
      <c r="K419" s="584"/>
      <c r="L419" s="631" t="s">
        <v>559</v>
      </c>
      <c r="M419" s="613">
        <v>0</v>
      </c>
      <c r="N419" s="616"/>
      <c r="O419" s="213">
        <v>0</v>
      </c>
      <c r="P419" s="611"/>
      <c r="Q419" s="628" t="s">
        <v>552</v>
      </c>
    </row>
    <row r="420" spans="1:17" s="36" customFormat="1" ht="25.5" x14ac:dyDescent="0.2">
      <c r="A420" s="605" t="s">
        <v>276</v>
      </c>
      <c r="B420" s="605" t="s">
        <v>276</v>
      </c>
      <c r="C420" s="605">
        <v>2020</v>
      </c>
      <c r="D420" s="444" t="s">
        <v>486</v>
      </c>
      <c r="E420" s="584" t="s">
        <v>362</v>
      </c>
      <c r="F420" s="584" t="s">
        <v>74</v>
      </c>
      <c r="G420" s="584" t="s">
        <v>487</v>
      </c>
      <c r="H420" s="584" t="s">
        <v>42</v>
      </c>
      <c r="I420" s="584" t="s">
        <v>551</v>
      </c>
      <c r="J420" s="584">
        <v>100</v>
      </c>
      <c r="K420" s="584"/>
      <c r="L420" s="631"/>
      <c r="M420" s="613">
        <v>534</v>
      </c>
      <c r="N420" s="616">
        <f t="shared" si="6"/>
        <v>5.34</v>
      </c>
      <c r="O420" s="213">
        <v>86</v>
      </c>
      <c r="P420" s="607" t="s">
        <v>560</v>
      </c>
      <c r="Q420" s="628" t="s">
        <v>1695</v>
      </c>
    </row>
    <row r="421" spans="1:17" s="36" customFormat="1" x14ac:dyDescent="0.2">
      <c r="A421" s="605" t="s">
        <v>276</v>
      </c>
      <c r="B421" s="605" t="s">
        <v>276</v>
      </c>
      <c r="C421" s="605">
        <v>2020</v>
      </c>
      <c r="D421" s="444" t="s">
        <v>486</v>
      </c>
      <c r="E421" s="584" t="s">
        <v>362</v>
      </c>
      <c r="F421" s="584" t="s">
        <v>74</v>
      </c>
      <c r="G421" s="584" t="s">
        <v>487</v>
      </c>
      <c r="H421" s="584" t="s">
        <v>19</v>
      </c>
      <c r="I421" s="584" t="s">
        <v>551</v>
      </c>
      <c r="J421" s="584">
        <v>0</v>
      </c>
      <c r="K421" s="584"/>
      <c r="L421" s="631" t="s">
        <v>552</v>
      </c>
      <c r="M421" s="613">
        <v>464</v>
      </c>
      <c r="N421" s="616"/>
      <c r="O421" s="213">
        <v>85</v>
      </c>
      <c r="P421" s="611"/>
      <c r="Q421" s="628" t="s">
        <v>552</v>
      </c>
    </row>
    <row r="422" spans="1:17" s="36" customFormat="1" ht="25.5" x14ac:dyDescent="0.2">
      <c r="A422" s="605" t="s">
        <v>276</v>
      </c>
      <c r="B422" s="605" t="s">
        <v>276</v>
      </c>
      <c r="C422" s="605">
        <v>2020</v>
      </c>
      <c r="D422" s="444" t="s">
        <v>486</v>
      </c>
      <c r="E422" s="584" t="s">
        <v>362</v>
      </c>
      <c r="F422" s="584" t="s">
        <v>74</v>
      </c>
      <c r="G422" s="584" t="s">
        <v>487</v>
      </c>
      <c r="H422" s="584" t="s">
        <v>20</v>
      </c>
      <c r="I422" s="584" t="s">
        <v>551</v>
      </c>
      <c r="J422" s="584">
        <v>100</v>
      </c>
      <c r="K422" s="584"/>
      <c r="L422" s="631" t="s">
        <v>552</v>
      </c>
      <c r="M422" s="613">
        <v>464</v>
      </c>
      <c r="N422" s="616">
        <f t="shared" si="6"/>
        <v>4.6399999999999997</v>
      </c>
      <c r="O422" s="213">
        <v>85</v>
      </c>
      <c r="P422" s="611" t="s">
        <v>1747</v>
      </c>
      <c r="Q422" s="628" t="s">
        <v>1695</v>
      </c>
    </row>
    <row r="423" spans="1:17" s="36" customFormat="1" ht="25.5" x14ac:dyDescent="0.2">
      <c r="A423" s="605" t="s">
        <v>276</v>
      </c>
      <c r="B423" s="605" t="s">
        <v>276</v>
      </c>
      <c r="C423" s="605">
        <v>2020</v>
      </c>
      <c r="D423" s="444" t="s">
        <v>486</v>
      </c>
      <c r="E423" s="584" t="s">
        <v>362</v>
      </c>
      <c r="F423" s="584" t="s">
        <v>74</v>
      </c>
      <c r="G423" s="584" t="s">
        <v>487</v>
      </c>
      <c r="H423" s="584" t="s">
        <v>549</v>
      </c>
      <c r="I423" s="584" t="s">
        <v>551</v>
      </c>
      <c r="J423" s="584">
        <v>100</v>
      </c>
      <c r="K423" s="584"/>
      <c r="L423" s="631"/>
      <c r="M423" s="613">
        <v>464</v>
      </c>
      <c r="N423" s="616">
        <f t="shared" si="6"/>
        <v>4.6399999999999997</v>
      </c>
      <c r="O423" s="213">
        <v>85</v>
      </c>
      <c r="P423" s="611" t="s">
        <v>1747</v>
      </c>
      <c r="Q423" s="628" t="s">
        <v>1695</v>
      </c>
    </row>
    <row r="424" spans="1:17" s="36" customFormat="1" ht="25.5" x14ac:dyDescent="0.2">
      <c r="A424" s="605" t="s">
        <v>276</v>
      </c>
      <c r="B424" s="605" t="s">
        <v>276</v>
      </c>
      <c r="C424" s="605">
        <v>2020</v>
      </c>
      <c r="D424" s="444" t="s">
        <v>486</v>
      </c>
      <c r="E424" s="584" t="s">
        <v>362</v>
      </c>
      <c r="F424" s="584" t="s">
        <v>74</v>
      </c>
      <c r="G424" s="584" t="s">
        <v>487</v>
      </c>
      <c r="H424" s="584" t="s">
        <v>550</v>
      </c>
      <c r="I424" s="584" t="s">
        <v>551</v>
      </c>
      <c r="J424" s="584">
        <v>100</v>
      </c>
      <c r="K424" s="584"/>
      <c r="L424" s="631"/>
      <c r="M424" s="613">
        <v>464</v>
      </c>
      <c r="N424" s="616">
        <f t="shared" si="6"/>
        <v>4.6399999999999997</v>
      </c>
      <c r="O424" s="213">
        <v>85</v>
      </c>
      <c r="P424" s="611" t="s">
        <v>1747</v>
      </c>
      <c r="Q424" s="628" t="s">
        <v>1695</v>
      </c>
    </row>
    <row r="425" spans="1:17" s="36" customFormat="1" x14ac:dyDescent="0.2">
      <c r="A425" s="605" t="s">
        <v>276</v>
      </c>
      <c r="B425" s="605" t="s">
        <v>276</v>
      </c>
      <c r="C425" s="605">
        <v>2020</v>
      </c>
      <c r="D425" s="444" t="s">
        <v>492</v>
      </c>
      <c r="E425" s="584" t="s">
        <v>362</v>
      </c>
      <c r="F425" s="584" t="s">
        <v>74</v>
      </c>
      <c r="G425" s="584" t="s">
        <v>493</v>
      </c>
      <c r="H425" s="584" t="s">
        <v>42</v>
      </c>
      <c r="I425" s="584" t="s">
        <v>548</v>
      </c>
      <c r="J425" s="584">
        <v>0</v>
      </c>
      <c r="K425" s="584"/>
      <c r="L425" s="631" t="s">
        <v>559</v>
      </c>
      <c r="M425" s="613">
        <v>205</v>
      </c>
      <c r="N425" s="616"/>
      <c r="O425" s="213">
        <v>16</v>
      </c>
      <c r="P425" s="607"/>
      <c r="Q425" s="628" t="s">
        <v>1740</v>
      </c>
    </row>
    <row r="426" spans="1:17" s="36" customFormat="1" x14ac:dyDescent="0.2">
      <c r="A426" s="605" t="s">
        <v>276</v>
      </c>
      <c r="B426" s="605" t="s">
        <v>276</v>
      </c>
      <c r="C426" s="605">
        <v>2020</v>
      </c>
      <c r="D426" s="444" t="s">
        <v>492</v>
      </c>
      <c r="E426" s="584" t="s">
        <v>362</v>
      </c>
      <c r="F426" s="584" t="s">
        <v>74</v>
      </c>
      <c r="G426" s="584" t="s">
        <v>493</v>
      </c>
      <c r="H426" s="584" t="s">
        <v>19</v>
      </c>
      <c r="I426" s="584" t="s">
        <v>548</v>
      </c>
      <c r="J426" s="584">
        <v>0</v>
      </c>
      <c r="K426" s="584"/>
      <c r="L426" s="631" t="s">
        <v>552</v>
      </c>
      <c r="M426" s="613">
        <v>0</v>
      </c>
      <c r="N426" s="616"/>
      <c r="O426" s="213">
        <v>0</v>
      </c>
      <c r="P426" s="611"/>
      <c r="Q426" s="628" t="s">
        <v>552</v>
      </c>
    </row>
    <row r="427" spans="1:17" s="36" customFormat="1" x14ac:dyDescent="0.2">
      <c r="A427" s="605" t="s">
        <v>276</v>
      </c>
      <c r="B427" s="605" t="s">
        <v>276</v>
      </c>
      <c r="C427" s="605">
        <v>2020</v>
      </c>
      <c r="D427" s="444" t="s">
        <v>492</v>
      </c>
      <c r="E427" s="584" t="s">
        <v>362</v>
      </c>
      <c r="F427" s="584" t="s">
        <v>74</v>
      </c>
      <c r="G427" s="584" t="s">
        <v>493</v>
      </c>
      <c r="H427" s="584" t="s">
        <v>20</v>
      </c>
      <c r="I427" s="584" t="s">
        <v>548</v>
      </c>
      <c r="J427" s="584">
        <v>0</v>
      </c>
      <c r="K427" s="584"/>
      <c r="L427" s="631" t="s">
        <v>559</v>
      </c>
      <c r="M427" s="613">
        <v>0</v>
      </c>
      <c r="N427" s="616"/>
      <c r="O427" s="213">
        <v>0</v>
      </c>
      <c r="P427" s="611"/>
      <c r="Q427" s="628" t="s">
        <v>552</v>
      </c>
    </row>
    <row r="428" spans="1:17" s="36" customFormat="1" x14ac:dyDescent="0.2">
      <c r="A428" s="605" t="s">
        <v>276</v>
      </c>
      <c r="B428" s="605" t="s">
        <v>276</v>
      </c>
      <c r="C428" s="605">
        <v>2020</v>
      </c>
      <c r="D428" s="444" t="s">
        <v>492</v>
      </c>
      <c r="E428" s="584" t="s">
        <v>362</v>
      </c>
      <c r="F428" s="584" t="s">
        <v>74</v>
      </c>
      <c r="G428" s="584" t="s">
        <v>493</v>
      </c>
      <c r="H428" s="584" t="s">
        <v>549</v>
      </c>
      <c r="I428" s="584" t="s">
        <v>548</v>
      </c>
      <c r="J428" s="584">
        <v>0</v>
      </c>
      <c r="K428" s="584"/>
      <c r="L428" s="631" t="s">
        <v>559</v>
      </c>
      <c r="M428" s="613">
        <v>0</v>
      </c>
      <c r="N428" s="616"/>
      <c r="O428" s="213">
        <v>0</v>
      </c>
      <c r="P428" s="611"/>
      <c r="Q428" s="628" t="s">
        <v>552</v>
      </c>
    </row>
    <row r="429" spans="1:17" s="36" customFormat="1" x14ac:dyDescent="0.2">
      <c r="A429" s="605" t="s">
        <v>276</v>
      </c>
      <c r="B429" s="605" t="s">
        <v>276</v>
      </c>
      <c r="C429" s="605">
        <v>2020</v>
      </c>
      <c r="D429" s="444" t="s">
        <v>492</v>
      </c>
      <c r="E429" s="584" t="s">
        <v>362</v>
      </c>
      <c r="F429" s="584" t="s">
        <v>74</v>
      </c>
      <c r="G429" s="584" t="s">
        <v>493</v>
      </c>
      <c r="H429" s="584" t="s">
        <v>550</v>
      </c>
      <c r="I429" s="584" t="s">
        <v>548</v>
      </c>
      <c r="J429" s="584">
        <v>0</v>
      </c>
      <c r="K429" s="584"/>
      <c r="L429" s="631" t="s">
        <v>559</v>
      </c>
      <c r="M429" s="613">
        <v>0</v>
      </c>
      <c r="N429" s="616"/>
      <c r="O429" s="213">
        <v>0</v>
      </c>
      <c r="P429" s="611"/>
      <c r="Q429" s="628" t="s">
        <v>552</v>
      </c>
    </row>
    <row r="430" spans="1:17" s="36" customFormat="1" x14ac:dyDescent="0.2">
      <c r="A430" s="605" t="s">
        <v>276</v>
      </c>
      <c r="B430" s="605" t="s">
        <v>276</v>
      </c>
      <c r="C430" s="605">
        <v>2020</v>
      </c>
      <c r="D430" s="444" t="s">
        <v>492</v>
      </c>
      <c r="E430" s="584" t="s">
        <v>362</v>
      </c>
      <c r="F430" s="584" t="s">
        <v>74</v>
      </c>
      <c r="G430" s="584" t="s">
        <v>493</v>
      </c>
      <c r="H430" s="584" t="s">
        <v>42</v>
      </c>
      <c r="I430" s="584" t="s">
        <v>551</v>
      </c>
      <c r="J430" s="584">
        <v>250</v>
      </c>
      <c r="K430" s="584"/>
      <c r="L430" s="631"/>
      <c r="M430" s="613">
        <v>319</v>
      </c>
      <c r="N430" s="616">
        <f t="shared" si="6"/>
        <v>1.276</v>
      </c>
      <c r="O430" s="213">
        <v>20</v>
      </c>
      <c r="P430" s="607" t="s">
        <v>560</v>
      </c>
      <c r="Q430" s="628"/>
    </row>
    <row r="431" spans="1:17" s="36" customFormat="1" x14ac:dyDescent="0.2">
      <c r="A431" s="605" t="s">
        <v>276</v>
      </c>
      <c r="B431" s="605" t="s">
        <v>276</v>
      </c>
      <c r="C431" s="605">
        <v>2020</v>
      </c>
      <c r="D431" s="444" t="s">
        <v>492</v>
      </c>
      <c r="E431" s="584" t="s">
        <v>362</v>
      </c>
      <c r="F431" s="584" t="s">
        <v>74</v>
      </c>
      <c r="G431" s="584" t="s">
        <v>493</v>
      </c>
      <c r="H431" s="584" t="s">
        <v>19</v>
      </c>
      <c r="I431" s="584" t="s">
        <v>551</v>
      </c>
      <c r="J431" s="584">
        <v>0</v>
      </c>
      <c r="K431" s="584"/>
      <c r="L431" s="631" t="s">
        <v>552</v>
      </c>
      <c r="M431" s="613">
        <v>319</v>
      </c>
      <c r="N431" s="616"/>
      <c r="O431" s="213">
        <v>20</v>
      </c>
      <c r="P431" s="611" t="s">
        <v>1747</v>
      </c>
      <c r="Q431" s="628" t="s">
        <v>552</v>
      </c>
    </row>
    <row r="432" spans="1:17" s="36" customFormat="1" x14ac:dyDescent="0.2">
      <c r="A432" s="605" t="s">
        <v>276</v>
      </c>
      <c r="B432" s="605" t="s">
        <v>276</v>
      </c>
      <c r="C432" s="605">
        <v>2020</v>
      </c>
      <c r="D432" s="444" t="s">
        <v>492</v>
      </c>
      <c r="E432" s="584" t="s">
        <v>362</v>
      </c>
      <c r="F432" s="584" t="s">
        <v>74</v>
      </c>
      <c r="G432" s="584" t="s">
        <v>493</v>
      </c>
      <c r="H432" s="584" t="s">
        <v>20</v>
      </c>
      <c r="I432" s="584" t="s">
        <v>551</v>
      </c>
      <c r="J432" s="584">
        <v>250</v>
      </c>
      <c r="K432" s="584"/>
      <c r="L432" s="631" t="s">
        <v>552</v>
      </c>
      <c r="M432" s="613">
        <v>319</v>
      </c>
      <c r="N432" s="616">
        <f t="shared" si="6"/>
        <v>1.276</v>
      </c>
      <c r="O432" s="213">
        <v>20</v>
      </c>
      <c r="P432" s="611" t="s">
        <v>1747</v>
      </c>
      <c r="Q432" s="628"/>
    </row>
    <row r="433" spans="1:17" s="36" customFormat="1" x14ac:dyDescent="0.2">
      <c r="A433" s="605" t="s">
        <v>276</v>
      </c>
      <c r="B433" s="605" t="s">
        <v>276</v>
      </c>
      <c r="C433" s="605">
        <v>2020</v>
      </c>
      <c r="D433" s="444" t="s">
        <v>492</v>
      </c>
      <c r="E433" s="584" t="s">
        <v>362</v>
      </c>
      <c r="F433" s="584" t="s">
        <v>74</v>
      </c>
      <c r="G433" s="584" t="s">
        <v>493</v>
      </c>
      <c r="H433" s="584" t="s">
        <v>549</v>
      </c>
      <c r="I433" s="584" t="s">
        <v>551</v>
      </c>
      <c r="J433" s="584">
        <v>250</v>
      </c>
      <c r="K433" s="584"/>
      <c r="L433" s="631"/>
      <c r="M433" s="613">
        <v>319</v>
      </c>
      <c r="N433" s="616">
        <f t="shared" si="6"/>
        <v>1.276</v>
      </c>
      <c r="O433" s="213">
        <v>20</v>
      </c>
      <c r="P433" s="611" t="s">
        <v>1747</v>
      </c>
      <c r="Q433" s="628"/>
    </row>
    <row r="434" spans="1:17" s="36" customFormat="1" x14ac:dyDescent="0.2">
      <c r="A434" s="605" t="s">
        <v>276</v>
      </c>
      <c r="B434" s="605" t="s">
        <v>276</v>
      </c>
      <c r="C434" s="605">
        <v>2020</v>
      </c>
      <c r="D434" s="444" t="s">
        <v>492</v>
      </c>
      <c r="E434" s="584" t="s">
        <v>362</v>
      </c>
      <c r="F434" s="584" t="s">
        <v>74</v>
      </c>
      <c r="G434" s="584" t="s">
        <v>493</v>
      </c>
      <c r="H434" s="584" t="s">
        <v>550</v>
      </c>
      <c r="I434" s="584" t="s">
        <v>551</v>
      </c>
      <c r="J434" s="584">
        <v>250</v>
      </c>
      <c r="K434" s="584"/>
      <c r="L434" s="631"/>
      <c r="M434" s="613">
        <v>319</v>
      </c>
      <c r="N434" s="616">
        <f t="shared" si="6"/>
        <v>1.276</v>
      </c>
      <c r="O434" s="213">
        <v>20</v>
      </c>
      <c r="P434" s="611" t="s">
        <v>1747</v>
      </c>
      <c r="Q434" s="628"/>
    </row>
    <row r="435" spans="1:17" s="36" customFormat="1" x14ac:dyDescent="0.2">
      <c r="A435" s="605" t="s">
        <v>276</v>
      </c>
      <c r="B435" s="605" t="s">
        <v>276</v>
      </c>
      <c r="C435" s="605">
        <v>2020</v>
      </c>
      <c r="D435" s="444" t="s">
        <v>494</v>
      </c>
      <c r="E435" s="584" t="s">
        <v>362</v>
      </c>
      <c r="F435" s="584" t="s">
        <v>74</v>
      </c>
      <c r="G435" s="584" t="s">
        <v>484</v>
      </c>
      <c r="H435" s="584" t="s">
        <v>42</v>
      </c>
      <c r="I435" s="584" t="s">
        <v>548</v>
      </c>
      <c r="J435" s="584">
        <v>0</v>
      </c>
      <c r="K435" s="584"/>
      <c r="L435" s="631" t="s">
        <v>559</v>
      </c>
      <c r="M435" s="613">
        <v>46</v>
      </c>
      <c r="N435" s="616"/>
      <c r="O435" s="213">
        <v>10</v>
      </c>
      <c r="P435" s="607"/>
      <c r="Q435" s="628" t="s">
        <v>552</v>
      </c>
    </row>
    <row r="436" spans="1:17" s="36" customFormat="1" x14ac:dyDescent="0.2">
      <c r="A436" s="605" t="s">
        <v>276</v>
      </c>
      <c r="B436" s="605" t="s">
        <v>276</v>
      </c>
      <c r="C436" s="605">
        <v>2020</v>
      </c>
      <c r="D436" s="444" t="s">
        <v>494</v>
      </c>
      <c r="E436" s="584" t="s">
        <v>362</v>
      </c>
      <c r="F436" s="584" t="s">
        <v>74</v>
      </c>
      <c r="G436" s="584" t="s">
        <v>484</v>
      </c>
      <c r="H436" s="584" t="s">
        <v>19</v>
      </c>
      <c r="I436" s="584" t="s">
        <v>548</v>
      </c>
      <c r="J436" s="584">
        <v>0</v>
      </c>
      <c r="K436" s="584"/>
      <c r="L436" s="631" t="s">
        <v>552</v>
      </c>
      <c r="M436" s="613">
        <v>0</v>
      </c>
      <c r="N436" s="616"/>
      <c r="O436" s="213">
        <v>0</v>
      </c>
      <c r="P436" s="611"/>
      <c r="Q436" s="628" t="s">
        <v>552</v>
      </c>
    </row>
    <row r="437" spans="1:17" s="36" customFormat="1" x14ac:dyDescent="0.2">
      <c r="A437" s="605" t="s">
        <v>276</v>
      </c>
      <c r="B437" s="605" t="s">
        <v>276</v>
      </c>
      <c r="C437" s="605">
        <v>2020</v>
      </c>
      <c r="D437" s="444" t="s">
        <v>494</v>
      </c>
      <c r="E437" s="584" t="s">
        <v>362</v>
      </c>
      <c r="F437" s="584" t="s">
        <v>74</v>
      </c>
      <c r="G437" s="584" t="s">
        <v>484</v>
      </c>
      <c r="H437" s="584" t="s">
        <v>20</v>
      </c>
      <c r="I437" s="584" t="s">
        <v>548</v>
      </c>
      <c r="J437" s="584">
        <v>0</v>
      </c>
      <c r="K437" s="584"/>
      <c r="L437" s="631" t="s">
        <v>559</v>
      </c>
      <c r="M437" s="613">
        <v>0</v>
      </c>
      <c r="N437" s="616"/>
      <c r="O437" s="213">
        <v>0</v>
      </c>
      <c r="P437" s="611"/>
      <c r="Q437" s="628" t="s">
        <v>552</v>
      </c>
    </row>
    <row r="438" spans="1:17" s="36" customFormat="1" x14ac:dyDescent="0.2">
      <c r="A438" s="605" t="s">
        <v>276</v>
      </c>
      <c r="B438" s="605" t="s">
        <v>276</v>
      </c>
      <c r="C438" s="605">
        <v>2020</v>
      </c>
      <c r="D438" s="444" t="s">
        <v>494</v>
      </c>
      <c r="E438" s="584" t="s">
        <v>362</v>
      </c>
      <c r="F438" s="584" t="s">
        <v>74</v>
      </c>
      <c r="G438" s="584" t="s">
        <v>484</v>
      </c>
      <c r="H438" s="584" t="s">
        <v>549</v>
      </c>
      <c r="I438" s="584" t="s">
        <v>548</v>
      </c>
      <c r="J438" s="584">
        <v>0</v>
      </c>
      <c r="K438" s="584"/>
      <c r="L438" s="631" t="s">
        <v>559</v>
      </c>
      <c r="M438" s="613">
        <v>0</v>
      </c>
      <c r="N438" s="616"/>
      <c r="O438" s="213">
        <v>0</v>
      </c>
      <c r="P438" s="611"/>
      <c r="Q438" s="628" t="s">
        <v>552</v>
      </c>
    </row>
    <row r="439" spans="1:17" s="36" customFormat="1" x14ac:dyDescent="0.2">
      <c r="A439" s="605" t="s">
        <v>276</v>
      </c>
      <c r="B439" s="605" t="s">
        <v>276</v>
      </c>
      <c r="C439" s="605">
        <v>2020</v>
      </c>
      <c r="D439" s="444" t="s">
        <v>494</v>
      </c>
      <c r="E439" s="584" t="s">
        <v>362</v>
      </c>
      <c r="F439" s="584" t="s">
        <v>74</v>
      </c>
      <c r="G439" s="584" t="s">
        <v>484</v>
      </c>
      <c r="H439" s="584" t="s">
        <v>550</v>
      </c>
      <c r="I439" s="584" t="s">
        <v>548</v>
      </c>
      <c r="J439" s="584">
        <v>0</v>
      </c>
      <c r="K439" s="584"/>
      <c r="L439" s="631" t="s">
        <v>559</v>
      </c>
      <c r="M439" s="613">
        <v>0</v>
      </c>
      <c r="N439" s="616"/>
      <c r="O439" s="213">
        <v>0</v>
      </c>
      <c r="P439" s="611"/>
      <c r="Q439" s="628" t="s">
        <v>552</v>
      </c>
    </row>
    <row r="440" spans="1:17" s="36" customFormat="1" x14ac:dyDescent="0.2">
      <c r="A440" s="605" t="s">
        <v>276</v>
      </c>
      <c r="B440" s="605" t="s">
        <v>276</v>
      </c>
      <c r="C440" s="605">
        <v>2020</v>
      </c>
      <c r="D440" s="444" t="s">
        <v>494</v>
      </c>
      <c r="E440" s="584" t="s">
        <v>362</v>
      </c>
      <c r="F440" s="584" t="s">
        <v>74</v>
      </c>
      <c r="G440" s="584" t="s">
        <v>484</v>
      </c>
      <c r="H440" s="584" t="s">
        <v>42</v>
      </c>
      <c r="I440" s="584" t="s">
        <v>551</v>
      </c>
      <c r="J440" s="584">
        <v>75</v>
      </c>
      <c r="K440" s="584"/>
      <c r="L440" s="631"/>
      <c r="M440" s="613">
        <v>33</v>
      </c>
      <c r="N440" s="616">
        <f t="shared" si="6"/>
        <v>0.44</v>
      </c>
      <c r="O440" s="213">
        <v>8</v>
      </c>
      <c r="P440" s="607" t="s">
        <v>560</v>
      </c>
      <c r="Q440" s="628" t="s">
        <v>1701</v>
      </c>
    </row>
    <row r="441" spans="1:17" s="36" customFormat="1" x14ac:dyDescent="0.2">
      <c r="A441" s="605" t="s">
        <v>276</v>
      </c>
      <c r="B441" s="605" t="s">
        <v>276</v>
      </c>
      <c r="C441" s="605">
        <v>2020</v>
      </c>
      <c r="D441" s="444" t="s">
        <v>494</v>
      </c>
      <c r="E441" s="584" t="s">
        <v>362</v>
      </c>
      <c r="F441" s="584" t="s">
        <v>74</v>
      </c>
      <c r="G441" s="584" t="s">
        <v>484</v>
      </c>
      <c r="H441" s="584" t="s">
        <v>19</v>
      </c>
      <c r="I441" s="584" t="s">
        <v>551</v>
      </c>
      <c r="J441" s="584">
        <v>75</v>
      </c>
      <c r="K441" s="584"/>
      <c r="L441" s="631" t="s">
        <v>552</v>
      </c>
      <c r="M441" s="613">
        <v>33</v>
      </c>
      <c r="N441" s="616"/>
      <c r="O441" s="213">
        <v>8</v>
      </c>
      <c r="P441" s="611" t="s">
        <v>1747</v>
      </c>
      <c r="Q441" s="628" t="s">
        <v>552</v>
      </c>
    </row>
    <row r="442" spans="1:17" s="36" customFormat="1" x14ac:dyDescent="0.2">
      <c r="A442" s="605" t="s">
        <v>276</v>
      </c>
      <c r="B442" s="605" t="s">
        <v>276</v>
      </c>
      <c r="C442" s="605">
        <v>2020</v>
      </c>
      <c r="D442" s="444" t="s">
        <v>494</v>
      </c>
      <c r="E442" s="584" t="s">
        <v>362</v>
      </c>
      <c r="F442" s="584" t="s">
        <v>74</v>
      </c>
      <c r="G442" s="584" t="s">
        <v>484</v>
      </c>
      <c r="H442" s="584" t="s">
        <v>20</v>
      </c>
      <c r="I442" s="584" t="s">
        <v>551</v>
      </c>
      <c r="J442" s="584">
        <v>75</v>
      </c>
      <c r="K442" s="584"/>
      <c r="L442" s="631" t="s">
        <v>564</v>
      </c>
      <c r="M442" s="613">
        <v>33</v>
      </c>
      <c r="N442" s="616">
        <f t="shared" si="6"/>
        <v>0.44</v>
      </c>
      <c r="O442" s="213">
        <v>8</v>
      </c>
      <c r="P442" s="611" t="s">
        <v>1747</v>
      </c>
      <c r="Q442" s="628" t="s">
        <v>1701</v>
      </c>
    </row>
    <row r="443" spans="1:17" s="36" customFormat="1" x14ac:dyDescent="0.2">
      <c r="A443" s="605" t="s">
        <v>276</v>
      </c>
      <c r="B443" s="605" t="s">
        <v>276</v>
      </c>
      <c r="C443" s="605">
        <v>2020</v>
      </c>
      <c r="D443" s="444" t="s">
        <v>494</v>
      </c>
      <c r="E443" s="584" t="s">
        <v>362</v>
      </c>
      <c r="F443" s="584" t="s">
        <v>74</v>
      </c>
      <c r="G443" s="584" t="s">
        <v>484</v>
      </c>
      <c r="H443" s="584" t="s">
        <v>549</v>
      </c>
      <c r="I443" s="584" t="s">
        <v>551</v>
      </c>
      <c r="J443" s="584">
        <v>75</v>
      </c>
      <c r="K443" s="584"/>
      <c r="L443" s="631" t="s">
        <v>564</v>
      </c>
      <c r="M443" s="613">
        <v>33</v>
      </c>
      <c r="N443" s="616">
        <f t="shared" si="6"/>
        <v>0.44</v>
      </c>
      <c r="O443" s="213">
        <v>8</v>
      </c>
      <c r="P443" s="611" t="s">
        <v>1747</v>
      </c>
      <c r="Q443" s="628" t="s">
        <v>1701</v>
      </c>
    </row>
    <row r="444" spans="1:17" s="36" customFormat="1" x14ac:dyDescent="0.2">
      <c r="A444" s="605" t="s">
        <v>276</v>
      </c>
      <c r="B444" s="605" t="s">
        <v>276</v>
      </c>
      <c r="C444" s="605">
        <v>2020</v>
      </c>
      <c r="D444" s="444" t="s">
        <v>494</v>
      </c>
      <c r="E444" s="584" t="s">
        <v>362</v>
      </c>
      <c r="F444" s="584" t="s">
        <v>74</v>
      </c>
      <c r="G444" s="584" t="s">
        <v>484</v>
      </c>
      <c r="H444" s="584" t="s">
        <v>550</v>
      </c>
      <c r="I444" s="584" t="s">
        <v>551</v>
      </c>
      <c r="J444" s="584">
        <v>75</v>
      </c>
      <c r="K444" s="584"/>
      <c r="L444" s="631" t="s">
        <v>564</v>
      </c>
      <c r="M444" s="613">
        <v>33</v>
      </c>
      <c r="N444" s="616">
        <f t="shared" si="6"/>
        <v>0.44</v>
      </c>
      <c r="O444" s="213">
        <v>8</v>
      </c>
      <c r="P444" s="611" t="s">
        <v>1747</v>
      </c>
      <c r="Q444" s="628" t="s">
        <v>1701</v>
      </c>
    </row>
    <row r="445" spans="1:17" s="36" customFormat="1" x14ac:dyDescent="0.2">
      <c r="A445" s="605" t="s">
        <v>276</v>
      </c>
      <c r="B445" s="605" t="s">
        <v>276</v>
      </c>
      <c r="C445" s="605">
        <v>2020</v>
      </c>
      <c r="D445" s="444" t="s">
        <v>494</v>
      </c>
      <c r="E445" s="584" t="s">
        <v>362</v>
      </c>
      <c r="F445" s="584" t="s">
        <v>74</v>
      </c>
      <c r="G445" s="584" t="s">
        <v>419</v>
      </c>
      <c r="H445" s="584" t="s">
        <v>42</v>
      </c>
      <c r="I445" s="584" t="s">
        <v>548</v>
      </c>
      <c r="J445" s="584">
        <v>0</v>
      </c>
      <c r="K445" s="584"/>
      <c r="L445" s="631" t="s">
        <v>559</v>
      </c>
      <c r="M445" s="613">
        <v>312</v>
      </c>
      <c r="N445" s="616"/>
      <c r="O445" s="213">
        <v>38</v>
      </c>
      <c r="P445" s="607"/>
      <c r="Q445" s="628" t="s">
        <v>552</v>
      </c>
    </row>
    <row r="446" spans="1:17" s="36" customFormat="1" x14ac:dyDescent="0.2">
      <c r="A446" s="605" t="s">
        <v>276</v>
      </c>
      <c r="B446" s="605" t="s">
        <v>276</v>
      </c>
      <c r="C446" s="605">
        <v>2020</v>
      </c>
      <c r="D446" s="444" t="s">
        <v>494</v>
      </c>
      <c r="E446" s="584" t="s">
        <v>362</v>
      </c>
      <c r="F446" s="584" t="s">
        <v>74</v>
      </c>
      <c r="G446" s="584" t="s">
        <v>419</v>
      </c>
      <c r="H446" s="584" t="s">
        <v>19</v>
      </c>
      <c r="I446" s="584" t="s">
        <v>548</v>
      </c>
      <c r="J446" s="584">
        <v>0</v>
      </c>
      <c r="K446" s="584"/>
      <c r="L446" s="631" t="s">
        <v>552</v>
      </c>
      <c r="M446" s="613">
        <v>0</v>
      </c>
      <c r="N446" s="616"/>
      <c r="O446" s="213">
        <v>0</v>
      </c>
      <c r="P446" s="611"/>
      <c r="Q446" s="628" t="s">
        <v>552</v>
      </c>
    </row>
    <row r="447" spans="1:17" s="36" customFormat="1" x14ac:dyDescent="0.2">
      <c r="A447" s="605" t="s">
        <v>276</v>
      </c>
      <c r="B447" s="605" t="s">
        <v>276</v>
      </c>
      <c r="C447" s="605">
        <v>2020</v>
      </c>
      <c r="D447" s="444" t="s">
        <v>494</v>
      </c>
      <c r="E447" s="584" t="s">
        <v>362</v>
      </c>
      <c r="F447" s="584" t="s">
        <v>74</v>
      </c>
      <c r="G447" s="584" t="s">
        <v>419</v>
      </c>
      <c r="H447" s="584" t="s">
        <v>20</v>
      </c>
      <c r="I447" s="584" t="s">
        <v>548</v>
      </c>
      <c r="J447" s="584">
        <v>0</v>
      </c>
      <c r="K447" s="584"/>
      <c r="L447" s="631" t="s">
        <v>559</v>
      </c>
      <c r="M447" s="613">
        <v>0</v>
      </c>
      <c r="N447" s="616"/>
      <c r="O447" s="213">
        <v>0</v>
      </c>
      <c r="P447" s="611"/>
      <c r="Q447" s="628" t="s">
        <v>552</v>
      </c>
    </row>
    <row r="448" spans="1:17" s="36" customFormat="1" x14ac:dyDescent="0.2">
      <c r="A448" s="605" t="s">
        <v>276</v>
      </c>
      <c r="B448" s="605" t="s">
        <v>276</v>
      </c>
      <c r="C448" s="605">
        <v>2020</v>
      </c>
      <c r="D448" s="444" t="s">
        <v>494</v>
      </c>
      <c r="E448" s="584" t="s">
        <v>362</v>
      </c>
      <c r="F448" s="584" t="s">
        <v>74</v>
      </c>
      <c r="G448" s="584" t="s">
        <v>419</v>
      </c>
      <c r="H448" s="584" t="s">
        <v>549</v>
      </c>
      <c r="I448" s="584" t="s">
        <v>548</v>
      </c>
      <c r="J448" s="584">
        <v>0</v>
      </c>
      <c r="K448" s="584"/>
      <c r="L448" s="631" t="s">
        <v>559</v>
      </c>
      <c r="M448" s="613">
        <v>0</v>
      </c>
      <c r="N448" s="616"/>
      <c r="O448" s="213">
        <v>0</v>
      </c>
      <c r="P448" s="611"/>
      <c r="Q448" s="628" t="s">
        <v>552</v>
      </c>
    </row>
    <row r="449" spans="1:17" s="36" customFormat="1" x14ac:dyDescent="0.2">
      <c r="A449" s="605" t="s">
        <v>276</v>
      </c>
      <c r="B449" s="605" t="s">
        <v>276</v>
      </c>
      <c r="C449" s="605">
        <v>2020</v>
      </c>
      <c r="D449" s="444" t="s">
        <v>494</v>
      </c>
      <c r="E449" s="584" t="s">
        <v>362</v>
      </c>
      <c r="F449" s="584" t="s">
        <v>74</v>
      </c>
      <c r="G449" s="584" t="s">
        <v>419</v>
      </c>
      <c r="H449" s="584" t="s">
        <v>550</v>
      </c>
      <c r="I449" s="584" t="s">
        <v>548</v>
      </c>
      <c r="J449" s="584">
        <v>0</v>
      </c>
      <c r="K449" s="584"/>
      <c r="L449" s="631" t="s">
        <v>559</v>
      </c>
      <c r="M449" s="613">
        <v>0</v>
      </c>
      <c r="N449" s="616"/>
      <c r="O449" s="213">
        <v>0</v>
      </c>
      <c r="P449" s="611"/>
      <c r="Q449" s="628" t="s">
        <v>552</v>
      </c>
    </row>
    <row r="450" spans="1:17" s="36" customFormat="1" ht="25.5" x14ac:dyDescent="0.2">
      <c r="A450" s="605" t="s">
        <v>276</v>
      </c>
      <c r="B450" s="605" t="s">
        <v>276</v>
      </c>
      <c r="C450" s="605">
        <v>2020</v>
      </c>
      <c r="D450" s="444" t="s">
        <v>494</v>
      </c>
      <c r="E450" s="584" t="s">
        <v>362</v>
      </c>
      <c r="F450" s="584" t="s">
        <v>74</v>
      </c>
      <c r="G450" s="584" t="s">
        <v>419</v>
      </c>
      <c r="H450" s="584" t="s">
        <v>42</v>
      </c>
      <c r="I450" s="584" t="s">
        <v>551</v>
      </c>
      <c r="J450" s="584">
        <v>75</v>
      </c>
      <c r="K450" s="584"/>
      <c r="L450" s="631"/>
      <c r="M450" s="613">
        <v>239</v>
      </c>
      <c r="N450" s="616">
        <f t="shared" si="6"/>
        <v>3.1866666666666665</v>
      </c>
      <c r="O450" s="213">
        <v>31</v>
      </c>
      <c r="P450" s="607" t="s">
        <v>560</v>
      </c>
      <c r="Q450" s="628" t="s">
        <v>1695</v>
      </c>
    </row>
    <row r="451" spans="1:17" s="36" customFormat="1" x14ac:dyDescent="0.2">
      <c r="A451" s="605" t="s">
        <v>276</v>
      </c>
      <c r="B451" s="605" t="s">
        <v>276</v>
      </c>
      <c r="C451" s="605">
        <v>2020</v>
      </c>
      <c r="D451" s="444" t="s">
        <v>494</v>
      </c>
      <c r="E451" s="584" t="s">
        <v>362</v>
      </c>
      <c r="F451" s="584" t="s">
        <v>74</v>
      </c>
      <c r="G451" s="584" t="s">
        <v>419</v>
      </c>
      <c r="H451" s="584" t="s">
        <v>19</v>
      </c>
      <c r="I451" s="584" t="s">
        <v>551</v>
      </c>
      <c r="J451" s="584">
        <v>0</v>
      </c>
      <c r="K451" s="584"/>
      <c r="L451" s="631" t="s">
        <v>552</v>
      </c>
      <c r="M451" s="613">
        <v>208</v>
      </c>
      <c r="N451" s="616"/>
      <c r="O451" s="213">
        <v>31</v>
      </c>
      <c r="P451" s="611" t="s">
        <v>1747</v>
      </c>
      <c r="Q451" s="628" t="s">
        <v>552</v>
      </c>
    </row>
    <row r="452" spans="1:17" s="36" customFormat="1" ht="25.5" x14ac:dyDescent="0.2">
      <c r="A452" s="605" t="s">
        <v>276</v>
      </c>
      <c r="B452" s="605" t="s">
        <v>276</v>
      </c>
      <c r="C452" s="605">
        <v>2020</v>
      </c>
      <c r="D452" s="444" t="s">
        <v>494</v>
      </c>
      <c r="E452" s="584" t="s">
        <v>362</v>
      </c>
      <c r="F452" s="584" t="s">
        <v>74</v>
      </c>
      <c r="G452" s="584" t="s">
        <v>419</v>
      </c>
      <c r="H452" s="584" t="s">
        <v>20</v>
      </c>
      <c r="I452" s="584" t="s">
        <v>551</v>
      </c>
      <c r="J452" s="584">
        <v>75</v>
      </c>
      <c r="K452" s="584"/>
      <c r="L452" s="631" t="s">
        <v>564</v>
      </c>
      <c r="M452" s="613">
        <v>208</v>
      </c>
      <c r="N452" s="616">
        <f t="shared" si="6"/>
        <v>2.7733333333333334</v>
      </c>
      <c r="O452" s="213">
        <v>31</v>
      </c>
      <c r="P452" s="611" t="s">
        <v>1747</v>
      </c>
      <c r="Q452" s="628" t="s">
        <v>1695</v>
      </c>
    </row>
    <row r="453" spans="1:17" s="36" customFormat="1" ht="25.5" x14ac:dyDescent="0.2">
      <c r="A453" s="605" t="s">
        <v>276</v>
      </c>
      <c r="B453" s="605" t="s">
        <v>276</v>
      </c>
      <c r="C453" s="605">
        <v>2020</v>
      </c>
      <c r="D453" s="444" t="s">
        <v>494</v>
      </c>
      <c r="E453" s="584" t="s">
        <v>362</v>
      </c>
      <c r="F453" s="584" t="s">
        <v>74</v>
      </c>
      <c r="G453" s="584" t="s">
        <v>419</v>
      </c>
      <c r="H453" s="584" t="s">
        <v>549</v>
      </c>
      <c r="I453" s="584" t="s">
        <v>551</v>
      </c>
      <c r="J453" s="584">
        <v>75</v>
      </c>
      <c r="K453" s="584"/>
      <c r="L453" s="631" t="s">
        <v>564</v>
      </c>
      <c r="M453" s="613">
        <v>208</v>
      </c>
      <c r="N453" s="616">
        <f t="shared" si="6"/>
        <v>2.7733333333333334</v>
      </c>
      <c r="O453" s="213">
        <v>31</v>
      </c>
      <c r="P453" s="611" t="s">
        <v>1747</v>
      </c>
      <c r="Q453" s="628" t="s">
        <v>1695</v>
      </c>
    </row>
    <row r="454" spans="1:17" s="36" customFormat="1" ht="25.5" x14ac:dyDescent="0.2">
      <c r="A454" s="605" t="s">
        <v>276</v>
      </c>
      <c r="B454" s="605" t="s">
        <v>276</v>
      </c>
      <c r="C454" s="605">
        <v>2020</v>
      </c>
      <c r="D454" s="444" t="s">
        <v>494</v>
      </c>
      <c r="E454" s="584" t="s">
        <v>362</v>
      </c>
      <c r="F454" s="584" t="s">
        <v>74</v>
      </c>
      <c r="G454" s="584" t="s">
        <v>419</v>
      </c>
      <c r="H454" s="584" t="s">
        <v>550</v>
      </c>
      <c r="I454" s="584" t="s">
        <v>551</v>
      </c>
      <c r="J454" s="584">
        <v>75</v>
      </c>
      <c r="K454" s="584"/>
      <c r="L454" s="631" t="s">
        <v>564</v>
      </c>
      <c r="M454" s="613">
        <v>207</v>
      </c>
      <c r="N454" s="616">
        <f t="shared" si="6"/>
        <v>2.76</v>
      </c>
      <c r="O454" s="213">
        <v>31</v>
      </c>
      <c r="P454" s="611" t="s">
        <v>1747</v>
      </c>
      <c r="Q454" s="628" t="s">
        <v>1695</v>
      </c>
    </row>
    <row r="455" spans="1:17" s="36" customFormat="1" x14ac:dyDescent="0.2">
      <c r="A455" s="605" t="s">
        <v>276</v>
      </c>
      <c r="B455" s="605" t="s">
        <v>276</v>
      </c>
      <c r="C455" s="605">
        <v>2020</v>
      </c>
      <c r="D455" s="444" t="s">
        <v>498</v>
      </c>
      <c r="E455" s="584" t="s">
        <v>362</v>
      </c>
      <c r="F455" s="584" t="s">
        <v>74</v>
      </c>
      <c r="G455" s="584" t="s">
        <v>489</v>
      </c>
      <c r="H455" s="584" t="s">
        <v>42</v>
      </c>
      <c r="I455" s="584" t="s">
        <v>548</v>
      </c>
      <c r="J455" s="584">
        <v>0</v>
      </c>
      <c r="K455" s="584"/>
      <c r="L455" s="631" t="s">
        <v>559</v>
      </c>
      <c r="M455" s="613">
        <v>661</v>
      </c>
      <c r="N455" s="616"/>
      <c r="O455" s="213">
        <v>29</v>
      </c>
      <c r="P455" s="607"/>
      <c r="Q455" s="628" t="s">
        <v>552</v>
      </c>
    </row>
    <row r="456" spans="1:17" s="36" customFormat="1" x14ac:dyDescent="0.2">
      <c r="A456" s="605" t="s">
        <v>276</v>
      </c>
      <c r="B456" s="605" t="s">
        <v>276</v>
      </c>
      <c r="C456" s="605">
        <v>2020</v>
      </c>
      <c r="D456" s="444" t="s">
        <v>498</v>
      </c>
      <c r="E456" s="584" t="s">
        <v>362</v>
      </c>
      <c r="F456" s="584" t="s">
        <v>74</v>
      </c>
      <c r="G456" s="584" t="s">
        <v>489</v>
      </c>
      <c r="H456" s="584" t="s">
        <v>19</v>
      </c>
      <c r="I456" s="584" t="s">
        <v>548</v>
      </c>
      <c r="J456" s="584">
        <v>0</v>
      </c>
      <c r="K456" s="584"/>
      <c r="L456" s="631" t="s">
        <v>552</v>
      </c>
      <c r="M456" s="613">
        <v>0</v>
      </c>
      <c r="N456" s="616"/>
      <c r="O456" s="213">
        <v>0</v>
      </c>
      <c r="P456" s="611"/>
      <c r="Q456" s="628" t="s">
        <v>552</v>
      </c>
    </row>
    <row r="457" spans="1:17" s="36" customFormat="1" x14ac:dyDescent="0.2">
      <c r="A457" s="605" t="s">
        <v>276</v>
      </c>
      <c r="B457" s="605" t="s">
        <v>276</v>
      </c>
      <c r="C457" s="605">
        <v>2020</v>
      </c>
      <c r="D457" s="444" t="s">
        <v>498</v>
      </c>
      <c r="E457" s="584" t="s">
        <v>362</v>
      </c>
      <c r="F457" s="584" t="s">
        <v>74</v>
      </c>
      <c r="G457" s="584" t="s">
        <v>489</v>
      </c>
      <c r="H457" s="584" t="s">
        <v>20</v>
      </c>
      <c r="I457" s="584" t="s">
        <v>548</v>
      </c>
      <c r="J457" s="584">
        <v>0</v>
      </c>
      <c r="K457" s="584"/>
      <c r="L457" s="631" t="s">
        <v>559</v>
      </c>
      <c r="M457" s="613">
        <v>0</v>
      </c>
      <c r="N457" s="616"/>
      <c r="O457" s="213">
        <v>0</v>
      </c>
      <c r="P457" s="611"/>
      <c r="Q457" s="628" t="s">
        <v>552</v>
      </c>
    </row>
    <row r="458" spans="1:17" s="36" customFormat="1" x14ac:dyDescent="0.2">
      <c r="A458" s="605" t="s">
        <v>276</v>
      </c>
      <c r="B458" s="605" t="s">
        <v>276</v>
      </c>
      <c r="C458" s="605">
        <v>2020</v>
      </c>
      <c r="D458" s="444" t="s">
        <v>498</v>
      </c>
      <c r="E458" s="584" t="s">
        <v>362</v>
      </c>
      <c r="F458" s="584" t="s">
        <v>74</v>
      </c>
      <c r="G458" s="584" t="s">
        <v>489</v>
      </c>
      <c r="H458" s="584" t="s">
        <v>549</v>
      </c>
      <c r="I458" s="584" t="s">
        <v>548</v>
      </c>
      <c r="J458" s="584">
        <v>0</v>
      </c>
      <c r="K458" s="584"/>
      <c r="L458" s="631" t="s">
        <v>559</v>
      </c>
      <c r="M458" s="613">
        <v>0</v>
      </c>
      <c r="N458" s="616"/>
      <c r="O458" s="213">
        <v>0</v>
      </c>
      <c r="P458" s="611"/>
      <c r="Q458" s="628" t="s">
        <v>552</v>
      </c>
    </row>
    <row r="459" spans="1:17" s="36" customFormat="1" x14ac:dyDescent="0.2">
      <c r="A459" s="605" t="s">
        <v>276</v>
      </c>
      <c r="B459" s="605" t="s">
        <v>276</v>
      </c>
      <c r="C459" s="605">
        <v>2020</v>
      </c>
      <c r="D459" s="444" t="s">
        <v>498</v>
      </c>
      <c r="E459" s="584" t="s">
        <v>362</v>
      </c>
      <c r="F459" s="584" t="s">
        <v>74</v>
      </c>
      <c r="G459" s="584" t="s">
        <v>489</v>
      </c>
      <c r="H459" s="584" t="s">
        <v>550</v>
      </c>
      <c r="I459" s="584" t="s">
        <v>548</v>
      </c>
      <c r="J459" s="584">
        <v>0</v>
      </c>
      <c r="K459" s="584"/>
      <c r="L459" s="631" t="s">
        <v>559</v>
      </c>
      <c r="M459" s="613">
        <v>0</v>
      </c>
      <c r="N459" s="616"/>
      <c r="O459" s="213">
        <v>0</v>
      </c>
      <c r="P459" s="611"/>
      <c r="Q459" s="628" t="s">
        <v>552</v>
      </c>
    </row>
    <row r="460" spans="1:17" s="36" customFormat="1" x14ac:dyDescent="0.2">
      <c r="A460" s="605" t="s">
        <v>276</v>
      </c>
      <c r="B460" s="605" t="s">
        <v>276</v>
      </c>
      <c r="C460" s="605">
        <v>2020</v>
      </c>
      <c r="D460" s="444" t="s">
        <v>498</v>
      </c>
      <c r="E460" s="584" t="s">
        <v>362</v>
      </c>
      <c r="F460" s="584" t="s">
        <v>74</v>
      </c>
      <c r="G460" s="584" t="s">
        <v>489</v>
      </c>
      <c r="H460" s="584" t="s">
        <v>42</v>
      </c>
      <c r="I460" s="584" t="s">
        <v>551</v>
      </c>
      <c r="J460" s="584">
        <v>1000</v>
      </c>
      <c r="K460" s="584"/>
      <c r="L460" s="631" t="s">
        <v>1540</v>
      </c>
      <c r="M460" s="613">
        <v>944</v>
      </c>
      <c r="N460" s="616">
        <f t="shared" ref="N460:N467" si="7">M460/J460</f>
        <v>0.94399999999999995</v>
      </c>
      <c r="O460" s="213">
        <v>17</v>
      </c>
      <c r="P460" s="607" t="s">
        <v>560</v>
      </c>
      <c r="Q460" s="628"/>
    </row>
    <row r="461" spans="1:17" s="36" customFormat="1" x14ac:dyDescent="0.2">
      <c r="A461" s="605" t="s">
        <v>276</v>
      </c>
      <c r="B461" s="605" t="s">
        <v>276</v>
      </c>
      <c r="C461" s="605">
        <v>2020</v>
      </c>
      <c r="D461" s="444" t="s">
        <v>498</v>
      </c>
      <c r="E461" s="584" t="s">
        <v>362</v>
      </c>
      <c r="F461" s="584" t="s">
        <v>74</v>
      </c>
      <c r="G461" s="584" t="s">
        <v>489</v>
      </c>
      <c r="H461" s="584" t="s">
        <v>19</v>
      </c>
      <c r="I461" s="584" t="s">
        <v>551</v>
      </c>
      <c r="J461" s="584">
        <v>0</v>
      </c>
      <c r="K461" s="584"/>
      <c r="L461" s="631" t="s">
        <v>552</v>
      </c>
      <c r="M461" s="613">
        <v>0</v>
      </c>
      <c r="N461" s="616"/>
      <c r="O461" s="213">
        <v>0</v>
      </c>
      <c r="P461" s="611"/>
      <c r="Q461" s="628" t="s">
        <v>552</v>
      </c>
    </row>
    <row r="462" spans="1:17" s="36" customFormat="1" x14ac:dyDescent="0.2">
      <c r="A462" s="605" t="s">
        <v>276</v>
      </c>
      <c r="B462" s="605" t="s">
        <v>276</v>
      </c>
      <c r="C462" s="605">
        <v>2020</v>
      </c>
      <c r="D462" s="444" t="s">
        <v>498</v>
      </c>
      <c r="E462" s="584" t="s">
        <v>362</v>
      </c>
      <c r="F462" s="584" t="s">
        <v>74</v>
      </c>
      <c r="G462" s="584" t="s">
        <v>489</v>
      </c>
      <c r="H462" s="584" t="s">
        <v>20</v>
      </c>
      <c r="I462" s="584" t="s">
        <v>551</v>
      </c>
      <c r="J462" s="584">
        <v>1000</v>
      </c>
      <c r="K462" s="584"/>
      <c r="L462" s="631" t="s">
        <v>1704</v>
      </c>
      <c r="M462" s="613">
        <v>629</v>
      </c>
      <c r="N462" s="616">
        <f t="shared" si="7"/>
        <v>0.629</v>
      </c>
      <c r="O462" s="213">
        <v>150</v>
      </c>
      <c r="P462" s="611" t="s">
        <v>1747</v>
      </c>
      <c r="Q462" s="628" t="s">
        <v>1701</v>
      </c>
    </row>
    <row r="463" spans="1:17" s="36" customFormat="1" x14ac:dyDescent="0.2">
      <c r="A463" s="605" t="s">
        <v>276</v>
      </c>
      <c r="B463" s="605" t="s">
        <v>276</v>
      </c>
      <c r="C463" s="605">
        <v>2020</v>
      </c>
      <c r="D463" s="444" t="s">
        <v>498</v>
      </c>
      <c r="E463" s="584" t="s">
        <v>362</v>
      </c>
      <c r="F463" s="584" t="s">
        <v>74</v>
      </c>
      <c r="G463" s="584" t="s">
        <v>489</v>
      </c>
      <c r="H463" s="584" t="s">
        <v>549</v>
      </c>
      <c r="I463" s="584" t="s">
        <v>551</v>
      </c>
      <c r="J463" s="584">
        <v>1000</v>
      </c>
      <c r="K463" s="584"/>
      <c r="L463" s="631" t="s">
        <v>1704</v>
      </c>
      <c r="M463" s="613">
        <v>628</v>
      </c>
      <c r="N463" s="616">
        <f t="shared" si="7"/>
        <v>0.628</v>
      </c>
      <c r="O463" s="213">
        <v>150</v>
      </c>
      <c r="P463" s="611" t="s">
        <v>1747</v>
      </c>
      <c r="Q463" s="628" t="s">
        <v>1701</v>
      </c>
    </row>
    <row r="464" spans="1:17" s="36" customFormat="1" x14ac:dyDescent="0.2">
      <c r="A464" s="605" t="s">
        <v>276</v>
      </c>
      <c r="B464" s="605" t="s">
        <v>276</v>
      </c>
      <c r="C464" s="605">
        <v>2020</v>
      </c>
      <c r="D464" s="444" t="s">
        <v>498</v>
      </c>
      <c r="E464" s="584" t="s">
        <v>362</v>
      </c>
      <c r="F464" s="584" t="s">
        <v>74</v>
      </c>
      <c r="G464" s="584" t="s">
        <v>489</v>
      </c>
      <c r="H464" s="584" t="s">
        <v>550</v>
      </c>
      <c r="I464" s="584" t="s">
        <v>551</v>
      </c>
      <c r="J464" s="584">
        <v>1000</v>
      </c>
      <c r="K464" s="584"/>
      <c r="L464" s="631" t="s">
        <v>1704</v>
      </c>
      <c r="M464" s="613">
        <v>630</v>
      </c>
      <c r="N464" s="616">
        <f t="shared" si="7"/>
        <v>0.63</v>
      </c>
      <c r="O464" s="213">
        <v>150</v>
      </c>
      <c r="P464" s="611" t="s">
        <v>1747</v>
      </c>
      <c r="Q464" s="628" t="s">
        <v>1701</v>
      </c>
    </row>
    <row r="465" spans="1:17" s="36" customFormat="1" x14ac:dyDescent="0.2">
      <c r="A465" s="605" t="s">
        <v>276</v>
      </c>
      <c r="B465" s="605" t="s">
        <v>276</v>
      </c>
      <c r="C465" s="605">
        <v>2020</v>
      </c>
      <c r="D465" s="444" t="s">
        <v>505</v>
      </c>
      <c r="E465" s="584" t="s">
        <v>500</v>
      </c>
      <c r="F465" s="584" t="s">
        <v>501</v>
      </c>
      <c r="G465" s="584" t="s">
        <v>502</v>
      </c>
      <c r="H465" s="584" t="s">
        <v>42</v>
      </c>
      <c r="I465" s="584" t="s">
        <v>548</v>
      </c>
      <c r="J465" s="584">
        <v>500</v>
      </c>
      <c r="K465" s="584"/>
      <c r="L465" s="631" t="s">
        <v>564</v>
      </c>
      <c r="M465" s="613">
        <v>556</v>
      </c>
      <c r="N465" s="616">
        <f t="shared" si="7"/>
        <v>1.1120000000000001</v>
      </c>
      <c r="O465" s="213">
        <v>3</v>
      </c>
      <c r="P465" s="607" t="s">
        <v>1736</v>
      </c>
      <c r="Q465" s="628"/>
    </row>
    <row r="466" spans="1:17" s="36" customFormat="1" x14ac:dyDescent="0.2">
      <c r="A466" s="605" t="s">
        <v>276</v>
      </c>
      <c r="B466" s="605" t="s">
        <v>276</v>
      </c>
      <c r="C466" s="605">
        <v>2020</v>
      </c>
      <c r="D466" s="444" t="s">
        <v>505</v>
      </c>
      <c r="E466" s="584" t="s">
        <v>500</v>
      </c>
      <c r="F466" s="584" t="s">
        <v>501</v>
      </c>
      <c r="G466" s="584" t="s">
        <v>502</v>
      </c>
      <c r="H466" s="584" t="s">
        <v>19</v>
      </c>
      <c r="I466" s="584" t="s">
        <v>548</v>
      </c>
      <c r="J466" s="584">
        <v>0</v>
      </c>
      <c r="K466" s="584"/>
      <c r="L466" s="631" t="s">
        <v>552</v>
      </c>
      <c r="M466" s="613">
        <v>836</v>
      </c>
      <c r="N466" s="616"/>
      <c r="O466" s="213">
        <v>5</v>
      </c>
      <c r="P466" s="611"/>
      <c r="Q466" s="628" t="s">
        <v>552</v>
      </c>
    </row>
    <row r="467" spans="1:17" s="36" customFormat="1" ht="25.5" x14ac:dyDescent="0.2">
      <c r="A467" s="605" t="s">
        <v>276</v>
      </c>
      <c r="B467" s="605" t="s">
        <v>276</v>
      </c>
      <c r="C467" s="605">
        <v>2020</v>
      </c>
      <c r="D467" s="444" t="s">
        <v>505</v>
      </c>
      <c r="E467" s="584" t="s">
        <v>500</v>
      </c>
      <c r="F467" s="584" t="s">
        <v>501</v>
      </c>
      <c r="G467" s="584" t="s">
        <v>502</v>
      </c>
      <c r="H467" s="584" t="s">
        <v>20</v>
      </c>
      <c r="I467" s="584" t="s">
        <v>548</v>
      </c>
      <c r="J467" s="584">
        <v>500</v>
      </c>
      <c r="K467" s="584"/>
      <c r="L467" s="637"/>
      <c r="M467" s="613">
        <v>836</v>
      </c>
      <c r="N467" s="616">
        <f t="shared" si="7"/>
        <v>1.6719999999999999</v>
      </c>
      <c r="O467" s="213">
        <v>5</v>
      </c>
      <c r="P467" s="611"/>
      <c r="Q467" s="628" t="s">
        <v>1695</v>
      </c>
    </row>
    <row r="468" spans="1:17" s="36" customFormat="1" x14ac:dyDescent="0.2">
      <c r="A468" s="605" t="s">
        <v>276</v>
      </c>
      <c r="B468" s="605" t="s">
        <v>276</v>
      </c>
      <c r="C468" s="605">
        <v>2020</v>
      </c>
      <c r="D468" s="444" t="s">
        <v>505</v>
      </c>
      <c r="E468" s="584" t="s">
        <v>500</v>
      </c>
      <c r="F468" s="584" t="s">
        <v>501</v>
      </c>
      <c r="G468" s="584" t="s">
        <v>502</v>
      </c>
      <c r="H468" s="584" t="s">
        <v>549</v>
      </c>
      <c r="I468" s="584" t="s">
        <v>548</v>
      </c>
      <c r="J468" s="584">
        <v>0</v>
      </c>
      <c r="K468" s="584"/>
      <c r="L468" s="631" t="s">
        <v>552</v>
      </c>
      <c r="M468" s="613">
        <v>0</v>
      </c>
      <c r="N468" s="616"/>
      <c r="O468" s="213">
        <v>0</v>
      </c>
      <c r="P468" s="611"/>
      <c r="Q468" s="628" t="s">
        <v>552</v>
      </c>
    </row>
    <row r="469" spans="1:17" s="36" customFormat="1" x14ac:dyDescent="0.2">
      <c r="A469" s="605" t="s">
        <v>276</v>
      </c>
      <c r="B469" s="605" t="s">
        <v>276</v>
      </c>
      <c r="C469" s="605">
        <v>2020</v>
      </c>
      <c r="D469" s="444" t="s">
        <v>505</v>
      </c>
      <c r="E469" s="584" t="s">
        <v>500</v>
      </c>
      <c r="F469" s="584" t="s">
        <v>501</v>
      </c>
      <c r="G469" s="584" t="s">
        <v>502</v>
      </c>
      <c r="H469" s="584" t="s">
        <v>550</v>
      </c>
      <c r="I469" s="584" t="s">
        <v>548</v>
      </c>
      <c r="J469" s="584">
        <v>0</v>
      </c>
      <c r="K469" s="584"/>
      <c r="L469" s="631" t="s">
        <v>552</v>
      </c>
      <c r="M469" s="613">
        <v>0</v>
      </c>
      <c r="N469" s="616"/>
      <c r="O469" s="213">
        <v>0</v>
      </c>
      <c r="P469" s="611"/>
      <c r="Q469" s="628" t="s">
        <v>552</v>
      </c>
    </row>
    <row r="470" spans="1:17" s="36" customFormat="1" x14ac:dyDescent="0.2">
      <c r="A470" s="605" t="s">
        <v>276</v>
      </c>
      <c r="B470" s="605" t="s">
        <v>276</v>
      </c>
      <c r="C470" s="605">
        <v>2020</v>
      </c>
      <c r="D470" s="444" t="s">
        <v>505</v>
      </c>
      <c r="E470" s="584" t="s">
        <v>500</v>
      </c>
      <c r="F470" s="584" t="s">
        <v>501</v>
      </c>
      <c r="G470" s="584" t="s">
        <v>502</v>
      </c>
      <c r="H470" s="584" t="s">
        <v>42</v>
      </c>
      <c r="I470" s="584" t="s">
        <v>551</v>
      </c>
      <c r="J470" s="584">
        <v>0</v>
      </c>
      <c r="K470" s="584"/>
      <c r="L470" s="631" t="s">
        <v>554</v>
      </c>
      <c r="M470" s="613">
        <v>0</v>
      </c>
      <c r="N470" s="616"/>
      <c r="O470" s="213">
        <v>0</v>
      </c>
      <c r="P470" s="611"/>
      <c r="Q470" s="628" t="s">
        <v>552</v>
      </c>
    </row>
    <row r="471" spans="1:17" s="36" customFormat="1" x14ac:dyDescent="0.2">
      <c r="A471" s="605" t="s">
        <v>276</v>
      </c>
      <c r="B471" s="605" t="s">
        <v>276</v>
      </c>
      <c r="C471" s="605">
        <v>2020</v>
      </c>
      <c r="D471" s="444" t="s">
        <v>505</v>
      </c>
      <c r="E471" s="584" t="s">
        <v>500</v>
      </c>
      <c r="F471" s="584" t="s">
        <v>501</v>
      </c>
      <c r="G471" s="584" t="s">
        <v>502</v>
      </c>
      <c r="H471" s="584" t="s">
        <v>19</v>
      </c>
      <c r="I471" s="584" t="s">
        <v>551</v>
      </c>
      <c r="J471" s="584">
        <v>0</v>
      </c>
      <c r="K471" s="584"/>
      <c r="L471" s="631" t="s">
        <v>552</v>
      </c>
      <c r="M471" s="613">
        <v>0</v>
      </c>
      <c r="N471" s="616"/>
      <c r="O471" s="213">
        <v>0</v>
      </c>
      <c r="P471" s="611"/>
      <c r="Q471" s="628" t="s">
        <v>552</v>
      </c>
    </row>
    <row r="472" spans="1:17" s="36" customFormat="1" x14ac:dyDescent="0.2">
      <c r="A472" s="605" t="s">
        <v>276</v>
      </c>
      <c r="B472" s="605" t="s">
        <v>276</v>
      </c>
      <c r="C472" s="605">
        <v>2020</v>
      </c>
      <c r="D472" s="444" t="s">
        <v>505</v>
      </c>
      <c r="E472" s="584" t="s">
        <v>500</v>
      </c>
      <c r="F472" s="584" t="s">
        <v>501</v>
      </c>
      <c r="G472" s="584" t="s">
        <v>502</v>
      </c>
      <c r="H472" s="584" t="s">
        <v>20</v>
      </c>
      <c r="I472" s="584" t="s">
        <v>551</v>
      </c>
      <c r="J472" s="584">
        <v>0</v>
      </c>
      <c r="K472" s="584"/>
      <c r="L472" s="631" t="s">
        <v>554</v>
      </c>
      <c r="M472" s="613">
        <v>0</v>
      </c>
      <c r="N472" s="616"/>
      <c r="O472" s="213">
        <v>0</v>
      </c>
      <c r="P472" s="611"/>
      <c r="Q472" s="628" t="s">
        <v>552</v>
      </c>
    </row>
    <row r="473" spans="1:17" s="36" customFormat="1" x14ac:dyDescent="0.2">
      <c r="A473" s="605" t="s">
        <v>276</v>
      </c>
      <c r="B473" s="605" t="s">
        <v>276</v>
      </c>
      <c r="C473" s="605">
        <v>2020</v>
      </c>
      <c r="D473" s="444" t="s">
        <v>505</v>
      </c>
      <c r="E473" s="584" t="s">
        <v>500</v>
      </c>
      <c r="F473" s="584" t="s">
        <v>501</v>
      </c>
      <c r="G473" s="584" t="s">
        <v>502</v>
      </c>
      <c r="H473" s="584" t="s">
        <v>549</v>
      </c>
      <c r="I473" s="584" t="s">
        <v>551</v>
      </c>
      <c r="J473" s="584">
        <v>0</v>
      </c>
      <c r="K473" s="584"/>
      <c r="L473" s="631" t="s">
        <v>552</v>
      </c>
      <c r="M473" s="613">
        <v>0</v>
      </c>
      <c r="N473" s="616"/>
      <c r="O473" s="213">
        <v>0</v>
      </c>
      <c r="P473" s="611"/>
      <c r="Q473" s="628" t="s">
        <v>552</v>
      </c>
    </row>
    <row r="474" spans="1:17" s="36" customFormat="1" x14ac:dyDescent="0.2">
      <c r="A474" s="605" t="s">
        <v>276</v>
      </c>
      <c r="B474" s="605" t="s">
        <v>276</v>
      </c>
      <c r="C474" s="605">
        <v>2020</v>
      </c>
      <c r="D474" s="444" t="s">
        <v>505</v>
      </c>
      <c r="E474" s="584" t="s">
        <v>500</v>
      </c>
      <c r="F474" s="584" t="s">
        <v>501</v>
      </c>
      <c r="G474" s="584" t="s">
        <v>502</v>
      </c>
      <c r="H474" s="584" t="s">
        <v>550</v>
      </c>
      <c r="I474" s="584" t="s">
        <v>551</v>
      </c>
      <c r="J474" s="584">
        <v>0</v>
      </c>
      <c r="K474" s="584"/>
      <c r="L474" s="631" t="s">
        <v>552</v>
      </c>
      <c r="M474" s="613">
        <v>0</v>
      </c>
      <c r="N474" s="616"/>
      <c r="O474" s="213">
        <v>0</v>
      </c>
      <c r="P474" s="611"/>
      <c r="Q474" s="628" t="s">
        <v>552</v>
      </c>
    </row>
    <row r="475" spans="1:17" x14ac:dyDescent="0.2">
      <c r="A475" s="713" t="s">
        <v>276</v>
      </c>
      <c r="B475" s="713" t="s">
        <v>276</v>
      </c>
      <c r="C475" s="713">
        <v>2020</v>
      </c>
      <c r="D475" s="714" t="s">
        <v>307</v>
      </c>
      <c r="E475" s="715" t="s">
        <v>362</v>
      </c>
      <c r="F475" s="715" t="s">
        <v>74</v>
      </c>
      <c r="G475" s="723" t="s">
        <v>460</v>
      </c>
      <c r="H475" s="715" t="s">
        <v>42</v>
      </c>
      <c r="I475" s="715" t="s">
        <v>551</v>
      </c>
      <c r="J475" s="715">
        <v>25</v>
      </c>
      <c r="K475" s="715"/>
      <c r="L475" s="716"/>
      <c r="M475" s="717">
        <v>35</v>
      </c>
      <c r="N475" s="616">
        <f>M475/J475</f>
        <v>1.4</v>
      </c>
      <c r="O475" s="721">
        <v>13</v>
      </c>
      <c r="P475" s="722" t="s">
        <v>560</v>
      </c>
      <c r="Q475" s="639"/>
    </row>
    <row r="476" spans="1:17" x14ac:dyDescent="0.2">
      <c r="A476" s="713" t="s">
        <v>276</v>
      </c>
      <c r="B476" s="713" t="s">
        <v>276</v>
      </c>
      <c r="C476" s="713">
        <v>2020</v>
      </c>
      <c r="D476" s="714" t="s">
        <v>307</v>
      </c>
      <c r="E476" s="715" t="s">
        <v>362</v>
      </c>
      <c r="F476" s="715" t="s">
        <v>74</v>
      </c>
      <c r="G476" s="723" t="s">
        <v>460</v>
      </c>
      <c r="H476" s="715" t="s">
        <v>19</v>
      </c>
      <c r="I476" s="715" t="s">
        <v>551</v>
      </c>
      <c r="J476" s="715">
        <v>25</v>
      </c>
      <c r="K476" s="715"/>
      <c r="L476" s="716"/>
      <c r="M476" s="717">
        <v>29</v>
      </c>
      <c r="N476" s="616">
        <f>M476/J476</f>
        <v>1.1599999999999999</v>
      </c>
      <c r="O476" s="721">
        <v>13</v>
      </c>
      <c r="P476" s="722" t="s">
        <v>560</v>
      </c>
      <c r="Q476" s="639"/>
    </row>
    <row r="477" spans="1:17" x14ac:dyDescent="0.2">
      <c r="A477" s="713" t="s">
        <v>276</v>
      </c>
      <c r="B477" s="713" t="s">
        <v>276</v>
      </c>
      <c r="C477" s="713">
        <v>2020</v>
      </c>
      <c r="D477" s="714" t="s">
        <v>307</v>
      </c>
      <c r="E477" s="715" t="s">
        <v>362</v>
      </c>
      <c r="F477" s="715" t="s">
        <v>74</v>
      </c>
      <c r="G477" s="723" t="s">
        <v>460</v>
      </c>
      <c r="H477" s="715" t="s">
        <v>20</v>
      </c>
      <c r="I477" s="715" t="s">
        <v>551</v>
      </c>
      <c r="J477" s="715">
        <v>25</v>
      </c>
      <c r="K477" s="715"/>
      <c r="L477" s="716"/>
      <c r="M477" s="717">
        <v>29</v>
      </c>
      <c r="N477" s="616">
        <f>M477/J477</f>
        <v>1.1599999999999999</v>
      </c>
      <c r="O477" s="721">
        <v>13</v>
      </c>
      <c r="P477" s="722" t="s">
        <v>560</v>
      </c>
      <c r="Q477" s="639"/>
    </row>
    <row r="478" spans="1:17" x14ac:dyDescent="0.2">
      <c r="A478" s="713" t="s">
        <v>276</v>
      </c>
      <c r="B478" s="713" t="s">
        <v>276</v>
      </c>
      <c r="C478" s="713">
        <v>2020</v>
      </c>
      <c r="D478" s="714" t="s">
        <v>307</v>
      </c>
      <c r="E478" s="715" t="s">
        <v>362</v>
      </c>
      <c r="F478" s="715" t="s">
        <v>74</v>
      </c>
      <c r="G478" s="723" t="s">
        <v>460</v>
      </c>
      <c r="H478" s="715" t="s">
        <v>549</v>
      </c>
      <c r="I478" s="715" t="s">
        <v>551</v>
      </c>
      <c r="J478" s="715">
        <v>25</v>
      </c>
      <c r="K478" s="715"/>
      <c r="L478" s="716"/>
      <c r="M478" s="717">
        <v>29</v>
      </c>
      <c r="N478" s="616">
        <f>M478/J478</f>
        <v>1.1599999999999999</v>
      </c>
      <c r="O478" s="721">
        <v>13</v>
      </c>
      <c r="P478" s="722" t="s">
        <v>560</v>
      </c>
      <c r="Q478" s="639"/>
    </row>
    <row r="479" spans="1:17" x14ac:dyDescent="0.2">
      <c r="A479" s="713" t="s">
        <v>276</v>
      </c>
      <c r="B479" s="713" t="s">
        <v>276</v>
      </c>
      <c r="C479" s="713">
        <v>2020</v>
      </c>
      <c r="D479" s="714" t="s">
        <v>307</v>
      </c>
      <c r="E479" s="720" t="s">
        <v>362</v>
      </c>
      <c r="F479" s="715" t="s">
        <v>74</v>
      </c>
      <c r="G479" s="723" t="s">
        <v>460</v>
      </c>
      <c r="H479" s="715" t="s">
        <v>550</v>
      </c>
      <c r="I479" s="715" t="s">
        <v>551</v>
      </c>
      <c r="J479" s="715">
        <v>0</v>
      </c>
      <c r="K479" s="584"/>
      <c r="L479" s="631" t="s">
        <v>552</v>
      </c>
      <c r="M479" s="717" t="s">
        <v>7</v>
      </c>
      <c r="N479" s="616">
        <v>0</v>
      </c>
      <c r="O479" s="718" t="s">
        <v>7</v>
      </c>
      <c r="P479" s="722" t="s">
        <v>7</v>
      </c>
      <c r="Q479" s="628" t="s">
        <v>552</v>
      </c>
    </row>
  </sheetData>
  <conditionalFormatting sqref="A222:C244 A5:L14 A15:K15 A16:L16 A17:K17 Q17 A250:C262 A265:C280 A283:C285 A287:C294 A299:C349 D306:K345 A18:L221 D346:L349 A355:L474 E350:G353 I350:L354">
    <cfRule type="expression" dxfId="30" priority="33">
      <formula>$J5=0</formula>
    </cfRule>
  </conditionalFormatting>
  <conditionalFormatting sqref="Q15">
    <cfRule type="expression" dxfId="29" priority="35">
      <formula>$J15=0</formula>
    </cfRule>
  </conditionalFormatting>
  <conditionalFormatting sqref="Q27:Q28">
    <cfRule type="expression" dxfId="28" priority="30">
      <formula>$J27=0</formula>
    </cfRule>
  </conditionalFormatting>
  <conditionalFormatting sqref="A245:L245">
    <cfRule type="expression" dxfId="27" priority="28">
      <formula>$J245=0</formula>
    </cfRule>
  </conditionalFormatting>
  <conditionalFormatting sqref="A246:L246">
    <cfRule type="expression" dxfId="26" priority="27">
      <formula>$J246=0</formula>
    </cfRule>
  </conditionalFormatting>
  <conditionalFormatting sqref="A247:L247">
    <cfRule type="expression" dxfId="25" priority="26">
      <formula>$J247=0</formula>
    </cfRule>
  </conditionalFormatting>
  <conditionalFormatting sqref="A248:L248">
    <cfRule type="expression" dxfId="24" priority="25">
      <formula>$J248=0</formula>
    </cfRule>
  </conditionalFormatting>
  <conditionalFormatting sqref="A249:L249">
    <cfRule type="expression" dxfId="23" priority="24">
      <formula>$J249=0</formula>
    </cfRule>
  </conditionalFormatting>
  <conditionalFormatting sqref="A263:L263">
    <cfRule type="expression" dxfId="22" priority="23">
      <formula>$J263=0</formula>
    </cfRule>
  </conditionalFormatting>
  <conditionalFormatting sqref="A264:L264">
    <cfRule type="expression" dxfId="21" priority="22">
      <formula>$J264=0</formula>
    </cfRule>
  </conditionalFormatting>
  <conditionalFormatting sqref="A281:L281">
    <cfRule type="expression" dxfId="20" priority="21">
      <formula>$J281=0</formula>
    </cfRule>
  </conditionalFormatting>
  <conditionalFormatting sqref="A282:L282">
    <cfRule type="expression" dxfId="19" priority="20">
      <formula>$J282=0</formula>
    </cfRule>
  </conditionalFormatting>
  <conditionalFormatting sqref="A286:L286">
    <cfRule type="expression" dxfId="18" priority="19">
      <formula>$J286=0</formula>
    </cfRule>
  </conditionalFormatting>
  <conditionalFormatting sqref="A295:L295">
    <cfRule type="expression" dxfId="17" priority="18">
      <formula>$J295=0</formula>
    </cfRule>
  </conditionalFormatting>
  <conditionalFormatting sqref="A296:L296">
    <cfRule type="expression" dxfId="16" priority="17">
      <formula>$J296=0</formula>
    </cfRule>
  </conditionalFormatting>
  <conditionalFormatting sqref="A297:L297">
    <cfRule type="expression" dxfId="15" priority="16">
      <formula>$J297=0</formula>
    </cfRule>
  </conditionalFormatting>
  <conditionalFormatting sqref="A298:L298">
    <cfRule type="expression" dxfId="14" priority="15">
      <formula>$J298=0</formula>
    </cfRule>
  </conditionalFormatting>
  <conditionalFormatting sqref="D299:L304 D305:K305">
    <cfRule type="expression" dxfId="13" priority="14">
      <formula>$J299=0</formula>
    </cfRule>
  </conditionalFormatting>
  <conditionalFormatting sqref="L344">
    <cfRule type="expression" dxfId="12" priority="13">
      <formula>$J344=0</formula>
    </cfRule>
  </conditionalFormatting>
  <conditionalFormatting sqref="L333:L334">
    <cfRule type="expression" dxfId="11" priority="12">
      <formula>$J333=0</formula>
    </cfRule>
  </conditionalFormatting>
  <conditionalFormatting sqref="A350:D353">
    <cfRule type="expression" dxfId="10" priority="11">
      <formula>$J350=0</formula>
    </cfRule>
  </conditionalFormatting>
  <conditionalFormatting sqref="H350:H353">
    <cfRule type="expression" dxfId="9" priority="10">
      <formula>$J350=0</formula>
    </cfRule>
  </conditionalFormatting>
  <conditionalFormatting sqref="E354:G354">
    <cfRule type="expression" dxfId="8" priority="9">
      <formula>$J354=0</formula>
    </cfRule>
  </conditionalFormatting>
  <conditionalFormatting sqref="A354:D354">
    <cfRule type="expression" dxfId="7" priority="8">
      <formula>$J354=0</formula>
    </cfRule>
  </conditionalFormatting>
  <conditionalFormatting sqref="H354">
    <cfRule type="expression" dxfId="6" priority="7">
      <formula>$J354=0</formula>
    </cfRule>
  </conditionalFormatting>
  <conditionalFormatting sqref="E475:G478 I475:L479">
    <cfRule type="expression" dxfId="5" priority="6">
      <formula>$J475=0</formula>
    </cfRule>
  </conditionalFormatting>
  <conditionalFormatting sqref="A475:D478">
    <cfRule type="expression" dxfId="4" priority="5">
      <formula>$J475=0</formula>
    </cfRule>
  </conditionalFormatting>
  <conditionalFormatting sqref="H475:H478">
    <cfRule type="expression" dxfId="3" priority="4">
      <formula>$J475=0</formula>
    </cfRule>
  </conditionalFormatting>
  <conditionalFormatting sqref="E479:G479">
    <cfRule type="expression" dxfId="2" priority="3">
      <formula>$J479=0</formula>
    </cfRule>
  </conditionalFormatting>
  <conditionalFormatting sqref="A479:D479">
    <cfRule type="expression" dxfId="1" priority="2">
      <formula>$J479=0</formula>
    </cfRule>
  </conditionalFormatting>
  <conditionalFormatting sqref="H479">
    <cfRule type="expression" dxfId="0" priority="1">
      <formula>$J479=0</formula>
    </cfRule>
  </conditionalFormatting>
  <dataValidations count="1">
    <dataValidation type="textLength" showInputMessage="1" showErrorMessage="1" sqref="H5:H221">
      <formula1>0</formula1>
      <formula2>150</formula2>
    </dataValidation>
  </dataValidations>
  <pageMargins left="0.7" right="0.7" top="0.75" bottom="0.75" header="0.3" footer="0.3"/>
  <pageSetup paperSize="9" scale="64"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Y453"/>
  <sheetViews>
    <sheetView topLeftCell="G1" zoomScale="60" zoomScaleNormal="60" workbookViewId="0">
      <pane ySplit="4" topLeftCell="A5" activePane="bottomLeft" state="frozen"/>
      <selection activeCell="N1" sqref="N1"/>
      <selection pane="bottomLeft" activeCell="N6" sqref="N6:X10"/>
    </sheetView>
  </sheetViews>
  <sheetFormatPr defaultColWidth="8.85546875" defaultRowHeight="12.75" x14ac:dyDescent="0.2"/>
  <cols>
    <col min="1" max="1" width="8.85546875" style="61"/>
    <col min="2" max="2" width="13" style="61" customWidth="1"/>
    <col min="3" max="3" width="9.140625" style="61" customWidth="1"/>
    <col min="4" max="4" width="18.5703125" style="61" customWidth="1"/>
    <col min="5" max="5" width="23.28515625" style="61" customWidth="1"/>
    <col min="6" max="6" width="22" style="61" customWidth="1"/>
    <col min="7" max="7" width="29.140625" style="62" customWidth="1"/>
    <col min="8" max="8" width="18.28515625" style="61" customWidth="1"/>
    <col min="9" max="9" width="11" style="61" customWidth="1"/>
    <col min="10" max="10" width="35.140625" style="61" customWidth="1"/>
    <col min="11" max="11" width="19.140625" style="61" customWidth="1"/>
    <col min="12" max="12" width="36.85546875" style="61" customWidth="1"/>
    <col min="13" max="13" width="47.140625" style="61" customWidth="1"/>
    <col min="14" max="14" width="19.140625" style="63" customWidth="1"/>
    <col min="15" max="15" width="23.28515625" style="63" customWidth="1"/>
    <col min="16" max="16" width="15" style="63" bestFit="1" customWidth="1"/>
    <col min="17" max="24" width="19.140625" style="63" customWidth="1"/>
    <col min="25" max="25" width="30.42578125" style="61" customWidth="1"/>
    <col min="26" max="16384" width="8.85546875" style="61"/>
  </cols>
  <sheetData>
    <row r="1" spans="1:25" ht="13.5" thickBot="1" x14ac:dyDescent="0.25">
      <c r="A1" s="60" t="s">
        <v>61</v>
      </c>
    </row>
    <row r="2" spans="1:25" ht="13.5" thickBot="1" x14ac:dyDescent="0.25">
      <c r="A2" s="64"/>
      <c r="B2" s="64"/>
      <c r="C2" s="64"/>
      <c r="D2" s="64"/>
      <c r="E2" s="64"/>
      <c r="F2" s="64"/>
      <c r="G2" s="64"/>
      <c r="H2" s="64"/>
      <c r="I2" s="64"/>
      <c r="J2" s="64"/>
      <c r="K2" s="64"/>
      <c r="L2" s="64"/>
      <c r="N2" s="65"/>
      <c r="O2" s="65"/>
      <c r="P2" s="65"/>
      <c r="Q2" s="65"/>
      <c r="R2" s="65"/>
      <c r="S2" s="65"/>
      <c r="T2" s="65"/>
      <c r="U2" s="65"/>
      <c r="V2" s="65"/>
      <c r="X2" s="91" t="s">
        <v>56</v>
      </c>
      <c r="Y2" s="446" t="s">
        <v>1484</v>
      </c>
    </row>
    <row r="3" spans="1:25" ht="13.5" thickBot="1" x14ac:dyDescent="0.25">
      <c r="A3" s="66"/>
      <c r="B3" s="66"/>
      <c r="C3" s="66"/>
      <c r="D3" s="66"/>
      <c r="E3" s="66"/>
      <c r="F3" s="66"/>
      <c r="G3" s="66"/>
      <c r="H3" s="66"/>
      <c r="I3" s="66"/>
      <c r="J3" s="66"/>
      <c r="K3" s="66"/>
      <c r="L3" s="66"/>
      <c r="M3" s="61">
        <v>2019</v>
      </c>
      <c r="N3" s="67"/>
      <c r="O3" s="67"/>
      <c r="P3" s="67"/>
      <c r="Q3" s="67"/>
      <c r="R3" s="67"/>
      <c r="S3" s="67"/>
      <c r="T3" s="67"/>
      <c r="U3" s="67"/>
      <c r="V3" s="67"/>
      <c r="X3" s="90" t="s">
        <v>55</v>
      </c>
      <c r="Y3" s="148">
        <v>2020</v>
      </c>
    </row>
    <row r="4" spans="1:25" ht="77.25" thickBot="1" x14ac:dyDescent="0.25">
      <c r="A4" s="87" t="s">
        <v>0</v>
      </c>
      <c r="B4" s="87" t="s">
        <v>11</v>
      </c>
      <c r="C4" s="87" t="s">
        <v>62</v>
      </c>
      <c r="D4" s="88" t="s">
        <v>5</v>
      </c>
      <c r="E4" s="87" t="s">
        <v>8</v>
      </c>
      <c r="F4" s="87" t="s">
        <v>63</v>
      </c>
      <c r="G4" s="89" t="s">
        <v>64</v>
      </c>
      <c r="H4" s="87" t="s">
        <v>65</v>
      </c>
      <c r="I4" s="87" t="s">
        <v>66</v>
      </c>
      <c r="J4" s="87" t="s">
        <v>67</v>
      </c>
      <c r="K4" s="87" t="s">
        <v>68</v>
      </c>
      <c r="L4" s="87" t="s">
        <v>69</v>
      </c>
      <c r="M4" s="87" t="s">
        <v>4</v>
      </c>
      <c r="N4" s="147" t="s">
        <v>229</v>
      </c>
      <c r="O4" s="147" t="s">
        <v>230</v>
      </c>
      <c r="P4" s="147" t="s">
        <v>9</v>
      </c>
      <c r="Q4" s="147" t="s">
        <v>232</v>
      </c>
      <c r="R4" s="147" t="s">
        <v>231</v>
      </c>
      <c r="S4" s="147" t="s">
        <v>233</v>
      </c>
      <c r="T4" s="147" t="s">
        <v>70</v>
      </c>
      <c r="U4" s="147" t="s">
        <v>71</v>
      </c>
      <c r="V4" s="149" t="s">
        <v>260</v>
      </c>
      <c r="W4" s="147" t="s">
        <v>72</v>
      </c>
      <c r="X4" s="147" t="s">
        <v>73</v>
      </c>
      <c r="Y4" s="149" t="s">
        <v>261</v>
      </c>
    </row>
    <row r="5" spans="1:25" ht="25.5" customHeight="1" x14ac:dyDescent="0.2">
      <c r="A5" s="195" t="s">
        <v>276</v>
      </c>
      <c r="B5" s="210" t="s">
        <v>1484</v>
      </c>
      <c r="C5" s="196" t="s">
        <v>79</v>
      </c>
      <c r="D5" s="195" t="s">
        <v>74</v>
      </c>
      <c r="E5" s="195" t="s">
        <v>565</v>
      </c>
      <c r="F5" s="195" t="s">
        <v>6</v>
      </c>
      <c r="G5" s="195" t="s">
        <v>150</v>
      </c>
      <c r="H5" s="195" t="s">
        <v>77</v>
      </c>
      <c r="I5" s="195" t="s">
        <v>6</v>
      </c>
      <c r="J5" s="195" t="s">
        <v>6</v>
      </c>
      <c r="K5" s="195" t="s">
        <v>6</v>
      </c>
      <c r="L5" s="197" t="s">
        <v>566</v>
      </c>
      <c r="M5" s="198" t="s">
        <v>567</v>
      </c>
      <c r="N5" s="333" t="s">
        <v>1544</v>
      </c>
      <c r="O5" s="333" t="s">
        <v>1447</v>
      </c>
      <c r="P5" s="333" t="s">
        <v>650</v>
      </c>
      <c r="Q5" s="333" t="s">
        <v>6</v>
      </c>
      <c r="R5" s="333" t="s">
        <v>77</v>
      </c>
      <c r="S5" s="333" t="s">
        <v>6</v>
      </c>
      <c r="T5" s="333" t="s">
        <v>6</v>
      </c>
      <c r="U5" s="333" t="s">
        <v>6</v>
      </c>
      <c r="V5" s="333" t="s">
        <v>6</v>
      </c>
      <c r="W5" s="333" t="s">
        <v>77</v>
      </c>
      <c r="X5" s="333" t="s">
        <v>6</v>
      </c>
      <c r="Y5" s="333"/>
    </row>
    <row r="6" spans="1:25" ht="130.5" customHeight="1" x14ac:dyDescent="0.2">
      <c r="A6" s="195" t="s">
        <v>276</v>
      </c>
      <c r="B6" s="210" t="s">
        <v>1484</v>
      </c>
      <c r="C6" s="196" t="s">
        <v>79</v>
      </c>
      <c r="D6" s="195" t="s">
        <v>74</v>
      </c>
      <c r="E6" s="195" t="s">
        <v>568</v>
      </c>
      <c r="F6" s="195" t="s">
        <v>6</v>
      </c>
      <c r="G6" s="198" t="s">
        <v>569</v>
      </c>
      <c r="H6" s="195" t="s">
        <v>570</v>
      </c>
      <c r="I6" s="195" t="s">
        <v>77</v>
      </c>
      <c r="J6" s="195" t="s">
        <v>77</v>
      </c>
      <c r="K6" s="195" t="s">
        <v>77</v>
      </c>
      <c r="L6" s="195" t="s">
        <v>571</v>
      </c>
      <c r="M6" s="198" t="s">
        <v>572</v>
      </c>
      <c r="N6" s="671" t="s">
        <v>1876</v>
      </c>
      <c r="O6" s="333" t="s">
        <v>813</v>
      </c>
      <c r="P6" s="333" t="s">
        <v>1877</v>
      </c>
      <c r="Q6" s="333" t="s">
        <v>7</v>
      </c>
      <c r="R6" s="333" t="s">
        <v>7</v>
      </c>
      <c r="S6" s="333" t="s">
        <v>7</v>
      </c>
      <c r="T6" s="333" t="s">
        <v>7</v>
      </c>
      <c r="U6" s="333" t="s">
        <v>7</v>
      </c>
      <c r="V6" s="333" t="s">
        <v>7</v>
      </c>
      <c r="W6" s="333" t="s">
        <v>7</v>
      </c>
      <c r="X6" s="333" t="s">
        <v>7</v>
      </c>
      <c r="Y6" s="333" t="s">
        <v>1878</v>
      </c>
    </row>
    <row r="7" spans="1:25" ht="191.25" x14ac:dyDescent="0.2">
      <c r="A7" s="195" t="s">
        <v>276</v>
      </c>
      <c r="B7" s="210" t="s">
        <v>1484</v>
      </c>
      <c r="C7" s="196" t="s">
        <v>79</v>
      </c>
      <c r="D7" s="195" t="s">
        <v>74</v>
      </c>
      <c r="E7" s="195" t="s">
        <v>573</v>
      </c>
      <c r="F7" s="195" t="s">
        <v>6</v>
      </c>
      <c r="G7" s="198" t="s">
        <v>574</v>
      </c>
      <c r="H7" s="195" t="s">
        <v>77</v>
      </c>
      <c r="I7" s="195" t="s">
        <v>77</v>
      </c>
      <c r="J7" s="195" t="s">
        <v>77</v>
      </c>
      <c r="K7" s="195" t="s">
        <v>77</v>
      </c>
      <c r="L7" s="195" t="s">
        <v>575</v>
      </c>
      <c r="M7" s="198" t="s">
        <v>576</v>
      </c>
      <c r="N7" s="671" t="s">
        <v>1876</v>
      </c>
      <c r="O7" s="333" t="s">
        <v>813</v>
      </c>
      <c r="P7" s="333" t="s">
        <v>1877</v>
      </c>
      <c r="Q7" s="333" t="s">
        <v>7</v>
      </c>
      <c r="R7" s="333" t="s">
        <v>7</v>
      </c>
      <c r="S7" s="333" t="s">
        <v>7</v>
      </c>
      <c r="T7" s="333" t="s">
        <v>7</v>
      </c>
      <c r="U7" s="333" t="s">
        <v>7</v>
      </c>
      <c r="V7" s="333" t="s">
        <v>7</v>
      </c>
      <c r="W7" s="333" t="s">
        <v>7</v>
      </c>
      <c r="X7" s="333" t="s">
        <v>7</v>
      </c>
      <c r="Y7" s="333" t="s">
        <v>1883</v>
      </c>
    </row>
    <row r="8" spans="1:25" ht="102" x14ac:dyDescent="0.2">
      <c r="A8" s="195" t="s">
        <v>276</v>
      </c>
      <c r="B8" s="210" t="s">
        <v>1484</v>
      </c>
      <c r="C8" s="196" t="s">
        <v>79</v>
      </c>
      <c r="D8" s="195" t="s">
        <v>74</v>
      </c>
      <c r="E8" s="195" t="s">
        <v>577</v>
      </c>
      <c r="F8" s="195" t="s">
        <v>6</v>
      </c>
      <c r="G8" s="198" t="s">
        <v>578</v>
      </c>
      <c r="H8" s="195" t="s">
        <v>77</v>
      </c>
      <c r="I8" s="195" t="s">
        <v>77</v>
      </c>
      <c r="J8" s="195" t="s">
        <v>77</v>
      </c>
      <c r="K8" s="195" t="s">
        <v>77</v>
      </c>
      <c r="L8" s="195" t="s">
        <v>571</v>
      </c>
      <c r="M8" s="198" t="s">
        <v>579</v>
      </c>
      <c r="N8" s="671" t="s">
        <v>1876</v>
      </c>
      <c r="O8" s="333" t="s">
        <v>813</v>
      </c>
      <c r="P8" s="333" t="s">
        <v>1877</v>
      </c>
      <c r="Q8" s="333" t="s">
        <v>7</v>
      </c>
      <c r="R8" s="333" t="s">
        <v>7</v>
      </c>
      <c r="S8" s="333" t="s">
        <v>7</v>
      </c>
      <c r="T8" s="333" t="s">
        <v>7</v>
      </c>
      <c r="U8" s="333" t="s">
        <v>7</v>
      </c>
      <c r="V8" s="333" t="s">
        <v>7</v>
      </c>
      <c r="W8" s="333" t="s">
        <v>7</v>
      </c>
      <c r="X8" s="333" t="s">
        <v>7</v>
      </c>
      <c r="Y8" s="333" t="s">
        <v>1879</v>
      </c>
    </row>
    <row r="9" spans="1:25" ht="102" x14ac:dyDescent="0.2">
      <c r="A9" s="195" t="s">
        <v>276</v>
      </c>
      <c r="B9" s="210" t="s">
        <v>1484</v>
      </c>
      <c r="C9" s="196" t="s">
        <v>79</v>
      </c>
      <c r="D9" s="195" t="s">
        <v>74</v>
      </c>
      <c r="E9" s="195" t="s">
        <v>580</v>
      </c>
      <c r="F9" s="195" t="s">
        <v>6</v>
      </c>
      <c r="G9" s="198" t="s">
        <v>578</v>
      </c>
      <c r="H9" s="195" t="s">
        <v>570</v>
      </c>
      <c r="I9" s="195" t="s">
        <v>77</v>
      </c>
      <c r="J9" s="195" t="s">
        <v>77</v>
      </c>
      <c r="K9" s="195" t="s">
        <v>77</v>
      </c>
      <c r="L9" s="195" t="s">
        <v>571</v>
      </c>
      <c r="M9" s="198" t="s">
        <v>579</v>
      </c>
      <c r="N9" s="671" t="s">
        <v>1876</v>
      </c>
      <c r="O9" s="333" t="s">
        <v>813</v>
      </c>
      <c r="P9" s="333" t="s">
        <v>1877</v>
      </c>
      <c r="Q9" s="333" t="s">
        <v>7</v>
      </c>
      <c r="R9" s="333" t="s">
        <v>7</v>
      </c>
      <c r="S9" s="333" t="s">
        <v>7</v>
      </c>
      <c r="T9" s="333" t="s">
        <v>7</v>
      </c>
      <c r="U9" s="333" t="s">
        <v>7</v>
      </c>
      <c r="V9" s="333" t="s">
        <v>7</v>
      </c>
      <c r="W9" s="333" t="s">
        <v>7</v>
      </c>
      <c r="X9" s="333" t="s">
        <v>7</v>
      </c>
      <c r="Y9" s="333" t="s">
        <v>1879</v>
      </c>
    </row>
    <row r="10" spans="1:25" ht="114.75" x14ac:dyDescent="0.2">
      <c r="A10" s="195" t="s">
        <v>276</v>
      </c>
      <c r="B10" s="210" t="s">
        <v>1484</v>
      </c>
      <c r="C10" s="196" t="s">
        <v>79</v>
      </c>
      <c r="D10" s="195" t="s">
        <v>74</v>
      </c>
      <c r="E10" s="195" t="s">
        <v>78</v>
      </c>
      <c r="F10" s="195" t="s">
        <v>6</v>
      </c>
      <c r="G10" s="198" t="s">
        <v>581</v>
      </c>
      <c r="H10" s="195" t="s">
        <v>570</v>
      </c>
      <c r="I10" s="195" t="s">
        <v>77</v>
      </c>
      <c r="J10" s="195" t="s">
        <v>77</v>
      </c>
      <c r="K10" s="195" t="s">
        <v>77</v>
      </c>
      <c r="L10" s="195" t="s">
        <v>571</v>
      </c>
      <c r="M10" s="198" t="s">
        <v>579</v>
      </c>
      <c r="N10" s="671" t="s">
        <v>1876</v>
      </c>
      <c r="O10" s="333" t="s">
        <v>813</v>
      </c>
      <c r="P10" s="333" t="s">
        <v>1877</v>
      </c>
      <c r="Q10" s="333" t="s">
        <v>7</v>
      </c>
      <c r="R10" s="333" t="s">
        <v>7</v>
      </c>
      <c r="S10" s="333" t="s">
        <v>7</v>
      </c>
      <c r="T10" s="333" t="s">
        <v>7</v>
      </c>
      <c r="U10" s="333" t="s">
        <v>7</v>
      </c>
      <c r="V10" s="333" t="s">
        <v>7</v>
      </c>
      <c r="W10" s="333" t="s">
        <v>7</v>
      </c>
      <c r="X10" s="333" t="s">
        <v>7</v>
      </c>
      <c r="Y10" s="333" t="s">
        <v>1878</v>
      </c>
    </row>
    <row r="11" spans="1:25" ht="165.75" x14ac:dyDescent="0.2">
      <c r="A11" s="450" t="s">
        <v>276</v>
      </c>
      <c r="B11" s="210" t="s">
        <v>1484</v>
      </c>
      <c r="C11" s="453" t="s">
        <v>79</v>
      </c>
      <c r="D11" s="452" t="s">
        <v>74</v>
      </c>
      <c r="E11" s="452" t="s">
        <v>568</v>
      </c>
      <c r="F11" s="452" t="s">
        <v>6</v>
      </c>
      <c r="G11" s="454" t="s">
        <v>569</v>
      </c>
      <c r="H11" s="452" t="s">
        <v>570</v>
      </c>
      <c r="I11" s="452" t="s">
        <v>77</v>
      </c>
      <c r="J11" s="452" t="s">
        <v>77</v>
      </c>
      <c r="K11" s="452" t="s">
        <v>77</v>
      </c>
      <c r="L11" s="452" t="s">
        <v>571</v>
      </c>
      <c r="M11" s="454" t="s">
        <v>1542</v>
      </c>
      <c r="N11" s="671" t="s">
        <v>1876</v>
      </c>
      <c r="O11" s="333" t="s">
        <v>813</v>
      </c>
      <c r="P11" s="333" t="s">
        <v>1877</v>
      </c>
      <c r="Q11" s="333" t="s">
        <v>6</v>
      </c>
      <c r="R11" s="333" t="s">
        <v>6</v>
      </c>
      <c r="S11" s="333" t="s">
        <v>77</v>
      </c>
      <c r="T11" s="333" t="s">
        <v>77</v>
      </c>
      <c r="U11" s="333" t="s">
        <v>77</v>
      </c>
      <c r="V11" s="333" t="s">
        <v>6</v>
      </c>
      <c r="W11" s="333" t="s">
        <v>6</v>
      </c>
      <c r="X11" s="333" t="s">
        <v>6</v>
      </c>
      <c r="Y11" s="333" t="s">
        <v>1880</v>
      </c>
    </row>
    <row r="12" spans="1:25" ht="229.5" x14ac:dyDescent="0.2">
      <c r="A12" s="195" t="s">
        <v>276</v>
      </c>
      <c r="B12" s="210" t="s">
        <v>1484</v>
      </c>
      <c r="C12" s="453" t="s">
        <v>79</v>
      </c>
      <c r="D12" s="452" t="s">
        <v>74</v>
      </c>
      <c r="E12" s="452" t="s">
        <v>573</v>
      </c>
      <c r="F12" s="452" t="s">
        <v>6</v>
      </c>
      <c r="G12" s="454" t="s">
        <v>574</v>
      </c>
      <c r="H12" s="452" t="s">
        <v>77</v>
      </c>
      <c r="I12" s="452" t="s">
        <v>77</v>
      </c>
      <c r="J12" s="452" t="s">
        <v>77</v>
      </c>
      <c r="K12" s="452" t="s">
        <v>77</v>
      </c>
      <c r="L12" s="452" t="s">
        <v>575</v>
      </c>
      <c r="M12" s="451" t="s">
        <v>1545</v>
      </c>
      <c r="N12" s="671" t="s">
        <v>1876</v>
      </c>
      <c r="O12" s="333" t="s">
        <v>813</v>
      </c>
      <c r="P12" s="333" t="s">
        <v>1877</v>
      </c>
      <c r="Q12" s="333" t="s">
        <v>6</v>
      </c>
      <c r="R12" s="333" t="s">
        <v>6</v>
      </c>
      <c r="S12" s="333" t="s">
        <v>77</v>
      </c>
      <c r="T12" s="333" t="s">
        <v>77</v>
      </c>
      <c r="U12" s="333" t="s">
        <v>77</v>
      </c>
      <c r="V12" s="333" t="s">
        <v>6</v>
      </c>
      <c r="W12" s="333" t="s">
        <v>6</v>
      </c>
      <c r="X12" s="333" t="s">
        <v>6</v>
      </c>
      <c r="Y12" s="333" t="s">
        <v>1885</v>
      </c>
    </row>
    <row r="13" spans="1:25" ht="165.75" x14ac:dyDescent="0.2">
      <c r="A13" s="450" t="s">
        <v>276</v>
      </c>
      <c r="B13" s="210" t="s">
        <v>1484</v>
      </c>
      <c r="C13" s="453" t="s">
        <v>79</v>
      </c>
      <c r="D13" s="452" t="s">
        <v>74</v>
      </c>
      <c r="E13" s="452" t="s">
        <v>577</v>
      </c>
      <c r="F13" s="452" t="s">
        <v>6</v>
      </c>
      <c r="G13" s="454" t="s">
        <v>578</v>
      </c>
      <c r="H13" s="452" t="s">
        <v>77</v>
      </c>
      <c r="I13" s="452" t="s">
        <v>77</v>
      </c>
      <c r="J13" s="452" t="s">
        <v>77</v>
      </c>
      <c r="K13" s="452" t="s">
        <v>77</v>
      </c>
      <c r="L13" s="452" t="s">
        <v>571</v>
      </c>
      <c r="M13" s="454" t="s">
        <v>1543</v>
      </c>
      <c r="N13" s="671" t="s">
        <v>1876</v>
      </c>
      <c r="O13" s="333" t="s">
        <v>813</v>
      </c>
      <c r="P13" s="333" t="s">
        <v>1877</v>
      </c>
      <c r="Q13" s="333" t="s">
        <v>6</v>
      </c>
      <c r="R13" s="333" t="s">
        <v>6</v>
      </c>
      <c r="S13" s="333" t="s">
        <v>77</v>
      </c>
      <c r="T13" s="333" t="s">
        <v>77</v>
      </c>
      <c r="U13" s="333" t="s">
        <v>77</v>
      </c>
      <c r="V13" s="333" t="s">
        <v>6</v>
      </c>
      <c r="W13" s="333" t="s">
        <v>6</v>
      </c>
      <c r="X13" s="333" t="s">
        <v>6</v>
      </c>
      <c r="Y13" s="333" t="s">
        <v>1880</v>
      </c>
    </row>
    <row r="14" spans="1:25" ht="165.75" x14ac:dyDescent="0.2">
      <c r="A14" s="195" t="s">
        <v>276</v>
      </c>
      <c r="B14" s="210" t="s">
        <v>1484</v>
      </c>
      <c r="C14" s="453" t="s">
        <v>79</v>
      </c>
      <c r="D14" s="452" t="s">
        <v>74</v>
      </c>
      <c r="E14" s="452" t="s">
        <v>580</v>
      </c>
      <c r="F14" s="452" t="s">
        <v>6</v>
      </c>
      <c r="G14" s="454" t="s">
        <v>578</v>
      </c>
      <c r="H14" s="452" t="s">
        <v>570</v>
      </c>
      <c r="I14" s="452" t="s">
        <v>77</v>
      </c>
      <c r="J14" s="452" t="s">
        <v>77</v>
      </c>
      <c r="K14" s="452" t="s">
        <v>77</v>
      </c>
      <c r="L14" s="452" t="s">
        <v>571</v>
      </c>
      <c r="M14" s="454" t="s">
        <v>1543</v>
      </c>
      <c r="N14" s="671" t="s">
        <v>1876</v>
      </c>
      <c r="O14" s="333" t="s">
        <v>813</v>
      </c>
      <c r="P14" s="333" t="s">
        <v>1877</v>
      </c>
      <c r="Q14" s="333" t="s">
        <v>6</v>
      </c>
      <c r="R14" s="333" t="s">
        <v>6</v>
      </c>
      <c r="S14" s="333" t="s">
        <v>77</v>
      </c>
      <c r="T14" s="333" t="s">
        <v>77</v>
      </c>
      <c r="U14" s="333" t="s">
        <v>77</v>
      </c>
      <c r="V14" s="333" t="s">
        <v>6</v>
      </c>
      <c r="W14" s="333" t="s">
        <v>6</v>
      </c>
      <c r="X14" s="333" t="s">
        <v>6</v>
      </c>
      <c r="Y14" s="333" t="s">
        <v>1880</v>
      </c>
    </row>
    <row r="15" spans="1:25" ht="165.75" x14ac:dyDescent="0.2">
      <c r="A15" s="450" t="s">
        <v>276</v>
      </c>
      <c r="B15" s="210" t="s">
        <v>1484</v>
      </c>
      <c r="C15" s="453" t="s">
        <v>79</v>
      </c>
      <c r="D15" s="452" t="s">
        <v>74</v>
      </c>
      <c r="E15" s="452" t="s">
        <v>78</v>
      </c>
      <c r="F15" s="452" t="s">
        <v>6</v>
      </c>
      <c r="G15" s="454" t="s">
        <v>581</v>
      </c>
      <c r="H15" s="452" t="s">
        <v>570</v>
      </c>
      <c r="I15" s="452" t="s">
        <v>77</v>
      </c>
      <c r="J15" s="452" t="s">
        <v>77</v>
      </c>
      <c r="K15" s="452" t="s">
        <v>77</v>
      </c>
      <c r="L15" s="452" t="s">
        <v>571</v>
      </c>
      <c r="M15" s="454" t="s">
        <v>1543</v>
      </c>
      <c r="N15" s="671" t="s">
        <v>1876</v>
      </c>
      <c r="O15" s="333" t="s">
        <v>813</v>
      </c>
      <c r="P15" s="333" t="s">
        <v>1877</v>
      </c>
      <c r="Q15" s="333" t="s">
        <v>6</v>
      </c>
      <c r="R15" s="333" t="s">
        <v>6</v>
      </c>
      <c r="S15" s="333" t="s">
        <v>77</v>
      </c>
      <c r="T15" s="333" t="s">
        <v>77</v>
      </c>
      <c r="U15" s="333" t="s">
        <v>77</v>
      </c>
      <c r="V15" s="333" t="s">
        <v>6</v>
      </c>
      <c r="W15" s="333" t="s">
        <v>6</v>
      </c>
      <c r="X15" s="333" t="s">
        <v>6</v>
      </c>
      <c r="Y15" s="333" t="s">
        <v>1880</v>
      </c>
    </row>
    <row r="16" spans="1:25" ht="111" customHeight="1" x14ac:dyDescent="0.2">
      <c r="A16" s="195" t="s">
        <v>276</v>
      </c>
      <c r="B16" s="210" t="s">
        <v>1484</v>
      </c>
      <c r="C16" s="453" t="s">
        <v>79</v>
      </c>
      <c r="D16" s="452" t="s">
        <v>74</v>
      </c>
      <c r="E16" s="452" t="s">
        <v>582</v>
      </c>
      <c r="F16" s="452" t="s">
        <v>6</v>
      </c>
      <c r="G16" s="454" t="s">
        <v>578</v>
      </c>
      <c r="H16" s="452" t="s">
        <v>77</v>
      </c>
      <c r="I16" s="452" t="s">
        <v>77</v>
      </c>
      <c r="J16" s="452" t="s">
        <v>77</v>
      </c>
      <c r="K16" s="452" t="s">
        <v>77</v>
      </c>
      <c r="L16" s="452" t="s">
        <v>571</v>
      </c>
      <c r="M16" s="454" t="s">
        <v>1543</v>
      </c>
      <c r="N16" s="719" t="s">
        <v>1876</v>
      </c>
      <c r="O16" s="333" t="s">
        <v>1881</v>
      </c>
      <c r="P16" s="333" t="s">
        <v>1877</v>
      </c>
      <c r="Q16" s="333" t="s">
        <v>7</v>
      </c>
      <c r="R16" s="333" t="s">
        <v>7</v>
      </c>
      <c r="S16" s="333" t="s">
        <v>7</v>
      </c>
      <c r="T16" s="333" t="s">
        <v>6</v>
      </c>
      <c r="U16" s="333" t="s">
        <v>6</v>
      </c>
      <c r="V16" s="333" t="s">
        <v>6</v>
      </c>
      <c r="W16" s="333" t="s">
        <v>77</v>
      </c>
      <c r="X16" s="333" t="s">
        <v>7</v>
      </c>
      <c r="Y16" s="333" t="s">
        <v>1882</v>
      </c>
    </row>
    <row r="17" spans="13:21" x14ac:dyDescent="0.2">
      <c r="M17" s="188"/>
      <c r="N17" s="188"/>
      <c r="O17" s="65"/>
      <c r="P17" s="188"/>
      <c r="Q17" s="188"/>
      <c r="R17" s="188"/>
      <c r="S17" s="188"/>
      <c r="T17" s="188"/>
      <c r="U17" s="188"/>
    </row>
    <row r="18" spans="13:21" x14ac:dyDescent="0.2">
      <c r="M18" s="188"/>
      <c r="N18" s="188"/>
      <c r="O18" s="65"/>
      <c r="P18" s="188"/>
      <c r="Q18" s="188"/>
      <c r="R18" s="188"/>
      <c r="S18" s="188"/>
      <c r="T18" s="188"/>
      <c r="U18" s="188"/>
    </row>
    <row r="19" spans="13:21" x14ac:dyDescent="0.2">
      <c r="M19" s="188"/>
      <c r="N19" s="188"/>
      <c r="O19" s="65"/>
      <c r="P19" s="188"/>
      <c r="Q19" s="188"/>
      <c r="R19" s="188"/>
      <c r="S19" s="188"/>
      <c r="T19" s="188"/>
      <c r="U19" s="188"/>
    </row>
    <row r="20" spans="13:21" x14ac:dyDescent="0.2">
      <c r="M20" s="188"/>
      <c r="N20" s="188"/>
      <c r="O20" s="188"/>
      <c r="P20" s="188"/>
      <c r="Q20" s="188"/>
      <c r="R20" s="188"/>
      <c r="S20" s="188"/>
      <c r="T20" s="188"/>
      <c r="U20" s="188"/>
    </row>
    <row r="21" spans="13:21" x14ac:dyDescent="0.2">
      <c r="M21" s="188"/>
      <c r="N21" s="188"/>
      <c r="O21" s="188"/>
      <c r="P21" s="188"/>
      <c r="Q21" s="188"/>
    </row>
    <row r="22" spans="13:21" x14ac:dyDescent="0.2">
      <c r="M22" s="188"/>
      <c r="N22" s="188"/>
      <c r="O22" s="188"/>
      <c r="P22" s="188"/>
      <c r="Q22" s="188"/>
    </row>
    <row r="23" spans="13:21" x14ac:dyDescent="0.2">
      <c r="M23" s="188"/>
      <c r="N23" s="188"/>
      <c r="O23" s="188"/>
      <c r="P23" s="188"/>
      <c r="Q23" s="188"/>
    </row>
    <row r="24" spans="13:21" x14ac:dyDescent="0.2">
      <c r="M24" s="188"/>
      <c r="N24" s="188"/>
      <c r="O24" s="188"/>
      <c r="P24" s="188"/>
      <c r="Q24" s="188"/>
    </row>
    <row r="25" spans="13:21" x14ac:dyDescent="0.2">
      <c r="M25" s="188"/>
      <c r="N25" s="188"/>
      <c r="O25" s="188"/>
      <c r="P25" s="188"/>
      <c r="Q25" s="188"/>
    </row>
    <row r="26" spans="13:21" x14ac:dyDescent="0.2">
      <c r="M26" s="188"/>
      <c r="N26" s="188"/>
      <c r="O26" s="188"/>
      <c r="P26" s="188"/>
      <c r="Q26" s="188"/>
    </row>
    <row r="27" spans="13:21" x14ac:dyDescent="0.2">
      <c r="M27" s="188"/>
      <c r="N27" s="188"/>
      <c r="O27" s="188"/>
      <c r="P27" s="188"/>
      <c r="Q27" s="188"/>
    </row>
    <row r="28" spans="13:21" x14ac:dyDescent="0.2">
      <c r="M28" s="188"/>
      <c r="N28" s="188"/>
      <c r="O28" s="188"/>
      <c r="P28" s="188"/>
      <c r="Q28" s="188"/>
    </row>
    <row r="29" spans="13:21" x14ac:dyDescent="0.2">
      <c r="M29" s="188"/>
      <c r="N29" s="188"/>
      <c r="O29" s="188"/>
      <c r="P29" s="188"/>
      <c r="Q29" s="188"/>
    </row>
    <row r="30" spans="13:21" x14ac:dyDescent="0.2">
      <c r="M30" s="188"/>
      <c r="N30" s="188"/>
      <c r="O30" s="188"/>
      <c r="P30" s="188"/>
      <c r="Q30" s="188"/>
    </row>
    <row r="31" spans="13:21" x14ac:dyDescent="0.2">
      <c r="M31" s="188"/>
      <c r="N31" s="188"/>
      <c r="O31" s="188"/>
      <c r="P31" s="188"/>
      <c r="Q31" s="188"/>
    </row>
    <row r="32" spans="13:21" x14ac:dyDescent="0.2">
      <c r="M32" s="188"/>
      <c r="N32" s="188"/>
      <c r="O32" s="188"/>
      <c r="P32" s="188"/>
      <c r="Q32" s="188"/>
    </row>
    <row r="33" spans="13:17" x14ac:dyDescent="0.2">
      <c r="M33" s="188"/>
      <c r="N33" s="188"/>
      <c r="O33" s="188"/>
      <c r="P33" s="188"/>
      <c r="Q33" s="188"/>
    </row>
    <row r="34" spans="13:17" x14ac:dyDescent="0.2">
      <c r="M34" s="188"/>
      <c r="N34" s="188"/>
      <c r="O34" s="188"/>
      <c r="P34" s="188"/>
      <c r="Q34" s="188"/>
    </row>
    <row r="35" spans="13:17" x14ac:dyDescent="0.2">
      <c r="M35" s="188"/>
      <c r="N35" s="188"/>
      <c r="O35" s="188"/>
      <c r="P35" s="188"/>
      <c r="Q35" s="188"/>
    </row>
    <row r="36" spans="13:17" x14ac:dyDescent="0.2">
      <c r="M36" s="188"/>
      <c r="N36" s="188"/>
      <c r="O36" s="188"/>
      <c r="P36" s="188"/>
      <c r="Q36" s="188"/>
    </row>
    <row r="37" spans="13:17" x14ac:dyDescent="0.2">
      <c r="M37" s="188"/>
      <c r="N37" s="188"/>
      <c r="O37" s="188"/>
      <c r="P37" s="188"/>
      <c r="Q37" s="188"/>
    </row>
    <row r="38" spans="13:17" x14ac:dyDescent="0.2">
      <c r="M38" s="188"/>
      <c r="N38" s="188"/>
      <c r="O38" s="188"/>
      <c r="P38" s="188"/>
      <c r="Q38" s="188"/>
    </row>
    <row r="39" spans="13:17" x14ac:dyDescent="0.2">
      <c r="M39" s="188"/>
      <c r="N39" s="188"/>
      <c r="O39" s="188"/>
      <c r="P39" s="188"/>
      <c r="Q39" s="188"/>
    </row>
    <row r="40" spans="13:17" x14ac:dyDescent="0.2">
      <c r="M40" s="188"/>
      <c r="N40" s="188"/>
      <c r="O40" s="188"/>
      <c r="P40" s="188"/>
      <c r="Q40" s="188"/>
    </row>
    <row r="41" spans="13:17" x14ac:dyDescent="0.2">
      <c r="M41" s="188"/>
      <c r="N41" s="188"/>
      <c r="O41" s="188"/>
      <c r="P41" s="188"/>
      <c r="Q41" s="188"/>
    </row>
    <row r="42" spans="13:17" x14ac:dyDescent="0.2">
      <c r="M42" s="188"/>
      <c r="N42" s="188"/>
      <c r="O42" s="188"/>
      <c r="P42" s="188"/>
      <c r="Q42" s="188"/>
    </row>
    <row r="43" spans="13:17" x14ac:dyDescent="0.2">
      <c r="M43" s="188"/>
      <c r="N43" s="188"/>
      <c r="O43" s="188"/>
      <c r="P43" s="188"/>
      <c r="Q43" s="188"/>
    </row>
    <row r="44" spans="13:17" x14ac:dyDescent="0.2">
      <c r="M44" s="188"/>
      <c r="N44" s="188"/>
      <c r="O44" s="188"/>
      <c r="P44" s="188"/>
      <c r="Q44" s="188"/>
    </row>
    <row r="45" spans="13:17" x14ac:dyDescent="0.2">
      <c r="M45" s="188"/>
      <c r="N45" s="188"/>
      <c r="O45" s="188"/>
      <c r="P45" s="188"/>
      <c r="Q45" s="188"/>
    </row>
    <row r="46" spans="13:17" x14ac:dyDescent="0.2">
      <c r="M46" s="188"/>
      <c r="N46" s="188"/>
      <c r="O46" s="188"/>
      <c r="P46" s="188"/>
      <c r="Q46" s="188"/>
    </row>
    <row r="47" spans="13:17" x14ac:dyDescent="0.2">
      <c r="M47" s="188"/>
      <c r="N47" s="188"/>
      <c r="O47" s="188"/>
      <c r="P47" s="188"/>
      <c r="Q47" s="188"/>
    </row>
    <row r="48" spans="13:17" x14ac:dyDescent="0.2">
      <c r="M48" s="188"/>
      <c r="N48" s="188"/>
      <c r="O48" s="188"/>
      <c r="P48" s="188"/>
      <c r="Q48" s="188"/>
    </row>
    <row r="49" spans="13:17" x14ac:dyDescent="0.2">
      <c r="M49" s="188"/>
      <c r="N49" s="188"/>
      <c r="O49" s="188"/>
      <c r="P49" s="188"/>
      <c r="Q49" s="188"/>
    </row>
    <row r="50" spans="13:17" x14ac:dyDescent="0.2">
      <c r="M50" s="188"/>
      <c r="N50" s="188"/>
      <c r="O50" s="188"/>
      <c r="P50" s="188"/>
      <c r="Q50" s="188"/>
    </row>
    <row r="51" spans="13:17" x14ac:dyDescent="0.2">
      <c r="M51" s="188"/>
      <c r="N51" s="188"/>
      <c r="O51" s="188"/>
      <c r="P51" s="188"/>
      <c r="Q51" s="188"/>
    </row>
    <row r="52" spans="13:17" x14ac:dyDescent="0.2">
      <c r="M52" s="188"/>
      <c r="N52" s="188"/>
      <c r="O52" s="188"/>
      <c r="P52" s="188"/>
      <c r="Q52" s="188"/>
    </row>
    <row r="53" spans="13:17" x14ac:dyDescent="0.2">
      <c r="M53" s="188"/>
      <c r="N53" s="188"/>
      <c r="O53" s="188"/>
      <c r="P53" s="188"/>
      <c r="Q53" s="188"/>
    </row>
    <row r="54" spans="13:17" x14ac:dyDescent="0.2">
      <c r="M54" s="188"/>
      <c r="N54" s="188"/>
      <c r="O54" s="188"/>
      <c r="P54" s="188"/>
      <c r="Q54" s="188"/>
    </row>
    <row r="55" spans="13:17" x14ac:dyDescent="0.2">
      <c r="M55" s="188"/>
      <c r="N55" s="188"/>
      <c r="O55" s="188"/>
      <c r="P55" s="188"/>
      <c r="Q55" s="188"/>
    </row>
    <row r="56" spans="13:17" x14ac:dyDescent="0.2">
      <c r="M56" s="188"/>
      <c r="N56" s="188"/>
      <c r="O56" s="188"/>
      <c r="P56" s="188"/>
      <c r="Q56" s="188"/>
    </row>
    <row r="57" spans="13:17" x14ac:dyDescent="0.2">
      <c r="M57" s="188"/>
      <c r="N57" s="188"/>
      <c r="O57" s="188"/>
      <c r="P57" s="188"/>
      <c r="Q57" s="188"/>
    </row>
    <row r="58" spans="13:17" x14ac:dyDescent="0.2">
      <c r="M58" s="188"/>
      <c r="N58" s="188"/>
      <c r="O58" s="188"/>
      <c r="P58" s="188"/>
      <c r="Q58" s="188"/>
    </row>
    <row r="59" spans="13:17" x14ac:dyDescent="0.2">
      <c r="M59" s="188"/>
      <c r="N59" s="188"/>
      <c r="O59" s="188"/>
      <c r="P59" s="188"/>
      <c r="Q59" s="188"/>
    </row>
    <row r="60" spans="13:17" x14ac:dyDescent="0.2">
      <c r="M60" s="188"/>
      <c r="N60" s="188"/>
      <c r="O60" s="188"/>
      <c r="P60" s="188"/>
      <c r="Q60" s="188"/>
    </row>
    <row r="61" spans="13:17" x14ac:dyDescent="0.2">
      <c r="M61" s="188"/>
      <c r="N61" s="188"/>
      <c r="O61" s="188"/>
      <c r="P61" s="188"/>
      <c r="Q61" s="188"/>
    </row>
    <row r="62" spans="13:17" x14ac:dyDescent="0.2">
      <c r="M62" s="188"/>
      <c r="N62" s="188"/>
      <c r="O62" s="188"/>
      <c r="P62" s="188"/>
      <c r="Q62" s="188"/>
    </row>
    <row r="63" spans="13:17" x14ac:dyDescent="0.2">
      <c r="M63" s="188"/>
      <c r="N63" s="188"/>
      <c r="O63" s="188"/>
      <c r="P63" s="188"/>
      <c r="Q63" s="188"/>
    </row>
    <row r="64" spans="13:17" x14ac:dyDescent="0.2">
      <c r="M64" s="188"/>
      <c r="N64" s="188"/>
      <c r="O64" s="188"/>
      <c r="P64" s="188"/>
      <c r="Q64" s="188"/>
    </row>
    <row r="65" spans="13:17" x14ac:dyDescent="0.2">
      <c r="M65" s="188"/>
      <c r="N65" s="188"/>
      <c r="O65" s="188"/>
      <c r="P65" s="188"/>
      <c r="Q65" s="188"/>
    </row>
    <row r="66" spans="13:17" x14ac:dyDescent="0.2">
      <c r="M66" s="188"/>
      <c r="N66" s="188"/>
      <c r="O66" s="188"/>
      <c r="P66" s="188"/>
      <c r="Q66" s="188"/>
    </row>
    <row r="67" spans="13:17" x14ac:dyDescent="0.2">
      <c r="M67" s="188"/>
      <c r="N67" s="188"/>
      <c r="O67" s="188"/>
      <c r="P67" s="188"/>
      <c r="Q67" s="188"/>
    </row>
    <row r="68" spans="13:17" x14ac:dyDescent="0.2">
      <c r="M68" s="188"/>
      <c r="N68" s="188"/>
      <c r="O68" s="188"/>
      <c r="P68" s="188"/>
      <c r="Q68" s="188"/>
    </row>
    <row r="69" spans="13:17" x14ac:dyDescent="0.2">
      <c r="M69" s="188"/>
      <c r="N69" s="188"/>
      <c r="O69" s="188"/>
      <c r="P69" s="188"/>
      <c r="Q69" s="188"/>
    </row>
    <row r="70" spans="13:17" x14ac:dyDescent="0.2">
      <c r="M70" s="188"/>
      <c r="N70" s="188"/>
      <c r="O70" s="188"/>
      <c r="P70" s="188"/>
      <c r="Q70" s="188"/>
    </row>
    <row r="71" spans="13:17" x14ac:dyDescent="0.2">
      <c r="M71" s="188"/>
      <c r="N71" s="188"/>
      <c r="O71" s="188"/>
      <c r="P71" s="188"/>
      <c r="Q71" s="188"/>
    </row>
    <row r="72" spans="13:17" x14ac:dyDescent="0.2">
      <c r="M72" s="188"/>
      <c r="N72" s="188"/>
      <c r="O72" s="188"/>
      <c r="P72" s="188"/>
      <c r="Q72" s="188"/>
    </row>
    <row r="73" spans="13:17" x14ac:dyDescent="0.2">
      <c r="M73" s="188"/>
      <c r="N73" s="188"/>
      <c r="O73" s="188"/>
      <c r="P73" s="188"/>
      <c r="Q73" s="188"/>
    </row>
    <row r="74" spans="13:17" x14ac:dyDescent="0.2">
      <c r="M74" s="188"/>
      <c r="N74" s="188"/>
      <c r="O74" s="188"/>
      <c r="P74" s="188"/>
      <c r="Q74" s="188"/>
    </row>
    <row r="75" spans="13:17" x14ac:dyDescent="0.2">
      <c r="M75" s="188"/>
      <c r="N75" s="188"/>
      <c r="O75" s="188"/>
      <c r="P75" s="188"/>
      <c r="Q75" s="188"/>
    </row>
    <row r="76" spans="13:17" x14ac:dyDescent="0.2">
      <c r="M76" s="188"/>
      <c r="N76" s="188"/>
      <c r="O76" s="188"/>
      <c r="P76" s="188"/>
      <c r="Q76" s="188"/>
    </row>
    <row r="77" spans="13:17" x14ac:dyDescent="0.2">
      <c r="M77" s="188"/>
      <c r="N77" s="188"/>
      <c r="O77" s="188"/>
      <c r="P77" s="188"/>
      <c r="Q77" s="188"/>
    </row>
    <row r="78" spans="13:17" x14ac:dyDescent="0.2">
      <c r="M78" s="188"/>
      <c r="N78" s="188"/>
      <c r="O78" s="188"/>
      <c r="P78" s="188"/>
      <c r="Q78" s="188"/>
    </row>
    <row r="79" spans="13:17" x14ac:dyDescent="0.2">
      <c r="M79" s="188"/>
      <c r="N79" s="188"/>
      <c r="O79" s="188"/>
      <c r="P79" s="188"/>
      <c r="Q79" s="188"/>
    </row>
    <row r="80" spans="13:17" x14ac:dyDescent="0.2">
      <c r="M80" s="188"/>
      <c r="N80" s="188"/>
      <c r="O80" s="188"/>
      <c r="P80" s="188"/>
      <c r="Q80" s="188"/>
    </row>
    <row r="81" spans="13:17" x14ac:dyDescent="0.2">
      <c r="M81" s="188"/>
      <c r="N81" s="188"/>
      <c r="O81" s="188"/>
      <c r="P81" s="188"/>
      <c r="Q81" s="188"/>
    </row>
    <row r="82" spans="13:17" x14ac:dyDescent="0.2">
      <c r="M82" s="188"/>
      <c r="N82" s="188"/>
      <c r="O82" s="188"/>
      <c r="P82" s="188"/>
      <c r="Q82" s="188"/>
    </row>
    <row r="83" spans="13:17" x14ac:dyDescent="0.2">
      <c r="M83" s="188"/>
      <c r="N83" s="188"/>
      <c r="O83" s="188"/>
      <c r="P83" s="188"/>
      <c r="Q83" s="188"/>
    </row>
    <row r="84" spans="13:17" x14ac:dyDescent="0.2">
      <c r="M84" s="188"/>
      <c r="N84" s="188"/>
      <c r="O84" s="188"/>
      <c r="P84" s="188"/>
      <c r="Q84" s="188"/>
    </row>
    <row r="85" spans="13:17" x14ac:dyDescent="0.2">
      <c r="M85" s="188"/>
      <c r="N85" s="188"/>
      <c r="O85" s="188"/>
      <c r="P85" s="188"/>
      <c r="Q85" s="188"/>
    </row>
    <row r="86" spans="13:17" x14ac:dyDescent="0.2">
      <c r="M86" s="188"/>
      <c r="N86" s="188"/>
      <c r="O86" s="188"/>
      <c r="P86" s="188"/>
      <c r="Q86" s="188"/>
    </row>
    <row r="87" spans="13:17" x14ac:dyDescent="0.2">
      <c r="M87" s="188"/>
      <c r="N87" s="188"/>
      <c r="O87" s="188"/>
      <c r="P87" s="188"/>
      <c r="Q87" s="188"/>
    </row>
    <row r="88" spans="13:17" x14ac:dyDescent="0.2">
      <c r="M88" s="188"/>
      <c r="N88" s="188"/>
      <c r="O88" s="188"/>
      <c r="P88" s="188"/>
      <c r="Q88" s="188"/>
    </row>
    <row r="89" spans="13:17" x14ac:dyDescent="0.2">
      <c r="M89" s="188"/>
      <c r="N89" s="188"/>
      <c r="O89" s="188"/>
      <c r="P89" s="188"/>
      <c r="Q89" s="188"/>
    </row>
    <row r="90" spans="13:17" x14ac:dyDescent="0.2">
      <c r="M90" s="188"/>
      <c r="N90" s="188"/>
      <c r="O90" s="188"/>
      <c r="P90" s="188"/>
      <c r="Q90" s="188"/>
    </row>
    <row r="91" spans="13:17" x14ac:dyDescent="0.2">
      <c r="M91" s="188"/>
      <c r="N91" s="188"/>
      <c r="O91" s="188"/>
      <c r="P91" s="188"/>
      <c r="Q91" s="188"/>
    </row>
    <row r="92" spans="13:17" x14ac:dyDescent="0.2">
      <c r="M92" s="188"/>
      <c r="N92" s="188"/>
      <c r="O92" s="188"/>
      <c r="P92" s="188"/>
      <c r="Q92" s="188"/>
    </row>
    <row r="93" spans="13:17" x14ac:dyDescent="0.2">
      <c r="M93" s="188"/>
      <c r="N93" s="188"/>
      <c r="O93" s="188"/>
      <c r="P93" s="188"/>
      <c r="Q93" s="188"/>
    </row>
    <row r="94" spans="13:17" x14ac:dyDescent="0.2">
      <c r="M94" s="188"/>
      <c r="N94" s="188"/>
      <c r="O94" s="188"/>
      <c r="P94" s="188"/>
      <c r="Q94" s="188"/>
    </row>
    <row r="95" spans="13:17" x14ac:dyDescent="0.2">
      <c r="M95" s="188"/>
      <c r="N95" s="188"/>
      <c r="O95" s="188"/>
      <c r="P95" s="188"/>
      <c r="Q95" s="188"/>
    </row>
    <row r="96" spans="13:17" x14ac:dyDescent="0.2">
      <c r="M96" s="188"/>
      <c r="N96" s="188"/>
      <c r="O96" s="188"/>
      <c r="P96" s="188"/>
      <c r="Q96" s="188"/>
    </row>
    <row r="97" spans="13:17" x14ac:dyDescent="0.2">
      <c r="M97" s="188"/>
      <c r="N97" s="188"/>
      <c r="O97" s="188"/>
      <c r="P97" s="188"/>
      <c r="Q97" s="188"/>
    </row>
    <row r="98" spans="13:17" x14ac:dyDescent="0.2">
      <c r="M98" s="188"/>
      <c r="N98" s="188"/>
      <c r="O98" s="188"/>
      <c r="P98" s="188"/>
      <c r="Q98" s="188"/>
    </row>
    <row r="99" spans="13:17" x14ac:dyDescent="0.2">
      <c r="M99" s="188"/>
      <c r="N99" s="188"/>
      <c r="O99" s="188"/>
      <c r="P99" s="188"/>
      <c r="Q99" s="188"/>
    </row>
    <row r="100" spans="13:17" x14ac:dyDescent="0.2">
      <c r="M100" s="188"/>
      <c r="N100" s="188"/>
      <c r="O100" s="188"/>
      <c r="P100" s="188"/>
      <c r="Q100" s="188"/>
    </row>
    <row r="101" spans="13:17" x14ac:dyDescent="0.2">
      <c r="M101" s="188"/>
      <c r="N101" s="188"/>
      <c r="O101" s="188"/>
      <c r="P101" s="188"/>
      <c r="Q101" s="188"/>
    </row>
    <row r="102" spans="13:17" x14ac:dyDescent="0.2">
      <c r="M102" s="188"/>
      <c r="N102" s="188"/>
      <c r="O102" s="188"/>
      <c r="P102" s="188"/>
      <c r="Q102" s="188"/>
    </row>
    <row r="103" spans="13:17" x14ac:dyDescent="0.2">
      <c r="M103" s="188"/>
      <c r="N103" s="188"/>
      <c r="O103" s="188"/>
      <c r="P103" s="188"/>
      <c r="Q103" s="188"/>
    </row>
    <row r="104" spans="13:17" x14ac:dyDescent="0.2">
      <c r="M104" s="188"/>
      <c r="N104" s="188"/>
      <c r="O104" s="188"/>
      <c r="P104" s="188"/>
      <c r="Q104" s="188"/>
    </row>
    <row r="105" spans="13:17" x14ac:dyDescent="0.2">
      <c r="M105" s="188"/>
      <c r="N105" s="188"/>
      <c r="O105" s="188"/>
      <c r="P105" s="188"/>
      <c r="Q105" s="188"/>
    </row>
    <row r="106" spans="13:17" x14ac:dyDescent="0.2">
      <c r="M106" s="188"/>
      <c r="N106" s="188"/>
      <c r="O106" s="188"/>
      <c r="P106" s="188"/>
      <c r="Q106" s="188"/>
    </row>
    <row r="107" spans="13:17" x14ac:dyDescent="0.2">
      <c r="M107" s="188"/>
      <c r="N107" s="188"/>
      <c r="O107" s="188"/>
      <c r="P107" s="188"/>
      <c r="Q107" s="188"/>
    </row>
    <row r="108" spans="13:17" x14ac:dyDescent="0.2">
      <c r="M108" s="188"/>
      <c r="N108" s="188"/>
      <c r="O108" s="188"/>
      <c r="P108" s="188"/>
      <c r="Q108" s="188"/>
    </row>
    <row r="109" spans="13:17" x14ac:dyDescent="0.2">
      <c r="M109" s="188"/>
      <c r="N109" s="188"/>
      <c r="O109" s="188"/>
      <c r="P109" s="188"/>
      <c r="Q109" s="188"/>
    </row>
    <row r="110" spans="13:17" x14ac:dyDescent="0.2">
      <c r="M110" s="188"/>
      <c r="N110" s="188"/>
      <c r="O110" s="188"/>
      <c r="P110" s="188"/>
      <c r="Q110" s="188"/>
    </row>
    <row r="111" spans="13:17" x14ac:dyDescent="0.2">
      <c r="M111" s="188"/>
      <c r="N111" s="188"/>
      <c r="O111" s="188"/>
      <c r="P111" s="188"/>
      <c r="Q111" s="188"/>
    </row>
    <row r="112" spans="13:17" x14ac:dyDescent="0.2">
      <c r="M112" s="188"/>
      <c r="N112" s="188"/>
      <c r="O112" s="188"/>
      <c r="P112" s="188"/>
      <c r="Q112" s="188"/>
    </row>
    <row r="113" spans="13:17" x14ac:dyDescent="0.2">
      <c r="M113" s="188"/>
      <c r="N113" s="188"/>
      <c r="O113" s="188"/>
      <c r="P113" s="188"/>
      <c r="Q113" s="188"/>
    </row>
    <row r="114" spans="13:17" x14ac:dyDescent="0.2">
      <c r="M114" s="188"/>
      <c r="N114" s="188"/>
      <c r="O114" s="188"/>
      <c r="P114" s="188"/>
      <c r="Q114" s="188"/>
    </row>
    <row r="115" spans="13:17" x14ac:dyDescent="0.2">
      <c r="M115" s="188"/>
      <c r="N115" s="188"/>
      <c r="O115" s="188"/>
      <c r="P115" s="188"/>
      <c r="Q115" s="188"/>
    </row>
    <row r="116" spans="13:17" x14ac:dyDescent="0.2">
      <c r="M116" s="188"/>
      <c r="N116" s="188"/>
      <c r="O116" s="188"/>
      <c r="P116" s="188"/>
      <c r="Q116" s="188"/>
    </row>
    <row r="117" spans="13:17" x14ac:dyDescent="0.2">
      <c r="M117" s="188"/>
      <c r="N117" s="188"/>
      <c r="O117" s="188"/>
      <c r="P117" s="188"/>
      <c r="Q117" s="188"/>
    </row>
    <row r="118" spans="13:17" x14ac:dyDescent="0.2">
      <c r="M118" s="188"/>
      <c r="N118" s="188"/>
      <c r="O118" s="188"/>
      <c r="P118" s="188"/>
      <c r="Q118" s="188"/>
    </row>
    <row r="119" spans="13:17" x14ac:dyDescent="0.2">
      <c r="M119" s="188"/>
      <c r="N119" s="188"/>
      <c r="O119" s="188"/>
      <c r="P119" s="188"/>
      <c r="Q119" s="188"/>
    </row>
    <row r="120" spans="13:17" x14ac:dyDescent="0.2">
      <c r="M120" s="188"/>
      <c r="N120" s="188"/>
      <c r="O120" s="188"/>
      <c r="P120" s="188"/>
      <c r="Q120" s="188"/>
    </row>
    <row r="121" spans="13:17" x14ac:dyDescent="0.2">
      <c r="M121" s="188"/>
      <c r="N121" s="188"/>
      <c r="O121" s="188"/>
      <c r="P121" s="188"/>
      <c r="Q121" s="188"/>
    </row>
    <row r="122" spans="13:17" x14ac:dyDescent="0.2">
      <c r="M122" s="188"/>
      <c r="N122" s="188"/>
      <c r="O122" s="188"/>
      <c r="P122" s="188"/>
      <c r="Q122" s="188"/>
    </row>
    <row r="123" spans="13:17" x14ac:dyDescent="0.2">
      <c r="M123" s="188"/>
      <c r="N123" s="188"/>
      <c r="O123" s="188"/>
      <c r="P123" s="188"/>
      <c r="Q123" s="188"/>
    </row>
    <row r="124" spans="13:17" x14ac:dyDescent="0.2">
      <c r="M124" s="188"/>
      <c r="N124" s="188"/>
      <c r="O124" s="188"/>
      <c r="P124" s="188"/>
      <c r="Q124" s="188"/>
    </row>
    <row r="125" spans="13:17" x14ac:dyDescent="0.2">
      <c r="M125" s="188"/>
      <c r="N125" s="188"/>
      <c r="O125" s="188"/>
      <c r="P125" s="188"/>
      <c r="Q125" s="188"/>
    </row>
    <row r="126" spans="13:17" x14ac:dyDescent="0.2">
      <c r="M126" s="188"/>
      <c r="N126" s="188"/>
      <c r="O126" s="188"/>
      <c r="P126" s="188"/>
      <c r="Q126" s="188"/>
    </row>
    <row r="127" spans="13:17" x14ac:dyDescent="0.2">
      <c r="M127" s="188"/>
      <c r="N127" s="188"/>
      <c r="O127" s="188"/>
      <c r="P127" s="188"/>
      <c r="Q127" s="188"/>
    </row>
    <row r="128" spans="13:17" x14ac:dyDescent="0.2">
      <c r="M128" s="188"/>
      <c r="N128" s="188"/>
      <c r="O128" s="188"/>
      <c r="P128" s="188"/>
      <c r="Q128" s="188"/>
    </row>
    <row r="129" spans="13:17" x14ac:dyDescent="0.2">
      <c r="M129" s="188"/>
      <c r="N129" s="188"/>
      <c r="O129" s="188"/>
      <c r="P129" s="188"/>
      <c r="Q129" s="188"/>
    </row>
    <row r="130" spans="13:17" x14ac:dyDescent="0.2">
      <c r="M130" s="188"/>
      <c r="N130" s="188"/>
      <c r="O130" s="188"/>
      <c r="P130" s="188"/>
      <c r="Q130" s="188"/>
    </row>
    <row r="131" spans="13:17" x14ac:dyDescent="0.2">
      <c r="M131" s="188"/>
      <c r="N131" s="188"/>
      <c r="O131" s="188"/>
      <c r="P131" s="188"/>
      <c r="Q131" s="188"/>
    </row>
    <row r="132" spans="13:17" x14ac:dyDescent="0.2">
      <c r="M132" s="188"/>
      <c r="N132" s="188"/>
      <c r="O132" s="188"/>
      <c r="P132" s="188"/>
      <c r="Q132" s="188"/>
    </row>
    <row r="133" spans="13:17" x14ac:dyDescent="0.2">
      <c r="M133" s="188"/>
      <c r="N133" s="188"/>
      <c r="O133" s="188"/>
      <c r="P133" s="188"/>
      <c r="Q133" s="188"/>
    </row>
    <row r="134" spans="13:17" x14ac:dyDescent="0.2">
      <c r="M134" s="188"/>
      <c r="N134" s="188"/>
      <c r="O134" s="188"/>
      <c r="P134" s="188"/>
      <c r="Q134" s="188"/>
    </row>
    <row r="135" spans="13:17" x14ac:dyDescent="0.2">
      <c r="M135" s="188"/>
      <c r="N135" s="188"/>
      <c r="O135" s="188"/>
      <c r="P135" s="188"/>
      <c r="Q135" s="188"/>
    </row>
    <row r="136" spans="13:17" x14ac:dyDescent="0.2">
      <c r="M136" s="188"/>
      <c r="N136" s="188"/>
      <c r="O136" s="188"/>
      <c r="P136" s="188"/>
      <c r="Q136" s="188"/>
    </row>
    <row r="137" spans="13:17" x14ac:dyDescent="0.2">
      <c r="M137" s="188"/>
      <c r="N137" s="188"/>
      <c r="O137" s="188"/>
      <c r="P137" s="188"/>
      <c r="Q137" s="188"/>
    </row>
    <row r="138" spans="13:17" x14ac:dyDescent="0.2">
      <c r="M138" s="188"/>
      <c r="N138" s="188"/>
      <c r="O138" s="188"/>
      <c r="P138" s="188"/>
      <c r="Q138" s="188"/>
    </row>
    <row r="139" spans="13:17" x14ac:dyDescent="0.2">
      <c r="M139" s="188"/>
      <c r="N139" s="188"/>
      <c r="O139" s="188"/>
      <c r="P139" s="188"/>
      <c r="Q139" s="188"/>
    </row>
    <row r="140" spans="13:17" x14ac:dyDescent="0.2">
      <c r="M140" s="188"/>
      <c r="N140" s="188"/>
      <c r="O140" s="188"/>
      <c r="P140" s="188"/>
      <c r="Q140" s="188"/>
    </row>
    <row r="141" spans="13:17" x14ac:dyDescent="0.2">
      <c r="M141" s="188"/>
      <c r="N141" s="188"/>
      <c r="O141" s="188"/>
      <c r="P141" s="188"/>
      <c r="Q141" s="188"/>
    </row>
    <row r="142" spans="13:17" x14ac:dyDescent="0.2">
      <c r="M142" s="188"/>
      <c r="N142" s="188"/>
      <c r="O142" s="188"/>
      <c r="P142" s="188"/>
      <c r="Q142" s="188"/>
    </row>
    <row r="143" spans="13:17" x14ac:dyDescent="0.2">
      <c r="M143" s="188"/>
      <c r="N143" s="188"/>
      <c r="O143" s="188"/>
      <c r="P143" s="188"/>
      <c r="Q143" s="188"/>
    </row>
    <row r="144" spans="13:17" x14ac:dyDescent="0.2">
      <c r="M144" s="188"/>
      <c r="N144" s="188"/>
      <c r="O144" s="188"/>
      <c r="P144" s="188"/>
      <c r="Q144" s="188"/>
    </row>
    <row r="145" spans="13:17" x14ac:dyDescent="0.2">
      <c r="M145" s="188"/>
      <c r="N145" s="188"/>
      <c r="O145" s="188"/>
      <c r="P145" s="188"/>
      <c r="Q145" s="188"/>
    </row>
    <row r="146" spans="13:17" x14ac:dyDescent="0.2">
      <c r="M146" s="188"/>
      <c r="N146" s="188"/>
      <c r="O146" s="188"/>
      <c r="P146" s="188"/>
      <c r="Q146" s="188"/>
    </row>
    <row r="147" spans="13:17" x14ac:dyDescent="0.2">
      <c r="M147" s="188"/>
      <c r="N147" s="188"/>
      <c r="O147" s="188"/>
      <c r="P147" s="188"/>
      <c r="Q147" s="188"/>
    </row>
    <row r="148" spans="13:17" x14ac:dyDescent="0.2">
      <c r="M148" s="188"/>
      <c r="N148" s="188"/>
      <c r="O148" s="188"/>
      <c r="P148" s="188"/>
      <c r="Q148" s="188"/>
    </row>
    <row r="149" spans="13:17" x14ac:dyDescent="0.2">
      <c r="M149" s="188"/>
      <c r="N149" s="188"/>
      <c r="O149" s="188"/>
      <c r="P149" s="188"/>
      <c r="Q149" s="188"/>
    </row>
    <row r="150" spans="13:17" x14ac:dyDescent="0.2">
      <c r="M150" s="188"/>
      <c r="N150" s="188"/>
      <c r="O150" s="188"/>
      <c r="P150" s="188"/>
      <c r="Q150" s="188"/>
    </row>
    <row r="151" spans="13:17" x14ac:dyDescent="0.2">
      <c r="M151" s="188"/>
      <c r="N151" s="188"/>
      <c r="O151" s="188"/>
      <c r="P151" s="188"/>
      <c r="Q151" s="188"/>
    </row>
    <row r="152" spans="13:17" x14ac:dyDescent="0.2">
      <c r="M152" s="188"/>
      <c r="N152" s="188"/>
      <c r="O152" s="188"/>
      <c r="P152" s="188"/>
      <c r="Q152" s="188"/>
    </row>
    <row r="153" spans="13:17" x14ac:dyDescent="0.2">
      <c r="M153" s="188"/>
      <c r="N153" s="188"/>
      <c r="O153" s="188"/>
      <c r="P153" s="188"/>
      <c r="Q153" s="188"/>
    </row>
    <row r="154" spans="13:17" x14ac:dyDescent="0.2">
      <c r="M154" s="188"/>
      <c r="N154" s="188"/>
      <c r="O154" s="188"/>
      <c r="P154" s="188"/>
      <c r="Q154" s="188"/>
    </row>
    <row r="155" spans="13:17" x14ac:dyDescent="0.2">
      <c r="M155" s="188"/>
      <c r="N155" s="188"/>
      <c r="O155" s="188"/>
      <c r="P155" s="188"/>
      <c r="Q155" s="188"/>
    </row>
    <row r="156" spans="13:17" x14ac:dyDescent="0.2">
      <c r="M156" s="188"/>
      <c r="N156" s="188"/>
      <c r="O156" s="188"/>
      <c r="P156" s="188"/>
      <c r="Q156" s="188"/>
    </row>
    <row r="157" spans="13:17" x14ac:dyDescent="0.2">
      <c r="M157" s="188"/>
      <c r="N157" s="188"/>
      <c r="O157" s="188"/>
      <c r="P157" s="188"/>
      <c r="Q157" s="188"/>
    </row>
    <row r="158" spans="13:17" x14ac:dyDescent="0.2">
      <c r="M158" s="188"/>
      <c r="N158" s="188"/>
      <c r="O158" s="188"/>
      <c r="P158" s="188"/>
      <c r="Q158" s="188"/>
    </row>
    <row r="159" spans="13:17" x14ac:dyDescent="0.2">
      <c r="M159" s="188"/>
      <c r="N159" s="188"/>
      <c r="O159" s="188"/>
      <c r="P159" s="188"/>
      <c r="Q159" s="188"/>
    </row>
    <row r="160" spans="13:17" x14ac:dyDescent="0.2">
      <c r="M160" s="188"/>
      <c r="N160" s="188"/>
      <c r="O160" s="188"/>
      <c r="P160" s="188"/>
      <c r="Q160" s="188"/>
    </row>
    <row r="161" spans="13:17" x14ac:dyDescent="0.2">
      <c r="M161" s="188"/>
      <c r="N161" s="188"/>
      <c r="O161" s="188"/>
      <c r="P161" s="188"/>
      <c r="Q161" s="188"/>
    </row>
    <row r="162" spans="13:17" x14ac:dyDescent="0.2">
      <c r="M162" s="188"/>
      <c r="N162" s="188"/>
      <c r="O162" s="188"/>
      <c r="P162" s="188"/>
      <c r="Q162" s="188"/>
    </row>
    <row r="163" spans="13:17" x14ac:dyDescent="0.2">
      <c r="M163" s="188"/>
      <c r="N163" s="188"/>
      <c r="O163" s="188"/>
      <c r="P163" s="188"/>
      <c r="Q163" s="188"/>
    </row>
    <row r="164" spans="13:17" x14ac:dyDescent="0.2">
      <c r="M164" s="188"/>
      <c r="N164" s="188"/>
      <c r="O164" s="188"/>
      <c r="P164" s="188"/>
      <c r="Q164" s="188"/>
    </row>
    <row r="165" spans="13:17" x14ac:dyDescent="0.2">
      <c r="M165" s="188"/>
      <c r="N165" s="188"/>
      <c r="O165" s="188"/>
      <c r="P165" s="188"/>
      <c r="Q165" s="188"/>
    </row>
    <row r="166" spans="13:17" x14ac:dyDescent="0.2">
      <c r="M166" s="188"/>
      <c r="N166" s="188"/>
      <c r="O166" s="188"/>
      <c r="P166" s="188"/>
      <c r="Q166" s="188"/>
    </row>
    <row r="167" spans="13:17" x14ac:dyDescent="0.2">
      <c r="M167" s="188"/>
      <c r="N167" s="188"/>
      <c r="O167" s="188"/>
      <c r="P167" s="188"/>
      <c r="Q167" s="188"/>
    </row>
    <row r="168" spans="13:17" x14ac:dyDescent="0.2">
      <c r="M168" s="188"/>
      <c r="N168" s="188"/>
      <c r="O168" s="188"/>
      <c r="P168" s="188"/>
      <c r="Q168" s="188"/>
    </row>
    <row r="169" spans="13:17" x14ac:dyDescent="0.2">
      <c r="M169" s="188"/>
      <c r="N169" s="188"/>
      <c r="O169" s="188"/>
      <c r="P169" s="188"/>
      <c r="Q169" s="188"/>
    </row>
    <row r="170" spans="13:17" x14ac:dyDescent="0.2">
      <c r="M170" s="188"/>
      <c r="N170" s="188"/>
      <c r="O170" s="188"/>
      <c r="P170" s="188"/>
      <c r="Q170" s="188"/>
    </row>
    <row r="171" spans="13:17" x14ac:dyDescent="0.2">
      <c r="M171" s="188"/>
      <c r="N171" s="188"/>
      <c r="O171" s="188"/>
      <c r="P171" s="188"/>
      <c r="Q171" s="188"/>
    </row>
    <row r="172" spans="13:17" x14ac:dyDescent="0.2">
      <c r="M172" s="188"/>
      <c r="N172" s="188"/>
      <c r="O172" s="188"/>
      <c r="P172" s="188"/>
      <c r="Q172" s="188"/>
    </row>
    <row r="173" spans="13:17" x14ac:dyDescent="0.2">
      <c r="M173" s="188"/>
      <c r="N173" s="188"/>
      <c r="O173" s="188"/>
      <c r="P173" s="188"/>
      <c r="Q173" s="188"/>
    </row>
    <row r="174" spans="13:17" x14ac:dyDescent="0.2">
      <c r="M174" s="188"/>
      <c r="N174" s="188"/>
      <c r="O174" s="188"/>
      <c r="P174" s="188"/>
      <c r="Q174" s="188"/>
    </row>
    <row r="175" spans="13:17" x14ac:dyDescent="0.2">
      <c r="M175" s="188"/>
      <c r="N175" s="188"/>
      <c r="O175" s="188"/>
      <c r="P175" s="188"/>
      <c r="Q175" s="188"/>
    </row>
    <row r="176" spans="13:17" x14ac:dyDescent="0.2">
      <c r="M176" s="188"/>
      <c r="N176" s="188"/>
      <c r="O176" s="188"/>
      <c r="P176" s="188"/>
      <c r="Q176" s="188"/>
    </row>
    <row r="177" spans="13:17" x14ac:dyDescent="0.2">
      <c r="M177" s="188"/>
      <c r="N177" s="188"/>
      <c r="O177" s="188"/>
      <c r="P177" s="188"/>
      <c r="Q177" s="188"/>
    </row>
    <row r="178" spans="13:17" x14ac:dyDescent="0.2">
      <c r="M178" s="188"/>
      <c r="N178" s="188"/>
      <c r="O178" s="188"/>
      <c r="P178" s="188"/>
      <c r="Q178" s="188"/>
    </row>
    <row r="179" spans="13:17" x14ac:dyDescent="0.2">
      <c r="M179" s="188"/>
      <c r="N179" s="188"/>
      <c r="O179" s="188"/>
      <c r="P179" s="188"/>
      <c r="Q179" s="188"/>
    </row>
    <row r="180" spans="13:17" x14ac:dyDescent="0.2">
      <c r="M180" s="188"/>
      <c r="N180" s="188"/>
      <c r="O180" s="188"/>
      <c r="P180" s="188"/>
      <c r="Q180" s="188"/>
    </row>
    <row r="181" spans="13:17" x14ac:dyDescent="0.2">
      <c r="M181" s="188"/>
      <c r="N181" s="188"/>
      <c r="O181" s="188"/>
      <c r="P181" s="188"/>
      <c r="Q181" s="188"/>
    </row>
    <row r="182" spans="13:17" x14ac:dyDescent="0.2">
      <c r="M182" s="188"/>
      <c r="N182" s="188"/>
      <c r="O182" s="188"/>
      <c r="P182" s="188"/>
      <c r="Q182" s="188"/>
    </row>
    <row r="183" spans="13:17" x14ac:dyDescent="0.2">
      <c r="M183" s="188"/>
      <c r="N183" s="188"/>
      <c r="O183" s="188"/>
      <c r="P183" s="188"/>
      <c r="Q183" s="188"/>
    </row>
    <row r="184" spans="13:17" x14ac:dyDescent="0.2">
      <c r="M184" s="188"/>
      <c r="N184" s="188"/>
      <c r="O184" s="188"/>
      <c r="P184" s="188"/>
      <c r="Q184" s="188"/>
    </row>
    <row r="185" spans="13:17" x14ac:dyDescent="0.2">
      <c r="M185" s="188"/>
      <c r="N185" s="188"/>
      <c r="O185" s="188"/>
      <c r="P185" s="188"/>
      <c r="Q185" s="188"/>
    </row>
    <row r="186" spans="13:17" x14ac:dyDescent="0.2">
      <c r="M186" s="188"/>
      <c r="N186" s="188"/>
      <c r="O186" s="188"/>
      <c r="P186" s="188"/>
      <c r="Q186" s="188"/>
    </row>
    <row r="187" spans="13:17" x14ac:dyDescent="0.2">
      <c r="M187" s="188"/>
      <c r="N187" s="188"/>
      <c r="O187" s="188"/>
      <c r="P187" s="188"/>
      <c r="Q187" s="188"/>
    </row>
    <row r="188" spans="13:17" x14ac:dyDescent="0.2">
      <c r="M188" s="188"/>
      <c r="N188" s="188"/>
      <c r="O188" s="188"/>
      <c r="P188" s="188"/>
      <c r="Q188" s="188"/>
    </row>
    <row r="189" spans="13:17" x14ac:dyDescent="0.2">
      <c r="M189" s="188"/>
      <c r="N189" s="188"/>
      <c r="O189" s="188"/>
      <c r="P189" s="188"/>
      <c r="Q189" s="188"/>
    </row>
    <row r="190" spans="13:17" x14ac:dyDescent="0.2">
      <c r="M190" s="188"/>
      <c r="N190" s="188"/>
      <c r="O190" s="188"/>
      <c r="P190" s="188"/>
      <c r="Q190" s="188"/>
    </row>
    <row r="191" spans="13:17" x14ac:dyDescent="0.2">
      <c r="M191" s="188"/>
      <c r="N191" s="188"/>
      <c r="O191" s="188"/>
      <c r="P191" s="188"/>
      <c r="Q191" s="188"/>
    </row>
    <row r="192" spans="13:17" x14ac:dyDescent="0.2">
      <c r="M192" s="188"/>
      <c r="N192" s="188"/>
      <c r="O192" s="188"/>
      <c r="P192" s="188"/>
      <c r="Q192" s="188"/>
    </row>
    <row r="193" spans="13:17" x14ac:dyDescent="0.2">
      <c r="M193" s="188"/>
      <c r="N193" s="188"/>
      <c r="O193" s="188"/>
      <c r="P193" s="188"/>
      <c r="Q193" s="188"/>
    </row>
    <row r="194" spans="13:17" x14ac:dyDescent="0.2">
      <c r="M194" s="188"/>
      <c r="N194" s="188"/>
      <c r="O194" s="188"/>
      <c r="P194" s="188"/>
      <c r="Q194" s="188"/>
    </row>
    <row r="195" spans="13:17" x14ac:dyDescent="0.2">
      <c r="M195" s="188"/>
      <c r="N195" s="188"/>
      <c r="O195" s="188"/>
      <c r="P195" s="188"/>
      <c r="Q195" s="188"/>
    </row>
    <row r="196" spans="13:17" x14ac:dyDescent="0.2">
      <c r="M196" s="188"/>
      <c r="N196" s="188"/>
      <c r="O196" s="188"/>
      <c r="P196" s="188"/>
      <c r="Q196" s="188"/>
    </row>
    <row r="197" spans="13:17" x14ac:dyDescent="0.2">
      <c r="M197" s="188"/>
      <c r="N197" s="188"/>
      <c r="O197" s="188"/>
      <c r="P197" s="188"/>
      <c r="Q197" s="188"/>
    </row>
    <row r="198" spans="13:17" x14ac:dyDescent="0.2">
      <c r="M198" s="188"/>
      <c r="N198" s="188"/>
      <c r="O198" s="188"/>
      <c r="P198" s="188"/>
      <c r="Q198" s="188"/>
    </row>
    <row r="199" spans="13:17" x14ac:dyDescent="0.2">
      <c r="M199" s="188"/>
      <c r="N199" s="188"/>
      <c r="O199" s="188"/>
      <c r="P199" s="188"/>
      <c r="Q199" s="188"/>
    </row>
    <row r="200" spans="13:17" x14ac:dyDescent="0.2">
      <c r="M200" s="188"/>
      <c r="N200" s="188"/>
      <c r="O200" s="188"/>
      <c r="P200" s="188"/>
      <c r="Q200" s="188"/>
    </row>
    <row r="201" spans="13:17" x14ac:dyDescent="0.2">
      <c r="M201" s="188"/>
      <c r="N201" s="188"/>
      <c r="O201" s="188"/>
      <c r="P201" s="188"/>
      <c r="Q201" s="188"/>
    </row>
    <row r="202" spans="13:17" x14ac:dyDescent="0.2">
      <c r="M202" s="188"/>
      <c r="N202" s="188"/>
      <c r="O202" s="188"/>
      <c r="P202" s="188"/>
      <c r="Q202" s="188"/>
    </row>
    <row r="203" spans="13:17" x14ac:dyDescent="0.2">
      <c r="M203" s="188"/>
      <c r="N203" s="188"/>
      <c r="O203" s="188"/>
      <c r="P203" s="188"/>
      <c r="Q203" s="188"/>
    </row>
    <row r="204" spans="13:17" x14ac:dyDescent="0.2">
      <c r="M204" s="188"/>
      <c r="N204" s="188"/>
      <c r="O204" s="188"/>
      <c r="P204" s="188"/>
      <c r="Q204" s="188"/>
    </row>
    <row r="205" spans="13:17" x14ac:dyDescent="0.2">
      <c r="M205" s="188"/>
      <c r="N205" s="188"/>
      <c r="O205" s="188"/>
      <c r="P205" s="188"/>
      <c r="Q205" s="188"/>
    </row>
    <row r="206" spans="13:17" x14ac:dyDescent="0.2">
      <c r="M206" s="188"/>
      <c r="N206" s="188"/>
      <c r="O206" s="188"/>
      <c r="P206" s="188"/>
      <c r="Q206" s="188"/>
    </row>
    <row r="207" spans="13:17" x14ac:dyDescent="0.2">
      <c r="M207" s="188"/>
      <c r="N207" s="188"/>
      <c r="O207" s="188"/>
      <c r="P207" s="188"/>
      <c r="Q207" s="188"/>
    </row>
    <row r="208" spans="13:17" x14ac:dyDescent="0.2">
      <c r="M208" s="188"/>
      <c r="N208" s="188"/>
      <c r="O208" s="188"/>
      <c r="P208" s="188"/>
      <c r="Q208" s="188"/>
    </row>
    <row r="209" spans="13:17" x14ac:dyDescent="0.2">
      <c r="M209" s="188"/>
      <c r="N209" s="188"/>
      <c r="O209" s="188"/>
      <c r="P209" s="188"/>
      <c r="Q209" s="188"/>
    </row>
    <row r="210" spans="13:17" x14ac:dyDescent="0.2">
      <c r="M210" s="188"/>
      <c r="N210" s="188"/>
      <c r="O210" s="188"/>
      <c r="P210" s="188"/>
      <c r="Q210" s="188"/>
    </row>
    <row r="211" spans="13:17" x14ac:dyDescent="0.2">
      <c r="M211" s="188"/>
      <c r="N211" s="188"/>
      <c r="O211" s="188"/>
      <c r="P211" s="188"/>
      <c r="Q211" s="188"/>
    </row>
    <row r="212" spans="13:17" x14ac:dyDescent="0.2">
      <c r="M212" s="188"/>
      <c r="N212" s="188"/>
      <c r="O212" s="188"/>
      <c r="P212" s="188"/>
      <c r="Q212" s="188"/>
    </row>
    <row r="213" spans="13:17" x14ac:dyDescent="0.2">
      <c r="M213" s="188"/>
      <c r="N213" s="188"/>
      <c r="O213" s="188"/>
      <c r="P213" s="188"/>
      <c r="Q213" s="188"/>
    </row>
    <row r="214" spans="13:17" x14ac:dyDescent="0.2">
      <c r="M214" s="188"/>
      <c r="N214" s="188"/>
      <c r="O214" s="188"/>
      <c r="P214" s="188"/>
      <c r="Q214" s="188"/>
    </row>
    <row r="215" spans="13:17" x14ac:dyDescent="0.2">
      <c r="M215" s="188"/>
      <c r="N215" s="188"/>
      <c r="O215" s="188"/>
      <c r="P215" s="188"/>
      <c r="Q215" s="188"/>
    </row>
    <row r="216" spans="13:17" x14ac:dyDescent="0.2">
      <c r="M216" s="188"/>
      <c r="N216" s="188"/>
      <c r="O216" s="188"/>
      <c r="P216" s="188"/>
      <c r="Q216" s="188"/>
    </row>
    <row r="217" spans="13:17" x14ac:dyDescent="0.2">
      <c r="M217" s="188"/>
      <c r="N217" s="188"/>
      <c r="O217" s="188"/>
      <c r="P217" s="188"/>
      <c r="Q217" s="188"/>
    </row>
    <row r="218" spans="13:17" x14ac:dyDescent="0.2">
      <c r="M218" s="188"/>
      <c r="N218" s="188"/>
      <c r="O218" s="188"/>
      <c r="P218" s="188"/>
      <c r="Q218" s="188"/>
    </row>
    <row r="219" spans="13:17" x14ac:dyDescent="0.2">
      <c r="M219" s="188"/>
      <c r="N219" s="188"/>
      <c r="O219" s="188"/>
      <c r="P219" s="188"/>
      <c r="Q219" s="188"/>
    </row>
    <row r="220" spans="13:17" x14ac:dyDescent="0.2">
      <c r="M220" s="188"/>
      <c r="N220" s="188"/>
      <c r="O220" s="188"/>
      <c r="P220" s="188"/>
      <c r="Q220" s="188"/>
    </row>
    <row r="221" spans="13:17" x14ac:dyDescent="0.2">
      <c r="M221" s="188"/>
      <c r="N221" s="188"/>
      <c r="O221" s="188"/>
      <c r="P221" s="188"/>
      <c r="Q221" s="188"/>
    </row>
    <row r="222" spans="13:17" x14ac:dyDescent="0.2">
      <c r="M222" s="188"/>
      <c r="N222" s="188"/>
      <c r="O222" s="188"/>
      <c r="P222" s="188"/>
      <c r="Q222" s="188"/>
    </row>
    <row r="223" spans="13:17" x14ac:dyDescent="0.2">
      <c r="M223" s="188"/>
      <c r="N223" s="188"/>
      <c r="O223" s="188"/>
      <c r="P223" s="188"/>
      <c r="Q223" s="188"/>
    </row>
    <row r="224" spans="13:17" x14ac:dyDescent="0.2">
      <c r="M224" s="188"/>
      <c r="N224" s="188"/>
      <c r="O224" s="188"/>
      <c r="P224" s="188"/>
      <c r="Q224" s="188"/>
    </row>
    <row r="225" spans="13:17" x14ac:dyDescent="0.2">
      <c r="M225" s="188"/>
      <c r="N225" s="188"/>
      <c r="O225" s="188"/>
      <c r="P225" s="188"/>
      <c r="Q225" s="188"/>
    </row>
    <row r="226" spans="13:17" x14ac:dyDescent="0.2">
      <c r="M226" s="188"/>
      <c r="N226" s="188"/>
      <c r="O226" s="188"/>
      <c r="P226" s="188"/>
      <c r="Q226" s="188"/>
    </row>
    <row r="227" spans="13:17" x14ac:dyDescent="0.2">
      <c r="M227" s="188"/>
      <c r="N227" s="188"/>
      <c r="O227" s="188"/>
      <c r="P227" s="188"/>
      <c r="Q227" s="188"/>
    </row>
    <row r="228" spans="13:17" x14ac:dyDescent="0.2">
      <c r="M228" s="188"/>
      <c r="N228" s="188"/>
      <c r="O228" s="188"/>
      <c r="P228" s="188"/>
      <c r="Q228" s="188"/>
    </row>
    <row r="229" spans="13:17" x14ac:dyDescent="0.2">
      <c r="M229" s="188"/>
      <c r="N229" s="188"/>
      <c r="O229" s="188"/>
      <c r="P229" s="188"/>
      <c r="Q229" s="188"/>
    </row>
    <row r="230" spans="13:17" x14ac:dyDescent="0.2">
      <c r="M230" s="188"/>
      <c r="N230" s="188"/>
      <c r="O230" s="188"/>
      <c r="P230" s="188"/>
      <c r="Q230" s="188"/>
    </row>
    <row r="231" spans="13:17" x14ac:dyDescent="0.2">
      <c r="M231" s="188"/>
      <c r="N231" s="188"/>
      <c r="O231" s="188"/>
      <c r="P231" s="188"/>
      <c r="Q231" s="188"/>
    </row>
    <row r="232" spans="13:17" x14ac:dyDescent="0.2">
      <c r="M232" s="188"/>
      <c r="N232" s="188"/>
      <c r="O232" s="188"/>
      <c r="P232" s="188"/>
      <c r="Q232" s="188"/>
    </row>
    <row r="233" spans="13:17" x14ac:dyDescent="0.2">
      <c r="M233" s="188"/>
      <c r="N233" s="188"/>
      <c r="O233" s="188"/>
      <c r="P233" s="188"/>
      <c r="Q233" s="188"/>
    </row>
    <row r="234" spans="13:17" x14ac:dyDescent="0.2">
      <c r="M234" s="188"/>
      <c r="N234" s="188"/>
      <c r="O234" s="188"/>
      <c r="P234" s="188"/>
      <c r="Q234" s="188"/>
    </row>
    <row r="235" spans="13:17" x14ac:dyDescent="0.2">
      <c r="M235" s="188"/>
      <c r="N235" s="188"/>
      <c r="O235" s="188"/>
      <c r="P235" s="188"/>
      <c r="Q235" s="188"/>
    </row>
    <row r="236" spans="13:17" x14ac:dyDescent="0.2">
      <c r="M236" s="188"/>
      <c r="N236" s="188"/>
      <c r="O236" s="188"/>
      <c r="P236" s="188"/>
      <c r="Q236" s="188"/>
    </row>
    <row r="237" spans="13:17" x14ac:dyDescent="0.2">
      <c r="M237" s="188"/>
      <c r="N237" s="188"/>
      <c r="O237" s="188"/>
      <c r="P237" s="188"/>
      <c r="Q237" s="188"/>
    </row>
    <row r="238" spans="13:17" x14ac:dyDescent="0.2">
      <c r="M238" s="188"/>
      <c r="N238" s="188"/>
      <c r="O238" s="188"/>
      <c r="P238" s="188"/>
      <c r="Q238" s="188"/>
    </row>
    <row r="239" spans="13:17" x14ac:dyDescent="0.2">
      <c r="M239" s="188"/>
      <c r="N239" s="188"/>
      <c r="O239" s="188"/>
      <c r="P239" s="188"/>
      <c r="Q239" s="188"/>
    </row>
    <row r="240" spans="13:17" x14ac:dyDescent="0.2">
      <c r="M240" s="188"/>
      <c r="N240" s="188"/>
      <c r="O240" s="188"/>
      <c r="P240" s="188"/>
      <c r="Q240" s="188"/>
    </row>
    <row r="241" spans="13:17" x14ac:dyDescent="0.2">
      <c r="M241" s="188"/>
      <c r="N241" s="188"/>
      <c r="O241" s="188"/>
      <c r="P241" s="188"/>
      <c r="Q241" s="188"/>
    </row>
    <row r="242" spans="13:17" x14ac:dyDescent="0.2">
      <c r="M242" s="188"/>
      <c r="N242" s="188"/>
      <c r="O242" s="188"/>
      <c r="P242" s="188"/>
      <c r="Q242" s="188"/>
    </row>
    <row r="243" spans="13:17" x14ac:dyDescent="0.2">
      <c r="M243" s="188"/>
      <c r="N243" s="188"/>
      <c r="O243" s="188"/>
      <c r="P243" s="188"/>
      <c r="Q243" s="188"/>
    </row>
    <row r="244" spans="13:17" x14ac:dyDescent="0.2">
      <c r="M244" s="188"/>
      <c r="N244" s="188"/>
      <c r="O244" s="188"/>
      <c r="P244" s="188"/>
      <c r="Q244" s="188"/>
    </row>
    <row r="245" spans="13:17" x14ac:dyDescent="0.2">
      <c r="M245" s="188"/>
      <c r="N245" s="188"/>
      <c r="O245" s="188"/>
      <c r="P245" s="188"/>
      <c r="Q245" s="188"/>
    </row>
    <row r="246" spans="13:17" x14ac:dyDescent="0.2">
      <c r="M246" s="188"/>
      <c r="N246" s="188"/>
      <c r="O246" s="188"/>
      <c r="P246" s="188"/>
      <c r="Q246" s="188"/>
    </row>
    <row r="247" spans="13:17" x14ac:dyDescent="0.2">
      <c r="M247" s="188"/>
      <c r="N247" s="188"/>
      <c r="O247" s="188"/>
      <c r="P247" s="188"/>
      <c r="Q247" s="188"/>
    </row>
    <row r="248" spans="13:17" x14ac:dyDescent="0.2">
      <c r="M248" s="188"/>
      <c r="N248" s="188"/>
      <c r="O248" s="188"/>
      <c r="P248" s="188"/>
      <c r="Q248" s="188"/>
    </row>
    <row r="249" spans="13:17" x14ac:dyDescent="0.2">
      <c r="M249" s="188"/>
      <c r="N249" s="188"/>
      <c r="O249" s="188"/>
      <c r="P249" s="188"/>
      <c r="Q249" s="188"/>
    </row>
    <row r="250" spans="13:17" x14ac:dyDescent="0.2">
      <c r="M250" s="188"/>
      <c r="N250" s="188"/>
      <c r="O250" s="188"/>
      <c r="P250" s="188"/>
      <c r="Q250" s="188"/>
    </row>
    <row r="251" spans="13:17" x14ac:dyDescent="0.2">
      <c r="M251" s="188"/>
      <c r="N251" s="188"/>
      <c r="O251" s="188"/>
      <c r="P251" s="188"/>
      <c r="Q251" s="188"/>
    </row>
    <row r="252" spans="13:17" x14ac:dyDescent="0.2">
      <c r="M252" s="188"/>
      <c r="N252" s="188"/>
      <c r="O252" s="188"/>
      <c r="P252" s="188"/>
      <c r="Q252" s="188"/>
    </row>
    <row r="253" spans="13:17" x14ac:dyDescent="0.2">
      <c r="M253" s="188"/>
      <c r="N253" s="188"/>
      <c r="O253" s="188"/>
      <c r="P253" s="188"/>
      <c r="Q253" s="188"/>
    </row>
    <row r="254" spans="13:17" x14ac:dyDescent="0.2">
      <c r="M254" s="188"/>
      <c r="N254" s="188"/>
      <c r="O254" s="188"/>
      <c r="P254" s="188"/>
      <c r="Q254" s="188"/>
    </row>
    <row r="255" spans="13:17" x14ac:dyDescent="0.2">
      <c r="M255" s="188"/>
      <c r="N255" s="188"/>
      <c r="O255" s="188"/>
      <c r="P255" s="188"/>
      <c r="Q255" s="188"/>
    </row>
    <row r="256" spans="13:17" x14ac:dyDescent="0.2">
      <c r="M256" s="188"/>
      <c r="N256" s="188"/>
      <c r="O256" s="188"/>
      <c r="P256" s="188"/>
      <c r="Q256" s="188"/>
    </row>
    <row r="257" spans="13:17" x14ac:dyDescent="0.2">
      <c r="M257" s="188"/>
      <c r="N257" s="188"/>
      <c r="O257" s="188"/>
      <c r="P257" s="188"/>
      <c r="Q257" s="188"/>
    </row>
    <row r="258" spans="13:17" x14ac:dyDescent="0.2">
      <c r="M258" s="188"/>
      <c r="N258" s="188"/>
      <c r="O258" s="188"/>
      <c r="P258" s="188"/>
      <c r="Q258" s="188"/>
    </row>
    <row r="259" spans="13:17" x14ac:dyDescent="0.2">
      <c r="M259" s="188"/>
      <c r="N259" s="188"/>
      <c r="O259" s="188"/>
      <c r="P259" s="188"/>
      <c r="Q259" s="188"/>
    </row>
    <row r="260" spans="13:17" x14ac:dyDescent="0.2">
      <c r="M260" s="188"/>
      <c r="N260" s="188"/>
      <c r="O260" s="188"/>
      <c r="P260" s="188"/>
      <c r="Q260" s="188"/>
    </row>
    <row r="261" spans="13:17" x14ac:dyDescent="0.2">
      <c r="M261" s="188"/>
      <c r="N261" s="188"/>
      <c r="O261" s="188"/>
      <c r="P261" s="188"/>
      <c r="Q261" s="188"/>
    </row>
    <row r="262" spans="13:17" x14ac:dyDescent="0.2">
      <c r="M262" s="188"/>
      <c r="N262" s="188"/>
      <c r="O262" s="188"/>
      <c r="P262" s="188"/>
      <c r="Q262" s="188"/>
    </row>
    <row r="263" spans="13:17" x14ac:dyDescent="0.2">
      <c r="M263" s="188"/>
      <c r="N263" s="188"/>
      <c r="O263" s="188"/>
      <c r="P263" s="188"/>
      <c r="Q263" s="188"/>
    </row>
    <row r="264" spans="13:17" x14ac:dyDescent="0.2">
      <c r="M264" s="188"/>
      <c r="N264" s="188"/>
      <c r="O264" s="188"/>
      <c r="P264" s="188"/>
      <c r="Q264" s="188"/>
    </row>
    <row r="265" spans="13:17" x14ac:dyDescent="0.2">
      <c r="M265" s="188"/>
      <c r="N265" s="188"/>
      <c r="O265" s="188"/>
      <c r="P265" s="188"/>
      <c r="Q265" s="188"/>
    </row>
    <row r="266" spans="13:17" x14ac:dyDescent="0.2">
      <c r="M266" s="188"/>
      <c r="N266" s="188"/>
      <c r="O266" s="188"/>
      <c r="P266" s="188"/>
      <c r="Q266" s="188"/>
    </row>
    <row r="267" spans="13:17" x14ac:dyDescent="0.2">
      <c r="M267" s="188"/>
      <c r="N267" s="188"/>
      <c r="O267" s="188"/>
      <c r="P267" s="188"/>
      <c r="Q267" s="188"/>
    </row>
    <row r="268" spans="13:17" x14ac:dyDescent="0.2">
      <c r="M268" s="188"/>
      <c r="N268" s="188"/>
      <c r="O268" s="188"/>
      <c r="P268" s="188"/>
      <c r="Q268" s="188"/>
    </row>
    <row r="269" spans="13:17" x14ac:dyDescent="0.2">
      <c r="M269" s="188"/>
      <c r="N269" s="188"/>
      <c r="O269" s="188"/>
      <c r="P269" s="188"/>
      <c r="Q269" s="188"/>
    </row>
    <row r="270" spans="13:17" x14ac:dyDescent="0.2">
      <c r="M270" s="188"/>
      <c r="N270" s="188"/>
      <c r="O270" s="188"/>
      <c r="P270" s="188"/>
      <c r="Q270" s="188"/>
    </row>
    <row r="271" spans="13:17" x14ac:dyDescent="0.2">
      <c r="M271" s="188"/>
      <c r="N271" s="188"/>
      <c r="O271" s="188"/>
      <c r="P271" s="188"/>
      <c r="Q271" s="188"/>
    </row>
    <row r="272" spans="13:17" x14ac:dyDescent="0.2">
      <c r="M272" s="188"/>
      <c r="N272" s="188"/>
      <c r="O272" s="188"/>
      <c r="P272" s="188"/>
      <c r="Q272" s="188"/>
    </row>
    <row r="273" spans="13:17" x14ac:dyDescent="0.2">
      <c r="M273" s="188"/>
      <c r="N273" s="188"/>
      <c r="O273" s="188"/>
      <c r="P273" s="188"/>
      <c r="Q273" s="188"/>
    </row>
    <row r="274" spans="13:17" x14ac:dyDescent="0.2">
      <c r="M274" s="188"/>
      <c r="N274" s="188"/>
      <c r="O274" s="188"/>
      <c r="P274" s="188"/>
      <c r="Q274" s="188"/>
    </row>
    <row r="275" spans="13:17" x14ac:dyDescent="0.2">
      <c r="M275" s="188"/>
      <c r="N275" s="188"/>
      <c r="O275" s="188"/>
      <c r="P275" s="188"/>
      <c r="Q275" s="188"/>
    </row>
    <row r="276" spans="13:17" x14ac:dyDescent="0.2">
      <c r="M276" s="188"/>
      <c r="N276" s="188"/>
      <c r="O276" s="188"/>
      <c r="P276" s="188"/>
      <c r="Q276" s="188"/>
    </row>
    <row r="277" spans="13:17" x14ac:dyDescent="0.2">
      <c r="M277" s="188"/>
      <c r="N277" s="188"/>
      <c r="O277" s="188"/>
      <c r="P277" s="188"/>
      <c r="Q277" s="188"/>
    </row>
    <row r="278" spans="13:17" x14ac:dyDescent="0.2">
      <c r="M278" s="188"/>
      <c r="N278" s="188"/>
      <c r="O278" s="188"/>
      <c r="P278" s="188"/>
      <c r="Q278" s="188"/>
    </row>
    <row r="279" spans="13:17" x14ac:dyDescent="0.2">
      <c r="M279" s="188"/>
      <c r="N279" s="188"/>
      <c r="O279" s="188"/>
      <c r="P279" s="188"/>
      <c r="Q279" s="188"/>
    </row>
    <row r="280" spans="13:17" x14ac:dyDescent="0.2">
      <c r="M280" s="188"/>
      <c r="N280" s="188"/>
      <c r="O280" s="188"/>
      <c r="P280" s="188"/>
      <c r="Q280" s="188"/>
    </row>
    <row r="281" spans="13:17" x14ac:dyDescent="0.2">
      <c r="M281" s="188"/>
      <c r="N281" s="188"/>
      <c r="O281" s="188"/>
      <c r="P281" s="188"/>
      <c r="Q281" s="188"/>
    </row>
    <row r="282" spans="13:17" x14ac:dyDescent="0.2">
      <c r="M282" s="188"/>
      <c r="N282" s="188"/>
      <c r="O282" s="188"/>
      <c r="P282" s="188"/>
      <c r="Q282" s="188"/>
    </row>
    <row r="283" spans="13:17" x14ac:dyDescent="0.2">
      <c r="M283" s="188"/>
      <c r="N283" s="188"/>
      <c r="O283" s="188"/>
      <c r="P283" s="188"/>
      <c r="Q283" s="188"/>
    </row>
    <row r="284" spans="13:17" x14ac:dyDescent="0.2">
      <c r="M284" s="188"/>
      <c r="N284" s="188"/>
      <c r="O284" s="188"/>
      <c r="P284" s="188"/>
      <c r="Q284" s="188"/>
    </row>
    <row r="285" spans="13:17" x14ac:dyDescent="0.2">
      <c r="M285" s="188"/>
      <c r="N285" s="188"/>
      <c r="O285" s="188"/>
      <c r="P285" s="188"/>
      <c r="Q285" s="188"/>
    </row>
    <row r="286" spans="13:17" x14ac:dyDescent="0.2">
      <c r="M286" s="188"/>
      <c r="N286" s="188"/>
      <c r="O286" s="188"/>
      <c r="P286" s="188"/>
      <c r="Q286" s="188"/>
    </row>
    <row r="287" spans="13:17" x14ac:dyDescent="0.2">
      <c r="M287" s="188"/>
      <c r="N287" s="188"/>
      <c r="O287" s="188"/>
      <c r="P287" s="188"/>
      <c r="Q287" s="188"/>
    </row>
    <row r="288" spans="13:17" x14ac:dyDescent="0.2">
      <c r="M288" s="188"/>
      <c r="N288" s="188"/>
      <c r="O288" s="188"/>
      <c r="P288" s="188"/>
      <c r="Q288" s="188"/>
    </row>
    <row r="289" spans="13:17" x14ac:dyDescent="0.2">
      <c r="M289" s="188"/>
      <c r="N289" s="188"/>
      <c r="O289" s="188"/>
      <c r="P289" s="188"/>
      <c r="Q289" s="188"/>
    </row>
    <row r="290" spans="13:17" x14ac:dyDescent="0.2">
      <c r="M290" s="188"/>
      <c r="N290" s="188"/>
      <c r="O290" s="188"/>
      <c r="P290" s="188"/>
      <c r="Q290" s="188"/>
    </row>
    <row r="291" spans="13:17" x14ac:dyDescent="0.2">
      <c r="M291" s="188"/>
      <c r="N291" s="188"/>
      <c r="O291" s="188"/>
      <c r="P291" s="188"/>
      <c r="Q291" s="188"/>
    </row>
    <row r="292" spans="13:17" x14ac:dyDescent="0.2">
      <c r="M292" s="188"/>
      <c r="N292" s="188"/>
      <c r="O292" s="188"/>
      <c r="P292" s="188"/>
      <c r="Q292" s="188"/>
    </row>
    <row r="293" spans="13:17" x14ac:dyDescent="0.2">
      <c r="M293" s="188"/>
      <c r="N293" s="188"/>
      <c r="O293" s="188"/>
      <c r="P293" s="188"/>
      <c r="Q293" s="188"/>
    </row>
    <row r="294" spans="13:17" x14ac:dyDescent="0.2">
      <c r="M294" s="188"/>
      <c r="N294" s="188"/>
      <c r="O294" s="188"/>
      <c r="P294" s="188"/>
      <c r="Q294" s="188"/>
    </row>
    <row r="295" spans="13:17" x14ac:dyDescent="0.2">
      <c r="M295" s="188"/>
      <c r="N295" s="188"/>
      <c r="O295" s="188"/>
      <c r="P295" s="188"/>
      <c r="Q295" s="188"/>
    </row>
    <row r="296" spans="13:17" x14ac:dyDescent="0.2">
      <c r="M296" s="188"/>
      <c r="N296" s="188"/>
      <c r="O296" s="188"/>
      <c r="P296" s="188"/>
      <c r="Q296" s="188"/>
    </row>
    <row r="297" spans="13:17" x14ac:dyDescent="0.2">
      <c r="M297" s="188"/>
      <c r="N297" s="188"/>
      <c r="O297" s="188"/>
      <c r="P297" s="188"/>
      <c r="Q297" s="188"/>
    </row>
    <row r="298" spans="13:17" x14ac:dyDescent="0.2">
      <c r="M298" s="188"/>
      <c r="N298" s="188"/>
      <c r="O298" s="188"/>
      <c r="P298" s="188"/>
      <c r="Q298" s="188"/>
    </row>
    <row r="299" spans="13:17" x14ac:dyDescent="0.2">
      <c r="M299" s="188"/>
      <c r="N299" s="188"/>
      <c r="O299" s="188"/>
      <c r="P299" s="188"/>
      <c r="Q299" s="188"/>
    </row>
    <row r="300" spans="13:17" x14ac:dyDescent="0.2">
      <c r="M300" s="188"/>
      <c r="N300" s="188"/>
      <c r="O300" s="188"/>
      <c r="P300" s="188"/>
      <c r="Q300" s="188"/>
    </row>
    <row r="301" spans="13:17" x14ac:dyDescent="0.2">
      <c r="M301" s="188"/>
      <c r="N301" s="188"/>
      <c r="O301" s="188"/>
      <c r="P301" s="188"/>
      <c r="Q301" s="188"/>
    </row>
    <row r="302" spans="13:17" x14ac:dyDescent="0.2">
      <c r="M302" s="188"/>
      <c r="N302" s="188"/>
      <c r="O302" s="188"/>
      <c r="P302" s="188"/>
      <c r="Q302" s="188"/>
    </row>
    <row r="303" spans="13:17" x14ac:dyDescent="0.2">
      <c r="M303" s="188"/>
      <c r="N303" s="188"/>
      <c r="O303" s="188"/>
      <c r="P303" s="188"/>
      <c r="Q303" s="188"/>
    </row>
    <row r="304" spans="13:17" x14ac:dyDescent="0.2">
      <c r="M304" s="188"/>
      <c r="N304" s="188"/>
      <c r="O304" s="188"/>
      <c r="P304" s="188"/>
      <c r="Q304" s="188"/>
    </row>
    <row r="305" spans="13:17" x14ac:dyDescent="0.2">
      <c r="M305" s="188"/>
      <c r="N305" s="188"/>
      <c r="O305" s="188"/>
      <c r="P305" s="188"/>
      <c r="Q305" s="188"/>
    </row>
    <row r="306" spans="13:17" x14ac:dyDescent="0.2">
      <c r="M306" s="188"/>
      <c r="N306" s="188"/>
      <c r="O306" s="188"/>
      <c r="P306" s="188"/>
      <c r="Q306" s="188"/>
    </row>
    <row r="307" spans="13:17" x14ac:dyDescent="0.2">
      <c r="M307" s="188"/>
      <c r="N307" s="188"/>
      <c r="O307" s="188"/>
      <c r="P307" s="188"/>
      <c r="Q307" s="188"/>
    </row>
    <row r="308" spans="13:17" x14ac:dyDescent="0.2">
      <c r="M308" s="188"/>
      <c r="N308" s="188"/>
      <c r="O308" s="188"/>
      <c r="P308" s="188"/>
      <c r="Q308" s="188"/>
    </row>
    <row r="309" spans="13:17" x14ac:dyDescent="0.2">
      <c r="M309" s="188"/>
      <c r="N309" s="188"/>
      <c r="O309" s="188"/>
      <c r="P309" s="188"/>
      <c r="Q309" s="188"/>
    </row>
    <row r="310" spans="13:17" x14ac:dyDescent="0.2">
      <c r="M310" s="188"/>
      <c r="N310" s="188"/>
      <c r="O310" s="188"/>
      <c r="P310" s="188"/>
      <c r="Q310" s="188"/>
    </row>
    <row r="311" spans="13:17" x14ac:dyDescent="0.2">
      <c r="M311" s="188"/>
      <c r="N311" s="188"/>
      <c r="O311" s="188"/>
      <c r="P311" s="188"/>
      <c r="Q311" s="188"/>
    </row>
    <row r="312" spans="13:17" x14ac:dyDescent="0.2">
      <c r="M312" s="188"/>
      <c r="N312" s="188"/>
      <c r="O312" s="188"/>
      <c r="P312" s="188"/>
      <c r="Q312" s="188"/>
    </row>
    <row r="313" spans="13:17" x14ac:dyDescent="0.2">
      <c r="M313" s="188"/>
      <c r="N313" s="188"/>
      <c r="O313" s="188"/>
      <c r="P313" s="188"/>
      <c r="Q313" s="188"/>
    </row>
    <row r="314" spans="13:17" x14ac:dyDescent="0.2">
      <c r="M314" s="188"/>
      <c r="N314" s="188"/>
      <c r="O314" s="188"/>
      <c r="P314" s="188"/>
      <c r="Q314" s="188"/>
    </row>
    <row r="315" spans="13:17" x14ac:dyDescent="0.2">
      <c r="M315" s="188"/>
      <c r="N315" s="188"/>
      <c r="O315" s="188"/>
      <c r="P315" s="188"/>
      <c r="Q315" s="188"/>
    </row>
    <row r="316" spans="13:17" x14ac:dyDescent="0.2">
      <c r="M316" s="188"/>
      <c r="N316" s="188"/>
      <c r="O316" s="188"/>
      <c r="P316" s="188"/>
      <c r="Q316" s="188"/>
    </row>
    <row r="317" spans="13:17" x14ac:dyDescent="0.2">
      <c r="M317" s="188"/>
      <c r="N317" s="188"/>
      <c r="O317" s="188"/>
      <c r="P317" s="188"/>
      <c r="Q317" s="188"/>
    </row>
    <row r="318" spans="13:17" x14ac:dyDescent="0.2">
      <c r="M318" s="188"/>
      <c r="N318" s="188"/>
      <c r="O318" s="188"/>
      <c r="P318" s="188"/>
      <c r="Q318" s="188"/>
    </row>
    <row r="319" spans="13:17" x14ac:dyDescent="0.2">
      <c r="M319" s="188"/>
      <c r="N319" s="188"/>
      <c r="O319" s="188"/>
      <c r="P319" s="188"/>
      <c r="Q319" s="188"/>
    </row>
    <row r="320" spans="13:17" x14ac:dyDescent="0.2">
      <c r="M320" s="188"/>
      <c r="N320" s="188"/>
      <c r="O320" s="188"/>
      <c r="P320" s="188"/>
      <c r="Q320" s="188"/>
    </row>
    <row r="321" spans="13:17" x14ac:dyDescent="0.2">
      <c r="M321" s="188"/>
      <c r="N321" s="188"/>
      <c r="O321" s="188"/>
      <c r="P321" s="188"/>
      <c r="Q321" s="188"/>
    </row>
    <row r="322" spans="13:17" x14ac:dyDescent="0.2">
      <c r="M322" s="188"/>
      <c r="N322" s="188"/>
      <c r="O322" s="188"/>
      <c r="P322" s="188"/>
      <c r="Q322" s="188"/>
    </row>
    <row r="323" spans="13:17" x14ac:dyDescent="0.2">
      <c r="M323" s="188"/>
      <c r="N323" s="188"/>
      <c r="O323" s="188"/>
      <c r="P323" s="188"/>
      <c r="Q323" s="188"/>
    </row>
    <row r="324" spans="13:17" x14ac:dyDescent="0.2">
      <c r="M324" s="188"/>
      <c r="N324" s="188"/>
      <c r="O324" s="188"/>
      <c r="P324" s="188"/>
      <c r="Q324" s="188"/>
    </row>
    <row r="325" spans="13:17" x14ac:dyDescent="0.2">
      <c r="M325" s="188"/>
      <c r="N325" s="188"/>
      <c r="O325" s="188"/>
      <c r="P325" s="188"/>
      <c r="Q325" s="188"/>
    </row>
    <row r="326" spans="13:17" x14ac:dyDescent="0.2">
      <c r="M326" s="188"/>
      <c r="N326" s="188"/>
      <c r="O326" s="188"/>
      <c r="P326" s="188"/>
      <c r="Q326" s="188"/>
    </row>
    <row r="327" spans="13:17" x14ac:dyDescent="0.2">
      <c r="M327" s="188"/>
      <c r="N327" s="188"/>
      <c r="O327" s="188"/>
      <c r="P327" s="188"/>
      <c r="Q327" s="188"/>
    </row>
    <row r="328" spans="13:17" x14ac:dyDescent="0.2">
      <c r="M328" s="188"/>
      <c r="N328" s="188"/>
      <c r="O328" s="188"/>
      <c r="P328" s="188"/>
      <c r="Q328" s="188"/>
    </row>
    <row r="329" spans="13:17" x14ac:dyDescent="0.2">
      <c r="M329" s="188"/>
      <c r="N329" s="188"/>
      <c r="O329" s="188"/>
      <c r="P329" s="188"/>
      <c r="Q329" s="188"/>
    </row>
    <row r="330" spans="13:17" x14ac:dyDescent="0.2">
      <c r="M330" s="188"/>
      <c r="N330" s="188"/>
      <c r="O330" s="188"/>
      <c r="P330" s="188"/>
      <c r="Q330" s="188"/>
    </row>
    <row r="331" spans="13:17" x14ac:dyDescent="0.2">
      <c r="M331" s="188"/>
      <c r="N331" s="188"/>
      <c r="O331" s="188"/>
      <c r="P331" s="188"/>
      <c r="Q331" s="188"/>
    </row>
    <row r="332" spans="13:17" x14ac:dyDescent="0.2">
      <c r="M332" s="188"/>
      <c r="N332" s="188"/>
      <c r="O332" s="188"/>
      <c r="P332" s="188"/>
      <c r="Q332" s="188"/>
    </row>
    <row r="333" spans="13:17" x14ac:dyDescent="0.2">
      <c r="M333" s="188"/>
      <c r="N333" s="188"/>
      <c r="O333" s="188"/>
      <c r="P333" s="188"/>
      <c r="Q333" s="188"/>
    </row>
    <row r="334" spans="13:17" x14ac:dyDescent="0.2">
      <c r="M334" s="188"/>
      <c r="N334" s="188"/>
      <c r="O334" s="188"/>
      <c r="P334" s="188"/>
      <c r="Q334" s="188"/>
    </row>
    <row r="335" spans="13:17" x14ac:dyDescent="0.2">
      <c r="M335" s="188"/>
      <c r="N335" s="188"/>
      <c r="O335" s="188"/>
      <c r="P335" s="188"/>
      <c r="Q335" s="188"/>
    </row>
    <row r="336" spans="13:17" x14ac:dyDescent="0.2">
      <c r="M336" s="188"/>
      <c r="N336" s="188"/>
      <c r="O336" s="188"/>
      <c r="P336" s="188"/>
      <c r="Q336" s="188"/>
    </row>
    <row r="337" spans="13:17" x14ac:dyDescent="0.2">
      <c r="M337" s="188"/>
      <c r="N337" s="188"/>
      <c r="O337" s="188"/>
      <c r="P337" s="188"/>
      <c r="Q337" s="188"/>
    </row>
    <row r="338" spans="13:17" x14ac:dyDescent="0.2">
      <c r="M338" s="188"/>
      <c r="N338" s="188"/>
      <c r="O338" s="188"/>
      <c r="P338" s="188"/>
      <c r="Q338" s="188"/>
    </row>
    <row r="339" spans="13:17" x14ac:dyDescent="0.2">
      <c r="M339" s="188"/>
      <c r="N339" s="188"/>
      <c r="O339" s="188"/>
      <c r="P339" s="188"/>
      <c r="Q339" s="188"/>
    </row>
    <row r="340" spans="13:17" x14ac:dyDescent="0.2">
      <c r="M340" s="188"/>
      <c r="N340" s="188"/>
      <c r="O340" s="188"/>
      <c r="P340" s="188"/>
      <c r="Q340" s="188"/>
    </row>
    <row r="341" spans="13:17" x14ac:dyDescent="0.2">
      <c r="M341" s="188"/>
      <c r="N341" s="188"/>
      <c r="O341" s="188"/>
      <c r="P341" s="188"/>
      <c r="Q341" s="188"/>
    </row>
    <row r="342" spans="13:17" x14ac:dyDescent="0.2">
      <c r="M342" s="188"/>
      <c r="N342" s="188"/>
      <c r="O342" s="188"/>
      <c r="P342" s="188"/>
      <c r="Q342" s="188"/>
    </row>
    <row r="343" spans="13:17" x14ac:dyDescent="0.2">
      <c r="M343" s="188"/>
      <c r="N343" s="188"/>
      <c r="O343" s="188"/>
      <c r="P343" s="188"/>
      <c r="Q343" s="188"/>
    </row>
    <row r="344" spans="13:17" x14ac:dyDescent="0.2">
      <c r="M344" s="188"/>
      <c r="N344" s="188"/>
      <c r="O344" s="188"/>
      <c r="P344" s="188"/>
      <c r="Q344" s="188"/>
    </row>
    <row r="345" spans="13:17" x14ac:dyDescent="0.2">
      <c r="M345" s="188"/>
      <c r="N345" s="188"/>
      <c r="O345" s="188"/>
      <c r="P345" s="188"/>
      <c r="Q345" s="188"/>
    </row>
    <row r="346" spans="13:17" x14ac:dyDescent="0.2">
      <c r="M346" s="188"/>
      <c r="N346" s="188"/>
      <c r="O346" s="188"/>
      <c r="P346" s="188"/>
      <c r="Q346" s="188"/>
    </row>
    <row r="347" spans="13:17" x14ac:dyDescent="0.2">
      <c r="M347" s="188"/>
      <c r="N347" s="188"/>
      <c r="O347" s="188"/>
      <c r="P347" s="188"/>
      <c r="Q347" s="188"/>
    </row>
    <row r="348" spans="13:17" x14ac:dyDescent="0.2">
      <c r="M348" s="188"/>
      <c r="N348" s="188"/>
      <c r="O348" s="188"/>
      <c r="P348" s="188"/>
      <c r="Q348" s="188"/>
    </row>
    <row r="349" spans="13:17" x14ac:dyDescent="0.2">
      <c r="M349" s="188"/>
      <c r="N349" s="188"/>
      <c r="O349" s="188"/>
      <c r="P349" s="188"/>
      <c r="Q349" s="188"/>
    </row>
    <row r="350" spans="13:17" x14ac:dyDescent="0.2">
      <c r="M350" s="188"/>
      <c r="N350" s="188"/>
      <c r="O350" s="188"/>
      <c r="P350" s="188"/>
      <c r="Q350" s="188"/>
    </row>
    <row r="351" spans="13:17" x14ac:dyDescent="0.2">
      <c r="M351" s="188"/>
      <c r="N351" s="188"/>
      <c r="O351" s="188"/>
      <c r="P351" s="188"/>
      <c r="Q351" s="188"/>
    </row>
    <row r="352" spans="13:17" x14ac:dyDescent="0.2">
      <c r="M352" s="188"/>
      <c r="N352" s="188"/>
      <c r="O352" s="188"/>
      <c r="P352" s="188"/>
      <c r="Q352" s="188"/>
    </row>
    <row r="353" spans="13:17" x14ac:dyDescent="0.2">
      <c r="M353" s="188"/>
      <c r="N353" s="188"/>
      <c r="O353" s="188"/>
      <c r="P353" s="188"/>
      <c r="Q353" s="188"/>
    </row>
    <row r="354" spans="13:17" x14ac:dyDescent="0.2">
      <c r="M354" s="188"/>
      <c r="N354" s="188"/>
      <c r="O354" s="188"/>
      <c r="P354" s="188"/>
      <c r="Q354" s="188"/>
    </row>
    <row r="355" spans="13:17" x14ac:dyDescent="0.2">
      <c r="M355" s="188"/>
      <c r="N355" s="188"/>
      <c r="O355" s="188"/>
      <c r="P355" s="188"/>
      <c r="Q355" s="188"/>
    </row>
    <row r="356" spans="13:17" x14ac:dyDescent="0.2">
      <c r="M356" s="188"/>
      <c r="N356" s="188"/>
      <c r="O356" s="188"/>
      <c r="P356" s="188"/>
      <c r="Q356" s="188"/>
    </row>
    <row r="357" spans="13:17" x14ac:dyDescent="0.2">
      <c r="M357" s="188"/>
      <c r="N357" s="188"/>
      <c r="O357" s="188"/>
      <c r="P357" s="188"/>
      <c r="Q357" s="188"/>
    </row>
    <row r="358" spans="13:17" x14ac:dyDescent="0.2">
      <c r="M358" s="188"/>
      <c r="N358" s="188"/>
      <c r="O358" s="188"/>
      <c r="P358" s="188"/>
      <c r="Q358" s="188"/>
    </row>
    <row r="359" spans="13:17" x14ac:dyDescent="0.2">
      <c r="M359" s="188"/>
      <c r="N359" s="188"/>
      <c r="O359" s="188"/>
      <c r="P359" s="188"/>
      <c r="Q359" s="188"/>
    </row>
    <row r="360" spans="13:17" x14ac:dyDescent="0.2">
      <c r="M360" s="188"/>
      <c r="N360" s="188"/>
      <c r="O360" s="188"/>
      <c r="P360" s="188"/>
      <c r="Q360" s="188"/>
    </row>
    <row r="361" spans="13:17" x14ac:dyDescent="0.2">
      <c r="M361" s="188"/>
      <c r="N361" s="188"/>
      <c r="O361" s="188"/>
      <c r="P361" s="188"/>
      <c r="Q361" s="188"/>
    </row>
    <row r="362" spans="13:17" x14ac:dyDescent="0.2">
      <c r="M362" s="188"/>
      <c r="N362" s="188"/>
      <c r="O362" s="188"/>
      <c r="P362" s="188"/>
      <c r="Q362" s="188"/>
    </row>
    <row r="363" spans="13:17" x14ac:dyDescent="0.2">
      <c r="M363" s="188"/>
      <c r="N363" s="188"/>
      <c r="O363" s="188"/>
      <c r="P363" s="188"/>
      <c r="Q363" s="188"/>
    </row>
    <row r="364" spans="13:17" x14ac:dyDescent="0.2">
      <c r="M364" s="188"/>
      <c r="N364" s="188"/>
      <c r="O364" s="188"/>
      <c r="P364" s="188"/>
      <c r="Q364" s="188"/>
    </row>
    <row r="365" spans="13:17" x14ac:dyDescent="0.2">
      <c r="M365" s="188"/>
      <c r="N365" s="188"/>
      <c r="O365" s="188"/>
      <c r="P365" s="188"/>
      <c r="Q365" s="188"/>
    </row>
    <row r="366" spans="13:17" x14ac:dyDescent="0.2">
      <c r="M366" s="188"/>
      <c r="N366" s="188"/>
      <c r="O366" s="188"/>
      <c r="P366" s="188"/>
      <c r="Q366" s="188"/>
    </row>
    <row r="367" spans="13:17" x14ac:dyDescent="0.2">
      <c r="M367" s="188"/>
      <c r="N367" s="188"/>
      <c r="O367" s="188"/>
      <c r="P367" s="188"/>
      <c r="Q367" s="188"/>
    </row>
    <row r="368" spans="13:17" x14ac:dyDescent="0.2">
      <c r="M368" s="188"/>
      <c r="N368" s="188"/>
      <c r="O368" s="188"/>
      <c r="P368" s="188"/>
      <c r="Q368" s="188"/>
    </row>
    <row r="369" spans="13:17" x14ac:dyDescent="0.2">
      <c r="M369" s="188"/>
      <c r="N369" s="188"/>
      <c r="O369" s="188"/>
      <c r="P369" s="188"/>
      <c r="Q369" s="188"/>
    </row>
    <row r="370" spans="13:17" x14ac:dyDescent="0.2">
      <c r="M370" s="188"/>
      <c r="N370" s="188"/>
      <c r="O370" s="188"/>
      <c r="P370" s="188"/>
      <c r="Q370" s="188"/>
    </row>
    <row r="371" spans="13:17" x14ac:dyDescent="0.2">
      <c r="M371" s="188"/>
      <c r="N371" s="188"/>
      <c r="O371" s="188"/>
      <c r="P371" s="188"/>
      <c r="Q371" s="188"/>
    </row>
    <row r="372" spans="13:17" x14ac:dyDescent="0.2">
      <c r="M372" s="188"/>
      <c r="N372" s="188"/>
      <c r="O372" s="188"/>
      <c r="P372" s="188"/>
      <c r="Q372" s="188"/>
    </row>
    <row r="373" spans="13:17" x14ac:dyDescent="0.2">
      <c r="M373" s="188"/>
      <c r="N373" s="188"/>
      <c r="O373" s="188"/>
      <c r="P373" s="188"/>
      <c r="Q373" s="188"/>
    </row>
    <row r="374" spans="13:17" x14ac:dyDescent="0.2">
      <c r="M374" s="188"/>
      <c r="N374" s="188"/>
      <c r="O374" s="188"/>
      <c r="P374" s="188"/>
      <c r="Q374" s="188"/>
    </row>
    <row r="375" spans="13:17" x14ac:dyDescent="0.2">
      <c r="M375" s="188"/>
      <c r="N375" s="188"/>
      <c r="O375" s="188"/>
      <c r="P375" s="188"/>
      <c r="Q375" s="188"/>
    </row>
    <row r="376" spans="13:17" x14ac:dyDescent="0.2">
      <c r="M376" s="188"/>
      <c r="N376" s="188"/>
      <c r="O376" s="188"/>
      <c r="P376" s="188"/>
      <c r="Q376" s="188"/>
    </row>
    <row r="377" spans="13:17" x14ac:dyDescent="0.2">
      <c r="M377" s="188"/>
      <c r="N377" s="188"/>
      <c r="O377" s="188"/>
      <c r="P377" s="188"/>
      <c r="Q377" s="188"/>
    </row>
    <row r="378" spans="13:17" x14ac:dyDescent="0.2">
      <c r="M378" s="188"/>
      <c r="N378" s="188"/>
      <c r="O378" s="188"/>
      <c r="P378" s="188"/>
      <c r="Q378" s="188"/>
    </row>
    <row r="379" spans="13:17" x14ac:dyDescent="0.2">
      <c r="M379" s="188"/>
      <c r="N379" s="188"/>
      <c r="O379" s="188"/>
      <c r="P379" s="188"/>
      <c r="Q379" s="188"/>
    </row>
    <row r="380" spans="13:17" x14ac:dyDescent="0.2">
      <c r="M380" s="188"/>
      <c r="N380" s="188"/>
      <c r="O380" s="188"/>
      <c r="P380" s="188"/>
      <c r="Q380" s="188"/>
    </row>
    <row r="381" spans="13:17" x14ac:dyDescent="0.2">
      <c r="M381" s="188"/>
      <c r="N381" s="188"/>
      <c r="O381" s="188"/>
      <c r="P381" s="188"/>
      <c r="Q381" s="188"/>
    </row>
    <row r="382" spans="13:17" x14ac:dyDescent="0.2">
      <c r="M382" s="188"/>
      <c r="N382" s="188"/>
      <c r="O382" s="188"/>
      <c r="P382" s="188"/>
      <c r="Q382" s="188"/>
    </row>
    <row r="383" spans="13:17" x14ac:dyDescent="0.2">
      <c r="M383" s="188"/>
      <c r="N383" s="188"/>
      <c r="O383" s="188"/>
      <c r="P383" s="188"/>
      <c r="Q383" s="188"/>
    </row>
    <row r="384" spans="13:17" x14ac:dyDescent="0.2">
      <c r="M384" s="188"/>
      <c r="N384" s="188"/>
      <c r="O384" s="188"/>
      <c r="P384" s="188"/>
      <c r="Q384" s="188"/>
    </row>
    <row r="385" spans="13:17" x14ac:dyDescent="0.2">
      <c r="M385" s="188"/>
      <c r="N385" s="188"/>
      <c r="O385" s="188"/>
      <c r="P385" s="188"/>
      <c r="Q385" s="188"/>
    </row>
    <row r="386" spans="13:17" x14ac:dyDescent="0.2">
      <c r="M386" s="188"/>
      <c r="N386" s="188"/>
      <c r="O386" s="188"/>
      <c r="P386" s="188"/>
      <c r="Q386" s="188"/>
    </row>
    <row r="387" spans="13:17" x14ac:dyDescent="0.2">
      <c r="M387" s="188"/>
      <c r="N387" s="188"/>
      <c r="O387" s="188"/>
      <c r="P387" s="188"/>
      <c r="Q387" s="188"/>
    </row>
    <row r="388" spans="13:17" x14ac:dyDescent="0.2">
      <c r="M388" s="188"/>
      <c r="N388" s="188"/>
      <c r="O388" s="188"/>
      <c r="P388" s="188"/>
      <c r="Q388" s="188"/>
    </row>
    <row r="389" spans="13:17" x14ac:dyDescent="0.2">
      <c r="M389" s="188"/>
      <c r="N389" s="188"/>
      <c r="O389" s="188"/>
      <c r="P389" s="188"/>
      <c r="Q389" s="188"/>
    </row>
    <row r="390" spans="13:17" x14ac:dyDescent="0.2">
      <c r="M390" s="188"/>
      <c r="N390" s="188"/>
      <c r="O390" s="188"/>
      <c r="P390" s="188"/>
      <c r="Q390" s="188"/>
    </row>
    <row r="391" spans="13:17" x14ac:dyDescent="0.2">
      <c r="M391" s="188"/>
      <c r="N391" s="188"/>
      <c r="O391" s="188"/>
      <c r="P391" s="188"/>
      <c r="Q391" s="188"/>
    </row>
    <row r="392" spans="13:17" x14ac:dyDescent="0.2">
      <c r="M392" s="188"/>
      <c r="N392" s="188"/>
      <c r="O392" s="188"/>
      <c r="P392" s="188"/>
      <c r="Q392" s="188"/>
    </row>
    <row r="393" spans="13:17" x14ac:dyDescent="0.2">
      <c r="M393" s="188"/>
      <c r="N393" s="188"/>
      <c r="O393" s="188"/>
      <c r="P393" s="188"/>
      <c r="Q393" s="188"/>
    </row>
    <row r="394" spans="13:17" x14ac:dyDescent="0.2">
      <c r="M394" s="188"/>
      <c r="N394" s="188"/>
      <c r="O394" s="188"/>
      <c r="P394" s="188"/>
      <c r="Q394" s="188"/>
    </row>
    <row r="395" spans="13:17" x14ac:dyDescent="0.2">
      <c r="M395" s="188"/>
      <c r="N395" s="188"/>
      <c r="O395" s="188"/>
      <c r="P395" s="188"/>
      <c r="Q395" s="188"/>
    </row>
    <row r="396" spans="13:17" x14ac:dyDescent="0.2">
      <c r="M396" s="188"/>
      <c r="N396" s="188"/>
      <c r="O396" s="188"/>
      <c r="P396" s="188"/>
      <c r="Q396" s="188"/>
    </row>
    <row r="397" spans="13:17" x14ac:dyDescent="0.2">
      <c r="M397" s="188"/>
      <c r="N397" s="188"/>
      <c r="O397" s="188"/>
      <c r="P397" s="188"/>
      <c r="Q397" s="188"/>
    </row>
    <row r="398" spans="13:17" x14ac:dyDescent="0.2">
      <c r="M398" s="188"/>
      <c r="N398" s="188"/>
      <c r="O398" s="188"/>
      <c r="P398" s="188"/>
      <c r="Q398" s="188"/>
    </row>
    <row r="399" spans="13:17" x14ac:dyDescent="0.2">
      <c r="M399" s="188"/>
      <c r="N399" s="188"/>
      <c r="O399" s="188"/>
      <c r="P399" s="188"/>
      <c r="Q399" s="188"/>
    </row>
    <row r="400" spans="13:17" x14ac:dyDescent="0.2">
      <c r="M400" s="188"/>
      <c r="N400" s="188"/>
      <c r="O400" s="188"/>
      <c r="P400" s="188"/>
      <c r="Q400" s="188"/>
    </row>
    <row r="401" spans="13:17" x14ac:dyDescent="0.2">
      <c r="M401" s="188"/>
      <c r="N401" s="188"/>
      <c r="O401" s="188"/>
      <c r="P401" s="188"/>
      <c r="Q401" s="188"/>
    </row>
    <row r="402" spans="13:17" x14ac:dyDescent="0.2">
      <c r="M402" s="188"/>
      <c r="N402" s="188"/>
      <c r="O402" s="188"/>
      <c r="P402" s="188"/>
      <c r="Q402" s="188"/>
    </row>
    <row r="403" spans="13:17" x14ac:dyDescent="0.2">
      <c r="M403" s="188"/>
      <c r="N403" s="188"/>
      <c r="O403" s="188"/>
      <c r="P403" s="188"/>
      <c r="Q403" s="188"/>
    </row>
    <row r="404" spans="13:17" x14ac:dyDescent="0.2">
      <c r="M404" s="188"/>
      <c r="N404" s="188"/>
      <c r="O404" s="188"/>
      <c r="P404" s="188"/>
      <c r="Q404" s="188"/>
    </row>
    <row r="405" spans="13:17" x14ac:dyDescent="0.2">
      <c r="M405" s="188"/>
      <c r="N405" s="188"/>
      <c r="O405" s="188"/>
      <c r="P405" s="188"/>
      <c r="Q405" s="188"/>
    </row>
    <row r="406" spans="13:17" x14ac:dyDescent="0.2">
      <c r="M406" s="188"/>
      <c r="N406" s="188"/>
      <c r="O406" s="188"/>
      <c r="P406" s="188"/>
      <c r="Q406" s="188"/>
    </row>
    <row r="407" spans="13:17" x14ac:dyDescent="0.2">
      <c r="M407" s="188"/>
      <c r="N407" s="188"/>
      <c r="O407" s="188"/>
      <c r="P407" s="188"/>
      <c r="Q407" s="188"/>
    </row>
    <row r="408" spans="13:17" x14ac:dyDescent="0.2">
      <c r="M408" s="188"/>
      <c r="N408" s="188"/>
      <c r="O408" s="188"/>
      <c r="P408" s="188"/>
      <c r="Q408" s="188"/>
    </row>
    <row r="409" spans="13:17" x14ac:dyDescent="0.2">
      <c r="M409" s="188"/>
      <c r="N409" s="188"/>
      <c r="O409" s="188"/>
      <c r="P409" s="188"/>
      <c r="Q409" s="188"/>
    </row>
    <row r="410" spans="13:17" x14ac:dyDescent="0.2">
      <c r="M410" s="188"/>
      <c r="N410" s="188"/>
      <c r="O410" s="188"/>
      <c r="P410" s="188"/>
      <c r="Q410" s="188"/>
    </row>
    <row r="411" spans="13:17" x14ac:dyDescent="0.2">
      <c r="M411" s="188"/>
      <c r="N411" s="188"/>
      <c r="O411" s="188"/>
      <c r="P411" s="188"/>
      <c r="Q411" s="188"/>
    </row>
    <row r="412" spans="13:17" x14ac:dyDescent="0.2">
      <c r="M412" s="188"/>
      <c r="N412" s="188"/>
      <c r="O412" s="188"/>
      <c r="P412" s="188"/>
      <c r="Q412" s="188"/>
    </row>
    <row r="413" spans="13:17" x14ac:dyDescent="0.2">
      <c r="M413" s="188"/>
      <c r="N413" s="188"/>
      <c r="O413" s="188"/>
      <c r="P413" s="188"/>
      <c r="Q413" s="188"/>
    </row>
    <row r="414" spans="13:17" x14ac:dyDescent="0.2">
      <c r="M414" s="188"/>
      <c r="N414" s="188"/>
      <c r="O414" s="188"/>
      <c r="P414" s="188"/>
      <c r="Q414" s="188"/>
    </row>
    <row r="415" spans="13:17" x14ac:dyDescent="0.2">
      <c r="M415" s="188"/>
      <c r="N415" s="188"/>
      <c r="O415" s="188"/>
      <c r="P415" s="188"/>
      <c r="Q415" s="188"/>
    </row>
    <row r="416" spans="13:17" x14ac:dyDescent="0.2">
      <c r="M416" s="188"/>
      <c r="N416" s="188"/>
      <c r="O416" s="188"/>
      <c r="P416" s="188"/>
      <c r="Q416" s="188"/>
    </row>
    <row r="417" spans="13:17" x14ac:dyDescent="0.2">
      <c r="M417" s="188"/>
      <c r="N417" s="188"/>
      <c r="O417" s="188"/>
      <c r="P417" s="188"/>
      <c r="Q417" s="188"/>
    </row>
    <row r="418" spans="13:17" x14ac:dyDescent="0.2">
      <c r="M418" s="188"/>
      <c r="N418" s="188"/>
      <c r="O418" s="188"/>
      <c r="P418" s="188"/>
      <c r="Q418" s="188"/>
    </row>
    <row r="419" spans="13:17" x14ac:dyDescent="0.2">
      <c r="M419" s="188"/>
      <c r="N419" s="188"/>
      <c r="O419" s="188"/>
      <c r="P419" s="188"/>
      <c r="Q419" s="188"/>
    </row>
    <row r="420" spans="13:17" x14ac:dyDescent="0.2">
      <c r="M420" s="188"/>
      <c r="N420" s="188"/>
      <c r="O420" s="188"/>
      <c r="P420" s="188"/>
      <c r="Q420" s="188"/>
    </row>
    <row r="421" spans="13:17" x14ac:dyDescent="0.2">
      <c r="M421" s="188"/>
      <c r="N421" s="188"/>
      <c r="O421" s="188"/>
      <c r="P421" s="188"/>
      <c r="Q421" s="188"/>
    </row>
    <row r="422" spans="13:17" x14ac:dyDescent="0.2">
      <c r="M422" s="188"/>
      <c r="N422" s="188"/>
      <c r="O422" s="188"/>
      <c r="P422" s="188"/>
      <c r="Q422" s="188"/>
    </row>
    <row r="423" spans="13:17" x14ac:dyDescent="0.2">
      <c r="M423" s="188"/>
      <c r="N423" s="188"/>
      <c r="O423" s="188"/>
      <c r="P423" s="188"/>
      <c r="Q423" s="188"/>
    </row>
    <row r="424" spans="13:17" x14ac:dyDescent="0.2">
      <c r="M424" s="188"/>
      <c r="N424" s="188"/>
      <c r="O424" s="188"/>
      <c r="P424" s="188"/>
      <c r="Q424" s="188"/>
    </row>
    <row r="425" spans="13:17" x14ac:dyDescent="0.2">
      <c r="M425" s="188"/>
      <c r="N425" s="188"/>
      <c r="O425" s="188"/>
      <c r="P425" s="188"/>
      <c r="Q425" s="188"/>
    </row>
    <row r="426" spans="13:17" x14ac:dyDescent="0.2">
      <c r="M426" s="188"/>
      <c r="N426" s="188"/>
      <c r="O426" s="188"/>
      <c r="P426" s="188"/>
      <c r="Q426" s="188"/>
    </row>
    <row r="427" spans="13:17" x14ac:dyDescent="0.2">
      <c r="M427" s="188"/>
      <c r="N427" s="188"/>
      <c r="O427" s="188"/>
      <c r="P427" s="188"/>
      <c r="Q427" s="188"/>
    </row>
    <row r="428" spans="13:17" x14ac:dyDescent="0.2">
      <c r="M428" s="188"/>
      <c r="N428" s="188"/>
      <c r="O428" s="188"/>
      <c r="P428" s="188"/>
      <c r="Q428" s="188"/>
    </row>
    <row r="429" spans="13:17" x14ac:dyDescent="0.2">
      <c r="M429" s="188"/>
      <c r="N429" s="188"/>
      <c r="O429" s="188"/>
      <c r="P429" s="188"/>
      <c r="Q429" s="188"/>
    </row>
    <row r="430" spans="13:17" x14ac:dyDescent="0.2">
      <c r="M430" s="188"/>
      <c r="N430" s="188"/>
      <c r="O430" s="188"/>
      <c r="P430" s="188"/>
      <c r="Q430" s="188"/>
    </row>
    <row r="431" spans="13:17" x14ac:dyDescent="0.2">
      <c r="M431" s="188"/>
      <c r="N431" s="188"/>
      <c r="O431" s="188"/>
      <c r="P431" s="188"/>
      <c r="Q431" s="188"/>
    </row>
    <row r="432" spans="13:17" x14ac:dyDescent="0.2">
      <c r="M432" s="188"/>
      <c r="N432" s="188"/>
      <c r="O432" s="188"/>
      <c r="P432" s="188"/>
      <c r="Q432" s="188"/>
    </row>
    <row r="433" spans="13:17" x14ac:dyDescent="0.2">
      <c r="M433" s="188"/>
      <c r="N433" s="188"/>
      <c r="O433" s="188"/>
      <c r="P433" s="188"/>
      <c r="Q433" s="188"/>
    </row>
    <row r="434" spans="13:17" x14ac:dyDescent="0.2">
      <c r="M434" s="188"/>
      <c r="N434" s="188"/>
      <c r="O434" s="188"/>
      <c r="P434" s="188"/>
      <c r="Q434" s="188"/>
    </row>
    <row r="435" spans="13:17" x14ac:dyDescent="0.2">
      <c r="M435" s="188"/>
      <c r="N435" s="188"/>
      <c r="O435" s="188"/>
      <c r="P435" s="188"/>
      <c r="Q435" s="188"/>
    </row>
    <row r="436" spans="13:17" x14ac:dyDescent="0.2">
      <c r="M436" s="188"/>
      <c r="N436" s="188"/>
      <c r="O436" s="188"/>
      <c r="P436" s="188"/>
      <c r="Q436" s="188"/>
    </row>
    <row r="437" spans="13:17" x14ac:dyDescent="0.2">
      <c r="M437" s="188"/>
      <c r="N437" s="188"/>
      <c r="O437" s="188"/>
      <c r="P437" s="188"/>
      <c r="Q437" s="188"/>
    </row>
    <row r="438" spans="13:17" x14ac:dyDescent="0.2">
      <c r="M438" s="188"/>
      <c r="N438" s="188"/>
      <c r="O438" s="188"/>
      <c r="P438" s="188"/>
      <c r="Q438" s="188"/>
    </row>
    <row r="439" spans="13:17" x14ac:dyDescent="0.2">
      <c r="M439" s="188"/>
      <c r="N439" s="188"/>
      <c r="O439" s="188"/>
      <c r="P439" s="188"/>
      <c r="Q439" s="188"/>
    </row>
    <row r="440" spans="13:17" x14ac:dyDescent="0.2">
      <c r="M440" s="188"/>
      <c r="N440" s="188"/>
      <c r="O440" s="188"/>
      <c r="P440" s="188"/>
      <c r="Q440" s="188"/>
    </row>
    <row r="441" spans="13:17" x14ac:dyDescent="0.2">
      <c r="M441" s="188"/>
      <c r="N441" s="188"/>
      <c r="O441" s="188"/>
      <c r="P441" s="188"/>
      <c r="Q441" s="188"/>
    </row>
    <row r="442" spans="13:17" x14ac:dyDescent="0.2">
      <c r="M442" s="188"/>
      <c r="N442" s="188"/>
      <c r="O442" s="188"/>
      <c r="P442" s="188"/>
      <c r="Q442" s="188"/>
    </row>
    <row r="443" spans="13:17" x14ac:dyDescent="0.2">
      <c r="M443" s="188"/>
      <c r="N443" s="188"/>
      <c r="O443" s="188"/>
      <c r="P443" s="188"/>
      <c r="Q443" s="188"/>
    </row>
    <row r="444" spans="13:17" x14ac:dyDescent="0.2">
      <c r="M444" s="188"/>
      <c r="N444" s="188"/>
      <c r="O444" s="188"/>
      <c r="P444" s="188"/>
      <c r="Q444" s="188"/>
    </row>
    <row r="445" spans="13:17" x14ac:dyDescent="0.2">
      <c r="M445" s="188"/>
      <c r="N445" s="188"/>
      <c r="O445" s="188"/>
      <c r="P445" s="188"/>
      <c r="Q445" s="188"/>
    </row>
    <row r="446" spans="13:17" x14ac:dyDescent="0.2">
      <c r="M446" s="188"/>
      <c r="N446" s="188"/>
      <c r="O446" s="188"/>
      <c r="P446" s="188"/>
      <c r="Q446" s="188"/>
    </row>
    <row r="447" spans="13:17" x14ac:dyDescent="0.2">
      <c r="M447" s="188"/>
      <c r="N447" s="188"/>
      <c r="O447" s="188"/>
      <c r="P447" s="188"/>
      <c r="Q447" s="188"/>
    </row>
    <row r="448" spans="13:17" x14ac:dyDescent="0.2">
      <c r="M448" s="188"/>
      <c r="N448" s="188"/>
      <c r="O448" s="188"/>
      <c r="P448" s="188"/>
      <c r="Q448" s="188"/>
    </row>
    <row r="449" spans="13:17" x14ac:dyDescent="0.2">
      <c r="M449" s="188"/>
      <c r="N449" s="188"/>
      <c r="O449" s="188"/>
      <c r="P449" s="188"/>
      <c r="Q449" s="188"/>
    </row>
    <row r="450" spans="13:17" x14ac:dyDescent="0.2">
      <c r="M450" s="188"/>
      <c r="N450" s="188"/>
      <c r="O450" s="188"/>
      <c r="P450" s="188"/>
      <c r="Q450" s="188"/>
    </row>
    <row r="451" spans="13:17" x14ac:dyDescent="0.2">
      <c r="M451" s="188"/>
      <c r="N451" s="188"/>
      <c r="O451" s="188"/>
      <c r="P451" s="188"/>
      <c r="Q451" s="188"/>
    </row>
    <row r="452" spans="13:17" x14ac:dyDescent="0.2">
      <c r="M452" s="188"/>
      <c r="N452" s="188"/>
      <c r="O452" s="188"/>
      <c r="P452" s="188"/>
      <c r="Q452" s="188"/>
    </row>
    <row r="453" spans="13:17" x14ac:dyDescent="0.2">
      <c r="M453" s="188"/>
      <c r="N453" s="188"/>
      <c r="O453" s="188"/>
      <c r="P453" s="188"/>
      <c r="Q453" s="188"/>
    </row>
  </sheetData>
  <dataValidations count="1">
    <dataValidation type="textLength" showInputMessage="1" showErrorMessage="1" sqref="M5:M10">
      <formula1>0</formula1>
      <formula2>150</formula2>
    </dataValidation>
  </dataValidations>
  <pageMargins left="0.7" right="0.7" top="0.75" bottom="0.75" header="0.3" footer="0.3"/>
  <pageSetup paperSize="9" scale="31"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G463"/>
  <sheetViews>
    <sheetView zoomScale="60" zoomScaleNormal="60" workbookViewId="0">
      <pane ySplit="5" topLeftCell="A6" activePane="bottomLeft" state="frozen"/>
      <selection activeCell="I1" sqref="I1"/>
      <selection pane="bottomLeft" activeCell="S6" sqref="S6"/>
    </sheetView>
  </sheetViews>
  <sheetFormatPr defaultColWidth="8.85546875" defaultRowHeight="12.75" x14ac:dyDescent="0.2"/>
  <cols>
    <col min="1" max="1" width="9" style="24" customWidth="1"/>
    <col min="2" max="2" width="19" style="24" customWidth="1"/>
    <col min="3" max="3" width="20.28515625" style="24" customWidth="1"/>
    <col min="4" max="4" width="17.140625" style="24" customWidth="1"/>
    <col min="5" max="5" width="23.28515625" style="24" customWidth="1"/>
    <col min="6" max="6" width="15.85546875" style="24" customWidth="1"/>
    <col min="7" max="7" width="17" style="24" customWidth="1"/>
    <col min="8" max="8" width="27.85546875" style="24" customWidth="1"/>
    <col min="9" max="9" width="11" style="24" customWidth="1"/>
    <col min="10" max="10" width="23.28515625" style="24" customWidth="1"/>
    <col min="11" max="11" width="25.140625" style="325" customWidth="1"/>
    <col min="12" max="12" width="14.28515625" style="24" customWidth="1"/>
    <col min="13" max="13" width="14.85546875" style="24" bestFit="1" customWidth="1"/>
    <col min="14" max="14" width="17" style="24" customWidth="1"/>
    <col min="15" max="15" width="57" style="24" customWidth="1"/>
    <col min="16" max="16" width="20.140625" style="28" customWidth="1"/>
    <col min="17" max="17" width="16.7109375" style="28" customWidth="1"/>
    <col min="18" max="18" width="29" style="28" bestFit="1" customWidth="1"/>
    <col min="19" max="19" width="13.140625" style="24" customWidth="1"/>
    <col min="20" max="20" width="18.28515625" style="24" customWidth="1"/>
    <col min="21" max="21" width="35.5703125" style="24" customWidth="1"/>
    <col min="22" max="24" width="8.85546875" style="24"/>
    <col min="25" max="25" width="52.7109375" style="24" customWidth="1"/>
    <col min="26" max="16384" width="8.85546875" style="24"/>
  </cols>
  <sheetData>
    <row r="1" spans="1:33" ht="13.5" thickBot="1" x14ac:dyDescent="0.25">
      <c r="A1" s="33" t="s">
        <v>167</v>
      </c>
      <c r="B1" s="29"/>
      <c r="C1" s="29"/>
      <c r="D1" s="29"/>
      <c r="E1" s="29"/>
      <c r="F1" s="29"/>
      <c r="G1" s="29"/>
      <c r="H1" s="29"/>
      <c r="I1" s="29"/>
      <c r="J1" s="31"/>
      <c r="K1" s="324"/>
      <c r="L1" s="30"/>
      <c r="M1" s="32"/>
      <c r="N1" s="32"/>
      <c r="O1" s="32"/>
      <c r="P1" s="32"/>
      <c r="Q1" s="32"/>
      <c r="R1" s="32"/>
      <c r="S1" s="32"/>
      <c r="T1" s="32"/>
      <c r="U1" s="29"/>
    </row>
    <row r="2" spans="1:33" x14ac:dyDescent="0.2">
      <c r="A2" s="48"/>
      <c r="B2" s="20"/>
      <c r="C2" s="20"/>
      <c r="D2" s="20"/>
      <c r="E2" s="20"/>
      <c r="F2" s="20"/>
      <c r="G2" s="20"/>
      <c r="H2" s="20"/>
      <c r="I2" s="20"/>
      <c r="J2" s="20"/>
      <c r="L2" s="20"/>
      <c r="M2" s="20"/>
      <c r="N2" s="20"/>
      <c r="O2" s="323"/>
      <c r="P2" s="20"/>
      <c r="Q2" s="20"/>
      <c r="R2" s="20"/>
      <c r="S2" s="25"/>
      <c r="T2" s="92" t="s">
        <v>56</v>
      </c>
      <c r="U2" s="85" t="s">
        <v>1484</v>
      </c>
    </row>
    <row r="3" spans="1:33" ht="13.5" thickBot="1" x14ac:dyDescent="0.25">
      <c r="A3" s="47"/>
      <c r="B3" s="20"/>
      <c r="C3" s="20"/>
      <c r="D3" s="20"/>
      <c r="E3" s="20"/>
      <c r="F3" s="20"/>
      <c r="G3" s="20"/>
      <c r="H3" s="20"/>
      <c r="I3" s="20"/>
      <c r="J3" s="20"/>
      <c r="L3" s="20"/>
      <c r="M3" s="20"/>
      <c r="N3" s="20"/>
      <c r="O3" s="20"/>
      <c r="P3" s="20"/>
      <c r="Q3" s="20"/>
      <c r="R3" s="20"/>
      <c r="S3" s="25"/>
      <c r="T3" s="93" t="s">
        <v>55</v>
      </c>
      <c r="U3" s="384">
        <v>2020</v>
      </c>
    </row>
    <row r="4" spans="1:33" s="167" customFormat="1" ht="59.25" customHeight="1" x14ac:dyDescent="0.2">
      <c r="A4" s="791" t="s">
        <v>0</v>
      </c>
      <c r="B4" s="793" t="s">
        <v>166</v>
      </c>
      <c r="C4" s="791" t="s">
        <v>165</v>
      </c>
      <c r="D4" s="793" t="s">
        <v>5</v>
      </c>
      <c r="E4" s="793" t="s">
        <v>8</v>
      </c>
      <c r="F4" s="791" t="s">
        <v>164</v>
      </c>
      <c r="G4" s="791" t="s">
        <v>64</v>
      </c>
      <c r="H4" s="793" t="s">
        <v>163</v>
      </c>
      <c r="I4" s="793" t="s">
        <v>162</v>
      </c>
      <c r="J4" s="797" t="s">
        <v>161</v>
      </c>
      <c r="K4" s="797" t="s">
        <v>160</v>
      </c>
      <c r="L4" s="800" t="s">
        <v>159</v>
      </c>
      <c r="M4" s="800" t="s">
        <v>158</v>
      </c>
      <c r="N4" s="800" t="s">
        <v>9</v>
      </c>
      <c r="O4" s="793" t="s">
        <v>4</v>
      </c>
      <c r="P4" s="796" t="s">
        <v>234</v>
      </c>
      <c r="Q4" s="783" t="s">
        <v>235</v>
      </c>
      <c r="R4" s="785" t="s">
        <v>157</v>
      </c>
      <c r="S4" s="787" t="s">
        <v>156</v>
      </c>
      <c r="T4" s="785" t="s">
        <v>155</v>
      </c>
      <c r="U4" s="789" t="s">
        <v>154</v>
      </c>
    </row>
    <row r="5" spans="1:33" ht="13.5" thickBot="1" x14ac:dyDescent="0.25">
      <c r="A5" s="792"/>
      <c r="B5" s="794"/>
      <c r="C5" s="792"/>
      <c r="D5" s="794"/>
      <c r="E5" s="794"/>
      <c r="F5" s="794"/>
      <c r="G5" s="792"/>
      <c r="H5" s="794"/>
      <c r="I5" s="794"/>
      <c r="J5" s="798"/>
      <c r="K5" s="799"/>
      <c r="L5" s="798"/>
      <c r="M5" s="798"/>
      <c r="N5" s="798"/>
      <c r="O5" s="795"/>
      <c r="P5" s="790"/>
      <c r="Q5" s="784"/>
      <c r="R5" s="786"/>
      <c r="S5" s="788"/>
      <c r="T5" s="786"/>
      <c r="U5" s="790"/>
    </row>
    <row r="6" spans="1:33" ht="38.25" x14ac:dyDescent="0.2">
      <c r="A6" s="455" t="s">
        <v>276</v>
      </c>
      <c r="B6" s="455" t="s">
        <v>1546</v>
      </c>
      <c r="C6" s="455" t="s">
        <v>583</v>
      </c>
      <c r="D6" s="455" t="s">
        <v>74</v>
      </c>
      <c r="E6" s="455" t="s">
        <v>153</v>
      </c>
      <c r="F6" s="455" t="s">
        <v>584</v>
      </c>
      <c r="G6" s="455"/>
      <c r="H6" s="455" t="s">
        <v>585</v>
      </c>
      <c r="I6" s="456" t="s">
        <v>586</v>
      </c>
      <c r="J6" s="455" t="s">
        <v>587</v>
      </c>
      <c r="K6" s="456" t="s">
        <v>588</v>
      </c>
      <c r="L6" s="455" t="s">
        <v>589</v>
      </c>
      <c r="M6" s="455">
        <v>1</v>
      </c>
      <c r="N6" s="455" t="s">
        <v>196</v>
      </c>
      <c r="O6" s="456" t="s">
        <v>566</v>
      </c>
      <c r="P6" s="150">
        <v>1</v>
      </c>
      <c r="Q6" s="319">
        <f t="shared" ref="Q6:Q29" si="0">P6/M6*100</f>
        <v>100</v>
      </c>
      <c r="R6" s="150"/>
      <c r="S6" s="449" t="s">
        <v>1573</v>
      </c>
      <c r="T6" s="448" t="s">
        <v>6</v>
      </c>
      <c r="U6" s="151"/>
    </row>
    <row r="7" spans="1:33" ht="38.25" x14ac:dyDescent="0.2">
      <c r="A7" s="455" t="s">
        <v>276</v>
      </c>
      <c r="B7" s="455" t="s">
        <v>1546</v>
      </c>
      <c r="C7" s="455" t="s">
        <v>583</v>
      </c>
      <c r="D7" s="455" t="s">
        <v>74</v>
      </c>
      <c r="E7" s="455" t="s">
        <v>153</v>
      </c>
      <c r="F7" s="455" t="s">
        <v>584</v>
      </c>
      <c r="G7" s="455"/>
      <c r="H7" s="455" t="s">
        <v>590</v>
      </c>
      <c r="I7" s="456" t="s">
        <v>586</v>
      </c>
      <c r="J7" s="455" t="s">
        <v>587</v>
      </c>
      <c r="K7" s="456" t="s">
        <v>588</v>
      </c>
      <c r="L7" s="455" t="s">
        <v>589</v>
      </c>
      <c r="M7" s="455">
        <v>1</v>
      </c>
      <c r="N7" s="455" t="s">
        <v>196</v>
      </c>
      <c r="O7" s="456" t="s">
        <v>566</v>
      </c>
      <c r="P7" s="150">
        <v>1</v>
      </c>
      <c r="Q7" s="319">
        <f t="shared" si="0"/>
        <v>100</v>
      </c>
      <c r="R7" s="150"/>
      <c r="S7" s="449" t="s">
        <v>1573</v>
      </c>
      <c r="T7" s="448" t="s">
        <v>6</v>
      </c>
      <c r="U7" s="152"/>
    </row>
    <row r="8" spans="1:33" ht="38.25" x14ac:dyDescent="0.2">
      <c r="A8" s="455" t="s">
        <v>276</v>
      </c>
      <c r="B8" s="455" t="s">
        <v>1546</v>
      </c>
      <c r="C8" s="455" t="s">
        <v>583</v>
      </c>
      <c r="D8" s="455" t="s">
        <v>74</v>
      </c>
      <c r="E8" s="455" t="s">
        <v>153</v>
      </c>
      <c r="F8" s="455" t="s">
        <v>584</v>
      </c>
      <c r="G8" s="455"/>
      <c r="H8" s="455" t="s">
        <v>591</v>
      </c>
      <c r="I8" s="456" t="s">
        <v>586</v>
      </c>
      <c r="J8" s="455" t="s">
        <v>587</v>
      </c>
      <c r="K8" s="456" t="s">
        <v>588</v>
      </c>
      <c r="L8" s="455" t="s">
        <v>589</v>
      </c>
      <c r="M8" s="455">
        <v>1</v>
      </c>
      <c r="N8" s="455" t="s">
        <v>196</v>
      </c>
      <c r="O8" s="456" t="s">
        <v>566</v>
      </c>
      <c r="P8" s="150">
        <v>1</v>
      </c>
      <c r="Q8" s="319">
        <f t="shared" si="0"/>
        <v>100</v>
      </c>
      <c r="R8" s="150"/>
      <c r="S8" s="449" t="s">
        <v>1573</v>
      </c>
      <c r="T8" s="448" t="s">
        <v>6</v>
      </c>
      <c r="U8" s="152"/>
    </row>
    <row r="9" spans="1:33" ht="38.25" x14ac:dyDescent="0.2">
      <c r="A9" s="455" t="s">
        <v>276</v>
      </c>
      <c r="B9" s="455" t="s">
        <v>1546</v>
      </c>
      <c r="C9" s="455" t="s">
        <v>583</v>
      </c>
      <c r="D9" s="455" t="s">
        <v>74</v>
      </c>
      <c r="E9" s="455" t="s">
        <v>153</v>
      </c>
      <c r="F9" s="455" t="s">
        <v>584</v>
      </c>
      <c r="G9" s="455"/>
      <c r="H9" s="455" t="s">
        <v>592</v>
      </c>
      <c r="I9" s="456" t="s">
        <v>586</v>
      </c>
      <c r="J9" s="455" t="s">
        <v>587</v>
      </c>
      <c r="K9" s="456" t="s">
        <v>588</v>
      </c>
      <c r="L9" s="455" t="s">
        <v>589</v>
      </c>
      <c r="M9" s="455">
        <v>1</v>
      </c>
      <c r="N9" s="455" t="s">
        <v>196</v>
      </c>
      <c r="O9" s="456" t="s">
        <v>566</v>
      </c>
      <c r="P9" s="150">
        <v>1</v>
      </c>
      <c r="Q9" s="319">
        <f t="shared" si="0"/>
        <v>100</v>
      </c>
      <c r="R9" s="150"/>
      <c r="S9" s="449" t="s">
        <v>1573</v>
      </c>
      <c r="T9" s="448" t="s">
        <v>6</v>
      </c>
      <c r="U9" s="152"/>
    </row>
    <row r="10" spans="1:33" ht="38.25" x14ac:dyDescent="0.2">
      <c r="A10" s="455" t="s">
        <v>276</v>
      </c>
      <c r="B10" s="455" t="s">
        <v>1546</v>
      </c>
      <c r="C10" s="455" t="s">
        <v>583</v>
      </c>
      <c r="D10" s="455" t="s">
        <v>74</v>
      </c>
      <c r="E10" s="455" t="s">
        <v>153</v>
      </c>
      <c r="F10" s="455" t="s">
        <v>584</v>
      </c>
      <c r="G10" s="455"/>
      <c r="H10" s="455" t="s">
        <v>593</v>
      </c>
      <c r="I10" s="456" t="s">
        <v>586</v>
      </c>
      <c r="J10" s="455" t="s">
        <v>587</v>
      </c>
      <c r="K10" s="456" t="s">
        <v>588</v>
      </c>
      <c r="L10" s="455" t="s">
        <v>589</v>
      </c>
      <c r="M10" s="455">
        <v>1</v>
      </c>
      <c r="N10" s="455" t="s">
        <v>196</v>
      </c>
      <c r="O10" s="456" t="s">
        <v>566</v>
      </c>
      <c r="P10" s="150">
        <v>1</v>
      </c>
      <c r="Q10" s="319">
        <f t="shared" si="0"/>
        <v>100</v>
      </c>
      <c r="R10" s="191"/>
      <c r="S10" s="449" t="s">
        <v>1573</v>
      </c>
      <c r="T10" s="448" t="s">
        <v>6</v>
      </c>
      <c r="U10" s="201"/>
    </row>
    <row r="11" spans="1:33" ht="38.25" x14ac:dyDescent="0.2">
      <c r="A11" s="455" t="s">
        <v>276</v>
      </c>
      <c r="B11" s="455" t="s">
        <v>1546</v>
      </c>
      <c r="C11" s="455" t="s">
        <v>583</v>
      </c>
      <c r="D11" s="455" t="s">
        <v>74</v>
      </c>
      <c r="E11" s="455" t="s">
        <v>153</v>
      </c>
      <c r="F11" s="455" t="s">
        <v>584</v>
      </c>
      <c r="G11" s="455"/>
      <c r="H11" s="455" t="s">
        <v>594</v>
      </c>
      <c r="I11" s="456" t="s">
        <v>586</v>
      </c>
      <c r="J11" s="455" t="s">
        <v>587</v>
      </c>
      <c r="K11" s="456" t="s">
        <v>588</v>
      </c>
      <c r="L11" s="455" t="s">
        <v>589</v>
      </c>
      <c r="M11" s="455">
        <v>1</v>
      </c>
      <c r="N11" s="455" t="s">
        <v>196</v>
      </c>
      <c r="O11" s="456" t="s">
        <v>566</v>
      </c>
      <c r="P11" s="150">
        <v>1</v>
      </c>
      <c r="Q11" s="319">
        <f t="shared" si="0"/>
        <v>100</v>
      </c>
      <c r="R11" s="192"/>
      <c r="S11" s="449" t="s">
        <v>1573</v>
      </c>
      <c r="T11" s="448" t="s">
        <v>6</v>
      </c>
      <c r="U11" s="193"/>
      <c r="V11" s="28"/>
      <c r="W11" s="28"/>
      <c r="X11" s="28"/>
      <c r="Y11" s="28"/>
      <c r="Z11" s="28"/>
      <c r="AA11" s="28"/>
      <c r="AB11" s="28"/>
      <c r="AC11" s="28"/>
      <c r="AD11" s="28"/>
      <c r="AE11" s="28"/>
      <c r="AF11" s="28"/>
      <c r="AG11" s="28"/>
    </row>
    <row r="12" spans="1:33" ht="38.25" x14ac:dyDescent="0.2">
      <c r="A12" s="455" t="s">
        <v>276</v>
      </c>
      <c r="B12" s="455" t="s">
        <v>1546</v>
      </c>
      <c r="C12" s="455" t="s">
        <v>583</v>
      </c>
      <c r="D12" s="455" t="s">
        <v>74</v>
      </c>
      <c r="E12" s="455" t="s">
        <v>153</v>
      </c>
      <c r="F12" s="455" t="s">
        <v>584</v>
      </c>
      <c r="G12" s="455"/>
      <c r="H12" s="455" t="s">
        <v>595</v>
      </c>
      <c r="I12" s="456" t="s">
        <v>586</v>
      </c>
      <c r="J12" s="455" t="s">
        <v>587</v>
      </c>
      <c r="K12" s="456" t="s">
        <v>588</v>
      </c>
      <c r="L12" s="455" t="s">
        <v>589</v>
      </c>
      <c r="M12" s="455">
        <v>1</v>
      </c>
      <c r="N12" s="455" t="s">
        <v>196</v>
      </c>
      <c r="O12" s="456" t="s">
        <v>566</v>
      </c>
      <c r="P12" s="150">
        <v>1</v>
      </c>
      <c r="Q12" s="319">
        <f t="shared" si="0"/>
        <v>100</v>
      </c>
      <c r="R12" s="192"/>
      <c r="S12" s="449" t="s">
        <v>1573</v>
      </c>
      <c r="T12" s="448" t="s">
        <v>6</v>
      </c>
      <c r="U12" s="193"/>
      <c r="V12" s="28"/>
      <c r="W12" s="28"/>
      <c r="X12" s="28"/>
      <c r="Y12" s="28"/>
      <c r="Z12" s="28"/>
      <c r="AA12" s="28"/>
      <c r="AB12" s="28"/>
      <c r="AC12" s="28"/>
      <c r="AD12" s="28"/>
      <c r="AE12" s="28"/>
      <c r="AF12" s="28"/>
      <c r="AG12" s="28"/>
    </row>
    <row r="13" spans="1:33" ht="38.25" x14ac:dyDescent="0.2">
      <c r="A13" s="455" t="s">
        <v>276</v>
      </c>
      <c r="B13" s="455" t="s">
        <v>1546</v>
      </c>
      <c r="C13" s="455" t="s">
        <v>583</v>
      </c>
      <c r="D13" s="455" t="s">
        <v>74</v>
      </c>
      <c r="E13" s="455" t="s">
        <v>153</v>
      </c>
      <c r="F13" s="455" t="s">
        <v>6</v>
      </c>
      <c r="G13" s="455"/>
      <c r="H13" s="455" t="s">
        <v>596</v>
      </c>
      <c r="I13" s="456" t="s">
        <v>586</v>
      </c>
      <c r="J13" s="455" t="s">
        <v>597</v>
      </c>
      <c r="K13" s="456" t="s">
        <v>598</v>
      </c>
      <c r="L13" s="455" t="s">
        <v>599</v>
      </c>
      <c r="M13" s="455">
        <v>1</v>
      </c>
      <c r="N13" s="455" t="s">
        <v>196</v>
      </c>
      <c r="O13" s="456" t="s">
        <v>600</v>
      </c>
      <c r="P13" s="150">
        <v>1</v>
      </c>
      <c r="Q13" s="319">
        <f t="shared" si="0"/>
        <v>100</v>
      </c>
      <c r="R13" s="192"/>
      <c r="S13" s="449" t="s">
        <v>1573</v>
      </c>
      <c r="T13" s="447" t="s">
        <v>77</v>
      </c>
      <c r="U13" s="193"/>
      <c r="V13" s="28"/>
      <c r="W13" s="28"/>
      <c r="X13" s="28"/>
      <c r="Y13" s="28"/>
      <c r="Z13" s="28"/>
      <c r="AA13" s="28"/>
      <c r="AB13" s="28"/>
      <c r="AC13" s="28"/>
      <c r="AD13" s="28"/>
      <c r="AE13" s="28"/>
      <c r="AF13" s="28"/>
      <c r="AG13" s="28"/>
    </row>
    <row r="14" spans="1:33" ht="38.25" x14ac:dyDescent="0.2">
      <c r="A14" s="455" t="s">
        <v>276</v>
      </c>
      <c r="B14" s="455" t="s">
        <v>1546</v>
      </c>
      <c r="C14" s="455" t="s">
        <v>583</v>
      </c>
      <c r="D14" s="455" t="s">
        <v>74</v>
      </c>
      <c r="E14" s="455" t="s">
        <v>153</v>
      </c>
      <c r="F14" s="455" t="s">
        <v>6</v>
      </c>
      <c r="G14" s="455"/>
      <c r="H14" s="455" t="s">
        <v>601</v>
      </c>
      <c r="I14" s="456" t="s">
        <v>586</v>
      </c>
      <c r="J14" s="455" t="s">
        <v>597</v>
      </c>
      <c r="K14" s="456" t="s">
        <v>598</v>
      </c>
      <c r="L14" s="455" t="s">
        <v>599</v>
      </c>
      <c r="M14" s="455">
        <v>1</v>
      </c>
      <c r="N14" s="455" t="s">
        <v>196</v>
      </c>
      <c r="O14" s="456" t="s">
        <v>600</v>
      </c>
      <c r="P14" s="150">
        <v>0</v>
      </c>
      <c r="Q14" s="319">
        <f t="shared" si="0"/>
        <v>0</v>
      </c>
      <c r="R14" s="636" t="s">
        <v>1800</v>
      </c>
      <c r="S14" s="449" t="s">
        <v>1573</v>
      </c>
      <c r="T14" s="447" t="s">
        <v>77</v>
      </c>
      <c r="U14" s="193"/>
      <c r="V14" s="28"/>
      <c r="W14" s="28"/>
      <c r="X14" s="28"/>
      <c r="Y14" s="28"/>
      <c r="Z14" s="28"/>
      <c r="AA14" s="28"/>
      <c r="AB14" s="28"/>
      <c r="AC14" s="28"/>
      <c r="AD14" s="28"/>
      <c r="AE14" s="28"/>
      <c r="AF14" s="28"/>
      <c r="AG14" s="28"/>
    </row>
    <row r="15" spans="1:33" ht="38.25" x14ac:dyDescent="0.2">
      <c r="A15" s="455" t="s">
        <v>276</v>
      </c>
      <c r="B15" s="455" t="s">
        <v>1546</v>
      </c>
      <c r="C15" s="455" t="s">
        <v>583</v>
      </c>
      <c r="D15" s="455" t="s">
        <v>74</v>
      </c>
      <c r="E15" s="455" t="s">
        <v>153</v>
      </c>
      <c r="F15" s="455" t="s">
        <v>6</v>
      </c>
      <c r="G15" s="455"/>
      <c r="H15" s="455" t="s">
        <v>602</v>
      </c>
      <c r="I15" s="456" t="s">
        <v>586</v>
      </c>
      <c r="J15" s="455" t="s">
        <v>597</v>
      </c>
      <c r="K15" s="456" t="s">
        <v>598</v>
      </c>
      <c r="L15" s="455" t="s">
        <v>599</v>
      </c>
      <c r="M15" s="455">
        <v>1</v>
      </c>
      <c r="N15" s="455" t="s">
        <v>196</v>
      </c>
      <c r="O15" s="456" t="s">
        <v>600</v>
      </c>
      <c r="P15" s="150">
        <v>1</v>
      </c>
      <c r="Q15" s="319">
        <f t="shared" si="0"/>
        <v>100</v>
      </c>
      <c r="R15" s="192"/>
      <c r="S15" s="449" t="s">
        <v>1573</v>
      </c>
      <c r="T15" s="447" t="s">
        <v>77</v>
      </c>
      <c r="U15" s="193"/>
      <c r="V15" s="28"/>
      <c r="W15" s="28"/>
      <c r="X15" s="28"/>
      <c r="Y15" s="28"/>
      <c r="Z15" s="28"/>
      <c r="AA15" s="28"/>
      <c r="AB15" s="28"/>
      <c r="AC15" s="28"/>
      <c r="AD15" s="28"/>
      <c r="AE15" s="28"/>
      <c r="AF15" s="28"/>
      <c r="AG15" s="28"/>
    </row>
    <row r="16" spans="1:33" ht="38.25" x14ac:dyDescent="0.2">
      <c r="A16" s="455" t="s">
        <v>276</v>
      </c>
      <c r="B16" s="455" t="s">
        <v>1546</v>
      </c>
      <c r="C16" s="455" t="s">
        <v>583</v>
      </c>
      <c r="D16" s="455" t="s">
        <v>74</v>
      </c>
      <c r="E16" s="455" t="s">
        <v>153</v>
      </c>
      <c r="F16" s="455" t="s">
        <v>6</v>
      </c>
      <c r="G16" s="455"/>
      <c r="H16" s="455" t="s">
        <v>603</v>
      </c>
      <c r="I16" s="456" t="s">
        <v>586</v>
      </c>
      <c r="J16" s="455" t="s">
        <v>597</v>
      </c>
      <c r="K16" s="456" t="s">
        <v>598</v>
      </c>
      <c r="L16" s="455" t="s">
        <v>599</v>
      </c>
      <c r="M16" s="455">
        <v>1</v>
      </c>
      <c r="N16" s="455" t="s">
        <v>196</v>
      </c>
      <c r="O16" s="456" t="s">
        <v>600</v>
      </c>
      <c r="P16" s="150">
        <v>1</v>
      </c>
      <c r="Q16" s="319">
        <f t="shared" si="0"/>
        <v>100</v>
      </c>
      <c r="R16" s="194"/>
      <c r="S16" s="449" t="s">
        <v>1573</v>
      </c>
      <c r="T16" s="447" t="s">
        <v>77</v>
      </c>
      <c r="U16" s="193"/>
      <c r="V16" s="28"/>
      <c r="W16" s="28"/>
      <c r="X16" s="28"/>
      <c r="Y16" s="28"/>
      <c r="Z16" s="28"/>
      <c r="AA16" s="28"/>
      <c r="AB16" s="28"/>
      <c r="AC16" s="28"/>
      <c r="AD16" s="28"/>
      <c r="AE16" s="28"/>
      <c r="AF16" s="28"/>
      <c r="AG16" s="28"/>
    </row>
    <row r="17" spans="1:33" ht="114.75" x14ac:dyDescent="0.2">
      <c r="A17" s="455" t="s">
        <v>276</v>
      </c>
      <c r="B17" s="455" t="s">
        <v>1546</v>
      </c>
      <c r="C17" s="455" t="s">
        <v>1547</v>
      </c>
      <c r="D17" s="455" t="s">
        <v>74</v>
      </c>
      <c r="E17" s="455" t="s">
        <v>76</v>
      </c>
      <c r="F17" s="455" t="s">
        <v>6</v>
      </c>
      <c r="G17" s="455"/>
      <c r="H17" s="455" t="s">
        <v>596</v>
      </c>
      <c r="I17" s="456" t="s">
        <v>1548</v>
      </c>
      <c r="J17" s="455" t="s">
        <v>597</v>
      </c>
      <c r="K17" s="456" t="s">
        <v>605</v>
      </c>
      <c r="L17" s="455" t="s">
        <v>606</v>
      </c>
      <c r="M17" s="455">
        <v>3</v>
      </c>
      <c r="N17" s="455" t="s">
        <v>196</v>
      </c>
      <c r="O17" s="456" t="s">
        <v>607</v>
      </c>
      <c r="P17" s="150">
        <v>3</v>
      </c>
      <c r="Q17" s="319">
        <f t="shared" si="0"/>
        <v>100</v>
      </c>
      <c r="R17" s="179"/>
      <c r="S17" s="449" t="s">
        <v>1574</v>
      </c>
      <c r="T17" s="447" t="s">
        <v>77</v>
      </c>
      <c r="U17" s="640" t="s">
        <v>1886</v>
      </c>
      <c r="V17" s="28"/>
      <c r="W17" s="28"/>
      <c r="X17" s="28"/>
      <c r="Y17" s="28"/>
      <c r="Z17" s="28"/>
      <c r="AA17" s="28"/>
      <c r="AB17" s="28"/>
      <c r="AC17" s="28"/>
      <c r="AD17" s="28"/>
      <c r="AE17" s="28"/>
      <c r="AF17" s="28"/>
      <c r="AG17" s="28"/>
    </row>
    <row r="18" spans="1:33" ht="51" x14ac:dyDescent="0.2">
      <c r="A18" s="455" t="s">
        <v>276</v>
      </c>
      <c r="B18" s="455" t="s">
        <v>1546</v>
      </c>
      <c r="C18" s="455" t="s">
        <v>1549</v>
      </c>
      <c r="D18" s="455" t="s">
        <v>74</v>
      </c>
      <c r="E18" s="455" t="s">
        <v>76</v>
      </c>
      <c r="F18" s="455" t="s">
        <v>6</v>
      </c>
      <c r="G18" s="455"/>
      <c r="H18" s="455" t="s">
        <v>602</v>
      </c>
      <c r="I18" s="456" t="s">
        <v>1550</v>
      </c>
      <c r="J18" s="455" t="s">
        <v>597</v>
      </c>
      <c r="K18" s="456" t="s">
        <v>605</v>
      </c>
      <c r="L18" s="455" t="s">
        <v>606</v>
      </c>
      <c r="M18" s="455">
        <v>6</v>
      </c>
      <c r="N18" s="455" t="s">
        <v>196</v>
      </c>
      <c r="O18" s="456" t="s">
        <v>1551</v>
      </c>
      <c r="P18" s="150">
        <v>6</v>
      </c>
      <c r="Q18" s="319">
        <f t="shared" si="0"/>
        <v>100</v>
      </c>
      <c r="R18" s="179"/>
      <c r="S18" s="449" t="s">
        <v>1574</v>
      </c>
      <c r="T18" s="447" t="s">
        <v>77</v>
      </c>
      <c r="U18" s="640" t="s">
        <v>1802</v>
      </c>
      <c r="V18" s="28"/>
      <c r="W18" s="28"/>
      <c r="X18" s="28"/>
      <c r="Y18" s="28"/>
      <c r="Z18" s="28"/>
      <c r="AA18" s="28"/>
      <c r="AB18" s="28"/>
      <c r="AC18" s="28"/>
      <c r="AD18" s="28"/>
      <c r="AE18" s="28"/>
      <c r="AF18" s="28"/>
      <c r="AG18" s="28"/>
    </row>
    <row r="19" spans="1:33" ht="51" x14ac:dyDescent="0.2">
      <c r="A19" s="455" t="s">
        <v>276</v>
      </c>
      <c r="B19" s="455" t="s">
        <v>1546</v>
      </c>
      <c r="C19" s="455" t="s">
        <v>1552</v>
      </c>
      <c r="D19" s="455" t="s">
        <v>74</v>
      </c>
      <c r="E19" s="455" t="s">
        <v>76</v>
      </c>
      <c r="F19" s="455" t="s">
        <v>6</v>
      </c>
      <c r="G19" s="455"/>
      <c r="H19" s="455" t="s">
        <v>603</v>
      </c>
      <c r="I19" s="456" t="s">
        <v>1550</v>
      </c>
      <c r="J19" s="455" t="s">
        <v>597</v>
      </c>
      <c r="K19" s="456" t="s">
        <v>605</v>
      </c>
      <c r="L19" s="455" t="s">
        <v>606</v>
      </c>
      <c r="M19" s="455">
        <v>1</v>
      </c>
      <c r="N19" s="455" t="s">
        <v>196</v>
      </c>
      <c r="O19" s="456" t="s">
        <v>600</v>
      </c>
      <c r="P19" s="490">
        <v>1</v>
      </c>
      <c r="Q19" s="319">
        <f t="shared" si="0"/>
        <v>100</v>
      </c>
      <c r="R19" s="179"/>
      <c r="S19" s="449" t="s">
        <v>1574</v>
      </c>
      <c r="T19" s="447" t="s">
        <v>77</v>
      </c>
      <c r="U19" s="193"/>
      <c r="V19" s="28"/>
      <c r="W19" s="28"/>
      <c r="X19" s="28"/>
      <c r="Y19" s="28"/>
      <c r="Z19" s="28"/>
      <c r="AA19" s="28"/>
      <c r="AB19" s="28"/>
      <c r="AC19" s="28"/>
      <c r="AD19" s="28"/>
      <c r="AE19" s="28"/>
      <c r="AF19" s="28"/>
      <c r="AG19" s="28"/>
    </row>
    <row r="20" spans="1:33" ht="38.25" x14ac:dyDescent="0.2">
      <c r="A20" s="455" t="s">
        <v>276</v>
      </c>
      <c r="B20" s="455" t="s">
        <v>1546</v>
      </c>
      <c r="C20" s="455" t="s">
        <v>1547</v>
      </c>
      <c r="D20" s="455" t="s">
        <v>74</v>
      </c>
      <c r="E20" s="455" t="s">
        <v>76</v>
      </c>
      <c r="F20" s="455" t="s">
        <v>6</v>
      </c>
      <c r="G20" s="455"/>
      <c r="H20" s="455" t="s">
        <v>596</v>
      </c>
      <c r="I20" s="456" t="s">
        <v>608</v>
      </c>
      <c r="J20" s="455" t="s">
        <v>597</v>
      </c>
      <c r="K20" s="456" t="s">
        <v>609</v>
      </c>
      <c r="L20" s="455" t="s">
        <v>610</v>
      </c>
      <c r="M20" s="455">
        <v>1</v>
      </c>
      <c r="N20" s="455" t="s">
        <v>196</v>
      </c>
      <c r="O20" s="456" t="s">
        <v>611</v>
      </c>
      <c r="P20" s="490">
        <v>1</v>
      </c>
      <c r="Q20" s="319">
        <f t="shared" si="0"/>
        <v>100</v>
      </c>
      <c r="R20" s="320"/>
      <c r="S20" s="449" t="s">
        <v>1575</v>
      </c>
      <c r="T20" s="447" t="s">
        <v>77</v>
      </c>
      <c r="U20" s="193"/>
      <c r="V20" s="28"/>
      <c r="W20" s="28"/>
      <c r="X20" s="28"/>
      <c r="Y20" s="28"/>
      <c r="Z20" s="28"/>
      <c r="AA20" s="28"/>
      <c r="AB20" s="28"/>
      <c r="AC20" s="28"/>
      <c r="AD20" s="28"/>
      <c r="AE20" s="28"/>
      <c r="AF20" s="28"/>
      <c r="AG20" s="28"/>
    </row>
    <row r="21" spans="1:33" ht="38.25" x14ac:dyDescent="0.2">
      <c r="A21" s="455" t="s">
        <v>276</v>
      </c>
      <c r="B21" s="455" t="s">
        <v>1546</v>
      </c>
      <c r="C21" s="455" t="s">
        <v>1549</v>
      </c>
      <c r="D21" s="455" t="s">
        <v>74</v>
      </c>
      <c r="E21" s="455" t="s">
        <v>76</v>
      </c>
      <c r="F21" s="455" t="s">
        <v>6</v>
      </c>
      <c r="G21" s="455"/>
      <c r="H21" s="455" t="s">
        <v>602</v>
      </c>
      <c r="I21" s="456" t="s">
        <v>608</v>
      </c>
      <c r="J21" s="455" t="s">
        <v>597</v>
      </c>
      <c r="K21" s="456" t="s">
        <v>609</v>
      </c>
      <c r="L21" s="455" t="s">
        <v>610</v>
      </c>
      <c r="M21" s="455">
        <v>1</v>
      </c>
      <c r="N21" s="455" t="s">
        <v>196</v>
      </c>
      <c r="O21" s="456" t="s">
        <v>612</v>
      </c>
      <c r="P21" s="490">
        <v>1</v>
      </c>
      <c r="Q21" s="319">
        <f t="shared" si="0"/>
        <v>100</v>
      </c>
      <c r="R21" s="179"/>
      <c r="S21" s="449" t="s">
        <v>1575</v>
      </c>
      <c r="T21" s="447" t="s">
        <v>77</v>
      </c>
      <c r="U21" s="193"/>
      <c r="V21" s="28"/>
      <c r="W21" s="28"/>
      <c r="X21" s="28"/>
      <c r="Y21" s="28"/>
      <c r="Z21" s="28"/>
      <c r="AA21" s="28"/>
      <c r="AB21" s="28"/>
      <c r="AC21" s="28"/>
      <c r="AD21" s="28"/>
      <c r="AE21" s="28"/>
      <c r="AF21" s="28"/>
      <c r="AG21" s="28"/>
    </row>
    <row r="22" spans="1:33" ht="78.75" customHeight="1" x14ac:dyDescent="0.2">
      <c r="A22" s="455" t="s">
        <v>276</v>
      </c>
      <c r="B22" s="455" t="s">
        <v>1546</v>
      </c>
      <c r="C22" s="455" t="s">
        <v>1547</v>
      </c>
      <c r="D22" s="455" t="s">
        <v>74</v>
      </c>
      <c r="E22" s="455" t="s">
        <v>76</v>
      </c>
      <c r="F22" s="455" t="s">
        <v>6</v>
      </c>
      <c r="G22" s="455"/>
      <c r="H22" s="455" t="s">
        <v>596</v>
      </c>
      <c r="I22" s="456" t="s">
        <v>608</v>
      </c>
      <c r="J22" s="455" t="s">
        <v>597</v>
      </c>
      <c r="K22" s="456" t="s">
        <v>613</v>
      </c>
      <c r="L22" s="455" t="s">
        <v>614</v>
      </c>
      <c r="M22" s="455">
        <v>7</v>
      </c>
      <c r="N22" s="455" t="s">
        <v>196</v>
      </c>
      <c r="O22" s="570" t="s">
        <v>615</v>
      </c>
      <c r="P22" s="490">
        <v>6</v>
      </c>
      <c r="Q22" s="319">
        <f t="shared" si="0"/>
        <v>85.714285714285708</v>
      </c>
      <c r="R22" s="651" t="s">
        <v>1840</v>
      </c>
      <c r="S22" s="449" t="s">
        <v>1575</v>
      </c>
      <c r="T22" s="447" t="s">
        <v>77</v>
      </c>
      <c r="U22" s="655" t="s">
        <v>1843</v>
      </c>
    </row>
    <row r="23" spans="1:33" ht="69.75" customHeight="1" x14ac:dyDescent="0.2">
      <c r="A23" s="455" t="s">
        <v>276</v>
      </c>
      <c r="B23" s="455" t="s">
        <v>1546</v>
      </c>
      <c r="C23" s="455" t="s">
        <v>1549</v>
      </c>
      <c r="D23" s="455" t="s">
        <v>74</v>
      </c>
      <c r="E23" s="455" t="s">
        <v>76</v>
      </c>
      <c r="F23" s="455" t="s">
        <v>6</v>
      </c>
      <c r="G23" s="455"/>
      <c r="H23" s="455" t="s">
        <v>602</v>
      </c>
      <c r="I23" s="456" t="s">
        <v>608</v>
      </c>
      <c r="J23" s="455" t="s">
        <v>597</v>
      </c>
      <c r="K23" s="456" t="s">
        <v>613</v>
      </c>
      <c r="L23" s="455" t="s">
        <v>614</v>
      </c>
      <c r="M23" s="455">
        <v>4</v>
      </c>
      <c r="N23" s="455" t="s">
        <v>196</v>
      </c>
      <c r="O23" s="456" t="s">
        <v>615</v>
      </c>
      <c r="P23" s="490">
        <v>3</v>
      </c>
      <c r="Q23" s="319">
        <f t="shared" si="0"/>
        <v>75</v>
      </c>
      <c r="R23" s="651" t="s">
        <v>1841</v>
      </c>
      <c r="S23" s="449" t="s">
        <v>1575</v>
      </c>
      <c r="T23" s="447" t="s">
        <v>77</v>
      </c>
      <c r="U23" s="655" t="s">
        <v>1842</v>
      </c>
    </row>
    <row r="24" spans="1:33" ht="62.25" customHeight="1" x14ac:dyDescent="0.2">
      <c r="A24" s="455" t="s">
        <v>276</v>
      </c>
      <c r="B24" s="455" t="s">
        <v>1546</v>
      </c>
      <c r="C24" s="455" t="s">
        <v>604</v>
      </c>
      <c r="D24" s="455" t="s">
        <v>74</v>
      </c>
      <c r="E24" s="455" t="s">
        <v>76</v>
      </c>
      <c r="F24" s="455" t="s">
        <v>6</v>
      </c>
      <c r="G24" s="455"/>
      <c r="H24" s="455" t="s">
        <v>603</v>
      </c>
      <c r="I24" s="456" t="s">
        <v>608</v>
      </c>
      <c r="J24" s="455" t="s">
        <v>597</v>
      </c>
      <c r="K24" s="456" t="s">
        <v>616</v>
      </c>
      <c r="L24" s="455" t="s">
        <v>614</v>
      </c>
      <c r="M24" s="455">
        <v>1</v>
      </c>
      <c r="N24" s="455" t="s">
        <v>196</v>
      </c>
      <c r="O24" s="456" t="s">
        <v>1553</v>
      </c>
      <c r="P24" s="490">
        <v>1</v>
      </c>
      <c r="Q24" s="319">
        <f t="shared" si="0"/>
        <v>100</v>
      </c>
      <c r="R24" s="321"/>
      <c r="S24" s="449" t="s">
        <v>1576</v>
      </c>
      <c r="T24" s="447" t="s">
        <v>77</v>
      </c>
      <c r="U24" s="656" t="s">
        <v>1844</v>
      </c>
    </row>
    <row r="25" spans="1:33" ht="38.25" x14ac:dyDescent="0.2">
      <c r="A25" s="455" t="s">
        <v>276</v>
      </c>
      <c r="B25" s="455" t="s">
        <v>1546</v>
      </c>
      <c r="C25" s="455" t="s">
        <v>1554</v>
      </c>
      <c r="D25" s="455" t="s">
        <v>74</v>
      </c>
      <c r="E25" s="455" t="s">
        <v>76</v>
      </c>
      <c r="F25" s="455" t="s">
        <v>6</v>
      </c>
      <c r="G25" s="455"/>
      <c r="H25" s="455" t="s">
        <v>618</v>
      </c>
      <c r="I25" s="456" t="s">
        <v>619</v>
      </c>
      <c r="J25" s="455" t="s">
        <v>597</v>
      </c>
      <c r="K25" s="456" t="s">
        <v>620</v>
      </c>
      <c r="L25" s="455" t="s">
        <v>621</v>
      </c>
      <c r="M25" s="455">
        <v>170</v>
      </c>
      <c r="N25" s="455" t="s">
        <v>196</v>
      </c>
      <c r="O25" s="456" t="s">
        <v>1555</v>
      </c>
      <c r="P25" s="490">
        <v>120</v>
      </c>
      <c r="Q25" s="319">
        <f t="shared" si="0"/>
        <v>70.588235294117652</v>
      </c>
      <c r="R25" s="490" t="s">
        <v>1798</v>
      </c>
      <c r="S25" s="449" t="s">
        <v>1576</v>
      </c>
      <c r="T25" s="447" t="s">
        <v>77</v>
      </c>
      <c r="U25" s="322" t="s">
        <v>1799</v>
      </c>
    </row>
    <row r="26" spans="1:33" ht="38.25" x14ac:dyDescent="0.2">
      <c r="A26" s="455" t="s">
        <v>276</v>
      </c>
      <c r="B26" s="455" t="s">
        <v>1546</v>
      </c>
      <c r="C26" s="455" t="s">
        <v>1554</v>
      </c>
      <c r="D26" s="455" t="s">
        <v>74</v>
      </c>
      <c r="E26" s="455" t="s">
        <v>76</v>
      </c>
      <c r="F26" s="455" t="s">
        <v>6</v>
      </c>
      <c r="G26" s="455"/>
      <c r="H26" s="455" t="s">
        <v>622</v>
      </c>
      <c r="I26" s="456" t="s">
        <v>619</v>
      </c>
      <c r="J26" s="455" t="s">
        <v>597</v>
      </c>
      <c r="K26" s="456" t="s">
        <v>623</v>
      </c>
      <c r="L26" s="455" t="s">
        <v>624</v>
      </c>
      <c r="M26" s="455">
        <v>30</v>
      </c>
      <c r="N26" s="455" t="s">
        <v>196</v>
      </c>
      <c r="O26" s="456" t="s">
        <v>1555</v>
      </c>
      <c r="P26" s="490">
        <v>20</v>
      </c>
      <c r="Q26" s="319">
        <f t="shared" si="0"/>
        <v>66.666666666666657</v>
      </c>
      <c r="R26" s="490" t="s">
        <v>1798</v>
      </c>
      <c r="S26" s="449" t="s">
        <v>1577</v>
      </c>
      <c r="T26" s="447" t="s">
        <v>77</v>
      </c>
      <c r="U26" s="322" t="s">
        <v>1799</v>
      </c>
    </row>
    <row r="27" spans="1:33" ht="38.25" x14ac:dyDescent="0.2">
      <c r="A27" s="455" t="s">
        <v>276</v>
      </c>
      <c r="B27" s="455" t="s">
        <v>1546</v>
      </c>
      <c r="C27" s="455" t="s">
        <v>1554</v>
      </c>
      <c r="D27" s="455" t="s">
        <v>74</v>
      </c>
      <c r="E27" s="455" t="s">
        <v>76</v>
      </c>
      <c r="F27" s="455" t="s">
        <v>6</v>
      </c>
      <c r="G27" s="455"/>
      <c r="H27" s="455" t="s">
        <v>625</v>
      </c>
      <c r="I27" s="456" t="s">
        <v>608</v>
      </c>
      <c r="J27" s="455" t="s">
        <v>597</v>
      </c>
      <c r="K27" s="456" t="s">
        <v>626</v>
      </c>
      <c r="L27" s="455" t="s">
        <v>627</v>
      </c>
      <c r="M27" s="455">
        <v>2</v>
      </c>
      <c r="N27" s="455" t="s">
        <v>196</v>
      </c>
      <c r="O27" s="456" t="s">
        <v>617</v>
      </c>
      <c r="P27" s="490">
        <v>2</v>
      </c>
      <c r="Q27" s="319">
        <f t="shared" si="0"/>
        <v>100</v>
      </c>
      <c r="R27" s="490"/>
      <c r="S27" s="449" t="s">
        <v>1574</v>
      </c>
      <c r="T27" s="447" t="s">
        <v>77</v>
      </c>
      <c r="U27" s="322"/>
    </row>
    <row r="28" spans="1:33" ht="38.25" x14ac:dyDescent="0.2">
      <c r="A28" s="455" t="s">
        <v>276</v>
      </c>
      <c r="B28" s="455" t="s">
        <v>1546</v>
      </c>
      <c r="C28" s="455" t="s">
        <v>1554</v>
      </c>
      <c r="D28" s="455" t="s">
        <v>74</v>
      </c>
      <c r="E28" s="455" t="s">
        <v>153</v>
      </c>
      <c r="F28" s="455" t="s">
        <v>6</v>
      </c>
      <c r="G28" s="455"/>
      <c r="H28" s="455" t="s">
        <v>622</v>
      </c>
      <c r="I28" s="456" t="s">
        <v>1556</v>
      </c>
      <c r="J28" s="455" t="s">
        <v>597</v>
      </c>
      <c r="K28" s="456" t="s">
        <v>623</v>
      </c>
      <c r="L28" s="455" t="s">
        <v>624</v>
      </c>
      <c r="M28" s="455">
        <v>30</v>
      </c>
      <c r="N28" s="455" t="s">
        <v>196</v>
      </c>
      <c r="O28" s="456" t="s">
        <v>617</v>
      </c>
      <c r="P28" s="490">
        <v>20</v>
      </c>
      <c r="Q28" s="319">
        <f t="shared" si="0"/>
        <v>66.666666666666657</v>
      </c>
      <c r="R28" s="321" t="s">
        <v>1798</v>
      </c>
      <c r="S28" s="449" t="s">
        <v>1652</v>
      </c>
      <c r="T28" s="447" t="s">
        <v>77</v>
      </c>
      <c r="U28" s="322" t="s">
        <v>1801</v>
      </c>
    </row>
    <row r="29" spans="1:33" ht="38.25" x14ac:dyDescent="0.2">
      <c r="A29" s="455" t="s">
        <v>276</v>
      </c>
      <c r="B29" s="455" t="s">
        <v>1546</v>
      </c>
      <c r="C29" s="455" t="s">
        <v>1554</v>
      </c>
      <c r="D29" s="455" t="s">
        <v>74</v>
      </c>
      <c r="E29" s="455" t="s">
        <v>153</v>
      </c>
      <c r="F29" s="455" t="s">
        <v>6</v>
      </c>
      <c r="G29" s="455"/>
      <c r="H29" s="455" t="s">
        <v>625</v>
      </c>
      <c r="I29" s="456" t="s">
        <v>1557</v>
      </c>
      <c r="J29" s="455" t="s">
        <v>597</v>
      </c>
      <c r="K29" s="456" t="s">
        <v>1558</v>
      </c>
      <c r="L29" s="455" t="s">
        <v>627</v>
      </c>
      <c r="M29" s="455">
        <v>4</v>
      </c>
      <c r="N29" s="455" t="s">
        <v>196</v>
      </c>
      <c r="O29" s="456" t="s">
        <v>617</v>
      </c>
      <c r="P29" s="490">
        <v>4</v>
      </c>
      <c r="Q29" s="319">
        <f t="shared" si="0"/>
        <v>100</v>
      </c>
      <c r="R29" s="320"/>
      <c r="S29" s="449" t="s">
        <v>1653</v>
      </c>
      <c r="T29" s="447" t="s">
        <v>77</v>
      </c>
      <c r="U29" s="320"/>
    </row>
    <row r="30" spans="1:33" x14ac:dyDescent="0.2">
      <c r="M30" s="28"/>
      <c r="N30" s="28"/>
      <c r="O30" s="28"/>
      <c r="S30" s="28"/>
      <c r="T30" s="398"/>
      <c r="U30" s="28"/>
    </row>
    <row r="31" spans="1:33" x14ac:dyDescent="0.2">
      <c r="M31" s="28"/>
      <c r="N31" s="28"/>
      <c r="O31" s="28"/>
    </row>
    <row r="32" spans="1:33" x14ac:dyDescent="0.2">
      <c r="M32" s="28"/>
      <c r="N32" s="28"/>
      <c r="O32" s="28"/>
    </row>
    <row r="33" spans="13:19" x14ac:dyDescent="0.2">
      <c r="M33" s="28"/>
      <c r="N33" s="28"/>
      <c r="O33" s="28"/>
    </row>
    <row r="34" spans="13:19" x14ac:dyDescent="0.2">
      <c r="M34" s="28"/>
      <c r="N34" s="28"/>
      <c r="O34" s="28"/>
    </row>
    <row r="35" spans="13:19" x14ac:dyDescent="0.2">
      <c r="M35" s="28"/>
      <c r="N35" s="28"/>
      <c r="O35" s="28"/>
    </row>
    <row r="36" spans="13:19" x14ac:dyDescent="0.2">
      <c r="M36" s="28"/>
      <c r="N36" s="28"/>
      <c r="O36" s="28"/>
    </row>
    <row r="37" spans="13:19" x14ac:dyDescent="0.2">
      <c r="M37" s="28"/>
      <c r="N37" s="28"/>
      <c r="O37" s="28"/>
    </row>
    <row r="38" spans="13:19" x14ac:dyDescent="0.2">
      <c r="M38" s="28"/>
      <c r="N38" s="28"/>
      <c r="O38" s="28"/>
      <c r="S38" s="2"/>
    </row>
    <row r="39" spans="13:19" x14ac:dyDescent="0.2">
      <c r="M39" s="28"/>
      <c r="N39" s="28"/>
      <c r="O39" s="28"/>
    </row>
    <row r="40" spans="13:19" x14ac:dyDescent="0.2">
      <c r="M40" s="28"/>
      <c r="N40" s="28"/>
      <c r="O40" s="28"/>
    </row>
    <row r="41" spans="13:19" x14ac:dyDescent="0.2">
      <c r="M41" s="28"/>
      <c r="N41" s="28"/>
      <c r="O41" s="28"/>
    </row>
    <row r="42" spans="13:19" x14ac:dyDescent="0.2">
      <c r="M42" s="28"/>
      <c r="N42" s="28"/>
      <c r="O42" s="28"/>
    </row>
    <row r="43" spans="13:19" x14ac:dyDescent="0.2">
      <c r="M43" s="28"/>
      <c r="N43" s="28"/>
      <c r="O43" s="28"/>
    </row>
    <row r="44" spans="13:19" x14ac:dyDescent="0.2">
      <c r="M44" s="28"/>
      <c r="N44" s="28"/>
      <c r="O44" s="28"/>
    </row>
    <row r="45" spans="13:19" x14ac:dyDescent="0.2">
      <c r="M45" s="28"/>
      <c r="N45" s="28"/>
      <c r="O45" s="28"/>
    </row>
    <row r="46" spans="13:19" x14ac:dyDescent="0.2">
      <c r="M46" s="28"/>
      <c r="N46" s="28"/>
      <c r="O46" s="28"/>
    </row>
    <row r="47" spans="13:19" x14ac:dyDescent="0.2">
      <c r="M47" s="28"/>
      <c r="N47" s="28"/>
      <c r="O47" s="28"/>
    </row>
    <row r="48" spans="13:19" x14ac:dyDescent="0.2">
      <c r="M48" s="28"/>
      <c r="N48" s="28"/>
      <c r="O48" s="28"/>
    </row>
    <row r="49" spans="13:15" x14ac:dyDescent="0.2">
      <c r="M49" s="28"/>
      <c r="N49" s="28"/>
      <c r="O49" s="28"/>
    </row>
    <row r="50" spans="13:15" x14ac:dyDescent="0.2">
      <c r="M50" s="28"/>
      <c r="N50" s="28"/>
      <c r="O50" s="28"/>
    </row>
    <row r="51" spans="13:15" x14ac:dyDescent="0.2">
      <c r="M51" s="28"/>
      <c r="N51" s="28"/>
      <c r="O51" s="28"/>
    </row>
    <row r="52" spans="13:15" x14ac:dyDescent="0.2">
      <c r="M52" s="28"/>
      <c r="N52" s="28"/>
      <c r="O52" s="28"/>
    </row>
    <row r="53" spans="13:15" x14ac:dyDescent="0.2">
      <c r="M53" s="28"/>
      <c r="N53" s="28"/>
      <c r="O53" s="28"/>
    </row>
    <row r="54" spans="13:15" x14ac:dyDescent="0.2">
      <c r="M54" s="28"/>
      <c r="N54" s="28"/>
      <c r="O54" s="28"/>
    </row>
    <row r="55" spans="13:15" x14ac:dyDescent="0.2">
      <c r="M55" s="28"/>
      <c r="N55" s="28"/>
      <c r="O55" s="28"/>
    </row>
    <row r="56" spans="13:15" x14ac:dyDescent="0.2">
      <c r="M56" s="28"/>
      <c r="N56" s="28"/>
      <c r="O56" s="28"/>
    </row>
    <row r="57" spans="13:15" x14ac:dyDescent="0.2">
      <c r="M57" s="28"/>
      <c r="N57" s="28"/>
      <c r="O57" s="28"/>
    </row>
    <row r="58" spans="13:15" x14ac:dyDescent="0.2">
      <c r="M58" s="28"/>
      <c r="N58" s="28"/>
      <c r="O58" s="28"/>
    </row>
    <row r="59" spans="13:15" x14ac:dyDescent="0.2">
      <c r="M59" s="28"/>
      <c r="N59" s="28"/>
      <c r="O59" s="28"/>
    </row>
    <row r="60" spans="13:15" x14ac:dyDescent="0.2">
      <c r="M60" s="28"/>
      <c r="N60" s="28"/>
      <c r="O60" s="28"/>
    </row>
    <row r="61" spans="13:15" x14ac:dyDescent="0.2">
      <c r="M61" s="28"/>
      <c r="N61" s="28"/>
      <c r="O61" s="28"/>
    </row>
    <row r="62" spans="13:15" x14ac:dyDescent="0.2">
      <c r="M62" s="28"/>
      <c r="N62" s="28"/>
      <c r="O62" s="28"/>
    </row>
    <row r="63" spans="13:15" x14ac:dyDescent="0.2">
      <c r="M63" s="28"/>
      <c r="N63" s="28"/>
      <c r="O63" s="28"/>
    </row>
    <row r="64" spans="13:15" x14ac:dyDescent="0.2">
      <c r="M64" s="28"/>
      <c r="N64" s="28"/>
      <c r="O64" s="28"/>
    </row>
    <row r="65" spans="13:15" x14ac:dyDescent="0.2">
      <c r="M65" s="28"/>
      <c r="N65" s="28"/>
      <c r="O65" s="28"/>
    </row>
    <row r="66" spans="13:15" x14ac:dyDescent="0.2">
      <c r="M66" s="28"/>
      <c r="N66" s="28"/>
      <c r="O66" s="28"/>
    </row>
    <row r="67" spans="13:15" x14ac:dyDescent="0.2">
      <c r="M67" s="28"/>
      <c r="N67" s="28"/>
      <c r="O67" s="28"/>
    </row>
    <row r="68" spans="13:15" x14ac:dyDescent="0.2">
      <c r="M68" s="28"/>
      <c r="N68" s="28"/>
      <c r="O68" s="28"/>
    </row>
    <row r="69" spans="13:15" x14ac:dyDescent="0.2">
      <c r="M69" s="28"/>
      <c r="N69" s="28"/>
      <c r="O69" s="28"/>
    </row>
    <row r="70" spans="13:15" x14ac:dyDescent="0.2">
      <c r="M70" s="28"/>
      <c r="N70" s="28"/>
      <c r="O70" s="28"/>
    </row>
    <row r="71" spans="13:15" x14ac:dyDescent="0.2">
      <c r="M71" s="28"/>
      <c r="N71" s="28"/>
      <c r="O71" s="28"/>
    </row>
    <row r="72" spans="13:15" x14ac:dyDescent="0.2">
      <c r="M72" s="28"/>
      <c r="N72" s="28"/>
      <c r="O72" s="28"/>
    </row>
    <row r="73" spans="13:15" x14ac:dyDescent="0.2">
      <c r="M73" s="28"/>
      <c r="N73" s="28"/>
      <c r="O73" s="28"/>
    </row>
    <row r="74" spans="13:15" x14ac:dyDescent="0.2">
      <c r="M74" s="28"/>
      <c r="N74" s="28"/>
      <c r="O74" s="28"/>
    </row>
    <row r="75" spans="13:15" x14ac:dyDescent="0.2">
      <c r="M75" s="28"/>
      <c r="N75" s="28"/>
      <c r="O75" s="28"/>
    </row>
    <row r="76" spans="13:15" x14ac:dyDescent="0.2">
      <c r="M76" s="28"/>
      <c r="N76" s="28"/>
      <c r="O76" s="28"/>
    </row>
    <row r="77" spans="13:15" x14ac:dyDescent="0.2">
      <c r="M77" s="28"/>
      <c r="N77" s="28"/>
      <c r="O77" s="28"/>
    </row>
    <row r="78" spans="13:15" x14ac:dyDescent="0.2">
      <c r="M78" s="28"/>
      <c r="N78" s="28"/>
      <c r="O78" s="28"/>
    </row>
    <row r="79" spans="13:15" x14ac:dyDescent="0.2">
      <c r="M79" s="28"/>
      <c r="N79" s="28"/>
      <c r="O79" s="28"/>
    </row>
    <row r="80" spans="13:15" x14ac:dyDescent="0.2">
      <c r="M80" s="28"/>
      <c r="N80" s="28"/>
      <c r="O80" s="28"/>
    </row>
    <row r="81" spans="13:15" x14ac:dyDescent="0.2">
      <c r="M81" s="28"/>
      <c r="N81" s="28"/>
      <c r="O81" s="28"/>
    </row>
    <row r="82" spans="13:15" x14ac:dyDescent="0.2">
      <c r="M82" s="28"/>
      <c r="N82" s="28"/>
      <c r="O82" s="28"/>
    </row>
    <row r="83" spans="13:15" x14ac:dyDescent="0.2">
      <c r="M83" s="28"/>
      <c r="N83" s="28"/>
      <c r="O83" s="28"/>
    </row>
    <row r="84" spans="13:15" x14ac:dyDescent="0.2">
      <c r="M84" s="28"/>
      <c r="N84" s="28"/>
      <c r="O84" s="28"/>
    </row>
    <row r="85" spans="13:15" x14ac:dyDescent="0.2">
      <c r="M85" s="28"/>
      <c r="N85" s="28"/>
      <c r="O85" s="28"/>
    </row>
    <row r="86" spans="13:15" x14ac:dyDescent="0.2">
      <c r="M86" s="28"/>
      <c r="N86" s="28"/>
      <c r="O86" s="28"/>
    </row>
    <row r="87" spans="13:15" x14ac:dyDescent="0.2">
      <c r="M87" s="28"/>
      <c r="N87" s="28"/>
      <c r="O87" s="28"/>
    </row>
    <row r="88" spans="13:15" x14ac:dyDescent="0.2">
      <c r="M88" s="28"/>
      <c r="N88" s="28"/>
      <c r="O88" s="28"/>
    </row>
    <row r="89" spans="13:15" x14ac:dyDescent="0.2">
      <c r="M89" s="28"/>
      <c r="N89" s="28"/>
      <c r="O89" s="28"/>
    </row>
    <row r="90" spans="13:15" x14ac:dyDescent="0.2">
      <c r="M90" s="28"/>
      <c r="N90" s="28"/>
      <c r="O90" s="28"/>
    </row>
    <row r="91" spans="13:15" x14ac:dyDescent="0.2">
      <c r="M91" s="28"/>
      <c r="N91" s="28"/>
      <c r="O91" s="28"/>
    </row>
    <row r="92" spans="13:15" x14ac:dyDescent="0.2">
      <c r="M92" s="28"/>
      <c r="N92" s="28"/>
      <c r="O92" s="28"/>
    </row>
    <row r="93" spans="13:15" x14ac:dyDescent="0.2">
      <c r="M93" s="28"/>
      <c r="N93" s="28"/>
      <c r="O93" s="28"/>
    </row>
    <row r="94" spans="13:15" x14ac:dyDescent="0.2">
      <c r="M94" s="28"/>
      <c r="N94" s="28"/>
      <c r="O94" s="28"/>
    </row>
    <row r="95" spans="13:15" x14ac:dyDescent="0.2">
      <c r="M95" s="28"/>
      <c r="N95" s="28"/>
      <c r="O95" s="28"/>
    </row>
    <row r="96" spans="13:15" x14ac:dyDescent="0.2">
      <c r="M96" s="28"/>
      <c r="N96" s="28"/>
      <c r="O96" s="28"/>
    </row>
    <row r="97" spans="13:15" x14ac:dyDescent="0.2">
      <c r="M97" s="28"/>
      <c r="N97" s="28"/>
      <c r="O97" s="28"/>
    </row>
    <row r="98" spans="13:15" x14ac:dyDescent="0.2">
      <c r="M98" s="28"/>
      <c r="N98" s="28"/>
      <c r="O98" s="28"/>
    </row>
    <row r="99" spans="13:15" x14ac:dyDescent="0.2">
      <c r="M99" s="28"/>
      <c r="N99" s="28"/>
      <c r="O99" s="28"/>
    </row>
    <row r="100" spans="13:15" x14ac:dyDescent="0.2">
      <c r="M100" s="28"/>
      <c r="N100" s="28"/>
      <c r="O100" s="28"/>
    </row>
    <row r="101" spans="13:15" x14ac:dyDescent="0.2">
      <c r="M101" s="28"/>
      <c r="N101" s="28"/>
      <c r="O101" s="28"/>
    </row>
    <row r="102" spans="13:15" x14ac:dyDescent="0.2">
      <c r="M102" s="28"/>
      <c r="N102" s="28"/>
      <c r="O102" s="28"/>
    </row>
    <row r="103" spans="13:15" x14ac:dyDescent="0.2">
      <c r="M103" s="28"/>
      <c r="N103" s="28"/>
      <c r="O103" s="28"/>
    </row>
    <row r="104" spans="13:15" x14ac:dyDescent="0.2">
      <c r="M104" s="28"/>
      <c r="N104" s="28"/>
      <c r="O104" s="28"/>
    </row>
    <row r="105" spans="13:15" x14ac:dyDescent="0.2">
      <c r="M105" s="28"/>
      <c r="N105" s="28"/>
      <c r="O105" s="28"/>
    </row>
    <row r="106" spans="13:15" x14ac:dyDescent="0.2">
      <c r="M106" s="28"/>
      <c r="N106" s="28"/>
      <c r="O106" s="28"/>
    </row>
    <row r="107" spans="13:15" x14ac:dyDescent="0.2">
      <c r="M107" s="28"/>
      <c r="N107" s="28"/>
      <c r="O107" s="28"/>
    </row>
    <row r="108" spans="13:15" x14ac:dyDescent="0.2">
      <c r="M108" s="28"/>
      <c r="N108" s="28"/>
      <c r="O108" s="28"/>
    </row>
    <row r="109" spans="13:15" x14ac:dyDescent="0.2">
      <c r="M109" s="28"/>
      <c r="N109" s="28"/>
      <c r="O109" s="28"/>
    </row>
    <row r="110" spans="13:15" x14ac:dyDescent="0.2">
      <c r="M110" s="28"/>
      <c r="N110" s="28"/>
      <c r="O110" s="28"/>
    </row>
    <row r="111" spans="13:15" x14ac:dyDescent="0.2">
      <c r="M111" s="28"/>
      <c r="N111" s="28"/>
      <c r="O111" s="28"/>
    </row>
    <row r="112" spans="13:15" x14ac:dyDescent="0.2">
      <c r="M112" s="28"/>
      <c r="N112" s="28"/>
      <c r="O112" s="28"/>
    </row>
    <row r="113" spans="13:15" x14ac:dyDescent="0.2">
      <c r="M113" s="28"/>
      <c r="N113" s="28"/>
      <c r="O113" s="28"/>
    </row>
    <row r="114" spans="13:15" x14ac:dyDescent="0.2">
      <c r="M114" s="28"/>
      <c r="N114" s="28"/>
      <c r="O114" s="28"/>
    </row>
    <row r="115" spans="13:15" x14ac:dyDescent="0.2">
      <c r="M115" s="28"/>
      <c r="N115" s="28"/>
      <c r="O115" s="28"/>
    </row>
    <row r="116" spans="13:15" x14ac:dyDescent="0.2">
      <c r="M116" s="28"/>
      <c r="N116" s="28"/>
      <c r="O116" s="28"/>
    </row>
    <row r="117" spans="13:15" x14ac:dyDescent="0.2">
      <c r="M117" s="28"/>
      <c r="N117" s="28"/>
      <c r="O117" s="28"/>
    </row>
    <row r="118" spans="13:15" x14ac:dyDescent="0.2">
      <c r="M118" s="28"/>
      <c r="N118" s="28"/>
      <c r="O118" s="28"/>
    </row>
    <row r="119" spans="13:15" x14ac:dyDescent="0.2">
      <c r="M119" s="28"/>
      <c r="N119" s="28"/>
      <c r="O119" s="28"/>
    </row>
    <row r="120" spans="13:15" x14ac:dyDescent="0.2">
      <c r="M120" s="28"/>
      <c r="N120" s="28"/>
      <c r="O120" s="28"/>
    </row>
    <row r="121" spans="13:15" x14ac:dyDescent="0.2">
      <c r="M121" s="28"/>
      <c r="N121" s="28"/>
      <c r="O121" s="28"/>
    </row>
    <row r="122" spans="13:15" x14ac:dyDescent="0.2">
      <c r="M122" s="28"/>
      <c r="N122" s="28"/>
      <c r="O122" s="28"/>
    </row>
    <row r="123" spans="13:15" x14ac:dyDescent="0.2">
      <c r="M123" s="28"/>
      <c r="N123" s="28"/>
      <c r="O123" s="28"/>
    </row>
    <row r="124" spans="13:15" x14ac:dyDescent="0.2">
      <c r="M124" s="28"/>
      <c r="N124" s="28"/>
      <c r="O124" s="28"/>
    </row>
    <row r="125" spans="13:15" x14ac:dyDescent="0.2">
      <c r="M125" s="28"/>
      <c r="N125" s="28"/>
      <c r="O125" s="28"/>
    </row>
    <row r="126" spans="13:15" x14ac:dyDescent="0.2">
      <c r="M126" s="28"/>
      <c r="N126" s="28"/>
      <c r="O126" s="28"/>
    </row>
    <row r="127" spans="13:15" x14ac:dyDescent="0.2">
      <c r="M127" s="28"/>
      <c r="N127" s="28"/>
      <c r="O127" s="28"/>
    </row>
    <row r="128" spans="13:15" x14ac:dyDescent="0.2">
      <c r="M128" s="28"/>
      <c r="N128" s="28"/>
      <c r="O128" s="28"/>
    </row>
    <row r="129" spans="13:15" x14ac:dyDescent="0.2">
      <c r="M129" s="28"/>
      <c r="N129" s="28"/>
      <c r="O129" s="28"/>
    </row>
    <row r="130" spans="13:15" x14ac:dyDescent="0.2">
      <c r="M130" s="28"/>
      <c r="N130" s="28"/>
      <c r="O130" s="28"/>
    </row>
    <row r="131" spans="13:15" x14ac:dyDescent="0.2">
      <c r="M131" s="28"/>
      <c r="N131" s="28"/>
      <c r="O131" s="28"/>
    </row>
    <row r="132" spans="13:15" x14ac:dyDescent="0.2">
      <c r="M132" s="28"/>
      <c r="N132" s="28"/>
      <c r="O132" s="28"/>
    </row>
    <row r="133" spans="13:15" x14ac:dyDescent="0.2">
      <c r="M133" s="28"/>
      <c r="N133" s="28"/>
      <c r="O133" s="28"/>
    </row>
    <row r="134" spans="13:15" x14ac:dyDescent="0.2">
      <c r="M134" s="28"/>
      <c r="N134" s="28"/>
      <c r="O134" s="28"/>
    </row>
    <row r="135" spans="13:15" x14ac:dyDescent="0.2">
      <c r="M135" s="28"/>
      <c r="N135" s="28"/>
      <c r="O135" s="28"/>
    </row>
    <row r="136" spans="13:15" x14ac:dyDescent="0.2">
      <c r="M136" s="28"/>
      <c r="N136" s="28"/>
      <c r="O136" s="28"/>
    </row>
    <row r="137" spans="13:15" x14ac:dyDescent="0.2">
      <c r="M137" s="28"/>
      <c r="N137" s="28"/>
      <c r="O137" s="28"/>
    </row>
    <row r="138" spans="13:15" x14ac:dyDescent="0.2">
      <c r="M138" s="28"/>
      <c r="N138" s="28"/>
      <c r="O138" s="28"/>
    </row>
    <row r="139" spans="13:15" x14ac:dyDescent="0.2">
      <c r="M139" s="28"/>
      <c r="N139" s="28"/>
      <c r="O139" s="28"/>
    </row>
    <row r="140" spans="13:15" x14ac:dyDescent="0.2">
      <c r="M140" s="28"/>
      <c r="N140" s="28"/>
      <c r="O140" s="28"/>
    </row>
    <row r="141" spans="13:15" x14ac:dyDescent="0.2">
      <c r="M141" s="28"/>
      <c r="N141" s="28"/>
      <c r="O141" s="28"/>
    </row>
    <row r="142" spans="13:15" x14ac:dyDescent="0.2">
      <c r="M142" s="28"/>
      <c r="N142" s="28"/>
      <c r="O142" s="28"/>
    </row>
    <row r="143" spans="13:15" x14ac:dyDescent="0.2">
      <c r="M143" s="28"/>
      <c r="N143" s="28"/>
      <c r="O143" s="28"/>
    </row>
    <row r="144" spans="13:15" x14ac:dyDescent="0.2">
      <c r="M144" s="28"/>
      <c r="N144" s="28"/>
      <c r="O144" s="28"/>
    </row>
    <row r="145" spans="13:15" x14ac:dyDescent="0.2">
      <c r="M145" s="28"/>
      <c r="N145" s="28"/>
      <c r="O145" s="28"/>
    </row>
    <row r="146" spans="13:15" x14ac:dyDescent="0.2">
      <c r="M146" s="28"/>
      <c r="N146" s="28"/>
      <c r="O146" s="28"/>
    </row>
    <row r="147" spans="13:15" x14ac:dyDescent="0.2">
      <c r="M147" s="28"/>
      <c r="N147" s="28"/>
      <c r="O147" s="28"/>
    </row>
    <row r="148" spans="13:15" x14ac:dyDescent="0.2">
      <c r="M148" s="28"/>
      <c r="N148" s="28"/>
      <c r="O148" s="28"/>
    </row>
    <row r="149" spans="13:15" x14ac:dyDescent="0.2">
      <c r="M149" s="28"/>
      <c r="N149" s="28"/>
      <c r="O149" s="28"/>
    </row>
    <row r="150" spans="13:15" x14ac:dyDescent="0.2">
      <c r="M150" s="28"/>
      <c r="N150" s="28"/>
      <c r="O150" s="28"/>
    </row>
    <row r="151" spans="13:15" x14ac:dyDescent="0.2">
      <c r="M151" s="28"/>
      <c r="N151" s="28"/>
      <c r="O151" s="28"/>
    </row>
    <row r="152" spans="13:15" x14ac:dyDescent="0.2">
      <c r="M152" s="28"/>
      <c r="N152" s="28"/>
      <c r="O152" s="28"/>
    </row>
    <row r="153" spans="13:15" x14ac:dyDescent="0.2">
      <c r="M153" s="28"/>
      <c r="N153" s="28"/>
      <c r="O153" s="28"/>
    </row>
    <row r="154" spans="13:15" x14ac:dyDescent="0.2">
      <c r="M154" s="28"/>
      <c r="N154" s="28"/>
      <c r="O154" s="28"/>
    </row>
    <row r="155" spans="13:15" x14ac:dyDescent="0.2">
      <c r="M155" s="28"/>
      <c r="N155" s="28"/>
      <c r="O155" s="28"/>
    </row>
    <row r="156" spans="13:15" x14ac:dyDescent="0.2">
      <c r="M156" s="28"/>
      <c r="N156" s="28"/>
      <c r="O156" s="28"/>
    </row>
    <row r="157" spans="13:15" x14ac:dyDescent="0.2">
      <c r="M157" s="28"/>
      <c r="N157" s="28"/>
      <c r="O157" s="28"/>
    </row>
    <row r="158" spans="13:15" x14ac:dyDescent="0.2">
      <c r="M158" s="28"/>
      <c r="N158" s="28"/>
      <c r="O158" s="28"/>
    </row>
    <row r="159" spans="13:15" x14ac:dyDescent="0.2">
      <c r="M159" s="28"/>
      <c r="N159" s="28"/>
      <c r="O159" s="28"/>
    </row>
    <row r="160" spans="13:15" x14ac:dyDescent="0.2">
      <c r="M160" s="28"/>
      <c r="N160" s="28"/>
      <c r="O160" s="28"/>
    </row>
    <row r="161" spans="13:15" x14ac:dyDescent="0.2">
      <c r="M161" s="28"/>
      <c r="N161" s="28"/>
      <c r="O161" s="28"/>
    </row>
    <row r="162" spans="13:15" x14ac:dyDescent="0.2">
      <c r="M162" s="28"/>
      <c r="N162" s="28"/>
      <c r="O162" s="28"/>
    </row>
    <row r="163" spans="13:15" x14ac:dyDescent="0.2">
      <c r="M163" s="28"/>
      <c r="N163" s="28"/>
      <c r="O163" s="28"/>
    </row>
    <row r="164" spans="13:15" x14ac:dyDescent="0.2">
      <c r="M164" s="28"/>
      <c r="N164" s="28"/>
      <c r="O164" s="28"/>
    </row>
    <row r="165" spans="13:15" x14ac:dyDescent="0.2">
      <c r="M165" s="28"/>
      <c r="N165" s="28"/>
      <c r="O165" s="28"/>
    </row>
    <row r="166" spans="13:15" x14ac:dyDescent="0.2">
      <c r="M166" s="28"/>
      <c r="N166" s="28"/>
      <c r="O166" s="28"/>
    </row>
    <row r="167" spans="13:15" x14ac:dyDescent="0.2">
      <c r="M167" s="28"/>
      <c r="N167" s="28"/>
      <c r="O167" s="28"/>
    </row>
    <row r="168" spans="13:15" x14ac:dyDescent="0.2">
      <c r="M168" s="28"/>
      <c r="N168" s="28"/>
      <c r="O168" s="28"/>
    </row>
    <row r="169" spans="13:15" x14ac:dyDescent="0.2">
      <c r="M169" s="28"/>
      <c r="N169" s="28"/>
      <c r="O169" s="28"/>
    </row>
    <row r="170" spans="13:15" x14ac:dyDescent="0.2">
      <c r="M170" s="28"/>
      <c r="N170" s="28"/>
      <c r="O170" s="28"/>
    </row>
    <row r="171" spans="13:15" x14ac:dyDescent="0.2">
      <c r="M171" s="28"/>
      <c r="N171" s="28"/>
      <c r="O171" s="28"/>
    </row>
    <row r="172" spans="13:15" x14ac:dyDescent="0.2">
      <c r="M172" s="28"/>
      <c r="N172" s="28"/>
      <c r="O172" s="28"/>
    </row>
    <row r="173" spans="13:15" x14ac:dyDescent="0.2">
      <c r="M173" s="28"/>
      <c r="N173" s="28"/>
      <c r="O173" s="28"/>
    </row>
    <row r="174" spans="13:15" x14ac:dyDescent="0.2">
      <c r="M174" s="28"/>
      <c r="N174" s="28"/>
      <c r="O174" s="28"/>
    </row>
    <row r="175" spans="13:15" x14ac:dyDescent="0.2">
      <c r="M175" s="28"/>
      <c r="N175" s="28"/>
      <c r="O175" s="28"/>
    </row>
    <row r="176" spans="13:15" x14ac:dyDescent="0.2">
      <c r="M176" s="28"/>
      <c r="N176" s="28"/>
      <c r="O176" s="28"/>
    </row>
    <row r="177" spans="13:15" x14ac:dyDescent="0.2">
      <c r="M177" s="28"/>
      <c r="N177" s="28"/>
      <c r="O177" s="28"/>
    </row>
    <row r="178" spans="13:15" x14ac:dyDescent="0.2">
      <c r="M178" s="28"/>
      <c r="N178" s="28"/>
      <c r="O178" s="28"/>
    </row>
    <row r="179" spans="13:15" x14ac:dyDescent="0.2">
      <c r="M179" s="28"/>
      <c r="N179" s="28"/>
      <c r="O179" s="28"/>
    </row>
    <row r="180" spans="13:15" x14ac:dyDescent="0.2">
      <c r="M180" s="28"/>
      <c r="N180" s="28"/>
      <c r="O180" s="28"/>
    </row>
    <row r="181" spans="13:15" x14ac:dyDescent="0.2">
      <c r="M181" s="28"/>
      <c r="N181" s="28"/>
      <c r="O181" s="28"/>
    </row>
    <row r="182" spans="13:15" x14ac:dyDescent="0.2">
      <c r="M182" s="28"/>
      <c r="N182" s="28"/>
      <c r="O182" s="28"/>
    </row>
    <row r="183" spans="13:15" x14ac:dyDescent="0.2">
      <c r="M183" s="28"/>
      <c r="N183" s="28"/>
      <c r="O183" s="28"/>
    </row>
    <row r="184" spans="13:15" x14ac:dyDescent="0.2">
      <c r="M184" s="28"/>
      <c r="N184" s="28"/>
      <c r="O184" s="28"/>
    </row>
    <row r="185" spans="13:15" x14ac:dyDescent="0.2">
      <c r="M185" s="28"/>
      <c r="N185" s="28"/>
      <c r="O185" s="28"/>
    </row>
    <row r="186" spans="13:15" x14ac:dyDescent="0.2">
      <c r="M186" s="28"/>
      <c r="N186" s="28"/>
      <c r="O186" s="28"/>
    </row>
    <row r="187" spans="13:15" x14ac:dyDescent="0.2">
      <c r="M187" s="28"/>
      <c r="N187" s="28"/>
      <c r="O187" s="28"/>
    </row>
    <row r="188" spans="13:15" x14ac:dyDescent="0.2">
      <c r="M188" s="28"/>
      <c r="N188" s="28"/>
      <c r="O188" s="28"/>
    </row>
    <row r="189" spans="13:15" x14ac:dyDescent="0.2">
      <c r="M189" s="28"/>
      <c r="N189" s="28"/>
      <c r="O189" s="28"/>
    </row>
    <row r="190" spans="13:15" x14ac:dyDescent="0.2">
      <c r="M190" s="28"/>
      <c r="N190" s="28"/>
      <c r="O190" s="28"/>
    </row>
    <row r="191" spans="13:15" x14ac:dyDescent="0.2">
      <c r="M191" s="28"/>
      <c r="N191" s="28"/>
      <c r="O191" s="28"/>
    </row>
    <row r="192" spans="13:15" x14ac:dyDescent="0.2">
      <c r="M192" s="28"/>
      <c r="N192" s="28"/>
      <c r="O192" s="28"/>
    </row>
    <row r="193" spans="13:15" x14ac:dyDescent="0.2">
      <c r="M193" s="28"/>
      <c r="N193" s="28"/>
      <c r="O193" s="28"/>
    </row>
    <row r="194" spans="13:15" x14ac:dyDescent="0.2">
      <c r="M194" s="28"/>
      <c r="N194" s="28"/>
      <c r="O194" s="28"/>
    </row>
    <row r="195" spans="13:15" x14ac:dyDescent="0.2">
      <c r="M195" s="28"/>
      <c r="N195" s="28"/>
      <c r="O195" s="28"/>
    </row>
    <row r="196" spans="13:15" x14ac:dyDescent="0.2">
      <c r="M196" s="28"/>
      <c r="N196" s="28"/>
      <c r="O196" s="28"/>
    </row>
    <row r="197" spans="13:15" x14ac:dyDescent="0.2">
      <c r="M197" s="28"/>
      <c r="N197" s="28"/>
      <c r="O197" s="28"/>
    </row>
    <row r="198" spans="13:15" x14ac:dyDescent="0.2">
      <c r="M198" s="28"/>
      <c r="N198" s="28"/>
      <c r="O198" s="28"/>
    </row>
    <row r="199" spans="13:15" x14ac:dyDescent="0.2">
      <c r="M199" s="28"/>
      <c r="N199" s="28"/>
      <c r="O199" s="28"/>
    </row>
    <row r="200" spans="13:15" x14ac:dyDescent="0.2">
      <c r="M200" s="28"/>
      <c r="N200" s="28"/>
      <c r="O200" s="28"/>
    </row>
    <row r="201" spans="13:15" x14ac:dyDescent="0.2">
      <c r="M201" s="28"/>
      <c r="N201" s="28"/>
      <c r="O201" s="28"/>
    </row>
    <row r="202" spans="13:15" x14ac:dyDescent="0.2">
      <c r="M202" s="28"/>
      <c r="N202" s="28"/>
      <c r="O202" s="28"/>
    </row>
    <row r="203" spans="13:15" x14ac:dyDescent="0.2">
      <c r="M203" s="28"/>
      <c r="N203" s="28"/>
      <c r="O203" s="28"/>
    </row>
    <row r="204" spans="13:15" x14ac:dyDescent="0.2">
      <c r="M204" s="28"/>
      <c r="N204" s="28"/>
      <c r="O204" s="28"/>
    </row>
    <row r="205" spans="13:15" x14ac:dyDescent="0.2">
      <c r="M205" s="28"/>
      <c r="N205" s="28"/>
      <c r="O205" s="28"/>
    </row>
    <row r="206" spans="13:15" x14ac:dyDescent="0.2">
      <c r="M206" s="28"/>
      <c r="N206" s="28"/>
      <c r="O206" s="28"/>
    </row>
    <row r="207" spans="13:15" x14ac:dyDescent="0.2">
      <c r="M207" s="28"/>
      <c r="N207" s="28"/>
      <c r="O207" s="28"/>
    </row>
    <row r="208" spans="13:15" x14ac:dyDescent="0.2">
      <c r="M208" s="28"/>
      <c r="N208" s="28"/>
      <c r="O208" s="28"/>
    </row>
    <row r="209" spans="13:15" x14ac:dyDescent="0.2">
      <c r="M209" s="28"/>
      <c r="N209" s="28"/>
      <c r="O209" s="28"/>
    </row>
    <row r="210" spans="13:15" x14ac:dyDescent="0.2">
      <c r="M210" s="28"/>
      <c r="N210" s="28"/>
      <c r="O210" s="28"/>
    </row>
    <row r="211" spans="13:15" x14ac:dyDescent="0.2">
      <c r="M211" s="28"/>
      <c r="N211" s="28"/>
      <c r="O211" s="28"/>
    </row>
    <row r="212" spans="13:15" x14ac:dyDescent="0.2">
      <c r="M212" s="28"/>
      <c r="N212" s="28"/>
      <c r="O212" s="28"/>
    </row>
    <row r="213" spans="13:15" x14ac:dyDescent="0.2">
      <c r="M213" s="28"/>
      <c r="N213" s="28"/>
      <c r="O213" s="28"/>
    </row>
    <row r="214" spans="13:15" x14ac:dyDescent="0.2">
      <c r="M214" s="28"/>
      <c r="N214" s="28"/>
      <c r="O214" s="28"/>
    </row>
    <row r="215" spans="13:15" x14ac:dyDescent="0.2">
      <c r="M215" s="28"/>
      <c r="N215" s="28"/>
      <c r="O215" s="28"/>
    </row>
    <row r="216" spans="13:15" x14ac:dyDescent="0.2">
      <c r="M216" s="28"/>
      <c r="N216" s="28"/>
      <c r="O216" s="28"/>
    </row>
    <row r="217" spans="13:15" x14ac:dyDescent="0.2">
      <c r="M217" s="28"/>
      <c r="N217" s="28"/>
      <c r="O217" s="28"/>
    </row>
    <row r="218" spans="13:15" x14ac:dyDescent="0.2">
      <c r="M218" s="28"/>
      <c r="N218" s="28"/>
      <c r="O218" s="28"/>
    </row>
    <row r="219" spans="13:15" x14ac:dyDescent="0.2">
      <c r="M219" s="28"/>
      <c r="N219" s="28"/>
      <c r="O219" s="28"/>
    </row>
    <row r="220" spans="13:15" x14ac:dyDescent="0.2">
      <c r="M220" s="28"/>
      <c r="N220" s="28"/>
      <c r="O220" s="28"/>
    </row>
    <row r="221" spans="13:15" x14ac:dyDescent="0.2">
      <c r="M221" s="28"/>
      <c r="N221" s="28"/>
      <c r="O221" s="28"/>
    </row>
    <row r="222" spans="13:15" x14ac:dyDescent="0.2">
      <c r="M222" s="28"/>
      <c r="N222" s="28"/>
      <c r="O222" s="28"/>
    </row>
    <row r="223" spans="13:15" x14ac:dyDescent="0.2">
      <c r="M223" s="28"/>
      <c r="N223" s="28"/>
      <c r="O223" s="28"/>
    </row>
    <row r="224" spans="13:15" x14ac:dyDescent="0.2">
      <c r="M224" s="28"/>
      <c r="N224" s="28"/>
      <c r="O224" s="28"/>
    </row>
    <row r="225" spans="13:15" x14ac:dyDescent="0.2">
      <c r="M225" s="28"/>
      <c r="N225" s="28"/>
      <c r="O225" s="28"/>
    </row>
    <row r="226" spans="13:15" x14ac:dyDescent="0.2">
      <c r="M226" s="28"/>
      <c r="N226" s="28"/>
      <c r="O226" s="28"/>
    </row>
    <row r="227" spans="13:15" x14ac:dyDescent="0.2">
      <c r="M227" s="28"/>
      <c r="N227" s="28"/>
      <c r="O227" s="28"/>
    </row>
    <row r="228" spans="13:15" x14ac:dyDescent="0.2">
      <c r="M228" s="28"/>
      <c r="N228" s="28"/>
      <c r="O228" s="28"/>
    </row>
    <row r="229" spans="13:15" x14ac:dyDescent="0.2">
      <c r="M229" s="28"/>
      <c r="N229" s="28"/>
      <c r="O229" s="28"/>
    </row>
    <row r="230" spans="13:15" x14ac:dyDescent="0.2">
      <c r="M230" s="28"/>
      <c r="N230" s="28"/>
      <c r="O230" s="28"/>
    </row>
    <row r="231" spans="13:15" x14ac:dyDescent="0.2">
      <c r="M231" s="28"/>
      <c r="N231" s="28"/>
      <c r="O231" s="28"/>
    </row>
    <row r="232" spans="13:15" x14ac:dyDescent="0.2">
      <c r="M232" s="28"/>
      <c r="N232" s="28"/>
      <c r="O232" s="28"/>
    </row>
    <row r="233" spans="13:15" x14ac:dyDescent="0.2">
      <c r="M233" s="28"/>
      <c r="N233" s="28"/>
      <c r="O233" s="28"/>
    </row>
    <row r="234" spans="13:15" x14ac:dyDescent="0.2">
      <c r="M234" s="28"/>
      <c r="N234" s="28"/>
      <c r="O234" s="28"/>
    </row>
    <row r="235" spans="13:15" x14ac:dyDescent="0.2">
      <c r="M235" s="28"/>
      <c r="N235" s="28"/>
      <c r="O235" s="28"/>
    </row>
    <row r="236" spans="13:15" x14ac:dyDescent="0.2">
      <c r="M236" s="28"/>
      <c r="N236" s="28"/>
      <c r="O236" s="28"/>
    </row>
    <row r="237" spans="13:15" x14ac:dyDescent="0.2">
      <c r="M237" s="28"/>
      <c r="N237" s="28"/>
      <c r="O237" s="28"/>
    </row>
    <row r="238" spans="13:15" x14ac:dyDescent="0.2">
      <c r="M238" s="28"/>
      <c r="N238" s="28"/>
      <c r="O238" s="28"/>
    </row>
    <row r="239" spans="13:15" x14ac:dyDescent="0.2">
      <c r="M239" s="28"/>
      <c r="N239" s="28"/>
      <c r="O239" s="28"/>
    </row>
    <row r="240" spans="13:15" x14ac:dyDescent="0.2">
      <c r="M240" s="28"/>
      <c r="N240" s="28"/>
      <c r="O240" s="28"/>
    </row>
    <row r="241" spans="13:15" x14ac:dyDescent="0.2">
      <c r="M241" s="28"/>
      <c r="N241" s="28"/>
      <c r="O241" s="28"/>
    </row>
    <row r="242" spans="13:15" x14ac:dyDescent="0.2">
      <c r="M242" s="28"/>
      <c r="N242" s="28"/>
      <c r="O242" s="28"/>
    </row>
    <row r="243" spans="13:15" x14ac:dyDescent="0.2">
      <c r="M243" s="28"/>
      <c r="N243" s="28"/>
      <c r="O243" s="28"/>
    </row>
    <row r="244" spans="13:15" x14ac:dyDescent="0.2">
      <c r="M244" s="28"/>
      <c r="N244" s="28"/>
      <c r="O244" s="28"/>
    </row>
    <row r="245" spans="13:15" x14ac:dyDescent="0.2">
      <c r="M245" s="28"/>
      <c r="N245" s="28"/>
      <c r="O245" s="28"/>
    </row>
    <row r="246" spans="13:15" x14ac:dyDescent="0.2">
      <c r="M246" s="28"/>
      <c r="N246" s="28"/>
      <c r="O246" s="28"/>
    </row>
    <row r="247" spans="13:15" x14ac:dyDescent="0.2">
      <c r="M247" s="28"/>
      <c r="N247" s="28"/>
      <c r="O247" s="28"/>
    </row>
    <row r="248" spans="13:15" x14ac:dyDescent="0.2">
      <c r="M248" s="28"/>
      <c r="N248" s="28"/>
      <c r="O248" s="28"/>
    </row>
    <row r="249" spans="13:15" x14ac:dyDescent="0.2">
      <c r="M249" s="28"/>
      <c r="N249" s="28"/>
      <c r="O249" s="28"/>
    </row>
    <row r="250" spans="13:15" x14ac:dyDescent="0.2">
      <c r="M250" s="28"/>
      <c r="N250" s="28"/>
      <c r="O250" s="28"/>
    </row>
    <row r="251" spans="13:15" x14ac:dyDescent="0.2">
      <c r="M251" s="28"/>
      <c r="N251" s="28"/>
      <c r="O251" s="28"/>
    </row>
    <row r="252" spans="13:15" x14ac:dyDescent="0.2">
      <c r="M252" s="28"/>
      <c r="N252" s="28"/>
      <c r="O252" s="28"/>
    </row>
    <row r="253" spans="13:15" x14ac:dyDescent="0.2">
      <c r="M253" s="28"/>
      <c r="N253" s="28"/>
      <c r="O253" s="28"/>
    </row>
    <row r="254" spans="13:15" x14ac:dyDescent="0.2">
      <c r="M254" s="28"/>
      <c r="N254" s="28"/>
      <c r="O254" s="28"/>
    </row>
    <row r="255" spans="13:15" x14ac:dyDescent="0.2">
      <c r="M255" s="28"/>
      <c r="N255" s="28"/>
      <c r="O255" s="28"/>
    </row>
    <row r="256" spans="13:15" x14ac:dyDescent="0.2">
      <c r="M256" s="28"/>
      <c r="N256" s="28"/>
      <c r="O256" s="28"/>
    </row>
    <row r="257" spans="13:15" x14ac:dyDescent="0.2">
      <c r="M257" s="28"/>
      <c r="N257" s="28"/>
      <c r="O257" s="28"/>
    </row>
    <row r="258" spans="13:15" x14ac:dyDescent="0.2">
      <c r="M258" s="28"/>
      <c r="N258" s="28"/>
      <c r="O258" s="28"/>
    </row>
    <row r="259" spans="13:15" x14ac:dyDescent="0.2">
      <c r="M259" s="28"/>
      <c r="N259" s="28"/>
      <c r="O259" s="28"/>
    </row>
    <row r="260" spans="13:15" x14ac:dyDescent="0.2">
      <c r="M260" s="28"/>
      <c r="N260" s="28"/>
      <c r="O260" s="28"/>
    </row>
    <row r="261" spans="13:15" x14ac:dyDescent="0.2">
      <c r="M261" s="28"/>
      <c r="N261" s="28"/>
      <c r="O261" s="28"/>
    </row>
    <row r="262" spans="13:15" x14ac:dyDescent="0.2">
      <c r="M262" s="28"/>
      <c r="N262" s="28"/>
      <c r="O262" s="28"/>
    </row>
    <row r="263" spans="13:15" x14ac:dyDescent="0.2">
      <c r="M263" s="28"/>
      <c r="N263" s="28"/>
      <c r="O263" s="28"/>
    </row>
    <row r="264" spans="13:15" x14ac:dyDescent="0.2">
      <c r="M264" s="28"/>
      <c r="N264" s="28"/>
      <c r="O264" s="28"/>
    </row>
    <row r="265" spans="13:15" x14ac:dyDescent="0.2">
      <c r="M265" s="28"/>
      <c r="N265" s="28"/>
      <c r="O265" s="28"/>
    </row>
    <row r="266" spans="13:15" x14ac:dyDescent="0.2">
      <c r="M266" s="28"/>
      <c r="N266" s="28"/>
      <c r="O266" s="28"/>
    </row>
    <row r="267" spans="13:15" x14ac:dyDescent="0.2">
      <c r="M267" s="28"/>
      <c r="N267" s="28"/>
      <c r="O267" s="28"/>
    </row>
    <row r="268" spans="13:15" x14ac:dyDescent="0.2">
      <c r="M268" s="28"/>
      <c r="N268" s="28"/>
      <c r="O268" s="28"/>
    </row>
    <row r="269" spans="13:15" x14ac:dyDescent="0.2">
      <c r="M269" s="28"/>
      <c r="N269" s="28"/>
      <c r="O269" s="28"/>
    </row>
    <row r="270" spans="13:15" x14ac:dyDescent="0.2">
      <c r="M270" s="28"/>
      <c r="N270" s="28"/>
      <c r="O270" s="28"/>
    </row>
    <row r="271" spans="13:15" x14ac:dyDescent="0.2">
      <c r="M271" s="28"/>
      <c r="N271" s="28"/>
      <c r="O271" s="28"/>
    </row>
    <row r="272" spans="13:15" x14ac:dyDescent="0.2">
      <c r="M272" s="28"/>
      <c r="N272" s="28"/>
      <c r="O272" s="28"/>
    </row>
    <row r="273" spans="13:15" x14ac:dyDescent="0.2">
      <c r="M273" s="28"/>
      <c r="N273" s="28"/>
      <c r="O273" s="28"/>
    </row>
    <row r="274" spans="13:15" x14ac:dyDescent="0.2">
      <c r="M274" s="28"/>
      <c r="N274" s="28"/>
      <c r="O274" s="28"/>
    </row>
    <row r="275" spans="13:15" x14ac:dyDescent="0.2">
      <c r="M275" s="28"/>
      <c r="N275" s="28"/>
      <c r="O275" s="28"/>
    </row>
    <row r="276" spans="13:15" x14ac:dyDescent="0.2">
      <c r="M276" s="28"/>
      <c r="N276" s="28"/>
      <c r="O276" s="28"/>
    </row>
    <row r="277" spans="13:15" x14ac:dyDescent="0.2">
      <c r="M277" s="28"/>
      <c r="N277" s="28"/>
      <c r="O277" s="28"/>
    </row>
    <row r="278" spans="13:15" x14ac:dyDescent="0.2">
      <c r="M278" s="28"/>
      <c r="N278" s="28"/>
      <c r="O278" s="28"/>
    </row>
    <row r="279" spans="13:15" x14ac:dyDescent="0.2">
      <c r="M279" s="28"/>
      <c r="N279" s="28"/>
      <c r="O279" s="28"/>
    </row>
    <row r="280" spans="13:15" x14ac:dyDescent="0.2">
      <c r="M280" s="28"/>
      <c r="N280" s="28"/>
      <c r="O280" s="28"/>
    </row>
    <row r="281" spans="13:15" x14ac:dyDescent="0.2">
      <c r="M281" s="28"/>
      <c r="N281" s="28"/>
      <c r="O281" s="28"/>
    </row>
    <row r="282" spans="13:15" x14ac:dyDescent="0.2">
      <c r="M282" s="28"/>
      <c r="N282" s="28"/>
      <c r="O282" s="28"/>
    </row>
    <row r="283" spans="13:15" x14ac:dyDescent="0.2">
      <c r="M283" s="28"/>
      <c r="N283" s="28"/>
      <c r="O283" s="28"/>
    </row>
    <row r="284" spans="13:15" x14ac:dyDescent="0.2">
      <c r="M284" s="28"/>
      <c r="N284" s="28"/>
      <c r="O284" s="28"/>
    </row>
    <row r="285" spans="13:15" x14ac:dyDescent="0.2">
      <c r="M285" s="28"/>
      <c r="N285" s="28"/>
      <c r="O285" s="28"/>
    </row>
    <row r="286" spans="13:15" x14ac:dyDescent="0.2">
      <c r="M286" s="28"/>
      <c r="N286" s="28"/>
      <c r="O286" s="28"/>
    </row>
    <row r="287" spans="13:15" x14ac:dyDescent="0.2">
      <c r="M287" s="28"/>
      <c r="N287" s="28"/>
      <c r="O287" s="28"/>
    </row>
    <row r="288" spans="13:15" x14ac:dyDescent="0.2">
      <c r="M288" s="28"/>
      <c r="N288" s="28"/>
      <c r="O288" s="28"/>
    </row>
    <row r="289" spans="13:15" x14ac:dyDescent="0.2">
      <c r="M289" s="28"/>
      <c r="N289" s="28"/>
      <c r="O289" s="28"/>
    </row>
    <row r="290" spans="13:15" x14ac:dyDescent="0.2">
      <c r="M290" s="28"/>
      <c r="N290" s="28"/>
      <c r="O290" s="28"/>
    </row>
    <row r="291" spans="13:15" x14ac:dyDescent="0.2">
      <c r="M291" s="28"/>
      <c r="N291" s="28"/>
      <c r="O291" s="28"/>
    </row>
    <row r="292" spans="13:15" x14ac:dyDescent="0.2">
      <c r="M292" s="28"/>
      <c r="N292" s="28"/>
      <c r="O292" s="28"/>
    </row>
    <row r="293" spans="13:15" x14ac:dyDescent="0.2">
      <c r="M293" s="28"/>
      <c r="N293" s="28"/>
      <c r="O293" s="28"/>
    </row>
    <row r="294" spans="13:15" x14ac:dyDescent="0.2">
      <c r="M294" s="28"/>
      <c r="N294" s="28"/>
      <c r="O294" s="28"/>
    </row>
    <row r="295" spans="13:15" x14ac:dyDescent="0.2">
      <c r="M295" s="28"/>
      <c r="N295" s="28"/>
      <c r="O295" s="28"/>
    </row>
    <row r="296" spans="13:15" x14ac:dyDescent="0.2">
      <c r="M296" s="28"/>
      <c r="N296" s="28"/>
      <c r="O296" s="28"/>
    </row>
    <row r="297" spans="13:15" x14ac:dyDescent="0.2">
      <c r="M297" s="28"/>
      <c r="N297" s="28"/>
      <c r="O297" s="28"/>
    </row>
    <row r="298" spans="13:15" x14ac:dyDescent="0.2">
      <c r="M298" s="28"/>
      <c r="N298" s="28"/>
      <c r="O298" s="28"/>
    </row>
    <row r="299" spans="13:15" x14ac:dyDescent="0.2">
      <c r="M299" s="28"/>
      <c r="N299" s="28"/>
      <c r="O299" s="28"/>
    </row>
    <row r="300" spans="13:15" x14ac:dyDescent="0.2">
      <c r="M300" s="28"/>
      <c r="N300" s="28"/>
      <c r="O300" s="28"/>
    </row>
    <row r="301" spans="13:15" x14ac:dyDescent="0.2">
      <c r="M301" s="28"/>
      <c r="N301" s="28"/>
      <c r="O301" s="28"/>
    </row>
    <row r="302" spans="13:15" x14ac:dyDescent="0.2">
      <c r="M302" s="28"/>
      <c r="N302" s="28"/>
      <c r="O302" s="28"/>
    </row>
    <row r="303" spans="13:15" x14ac:dyDescent="0.2">
      <c r="M303" s="28"/>
      <c r="N303" s="28"/>
      <c r="O303" s="28"/>
    </row>
    <row r="304" spans="13:15" x14ac:dyDescent="0.2">
      <c r="M304" s="28"/>
      <c r="N304" s="28"/>
      <c r="O304" s="28"/>
    </row>
    <row r="305" spans="13:15" x14ac:dyDescent="0.2">
      <c r="M305" s="28"/>
      <c r="N305" s="28"/>
      <c r="O305" s="28"/>
    </row>
    <row r="306" spans="13:15" x14ac:dyDescent="0.2">
      <c r="M306" s="28"/>
      <c r="N306" s="28"/>
      <c r="O306" s="28"/>
    </row>
    <row r="307" spans="13:15" x14ac:dyDescent="0.2">
      <c r="M307" s="28"/>
      <c r="N307" s="28"/>
      <c r="O307" s="28"/>
    </row>
    <row r="308" spans="13:15" x14ac:dyDescent="0.2">
      <c r="M308" s="28"/>
      <c r="N308" s="28"/>
      <c r="O308" s="28"/>
    </row>
    <row r="309" spans="13:15" x14ac:dyDescent="0.2">
      <c r="M309" s="28"/>
      <c r="N309" s="28"/>
      <c r="O309" s="28"/>
    </row>
    <row r="310" spans="13:15" x14ac:dyDescent="0.2">
      <c r="M310" s="28"/>
      <c r="N310" s="28"/>
      <c r="O310" s="28"/>
    </row>
    <row r="311" spans="13:15" x14ac:dyDescent="0.2">
      <c r="M311" s="28"/>
      <c r="N311" s="28"/>
      <c r="O311" s="28"/>
    </row>
    <row r="312" spans="13:15" x14ac:dyDescent="0.2">
      <c r="M312" s="28"/>
      <c r="N312" s="28"/>
      <c r="O312" s="28"/>
    </row>
    <row r="313" spans="13:15" x14ac:dyDescent="0.2">
      <c r="M313" s="28"/>
      <c r="N313" s="28"/>
      <c r="O313" s="28"/>
    </row>
    <row r="314" spans="13:15" x14ac:dyDescent="0.2">
      <c r="M314" s="28"/>
      <c r="N314" s="28"/>
      <c r="O314" s="28"/>
    </row>
    <row r="315" spans="13:15" x14ac:dyDescent="0.2">
      <c r="M315" s="28"/>
      <c r="N315" s="28"/>
      <c r="O315" s="28"/>
    </row>
    <row r="316" spans="13:15" x14ac:dyDescent="0.2">
      <c r="M316" s="28"/>
      <c r="N316" s="28"/>
      <c r="O316" s="28"/>
    </row>
    <row r="317" spans="13:15" x14ac:dyDescent="0.2">
      <c r="M317" s="28"/>
      <c r="N317" s="28"/>
      <c r="O317" s="28"/>
    </row>
    <row r="318" spans="13:15" x14ac:dyDescent="0.2">
      <c r="M318" s="28"/>
      <c r="N318" s="28"/>
      <c r="O318" s="28"/>
    </row>
    <row r="319" spans="13:15" x14ac:dyDescent="0.2">
      <c r="M319" s="28"/>
      <c r="N319" s="28"/>
      <c r="O319" s="28"/>
    </row>
    <row r="320" spans="13:15" x14ac:dyDescent="0.2">
      <c r="M320" s="28"/>
      <c r="N320" s="28"/>
      <c r="O320" s="28"/>
    </row>
    <row r="321" spans="13:15" x14ac:dyDescent="0.2">
      <c r="M321" s="28"/>
      <c r="N321" s="28"/>
      <c r="O321" s="28"/>
    </row>
    <row r="322" spans="13:15" x14ac:dyDescent="0.2">
      <c r="M322" s="28"/>
      <c r="N322" s="28"/>
      <c r="O322" s="28"/>
    </row>
    <row r="323" spans="13:15" x14ac:dyDescent="0.2">
      <c r="M323" s="28"/>
      <c r="N323" s="28"/>
      <c r="O323" s="28"/>
    </row>
    <row r="324" spans="13:15" x14ac:dyDescent="0.2">
      <c r="M324" s="28"/>
      <c r="N324" s="28"/>
      <c r="O324" s="28"/>
    </row>
    <row r="325" spans="13:15" x14ac:dyDescent="0.2">
      <c r="M325" s="28"/>
      <c r="N325" s="28"/>
      <c r="O325" s="28"/>
    </row>
    <row r="326" spans="13:15" x14ac:dyDescent="0.2">
      <c r="M326" s="28"/>
      <c r="N326" s="28"/>
      <c r="O326" s="28"/>
    </row>
    <row r="327" spans="13:15" x14ac:dyDescent="0.2">
      <c r="M327" s="28"/>
      <c r="N327" s="28"/>
      <c r="O327" s="28"/>
    </row>
    <row r="328" spans="13:15" x14ac:dyDescent="0.2">
      <c r="M328" s="28"/>
      <c r="N328" s="28"/>
      <c r="O328" s="28"/>
    </row>
    <row r="329" spans="13:15" x14ac:dyDescent="0.2">
      <c r="M329" s="28"/>
      <c r="N329" s="28"/>
      <c r="O329" s="28"/>
    </row>
    <row r="330" spans="13:15" x14ac:dyDescent="0.2">
      <c r="M330" s="28"/>
      <c r="N330" s="28"/>
      <c r="O330" s="28"/>
    </row>
    <row r="331" spans="13:15" x14ac:dyDescent="0.2">
      <c r="M331" s="28"/>
      <c r="N331" s="28"/>
      <c r="O331" s="28"/>
    </row>
    <row r="332" spans="13:15" x14ac:dyDescent="0.2">
      <c r="M332" s="28"/>
      <c r="N332" s="28"/>
      <c r="O332" s="28"/>
    </row>
    <row r="333" spans="13:15" x14ac:dyDescent="0.2">
      <c r="M333" s="28"/>
      <c r="N333" s="28"/>
      <c r="O333" s="28"/>
    </row>
    <row r="334" spans="13:15" x14ac:dyDescent="0.2">
      <c r="M334" s="28"/>
      <c r="N334" s="28"/>
      <c r="O334" s="28"/>
    </row>
    <row r="335" spans="13:15" x14ac:dyDescent="0.2">
      <c r="M335" s="28"/>
      <c r="N335" s="28"/>
      <c r="O335" s="28"/>
    </row>
    <row r="336" spans="13:15" x14ac:dyDescent="0.2">
      <c r="M336" s="28"/>
      <c r="N336" s="28"/>
      <c r="O336" s="28"/>
    </row>
    <row r="337" spans="13:15" x14ac:dyDescent="0.2">
      <c r="M337" s="28"/>
      <c r="N337" s="28"/>
      <c r="O337" s="28"/>
    </row>
    <row r="338" spans="13:15" x14ac:dyDescent="0.2">
      <c r="M338" s="28"/>
      <c r="N338" s="28"/>
      <c r="O338" s="28"/>
    </row>
    <row r="339" spans="13:15" x14ac:dyDescent="0.2">
      <c r="M339" s="28"/>
      <c r="N339" s="28"/>
      <c r="O339" s="28"/>
    </row>
    <row r="340" spans="13:15" x14ac:dyDescent="0.2">
      <c r="M340" s="28"/>
      <c r="N340" s="28"/>
      <c r="O340" s="28"/>
    </row>
    <row r="341" spans="13:15" x14ac:dyDescent="0.2">
      <c r="M341" s="28"/>
      <c r="N341" s="28"/>
      <c r="O341" s="28"/>
    </row>
    <row r="342" spans="13:15" x14ac:dyDescent="0.2">
      <c r="M342" s="28"/>
      <c r="N342" s="28"/>
      <c r="O342" s="28"/>
    </row>
    <row r="343" spans="13:15" x14ac:dyDescent="0.2">
      <c r="M343" s="28"/>
      <c r="N343" s="28"/>
      <c r="O343" s="28"/>
    </row>
    <row r="344" spans="13:15" x14ac:dyDescent="0.2">
      <c r="M344" s="28"/>
      <c r="N344" s="28"/>
      <c r="O344" s="28"/>
    </row>
    <row r="345" spans="13:15" x14ac:dyDescent="0.2">
      <c r="M345" s="28"/>
      <c r="N345" s="28"/>
      <c r="O345" s="28"/>
    </row>
    <row r="346" spans="13:15" x14ac:dyDescent="0.2">
      <c r="M346" s="28"/>
      <c r="N346" s="28"/>
      <c r="O346" s="28"/>
    </row>
    <row r="347" spans="13:15" x14ac:dyDescent="0.2">
      <c r="M347" s="28"/>
      <c r="N347" s="28"/>
      <c r="O347" s="28"/>
    </row>
    <row r="348" spans="13:15" x14ac:dyDescent="0.2">
      <c r="M348" s="28"/>
      <c r="N348" s="28"/>
      <c r="O348" s="28"/>
    </row>
    <row r="349" spans="13:15" x14ac:dyDescent="0.2">
      <c r="M349" s="28"/>
      <c r="N349" s="28"/>
      <c r="O349" s="28"/>
    </row>
    <row r="350" spans="13:15" x14ac:dyDescent="0.2">
      <c r="M350" s="28"/>
      <c r="N350" s="28"/>
      <c r="O350" s="28"/>
    </row>
    <row r="351" spans="13:15" x14ac:dyDescent="0.2">
      <c r="M351" s="28"/>
      <c r="N351" s="28"/>
      <c r="O351" s="28"/>
    </row>
    <row r="352" spans="13:15" x14ac:dyDescent="0.2">
      <c r="M352" s="28"/>
      <c r="N352" s="28"/>
      <c r="O352" s="28"/>
    </row>
    <row r="353" spans="13:15" x14ac:dyDescent="0.2">
      <c r="M353" s="28"/>
      <c r="N353" s="28"/>
      <c r="O353" s="28"/>
    </row>
    <row r="354" spans="13:15" x14ac:dyDescent="0.2">
      <c r="M354" s="28"/>
      <c r="N354" s="28"/>
      <c r="O354" s="28"/>
    </row>
    <row r="355" spans="13:15" x14ac:dyDescent="0.2">
      <c r="M355" s="28"/>
      <c r="N355" s="28"/>
      <c r="O355" s="28"/>
    </row>
    <row r="356" spans="13:15" x14ac:dyDescent="0.2">
      <c r="M356" s="28"/>
      <c r="N356" s="28"/>
      <c r="O356" s="28"/>
    </row>
    <row r="357" spans="13:15" x14ac:dyDescent="0.2">
      <c r="M357" s="28"/>
      <c r="N357" s="28"/>
      <c r="O357" s="28"/>
    </row>
    <row r="358" spans="13:15" x14ac:dyDescent="0.2">
      <c r="M358" s="28"/>
      <c r="N358" s="28"/>
      <c r="O358" s="28"/>
    </row>
    <row r="359" spans="13:15" x14ac:dyDescent="0.2">
      <c r="M359" s="28"/>
      <c r="N359" s="28"/>
      <c r="O359" s="28"/>
    </row>
    <row r="360" spans="13:15" x14ac:dyDescent="0.2">
      <c r="M360" s="28"/>
      <c r="N360" s="28"/>
      <c r="O360" s="28"/>
    </row>
    <row r="361" spans="13:15" x14ac:dyDescent="0.2">
      <c r="M361" s="28"/>
      <c r="N361" s="28"/>
      <c r="O361" s="28"/>
    </row>
    <row r="362" spans="13:15" x14ac:dyDescent="0.2">
      <c r="M362" s="28"/>
      <c r="N362" s="28"/>
      <c r="O362" s="28"/>
    </row>
    <row r="363" spans="13:15" x14ac:dyDescent="0.2">
      <c r="M363" s="28"/>
      <c r="N363" s="28"/>
      <c r="O363" s="28"/>
    </row>
    <row r="364" spans="13:15" x14ac:dyDescent="0.2">
      <c r="M364" s="28"/>
      <c r="N364" s="28"/>
      <c r="O364" s="28"/>
    </row>
    <row r="365" spans="13:15" x14ac:dyDescent="0.2">
      <c r="M365" s="28"/>
      <c r="N365" s="28"/>
      <c r="O365" s="28"/>
    </row>
    <row r="366" spans="13:15" x14ac:dyDescent="0.2">
      <c r="M366" s="28"/>
      <c r="N366" s="28"/>
      <c r="O366" s="28"/>
    </row>
    <row r="367" spans="13:15" x14ac:dyDescent="0.2">
      <c r="M367" s="28"/>
      <c r="N367" s="28"/>
      <c r="O367" s="28"/>
    </row>
    <row r="368" spans="13:15" x14ac:dyDescent="0.2">
      <c r="M368" s="28"/>
      <c r="N368" s="28"/>
      <c r="O368" s="28"/>
    </row>
    <row r="369" spans="13:15" x14ac:dyDescent="0.2">
      <c r="M369" s="28"/>
      <c r="N369" s="28"/>
      <c r="O369" s="28"/>
    </row>
    <row r="370" spans="13:15" x14ac:dyDescent="0.2">
      <c r="M370" s="28"/>
      <c r="N370" s="28"/>
      <c r="O370" s="28"/>
    </row>
    <row r="371" spans="13:15" x14ac:dyDescent="0.2">
      <c r="M371" s="28"/>
      <c r="N371" s="28"/>
      <c r="O371" s="28"/>
    </row>
    <row r="372" spans="13:15" x14ac:dyDescent="0.2">
      <c r="M372" s="28"/>
      <c r="N372" s="28"/>
      <c r="O372" s="28"/>
    </row>
    <row r="373" spans="13:15" x14ac:dyDescent="0.2">
      <c r="M373" s="28"/>
      <c r="N373" s="28"/>
      <c r="O373" s="28"/>
    </row>
    <row r="374" spans="13:15" x14ac:dyDescent="0.2">
      <c r="M374" s="28"/>
      <c r="N374" s="28"/>
      <c r="O374" s="28"/>
    </row>
    <row r="375" spans="13:15" x14ac:dyDescent="0.2">
      <c r="M375" s="28"/>
      <c r="N375" s="28"/>
      <c r="O375" s="28"/>
    </row>
    <row r="376" spans="13:15" x14ac:dyDescent="0.2">
      <c r="M376" s="28"/>
      <c r="N376" s="28"/>
      <c r="O376" s="28"/>
    </row>
    <row r="377" spans="13:15" x14ac:dyDescent="0.2">
      <c r="M377" s="28"/>
      <c r="N377" s="28"/>
      <c r="O377" s="28"/>
    </row>
    <row r="378" spans="13:15" x14ac:dyDescent="0.2">
      <c r="M378" s="28"/>
      <c r="N378" s="28"/>
      <c r="O378" s="28"/>
    </row>
    <row r="379" spans="13:15" x14ac:dyDescent="0.2">
      <c r="M379" s="28"/>
      <c r="N379" s="28"/>
      <c r="O379" s="28"/>
    </row>
    <row r="380" spans="13:15" x14ac:dyDescent="0.2">
      <c r="M380" s="28"/>
      <c r="N380" s="28"/>
      <c r="O380" s="28"/>
    </row>
    <row r="381" spans="13:15" x14ac:dyDescent="0.2">
      <c r="M381" s="28"/>
      <c r="N381" s="28"/>
      <c r="O381" s="28"/>
    </row>
    <row r="382" spans="13:15" x14ac:dyDescent="0.2">
      <c r="M382" s="28"/>
      <c r="N382" s="28"/>
      <c r="O382" s="28"/>
    </row>
    <row r="383" spans="13:15" x14ac:dyDescent="0.2">
      <c r="M383" s="28"/>
      <c r="N383" s="28"/>
      <c r="O383" s="28"/>
    </row>
    <row r="384" spans="13:15" x14ac:dyDescent="0.2">
      <c r="M384" s="28"/>
      <c r="N384" s="28"/>
      <c r="O384" s="28"/>
    </row>
    <row r="385" spans="13:15" x14ac:dyDescent="0.2">
      <c r="M385" s="28"/>
      <c r="N385" s="28"/>
      <c r="O385" s="28"/>
    </row>
    <row r="386" spans="13:15" x14ac:dyDescent="0.2">
      <c r="M386" s="28"/>
      <c r="N386" s="28"/>
      <c r="O386" s="28"/>
    </row>
    <row r="387" spans="13:15" x14ac:dyDescent="0.2">
      <c r="M387" s="28"/>
      <c r="N387" s="28"/>
      <c r="O387" s="28"/>
    </row>
    <row r="388" spans="13:15" x14ac:dyDescent="0.2">
      <c r="M388" s="28"/>
      <c r="N388" s="28"/>
      <c r="O388" s="28"/>
    </row>
    <row r="389" spans="13:15" x14ac:dyDescent="0.2">
      <c r="M389" s="28"/>
      <c r="N389" s="28"/>
      <c r="O389" s="28"/>
    </row>
    <row r="390" spans="13:15" x14ac:dyDescent="0.2">
      <c r="M390" s="28"/>
      <c r="N390" s="28"/>
      <c r="O390" s="28"/>
    </row>
    <row r="391" spans="13:15" x14ac:dyDescent="0.2">
      <c r="M391" s="28"/>
      <c r="N391" s="28"/>
      <c r="O391" s="28"/>
    </row>
    <row r="392" spans="13:15" x14ac:dyDescent="0.2">
      <c r="M392" s="28"/>
      <c r="N392" s="28"/>
      <c r="O392" s="28"/>
    </row>
    <row r="393" spans="13:15" x14ac:dyDescent="0.2">
      <c r="M393" s="28"/>
      <c r="N393" s="28"/>
      <c r="O393" s="28"/>
    </row>
    <row r="394" spans="13:15" x14ac:dyDescent="0.2">
      <c r="M394" s="28"/>
      <c r="N394" s="28"/>
      <c r="O394" s="28"/>
    </row>
    <row r="395" spans="13:15" x14ac:dyDescent="0.2">
      <c r="M395" s="28"/>
      <c r="N395" s="28"/>
      <c r="O395" s="28"/>
    </row>
    <row r="396" spans="13:15" x14ac:dyDescent="0.2">
      <c r="M396" s="28"/>
      <c r="N396" s="28"/>
      <c r="O396" s="28"/>
    </row>
    <row r="397" spans="13:15" x14ac:dyDescent="0.2">
      <c r="M397" s="28"/>
      <c r="N397" s="28"/>
      <c r="O397" s="28"/>
    </row>
    <row r="398" spans="13:15" x14ac:dyDescent="0.2">
      <c r="M398" s="28"/>
      <c r="N398" s="28"/>
      <c r="O398" s="28"/>
    </row>
    <row r="399" spans="13:15" x14ac:dyDescent="0.2">
      <c r="M399" s="28"/>
      <c r="N399" s="28"/>
      <c r="O399" s="28"/>
    </row>
    <row r="400" spans="13:15" x14ac:dyDescent="0.2">
      <c r="M400" s="28"/>
      <c r="N400" s="28"/>
      <c r="O400" s="28"/>
    </row>
    <row r="401" spans="13:15" x14ac:dyDescent="0.2">
      <c r="M401" s="28"/>
      <c r="N401" s="28"/>
      <c r="O401" s="28"/>
    </row>
    <row r="402" spans="13:15" x14ac:dyDescent="0.2">
      <c r="M402" s="28"/>
      <c r="N402" s="28"/>
      <c r="O402" s="28"/>
    </row>
    <row r="403" spans="13:15" x14ac:dyDescent="0.2">
      <c r="M403" s="28"/>
      <c r="N403" s="28"/>
      <c r="O403" s="28"/>
    </row>
    <row r="404" spans="13:15" x14ac:dyDescent="0.2">
      <c r="M404" s="28"/>
      <c r="N404" s="28"/>
      <c r="O404" s="28"/>
    </row>
    <row r="405" spans="13:15" x14ac:dyDescent="0.2">
      <c r="M405" s="28"/>
      <c r="N405" s="28"/>
      <c r="O405" s="28"/>
    </row>
    <row r="406" spans="13:15" x14ac:dyDescent="0.2">
      <c r="M406" s="28"/>
      <c r="N406" s="28"/>
      <c r="O406" s="28"/>
    </row>
    <row r="407" spans="13:15" x14ac:dyDescent="0.2">
      <c r="M407" s="28"/>
      <c r="N407" s="28"/>
      <c r="O407" s="28"/>
    </row>
    <row r="408" spans="13:15" x14ac:dyDescent="0.2">
      <c r="M408" s="28"/>
      <c r="N408" s="28"/>
      <c r="O408" s="28"/>
    </row>
    <row r="409" spans="13:15" x14ac:dyDescent="0.2">
      <c r="M409" s="28"/>
      <c r="N409" s="28"/>
      <c r="O409" s="28"/>
    </row>
    <row r="410" spans="13:15" x14ac:dyDescent="0.2">
      <c r="M410" s="28"/>
      <c r="N410" s="28"/>
      <c r="O410" s="28"/>
    </row>
    <row r="411" spans="13:15" x14ac:dyDescent="0.2">
      <c r="M411" s="28"/>
      <c r="N411" s="28"/>
      <c r="O411" s="28"/>
    </row>
    <row r="412" spans="13:15" x14ac:dyDescent="0.2">
      <c r="M412" s="28"/>
      <c r="N412" s="28"/>
      <c r="O412" s="28"/>
    </row>
    <row r="413" spans="13:15" x14ac:dyDescent="0.2">
      <c r="M413" s="28"/>
      <c r="N413" s="28"/>
      <c r="O413" s="28"/>
    </row>
    <row r="414" spans="13:15" x14ac:dyDescent="0.2">
      <c r="M414" s="28"/>
      <c r="N414" s="28"/>
      <c r="O414" s="28"/>
    </row>
    <row r="415" spans="13:15" x14ac:dyDescent="0.2">
      <c r="M415" s="28"/>
      <c r="N415" s="28"/>
      <c r="O415" s="28"/>
    </row>
    <row r="416" spans="13:15" x14ac:dyDescent="0.2">
      <c r="M416" s="28"/>
      <c r="N416" s="28"/>
      <c r="O416" s="28"/>
    </row>
    <row r="417" spans="13:15" x14ac:dyDescent="0.2">
      <c r="M417" s="28"/>
      <c r="N417" s="28"/>
      <c r="O417" s="28"/>
    </row>
    <row r="418" spans="13:15" x14ac:dyDescent="0.2">
      <c r="M418" s="28"/>
      <c r="N418" s="28"/>
      <c r="O418" s="28"/>
    </row>
    <row r="419" spans="13:15" x14ac:dyDescent="0.2">
      <c r="M419" s="28"/>
      <c r="N419" s="28"/>
      <c r="O419" s="28"/>
    </row>
    <row r="420" spans="13:15" x14ac:dyDescent="0.2">
      <c r="M420" s="28"/>
      <c r="N420" s="28"/>
      <c r="O420" s="28"/>
    </row>
    <row r="421" spans="13:15" x14ac:dyDescent="0.2">
      <c r="M421" s="28"/>
      <c r="N421" s="28"/>
      <c r="O421" s="28"/>
    </row>
    <row r="422" spans="13:15" x14ac:dyDescent="0.2">
      <c r="M422" s="28"/>
      <c r="N422" s="28"/>
      <c r="O422" s="28"/>
    </row>
    <row r="423" spans="13:15" x14ac:dyDescent="0.2">
      <c r="M423" s="28"/>
      <c r="N423" s="28"/>
      <c r="O423" s="28"/>
    </row>
    <row r="424" spans="13:15" x14ac:dyDescent="0.2">
      <c r="M424" s="28"/>
      <c r="N424" s="28"/>
      <c r="O424" s="28"/>
    </row>
    <row r="425" spans="13:15" x14ac:dyDescent="0.2">
      <c r="M425" s="28"/>
      <c r="N425" s="28"/>
      <c r="O425" s="28"/>
    </row>
    <row r="426" spans="13:15" x14ac:dyDescent="0.2">
      <c r="M426" s="28"/>
      <c r="N426" s="28"/>
      <c r="O426" s="28"/>
    </row>
    <row r="427" spans="13:15" x14ac:dyDescent="0.2">
      <c r="M427" s="28"/>
      <c r="N427" s="28"/>
      <c r="O427" s="28"/>
    </row>
    <row r="428" spans="13:15" x14ac:dyDescent="0.2">
      <c r="M428" s="28"/>
      <c r="N428" s="28"/>
      <c r="O428" s="28"/>
    </row>
    <row r="429" spans="13:15" x14ac:dyDescent="0.2">
      <c r="M429" s="28"/>
      <c r="N429" s="28"/>
      <c r="O429" s="28"/>
    </row>
    <row r="430" spans="13:15" x14ac:dyDescent="0.2">
      <c r="M430" s="28"/>
      <c r="N430" s="28"/>
      <c r="O430" s="28"/>
    </row>
    <row r="431" spans="13:15" x14ac:dyDescent="0.2">
      <c r="M431" s="28"/>
      <c r="N431" s="28"/>
      <c r="O431" s="28"/>
    </row>
    <row r="432" spans="13:15" x14ac:dyDescent="0.2">
      <c r="M432" s="28"/>
      <c r="N432" s="28"/>
      <c r="O432" s="28"/>
    </row>
    <row r="433" spans="13:15" x14ac:dyDescent="0.2">
      <c r="M433" s="28"/>
      <c r="N433" s="28"/>
      <c r="O433" s="28"/>
    </row>
    <row r="434" spans="13:15" x14ac:dyDescent="0.2">
      <c r="M434" s="28"/>
      <c r="N434" s="28"/>
      <c r="O434" s="28"/>
    </row>
    <row r="435" spans="13:15" x14ac:dyDescent="0.2">
      <c r="M435" s="28"/>
      <c r="N435" s="28"/>
      <c r="O435" s="28"/>
    </row>
    <row r="436" spans="13:15" x14ac:dyDescent="0.2">
      <c r="M436" s="28"/>
      <c r="N436" s="28"/>
      <c r="O436" s="28"/>
    </row>
    <row r="437" spans="13:15" x14ac:dyDescent="0.2">
      <c r="M437" s="28"/>
      <c r="N437" s="28"/>
      <c r="O437" s="28"/>
    </row>
    <row r="438" spans="13:15" x14ac:dyDescent="0.2">
      <c r="M438" s="28"/>
      <c r="N438" s="28"/>
      <c r="O438" s="28"/>
    </row>
    <row r="439" spans="13:15" x14ac:dyDescent="0.2">
      <c r="M439" s="28"/>
      <c r="N439" s="28"/>
      <c r="O439" s="28"/>
    </row>
    <row r="440" spans="13:15" x14ac:dyDescent="0.2">
      <c r="M440" s="28"/>
      <c r="N440" s="28"/>
      <c r="O440" s="28"/>
    </row>
    <row r="441" spans="13:15" x14ac:dyDescent="0.2">
      <c r="M441" s="28"/>
      <c r="N441" s="28"/>
      <c r="O441" s="28"/>
    </row>
    <row r="442" spans="13:15" x14ac:dyDescent="0.2">
      <c r="M442" s="28"/>
      <c r="N442" s="28"/>
      <c r="O442" s="28"/>
    </row>
    <row r="443" spans="13:15" x14ac:dyDescent="0.2">
      <c r="M443" s="28"/>
      <c r="N443" s="28"/>
      <c r="O443" s="28"/>
    </row>
    <row r="444" spans="13:15" x14ac:dyDescent="0.2">
      <c r="M444" s="28"/>
      <c r="N444" s="28"/>
      <c r="O444" s="28"/>
    </row>
    <row r="445" spans="13:15" x14ac:dyDescent="0.2">
      <c r="M445" s="28"/>
      <c r="N445" s="28"/>
      <c r="O445" s="28"/>
    </row>
    <row r="446" spans="13:15" x14ac:dyDescent="0.2">
      <c r="M446" s="28"/>
      <c r="N446" s="28"/>
      <c r="O446" s="28"/>
    </row>
    <row r="447" spans="13:15" x14ac:dyDescent="0.2">
      <c r="M447" s="28"/>
      <c r="N447" s="28"/>
      <c r="O447" s="28"/>
    </row>
    <row r="448" spans="13:15" x14ac:dyDescent="0.2">
      <c r="M448" s="28"/>
      <c r="N448" s="28"/>
      <c r="O448" s="28"/>
    </row>
    <row r="449" spans="13:15" x14ac:dyDescent="0.2">
      <c r="M449" s="28"/>
      <c r="N449" s="28"/>
      <c r="O449" s="28"/>
    </row>
    <row r="450" spans="13:15" x14ac:dyDescent="0.2">
      <c r="M450" s="28"/>
      <c r="N450" s="28"/>
      <c r="O450" s="28"/>
    </row>
    <row r="451" spans="13:15" x14ac:dyDescent="0.2">
      <c r="M451" s="28"/>
      <c r="N451" s="28"/>
      <c r="O451" s="28"/>
    </row>
    <row r="452" spans="13:15" x14ac:dyDescent="0.2">
      <c r="M452" s="28"/>
      <c r="N452" s="28"/>
      <c r="O452" s="28"/>
    </row>
    <row r="453" spans="13:15" x14ac:dyDescent="0.2">
      <c r="M453" s="28"/>
      <c r="N453" s="28"/>
      <c r="O453" s="28"/>
    </row>
    <row r="454" spans="13:15" x14ac:dyDescent="0.2">
      <c r="M454" s="28"/>
      <c r="N454" s="28"/>
      <c r="O454" s="28"/>
    </row>
    <row r="455" spans="13:15" x14ac:dyDescent="0.2">
      <c r="M455" s="28"/>
      <c r="N455" s="28"/>
      <c r="O455" s="28"/>
    </row>
    <row r="456" spans="13:15" x14ac:dyDescent="0.2">
      <c r="M456" s="28"/>
      <c r="N456" s="28"/>
      <c r="O456" s="28"/>
    </row>
    <row r="457" spans="13:15" x14ac:dyDescent="0.2">
      <c r="M457" s="28"/>
      <c r="N457" s="28"/>
      <c r="O457" s="28"/>
    </row>
    <row r="458" spans="13:15" x14ac:dyDescent="0.2">
      <c r="M458" s="28"/>
      <c r="N458" s="28"/>
      <c r="O458" s="28"/>
    </row>
    <row r="459" spans="13:15" x14ac:dyDescent="0.2">
      <c r="M459" s="28"/>
      <c r="N459" s="28"/>
      <c r="O459" s="28"/>
    </row>
    <row r="460" spans="13:15" x14ac:dyDescent="0.2">
      <c r="M460" s="28"/>
      <c r="N460" s="28"/>
      <c r="O460" s="28"/>
    </row>
    <row r="461" spans="13:15" x14ac:dyDescent="0.2">
      <c r="M461" s="28"/>
      <c r="N461" s="28"/>
      <c r="O461" s="28"/>
    </row>
    <row r="462" spans="13:15" x14ac:dyDescent="0.2">
      <c r="M462" s="28"/>
      <c r="N462" s="28"/>
      <c r="O462" s="28"/>
    </row>
    <row r="463" spans="13:15" x14ac:dyDescent="0.2">
      <c r="M463" s="28"/>
      <c r="N463" s="28"/>
      <c r="O463" s="28"/>
    </row>
  </sheetData>
  <mergeCells count="21">
    <mergeCell ref="F4:F5"/>
    <mergeCell ref="A4:A5"/>
    <mergeCell ref="B4:B5"/>
    <mergeCell ref="C4:C5"/>
    <mergeCell ref="D4:D5"/>
    <mergeCell ref="E4:E5"/>
    <mergeCell ref="G4:G5"/>
    <mergeCell ref="H4:H5"/>
    <mergeCell ref="O4:O5"/>
    <mergeCell ref="I4:I5"/>
    <mergeCell ref="P4:P5"/>
    <mergeCell ref="J4:J5"/>
    <mergeCell ref="K4:K5"/>
    <mergeCell ref="L4:L5"/>
    <mergeCell ref="M4:M5"/>
    <mergeCell ref="N4:N5"/>
    <mergeCell ref="Q4:Q5"/>
    <mergeCell ref="R4:R5"/>
    <mergeCell ref="S4:S5"/>
    <mergeCell ref="T4:T5"/>
    <mergeCell ref="U4:U5"/>
  </mergeCells>
  <pageMargins left="0.7" right="0.7" top="0.75" bottom="0.75" header="0.3" footer="0.3"/>
  <pageSetup paperSize="9" scale="31"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Y462"/>
  <sheetViews>
    <sheetView tabSelected="1" topLeftCell="H1" zoomScale="70" zoomScaleNormal="70" zoomScaleSheetLayoutView="100" workbookViewId="0">
      <pane ySplit="6" topLeftCell="A7" activePane="bottomLeft" state="frozen"/>
      <selection pane="bottomLeft" activeCell="W7" sqref="W7"/>
    </sheetView>
  </sheetViews>
  <sheetFormatPr defaultColWidth="8.85546875" defaultRowHeight="12.75" x14ac:dyDescent="0.2"/>
  <cols>
    <col min="1" max="1" width="8.85546875" style="3"/>
    <col min="2" max="2" width="15.28515625" style="68" customWidth="1"/>
    <col min="3" max="3" width="9.140625" style="69" customWidth="1"/>
    <col min="4" max="4" width="18.5703125" style="3" customWidth="1"/>
    <col min="5" max="5" width="17.5703125" style="3" customWidth="1"/>
    <col min="6" max="6" width="13.85546875" style="3" customWidth="1"/>
    <col min="7" max="7" width="29.140625" style="27" customWidth="1"/>
    <col min="8" max="8" width="19.42578125" style="27" customWidth="1"/>
    <col min="9" max="9" width="12.28515625" style="27" customWidth="1"/>
    <col min="10" max="10" width="66.5703125" style="27" customWidth="1"/>
    <col min="11" max="11" width="19.7109375" style="27" customWidth="1"/>
    <col min="12" max="12" width="28.42578125" style="46" customWidth="1"/>
    <col min="13" max="13" width="29.5703125" style="46" customWidth="1"/>
    <col min="14" max="14" width="33.85546875" style="46" customWidth="1"/>
    <col min="15" max="15" width="24.7109375" style="46" customWidth="1"/>
    <col min="16" max="16" width="13.42578125" style="46" customWidth="1"/>
    <col min="17" max="21" width="14.5703125" style="46" customWidth="1"/>
    <col min="22" max="22" width="18.85546875" style="46" customWidth="1"/>
    <col min="23" max="23" width="24.42578125" style="46" customWidth="1"/>
    <col min="24" max="24" width="20.85546875" style="1" customWidth="1"/>
    <col min="25" max="25" width="52.7109375" style="1" customWidth="1"/>
    <col min="26" max="16384" width="8.85546875" style="1"/>
  </cols>
  <sheetData>
    <row r="1" spans="1:25" ht="16.7" customHeight="1" thickBot="1" x14ac:dyDescent="0.25">
      <c r="A1" s="34" t="s">
        <v>236</v>
      </c>
      <c r="B1" s="37"/>
      <c r="C1" s="46"/>
      <c r="D1" s="46"/>
      <c r="E1" s="46"/>
      <c r="F1" s="46"/>
      <c r="G1" s="46"/>
      <c r="H1" s="46"/>
      <c r="I1" s="46"/>
      <c r="J1" s="46"/>
      <c r="K1" s="46"/>
    </row>
    <row r="2" spans="1:25" s="35" customFormat="1" ht="15.75" x14ac:dyDescent="0.25">
      <c r="A2" s="82"/>
      <c r="B2" s="82"/>
      <c r="C2" s="82"/>
      <c r="D2" s="82"/>
      <c r="E2" s="82"/>
      <c r="F2" s="82"/>
      <c r="G2" s="82"/>
      <c r="H2" s="82"/>
      <c r="I2" s="82"/>
      <c r="J2" s="82"/>
      <c r="K2" s="82"/>
      <c r="L2" s="82"/>
      <c r="M2" s="82"/>
      <c r="N2" s="82"/>
      <c r="O2" s="82"/>
      <c r="P2" s="82"/>
      <c r="Q2" s="82"/>
      <c r="R2" s="82"/>
      <c r="S2" s="82"/>
      <c r="T2" s="82"/>
      <c r="U2" s="82"/>
      <c r="V2" s="84" t="s">
        <v>56</v>
      </c>
      <c r="W2" s="94" t="s">
        <v>1484</v>
      </c>
    </row>
    <row r="3" spans="1:25" ht="24" customHeight="1" thickBot="1" x14ac:dyDescent="0.3">
      <c r="A3" s="83"/>
      <c r="B3" s="83"/>
      <c r="C3" s="83"/>
      <c r="D3" s="83"/>
      <c r="E3" s="83"/>
      <c r="F3" s="83"/>
      <c r="G3" s="83"/>
      <c r="H3" s="83"/>
      <c r="I3" s="83"/>
      <c r="J3" s="83"/>
      <c r="K3" s="83"/>
      <c r="L3" s="83"/>
      <c r="M3" s="83"/>
      <c r="N3" s="83"/>
      <c r="O3" s="83"/>
      <c r="P3" s="83"/>
      <c r="Q3" s="83"/>
      <c r="R3" s="83"/>
      <c r="S3" s="83"/>
      <c r="T3" s="83"/>
      <c r="U3" s="83"/>
      <c r="V3" s="86" t="s">
        <v>55</v>
      </c>
      <c r="W3" s="153">
        <v>2020</v>
      </c>
    </row>
    <row r="4" spans="1:25" ht="24" customHeight="1" thickBot="1" x14ac:dyDescent="0.3">
      <c r="A4" s="83"/>
      <c r="B4" s="83"/>
      <c r="C4" s="83"/>
      <c r="D4" s="83"/>
      <c r="E4" s="83"/>
      <c r="F4" s="83"/>
      <c r="G4" s="83"/>
      <c r="H4" s="83"/>
      <c r="I4" s="83"/>
      <c r="J4" s="83"/>
      <c r="K4" s="83"/>
      <c r="L4" s="83"/>
      <c r="M4" s="83"/>
      <c r="N4" s="142"/>
      <c r="O4" s="83"/>
      <c r="P4" s="801" t="s">
        <v>2042</v>
      </c>
      <c r="Q4" s="802"/>
      <c r="R4" s="802"/>
      <c r="S4" s="802"/>
      <c r="T4" s="803"/>
      <c r="U4" s="153"/>
      <c r="V4" s="153"/>
      <c r="W4" s="153"/>
    </row>
    <row r="5" spans="1:25" ht="13.5" thickBot="1" x14ac:dyDescent="0.25">
      <c r="A5" s="804" t="s">
        <v>0</v>
      </c>
      <c r="B5" s="806" t="s">
        <v>168</v>
      </c>
      <c r="C5" s="805" t="s">
        <v>1</v>
      </c>
      <c r="D5" s="805" t="s">
        <v>5</v>
      </c>
      <c r="E5" s="810" t="s">
        <v>169</v>
      </c>
      <c r="F5" s="812" t="s">
        <v>170</v>
      </c>
      <c r="G5" s="814" t="s">
        <v>171</v>
      </c>
      <c r="H5" s="812" t="s">
        <v>172</v>
      </c>
      <c r="I5" s="812" t="s">
        <v>173</v>
      </c>
      <c r="J5" s="812" t="s">
        <v>4</v>
      </c>
      <c r="K5" s="815" t="s">
        <v>262</v>
      </c>
      <c r="L5" s="815" t="s">
        <v>263</v>
      </c>
      <c r="M5" s="815" t="s">
        <v>248</v>
      </c>
      <c r="N5" s="815" t="s">
        <v>249</v>
      </c>
      <c r="O5" s="817" t="s">
        <v>264</v>
      </c>
      <c r="P5" s="817" t="s">
        <v>250</v>
      </c>
      <c r="Q5" s="817" t="s">
        <v>251</v>
      </c>
      <c r="R5" s="817" t="s">
        <v>252</v>
      </c>
      <c r="S5" s="817" t="s">
        <v>253</v>
      </c>
      <c r="T5" s="817" t="s">
        <v>254</v>
      </c>
      <c r="U5" s="819" t="s">
        <v>175</v>
      </c>
      <c r="V5" s="819" t="s">
        <v>176</v>
      </c>
      <c r="W5" s="819" t="s">
        <v>154</v>
      </c>
    </row>
    <row r="6" spans="1:25" ht="61.5" customHeight="1" thickBot="1" x14ac:dyDescent="0.25">
      <c r="A6" s="805"/>
      <c r="B6" s="807"/>
      <c r="C6" s="808"/>
      <c r="D6" s="809"/>
      <c r="E6" s="811"/>
      <c r="F6" s="813"/>
      <c r="G6" s="806"/>
      <c r="H6" s="813"/>
      <c r="I6" s="813"/>
      <c r="J6" s="813"/>
      <c r="K6" s="816"/>
      <c r="L6" s="816"/>
      <c r="M6" s="816"/>
      <c r="N6" s="816"/>
      <c r="O6" s="818"/>
      <c r="P6" s="818"/>
      <c r="Q6" s="818"/>
      <c r="R6" s="818"/>
      <c r="S6" s="818"/>
      <c r="T6" s="818"/>
      <c r="U6" s="820"/>
      <c r="V6" s="820"/>
      <c r="W6" s="820"/>
    </row>
    <row r="7" spans="1:25" s="36" customFormat="1" ht="191.25" x14ac:dyDescent="0.2">
      <c r="A7" s="501" t="s">
        <v>628</v>
      </c>
      <c r="B7" s="501" t="s">
        <v>1546</v>
      </c>
      <c r="C7" s="501" t="s">
        <v>629</v>
      </c>
      <c r="D7" s="501" t="s">
        <v>74</v>
      </c>
      <c r="E7" s="501" t="s">
        <v>630</v>
      </c>
      <c r="F7" s="501" t="s">
        <v>1559</v>
      </c>
      <c r="G7" s="457" t="s">
        <v>1560</v>
      </c>
      <c r="H7" s="501" t="s">
        <v>631</v>
      </c>
      <c r="I7" s="501" t="s">
        <v>527</v>
      </c>
      <c r="J7" s="457" t="s">
        <v>1561</v>
      </c>
      <c r="K7" s="700">
        <v>6515</v>
      </c>
      <c r="L7" s="701">
        <v>41</v>
      </c>
      <c r="M7" s="701">
        <v>30</v>
      </c>
      <c r="N7" s="649" t="s">
        <v>6</v>
      </c>
      <c r="O7" s="649" t="s">
        <v>77</v>
      </c>
      <c r="P7" s="649" t="s">
        <v>6</v>
      </c>
      <c r="Q7" s="649" t="s">
        <v>6</v>
      </c>
      <c r="R7" s="649" t="s">
        <v>6</v>
      </c>
      <c r="S7" s="649" t="s">
        <v>6</v>
      </c>
      <c r="T7" s="649" t="s">
        <v>6</v>
      </c>
      <c r="U7" s="649" t="s">
        <v>6</v>
      </c>
      <c r="V7" s="649" t="s">
        <v>6</v>
      </c>
      <c r="W7" s="649" t="s">
        <v>2030</v>
      </c>
    </row>
    <row r="8" spans="1:25" s="36" customFormat="1" ht="191.25" x14ac:dyDescent="0.2">
      <c r="A8" s="501" t="s">
        <v>628</v>
      </c>
      <c r="B8" s="501" t="s">
        <v>1546</v>
      </c>
      <c r="C8" s="501" t="s">
        <v>629</v>
      </c>
      <c r="D8" s="501" t="s">
        <v>74</v>
      </c>
      <c r="E8" s="501" t="s">
        <v>630</v>
      </c>
      <c r="F8" s="501" t="s">
        <v>1562</v>
      </c>
      <c r="G8" s="501" t="s">
        <v>1563</v>
      </c>
      <c r="H8" s="501" t="s">
        <v>631</v>
      </c>
      <c r="I8" s="501" t="s">
        <v>527</v>
      </c>
      <c r="J8" s="457" t="s">
        <v>632</v>
      </c>
      <c r="K8" s="700">
        <v>4778</v>
      </c>
      <c r="L8" s="701">
        <v>38</v>
      </c>
      <c r="M8" s="701">
        <v>38</v>
      </c>
      <c r="N8" s="649" t="s">
        <v>6</v>
      </c>
      <c r="O8" s="649" t="s">
        <v>77</v>
      </c>
      <c r="P8" s="649" t="s">
        <v>6</v>
      </c>
      <c r="Q8" s="649" t="s">
        <v>6</v>
      </c>
      <c r="R8" s="649" t="s">
        <v>6</v>
      </c>
      <c r="S8" s="649" t="s">
        <v>6</v>
      </c>
      <c r="T8" s="649" t="s">
        <v>6</v>
      </c>
      <c r="U8" s="649" t="s">
        <v>6</v>
      </c>
      <c r="V8" s="649" t="s">
        <v>6</v>
      </c>
      <c r="W8" s="649" t="s">
        <v>2030</v>
      </c>
    </row>
    <row r="9" spans="1:25" s="36" customFormat="1" ht="191.25" x14ac:dyDescent="0.2">
      <c r="A9" s="501" t="s">
        <v>628</v>
      </c>
      <c r="B9" s="501" t="s">
        <v>1546</v>
      </c>
      <c r="C9" s="501" t="s">
        <v>629</v>
      </c>
      <c r="D9" s="501" t="s">
        <v>74</v>
      </c>
      <c r="E9" s="501" t="s">
        <v>630</v>
      </c>
      <c r="F9" s="501" t="s">
        <v>1564</v>
      </c>
      <c r="G9" s="726" t="s">
        <v>2032</v>
      </c>
      <c r="H9" s="501" t="s">
        <v>631</v>
      </c>
      <c r="I9" s="501" t="s">
        <v>527</v>
      </c>
      <c r="J9" s="457" t="s">
        <v>1565</v>
      </c>
      <c r="K9" s="721">
        <v>1076</v>
      </c>
      <c r="L9" s="701">
        <v>14</v>
      </c>
      <c r="M9" s="701">
        <v>14</v>
      </c>
      <c r="N9" s="649" t="s">
        <v>6</v>
      </c>
      <c r="O9" s="649" t="s">
        <v>77</v>
      </c>
      <c r="P9" s="649" t="s">
        <v>6</v>
      </c>
      <c r="Q9" s="649" t="s">
        <v>6</v>
      </c>
      <c r="R9" s="649" t="s">
        <v>6</v>
      </c>
      <c r="S9" s="649" t="s">
        <v>6</v>
      </c>
      <c r="T9" s="649" t="s">
        <v>6</v>
      </c>
      <c r="U9" s="649" t="s">
        <v>6</v>
      </c>
      <c r="V9" s="649" t="s">
        <v>6</v>
      </c>
      <c r="W9" s="649" t="s">
        <v>2030</v>
      </c>
    </row>
    <row r="10" spans="1:25" s="36" customFormat="1" ht="191.25" x14ac:dyDescent="0.2">
      <c r="A10" s="501" t="s">
        <v>628</v>
      </c>
      <c r="B10" s="501" t="s">
        <v>1546</v>
      </c>
      <c r="C10" s="501" t="s">
        <v>629</v>
      </c>
      <c r="D10" s="501" t="s">
        <v>74</v>
      </c>
      <c r="E10" s="501" t="s">
        <v>630</v>
      </c>
      <c r="F10" s="501" t="s">
        <v>1566</v>
      </c>
      <c r="G10" s="501" t="s">
        <v>1567</v>
      </c>
      <c r="H10" s="501" t="s">
        <v>631</v>
      </c>
      <c r="I10" s="501" t="s">
        <v>527</v>
      </c>
      <c r="J10" s="457" t="s">
        <v>632</v>
      </c>
      <c r="K10" s="700">
        <v>5624</v>
      </c>
      <c r="L10" s="701">
        <v>0</v>
      </c>
      <c r="M10" s="701">
        <v>0</v>
      </c>
      <c r="N10" s="649" t="s">
        <v>6</v>
      </c>
      <c r="O10" s="649" t="s">
        <v>77</v>
      </c>
      <c r="P10" s="649" t="s">
        <v>6</v>
      </c>
      <c r="Q10" s="649" t="s">
        <v>6</v>
      </c>
      <c r="R10" s="649" t="s">
        <v>6</v>
      </c>
      <c r="S10" s="649" t="s">
        <v>6</v>
      </c>
      <c r="T10" s="649" t="s">
        <v>6</v>
      </c>
      <c r="U10" s="649" t="s">
        <v>6</v>
      </c>
      <c r="V10" s="649" t="s">
        <v>6</v>
      </c>
      <c r="W10" s="649" t="s">
        <v>2030</v>
      </c>
    </row>
    <row r="11" spans="1:25" s="5" customFormat="1" ht="191.25" x14ac:dyDescent="0.2">
      <c r="A11" s="501" t="s">
        <v>628</v>
      </c>
      <c r="B11" s="501" t="s">
        <v>1546</v>
      </c>
      <c r="C11" s="501" t="s">
        <v>629</v>
      </c>
      <c r="D11" s="501" t="s">
        <v>74</v>
      </c>
      <c r="E11" s="501" t="s">
        <v>630</v>
      </c>
      <c r="F11" s="501" t="s">
        <v>1559</v>
      </c>
      <c r="G11" s="457" t="s">
        <v>1560</v>
      </c>
      <c r="H11" s="501" t="s">
        <v>633</v>
      </c>
      <c r="I11" s="501" t="s">
        <v>527</v>
      </c>
      <c r="J11" s="457" t="s">
        <v>1568</v>
      </c>
      <c r="K11" s="700">
        <v>6515</v>
      </c>
      <c r="L11" s="701">
        <v>41</v>
      </c>
      <c r="M11" s="701">
        <v>30</v>
      </c>
      <c r="N11" s="650" t="s">
        <v>6</v>
      </c>
      <c r="O11" s="650" t="s">
        <v>77</v>
      </c>
      <c r="P11" s="649" t="s">
        <v>6</v>
      </c>
      <c r="Q11" s="649" t="s">
        <v>6</v>
      </c>
      <c r="R11" s="649" t="s">
        <v>6</v>
      </c>
      <c r="S11" s="649" t="s">
        <v>6</v>
      </c>
      <c r="T11" s="649" t="s">
        <v>6</v>
      </c>
      <c r="U11" s="650" t="s">
        <v>6</v>
      </c>
      <c r="V11" s="650" t="s">
        <v>6</v>
      </c>
      <c r="W11" s="649" t="s">
        <v>2030</v>
      </c>
      <c r="X11" s="3"/>
      <c r="Y11" s="3"/>
    </row>
    <row r="12" spans="1:25" ht="191.25" x14ac:dyDescent="0.2">
      <c r="A12" s="501" t="s">
        <v>628</v>
      </c>
      <c r="B12" s="501" t="s">
        <v>1546</v>
      </c>
      <c r="C12" s="501" t="s">
        <v>629</v>
      </c>
      <c r="D12" s="501" t="s">
        <v>74</v>
      </c>
      <c r="E12" s="501" t="s">
        <v>630</v>
      </c>
      <c r="F12" s="501" t="s">
        <v>1562</v>
      </c>
      <c r="G12" s="501" t="s">
        <v>1563</v>
      </c>
      <c r="H12" s="501" t="s">
        <v>633</v>
      </c>
      <c r="I12" s="501" t="s">
        <v>527</v>
      </c>
      <c r="J12" s="457" t="s">
        <v>632</v>
      </c>
      <c r="K12" s="700">
        <v>4778</v>
      </c>
      <c r="L12" s="701">
        <v>38</v>
      </c>
      <c r="M12" s="701">
        <v>38</v>
      </c>
      <c r="N12" s="649" t="s">
        <v>6</v>
      </c>
      <c r="O12" s="649" t="s">
        <v>77</v>
      </c>
      <c r="P12" s="649" t="s">
        <v>6</v>
      </c>
      <c r="Q12" s="649" t="s">
        <v>6</v>
      </c>
      <c r="R12" s="649" t="s">
        <v>6</v>
      </c>
      <c r="S12" s="649" t="s">
        <v>6</v>
      </c>
      <c r="T12" s="649" t="s">
        <v>6</v>
      </c>
      <c r="U12" s="649" t="s">
        <v>6</v>
      </c>
      <c r="V12" s="649" t="s">
        <v>6</v>
      </c>
      <c r="W12" s="649" t="s">
        <v>2030</v>
      </c>
      <c r="X12" s="3"/>
      <c r="Y12" s="3"/>
    </row>
    <row r="13" spans="1:25" ht="191.25" x14ac:dyDescent="0.2">
      <c r="A13" s="501" t="s">
        <v>628</v>
      </c>
      <c r="B13" s="501" t="s">
        <v>1546</v>
      </c>
      <c r="C13" s="501" t="s">
        <v>629</v>
      </c>
      <c r="D13" s="501" t="s">
        <v>74</v>
      </c>
      <c r="E13" s="501" t="s">
        <v>630</v>
      </c>
      <c r="F13" s="501" t="s">
        <v>1564</v>
      </c>
      <c r="G13" s="726" t="s">
        <v>2032</v>
      </c>
      <c r="H13" s="501" t="s">
        <v>633</v>
      </c>
      <c r="I13" s="501" t="s">
        <v>527</v>
      </c>
      <c r="J13" s="457" t="s">
        <v>1569</v>
      </c>
      <c r="K13" s="721">
        <v>1076</v>
      </c>
      <c r="L13" s="701">
        <v>14</v>
      </c>
      <c r="M13" s="701">
        <v>14</v>
      </c>
      <c r="N13" s="650" t="s">
        <v>6</v>
      </c>
      <c r="O13" s="650" t="s">
        <v>77</v>
      </c>
      <c r="P13" s="649" t="s">
        <v>6</v>
      </c>
      <c r="Q13" s="649" t="s">
        <v>6</v>
      </c>
      <c r="R13" s="649" t="s">
        <v>6</v>
      </c>
      <c r="S13" s="649" t="s">
        <v>6</v>
      </c>
      <c r="T13" s="649" t="s">
        <v>6</v>
      </c>
      <c r="U13" s="650" t="s">
        <v>6</v>
      </c>
      <c r="V13" s="650" t="s">
        <v>6</v>
      </c>
      <c r="W13" s="649" t="s">
        <v>2030</v>
      </c>
      <c r="X13" s="3"/>
      <c r="Y13" s="3"/>
    </row>
    <row r="14" spans="1:25" ht="191.25" x14ac:dyDescent="0.2">
      <c r="A14" s="501" t="s">
        <v>628</v>
      </c>
      <c r="B14" s="501" t="s">
        <v>1546</v>
      </c>
      <c r="C14" s="501" t="s">
        <v>629</v>
      </c>
      <c r="D14" s="501" t="s">
        <v>74</v>
      </c>
      <c r="E14" s="501" t="s">
        <v>630</v>
      </c>
      <c r="F14" s="501" t="s">
        <v>1566</v>
      </c>
      <c r="G14" s="501" t="s">
        <v>1567</v>
      </c>
      <c r="H14" s="501" t="s">
        <v>633</v>
      </c>
      <c r="I14" s="501" t="s">
        <v>527</v>
      </c>
      <c r="J14" s="457" t="s">
        <v>632</v>
      </c>
      <c r="K14" s="700">
        <v>5624</v>
      </c>
      <c r="L14" s="701">
        <v>0</v>
      </c>
      <c r="M14" s="702">
        <v>0</v>
      </c>
      <c r="N14" s="650" t="s">
        <v>6</v>
      </c>
      <c r="O14" s="650" t="s">
        <v>77</v>
      </c>
      <c r="P14" s="649" t="s">
        <v>6</v>
      </c>
      <c r="Q14" s="649" t="s">
        <v>6</v>
      </c>
      <c r="R14" s="649" t="s">
        <v>6</v>
      </c>
      <c r="S14" s="649" t="s">
        <v>6</v>
      </c>
      <c r="T14" s="649" t="s">
        <v>6</v>
      </c>
      <c r="U14" s="650" t="s">
        <v>6</v>
      </c>
      <c r="V14" s="650" t="s">
        <v>6</v>
      </c>
      <c r="W14" s="649" t="s">
        <v>2030</v>
      </c>
      <c r="X14" s="3"/>
      <c r="Y14" s="3"/>
    </row>
    <row r="15" spans="1:25" ht="191.25" x14ac:dyDescent="0.2">
      <c r="A15" s="501" t="s">
        <v>628</v>
      </c>
      <c r="B15" s="501" t="s">
        <v>1546</v>
      </c>
      <c r="C15" s="501" t="s">
        <v>629</v>
      </c>
      <c r="D15" s="501" t="s">
        <v>74</v>
      </c>
      <c r="E15" s="501" t="s">
        <v>630</v>
      </c>
      <c r="F15" s="501" t="s">
        <v>1559</v>
      </c>
      <c r="G15" s="457" t="s">
        <v>1560</v>
      </c>
      <c r="H15" s="501" t="s">
        <v>634</v>
      </c>
      <c r="I15" s="501" t="s">
        <v>527</v>
      </c>
      <c r="J15" s="457" t="s">
        <v>1561</v>
      </c>
      <c r="K15" s="700">
        <v>6515</v>
      </c>
      <c r="L15" s="701">
        <v>41</v>
      </c>
      <c r="M15" s="701">
        <v>30</v>
      </c>
      <c r="N15" s="650" t="s">
        <v>6</v>
      </c>
      <c r="O15" s="650" t="s">
        <v>77</v>
      </c>
      <c r="P15" s="649" t="s">
        <v>6</v>
      </c>
      <c r="Q15" s="649" t="s">
        <v>6</v>
      </c>
      <c r="R15" s="649" t="s">
        <v>6</v>
      </c>
      <c r="S15" s="649" t="s">
        <v>6</v>
      </c>
      <c r="T15" s="649" t="s">
        <v>6</v>
      </c>
      <c r="U15" s="650" t="s">
        <v>6</v>
      </c>
      <c r="V15" s="650" t="s">
        <v>6</v>
      </c>
      <c r="W15" s="649" t="s">
        <v>2030</v>
      </c>
      <c r="X15" s="3"/>
      <c r="Y15" s="3"/>
    </row>
    <row r="16" spans="1:25" ht="191.25" x14ac:dyDescent="0.2">
      <c r="A16" s="501" t="s">
        <v>628</v>
      </c>
      <c r="B16" s="501" t="s">
        <v>1546</v>
      </c>
      <c r="C16" s="501" t="s">
        <v>629</v>
      </c>
      <c r="D16" s="501" t="s">
        <v>74</v>
      </c>
      <c r="E16" s="501" t="s">
        <v>630</v>
      </c>
      <c r="F16" s="501" t="s">
        <v>1570</v>
      </c>
      <c r="G16" s="501" t="s">
        <v>1563</v>
      </c>
      <c r="H16" s="501" t="s">
        <v>634</v>
      </c>
      <c r="I16" s="501" t="s">
        <v>527</v>
      </c>
      <c r="J16" s="457" t="s">
        <v>632</v>
      </c>
      <c r="K16" s="700">
        <v>4778</v>
      </c>
      <c r="L16" s="701">
        <v>38</v>
      </c>
      <c r="M16" s="702">
        <v>38</v>
      </c>
      <c r="N16" s="650" t="s">
        <v>6</v>
      </c>
      <c r="O16" s="650" t="s">
        <v>77</v>
      </c>
      <c r="P16" s="649" t="s">
        <v>6</v>
      </c>
      <c r="Q16" s="649" t="s">
        <v>6</v>
      </c>
      <c r="R16" s="649" t="s">
        <v>6</v>
      </c>
      <c r="S16" s="649" t="s">
        <v>6</v>
      </c>
      <c r="T16" s="649" t="s">
        <v>6</v>
      </c>
      <c r="U16" s="650" t="s">
        <v>6</v>
      </c>
      <c r="V16" s="650" t="s">
        <v>6</v>
      </c>
      <c r="W16" s="649" t="s">
        <v>2030</v>
      </c>
      <c r="X16" s="3"/>
      <c r="Y16" s="3"/>
    </row>
    <row r="17" spans="1:25" ht="191.25" x14ac:dyDescent="0.2">
      <c r="A17" s="501" t="s">
        <v>628</v>
      </c>
      <c r="B17" s="501" t="s">
        <v>1546</v>
      </c>
      <c r="C17" s="501" t="s">
        <v>629</v>
      </c>
      <c r="D17" s="501" t="s">
        <v>74</v>
      </c>
      <c r="E17" s="501" t="s">
        <v>630</v>
      </c>
      <c r="F17" s="501" t="s">
        <v>1564</v>
      </c>
      <c r="G17" s="726" t="s">
        <v>2032</v>
      </c>
      <c r="H17" s="501" t="s">
        <v>634</v>
      </c>
      <c r="I17" s="501" t="s">
        <v>527</v>
      </c>
      <c r="J17" s="457" t="s">
        <v>1569</v>
      </c>
      <c r="K17" s="721">
        <v>1076</v>
      </c>
      <c r="L17" s="701">
        <v>14</v>
      </c>
      <c r="M17" s="701">
        <v>14</v>
      </c>
      <c r="N17" s="650" t="s">
        <v>6</v>
      </c>
      <c r="O17" s="650" t="s">
        <v>77</v>
      </c>
      <c r="P17" s="649" t="s">
        <v>6</v>
      </c>
      <c r="Q17" s="649" t="s">
        <v>6</v>
      </c>
      <c r="R17" s="649" t="s">
        <v>6</v>
      </c>
      <c r="S17" s="649" t="s">
        <v>6</v>
      </c>
      <c r="T17" s="649" t="s">
        <v>6</v>
      </c>
      <c r="U17" s="650" t="s">
        <v>6</v>
      </c>
      <c r="V17" s="650" t="s">
        <v>6</v>
      </c>
      <c r="W17" s="649" t="s">
        <v>2030</v>
      </c>
      <c r="X17" s="3"/>
      <c r="Y17" s="3"/>
    </row>
    <row r="18" spans="1:25" ht="191.25" x14ac:dyDescent="0.2">
      <c r="A18" s="501" t="s">
        <v>628</v>
      </c>
      <c r="B18" s="501" t="s">
        <v>1546</v>
      </c>
      <c r="C18" s="501" t="s">
        <v>629</v>
      </c>
      <c r="D18" s="501" t="s">
        <v>74</v>
      </c>
      <c r="E18" s="501" t="s">
        <v>630</v>
      </c>
      <c r="F18" s="501" t="s">
        <v>1566</v>
      </c>
      <c r="G18" s="501" t="s">
        <v>1567</v>
      </c>
      <c r="H18" s="501" t="s">
        <v>634</v>
      </c>
      <c r="I18" s="501" t="s">
        <v>527</v>
      </c>
      <c r="J18" s="457" t="s">
        <v>632</v>
      </c>
      <c r="K18" s="700">
        <v>5624</v>
      </c>
      <c r="L18" s="701">
        <v>0</v>
      </c>
      <c r="M18" s="702">
        <v>0</v>
      </c>
      <c r="N18" s="650" t="s">
        <v>6</v>
      </c>
      <c r="O18" s="650" t="s">
        <v>77</v>
      </c>
      <c r="P18" s="649" t="s">
        <v>6</v>
      </c>
      <c r="Q18" s="649" t="s">
        <v>6</v>
      </c>
      <c r="R18" s="649" t="s">
        <v>6</v>
      </c>
      <c r="S18" s="649" t="s">
        <v>6</v>
      </c>
      <c r="T18" s="649" t="s">
        <v>6</v>
      </c>
      <c r="U18" s="650" t="s">
        <v>6</v>
      </c>
      <c r="V18" s="650" t="s">
        <v>6</v>
      </c>
      <c r="W18" s="649" t="s">
        <v>2030</v>
      </c>
      <c r="X18" s="3"/>
      <c r="Y18" s="3"/>
    </row>
    <row r="19" spans="1:25" ht="191.25" x14ac:dyDescent="0.2">
      <c r="A19" s="501" t="s">
        <v>628</v>
      </c>
      <c r="B19" s="501" t="s">
        <v>1546</v>
      </c>
      <c r="C19" s="501" t="s">
        <v>629</v>
      </c>
      <c r="D19" s="501" t="s">
        <v>74</v>
      </c>
      <c r="E19" s="501" t="s">
        <v>630</v>
      </c>
      <c r="F19" s="501" t="s">
        <v>1559</v>
      </c>
      <c r="G19" s="457" t="s">
        <v>1560</v>
      </c>
      <c r="H19" s="501" t="s">
        <v>635</v>
      </c>
      <c r="I19" s="501" t="s">
        <v>527</v>
      </c>
      <c r="J19" s="457" t="s">
        <v>1568</v>
      </c>
      <c r="K19" s="702">
        <v>6515</v>
      </c>
      <c r="L19" s="702">
        <v>41</v>
      </c>
      <c r="M19" s="702">
        <v>30</v>
      </c>
      <c r="N19" s="650" t="s">
        <v>6</v>
      </c>
      <c r="O19" s="650" t="s">
        <v>77</v>
      </c>
      <c r="P19" s="649" t="s">
        <v>6</v>
      </c>
      <c r="Q19" s="649" t="s">
        <v>6</v>
      </c>
      <c r="R19" s="649" t="s">
        <v>6</v>
      </c>
      <c r="S19" s="649" t="s">
        <v>6</v>
      </c>
      <c r="T19" s="649" t="s">
        <v>6</v>
      </c>
      <c r="U19" s="650" t="s">
        <v>6</v>
      </c>
      <c r="V19" s="650" t="s">
        <v>6</v>
      </c>
      <c r="W19" s="649" t="s">
        <v>2030</v>
      </c>
      <c r="X19" s="3"/>
      <c r="Y19" s="3"/>
    </row>
    <row r="20" spans="1:25" ht="191.25" x14ac:dyDescent="0.2">
      <c r="A20" s="501" t="s">
        <v>628</v>
      </c>
      <c r="B20" s="501" t="s">
        <v>1546</v>
      </c>
      <c r="C20" s="501" t="s">
        <v>629</v>
      </c>
      <c r="D20" s="501" t="s">
        <v>74</v>
      </c>
      <c r="E20" s="501" t="s">
        <v>630</v>
      </c>
      <c r="F20" s="501" t="s">
        <v>1562</v>
      </c>
      <c r="G20" s="501" t="s">
        <v>1563</v>
      </c>
      <c r="H20" s="501" t="s">
        <v>635</v>
      </c>
      <c r="I20" s="501" t="s">
        <v>527</v>
      </c>
      <c r="J20" s="457" t="s">
        <v>632</v>
      </c>
      <c r="K20" s="700">
        <v>4778</v>
      </c>
      <c r="L20" s="701">
        <v>38</v>
      </c>
      <c r="M20" s="702">
        <v>38</v>
      </c>
      <c r="N20" s="650" t="s">
        <v>6</v>
      </c>
      <c r="O20" s="650" t="s">
        <v>77</v>
      </c>
      <c r="P20" s="649" t="s">
        <v>6</v>
      </c>
      <c r="Q20" s="649" t="s">
        <v>6</v>
      </c>
      <c r="R20" s="649" t="s">
        <v>6</v>
      </c>
      <c r="S20" s="649" t="s">
        <v>6</v>
      </c>
      <c r="T20" s="649" t="s">
        <v>6</v>
      </c>
      <c r="U20" s="650" t="s">
        <v>6</v>
      </c>
      <c r="V20" s="650" t="s">
        <v>6</v>
      </c>
      <c r="W20" s="649" t="s">
        <v>2030</v>
      </c>
      <c r="X20" s="3"/>
      <c r="Y20" s="3"/>
    </row>
    <row r="21" spans="1:25" ht="191.25" x14ac:dyDescent="0.2">
      <c r="A21" s="501" t="s">
        <v>628</v>
      </c>
      <c r="B21" s="501" t="s">
        <v>1546</v>
      </c>
      <c r="C21" s="501" t="s">
        <v>629</v>
      </c>
      <c r="D21" s="501" t="s">
        <v>74</v>
      </c>
      <c r="E21" s="501" t="s">
        <v>630</v>
      </c>
      <c r="F21" s="501" t="s">
        <v>1564</v>
      </c>
      <c r="G21" s="726" t="s">
        <v>2032</v>
      </c>
      <c r="H21" s="501" t="s">
        <v>635</v>
      </c>
      <c r="I21" s="501" t="s">
        <v>527</v>
      </c>
      <c r="J21" s="457" t="s">
        <v>1569</v>
      </c>
      <c r="K21" s="721">
        <v>1076</v>
      </c>
      <c r="L21" s="701">
        <v>14</v>
      </c>
      <c r="M21" s="701">
        <v>14</v>
      </c>
      <c r="N21" s="650" t="s">
        <v>6</v>
      </c>
      <c r="O21" s="650" t="s">
        <v>77</v>
      </c>
      <c r="P21" s="649" t="s">
        <v>6</v>
      </c>
      <c r="Q21" s="649" t="s">
        <v>6</v>
      </c>
      <c r="R21" s="649" t="s">
        <v>6</v>
      </c>
      <c r="S21" s="649" t="s">
        <v>6</v>
      </c>
      <c r="T21" s="649" t="s">
        <v>6</v>
      </c>
      <c r="U21" s="650" t="s">
        <v>6</v>
      </c>
      <c r="V21" s="650" t="s">
        <v>6</v>
      </c>
      <c r="W21" s="649" t="s">
        <v>2030</v>
      </c>
    </row>
    <row r="22" spans="1:25" ht="191.25" x14ac:dyDescent="0.2">
      <c r="A22" s="501" t="s">
        <v>628</v>
      </c>
      <c r="B22" s="501" t="s">
        <v>1546</v>
      </c>
      <c r="C22" s="501" t="s">
        <v>629</v>
      </c>
      <c r="D22" s="501" t="s">
        <v>74</v>
      </c>
      <c r="E22" s="501" t="s">
        <v>630</v>
      </c>
      <c r="F22" s="501" t="s">
        <v>1566</v>
      </c>
      <c r="G22" s="501" t="s">
        <v>1567</v>
      </c>
      <c r="H22" s="501" t="s">
        <v>635</v>
      </c>
      <c r="I22" s="501" t="s">
        <v>527</v>
      </c>
      <c r="J22" s="457" t="s">
        <v>632</v>
      </c>
      <c r="K22" s="700">
        <v>5624</v>
      </c>
      <c r="L22" s="701">
        <v>0</v>
      </c>
      <c r="M22" s="702">
        <v>0</v>
      </c>
      <c r="N22" s="650" t="s">
        <v>6</v>
      </c>
      <c r="O22" s="650" t="s">
        <v>77</v>
      </c>
      <c r="P22" s="649" t="s">
        <v>6</v>
      </c>
      <c r="Q22" s="649" t="s">
        <v>6</v>
      </c>
      <c r="R22" s="649" t="s">
        <v>6</v>
      </c>
      <c r="S22" s="649" t="s">
        <v>6</v>
      </c>
      <c r="T22" s="649" t="s">
        <v>6</v>
      </c>
      <c r="U22" s="650" t="s">
        <v>6</v>
      </c>
      <c r="V22" s="650" t="s">
        <v>6</v>
      </c>
      <c r="W22" s="649" t="s">
        <v>2030</v>
      </c>
    </row>
    <row r="23" spans="1:25" ht="191.25" x14ac:dyDescent="0.2">
      <c r="A23" s="501" t="s">
        <v>628</v>
      </c>
      <c r="B23" s="501" t="s">
        <v>1546</v>
      </c>
      <c r="C23" s="501" t="s">
        <v>629</v>
      </c>
      <c r="D23" s="501" t="s">
        <v>74</v>
      </c>
      <c r="E23" s="501" t="s">
        <v>630</v>
      </c>
      <c r="F23" s="501" t="s">
        <v>1559</v>
      </c>
      <c r="G23" s="457" t="s">
        <v>1560</v>
      </c>
      <c r="H23" s="501" t="s">
        <v>636</v>
      </c>
      <c r="I23" s="501" t="s">
        <v>527</v>
      </c>
      <c r="J23" s="457" t="s">
        <v>1568</v>
      </c>
      <c r="K23" s="700">
        <v>6515</v>
      </c>
      <c r="L23" s="701">
        <v>41</v>
      </c>
      <c r="M23" s="702">
        <v>30</v>
      </c>
      <c r="N23" s="650" t="s">
        <v>6</v>
      </c>
      <c r="O23" s="650" t="s">
        <v>77</v>
      </c>
      <c r="P23" s="649" t="s">
        <v>6</v>
      </c>
      <c r="Q23" s="649" t="s">
        <v>6</v>
      </c>
      <c r="R23" s="649" t="s">
        <v>6</v>
      </c>
      <c r="S23" s="649" t="s">
        <v>6</v>
      </c>
      <c r="T23" s="649" t="s">
        <v>6</v>
      </c>
      <c r="U23" s="650" t="s">
        <v>6</v>
      </c>
      <c r="V23" s="650" t="s">
        <v>6</v>
      </c>
      <c r="W23" s="649" t="s">
        <v>2030</v>
      </c>
    </row>
    <row r="24" spans="1:25" ht="191.25" x14ac:dyDescent="0.2">
      <c r="A24" s="501" t="s">
        <v>628</v>
      </c>
      <c r="B24" s="501" t="s">
        <v>1546</v>
      </c>
      <c r="C24" s="501" t="s">
        <v>629</v>
      </c>
      <c r="D24" s="501" t="s">
        <v>74</v>
      </c>
      <c r="E24" s="501" t="s">
        <v>630</v>
      </c>
      <c r="F24" s="501" t="s">
        <v>1570</v>
      </c>
      <c r="G24" s="501" t="s">
        <v>1563</v>
      </c>
      <c r="H24" s="501" t="s">
        <v>636</v>
      </c>
      <c r="I24" s="501" t="s">
        <v>527</v>
      </c>
      <c r="J24" s="457" t="s">
        <v>632</v>
      </c>
      <c r="K24" s="700">
        <v>4778</v>
      </c>
      <c r="L24" s="701">
        <v>38</v>
      </c>
      <c r="M24" s="702">
        <v>38</v>
      </c>
      <c r="N24" s="650" t="s">
        <v>6</v>
      </c>
      <c r="O24" s="650" t="s">
        <v>77</v>
      </c>
      <c r="P24" s="649" t="s">
        <v>6</v>
      </c>
      <c r="Q24" s="649" t="s">
        <v>6</v>
      </c>
      <c r="R24" s="649" t="s">
        <v>6</v>
      </c>
      <c r="S24" s="649" t="s">
        <v>6</v>
      </c>
      <c r="T24" s="649" t="s">
        <v>6</v>
      </c>
      <c r="U24" s="650" t="s">
        <v>6</v>
      </c>
      <c r="V24" s="650" t="s">
        <v>6</v>
      </c>
      <c r="W24" s="649" t="s">
        <v>2030</v>
      </c>
    </row>
    <row r="25" spans="1:25" ht="191.25" x14ac:dyDescent="0.2">
      <c r="A25" s="501" t="s">
        <v>628</v>
      </c>
      <c r="B25" s="501" t="s">
        <v>1546</v>
      </c>
      <c r="C25" s="501" t="s">
        <v>629</v>
      </c>
      <c r="D25" s="501" t="s">
        <v>74</v>
      </c>
      <c r="E25" s="501" t="s">
        <v>630</v>
      </c>
      <c r="F25" s="501" t="s">
        <v>1564</v>
      </c>
      <c r="G25" s="726" t="s">
        <v>2032</v>
      </c>
      <c r="H25" s="501" t="s">
        <v>636</v>
      </c>
      <c r="I25" s="501" t="s">
        <v>527</v>
      </c>
      <c r="J25" s="457" t="s">
        <v>1569</v>
      </c>
      <c r="K25" s="721">
        <v>1076</v>
      </c>
      <c r="L25" s="701">
        <v>14</v>
      </c>
      <c r="M25" s="701">
        <v>14</v>
      </c>
      <c r="N25" s="650" t="s">
        <v>6</v>
      </c>
      <c r="O25" s="650" t="s">
        <v>77</v>
      </c>
      <c r="P25" s="649" t="s">
        <v>6</v>
      </c>
      <c r="Q25" s="649" t="s">
        <v>6</v>
      </c>
      <c r="R25" s="649" t="s">
        <v>6</v>
      </c>
      <c r="S25" s="649" t="s">
        <v>6</v>
      </c>
      <c r="T25" s="649" t="s">
        <v>6</v>
      </c>
      <c r="U25" s="650" t="s">
        <v>6</v>
      </c>
      <c r="V25" s="650" t="s">
        <v>6</v>
      </c>
      <c r="W25" s="649" t="s">
        <v>2030</v>
      </c>
    </row>
    <row r="26" spans="1:25" ht="191.25" x14ac:dyDescent="0.2">
      <c r="A26" s="501" t="s">
        <v>628</v>
      </c>
      <c r="B26" s="501" t="s">
        <v>1546</v>
      </c>
      <c r="C26" s="501" t="s">
        <v>629</v>
      </c>
      <c r="D26" s="501" t="s">
        <v>74</v>
      </c>
      <c r="E26" s="501" t="s">
        <v>630</v>
      </c>
      <c r="F26" s="501" t="s">
        <v>1571</v>
      </c>
      <c r="G26" s="501" t="s">
        <v>1567</v>
      </c>
      <c r="H26" s="501" t="s">
        <v>636</v>
      </c>
      <c r="I26" s="501" t="s">
        <v>527</v>
      </c>
      <c r="J26" s="457" t="s">
        <v>632</v>
      </c>
      <c r="K26" s="700">
        <v>5624</v>
      </c>
      <c r="L26" s="701">
        <v>0</v>
      </c>
      <c r="M26" s="702">
        <v>0</v>
      </c>
      <c r="N26" s="650" t="s">
        <v>6</v>
      </c>
      <c r="O26" s="650" t="s">
        <v>77</v>
      </c>
      <c r="P26" s="649" t="s">
        <v>6</v>
      </c>
      <c r="Q26" s="649" t="s">
        <v>6</v>
      </c>
      <c r="R26" s="649" t="s">
        <v>6</v>
      </c>
      <c r="S26" s="649" t="s">
        <v>6</v>
      </c>
      <c r="T26" s="649" t="s">
        <v>6</v>
      </c>
      <c r="U26" s="650" t="s">
        <v>6</v>
      </c>
      <c r="V26" s="650" t="s">
        <v>6</v>
      </c>
      <c r="W26" s="649" t="s">
        <v>2030</v>
      </c>
    </row>
    <row r="27" spans="1:25" ht="191.25" x14ac:dyDescent="0.2">
      <c r="A27" s="501" t="s">
        <v>628</v>
      </c>
      <c r="B27" s="501" t="s">
        <v>1546</v>
      </c>
      <c r="C27" s="501" t="s">
        <v>629</v>
      </c>
      <c r="D27" s="501" t="s">
        <v>74</v>
      </c>
      <c r="E27" s="501" t="s">
        <v>630</v>
      </c>
      <c r="F27" s="501" t="s">
        <v>1559</v>
      </c>
      <c r="G27" s="457" t="s">
        <v>1560</v>
      </c>
      <c r="H27" s="501" t="s">
        <v>637</v>
      </c>
      <c r="I27" s="501" t="s">
        <v>527</v>
      </c>
      <c r="J27" s="457" t="s">
        <v>1568</v>
      </c>
      <c r="K27" s="700">
        <v>6515</v>
      </c>
      <c r="L27" s="701">
        <v>41</v>
      </c>
      <c r="M27" s="702">
        <v>30</v>
      </c>
      <c r="N27" s="650" t="s">
        <v>6</v>
      </c>
      <c r="O27" s="650" t="s">
        <v>77</v>
      </c>
      <c r="P27" s="649" t="s">
        <v>6</v>
      </c>
      <c r="Q27" s="649" t="s">
        <v>6</v>
      </c>
      <c r="R27" s="649" t="s">
        <v>6</v>
      </c>
      <c r="S27" s="649" t="s">
        <v>6</v>
      </c>
      <c r="T27" s="649" t="s">
        <v>6</v>
      </c>
      <c r="U27" s="650" t="s">
        <v>6</v>
      </c>
      <c r="V27" s="650" t="s">
        <v>6</v>
      </c>
      <c r="W27" s="649" t="s">
        <v>2030</v>
      </c>
    </row>
    <row r="28" spans="1:25" ht="191.25" x14ac:dyDescent="0.2">
      <c r="A28" s="501" t="s">
        <v>628</v>
      </c>
      <c r="B28" s="501" t="s">
        <v>1546</v>
      </c>
      <c r="C28" s="501" t="s">
        <v>629</v>
      </c>
      <c r="D28" s="501" t="s">
        <v>74</v>
      </c>
      <c r="E28" s="501" t="s">
        <v>630</v>
      </c>
      <c r="F28" s="501" t="s">
        <v>1572</v>
      </c>
      <c r="G28" s="501" t="s">
        <v>1563</v>
      </c>
      <c r="H28" s="501" t="s">
        <v>637</v>
      </c>
      <c r="I28" s="501" t="s">
        <v>527</v>
      </c>
      <c r="J28" s="457" t="s">
        <v>632</v>
      </c>
      <c r="K28" s="700">
        <v>4778</v>
      </c>
      <c r="L28" s="701">
        <v>38</v>
      </c>
      <c r="M28" s="702">
        <v>38</v>
      </c>
      <c r="N28" s="650" t="s">
        <v>6</v>
      </c>
      <c r="O28" s="650" t="s">
        <v>77</v>
      </c>
      <c r="P28" s="649" t="s">
        <v>6</v>
      </c>
      <c r="Q28" s="649" t="s">
        <v>6</v>
      </c>
      <c r="R28" s="649" t="s">
        <v>6</v>
      </c>
      <c r="S28" s="649" t="s">
        <v>6</v>
      </c>
      <c r="T28" s="649" t="s">
        <v>6</v>
      </c>
      <c r="U28" s="650" t="s">
        <v>6</v>
      </c>
      <c r="V28" s="650" t="s">
        <v>6</v>
      </c>
      <c r="W28" s="649" t="s">
        <v>2030</v>
      </c>
    </row>
    <row r="29" spans="1:25" ht="191.25" x14ac:dyDescent="0.2">
      <c r="A29" s="501" t="s">
        <v>628</v>
      </c>
      <c r="B29" s="501" t="s">
        <v>1546</v>
      </c>
      <c r="C29" s="501" t="s">
        <v>629</v>
      </c>
      <c r="D29" s="501" t="s">
        <v>74</v>
      </c>
      <c r="E29" s="501" t="s">
        <v>630</v>
      </c>
      <c r="F29" s="501" t="s">
        <v>1564</v>
      </c>
      <c r="G29" s="726" t="s">
        <v>2032</v>
      </c>
      <c r="H29" s="501" t="s">
        <v>637</v>
      </c>
      <c r="I29" s="501" t="s">
        <v>527</v>
      </c>
      <c r="J29" s="457" t="s">
        <v>1569</v>
      </c>
      <c r="K29" s="721">
        <v>1076</v>
      </c>
      <c r="L29" s="701">
        <v>14</v>
      </c>
      <c r="M29" s="701">
        <v>14</v>
      </c>
      <c r="N29" s="650" t="s">
        <v>6</v>
      </c>
      <c r="O29" s="650" t="s">
        <v>77</v>
      </c>
      <c r="P29" s="649" t="s">
        <v>6</v>
      </c>
      <c r="Q29" s="649" t="s">
        <v>6</v>
      </c>
      <c r="R29" s="649" t="s">
        <v>6</v>
      </c>
      <c r="S29" s="649" t="s">
        <v>6</v>
      </c>
      <c r="T29" s="649" t="s">
        <v>6</v>
      </c>
      <c r="U29" s="650" t="s">
        <v>6</v>
      </c>
      <c r="V29" s="650" t="s">
        <v>6</v>
      </c>
      <c r="W29" s="649" t="s">
        <v>2030</v>
      </c>
    </row>
    <row r="30" spans="1:25" ht="191.25" x14ac:dyDescent="0.2">
      <c r="A30" s="501" t="s">
        <v>628</v>
      </c>
      <c r="B30" s="501" t="s">
        <v>1546</v>
      </c>
      <c r="C30" s="501" t="s">
        <v>629</v>
      </c>
      <c r="D30" s="501" t="s">
        <v>74</v>
      </c>
      <c r="E30" s="501" t="s">
        <v>630</v>
      </c>
      <c r="F30" s="501" t="s">
        <v>1566</v>
      </c>
      <c r="G30" s="501" t="s">
        <v>1567</v>
      </c>
      <c r="H30" s="501" t="s">
        <v>637</v>
      </c>
      <c r="I30" s="501" t="s">
        <v>527</v>
      </c>
      <c r="J30" s="457" t="s">
        <v>632</v>
      </c>
      <c r="K30" s="700">
        <v>5624</v>
      </c>
      <c r="L30" s="701">
        <v>0</v>
      </c>
      <c r="M30" s="702">
        <v>0</v>
      </c>
      <c r="N30" s="650" t="s">
        <v>6</v>
      </c>
      <c r="O30" s="650" t="s">
        <v>77</v>
      </c>
      <c r="P30" s="649" t="s">
        <v>6</v>
      </c>
      <c r="Q30" s="649" t="s">
        <v>6</v>
      </c>
      <c r="R30" s="649" t="s">
        <v>6</v>
      </c>
      <c r="S30" s="649" t="s">
        <v>6</v>
      </c>
      <c r="T30" s="649" t="s">
        <v>6</v>
      </c>
      <c r="U30" s="650" t="s">
        <v>6</v>
      </c>
      <c r="V30" s="650" t="s">
        <v>6</v>
      </c>
      <c r="W30" s="649" t="s">
        <v>2030</v>
      </c>
    </row>
    <row r="31" spans="1:25" ht="191.25" x14ac:dyDescent="0.2">
      <c r="A31" s="501" t="s">
        <v>628</v>
      </c>
      <c r="B31" s="501" t="s">
        <v>1546</v>
      </c>
      <c r="C31" s="501" t="s">
        <v>629</v>
      </c>
      <c r="D31" s="501" t="s">
        <v>74</v>
      </c>
      <c r="E31" s="501" t="s">
        <v>630</v>
      </c>
      <c r="F31" s="501" t="s">
        <v>638</v>
      </c>
      <c r="G31" s="457" t="s">
        <v>1560</v>
      </c>
      <c r="H31" s="501" t="s">
        <v>639</v>
      </c>
      <c r="I31" s="501" t="s">
        <v>640</v>
      </c>
      <c r="J31" s="501" t="s">
        <v>641</v>
      </c>
      <c r="K31" s="700">
        <v>6515</v>
      </c>
      <c r="L31" s="701">
        <v>41</v>
      </c>
      <c r="M31" s="702">
        <v>30</v>
      </c>
      <c r="N31" s="650" t="s">
        <v>6</v>
      </c>
      <c r="O31" s="650" t="s">
        <v>77</v>
      </c>
      <c r="P31" s="649" t="s">
        <v>6</v>
      </c>
      <c r="Q31" s="649" t="s">
        <v>6</v>
      </c>
      <c r="R31" s="649" t="s">
        <v>6</v>
      </c>
      <c r="S31" s="649" t="s">
        <v>6</v>
      </c>
      <c r="T31" s="649" t="s">
        <v>6</v>
      </c>
      <c r="U31" s="650" t="s">
        <v>6</v>
      </c>
      <c r="V31" s="650" t="s">
        <v>6</v>
      </c>
      <c r="W31" s="649" t="s">
        <v>2030</v>
      </c>
    </row>
    <row r="32" spans="1:25" ht="191.25" x14ac:dyDescent="0.2">
      <c r="A32" s="501" t="s">
        <v>628</v>
      </c>
      <c r="B32" s="501" t="s">
        <v>1546</v>
      </c>
      <c r="C32" s="501" t="s">
        <v>642</v>
      </c>
      <c r="D32" s="501" t="s">
        <v>74</v>
      </c>
      <c r="E32" s="501" t="s">
        <v>630</v>
      </c>
      <c r="F32" s="501" t="s">
        <v>1564</v>
      </c>
      <c r="G32" s="501" t="s">
        <v>643</v>
      </c>
      <c r="H32" s="501" t="s">
        <v>631</v>
      </c>
      <c r="I32" s="501" t="s">
        <v>527</v>
      </c>
      <c r="J32" s="457" t="s">
        <v>632</v>
      </c>
      <c r="K32" s="702">
        <v>43</v>
      </c>
      <c r="L32" s="701">
        <v>0</v>
      </c>
      <c r="M32" s="702">
        <v>0</v>
      </c>
      <c r="N32" s="650" t="s">
        <v>6</v>
      </c>
      <c r="O32" s="650" t="s">
        <v>77</v>
      </c>
      <c r="P32" s="649" t="s">
        <v>6</v>
      </c>
      <c r="Q32" s="649" t="s">
        <v>6</v>
      </c>
      <c r="R32" s="649" t="s">
        <v>6</v>
      </c>
      <c r="S32" s="649" t="s">
        <v>6</v>
      </c>
      <c r="T32" s="649" t="s">
        <v>6</v>
      </c>
      <c r="U32" s="650" t="s">
        <v>6</v>
      </c>
      <c r="V32" s="650" t="s">
        <v>6</v>
      </c>
      <c r="W32" s="649" t="s">
        <v>2030</v>
      </c>
    </row>
    <row r="33" spans="1:24" ht="191.25" x14ac:dyDescent="0.2">
      <c r="A33" s="501" t="s">
        <v>628</v>
      </c>
      <c r="B33" s="501" t="s">
        <v>1546</v>
      </c>
      <c r="C33" s="501" t="s">
        <v>642</v>
      </c>
      <c r="D33" s="501" t="s">
        <v>74</v>
      </c>
      <c r="E33" s="501" t="s">
        <v>630</v>
      </c>
      <c r="F33" s="501" t="s">
        <v>1564</v>
      </c>
      <c r="G33" s="501" t="s">
        <v>643</v>
      </c>
      <c r="H33" s="501" t="s">
        <v>633</v>
      </c>
      <c r="I33" s="501" t="s">
        <v>527</v>
      </c>
      <c r="J33" s="457" t="s">
        <v>632</v>
      </c>
      <c r="K33" s="702">
        <v>43</v>
      </c>
      <c r="L33" s="701">
        <v>0</v>
      </c>
      <c r="M33" s="702">
        <v>0</v>
      </c>
      <c r="N33" s="650" t="s">
        <v>6</v>
      </c>
      <c r="O33" s="650" t="s">
        <v>77</v>
      </c>
      <c r="P33" s="649" t="s">
        <v>6</v>
      </c>
      <c r="Q33" s="649" t="s">
        <v>6</v>
      </c>
      <c r="R33" s="649" t="s">
        <v>6</v>
      </c>
      <c r="S33" s="649" t="s">
        <v>6</v>
      </c>
      <c r="T33" s="649" t="s">
        <v>6</v>
      </c>
      <c r="U33" s="650" t="s">
        <v>6</v>
      </c>
      <c r="V33" s="650" t="s">
        <v>6</v>
      </c>
      <c r="W33" s="649" t="s">
        <v>2030</v>
      </c>
    </row>
    <row r="34" spans="1:24" ht="191.25" x14ac:dyDescent="0.2">
      <c r="A34" s="501" t="s">
        <v>628</v>
      </c>
      <c r="B34" s="501" t="s">
        <v>1546</v>
      </c>
      <c r="C34" s="501" t="s">
        <v>642</v>
      </c>
      <c r="D34" s="501" t="s">
        <v>74</v>
      </c>
      <c r="E34" s="501" t="s">
        <v>630</v>
      </c>
      <c r="F34" s="501" t="s">
        <v>1564</v>
      </c>
      <c r="G34" s="501" t="s">
        <v>643</v>
      </c>
      <c r="H34" s="501" t="s">
        <v>634</v>
      </c>
      <c r="I34" s="501" t="s">
        <v>527</v>
      </c>
      <c r="J34" s="457" t="s">
        <v>644</v>
      </c>
      <c r="K34" s="702">
        <v>43</v>
      </c>
      <c r="L34" s="701">
        <v>0</v>
      </c>
      <c r="M34" s="702">
        <v>0</v>
      </c>
      <c r="N34" s="650" t="s">
        <v>6</v>
      </c>
      <c r="O34" s="650" t="s">
        <v>77</v>
      </c>
      <c r="P34" s="649" t="s">
        <v>6</v>
      </c>
      <c r="Q34" s="649" t="s">
        <v>6</v>
      </c>
      <c r="R34" s="649" t="s">
        <v>6</v>
      </c>
      <c r="S34" s="649" t="s">
        <v>6</v>
      </c>
      <c r="T34" s="649" t="s">
        <v>6</v>
      </c>
      <c r="U34" s="650" t="s">
        <v>6</v>
      </c>
      <c r="V34" s="650" t="s">
        <v>6</v>
      </c>
      <c r="W34" s="649" t="s">
        <v>2030</v>
      </c>
    </row>
    <row r="35" spans="1:24" ht="191.25" x14ac:dyDescent="0.2">
      <c r="A35" s="501" t="s">
        <v>628</v>
      </c>
      <c r="B35" s="501" t="s">
        <v>1546</v>
      </c>
      <c r="C35" s="501" t="s">
        <v>642</v>
      </c>
      <c r="D35" s="501" t="s">
        <v>74</v>
      </c>
      <c r="E35" s="501" t="s">
        <v>630</v>
      </c>
      <c r="F35" s="501" t="s">
        <v>1564</v>
      </c>
      <c r="G35" s="501" t="s">
        <v>643</v>
      </c>
      <c r="H35" s="501" t="s">
        <v>635</v>
      </c>
      <c r="I35" s="501" t="s">
        <v>527</v>
      </c>
      <c r="J35" s="457" t="s">
        <v>632</v>
      </c>
      <c r="K35" s="702">
        <v>43</v>
      </c>
      <c r="L35" s="701">
        <v>0</v>
      </c>
      <c r="M35" s="702">
        <v>0</v>
      </c>
      <c r="N35" s="650" t="s">
        <v>6</v>
      </c>
      <c r="O35" s="650" t="s">
        <v>77</v>
      </c>
      <c r="P35" s="649" t="s">
        <v>6</v>
      </c>
      <c r="Q35" s="649" t="s">
        <v>6</v>
      </c>
      <c r="R35" s="649" t="s">
        <v>6</v>
      </c>
      <c r="S35" s="649" t="s">
        <v>6</v>
      </c>
      <c r="T35" s="649" t="s">
        <v>6</v>
      </c>
      <c r="U35" s="650" t="s">
        <v>6</v>
      </c>
      <c r="V35" s="650" t="s">
        <v>6</v>
      </c>
      <c r="W35" s="649" t="s">
        <v>2030</v>
      </c>
    </row>
    <row r="36" spans="1:24" ht="191.25" x14ac:dyDescent="0.2">
      <c r="A36" s="501" t="s">
        <v>628</v>
      </c>
      <c r="B36" s="501" t="s">
        <v>1546</v>
      </c>
      <c r="C36" s="501" t="s">
        <v>642</v>
      </c>
      <c r="D36" s="501" t="s">
        <v>74</v>
      </c>
      <c r="E36" s="501" t="s">
        <v>630</v>
      </c>
      <c r="F36" s="501" t="s">
        <v>1564</v>
      </c>
      <c r="G36" s="501" t="s">
        <v>643</v>
      </c>
      <c r="H36" s="501" t="s">
        <v>636</v>
      </c>
      <c r="I36" s="501" t="s">
        <v>527</v>
      </c>
      <c r="J36" s="457" t="s">
        <v>632</v>
      </c>
      <c r="K36" s="702">
        <v>43</v>
      </c>
      <c r="L36" s="701">
        <v>0</v>
      </c>
      <c r="M36" s="702">
        <v>0</v>
      </c>
      <c r="N36" s="650" t="s">
        <v>6</v>
      </c>
      <c r="O36" s="650" t="s">
        <v>77</v>
      </c>
      <c r="P36" s="649" t="s">
        <v>6</v>
      </c>
      <c r="Q36" s="649" t="s">
        <v>6</v>
      </c>
      <c r="R36" s="649" t="s">
        <v>6</v>
      </c>
      <c r="S36" s="649" t="s">
        <v>6</v>
      </c>
      <c r="T36" s="649" t="s">
        <v>6</v>
      </c>
      <c r="U36" s="650" t="s">
        <v>6</v>
      </c>
      <c r="V36" s="650" t="s">
        <v>6</v>
      </c>
      <c r="W36" s="649" t="s">
        <v>2030</v>
      </c>
    </row>
    <row r="37" spans="1:24" x14ac:dyDescent="0.2">
      <c r="M37" s="27"/>
      <c r="N37" s="654"/>
      <c r="O37" s="654"/>
      <c r="P37" s="654"/>
      <c r="Q37" s="654"/>
      <c r="R37" s="654"/>
      <c r="S37" s="654"/>
      <c r="T37" s="654"/>
      <c r="U37" s="654"/>
      <c r="V37" s="654"/>
      <c r="W37" s="654"/>
      <c r="X37" s="2"/>
    </row>
    <row r="38" spans="1:24" x14ac:dyDescent="0.2">
      <c r="M38" s="27"/>
      <c r="N38" s="654"/>
      <c r="O38" s="654"/>
      <c r="P38" s="654"/>
      <c r="Q38" s="654"/>
      <c r="R38" s="654"/>
      <c r="S38" s="654"/>
      <c r="T38" s="654"/>
      <c r="U38" s="654"/>
      <c r="V38" s="654"/>
      <c r="W38" s="654"/>
      <c r="X38" s="3"/>
    </row>
    <row r="39" spans="1:24" x14ac:dyDescent="0.2">
      <c r="M39" s="27"/>
      <c r="N39" s="654"/>
      <c r="O39" s="654"/>
      <c r="P39" s="654"/>
      <c r="Q39" s="654"/>
      <c r="R39" s="654"/>
      <c r="S39" s="654"/>
      <c r="T39" s="654"/>
      <c r="U39" s="654"/>
      <c r="V39" s="654"/>
      <c r="W39" s="654"/>
      <c r="X39" s="3"/>
    </row>
    <row r="40" spans="1:24" x14ac:dyDescent="0.2">
      <c r="M40" s="27"/>
      <c r="N40" s="654"/>
      <c r="O40" s="654"/>
      <c r="P40" s="654"/>
      <c r="Q40" s="654"/>
      <c r="R40" s="654"/>
      <c r="S40" s="654"/>
      <c r="T40" s="654"/>
      <c r="U40" s="654"/>
      <c r="V40" s="654"/>
      <c r="W40" s="654"/>
      <c r="X40" s="3"/>
    </row>
    <row r="41" spans="1:24" x14ac:dyDescent="0.2">
      <c r="M41" s="27"/>
      <c r="N41" s="654"/>
      <c r="O41" s="654"/>
      <c r="P41" s="654"/>
      <c r="Q41" s="654"/>
      <c r="R41" s="654"/>
      <c r="S41" s="654"/>
      <c r="T41" s="654"/>
      <c r="U41" s="654"/>
      <c r="V41" s="654"/>
      <c r="W41" s="654"/>
      <c r="X41" s="3"/>
    </row>
    <row r="42" spans="1:24" x14ac:dyDescent="0.2">
      <c r="M42" s="27"/>
      <c r="N42" s="27"/>
      <c r="O42" s="27"/>
      <c r="P42" s="27"/>
      <c r="Q42" s="27"/>
      <c r="X42" s="5"/>
    </row>
    <row r="43" spans="1:24" x14ac:dyDescent="0.2">
      <c r="M43" s="27"/>
      <c r="N43" s="27"/>
      <c r="O43" s="27"/>
      <c r="P43" s="27"/>
      <c r="Q43" s="27"/>
    </row>
    <row r="44" spans="1:24" x14ac:dyDescent="0.2">
      <c r="M44" s="27"/>
      <c r="N44" s="27"/>
      <c r="O44" s="27"/>
      <c r="P44" s="27"/>
      <c r="Q44" s="27"/>
    </row>
    <row r="45" spans="1:24" x14ac:dyDescent="0.2">
      <c r="M45" s="27"/>
      <c r="N45" s="27"/>
      <c r="O45" s="27"/>
      <c r="P45" s="27"/>
      <c r="Q45" s="27"/>
    </row>
    <row r="46" spans="1:24" x14ac:dyDescent="0.2">
      <c r="M46" s="27"/>
      <c r="N46" s="27"/>
      <c r="O46" s="27"/>
      <c r="P46" s="27"/>
      <c r="Q46" s="27"/>
    </row>
    <row r="47" spans="1:24" x14ac:dyDescent="0.2">
      <c r="M47" s="27"/>
      <c r="N47" s="27"/>
      <c r="O47" s="27"/>
      <c r="P47" s="27"/>
      <c r="Q47" s="27"/>
    </row>
    <row r="48" spans="1:24" x14ac:dyDescent="0.2">
      <c r="M48" s="27"/>
      <c r="N48" s="27"/>
      <c r="O48" s="27"/>
      <c r="P48" s="27"/>
      <c r="Q48" s="27"/>
    </row>
    <row r="49" spans="13:17" x14ac:dyDescent="0.2">
      <c r="M49" s="27"/>
      <c r="N49" s="27"/>
      <c r="O49" s="27"/>
      <c r="P49" s="27"/>
      <c r="Q49" s="27"/>
    </row>
    <row r="50" spans="13:17" x14ac:dyDescent="0.2">
      <c r="M50" s="27"/>
      <c r="N50" s="27"/>
      <c r="O50" s="27"/>
      <c r="P50" s="27"/>
      <c r="Q50" s="27"/>
    </row>
    <row r="51" spans="13:17" x14ac:dyDescent="0.2">
      <c r="M51" s="27"/>
      <c r="N51" s="27"/>
      <c r="O51" s="27"/>
      <c r="P51" s="27"/>
      <c r="Q51" s="27"/>
    </row>
    <row r="52" spans="13:17" x14ac:dyDescent="0.2">
      <c r="M52" s="27"/>
      <c r="N52" s="27"/>
      <c r="O52" s="27"/>
      <c r="P52" s="27"/>
      <c r="Q52" s="27"/>
    </row>
    <row r="53" spans="13:17" x14ac:dyDescent="0.2">
      <c r="M53" s="27"/>
      <c r="N53" s="27"/>
      <c r="O53" s="27"/>
      <c r="P53" s="27"/>
      <c r="Q53" s="27"/>
    </row>
    <row r="54" spans="13:17" x14ac:dyDescent="0.2">
      <c r="M54" s="27"/>
      <c r="N54" s="27"/>
      <c r="O54" s="27"/>
      <c r="P54" s="27"/>
      <c r="Q54" s="27"/>
    </row>
    <row r="55" spans="13:17" x14ac:dyDescent="0.2">
      <c r="M55" s="27"/>
      <c r="N55" s="27"/>
      <c r="O55" s="27"/>
      <c r="P55" s="27"/>
      <c r="Q55" s="27"/>
    </row>
    <row r="56" spans="13:17" x14ac:dyDescent="0.2">
      <c r="M56" s="27"/>
      <c r="N56" s="27"/>
      <c r="O56" s="27"/>
      <c r="P56" s="27"/>
      <c r="Q56" s="27"/>
    </row>
    <row r="57" spans="13:17" x14ac:dyDescent="0.2">
      <c r="M57" s="27"/>
      <c r="N57" s="27"/>
      <c r="O57" s="27"/>
      <c r="P57" s="27"/>
      <c r="Q57" s="27"/>
    </row>
    <row r="58" spans="13:17" x14ac:dyDescent="0.2">
      <c r="M58" s="27"/>
      <c r="N58" s="27"/>
      <c r="O58" s="27"/>
      <c r="P58" s="27"/>
      <c r="Q58" s="27"/>
    </row>
    <row r="59" spans="13:17" x14ac:dyDescent="0.2">
      <c r="M59" s="27"/>
      <c r="N59" s="27"/>
      <c r="O59" s="27"/>
      <c r="P59" s="27"/>
      <c r="Q59" s="27"/>
    </row>
    <row r="60" spans="13:17" x14ac:dyDescent="0.2">
      <c r="M60" s="27"/>
      <c r="N60" s="27"/>
      <c r="O60" s="27"/>
      <c r="P60" s="27"/>
      <c r="Q60" s="27"/>
    </row>
    <row r="61" spans="13:17" x14ac:dyDescent="0.2">
      <c r="M61" s="27"/>
      <c r="N61" s="27"/>
      <c r="O61" s="27"/>
      <c r="P61" s="27"/>
      <c r="Q61" s="27"/>
    </row>
    <row r="62" spans="13:17" x14ac:dyDescent="0.2">
      <c r="M62" s="27"/>
      <c r="N62" s="27"/>
      <c r="O62" s="27"/>
      <c r="P62" s="27"/>
      <c r="Q62" s="27"/>
    </row>
    <row r="63" spans="13:17" x14ac:dyDescent="0.2">
      <c r="M63" s="27"/>
      <c r="N63" s="27"/>
      <c r="O63" s="27"/>
      <c r="P63" s="27"/>
      <c r="Q63" s="27"/>
    </row>
    <row r="64" spans="13:17" x14ac:dyDescent="0.2">
      <c r="M64" s="27"/>
      <c r="N64" s="27"/>
      <c r="O64" s="27"/>
      <c r="P64" s="27"/>
      <c r="Q64" s="27"/>
    </row>
    <row r="65" spans="13:17" x14ac:dyDescent="0.2">
      <c r="M65" s="27"/>
      <c r="N65" s="27"/>
      <c r="O65" s="27"/>
      <c r="P65" s="27"/>
      <c r="Q65" s="27"/>
    </row>
    <row r="66" spans="13:17" x14ac:dyDescent="0.2">
      <c r="M66" s="27"/>
      <c r="N66" s="27"/>
      <c r="O66" s="27"/>
      <c r="P66" s="27"/>
      <c r="Q66" s="27"/>
    </row>
    <row r="67" spans="13:17" x14ac:dyDescent="0.2">
      <c r="M67" s="27"/>
      <c r="N67" s="27"/>
      <c r="O67" s="27"/>
      <c r="P67" s="27"/>
      <c r="Q67" s="27"/>
    </row>
    <row r="68" spans="13:17" x14ac:dyDescent="0.2">
      <c r="M68" s="27"/>
      <c r="N68" s="27"/>
      <c r="O68" s="27"/>
      <c r="P68" s="27"/>
      <c r="Q68" s="27"/>
    </row>
    <row r="69" spans="13:17" x14ac:dyDescent="0.2">
      <c r="M69" s="27"/>
      <c r="N69" s="27"/>
      <c r="O69" s="27"/>
      <c r="P69" s="27"/>
      <c r="Q69" s="27"/>
    </row>
    <row r="70" spans="13:17" x14ac:dyDescent="0.2">
      <c r="M70" s="27"/>
      <c r="N70" s="27"/>
      <c r="O70" s="27"/>
      <c r="P70" s="27"/>
      <c r="Q70" s="27"/>
    </row>
    <row r="71" spans="13:17" x14ac:dyDescent="0.2">
      <c r="M71" s="27"/>
      <c r="N71" s="27"/>
      <c r="O71" s="27"/>
      <c r="P71" s="27"/>
      <c r="Q71" s="27"/>
    </row>
    <row r="72" spans="13:17" x14ac:dyDescent="0.2">
      <c r="M72" s="27"/>
      <c r="N72" s="27"/>
      <c r="O72" s="27"/>
      <c r="P72" s="27"/>
      <c r="Q72" s="27"/>
    </row>
    <row r="73" spans="13:17" x14ac:dyDescent="0.2">
      <c r="M73" s="27"/>
      <c r="N73" s="27"/>
      <c r="O73" s="27"/>
      <c r="P73" s="27"/>
      <c r="Q73" s="27"/>
    </row>
    <row r="74" spans="13:17" x14ac:dyDescent="0.2">
      <c r="M74" s="27"/>
      <c r="N74" s="27"/>
      <c r="O74" s="27"/>
      <c r="P74" s="27"/>
      <c r="Q74" s="27"/>
    </row>
    <row r="75" spans="13:17" x14ac:dyDescent="0.2">
      <c r="M75" s="27"/>
      <c r="N75" s="27"/>
      <c r="O75" s="27"/>
      <c r="P75" s="27"/>
      <c r="Q75" s="27"/>
    </row>
    <row r="76" spans="13:17" x14ac:dyDescent="0.2">
      <c r="M76" s="27"/>
      <c r="N76" s="27"/>
      <c r="O76" s="27"/>
      <c r="P76" s="27"/>
      <c r="Q76" s="27"/>
    </row>
    <row r="77" spans="13:17" x14ac:dyDescent="0.2">
      <c r="M77" s="27"/>
      <c r="N77" s="27"/>
      <c r="O77" s="27"/>
      <c r="P77" s="27"/>
      <c r="Q77" s="27"/>
    </row>
    <row r="78" spans="13:17" x14ac:dyDescent="0.2">
      <c r="M78" s="27"/>
      <c r="N78" s="27"/>
      <c r="O78" s="27"/>
      <c r="P78" s="27"/>
      <c r="Q78" s="27"/>
    </row>
    <row r="79" spans="13:17" x14ac:dyDescent="0.2">
      <c r="M79" s="27"/>
      <c r="N79" s="27"/>
      <c r="O79" s="27"/>
      <c r="P79" s="27"/>
      <c r="Q79" s="27"/>
    </row>
    <row r="80" spans="13:17" x14ac:dyDescent="0.2">
      <c r="M80" s="27"/>
      <c r="N80" s="27"/>
      <c r="O80" s="27"/>
      <c r="P80" s="27"/>
      <c r="Q80" s="27"/>
    </row>
    <row r="81" spans="13:17" x14ac:dyDescent="0.2">
      <c r="M81" s="27"/>
      <c r="N81" s="27"/>
      <c r="O81" s="27"/>
      <c r="P81" s="27"/>
      <c r="Q81" s="27"/>
    </row>
    <row r="82" spans="13:17" x14ac:dyDescent="0.2">
      <c r="M82" s="27"/>
      <c r="N82" s="27"/>
      <c r="O82" s="27"/>
      <c r="P82" s="27"/>
      <c r="Q82" s="27"/>
    </row>
    <row r="83" spans="13:17" x14ac:dyDescent="0.2">
      <c r="M83" s="27"/>
      <c r="N83" s="27"/>
      <c r="O83" s="27"/>
      <c r="P83" s="27"/>
      <c r="Q83" s="27"/>
    </row>
    <row r="84" spans="13:17" x14ac:dyDescent="0.2">
      <c r="M84" s="27"/>
      <c r="N84" s="27"/>
      <c r="O84" s="27"/>
      <c r="P84" s="27"/>
      <c r="Q84" s="27"/>
    </row>
    <row r="85" spans="13:17" x14ac:dyDescent="0.2">
      <c r="M85" s="27"/>
      <c r="N85" s="27"/>
      <c r="O85" s="27"/>
      <c r="P85" s="27"/>
      <c r="Q85" s="27"/>
    </row>
    <row r="86" spans="13:17" x14ac:dyDescent="0.2">
      <c r="M86" s="27"/>
      <c r="N86" s="27"/>
      <c r="O86" s="27"/>
      <c r="P86" s="27"/>
      <c r="Q86" s="27"/>
    </row>
    <row r="87" spans="13:17" x14ac:dyDescent="0.2">
      <c r="M87" s="27"/>
      <c r="N87" s="27"/>
      <c r="O87" s="27"/>
      <c r="P87" s="27"/>
      <c r="Q87" s="27"/>
    </row>
    <row r="88" spans="13:17" x14ac:dyDescent="0.2">
      <c r="M88" s="27"/>
      <c r="N88" s="27"/>
      <c r="O88" s="27"/>
      <c r="P88" s="27"/>
      <c r="Q88" s="27"/>
    </row>
    <row r="89" spans="13:17" x14ac:dyDescent="0.2">
      <c r="M89" s="27"/>
      <c r="N89" s="27"/>
      <c r="O89" s="27"/>
      <c r="P89" s="27"/>
      <c r="Q89" s="27"/>
    </row>
    <row r="90" spans="13:17" x14ac:dyDescent="0.2">
      <c r="M90" s="27"/>
      <c r="N90" s="27"/>
      <c r="O90" s="27"/>
      <c r="P90" s="27"/>
      <c r="Q90" s="27"/>
    </row>
    <row r="91" spans="13:17" x14ac:dyDescent="0.2">
      <c r="M91" s="27"/>
      <c r="N91" s="27"/>
      <c r="O91" s="27"/>
      <c r="P91" s="27"/>
      <c r="Q91" s="27"/>
    </row>
    <row r="92" spans="13:17" x14ac:dyDescent="0.2">
      <c r="M92" s="27"/>
      <c r="N92" s="27"/>
      <c r="O92" s="27"/>
      <c r="P92" s="27"/>
      <c r="Q92" s="27"/>
    </row>
    <row r="93" spans="13:17" x14ac:dyDescent="0.2">
      <c r="M93" s="27"/>
      <c r="N93" s="27"/>
      <c r="O93" s="27"/>
      <c r="P93" s="27"/>
      <c r="Q93" s="27"/>
    </row>
    <row r="94" spans="13:17" x14ac:dyDescent="0.2">
      <c r="M94" s="27"/>
      <c r="N94" s="27"/>
      <c r="O94" s="27"/>
      <c r="P94" s="27"/>
      <c r="Q94" s="27"/>
    </row>
    <row r="95" spans="13:17" x14ac:dyDescent="0.2">
      <c r="M95" s="27"/>
      <c r="N95" s="27"/>
      <c r="O95" s="27"/>
      <c r="P95" s="27"/>
      <c r="Q95" s="27"/>
    </row>
    <row r="96" spans="13:17" x14ac:dyDescent="0.2">
      <c r="M96" s="27"/>
      <c r="N96" s="27"/>
      <c r="O96" s="27"/>
      <c r="P96" s="27"/>
      <c r="Q96" s="27"/>
    </row>
    <row r="97" spans="13:17" x14ac:dyDescent="0.2">
      <c r="M97" s="27"/>
      <c r="N97" s="27"/>
      <c r="O97" s="27"/>
      <c r="P97" s="27"/>
      <c r="Q97" s="27"/>
    </row>
    <row r="98" spans="13:17" x14ac:dyDescent="0.2">
      <c r="M98" s="27"/>
      <c r="N98" s="27"/>
      <c r="O98" s="27"/>
      <c r="P98" s="27"/>
      <c r="Q98" s="27"/>
    </row>
    <row r="99" spans="13:17" x14ac:dyDescent="0.2">
      <c r="M99" s="27"/>
      <c r="N99" s="27"/>
      <c r="O99" s="27"/>
      <c r="P99" s="27"/>
      <c r="Q99" s="27"/>
    </row>
    <row r="100" spans="13:17" x14ac:dyDescent="0.2">
      <c r="M100" s="27"/>
      <c r="N100" s="27"/>
      <c r="O100" s="27"/>
      <c r="P100" s="27"/>
      <c r="Q100" s="27"/>
    </row>
    <row r="101" spans="13:17" x14ac:dyDescent="0.2">
      <c r="M101" s="27"/>
      <c r="N101" s="27"/>
      <c r="O101" s="27"/>
      <c r="P101" s="27"/>
      <c r="Q101" s="27"/>
    </row>
    <row r="102" spans="13:17" x14ac:dyDescent="0.2">
      <c r="M102" s="27"/>
      <c r="N102" s="27"/>
      <c r="O102" s="27"/>
      <c r="P102" s="27"/>
      <c r="Q102" s="27"/>
    </row>
    <row r="103" spans="13:17" x14ac:dyDescent="0.2">
      <c r="M103" s="27"/>
      <c r="N103" s="27"/>
      <c r="O103" s="27"/>
      <c r="P103" s="27"/>
      <c r="Q103" s="27"/>
    </row>
    <row r="104" spans="13:17" x14ac:dyDescent="0.2">
      <c r="M104" s="27"/>
      <c r="N104" s="27"/>
      <c r="O104" s="27"/>
      <c r="P104" s="27"/>
      <c r="Q104" s="27"/>
    </row>
    <row r="105" spans="13:17" x14ac:dyDescent="0.2">
      <c r="M105" s="27"/>
      <c r="N105" s="27"/>
      <c r="O105" s="27"/>
      <c r="P105" s="27"/>
      <c r="Q105" s="27"/>
    </row>
    <row r="106" spans="13:17" x14ac:dyDescent="0.2">
      <c r="M106" s="27"/>
      <c r="N106" s="27"/>
      <c r="O106" s="27"/>
      <c r="P106" s="27"/>
      <c r="Q106" s="27"/>
    </row>
    <row r="107" spans="13:17" x14ac:dyDescent="0.2">
      <c r="M107" s="27"/>
      <c r="N107" s="27"/>
      <c r="O107" s="27"/>
      <c r="P107" s="27"/>
      <c r="Q107" s="27"/>
    </row>
    <row r="108" spans="13:17" x14ac:dyDescent="0.2">
      <c r="M108" s="27"/>
      <c r="N108" s="27"/>
      <c r="O108" s="27"/>
      <c r="P108" s="27"/>
      <c r="Q108" s="27"/>
    </row>
    <row r="109" spans="13:17" x14ac:dyDescent="0.2">
      <c r="M109" s="27"/>
      <c r="N109" s="27"/>
      <c r="O109" s="27"/>
      <c r="P109" s="27"/>
      <c r="Q109" s="27"/>
    </row>
    <row r="110" spans="13:17" x14ac:dyDescent="0.2">
      <c r="M110" s="27"/>
      <c r="N110" s="27"/>
      <c r="O110" s="27"/>
      <c r="P110" s="27"/>
      <c r="Q110" s="27"/>
    </row>
    <row r="111" spans="13:17" x14ac:dyDescent="0.2">
      <c r="M111" s="27"/>
      <c r="N111" s="27"/>
      <c r="O111" s="27"/>
      <c r="P111" s="27"/>
      <c r="Q111" s="27"/>
    </row>
    <row r="112" spans="13:17" x14ac:dyDescent="0.2">
      <c r="M112" s="27"/>
      <c r="N112" s="27"/>
      <c r="O112" s="27"/>
      <c r="P112" s="27"/>
      <c r="Q112" s="27"/>
    </row>
    <row r="113" spans="13:17" x14ac:dyDescent="0.2">
      <c r="M113" s="27"/>
      <c r="N113" s="27"/>
      <c r="O113" s="27"/>
      <c r="P113" s="27"/>
      <c r="Q113" s="27"/>
    </row>
    <row r="114" spans="13:17" x14ac:dyDescent="0.2">
      <c r="M114" s="27"/>
      <c r="N114" s="27"/>
      <c r="O114" s="27"/>
      <c r="P114" s="27"/>
      <c r="Q114" s="27"/>
    </row>
    <row r="115" spans="13:17" x14ac:dyDescent="0.2">
      <c r="M115" s="27"/>
      <c r="N115" s="27"/>
      <c r="O115" s="27"/>
      <c r="P115" s="27"/>
      <c r="Q115" s="27"/>
    </row>
    <row r="116" spans="13:17" x14ac:dyDescent="0.2">
      <c r="M116" s="27"/>
      <c r="N116" s="27"/>
      <c r="O116" s="27"/>
      <c r="P116" s="27"/>
      <c r="Q116" s="27"/>
    </row>
    <row r="117" spans="13:17" x14ac:dyDescent="0.2">
      <c r="M117" s="27"/>
      <c r="N117" s="27"/>
      <c r="O117" s="27"/>
      <c r="P117" s="27"/>
      <c r="Q117" s="27"/>
    </row>
    <row r="118" spans="13:17" x14ac:dyDescent="0.2">
      <c r="M118" s="27"/>
      <c r="N118" s="27"/>
      <c r="O118" s="27"/>
      <c r="P118" s="27"/>
      <c r="Q118" s="27"/>
    </row>
    <row r="119" spans="13:17" x14ac:dyDescent="0.2">
      <c r="M119" s="27"/>
      <c r="N119" s="27"/>
      <c r="O119" s="27"/>
      <c r="P119" s="27"/>
      <c r="Q119" s="27"/>
    </row>
    <row r="120" spans="13:17" x14ac:dyDescent="0.2">
      <c r="M120" s="27"/>
      <c r="N120" s="27"/>
      <c r="O120" s="27"/>
      <c r="P120" s="27"/>
      <c r="Q120" s="27"/>
    </row>
    <row r="121" spans="13:17" x14ac:dyDescent="0.2">
      <c r="M121" s="27"/>
      <c r="N121" s="27"/>
      <c r="O121" s="27"/>
      <c r="P121" s="27"/>
      <c r="Q121" s="27"/>
    </row>
    <row r="122" spans="13:17" x14ac:dyDescent="0.2">
      <c r="M122" s="27"/>
      <c r="N122" s="27"/>
      <c r="O122" s="27"/>
      <c r="P122" s="27"/>
      <c r="Q122" s="27"/>
    </row>
    <row r="123" spans="13:17" x14ac:dyDescent="0.2">
      <c r="M123" s="27"/>
      <c r="N123" s="27"/>
      <c r="O123" s="27"/>
      <c r="P123" s="27"/>
      <c r="Q123" s="27"/>
    </row>
    <row r="124" spans="13:17" x14ac:dyDescent="0.2">
      <c r="M124" s="27"/>
      <c r="N124" s="27"/>
      <c r="O124" s="27"/>
      <c r="P124" s="27"/>
      <c r="Q124" s="27"/>
    </row>
    <row r="125" spans="13:17" x14ac:dyDescent="0.2">
      <c r="M125" s="27"/>
      <c r="N125" s="27"/>
      <c r="O125" s="27"/>
      <c r="P125" s="27"/>
      <c r="Q125" s="27"/>
    </row>
    <row r="126" spans="13:17" x14ac:dyDescent="0.2">
      <c r="M126" s="27"/>
      <c r="N126" s="27"/>
      <c r="O126" s="27"/>
      <c r="P126" s="27"/>
      <c r="Q126" s="27"/>
    </row>
    <row r="127" spans="13:17" x14ac:dyDescent="0.2">
      <c r="M127" s="27"/>
      <c r="N127" s="27"/>
      <c r="O127" s="27"/>
      <c r="P127" s="27"/>
      <c r="Q127" s="27"/>
    </row>
    <row r="128" spans="13:17" x14ac:dyDescent="0.2">
      <c r="M128" s="27"/>
      <c r="N128" s="27"/>
      <c r="O128" s="27"/>
      <c r="P128" s="27"/>
      <c r="Q128" s="27"/>
    </row>
    <row r="129" spans="13:17" x14ac:dyDescent="0.2">
      <c r="M129" s="27"/>
      <c r="N129" s="27"/>
      <c r="O129" s="27"/>
      <c r="P129" s="27"/>
      <c r="Q129" s="27"/>
    </row>
    <row r="130" spans="13:17" x14ac:dyDescent="0.2">
      <c r="M130" s="27"/>
      <c r="N130" s="27"/>
      <c r="O130" s="27"/>
      <c r="P130" s="27"/>
      <c r="Q130" s="27"/>
    </row>
    <row r="131" spans="13:17" x14ac:dyDescent="0.2">
      <c r="M131" s="27"/>
      <c r="N131" s="27"/>
      <c r="O131" s="27"/>
      <c r="P131" s="27"/>
      <c r="Q131" s="27"/>
    </row>
    <row r="132" spans="13:17" x14ac:dyDescent="0.2">
      <c r="M132" s="27"/>
      <c r="N132" s="27"/>
      <c r="O132" s="27"/>
      <c r="P132" s="27"/>
      <c r="Q132" s="27"/>
    </row>
    <row r="133" spans="13:17" x14ac:dyDescent="0.2">
      <c r="M133" s="27"/>
      <c r="N133" s="27"/>
      <c r="O133" s="27"/>
      <c r="P133" s="27"/>
      <c r="Q133" s="27"/>
    </row>
    <row r="134" spans="13:17" x14ac:dyDescent="0.2">
      <c r="M134" s="27"/>
      <c r="N134" s="27"/>
      <c r="O134" s="27"/>
      <c r="P134" s="27"/>
      <c r="Q134" s="27"/>
    </row>
    <row r="135" spans="13:17" x14ac:dyDescent="0.2">
      <c r="M135" s="27"/>
      <c r="N135" s="27"/>
      <c r="O135" s="27"/>
      <c r="P135" s="27"/>
      <c r="Q135" s="27"/>
    </row>
    <row r="136" spans="13:17" x14ac:dyDescent="0.2">
      <c r="M136" s="27"/>
      <c r="N136" s="27"/>
      <c r="O136" s="27"/>
      <c r="P136" s="27"/>
      <c r="Q136" s="27"/>
    </row>
    <row r="137" spans="13:17" x14ac:dyDescent="0.2">
      <c r="M137" s="27"/>
      <c r="N137" s="27"/>
      <c r="O137" s="27"/>
      <c r="P137" s="27"/>
      <c r="Q137" s="27"/>
    </row>
    <row r="138" spans="13:17" x14ac:dyDescent="0.2">
      <c r="M138" s="27"/>
      <c r="N138" s="27"/>
      <c r="O138" s="27"/>
      <c r="P138" s="27"/>
      <c r="Q138" s="27"/>
    </row>
    <row r="139" spans="13:17" x14ac:dyDescent="0.2">
      <c r="M139" s="27"/>
      <c r="N139" s="27"/>
      <c r="O139" s="27"/>
      <c r="P139" s="27"/>
      <c r="Q139" s="27"/>
    </row>
    <row r="140" spans="13:17" x14ac:dyDescent="0.2">
      <c r="M140" s="27"/>
      <c r="N140" s="27"/>
      <c r="O140" s="27"/>
      <c r="P140" s="27"/>
      <c r="Q140" s="27"/>
    </row>
    <row r="141" spans="13:17" x14ac:dyDescent="0.2">
      <c r="M141" s="27"/>
      <c r="N141" s="27"/>
      <c r="O141" s="27"/>
      <c r="P141" s="27"/>
      <c r="Q141" s="27"/>
    </row>
    <row r="142" spans="13:17" x14ac:dyDescent="0.2">
      <c r="M142" s="27"/>
      <c r="N142" s="27"/>
      <c r="O142" s="27"/>
      <c r="P142" s="27"/>
      <c r="Q142" s="27"/>
    </row>
    <row r="143" spans="13:17" x14ac:dyDescent="0.2">
      <c r="M143" s="27"/>
      <c r="N143" s="27"/>
      <c r="O143" s="27"/>
      <c r="P143" s="27"/>
      <c r="Q143" s="27"/>
    </row>
    <row r="144" spans="13:17" x14ac:dyDescent="0.2">
      <c r="M144" s="27"/>
      <c r="N144" s="27"/>
      <c r="O144" s="27"/>
      <c r="P144" s="27"/>
      <c r="Q144" s="27"/>
    </row>
    <row r="145" spans="13:17" x14ac:dyDescent="0.2">
      <c r="M145" s="27"/>
      <c r="N145" s="27"/>
      <c r="O145" s="27"/>
      <c r="P145" s="27"/>
      <c r="Q145" s="27"/>
    </row>
    <row r="146" spans="13:17" x14ac:dyDescent="0.2">
      <c r="M146" s="27"/>
      <c r="N146" s="27"/>
      <c r="O146" s="27"/>
      <c r="P146" s="27"/>
      <c r="Q146" s="27"/>
    </row>
    <row r="147" spans="13:17" x14ac:dyDescent="0.2">
      <c r="M147" s="27"/>
      <c r="N147" s="27"/>
      <c r="O147" s="27"/>
      <c r="P147" s="27"/>
      <c r="Q147" s="27"/>
    </row>
    <row r="148" spans="13:17" x14ac:dyDescent="0.2">
      <c r="M148" s="27"/>
      <c r="N148" s="27"/>
      <c r="O148" s="27"/>
      <c r="P148" s="27"/>
      <c r="Q148" s="27"/>
    </row>
    <row r="149" spans="13:17" x14ac:dyDescent="0.2">
      <c r="M149" s="27"/>
      <c r="N149" s="27"/>
      <c r="O149" s="27"/>
      <c r="P149" s="27"/>
      <c r="Q149" s="27"/>
    </row>
    <row r="150" spans="13:17" x14ac:dyDescent="0.2">
      <c r="M150" s="27"/>
      <c r="N150" s="27"/>
      <c r="O150" s="27"/>
      <c r="P150" s="27"/>
      <c r="Q150" s="27"/>
    </row>
    <row r="151" spans="13:17" x14ac:dyDescent="0.2">
      <c r="M151" s="27"/>
      <c r="N151" s="27"/>
      <c r="O151" s="27"/>
      <c r="P151" s="27"/>
      <c r="Q151" s="27"/>
    </row>
    <row r="152" spans="13:17" x14ac:dyDescent="0.2">
      <c r="M152" s="27"/>
      <c r="N152" s="27"/>
      <c r="O152" s="27"/>
      <c r="P152" s="27"/>
      <c r="Q152" s="27"/>
    </row>
    <row r="153" spans="13:17" x14ac:dyDescent="0.2">
      <c r="M153" s="27"/>
      <c r="N153" s="27"/>
      <c r="O153" s="27"/>
      <c r="P153" s="27"/>
      <c r="Q153" s="27"/>
    </row>
    <row r="154" spans="13:17" x14ac:dyDescent="0.2">
      <c r="M154" s="27"/>
      <c r="N154" s="27"/>
      <c r="O154" s="27"/>
      <c r="P154" s="27"/>
      <c r="Q154" s="27"/>
    </row>
    <row r="155" spans="13:17" x14ac:dyDescent="0.2">
      <c r="M155" s="27"/>
      <c r="N155" s="27"/>
      <c r="O155" s="27"/>
      <c r="P155" s="27"/>
      <c r="Q155" s="27"/>
    </row>
    <row r="156" spans="13:17" x14ac:dyDescent="0.2">
      <c r="M156" s="27"/>
      <c r="N156" s="27"/>
      <c r="O156" s="27"/>
      <c r="P156" s="27"/>
      <c r="Q156" s="27"/>
    </row>
    <row r="157" spans="13:17" x14ac:dyDescent="0.2">
      <c r="M157" s="27"/>
      <c r="N157" s="27"/>
      <c r="O157" s="27"/>
      <c r="P157" s="27"/>
      <c r="Q157" s="27"/>
    </row>
    <row r="158" spans="13:17" x14ac:dyDescent="0.2">
      <c r="M158" s="27"/>
      <c r="N158" s="27"/>
      <c r="O158" s="27"/>
      <c r="P158" s="27"/>
      <c r="Q158" s="27"/>
    </row>
    <row r="159" spans="13:17" x14ac:dyDescent="0.2">
      <c r="M159" s="27"/>
      <c r="N159" s="27"/>
      <c r="O159" s="27"/>
      <c r="P159" s="27"/>
      <c r="Q159" s="27"/>
    </row>
    <row r="160" spans="13:17" x14ac:dyDescent="0.2">
      <c r="M160" s="27"/>
      <c r="N160" s="27"/>
      <c r="O160" s="27"/>
      <c r="P160" s="27"/>
      <c r="Q160" s="27"/>
    </row>
    <row r="161" spans="13:17" x14ac:dyDescent="0.2">
      <c r="M161" s="27"/>
      <c r="N161" s="27"/>
      <c r="O161" s="27"/>
      <c r="P161" s="27"/>
      <c r="Q161" s="27"/>
    </row>
    <row r="162" spans="13:17" x14ac:dyDescent="0.2">
      <c r="M162" s="27"/>
      <c r="N162" s="27"/>
      <c r="O162" s="27"/>
      <c r="P162" s="27"/>
      <c r="Q162" s="27"/>
    </row>
    <row r="163" spans="13:17" x14ac:dyDescent="0.2">
      <c r="M163" s="27"/>
      <c r="N163" s="27"/>
      <c r="O163" s="27"/>
      <c r="P163" s="27"/>
      <c r="Q163" s="27"/>
    </row>
    <row r="164" spans="13:17" x14ac:dyDescent="0.2">
      <c r="M164" s="27"/>
      <c r="N164" s="27"/>
      <c r="O164" s="27"/>
      <c r="P164" s="27"/>
      <c r="Q164" s="27"/>
    </row>
    <row r="165" spans="13:17" x14ac:dyDescent="0.2">
      <c r="M165" s="27"/>
      <c r="N165" s="27"/>
      <c r="O165" s="27"/>
      <c r="P165" s="27"/>
      <c r="Q165" s="27"/>
    </row>
    <row r="166" spans="13:17" x14ac:dyDescent="0.2">
      <c r="M166" s="27"/>
      <c r="N166" s="27"/>
      <c r="O166" s="27"/>
      <c r="P166" s="27"/>
      <c r="Q166" s="27"/>
    </row>
    <row r="167" spans="13:17" x14ac:dyDescent="0.2">
      <c r="M167" s="27"/>
      <c r="N167" s="27"/>
      <c r="O167" s="27"/>
      <c r="P167" s="27"/>
      <c r="Q167" s="27"/>
    </row>
    <row r="168" spans="13:17" x14ac:dyDescent="0.2">
      <c r="M168" s="27"/>
      <c r="N168" s="27"/>
      <c r="O168" s="27"/>
      <c r="P168" s="27"/>
      <c r="Q168" s="27"/>
    </row>
    <row r="169" spans="13:17" x14ac:dyDescent="0.2">
      <c r="M169" s="27"/>
      <c r="N169" s="27"/>
      <c r="O169" s="27"/>
      <c r="P169" s="27"/>
      <c r="Q169" s="27"/>
    </row>
    <row r="170" spans="13:17" x14ac:dyDescent="0.2">
      <c r="M170" s="27"/>
      <c r="N170" s="27"/>
      <c r="O170" s="27"/>
      <c r="P170" s="27"/>
      <c r="Q170" s="27"/>
    </row>
    <row r="171" spans="13:17" x14ac:dyDescent="0.2">
      <c r="M171" s="27"/>
      <c r="N171" s="27"/>
      <c r="O171" s="27"/>
      <c r="P171" s="27"/>
      <c r="Q171" s="27"/>
    </row>
    <row r="172" spans="13:17" x14ac:dyDescent="0.2">
      <c r="M172" s="27"/>
      <c r="N172" s="27"/>
      <c r="O172" s="27"/>
      <c r="P172" s="27"/>
      <c r="Q172" s="27"/>
    </row>
    <row r="173" spans="13:17" x14ac:dyDescent="0.2">
      <c r="M173" s="27"/>
      <c r="N173" s="27"/>
      <c r="O173" s="27"/>
      <c r="P173" s="27"/>
      <c r="Q173" s="27"/>
    </row>
    <row r="174" spans="13:17" x14ac:dyDescent="0.2">
      <c r="M174" s="27"/>
      <c r="N174" s="27"/>
      <c r="O174" s="27"/>
      <c r="P174" s="27"/>
      <c r="Q174" s="27"/>
    </row>
    <row r="175" spans="13:17" x14ac:dyDescent="0.2">
      <c r="M175" s="27"/>
      <c r="N175" s="27"/>
      <c r="O175" s="27"/>
      <c r="P175" s="27"/>
      <c r="Q175" s="27"/>
    </row>
    <row r="176" spans="13:17" x14ac:dyDescent="0.2">
      <c r="M176" s="27"/>
      <c r="N176" s="27"/>
      <c r="O176" s="27"/>
      <c r="P176" s="27"/>
      <c r="Q176" s="27"/>
    </row>
    <row r="177" spans="13:17" x14ac:dyDescent="0.2">
      <c r="M177" s="27"/>
      <c r="N177" s="27"/>
      <c r="O177" s="27"/>
      <c r="P177" s="27"/>
      <c r="Q177" s="27"/>
    </row>
    <row r="178" spans="13:17" x14ac:dyDescent="0.2">
      <c r="M178" s="27"/>
      <c r="N178" s="27"/>
      <c r="O178" s="27"/>
      <c r="P178" s="27"/>
      <c r="Q178" s="27"/>
    </row>
    <row r="179" spans="13:17" x14ac:dyDescent="0.2">
      <c r="M179" s="27"/>
      <c r="N179" s="27"/>
      <c r="O179" s="27"/>
      <c r="P179" s="27"/>
      <c r="Q179" s="27"/>
    </row>
    <row r="180" spans="13:17" x14ac:dyDescent="0.2">
      <c r="M180" s="27"/>
      <c r="N180" s="27"/>
      <c r="O180" s="27"/>
      <c r="P180" s="27"/>
      <c r="Q180" s="27"/>
    </row>
    <row r="181" spans="13:17" x14ac:dyDescent="0.2">
      <c r="M181" s="27"/>
      <c r="N181" s="27"/>
      <c r="O181" s="27"/>
      <c r="P181" s="27"/>
      <c r="Q181" s="27"/>
    </row>
    <row r="182" spans="13:17" x14ac:dyDescent="0.2">
      <c r="M182" s="27"/>
      <c r="N182" s="27"/>
      <c r="O182" s="27"/>
      <c r="P182" s="27"/>
      <c r="Q182" s="27"/>
    </row>
    <row r="183" spans="13:17" x14ac:dyDescent="0.2">
      <c r="M183" s="27"/>
      <c r="N183" s="27"/>
      <c r="O183" s="27"/>
      <c r="P183" s="27"/>
      <c r="Q183" s="27"/>
    </row>
    <row r="184" spans="13:17" x14ac:dyDescent="0.2">
      <c r="M184" s="27"/>
      <c r="N184" s="27"/>
      <c r="O184" s="27"/>
      <c r="P184" s="27"/>
      <c r="Q184" s="27"/>
    </row>
    <row r="185" spans="13:17" x14ac:dyDescent="0.2">
      <c r="M185" s="27"/>
      <c r="N185" s="27"/>
      <c r="O185" s="27"/>
      <c r="P185" s="27"/>
      <c r="Q185" s="27"/>
    </row>
    <row r="186" spans="13:17" x14ac:dyDescent="0.2">
      <c r="M186" s="27"/>
      <c r="N186" s="27"/>
      <c r="O186" s="27"/>
      <c r="P186" s="27"/>
      <c r="Q186" s="27"/>
    </row>
    <row r="187" spans="13:17" x14ac:dyDescent="0.2">
      <c r="M187" s="27"/>
      <c r="N187" s="27"/>
      <c r="O187" s="27"/>
      <c r="P187" s="27"/>
      <c r="Q187" s="27"/>
    </row>
    <row r="188" spans="13:17" x14ac:dyDescent="0.2">
      <c r="M188" s="27"/>
      <c r="N188" s="27"/>
      <c r="O188" s="27"/>
      <c r="P188" s="27"/>
      <c r="Q188" s="27"/>
    </row>
    <row r="189" spans="13:17" x14ac:dyDescent="0.2">
      <c r="M189" s="27"/>
      <c r="N189" s="27"/>
      <c r="O189" s="27"/>
      <c r="P189" s="27"/>
      <c r="Q189" s="27"/>
    </row>
    <row r="190" spans="13:17" x14ac:dyDescent="0.2">
      <c r="M190" s="27"/>
      <c r="N190" s="27"/>
      <c r="O190" s="27"/>
      <c r="P190" s="27"/>
      <c r="Q190" s="27"/>
    </row>
    <row r="191" spans="13:17" x14ac:dyDescent="0.2">
      <c r="M191" s="27"/>
      <c r="N191" s="27"/>
      <c r="O191" s="27"/>
      <c r="P191" s="27"/>
      <c r="Q191" s="27"/>
    </row>
    <row r="192" spans="13:17" x14ac:dyDescent="0.2">
      <c r="M192" s="27"/>
      <c r="N192" s="27"/>
      <c r="O192" s="27"/>
      <c r="P192" s="27"/>
      <c r="Q192" s="27"/>
    </row>
    <row r="193" spans="13:17" x14ac:dyDescent="0.2">
      <c r="M193" s="27"/>
      <c r="N193" s="27"/>
      <c r="O193" s="27"/>
      <c r="P193" s="27"/>
      <c r="Q193" s="27"/>
    </row>
    <row r="194" spans="13:17" x14ac:dyDescent="0.2">
      <c r="M194" s="27"/>
      <c r="N194" s="27"/>
      <c r="O194" s="27"/>
      <c r="P194" s="27"/>
      <c r="Q194" s="27"/>
    </row>
    <row r="195" spans="13:17" x14ac:dyDescent="0.2">
      <c r="M195" s="27"/>
      <c r="N195" s="27"/>
      <c r="O195" s="27"/>
      <c r="P195" s="27"/>
      <c r="Q195" s="27"/>
    </row>
    <row r="196" spans="13:17" x14ac:dyDescent="0.2">
      <c r="M196" s="27"/>
      <c r="N196" s="27"/>
      <c r="O196" s="27"/>
      <c r="P196" s="27"/>
      <c r="Q196" s="27"/>
    </row>
    <row r="197" spans="13:17" x14ac:dyDescent="0.2">
      <c r="M197" s="27"/>
      <c r="N197" s="27"/>
      <c r="O197" s="27"/>
      <c r="P197" s="27"/>
      <c r="Q197" s="27"/>
    </row>
    <row r="198" spans="13:17" x14ac:dyDescent="0.2">
      <c r="M198" s="27"/>
      <c r="N198" s="27"/>
      <c r="O198" s="27"/>
      <c r="P198" s="27"/>
      <c r="Q198" s="27"/>
    </row>
    <row r="199" spans="13:17" x14ac:dyDescent="0.2">
      <c r="M199" s="27"/>
      <c r="N199" s="27"/>
      <c r="O199" s="27"/>
      <c r="P199" s="27"/>
      <c r="Q199" s="27"/>
    </row>
    <row r="200" spans="13:17" x14ac:dyDescent="0.2">
      <c r="M200" s="27"/>
      <c r="N200" s="27"/>
      <c r="O200" s="27"/>
      <c r="P200" s="27"/>
      <c r="Q200" s="27"/>
    </row>
    <row r="201" spans="13:17" x14ac:dyDescent="0.2">
      <c r="M201" s="27"/>
      <c r="N201" s="27"/>
      <c r="O201" s="27"/>
      <c r="P201" s="27"/>
      <c r="Q201" s="27"/>
    </row>
    <row r="202" spans="13:17" x14ac:dyDescent="0.2">
      <c r="M202" s="27"/>
      <c r="N202" s="27"/>
      <c r="O202" s="27"/>
      <c r="P202" s="27"/>
      <c r="Q202" s="27"/>
    </row>
    <row r="203" spans="13:17" x14ac:dyDescent="0.2">
      <c r="M203" s="27"/>
      <c r="N203" s="27"/>
      <c r="O203" s="27"/>
      <c r="P203" s="27"/>
      <c r="Q203" s="27"/>
    </row>
    <row r="204" spans="13:17" x14ac:dyDescent="0.2">
      <c r="M204" s="27"/>
      <c r="N204" s="27"/>
      <c r="O204" s="27"/>
      <c r="P204" s="27"/>
      <c r="Q204" s="27"/>
    </row>
    <row r="205" spans="13:17" x14ac:dyDescent="0.2">
      <c r="M205" s="27"/>
      <c r="N205" s="27"/>
      <c r="O205" s="27"/>
      <c r="P205" s="27"/>
      <c r="Q205" s="27"/>
    </row>
    <row r="206" spans="13:17" x14ac:dyDescent="0.2">
      <c r="M206" s="27"/>
      <c r="N206" s="27"/>
      <c r="O206" s="27"/>
      <c r="P206" s="27"/>
      <c r="Q206" s="27"/>
    </row>
    <row r="207" spans="13:17" x14ac:dyDescent="0.2">
      <c r="M207" s="27"/>
      <c r="N207" s="27"/>
      <c r="O207" s="27"/>
      <c r="P207" s="27"/>
      <c r="Q207" s="27"/>
    </row>
    <row r="208" spans="13:17" x14ac:dyDescent="0.2">
      <c r="M208" s="27"/>
      <c r="N208" s="27"/>
      <c r="O208" s="27"/>
      <c r="P208" s="27"/>
      <c r="Q208" s="27"/>
    </row>
    <row r="209" spans="13:17" x14ac:dyDescent="0.2">
      <c r="M209" s="27"/>
      <c r="N209" s="27"/>
      <c r="O209" s="27"/>
      <c r="P209" s="27"/>
      <c r="Q209" s="27"/>
    </row>
    <row r="210" spans="13:17" x14ac:dyDescent="0.2">
      <c r="M210" s="27"/>
      <c r="N210" s="27"/>
      <c r="O210" s="27"/>
      <c r="P210" s="27"/>
      <c r="Q210" s="27"/>
    </row>
    <row r="211" spans="13:17" x14ac:dyDescent="0.2">
      <c r="M211" s="27"/>
      <c r="N211" s="27"/>
      <c r="O211" s="27"/>
      <c r="P211" s="27"/>
      <c r="Q211" s="27"/>
    </row>
    <row r="212" spans="13:17" x14ac:dyDescent="0.2">
      <c r="M212" s="27"/>
      <c r="N212" s="27"/>
      <c r="O212" s="27"/>
      <c r="P212" s="27"/>
      <c r="Q212" s="27"/>
    </row>
    <row r="213" spans="13:17" x14ac:dyDescent="0.2">
      <c r="M213" s="27"/>
      <c r="N213" s="27"/>
      <c r="O213" s="27"/>
      <c r="P213" s="27"/>
      <c r="Q213" s="27"/>
    </row>
    <row r="214" spans="13:17" x14ac:dyDescent="0.2">
      <c r="M214" s="27"/>
      <c r="N214" s="27"/>
      <c r="O214" s="27"/>
      <c r="P214" s="27"/>
      <c r="Q214" s="27"/>
    </row>
    <row r="215" spans="13:17" x14ac:dyDescent="0.2">
      <c r="M215" s="27"/>
      <c r="N215" s="27"/>
      <c r="O215" s="27"/>
      <c r="P215" s="27"/>
      <c r="Q215" s="27"/>
    </row>
    <row r="216" spans="13:17" x14ac:dyDescent="0.2">
      <c r="M216" s="27"/>
      <c r="N216" s="27"/>
      <c r="O216" s="27"/>
      <c r="P216" s="27"/>
      <c r="Q216" s="27"/>
    </row>
    <row r="217" spans="13:17" x14ac:dyDescent="0.2">
      <c r="M217" s="27"/>
      <c r="N217" s="27"/>
      <c r="O217" s="27"/>
      <c r="P217" s="27"/>
      <c r="Q217" s="27"/>
    </row>
    <row r="218" spans="13:17" x14ac:dyDescent="0.2">
      <c r="M218" s="27"/>
      <c r="N218" s="27"/>
      <c r="O218" s="27"/>
      <c r="P218" s="27"/>
      <c r="Q218" s="27"/>
    </row>
    <row r="219" spans="13:17" x14ac:dyDescent="0.2">
      <c r="M219" s="27"/>
      <c r="N219" s="27"/>
      <c r="O219" s="27"/>
      <c r="P219" s="27"/>
      <c r="Q219" s="27"/>
    </row>
    <row r="220" spans="13:17" x14ac:dyDescent="0.2">
      <c r="M220" s="27"/>
      <c r="N220" s="27"/>
      <c r="O220" s="27"/>
      <c r="P220" s="27"/>
      <c r="Q220" s="27"/>
    </row>
    <row r="221" spans="13:17" x14ac:dyDescent="0.2">
      <c r="M221" s="27"/>
      <c r="N221" s="27"/>
      <c r="O221" s="27"/>
      <c r="P221" s="27"/>
      <c r="Q221" s="27"/>
    </row>
    <row r="222" spans="13:17" x14ac:dyDescent="0.2">
      <c r="M222" s="27"/>
      <c r="N222" s="27"/>
      <c r="O222" s="27"/>
      <c r="P222" s="27"/>
      <c r="Q222" s="27"/>
    </row>
    <row r="223" spans="13:17" x14ac:dyDescent="0.2">
      <c r="M223" s="27"/>
      <c r="N223" s="27"/>
      <c r="O223" s="27"/>
      <c r="P223" s="27"/>
      <c r="Q223" s="27"/>
    </row>
    <row r="224" spans="13:17" x14ac:dyDescent="0.2">
      <c r="M224" s="27"/>
      <c r="N224" s="27"/>
      <c r="O224" s="27"/>
      <c r="P224" s="27"/>
      <c r="Q224" s="27"/>
    </row>
    <row r="225" spans="13:17" x14ac:dyDescent="0.2">
      <c r="M225" s="27"/>
      <c r="N225" s="27"/>
      <c r="O225" s="27"/>
      <c r="P225" s="27"/>
      <c r="Q225" s="27"/>
    </row>
    <row r="226" spans="13:17" x14ac:dyDescent="0.2">
      <c r="M226" s="27"/>
      <c r="N226" s="27"/>
      <c r="O226" s="27"/>
      <c r="P226" s="27"/>
      <c r="Q226" s="27"/>
    </row>
    <row r="227" spans="13:17" x14ac:dyDescent="0.2">
      <c r="M227" s="27"/>
      <c r="N227" s="27"/>
      <c r="O227" s="27"/>
      <c r="P227" s="27"/>
      <c r="Q227" s="27"/>
    </row>
    <row r="228" spans="13:17" x14ac:dyDescent="0.2">
      <c r="M228" s="27"/>
      <c r="N228" s="27"/>
      <c r="O228" s="27"/>
      <c r="P228" s="27"/>
      <c r="Q228" s="27"/>
    </row>
    <row r="229" spans="13:17" x14ac:dyDescent="0.2">
      <c r="M229" s="27"/>
      <c r="N229" s="27"/>
      <c r="O229" s="27"/>
      <c r="P229" s="27"/>
      <c r="Q229" s="27"/>
    </row>
    <row r="230" spans="13:17" x14ac:dyDescent="0.2">
      <c r="M230" s="27"/>
      <c r="N230" s="27"/>
      <c r="O230" s="27"/>
      <c r="P230" s="27"/>
      <c r="Q230" s="27"/>
    </row>
    <row r="231" spans="13:17" x14ac:dyDescent="0.2">
      <c r="M231" s="27"/>
      <c r="N231" s="27"/>
      <c r="O231" s="27"/>
      <c r="P231" s="27"/>
      <c r="Q231" s="27"/>
    </row>
    <row r="232" spans="13:17" x14ac:dyDescent="0.2">
      <c r="M232" s="27"/>
      <c r="N232" s="27"/>
      <c r="O232" s="27"/>
      <c r="P232" s="27"/>
      <c r="Q232" s="27"/>
    </row>
    <row r="233" spans="13:17" x14ac:dyDescent="0.2">
      <c r="M233" s="27"/>
      <c r="N233" s="27"/>
      <c r="O233" s="27"/>
      <c r="P233" s="27"/>
      <c r="Q233" s="27"/>
    </row>
    <row r="234" spans="13:17" x14ac:dyDescent="0.2">
      <c r="M234" s="27"/>
      <c r="N234" s="27"/>
      <c r="O234" s="27"/>
      <c r="P234" s="27"/>
      <c r="Q234" s="27"/>
    </row>
    <row r="235" spans="13:17" x14ac:dyDescent="0.2">
      <c r="M235" s="27"/>
      <c r="N235" s="27"/>
      <c r="O235" s="27"/>
      <c r="P235" s="27"/>
      <c r="Q235" s="27"/>
    </row>
    <row r="236" spans="13:17" x14ac:dyDescent="0.2">
      <c r="M236" s="27"/>
      <c r="N236" s="27"/>
      <c r="O236" s="27"/>
      <c r="P236" s="27"/>
      <c r="Q236" s="27"/>
    </row>
    <row r="237" spans="13:17" x14ac:dyDescent="0.2">
      <c r="M237" s="27"/>
      <c r="N237" s="27"/>
      <c r="O237" s="27"/>
      <c r="P237" s="27"/>
      <c r="Q237" s="27"/>
    </row>
    <row r="238" spans="13:17" x14ac:dyDescent="0.2">
      <c r="M238" s="27"/>
      <c r="N238" s="27"/>
      <c r="O238" s="27"/>
      <c r="P238" s="27"/>
      <c r="Q238" s="27"/>
    </row>
    <row r="239" spans="13:17" x14ac:dyDescent="0.2">
      <c r="M239" s="27"/>
      <c r="N239" s="27"/>
      <c r="O239" s="27"/>
      <c r="P239" s="27"/>
      <c r="Q239" s="27"/>
    </row>
    <row r="240" spans="13:17" x14ac:dyDescent="0.2">
      <c r="M240" s="27"/>
      <c r="N240" s="27"/>
      <c r="O240" s="27"/>
      <c r="P240" s="27"/>
      <c r="Q240" s="27"/>
    </row>
    <row r="241" spans="13:17" x14ac:dyDescent="0.2">
      <c r="M241" s="27"/>
      <c r="N241" s="27"/>
      <c r="O241" s="27"/>
      <c r="P241" s="27"/>
      <c r="Q241" s="27"/>
    </row>
    <row r="242" spans="13:17" x14ac:dyDescent="0.2">
      <c r="M242" s="27"/>
      <c r="N242" s="27"/>
      <c r="O242" s="27"/>
      <c r="P242" s="27"/>
      <c r="Q242" s="27"/>
    </row>
    <row r="243" spans="13:17" x14ac:dyDescent="0.2">
      <c r="M243" s="27"/>
      <c r="N243" s="27"/>
      <c r="O243" s="27"/>
      <c r="P243" s="27"/>
      <c r="Q243" s="27"/>
    </row>
    <row r="244" spans="13:17" x14ac:dyDescent="0.2">
      <c r="M244" s="27"/>
      <c r="N244" s="27"/>
      <c r="O244" s="27"/>
      <c r="P244" s="27"/>
      <c r="Q244" s="27"/>
    </row>
    <row r="245" spans="13:17" x14ac:dyDescent="0.2">
      <c r="M245" s="27"/>
      <c r="N245" s="27"/>
      <c r="O245" s="27"/>
      <c r="P245" s="27"/>
      <c r="Q245" s="27"/>
    </row>
    <row r="246" spans="13:17" x14ac:dyDescent="0.2">
      <c r="M246" s="27"/>
      <c r="N246" s="27"/>
      <c r="O246" s="27"/>
      <c r="P246" s="27"/>
      <c r="Q246" s="27"/>
    </row>
    <row r="247" spans="13:17" x14ac:dyDescent="0.2">
      <c r="M247" s="27"/>
      <c r="N247" s="27"/>
      <c r="O247" s="27"/>
      <c r="P247" s="27"/>
      <c r="Q247" s="27"/>
    </row>
    <row r="248" spans="13:17" x14ac:dyDescent="0.2">
      <c r="M248" s="27"/>
      <c r="N248" s="27"/>
      <c r="O248" s="27"/>
      <c r="P248" s="27"/>
      <c r="Q248" s="27"/>
    </row>
    <row r="249" spans="13:17" x14ac:dyDescent="0.2">
      <c r="M249" s="27"/>
      <c r="N249" s="27"/>
      <c r="O249" s="27"/>
      <c r="P249" s="27"/>
      <c r="Q249" s="27"/>
    </row>
    <row r="250" spans="13:17" x14ac:dyDescent="0.2">
      <c r="M250" s="27"/>
      <c r="N250" s="27"/>
      <c r="O250" s="27"/>
      <c r="P250" s="27"/>
      <c r="Q250" s="27"/>
    </row>
    <row r="251" spans="13:17" x14ac:dyDescent="0.2">
      <c r="M251" s="27"/>
      <c r="N251" s="27"/>
      <c r="O251" s="27"/>
      <c r="P251" s="27"/>
      <c r="Q251" s="27"/>
    </row>
    <row r="252" spans="13:17" x14ac:dyDescent="0.2">
      <c r="M252" s="27"/>
      <c r="N252" s="27"/>
      <c r="O252" s="27"/>
      <c r="P252" s="27"/>
      <c r="Q252" s="27"/>
    </row>
    <row r="253" spans="13:17" x14ac:dyDescent="0.2">
      <c r="M253" s="27"/>
      <c r="N253" s="27"/>
      <c r="O253" s="27"/>
      <c r="P253" s="27"/>
      <c r="Q253" s="27"/>
    </row>
    <row r="254" spans="13:17" x14ac:dyDescent="0.2">
      <c r="M254" s="27"/>
      <c r="N254" s="27"/>
      <c r="O254" s="27"/>
      <c r="P254" s="27"/>
      <c r="Q254" s="27"/>
    </row>
    <row r="255" spans="13:17" x14ac:dyDescent="0.2">
      <c r="M255" s="27"/>
      <c r="N255" s="27"/>
      <c r="O255" s="27"/>
      <c r="P255" s="27"/>
      <c r="Q255" s="27"/>
    </row>
    <row r="256" spans="13:17" x14ac:dyDescent="0.2">
      <c r="M256" s="27"/>
      <c r="N256" s="27"/>
      <c r="O256" s="27"/>
      <c r="P256" s="27"/>
      <c r="Q256" s="27"/>
    </row>
    <row r="257" spans="13:17" x14ac:dyDescent="0.2">
      <c r="M257" s="27"/>
      <c r="N257" s="27"/>
      <c r="O257" s="27"/>
      <c r="P257" s="27"/>
      <c r="Q257" s="27"/>
    </row>
    <row r="258" spans="13:17" x14ac:dyDescent="0.2">
      <c r="M258" s="27"/>
      <c r="N258" s="27"/>
      <c r="O258" s="27"/>
      <c r="P258" s="27"/>
      <c r="Q258" s="27"/>
    </row>
    <row r="259" spans="13:17" x14ac:dyDescent="0.2">
      <c r="M259" s="27"/>
      <c r="N259" s="27"/>
      <c r="O259" s="27"/>
      <c r="P259" s="27"/>
      <c r="Q259" s="27"/>
    </row>
    <row r="260" spans="13:17" x14ac:dyDescent="0.2">
      <c r="M260" s="27"/>
      <c r="N260" s="27"/>
      <c r="O260" s="27"/>
      <c r="P260" s="27"/>
      <c r="Q260" s="27"/>
    </row>
    <row r="261" spans="13:17" x14ac:dyDescent="0.2">
      <c r="M261" s="27"/>
      <c r="N261" s="27"/>
      <c r="O261" s="27"/>
      <c r="P261" s="27"/>
      <c r="Q261" s="27"/>
    </row>
    <row r="262" spans="13:17" x14ac:dyDescent="0.2">
      <c r="M262" s="27"/>
      <c r="N262" s="27"/>
      <c r="O262" s="27"/>
      <c r="P262" s="27"/>
      <c r="Q262" s="27"/>
    </row>
    <row r="263" spans="13:17" x14ac:dyDescent="0.2">
      <c r="M263" s="27"/>
      <c r="N263" s="27"/>
      <c r="O263" s="27"/>
      <c r="P263" s="27"/>
      <c r="Q263" s="27"/>
    </row>
    <row r="264" spans="13:17" x14ac:dyDescent="0.2">
      <c r="M264" s="27"/>
      <c r="N264" s="27"/>
      <c r="O264" s="27"/>
      <c r="P264" s="27"/>
      <c r="Q264" s="27"/>
    </row>
    <row r="265" spans="13:17" x14ac:dyDescent="0.2">
      <c r="M265" s="27"/>
      <c r="N265" s="27"/>
      <c r="O265" s="27"/>
      <c r="P265" s="27"/>
      <c r="Q265" s="27"/>
    </row>
    <row r="266" spans="13:17" x14ac:dyDescent="0.2">
      <c r="M266" s="27"/>
      <c r="N266" s="27"/>
      <c r="O266" s="27"/>
      <c r="P266" s="27"/>
      <c r="Q266" s="27"/>
    </row>
    <row r="267" spans="13:17" x14ac:dyDescent="0.2">
      <c r="M267" s="27"/>
      <c r="N267" s="27"/>
      <c r="O267" s="27"/>
      <c r="P267" s="27"/>
      <c r="Q267" s="27"/>
    </row>
    <row r="268" spans="13:17" x14ac:dyDescent="0.2">
      <c r="M268" s="27"/>
      <c r="N268" s="27"/>
      <c r="O268" s="27"/>
      <c r="P268" s="27"/>
      <c r="Q268" s="27"/>
    </row>
    <row r="269" spans="13:17" x14ac:dyDescent="0.2">
      <c r="M269" s="27"/>
      <c r="N269" s="27"/>
      <c r="O269" s="27"/>
      <c r="P269" s="27"/>
      <c r="Q269" s="27"/>
    </row>
    <row r="270" spans="13:17" x14ac:dyDescent="0.2">
      <c r="M270" s="27"/>
      <c r="N270" s="27"/>
      <c r="O270" s="27"/>
      <c r="P270" s="27"/>
      <c r="Q270" s="27"/>
    </row>
    <row r="271" spans="13:17" x14ac:dyDescent="0.2">
      <c r="M271" s="27"/>
      <c r="N271" s="27"/>
      <c r="O271" s="27"/>
      <c r="P271" s="27"/>
      <c r="Q271" s="27"/>
    </row>
    <row r="272" spans="13:17" x14ac:dyDescent="0.2">
      <c r="M272" s="27"/>
      <c r="N272" s="27"/>
      <c r="O272" s="27"/>
      <c r="P272" s="27"/>
      <c r="Q272" s="27"/>
    </row>
    <row r="273" spans="13:17" x14ac:dyDescent="0.2">
      <c r="M273" s="27"/>
      <c r="N273" s="27"/>
      <c r="O273" s="27"/>
      <c r="P273" s="27"/>
      <c r="Q273" s="27"/>
    </row>
    <row r="274" spans="13:17" x14ac:dyDescent="0.2">
      <c r="M274" s="27"/>
      <c r="N274" s="27"/>
      <c r="O274" s="27"/>
      <c r="P274" s="27"/>
      <c r="Q274" s="27"/>
    </row>
    <row r="275" spans="13:17" x14ac:dyDescent="0.2">
      <c r="M275" s="27"/>
      <c r="N275" s="27"/>
      <c r="O275" s="27"/>
      <c r="P275" s="27"/>
      <c r="Q275" s="27"/>
    </row>
    <row r="276" spans="13:17" x14ac:dyDescent="0.2">
      <c r="M276" s="27"/>
      <c r="N276" s="27"/>
      <c r="O276" s="27"/>
      <c r="P276" s="27"/>
      <c r="Q276" s="27"/>
    </row>
    <row r="277" spans="13:17" x14ac:dyDescent="0.2">
      <c r="M277" s="27"/>
      <c r="N277" s="27"/>
      <c r="O277" s="27"/>
      <c r="P277" s="27"/>
      <c r="Q277" s="27"/>
    </row>
    <row r="278" spans="13:17" x14ac:dyDescent="0.2">
      <c r="M278" s="27"/>
      <c r="N278" s="27"/>
      <c r="O278" s="27"/>
      <c r="P278" s="27"/>
      <c r="Q278" s="27"/>
    </row>
    <row r="279" spans="13:17" x14ac:dyDescent="0.2">
      <c r="M279" s="27"/>
      <c r="N279" s="27"/>
      <c r="O279" s="27"/>
      <c r="P279" s="27"/>
      <c r="Q279" s="27"/>
    </row>
    <row r="280" spans="13:17" x14ac:dyDescent="0.2">
      <c r="M280" s="27"/>
      <c r="N280" s="27"/>
      <c r="O280" s="27"/>
      <c r="P280" s="27"/>
      <c r="Q280" s="27"/>
    </row>
    <row r="281" spans="13:17" x14ac:dyDescent="0.2">
      <c r="M281" s="27"/>
      <c r="N281" s="27"/>
      <c r="O281" s="27"/>
      <c r="P281" s="27"/>
      <c r="Q281" s="27"/>
    </row>
    <row r="282" spans="13:17" x14ac:dyDescent="0.2">
      <c r="M282" s="27"/>
      <c r="N282" s="27"/>
      <c r="O282" s="27"/>
      <c r="P282" s="27"/>
      <c r="Q282" s="27"/>
    </row>
    <row r="283" spans="13:17" x14ac:dyDescent="0.2">
      <c r="M283" s="27"/>
      <c r="N283" s="27"/>
      <c r="O283" s="27"/>
      <c r="P283" s="27"/>
      <c r="Q283" s="27"/>
    </row>
    <row r="284" spans="13:17" x14ac:dyDescent="0.2">
      <c r="M284" s="27"/>
      <c r="N284" s="27"/>
      <c r="O284" s="27"/>
      <c r="P284" s="27"/>
      <c r="Q284" s="27"/>
    </row>
    <row r="285" spans="13:17" x14ac:dyDescent="0.2">
      <c r="M285" s="27"/>
      <c r="N285" s="27"/>
      <c r="O285" s="27"/>
      <c r="P285" s="27"/>
      <c r="Q285" s="27"/>
    </row>
    <row r="286" spans="13:17" x14ac:dyDescent="0.2">
      <c r="M286" s="27"/>
      <c r="N286" s="27"/>
      <c r="O286" s="27"/>
      <c r="P286" s="27"/>
      <c r="Q286" s="27"/>
    </row>
    <row r="287" spans="13:17" x14ac:dyDescent="0.2">
      <c r="M287" s="27"/>
      <c r="N287" s="27"/>
      <c r="O287" s="27"/>
      <c r="P287" s="27"/>
      <c r="Q287" s="27"/>
    </row>
    <row r="288" spans="13:17" x14ac:dyDescent="0.2">
      <c r="M288" s="27"/>
      <c r="N288" s="27"/>
      <c r="O288" s="27"/>
      <c r="P288" s="27"/>
      <c r="Q288" s="27"/>
    </row>
    <row r="289" spans="13:17" x14ac:dyDescent="0.2">
      <c r="M289" s="27"/>
      <c r="N289" s="27"/>
      <c r="O289" s="27"/>
      <c r="P289" s="27"/>
      <c r="Q289" s="27"/>
    </row>
    <row r="290" spans="13:17" x14ac:dyDescent="0.2">
      <c r="M290" s="27"/>
      <c r="N290" s="27"/>
      <c r="O290" s="27"/>
      <c r="P290" s="27"/>
      <c r="Q290" s="27"/>
    </row>
    <row r="291" spans="13:17" x14ac:dyDescent="0.2">
      <c r="M291" s="27"/>
      <c r="N291" s="27"/>
      <c r="O291" s="27"/>
      <c r="P291" s="27"/>
      <c r="Q291" s="27"/>
    </row>
    <row r="292" spans="13:17" x14ac:dyDescent="0.2">
      <c r="M292" s="27"/>
      <c r="N292" s="27"/>
      <c r="O292" s="27"/>
      <c r="P292" s="27"/>
      <c r="Q292" s="27"/>
    </row>
    <row r="293" spans="13:17" x14ac:dyDescent="0.2">
      <c r="M293" s="27"/>
      <c r="N293" s="27"/>
      <c r="O293" s="27"/>
      <c r="P293" s="27"/>
      <c r="Q293" s="27"/>
    </row>
    <row r="294" spans="13:17" x14ac:dyDescent="0.2">
      <c r="M294" s="27"/>
      <c r="N294" s="27"/>
      <c r="O294" s="27"/>
      <c r="P294" s="27"/>
      <c r="Q294" s="27"/>
    </row>
    <row r="295" spans="13:17" x14ac:dyDescent="0.2">
      <c r="M295" s="27"/>
      <c r="N295" s="27"/>
      <c r="O295" s="27"/>
      <c r="P295" s="27"/>
      <c r="Q295" s="27"/>
    </row>
    <row r="296" spans="13:17" x14ac:dyDescent="0.2">
      <c r="M296" s="27"/>
      <c r="N296" s="27"/>
      <c r="O296" s="27"/>
      <c r="P296" s="27"/>
      <c r="Q296" s="27"/>
    </row>
    <row r="297" spans="13:17" x14ac:dyDescent="0.2">
      <c r="M297" s="27"/>
      <c r="N297" s="27"/>
      <c r="O297" s="27"/>
      <c r="P297" s="27"/>
      <c r="Q297" s="27"/>
    </row>
    <row r="298" spans="13:17" x14ac:dyDescent="0.2">
      <c r="M298" s="27"/>
      <c r="N298" s="27"/>
      <c r="O298" s="27"/>
      <c r="P298" s="27"/>
      <c r="Q298" s="27"/>
    </row>
    <row r="299" spans="13:17" x14ac:dyDescent="0.2">
      <c r="M299" s="27"/>
      <c r="N299" s="27"/>
      <c r="O299" s="27"/>
      <c r="P299" s="27"/>
      <c r="Q299" s="27"/>
    </row>
    <row r="300" spans="13:17" x14ac:dyDescent="0.2">
      <c r="M300" s="27"/>
      <c r="N300" s="27"/>
      <c r="O300" s="27"/>
      <c r="P300" s="27"/>
      <c r="Q300" s="27"/>
    </row>
    <row r="301" spans="13:17" x14ac:dyDescent="0.2">
      <c r="M301" s="27"/>
      <c r="N301" s="27"/>
      <c r="O301" s="27"/>
      <c r="P301" s="27"/>
      <c r="Q301" s="27"/>
    </row>
    <row r="302" spans="13:17" x14ac:dyDescent="0.2">
      <c r="M302" s="27"/>
      <c r="N302" s="27"/>
      <c r="O302" s="27"/>
      <c r="P302" s="27"/>
      <c r="Q302" s="27"/>
    </row>
    <row r="303" spans="13:17" x14ac:dyDescent="0.2">
      <c r="M303" s="27"/>
      <c r="N303" s="27"/>
      <c r="O303" s="27"/>
      <c r="P303" s="27"/>
      <c r="Q303" s="27"/>
    </row>
    <row r="304" spans="13:17" x14ac:dyDescent="0.2">
      <c r="M304" s="27"/>
      <c r="N304" s="27"/>
      <c r="O304" s="27"/>
      <c r="P304" s="27"/>
      <c r="Q304" s="27"/>
    </row>
    <row r="305" spans="13:17" x14ac:dyDescent="0.2">
      <c r="M305" s="27"/>
      <c r="N305" s="27"/>
      <c r="O305" s="27"/>
      <c r="P305" s="27"/>
      <c r="Q305" s="27"/>
    </row>
    <row r="306" spans="13:17" x14ac:dyDescent="0.2">
      <c r="M306" s="27"/>
      <c r="N306" s="27"/>
      <c r="O306" s="27"/>
      <c r="P306" s="27"/>
      <c r="Q306" s="27"/>
    </row>
    <row r="307" spans="13:17" x14ac:dyDescent="0.2">
      <c r="M307" s="27"/>
      <c r="N307" s="27"/>
      <c r="O307" s="27"/>
      <c r="P307" s="27"/>
      <c r="Q307" s="27"/>
    </row>
    <row r="308" spans="13:17" x14ac:dyDescent="0.2">
      <c r="M308" s="27"/>
      <c r="N308" s="27"/>
      <c r="O308" s="27"/>
      <c r="P308" s="27"/>
      <c r="Q308" s="27"/>
    </row>
    <row r="309" spans="13:17" x14ac:dyDescent="0.2">
      <c r="M309" s="27"/>
      <c r="N309" s="27"/>
      <c r="O309" s="27"/>
      <c r="P309" s="27"/>
      <c r="Q309" s="27"/>
    </row>
    <row r="310" spans="13:17" x14ac:dyDescent="0.2">
      <c r="M310" s="27"/>
      <c r="N310" s="27"/>
      <c r="O310" s="27"/>
      <c r="P310" s="27"/>
      <c r="Q310" s="27"/>
    </row>
    <row r="311" spans="13:17" x14ac:dyDescent="0.2">
      <c r="M311" s="27"/>
      <c r="N311" s="27"/>
      <c r="O311" s="27"/>
      <c r="P311" s="27"/>
      <c r="Q311" s="27"/>
    </row>
    <row r="312" spans="13:17" x14ac:dyDescent="0.2">
      <c r="M312" s="27"/>
      <c r="N312" s="27"/>
      <c r="O312" s="27"/>
      <c r="P312" s="27"/>
      <c r="Q312" s="27"/>
    </row>
    <row r="313" spans="13:17" x14ac:dyDescent="0.2">
      <c r="M313" s="27"/>
      <c r="N313" s="27"/>
      <c r="O313" s="27"/>
      <c r="P313" s="27"/>
      <c r="Q313" s="27"/>
    </row>
    <row r="314" spans="13:17" x14ac:dyDescent="0.2">
      <c r="M314" s="27"/>
      <c r="N314" s="27"/>
      <c r="O314" s="27"/>
      <c r="P314" s="27"/>
      <c r="Q314" s="27"/>
    </row>
    <row r="315" spans="13:17" x14ac:dyDescent="0.2">
      <c r="M315" s="27"/>
      <c r="N315" s="27"/>
      <c r="O315" s="27"/>
      <c r="P315" s="27"/>
      <c r="Q315" s="27"/>
    </row>
    <row r="316" spans="13:17" x14ac:dyDescent="0.2">
      <c r="M316" s="27"/>
      <c r="N316" s="27"/>
      <c r="O316" s="27"/>
      <c r="P316" s="27"/>
      <c r="Q316" s="27"/>
    </row>
    <row r="317" spans="13:17" x14ac:dyDescent="0.2">
      <c r="M317" s="27"/>
      <c r="N317" s="27"/>
      <c r="O317" s="27"/>
      <c r="P317" s="27"/>
      <c r="Q317" s="27"/>
    </row>
    <row r="318" spans="13:17" x14ac:dyDescent="0.2">
      <c r="M318" s="27"/>
      <c r="N318" s="27"/>
      <c r="O318" s="27"/>
      <c r="P318" s="27"/>
      <c r="Q318" s="27"/>
    </row>
    <row r="319" spans="13:17" x14ac:dyDescent="0.2">
      <c r="M319" s="27"/>
      <c r="N319" s="27"/>
      <c r="O319" s="27"/>
      <c r="P319" s="27"/>
      <c r="Q319" s="27"/>
    </row>
    <row r="320" spans="13:17" x14ac:dyDescent="0.2">
      <c r="M320" s="27"/>
      <c r="N320" s="27"/>
      <c r="O320" s="27"/>
      <c r="P320" s="27"/>
      <c r="Q320" s="27"/>
    </row>
    <row r="321" spans="13:17" x14ac:dyDescent="0.2">
      <c r="M321" s="27"/>
      <c r="N321" s="27"/>
      <c r="O321" s="27"/>
      <c r="P321" s="27"/>
      <c r="Q321" s="27"/>
    </row>
    <row r="322" spans="13:17" x14ac:dyDescent="0.2">
      <c r="M322" s="27"/>
      <c r="N322" s="27"/>
      <c r="O322" s="27"/>
      <c r="P322" s="27"/>
      <c r="Q322" s="27"/>
    </row>
    <row r="323" spans="13:17" x14ac:dyDescent="0.2">
      <c r="M323" s="27"/>
      <c r="N323" s="27"/>
      <c r="O323" s="27"/>
      <c r="P323" s="27"/>
      <c r="Q323" s="27"/>
    </row>
    <row r="324" spans="13:17" x14ac:dyDescent="0.2">
      <c r="M324" s="27"/>
      <c r="N324" s="27"/>
      <c r="O324" s="27"/>
      <c r="P324" s="27"/>
      <c r="Q324" s="27"/>
    </row>
    <row r="325" spans="13:17" x14ac:dyDescent="0.2">
      <c r="M325" s="27"/>
      <c r="N325" s="27"/>
      <c r="O325" s="27"/>
      <c r="P325" s="27"/>
      <c r="Q325" s="27"/>
    </row>
    <row r="326" spans="13:17" x14ac:dyDescent="0.2">
      <c r="M326" s="27"/>
      <c r="N326" s="27"/>
      <c r="O326" s="27"/>
      <c r="P326" s="27"/>
      <c r="Q326" s="27"/>
    </row>
    <row r="327" spans="13:17" x14ac:dyDescent="0.2">
      <c r="M327" s="27"/>
      <c r="N327" s="27"/>
      <c r="O327" s="27"/>
      <c r="P327" s="27"/>
      <c r="Q327" s="27"/>
    </row>
    <row r="328" spans="13:17" x14ac:dyDescent="0.2">
      <c r="M328" s="27"/>
      <c r="N328" s="27"/>
      <c r="O328" s="27"/>
      <c r="P328" s="27"/>
      <c r="Q328" s="27"/>
    </row>
    <row r="329" spans="13:17" x14ac:dyDescent="0.2">
      <c r="M329" s="27"/>
      <c r="N329" s="27"/>
      <c r="O329" s="27"/>
      <c r="P329" s="27"/>
      <c r="Q329" s="27"/>
    </row>
    <row r="330" spans="13:17" x14ac:dyDescent="0.2">
      <c r="M330" s="27"/>
      <c r="N330" s="27"/>
      <c r="O330" s="27"/>
      <c r="P330" s="27"/>
      <c r="Q330" s="27"/>
    </row>
    <row r="331" spans="13:17" x14ac:dyDescent="0.2">
      <c r="M331" s="27"/>
      <c r="N331" s="27"/>
      <c r="O331" s="27"/>
      <c r="P331" s="27"/>
      <c r="Q331" s="27"/>
    </row>
    <row r="332" spans="13:17" x14ac:dyDescent="0.2">
      <c r="M332" s="27"/>
      <c r="N332" s="27"/>
      <c r="O332" s="27"/>
      <c r="P332" s="27"/>
      <c r="Q332" s="27"/>
    </row>
    <row r="333" spans="13:17" x14ac:dyDescent="0.2">
      <c r="M333" s="27"/>
      <c r="N333" s="27"/>
      <c r="O333" s="27"/>
      <c r="P333" s="27"/>
      <c r="Q333" s="27"/>
    </row>
    <row r="334" spans="13:17" x14ac:dyDescent="0.2">
      <c r="M334" s="27"/>
      <c r="N334" s="27"/>
      <c r="O334" s="27"/>
      <c r="P334" s="27"/>
      <c r="Q334" s="27"/>
    </row>
    <row r="335" spans="13:17" x14ac:dyDescent="0.2">
      <c r="M335" s="27"/>
      <c r="N335" s="27"/>
      <c r="O335" s="27"/>
      <c r="P335" s="27"/>
      <c r="Q335" s="27"/>
    </row>
    <row r="336" spans="13:17" x14ac:dyDescent="0.2">
      <c r="M336" s="27"/>
      <c r="N336" s="27"/>
      <c r="O336" s="27"/>
      <c r="P336" s="27"/>
      <c r="Q336" s="27"/>
    </row>
    <row r="337" spans="13:17" x14ac:dyDescent="0.2">
      <c r="M337" s="27"/>
      <c r="N337" s="27"/>
      <c r="O337" s="27"/>
      <c r="P337" s="27"/>
      <c r="Q337" s="27"/>
    </row>
    <row r="338" spans="13:17" x14ac:dyDescent="0.2">
      <c r="M338" s="27"/>
      <c r="N338" s="27"/>
      <c r="O338" s="27"/>
      <c r="P338" s="27"/>
      <c r="Q338" s="27"/>
    </row>
    <row r="339" spans="13:17" x14ac:dyDescent="0.2">
      <c r="M339" s="27"/>
      <c r="N339" s="27"/>
      <c r="O339" s="27"/>
      <c r="P339" s="27"/>
      <c r="Q339" s="27"/>
    </row>
    <row r="340" spans="13:17" x14ac:dyDescent="0.2">
      <c r="M340" s="27"/>
      <c r="N340" s="27"/>
      <c r="O340" s="27"/>
      <c r="P340" s="27"/>
      <c r="Q340" s="27"/>
    </row>
    <row r="341" spans="13:17" x14ac:dyDescent="0.2">
      <c r="M341" s="27"/>
      <c r="N341" s="27"/>
      <c r="O341" s="27"/>
      <c r="P341" s="27"/>
      <c r="Q341" s="27"/>
    </row>
    <row r="342" spans="13:17" x14ac:dyDescent="0.2">
      <c r="M342" s="27"/>
      <c r="N342" s="27"/>
      <c r="O342" s="27"/>
      <c r="P342" s="27"/>
      <c r="Q342" s="27"/>
    </row>
    <row r="343" spans="13:17" x14ac:dyDescent="0.2">
      <c r="M343" s="27"/>
      <c r="N343" s="27"/>
      <c r="O343" s="27"/>
      <c r="P343" s="27"/>
      <c r="Q343" s="27"/>
    </row>
    <row r="344" spans="13:17" x14ac:dyDescent="0.2">
      <c r="M344" s="27"/>
      <c r="N344" s="27"/>
      <c r="O344" s="27"/>
      <c r="P344" s="27"/>
      <c r="Q344" s="27"/>
    </row>
    <row r="345" spans="13:17" x14ac:dyDescent="0.2">
      <c r="M345" s="27"/>
      <c r="N345" s="27"/>
      <c r="O345" s="27"/>
      <c r="P345" s="27"/>
      <c r="Q345" s="27"/>
    </row>
    <row r="346" spans="13:17" x14ac:dyDescent="0.2">
      <c r="M346" s="27"/>
      <c r="N346" s="27"/>
      <c r="O346" s="27"/>
      <c r="P346" s="27"/>
      <c r="Q346" s="27"/>
    </row>
    <row r="347" spans="13:17" x14ac:dyDescent="0.2">
      <c r="M347" s="27"/>
      <c r="N347" s="27"/>
      <c r="O347" s="27"/>
      <c r="P347" s="27"/>
      <c r="Q347" s="27"/>
    </row>
    <row r="348" spans="13:17" x14ac:dyDescent="0.2">
      <c r="M348" s="27"/>
      <c r="N348" s="27"/>
      <c r="O348" s="27"/>
      <c r="P348" s="27"/>
      <c r="Q348" s="27"/>
    </row>
    <row r="349" spans="13:17" x14ac:dyDescent="0.2">
      <c r="M349" s="27"/>
      <c r="N349" s="27"/>
      <c r="O349" s="27"/>
      <c r="P349" s="27"/>
      <c r="Q349" s="27"/>
    </row>
    <row r="350" spans="13:17" x14ac:dyDescent="0.2">
      <c r="M350" s="27"/>
      <c r="N350" s="27"/>
      <c r="O350" s="27"/>
      <c r="P350" s="27"/>
      <c r="Q350" s="27"/>
    </row>
    <row r="351" spans="13:17" x14ac:dyDescent="0.2">
      <c r="M351" s="27"/>
      <c r="N351" s="27"/>
      <c r="O351" s="27"/>
      <c r="P351" s="27"/>
      <c r="Q351" s="27"/>
    </row>
    <row r="352" spans="13:17" x14ac:dyDescent="0.2">
      <c r="M352" s="27"/>
      <c r="N352" s="27"/>
      <c r="O352" s="27"/>
      <c r="P352" s="27"/>
      <c r="Q352" s="27"/>
    </row>
    <row r="353" spans="13:17" x14ac:dyDescent="0.2">
      <c r="M353" s="27"/>
      <c r="N353" s="27"/>
      <c r="O353" s="27"/>
      <c r="P353" s="27"/>
      <c r="Q353" s="27"/>
    </row>
    <row r="354" spans="13:17" x14ac:dyDescent="0.2">
      <c r="M354" s="27"/>
      <c r="N354" s="27"/>
      <c r="O354" s="27"/>
      <c r="P354" s="27"/>
      <c r="Q354" s="27"/>
    </row>
    <row r="355" spans="13:17" x14ac:dyDescent="0.2">
      <c r="M355" s="27"/>
      <c r="N355" s="27"/>
      <c r="O355" s="27"/>
      <c r="P355" s="27"/>
      <c r="Q355" s="27"/>
    </row>
    <row r="356" spans="13:17" x14ac:dyDescent="0.2">
      <c r="M356" s="27"/>
      <c r="N356" s="27"/>
      <c r="O356" s="27"/>
      <c r="P356" s="27"/>
      <c r="Q356" s="27"/>
    </row>
    <row r="357" spans="13:17" x14ac:dyDescent="0.2">
      <c r="M357" s="27"/>
      <c r="N357" s="27"/>
      <c r="O357" s="27"/>
      <c r="P357" s="27"/>
      <c r="Q357" s="27"/>
    </row>
    <row r="358" spans="13:17" x14ac:dyDescent="0.2">
      <c r="M358" s="27"/>
      <c r="N358" s="27"/>
      <c r="O358" s="27"/>
      <c r="P358" s="27"/>
      <c r="Q358" s="27"/>
    </row>
    <row r="359" spans="13:17" x14ac:dyDescent="0.2">
      <c r="M359" s="27"/>
      <c r="N359" s="27"/>
      <c r="O359" s="27"/>
      <c r="P359" s="27"/>
      <c r="Q359" s="27"/>
    </row>
    <row r="360" spans="13:17" x14ac:dyDescent="0.2">
      <c r="M360" s="27"/>
      <c r="N360" s="27"/>
      <c r="O360" s="27"/>
      <c r="P360" s="27"/>
      <c r="Q360" s="27"/>
    </row>
    <row r="361" spans="13:17" x14ac:dyDescent="0.2">
      <c r="M361" s="27"/>
      <c r="N361" s="27"/>
      <c r="O361" s="27"/>
      <c r="P361" s="27"/>
      <c r="Q361" s="27"/>
    </row>
    <row r="362" spans="13:17" x14ac:dyDescent="0.2">
      <c r="M362" s="27"/>
      <c r="N362" s="27"/>
      <c r="O362" s="27"/>
      <c r="P362" s="27"/>
      <c r="Q362" s="27"/>
    </row>
    <row r="363" spans="13:17" x14ac:dyDescent="0.2">
      <c r="M363" s="27"/>
      <c r="N363" s="27"/>
      <c r="O363" s="27"/>
      <c r="P363" s="27"/>
      <c r="Q363" s="27"/>
    </row>
    <row r="364" spans="13:17" x14ac:dyDescent="0.2">
      <c r="M364" s="27"/>
      <c r="N364" s="27"/>
      <c r="O364" s="27"/>
      <c r="P364" s="27"/>
      <c r="Q364" s="27"/>
    </row>
    <row r="365" spans="13:17" x14ac:dyDescent="0.2">
      <c r="M365" s="27"/>
      <c r="N365" s="27"/>
      <c r="O365" s="27"/>
      <c r="P365" s="27"/>
      <c r="Q365" s="27"/>
    </row>
    <row r="366" spans="13:17" x14ac:dyDescent="0.2">
      <c r="M366" s="27"/>
      <c r="N366" s="27"/>
      <c r="O366" s="27"/>
      <c r="P366" s="27"/>
      <c r="Q366" s="27"/>
    </row>
    <row r="367" spans="13:17" x14ac:dyDescent="0.2">
      <c r="M367" s="27"/>
      <c r="N367" s="27"/>
      <c r="O367" s="27"/>
      <c r="P367" s="27"/>
      <c r="Q367" s="27"/>
    </row>
    <row r="368" spans="13:17" x14ac:dyDescent="0.2">
      <c r="M368" s="27"/>
      <c r="N368" s="27"/>
      <c r="O368" s="27"/>
      <c r="P368" s="27"/>
      <c r="Q368" s="27"/>
    </row>
    <row r="369" spans="13:17" x14ac:dyDescent="0.2">
      <c r="M369" s="27"/>
      <c r="N369" s="27"/>
      <c r="O369" s="27"/>
      <c r="P369" s="27"/>
      <c r="Q369" s="27"/>
    </row>
    <row r="370" spans="13:17" x14ac:dyDescent="0.2">
      <c r="M370" s="27"/>
      <c r="N370" s="27"/>
      <c r="O370" s="27"/>
      <c r="P370" s="27"/>
      <c r="Q370" s="27"/>
    </row>
    <row r="371" spans="13:17" x14ac:dyDescent="0.2">
      <c r="M371" s="27"/>
      <c r="N371" s="27"/>
      <c r="O371" s="27"/>
      <c r="P371" s="27"/>
      <c r="Q371" s="27"/>
    </row>
    <row r="372" spans="13:17" x14ac:dyDescent="0.2">
      <c r="M372" s="27"/>
      <c r="N372" s="27"/>
      <c r="O372" s="27"/>
      <c r="P372" s="27"/>
      <c r="Q372" s="27"/>
    </row>
    <row r="373" spans="13:17" x14ac:dyDescent="0.2">
      <c r="M373" s="27"/>
      <c r="N373" s="27"/>
      <c r="O373" s="27"/>
      <c r="P373" s="27"/>
      <c r="Q373" s="27"/>
    </row>
    <row r="374" spans="13:17" x14ac:dyDescent="0.2">
      <c r="M374" s="27"/>
      <c r="N374" s="27"/>
      <c r="O374" s="27"/>
      <c r="P374" s="27"/>
      <c r="Q374" s="27"/>
    </row>
    <row r="375" spans="13:17" x14ac:dyDescent="0.2">
      <c r="M375" s="27"/>
      <c r="N375" s="27"/>
      <c r="O375" s="27"/>
      <c r="P375" s="27"/>
      <c r="Q375" s="27"/>
    </row>
    <row r="376" spans="13:17" x14ac:dyDescent="0.2">
      <c r="M376" s="27"/>
      <c r="N376" s="27"/>
      <c r="O376" s="27"/>
      <c r="P376" s="27"/>
      <c r="Q376" s="27"/>
    </row>
    <row r="377" spans="13:17" x14ac:dyDescent="0.2">
      <c r="M377" s="27"/>
      <c r="N377" s="27"/>
      <c r="O377" s="27"/>
      <c r="P377" s="27"/>
      <c r="Q377" s="27"/>
    </row>
    <row r="378" spans="13:17" x14ac:dyDescent="0.2">
      <c r="M378" s="27"/>
      <c r="N378" s="27"/>
      <c r="O378" s="27"/>
      <c r="P378" s="27"/>
      <c r="Q378" s="27"/>
    </row>
    <row r="379" spans="13:17" x14ac:dyDescent="0.2">
      <c r="M379" s="27"/>
      <c r="N379" s="27"/>
      <c r="O379" s="27"/>
      <c r="P379" s="27"/>
      <c r="Q379" s="27"/>
    </row>
    <row r="380" spans="13:17" x14ac:dyDescent="0.2">
      <c r="M380" s="27"/>
      <c r="N380" s="27"/>
      <c r="O380" s="27"/>
      <c r="P380" s="27"/>
      <c r="Q380" s="27"/>
    </row>
    <row r="381" spans="13:17" x14ac:dyDescent="0.2">
      <c r="M381" s="27"/>
      <c r="N381" s="27"/>
      <c r="O381" s="27"/>
      <c r="P381" s="27"/>
      <c r="Q381" s="27"/>
    </row>
    <row r="382" spans="13:17" x14ac:dyDescent="0.2">
      <c r="M382" s="27"/>
      <c r="N382" s="27"/>
      <c r="O382" s="27"/>
      <c r="P382" s="27"/>
      <c r="Q382" s="27"/>
    </row>
    <row r="383" spans="13:17" x14ac:dyDescent="0.2">
      <c r="M383" s="27"/>
      <c r="N383" s="27"/>
      <c r="O383" s="27"/>
      <c r="P383" s="27"/>
      <c r="Q383" s="27"/>
    </row>
    <row r="384" spans="13:17" x14ac:dyDescent="0.2">
      <c r="M384" s="27"/>
      <c r="N384" s="27"/>
      <c r="O384" s="27"/>
      <c r="P384" s="27"/>
      <c r="Q384" s="27"/>
    </row>
    <row r="385" spans="13:17" x14ac:dyDescent="0.2">
      <c r="M385" s="27"/>
      <c r="N385" s="27"/>
      <c r="O385" s="27"/>
      <c r="P385" s="27"/>
      <c r="Q385" s="27"/>
    </row>
    <row r="386" spans="13:17" x14ac:dyDescent="0.2">
      <c r="M386" s="27"/>
      <c r="N386" s="27"/>
      <c r="O386" s="27"/>
      <c r="P386" s="27"/>
      <c r="Q386" s="27"/>
    </row>
    <row r="387" spans="13:17" x14ac:dyDescent="0.2">
      <c r="M387" s="27"/>
      <c r="N387" s="27"/>
      <c r="O387" s="27"/>
      <c r="P387" s="27"/>
      <c r="Q387" s="27"/>
    </row>
    <row r="388" spans="13:17" x14ac:dyDescent="0.2">
      <c r="M388" s="27"/>
      <c r="N388" s="27"/>
      <c r="O388" s="27"/>
      <c r="P388" s="27"/>
      <c r="Q388" s="27"/>
    </row>
    <row r="389" spans="13:17" x14ac:dyDescent="0.2">
      <c r="M389" s="27"/>
      <c r="N389" s="27"/>
      <c r="O389" s="27"/>
      <c r="P389" s="27"/>
      <c r="Q389" s="27"/>
    </row>
    <row r="390" spans="13:17" x14ac:dyDescent="0.2">
      <c r="M390" s="27"/>
      <c r="N390" s="27"/>
      <c r="O390" s="27"/>
      <c r="P390" s="27"/>
      <c r="Q390" s="27"/>
    </row>
    <row r="391" spans="13:17" x14ac:dyDescent="0.2">
      <c r="M391" s="27"/>
      <c r="N391" s="27"/>
      <c r="O391" s="27"/>
      <c r="P391" s="27"/>
      <c r="Q391" s="27"/>
    </row>
    <row r="392" spans="13:17" x14ac:dyDescent="0.2">
      <c r="M392" s="27"/>
      <c r="N392" s="27"/>
      <c r="O392" s="27"/>
      <c r="P392" s="27"/>
      <c r="Q392" s="27"/>
    </row>
    <row r="393" spans="13:17" x14ac:dyDescent="0.2">
      <c r="M393" s="27"/>
      <c r="N393" s="27"/>
      <c r="O393" s="27"/>
      <c r="P393" s="27"/>
      <c r="Q393" s="27"/>
    </row>
    <row r="394" spans="13:17" x14ac:dyDescent="0.2">
      <c r="M394" s="27"/>
      <c r="N394" s="27"/>
      <c r="O394" s="27"/>
      <c r="P394" s="27"/>
      <c r="Q394" s="27"/>
    </row>
    <row r="395" spans="13:17" x14ac:dyDescent="0.2">
      <c r="M395" s="27"/>
      <c r="N395" s="27"/>
      <c r="O395" s="27"/>
      <c r="P395" s="27"/>
      <c r="Q395" s="27"/>
    </row>
    <row r="396" spans="13:17" x14ac:dyDescent="0.2">
      <c r="M396" s="27"/>
      <c r="N396" s="27"/>
      <c r="O396" s="27"/>
      <c r="P396" s="27"/>
      <c r="Q396" s="27"/>
    </row>
    <row r="397" spans="13:17" x14ac:dyDescent="0.2">
      <c r="M397" s="27"/>
      <c r="N397" s="27"/>
      <c r="O397" s="27"/>
      <c r="P397" s="27"/>
      <c r="Q397" s="27"/>
    </row>
    <row r="398" spans="13:17" x14ac:dyDescent="0.2">
      <c r="M398" s="27"/>
      <c r="N398" s="27"/>
      <c r="O398" s="27"/>
      <c r="P398" s="27"/>
      <c r="Q398" s="27"/>
    </row>
    <row r="399" spans="13:17" x14ac:dyDescent="0.2">
      <c r="M399" s="27"/>
      <c r="N399" s="27"/>
      <c r="O399" s="27"/>
      <c r="P399" s="27"/>
      <c r="Q399" s="27"/>
    </row>
    <row r="400" spans="13:17" x14ac:dyDescent="0.2">
      <c r="M400" s="27"/>
      <c r="N400" s="27"/>
      <c r="O400" s="27"/>
      <c r="P400" s="27"/>
      <c r="Q400" s="27"/>
    </row>
    <row r="401" spans="13:17" x14ac:dyDescent="0.2">
      <c r="M401" s="27"/>
      <c r="N401" s="27"/>
      <c r="O401" s="27"/>
      <c r="P401" s="27"/>
      <c r="Q401" s="27"/>
    </row>
    <row r="402" spans="13:17" x14ac:dyDescent="0.2">
      <c r="M402" s="27"/>
      <c r="N402" s="27"/>
      <c r="O402" s="27"/>
      <c r="P402" s="27"/>
      <c r="Q402" s="27"/>
    </row>
    <row r="403" spans="13:17" x14ac:dyDescent="0.2">
      <c r="M403" s="27"/>
      <c r="N403" s="27"/>
      <c r="O403" s="27"/>
      <c r="P403" s="27"/>
      <c r="Q403" s="27"/>
    </row>
    <row r="404" spans="13:17" x14ac:dyDescent="0.2">
      <c r="M404" s="27"/>
      <c r="N404" s="27"/>
      <c r="O404" s="27"/>
      <c r="P404" s="27"/>
      <c r="Q404" s="27"/>
    </row>
    <row r="405" spans="13:17" x14ac:dyDescent="0.2">
      <c r="M405" s="27"/>
      <c r="N405" s="27"/>
      <c r="O405" s="27"/>
      <c r="P405" s="27"/>
      <c r="Q405" s="27"/>
    </row>
    <row r="406" spans="13:17" x14ac:dyDescent="0.2">
      <c r="M406" s="27"/>
      <c r="N406" s="27"/>
      <c r="O406" s="27"/>
      <c r="P406" s="27"/>
      <c r="Q406" s="27"/>
    </row>
    <row r="407" spans="13:17" x14ac:dyDescent="0.2">
      <c r="M407" s="27"/>
      <c r="N407" s="27"/>
      <c r="O407" s="27"/>
      <c r="P407" s="27"/>
      <c r="Q407" s="27"/>
    </row>
    <row r="408" spans="13:17" x14ac:dyDescent="0.2">
      <c r="M408" s="27"/>
      <c r="N408" s="27"/>
      <c r="O408" s="27"/>
      <c r="P408" s="27"/>
      <c r="Q408" s="27"/>
    </row>
    <row r="409" spans="13:17" x14ac:dyDescent="0.2">
      <c r="M409" s="27"/>
      <c r="N409" s="27"/>
      <c r="O409" s="27"/>
      <c r="P409" s="27"/>
      <c r="Q409" s="27"/>
    </row>
    <row r="410" spans="13:17" x14ac:dyDescent="0.2">
      <c r="M410" s="27"/>
      <c r="N410" s="27"/>
      <c r="O410" s="27"/>
      <c r="P410" s="27"/>
      <c r="Q410" s="27"/>
    </row>
    <row r="411" spans="13:17" x14ac:dyDescent="0.2">
      <c r="M411" s="27"/>
      <c r="N411" s="27"/>
      <c r="O411" s="27"/>
      <c r="P411" s="27"/>
      <c r="Q411" s="27"/>
    </row>
    <row r="412" spans="13:17" x14ac:dyDescent="0.2">
      <c r="M412" s="27"/>
      <c r="N412" s="27"/>
      <c r="O412" s="27"/>
      <c r="P412" s="27"/>
      <c r="Q412" s="27"/>
    </row>
    <row r="413" spans="13:17" x14ac:dyDescent="0.2">
      <c r="M413" s="27"/>
      <c r="N413" s="27"/>
      <c r="O413" s="27"/>
      <c r="P413" s="27"/>
      <c r="Q413" s="27"/>
    </row>
    <row r="414" spans="13:17" x14ac:dyDescent="0.2">
      <c r="M414" s="27"/>
      <c r="N414" s="27"/>
      <c r="O414" s="27"/>
      <c r="P414" s="27"/>
      <c r="Q414" s="27"/>
    </row>
    <row r="415" spans="13:17" x14ac:dyDescent="0.2">
      <c r="M415" s="27"/>
      <c r="N415" s="27"/>
      <c r="O415" s="27"/>
      <c r="P415" s="27"/>
      <c r="Q415" s="27"/>
    </row>
    <row r="416" spans="13:17" x14ac:dyDescent="0.2">
      <c r="M416" s="27"/>
      <c r="N416" s="27"/>
      <c r="O416" s="27"/>
      <c r="P416" s="27"/>
      <c r="Q416" s="27"/>
    </row>
    <row r="417" spans="13:17" x14ac:dyDescent="0.2">
      <c r="M417" s="27"/>
      <c r="N417" s="27"/>
      <c r="O417" s="27"/>
      <c r="P417" s="27"/>
      <c r="Q417" s="27"/>
    </row>
    <row r="418" spans="13:17" x14ac:dyDescent="0.2">
      <c r="M418" s="27"/>
      <c r="N418" s="27"/>
      <c r="O418" s="27"/>
      <c r="P418" s="27"/>
      <c r="Q418" s="27"/>
    </row>
    <row r="419" spans="13:17" x14ac:dyDescent="0.2">
      <c r="M419" s="27"/>
      <c r="N419" s="27"/>
      <c r="O419" s="27"/>
      <c r="P419" s="27"/>
      <c r="Q419" s="27"/>
    </row>
    <row r="420" spans="13:17" x14ac:dyDescent="0.2">
      <c r="M420" s="27"/>
      <c r="N420" s="27"/>
      <c r="O420" s="27"/>
      <c r="P420" s="27"/>
      <c r="Q420" s="27"/>
    </row>
    <row r="421" spans="13:17" x14ac:dyDescent="0.2">
      <c r="M421" s="27"/>
      <c r="N421" s="27"/>
      <c r="O421" s="27"/>
      <c r="P421" s="27"/>
      <c r="Q421" s="27"/>
    </row>
    <row r="422" spans="13:17" x14ac:dyDescent="0.2">
      <c r="M422" s="27"/>
      <c r="N422" s="27"/>
      <c r="O422" s="27"/>
      <c r="P422" s="27"/>
      <c r="Q422" s="27"/>
    </row>
    <row r="423" spans="13:17" x14ac:dyDescent="0.2">
      <c r="M423" s="27"/>
      <c r="N423" s="27"/>
      <c r="O423" s="27"/>
      <c r="P423" s="27"/>
      <c r="Q423" s="27"/>
    </row>
    <row r="424" spans="13:17" x14ac:dyDescent="0.2">
      <c r="M424" s="27"/>
      <c r="N424" s="27"/>
      <c r="O424" s="27"/>
      <c r="P424" s="27"/>
      <c r="Q424" s="27"/>
    </row>
    <row r="425" spans="13:17" x14ac:dyDescent="0.2">
      <c r="M425" s="27"/>
      <c r="N425" s="27"/>
      <c r="O425" s="27"/>
      <c r="P425" s="27"/>
      <c r="Q425" s="27"/>
    </row>
    <row r="426" spans="13:17" x14ac:dyDescent="0.2">
      <c r="M426" s="27"/>
      <c r="N426" s="27"/>
      <c r="O426" s="27"/>
      <c r="P426" s="27"/>
      <c r="Q426" s="27"/>
    </row>
    <row r="427" spans="13:17" x14ac:dyDescent="0.2">
      <c r="M427" s="27"/>
      <c r="N427" s="27"/>
      <c r="O427" s="27"/>
      <c r="P427" s="27"/>
      <c r="Q427" s="27"/>
    </row>
    <row r="428" spans="13:17" x14ac:dyDescent="0.2">
      <c r="M428" s="27"/>
      <c r="N428" s="27"/>
      <c r="O428" s="27"/>
      <c r="P428" s="27"/>
      <c r="Q428" s="27"/>
    </row>
    <row r="429" spans="13:17" x14ac:dyDescent="0.2">
      <c r="M429" s="27"/>
      <c r="N429" s="27"/>
      <c r="O429" s="27"/>
      <c r="P429" s="27"/>
      <c r="Q429" s="27"/>
    </row>
    <row r="430" spans="13:17" x14ac:dyDescent="0.2">
      <c r="M430" s="27"/>
      <c r="N430" s="27"/>
      <c r="O430" s="27"/>
      <c r="P430" s="27"/>
      <c r="Q430" s="27"/>
    </row>
    <row r="431" spans="13:17" x14ac:dyDescent="0.2">
      <c r="M431" s="27"/>
      <c r="N431" s="27"/>
      <c r="O431" s="27"/>
      <c r="P431" s="27"/>
      <c r="Q431" s="27"/>
    </row>
    <row r="432" spans="13:17" x14ac:dyDescent="0.2">
      <c r="M432" s="27"/>
      <c r="N432" s="27"/>
      <c r="O432" s="27"/>
      <c r="P432" s="27"/>
      <c r="Q432" s="27"/>
    </row>
    <row r="433" spans="13:17" x14ac:dyDescent="0.2">
      <c r="M433" s="27"/>
      <c r="N433" s="27"/>
      <c r="O433" s="27"/>
      <c r="P433" s="27"/>
      <c r="Q433" s="27"/>
    </row>
    <row r="434" spans="13:17" x14ac:dyDescent="0.2">
      <c r="M434" s="27"/>
      <c r="N434" s="27"/>
      <c r="O434" s="27"/>
      <c r="P434" s="27"/>
      <c r="Q434" s="27"/>
    </row>
    <row r="435" spans="13:17" x14ac:dyDescent="0.2">
      <c r="M435" s="27"/>
      <c r="N435" s="27"/>
      <c r="O435" s="27"/>
      <c r="P435" s="27"/>
      <c r="Q435" s="27"/>
    </row>
    <row r="436" spans="13:17" x14ac:dyDescent="0.2">
      <c r="M436" s="27"/>
      <c r="N436" s="27"/>
      <c r="O436" s="27"/>
      <c r="P436" s="27"/>
      <c r="Q436" s="27"/>
    </row>
    <row r="437" spans="13:17" x14ac:dyDescent="0.2">
      <c r="M437" s="27"/>
      <c r="N437" s="27"/>
      <c r="O437" s="27"/>
      <c r="P437" s="27"/>
      <c r="Q437" s="27"/>
    </row>
    <row r="438" spans="13:17" x14ac:dyDescent="0.2">
      <c r="M438" s="27"/>
      <c r="N438" s="27"/>
      <c r="O438" s="27"/>
      <c r="P438" s="27"/>
      <c r="Q438" s="27"/>
    </row>
    <row r="439" spans="13:17" x14ac:dyDescent="0.2">
      <c r="M439" s="27"/>
      <c r="N439" s="27"/>
      <c r="O439" s="27"/>
      <c r="P439" s="27"/>
      <c r="Q439" s="27"/>
    </row>
    <row r="440" spans="13:17" x14ac:dyDescent="0.2">
      <c r="M440" s="27"/>
      <c r="N440" s="27"/>
      <c r="O440" s="27"/>
      <c r="P440" s="27"/>
      <c r="Q440" s="27"/>
    </row>
    <row r="441" spans="13:17" x14ac:dyDescent="0.2">
      <c r="M441" s="27"/>
      <c r="N441" s="27"/>
      <c r="O441" s="27"/>
      <c r="P441" s="27"/>
      <c r="Q441" s="27"/>
    </row>
    <row r="442" spans="13:17" x14ac:dyDescent="0.2">
      <c r="M442" s="27"/>
      <c r="N442" s="27"/>
      <c r="O442" s="27"/>
      <c r="P442" s="27"/>
      <c r="Q442" s="27"/>
    </row>
    <row r="443" spans="13:17" x14ac:dyDescent="0.2">
      <c r="M443" s="27"/>
      <c r="N443" s="27"/>
      <c r="O443" s="27"/>
      <c r="P443" s="27"/>
      <c r="Q443" s="27"/>
    </row>
    <row r="444" spans="13:17" x14ac:dyDescent="0.2">
      <c r="M444" s="27"/>
      <c r="N444" s="27"/>
      <c r="O444" s="27"/>
      <c r="P444" s="27"/>
      <c r="Q444" s="27"/>
    </row>
    <row r="445" spans="13:17" x14ac:dyDescent="0.2">
      <c r="M445" s="27"/>
      <c r="N445" s="27"/>
      <c r="O445" s="27"/>
      <c r="P445" s="27"/>
      <c r="Q445" s="27"/>
    </row>
    <row r="446" spans="13:17" x14ac:dyDescent="0.2">
      <c r="M446" s="27"/>
      <c r="N446" s="27"/>
      <c r="O446" s="27"/>
      <c r="P446" s="27"/>
      <c r="Q446" s="27"/>
    </row>
    <row r="447" spans="13:17" x14ac:dyDescent="0.2">
      <c r="M447" s="27"/>
      <c r="N447" s="27"/>
      <c r="O447" s="27"/>
      <c r="P447" s="27"/>
      <c r="Q447" s="27"/>
    </row>
    <row r="448" spans="13:17" x14ac:dyDescent="0.2">
      <c r="M448" s="27"/>
      <c r="N448" s="27"/>
      <c r="O448" s="27"/>
      <c r="P448" s="27"/>
      <c r="Q448" s="27"/>
    </row>
    <row r="449" spans="13:17" x14ac:dyDescent="0.2">
      <c r="M449" s="27"/>
      <c r="N449" s="27"/>
      <c r="O449" s="27"/>
      <c r="P449" s="27"/>
      <c r="Q449" s="27"/>
    </row>
    <row r="450" spans="13:17" x14ac:dyDescent="0.2">
      <c r="M450" s="27"/>
      <c r="N450" s="27"/>
      <c r="O450" s="27"/>
      <c r="P450" s="27"/>
      <c r="Q450" s="27"/>
    </row>
    <row r="451" spans="13:17" x14ac:dyDescent="0.2">
      <c r="M451" s="27"/>
      <c r="N451" s="27"/>
      <c r="O451" s="27"/>
      <c r="P451" s="27"/>
      <c r="Q451" s="27"/>
    </row>
    <row r="452" spans="13:17" x14ac:dyDescent="0.2">
      <c r="M452" s="27"/>
      <c r="N452" s="27"/>
      <c r="O452" s="27"/>
      <c r="P452" s="27"/>
      <c r="Q452" s="27"/>
    </row>
    <row r="453" spans="13:17" x14ac:dyDescent="0.2">
      <c r="M453" s="27"/>
      <c r="N453" s="27"/>
      <c r="O453" s="27"/>
      <c r="P453" s="27"/>
      <c r="Q453" s="27"/>
    </row>
    <row r="454" spans="13:17" x14ac:dyDescent="0.2">
      <c r="M454" s="27"/>
      <c r="N454" s="27"/>
      <c r="O454" s="27"/>
      <c r="P454" s="27"/>
      <c r="Q454" s="27"/>
    </row>
    <row r="455" spans="13:17" x14ac:dyDescent="0.2">
      <c r="M455" s="27"/>
      <c r="N455" s="27"/>
      <c r="O455" s="27"/>
      <c r="P455" s="27"/>
      <c r="Q455" s="27"/>
    </row>
    <row r="456" spans="13:17" x14ac:dyDescent="0.2">
      <c r="M456" s="27"/>
      <c r="N456" s="27"/>
      <c r="O456" s="27"/>
      <c r="P456" s="27"/>
      <c r="Q456" s="27"/>
    </row>
    <row r="457" spans="13:17" x14ac:dyDescent="0.2">
      <c r="M457" s="27"/>
      <c r="N457" s="27"/>
      <c r="O457" s="27"/>
      <c r="P457" s="27"/>
      <c r="Q457" s="27"/>
    </row>
    <row r="458" spans="13:17" x14ac:dyDescent="0.2">
      <c r="M458" s="27"/>
      <c r="N458" s="27"/>
      <c r="O458" s="27"/>
      <c r="P458" s="27"/>
      <c r="Q458" s="27"/>
    </row>
    <row r="459" spans="13:17" x14ac:dyDescent="0.2">
      <c r="M459" s="27"/>
      <c r="N459" s="27"/>
      <c r="O459" s="27"/>
      <c r="P459" s="27"/>
      <c r="Q459" s="27"/>
    </row>
    <row r="460" spans="13:17" x14ac:dyDescent="0.2">
      <c r="M460" s="27"/>
      <c r="N460" s="27"/>
      <c r="O460" s="27"/>
      <c r="P460" s="27"/>
      <c r="Q460" s="27"/>
    </row>
    <row r="461" spans="13:17" x14ac:dyDescent="0.2">
      <c r="M461" s="27"/>
      <c r="N461" s="27"/>
      <c r="O461" s="27"/>
      <c r="P461" s="27"/>
      <c r="Q461" s="27"/>
    </row>
    <row r="462" spans="13:17" x14ac:dyDescent="0.2">
      <c r="M462" s="27"/>
      <c r="N462" s="27"/>
      <c r="O462" s="27"/>
      <c r="P462" s="27"/>
      <c r="Q462" s="27"/>
    </row>
  </sheetData>
  <mergeCells count="24">
    <mergeCell ref="P5:P6"/>
    <mergeCell ref="Q5:Q6"/>
    <mergeCell ref="W5:W6"/>
    <mergeCell ref="R5:R6"/>
    <mergeCell ref="S5:S6"/>
    <mergeCell ref="T5:T6"/>
    <mergeCell ref="U5:U6"/>
    <mergeCell ref="V5:V6"/>
    <mergeCell ref="P4:T4"/>
    <mergeCell ref="A5:A6"/>
    <mergeCell ref="B5:B6"/>
    <mergeCell ref="C5:C6"/>
    <mergeCell ref="D5:D6"/>
    <mergeCell ref="E5:E6"/>
    <mergeCell ref="F5:F6"/>
    <mergeCell ref="G5:G6"/>
    <mergeCell ref="H5:H6"/>
    <mergeCell ref="I5:I6"/>
    <mergeCell ref="J5:J6"/>
    <mergeCell ref="K5:K6"/>
    <mergeCell ref="L5:L6"/>
    <mergeCell ref="M5:M6"/>
    <mergeCell ref="N5:N6"/>
    <mergeCell ref="O5:O6"/>
  </mergeCells>
  <pageMargins left="0.11811023622047245" right="0.11811023622047245" top="0.35433070866141736" bottom="0.55118110236220474" header="0.31496062992125984" footer="0.31496062992125984"/>
  <pageSetup paperSize="9" scale="35" fitToHeight="0" orientation="landscape" r:id="rId1"/>
  <headerFooter alignWithMargins="0">
    <oddFooter>&amp;R&amp;P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M463"/>
  <sheetViews>
    <sheetView zoomScale="70" zoomScaleNormal="70" workbookViewId="0">
      <pane ySplit="4" topLeftCell="A5" activePane="bottomLeft" state="frozen"/>
      <selection activeCell="J8" sqref="J8"/>
      <selection pane="bottomLeft" activeCell="A6" sqref="A6:XFD6"/>
    </sheetView>
  </sheetViews>
  <sheetFormatPr defaultColWidth="8.85546875" defaultRowHeight="12.75" x14ac:dyDescent="0.2"/>
  <cols>
    <col min="1" max="1" width="5.5703125" style="1" customWidth="1"/>
    <col min="2" max="2" width="23" style="1" customWidth="1"/>
    <col min="3" max="3" width="12.85546875" style="1" bestFit="1" customWidth="1"/>
    <col min="4" max="4" width="12.85546875" style="1" customWidth="1"/>
    <col min="5" max="5" width="15.28515625" style="1" customWidth="1"/>
    <col min="6" max="6" width="9.42578125" style="1" customWidth="1"/>
    <col min="7" max="7" width="16.85546875" style="1" customWidth="1"/>
    <col min="8" max="8" width="39.140625" style="1" customWidth="1"/>
    <col min="9" max="9" width="11" style="1" customWidth="1"/>
    <col min="10" max="10" width="15.7109375" style="1" customWidth="1"/>
    <col min="11" max="11" width="11.7109375" style="1" customWidth="1"/>
    <col min="12" max="12" width="23" style="1" customWidth="1"/>
    <col min="13" max="13" width="10.140625" style="1" customWidth="1"/>
    <col min="14" max="14" width="9.140625" style="1" customWidth="1"/>
    <col min="15" max="15" width="22.140625" style="1" customWidth="1"/>
    <col min="16" max="16" width="16.140625" style="1" customWidth="1"/>
    <col min="17" max="17" width="52.42578125" style="1" customWidth="1"/>
    <col min="18" max="19" width="14.5703125" style="1" customWidth="1"/>
    <col min="20" max="21" width="12" style="1" customWidth="1"/>
    <col min="22" max="22" width="13.5703125" style="1" customWidth="1"/>
    <col min="23" max="23" width="14.5703125" style="1" customWidth="1"/>
    <col min="24" max="24" width="15" style="1" customWidth="1"/>
    <col min="25" max="25" width="32.85546875" style="1" customWidth="1"/>
    <col min="26" max="26" width="26.42578125" style="1" customWidth="1"/>
    <col min="27" max="27" width="37.85546875" style="304" customWidth="1"/>
    <col min="28" max="28" width="8.85546875" style="1"/>
    <col min="29" max="29" width="13" style="1" customWidth="1"/>
    <col min="30" max="32" width="8.85546875" style="1"/>
    <col min="33" max="33" width="10" style="1" bestFit="1" customWidth="1"/>
    <col min="34" max="16384" width="8.85546875" style="1"/>
  </cols>
  <sheetData>
    <row r="1" spans="1:39" ht="13.5" thickBot="1" x14ac:dyDescent="0.25">
      <c r="A1" s="7" t="s">
        <v>177</v>
      </c>
      <c r="B1" s="2"/>
      <c r="C1" s="2"/>
      <c r="D1" s="2"/>
      <c r="E1" s="2"/>
      <c r="F1" s="2"/>
      <c r="G1" s="2"/>
      <c r="H1" s="2"/>
      <c r="I1" s="2"/>
      <c r="AC1" s="2"/>
      <c r="AD1" s="8"/>
      <c r="AE1" s="8"/>
      <c r="AF1" s="9"/>
      <c r="AG1" s="8"/>
      <c r="AH1" s="8"/>
      <c r="AI1" s="8"/>
      <c r="AJ1" s="2"/>
      <c r="AK1" s="2"/>
      <c r="AL1" s="25"/>
      <c r="AM1" s="25"/>
    </row>
    <row r="2" spans="1:39" x14ac:dyDescent="0.2">
      <c r="A2" s="42"/>
      <c r="B2" s="78"/>
      <c r="C2" s="78"/>
      <c r="D2" s="78"/>
      <c r="E2" s="78"/>
      <c r="F2" s="78"/>
      <c r="G2" s="78"/>
      <c r="H2" s="837"/>
      <c r="I2" s="837"/>
      <c r="J2" s="837"/>
      <c r="K2" s="837"/>
      <c r="L2" s="837"/>
      <c r="M2" s="837"/>
      <c r="N2" s="837"/>
      <c r="O2" s="837"/>
      <c r="P2" s="837"/>
      <c r="Q2" s="837"/>
      <c r="R2" s="837"/>
      <c r="S2" s="837"/>
      <c r="T2" s="837"/>
      <c r="U2" s="838"/>
      <c r="V2" s="839"/>
      <c r="W2" s="839"/>
      <c r="X2" s="143"/>
      <c r="Y2" s="143"/>
      <c r="Z2" s="157" t="s">
        <v>56</v>
      </c>
      <c r="AA2" s="407" t="s">
        <v>1484</v>
      </c>
      <c r="AD2" s="8"/>
      <c r="AE2" s="8"/>
      <c r="AF2" s="9"/>
      <c r="AG2" s="8"/>
      <c r="AH2" s="8"/>
      <c r="AI2" s="8"/>
      <c r="AJ2" s="3"/>
      <c r="AK2" s="2"/>
      <c r="AL2" s="25"/>
      <c r="AM2" s="7"/>
    </row>
    <row r="3" spans="1:39" ht="13.5" thickBot="1" x14ac:dyDescent="0.25">
      <c r="A3" s="80"/>
      <c r="B3" s="81"/>
      <c r="C3" s="81"/>
      <c r="D3" s="81"/>
      <c r="E3" s="81"/>
      <c r="F3" s="81"/>
      <c r="G3" s="81"/>
      <c r="H3" s="81"/>
      <c r="I3" s="81"/>
      <c r="J3" s="81"/>
      <c r="K3" s="81"/>
      <c r="L3" s="81"/>
      <c r="M3" s="81"/>
      <c r="N3" s="81"/>
      <c r="O3" s="81"/>
      <c r="P3" s="81"/>
      <c r="Q3" s="81"/>
      <c r="R3" s="840"/>
      <c r="S3" s="840"/>
      <c r="T3" s="840"/>
      <c r="U3" s="143"/>
      <c r="V3" s="78"/>
      <c r="W3" s="78"/>
      <c r="X3" s="78"/>
      <c r="Y3" s="78"/>
      <c r="Z3" s="158" t="s">
        <v>55</v>
      </c>
      <c r="AA3" s="305">
        <v>2020</v>
      </c>
      <c r="AD3" s="127"/>
      <c r="AE3" s="127"/>
      <c r="AF3" s="127"/>
      <c r="AG3" s="127"/>
      <c r="AH3" s="127"/>
      <c r="AI3" s="127"/>
      <c r="AJ3" s="127"/>
      <c r="AK3" s="127"/>
      <c r="AL3" s="127"/>
      <c r="AM3" s="127"/>
    </row>
    <row r="4" spans="1:39" ht="102.95" customHeight="1" thickBot="1" x14ac:dyDescent="0.25">
      <c r="A4" s="128" t="s">
        <v>0</v>
      </c>
      <c r="B4" s="129" t="s">
        <v>178</v>
      </c>
      <c r="C4" s="129" t="s">
        <v>179</v>
      </c>
      <c r="D4" s="129" t="s">
        <v>180</v>
      </c>
      <c r="E4" s="129" t="s">
        <v>65</v>
      </c>
      <c r="F4" s="130" t="s">
        <v>181</v>
      </c>
      <c r="G4" s="95" t="s">
        <v>237</v>
      </c>
      <c r="H4" s="131" t="s">
        <v>243</v>
      </c>
      <c r="I4" s="129" t="s">
        <v>238</v>
      </c>
      <c r="J4" s="132" t="s">
        <v>9</v>
      </c>
      <c r="K4" s="133" t="s">
        <v>182</v>
      </c>
      <c r="L4" s="129" t="s">
        <v>244</v>
      </c>
      <c r="M4" s="129" t="s">
        <v>183</v>
      </c>
      <c r="N4" s="129" t="s">
        <v>184</v>
      </c>
      <c r="O4" s="129" t="s">
        <v>185</v>
      </c>
      <c r="P4" s="129" t="s">
        <v>245</v>
      </c>
      <c r="Q4" s="134" t="s">
        <v>4</v>
      </c>
      <c r="R4" s="298" t="s">
        <v>186</v>
      </c>
      <c r="S4" s="298" t="s">
        <v>265</v>
      </c>
      <c r="T4" s="298" t="s">
        <v>187</v>
      </c>
      <c r="U4" s="299" t="s">
        <v>188</v>
      </c>
      <c r="V4" s="298" t="s">
        <v>266</v>
      </c>
      <c r="W4" s="298" t="s">
        <v>267</v>
      </c>
      <c r="X4" s="300" t="s">
        <v>268</v>
      </c>
      <c r="Y4" s="301" t="s">
        <v>246</v>
      </c>
      <c r="Z4" s="301" t="s">
        <v>247</v>
      </c>
      <c r="AA4" s="302" t="s">
        <v>154</v>
      </c>
      <c r="AB4" s="135"/>
      <c r="AC4" s="136"/>
      <c r="AD4" s="137"/>
      <c r="AE4" s="137"/>
      <c r="AF4" s="135"/>
      <c r="AG4" s="135"/>
      <c r="AH4" s="135"/>
      <c r="AI4" s="135"/>
      <c r="AJ4" s="135"/>
      <c r="AK4" s="135"/>
    </row>
    <row r="5" spans="1:39" s="4" customFormat="1" ht="51" x14ac:dyDescent="0.3">
      <c r="A5" s="459" t="s">
        <v>645</v>
      </c>
      <c r="B5" s="460" t="s">
        <v>646</v>
      </c>
      <c r="C5" s="460" t="s">
        <v>647</v>
      </c>
      <c r="D5" s="460" t="s">
        <v>6</v>
      </c>
      <c r="E5" s="460" t="s">
        <v>77</v>
      </c>
      <c r="F5" s="460" t="s">
        <v>6</v>
      </c>
      <c r="G5" s="460" t="s">
        <v>195</v>
      </c>
      <c r="H5" s="460" t="s">
        <v>648</v>
      </c>
      <c r="I5" s="459" t="s">
        <v>649</v>
      </c>
      <c r="J5" s="459" t="s">
        <v>650</v>
      </c>
      <c r="K5" s="459"/>
      <c r="L5" s="459" t="s">
        <v>651</v>
      </c>
      <c r="M5" s="461"/>
      <c r="N5" s="461"/>
      <c r="O5" s="461"/>
      <c r="P5" s="461"/>
      <c r="Q5" s="470" t="s">
        <v>1705</v>
      </c>
      <c r="R5" s="297" t="s">
        <v>1710</v>
      </c>
      <c r="S5" s="297" t="s">
        <v>6</v>
      </c>
      <c r="T5" s="297"/>
      <c r="U5" s="297"/>
      <c r="V5" s="297"/>
      <c r="W5" s="297" t="s">
        <v>6</v>
      </c>
      <c r="X5" s="297" t="s">
        <v>6</v>
      </c>
      <c r="Y5" s="413"/>
      <c r="Z5" s="413"/>
      <c r="AA5" s="303" t="s">
        <v>1711</v>
      </c>
      <c r="AC5" s="408"/>
      <c r="AD5" s="137"/>
      <c r="AE5" s="137"/>
      <c r="AF5" s="135"/>
      <c r="AH5" s="135"/>
      <c r="AI5" s="135"/>
      <c r="AJ5" s="135"/>
      <c r="AK5" s="135"/>
    </row>
    <row r="6" spans="1:39" s="4" customFormat="1" ht="77.25" customHeight="1" x14ac:dyDescent="0.3">
      <c r="A6" s="584" t="s">
        <v>276</v>
      </c>
      <c r="B6" s="473" t="s">
        <v>652</v>
      </c>
      <c r="C6" s="473" t="s">
        <v>653</v>
      </c>
      <c r="D6" s="473" t="s">
        <v>6</v>
      </c>
      <c r="E6" s="473" t="s">
        <v>77</v>
      </c>
      <c r="F6" s="473" t="s">
        <v>6</v>
      </c>
      <c r="G6" s="473" t="s">
        <v>195</v>
      </c>
      <c r="H6" s="473" t="s">
        <v>654</v>
      </c>
      <c r="I6" s="473" t="s">
        <v>655</v>
      </c>
      <c r="J6" s="473" t="s">
        <v>650</v>
      </c>
      <c r="K6" s="824">
        <v>47</v>
      </c>
      <c r="L6" s="473" t="s">
        <v>656</v>
      </c>
      <c r="M6" s="473">
        <v>170</v>
      </c>
      <c r="N6" s="824" t="s">
        <v>657</v>
      </c>
      <c r="O6" s="824" t="s">
        <v>658</v>
      </c>
      <c r="P6" s="824" t="s">
        <v>659</v>
      </c>
      <c r="Q6" s="834"/>
      <c r="R6" s="297" t="s">
        <v>684</v>
      </c>
      <c r="S6" s="297" t="s">
        <v>7</v>
      </c>
      <c r="T6" s="297">
        <v>47</v>
      </c>
      <c r="U6" s="297">
        <v>126</v>
      </c>
      <c r="V6" s="297" t="s">
        <v>6</v>
      </c>
      <c r="W6" s="297" t="s">
        <v>6</v>
      </c>
      <c r="X6" s="297" t="s">
        <v>6</v>
      </c>
      <c r="Y6" s="621" t="s">
        <v>150</v>
      </c>
      <c r="Z6" s="413"/>
      <c r="AA6" s="303" t="s">
        <v>1730</v>
      </c>
      <c r="AB6" s="135" t="str">
        <f>IF(OR( T6&gt;(K6/90), T6&lt;(K6*1.5), T6&lt;(K6/90), T6&gt;(K6*1.5)),"", "X")</f>
        <v/>
      </c>
      <c r="AD6" s="137"/>
      <c r="AE6" s="137"/>
      <c r="AF6" s="135"/>
      <c r="AG6" s="624"/>
      <c r="AH6" s="135"/>
      <c r="AI6" s="135"/>
      <c r="AJ6" s="135"/>
      <c r="AK6" s="135"/>
    </row>
    <row r="7" spans="1:39" s="4" customFormat="1" ht="38.25" x14ac:dyDescent="0.3">
      <c r="A7" s="584" t="s">
        <v>276</v>
      </c>
      <c r="B7" s="473" t="s">
        <v>652</v>
      </c>
      <c r="C7" s="473" t="s">
        <v>653</v>
      </c>
      <c r="D7" s="473" t="s">
        <v>6</v>
      </c>
      <c r="E7" s="473" t="s">
        <v>77</v>
      </c>
      <c r="F7" s="473" t="s">
        <v>6</v>
      </c>
      <c r="G7" s="473" t="s">
        <v>195</v>
      </c>
      <c r="H7" s="473" t="s">
        <v>654</v>
      </c>
      <c r="I7" s="473" t="s">
        <v>655</v>
      </c>
      <c r="J7" s="473" t="s">
        <v>650</v>
      </c>
      <c r="K7" s="825"/>
      <c r="L7" s="473" t="s">
        <v>660</v>
      </c>
      <c r="M7" s="473">
        <v>170</v>
      </c>
      <c r="N7" s="825"/>
      <c r="O7" s="825"/>
      <c r="P7" s="825"/>
      <c r="Q7" s="835"/>
      <c r="R7" s="297" t="s">
        <v>684</v>
      </c>
      <c r="S7" s="297" t="s">
        <v>7</v>
      </c>
      <c r="T7" s="297">
        <v>47</v>
      </c>
      <c r="U7" s="297">
        <v>126</v>
      </c>
      <c r="V7" s="297" t="s">
        <v>6</v>
      </c>
      <c r="W7" s="297" t="s">
        <v>6</v>
      </c>
      <c r="X7" s="297" t="s">
        <v>6</v>
      </c>
      <c r="Y7" s="413"/>
      <c r="Z7" s="413"/>
      <c r="AA7" s="303" t="s">
        <v>1731</v>
      </c>
      <c r="AB7" s="135" t="str">
        <f t="shared" ref="AB7:AB27" si="0">IF(OR( T7&gt;(K7/90), T7&lt;(K7*1.5), T7&lt;(K7/90), T7&gt;(K7*1.5)),"", "X")</f>
        <v/>
      </c>
      <c r="AC7" s="136"/>
      <c r="AD7" s="137"/>
      <c r="AE7" s="137"/>
      <c r="AF7" s="135"/>
      <c r="AG7" s="624"/>
      <c r="AH7" s="137"/>
      <c r="AI7" s="135"/>
      <c r="AJ7" s="135"/>
      <c r="AK7" s="135"/>
    </row>
    <row r="8" spans="1:39" s="5" customFormat="1" ht="34.5" customHeight="1" x14ac:dyDescent="0.3">
      <c r="A8" s="584" t="s">
        <v>276</v>
      </c>
      <c r="B8" s="473" t="s">
        <v>652</v>
      </c>
      <c r="C8" s="473" t="s">
        <v>653</v>
      </c>
      <c r="D8" s="473" t="s">
        <v>6</v>
      </c>
      <c r="E8" s="473" t="s">
        <v>77</v>
      </c>
      <c r="F8" s="473" t="s">
        <v>6</v>
      </c>
      <c r="G8" s="473" t="s">
        <v>195</v>
      </c>
      <c r="H8" s="473" t="s">
        <v>654</v>
      </c>
      <c r="I8" s="473" t="s">
        <v>655</v>
      </c>
      <c r="J8" s="473" t="s">
        <v>650</v>
      </c>
      <c r="K8" s="825"/>
      <c r="L8" s="473" t="s">
        <v>661</v>
      </c>
      <c r="M8" s="473">
        <v>170</v>
      </c>
      <c r="N8" s="826"/>
      <c r="O8" s="826"/>
      <c r="P8" s="826"/>
      <c r="Q8" s="836"/>
      <c r="R8" s="297" t="s">
        <v>684</v>
      </c>
      <c r="S8" s="297" t="s">
        <v>7</v>
      </c>
      <c r="T8" s="297">
        <v>47</v>
      </c>
      <c r="U8" s="297">
        <v>126</v>
      </c>
      <c r="V8" s="297" t="s">
        <v>6</v>
      </c>
      <c r="W8" s="297" t="s">
        <v>6</v>
      </c>
      <c r="X8" s="297" t="s">
        <v>6</v>
      </c>
      <c r="Y8" s="413"/>
      <c r="Z8" s="413"/>
      <c r="AA8" s="303" t="s">
        <v>1731</v>
      </c>
      <c r="AB8" s="135" t="str">
        <f t="shared" si="0"/>
        <v/>
      </c>
      <c r="AG8" s="624"/>
      <c r="AH8" s="137"/>
      <c r="AI8" s="135"/>
    </row>
    <row r="9" spans="1:39" ht="25.5" x14ac:dyDescent="0.3">
      <c r="A9" s="462" t="s">
        <v>276</v>
      </c>
      <c r="B9" s="460" t="s">
        <v>662</v>
      </c>
      <c r="C9" s="460"/>
      <c r="D9" s="460" t="s">
        <v>6</v>
      </c>
      <c r="E9" s="460" t="s">
        <v>77</v>
      </c>
      <c r="F9" s="460" t="s">
        <v>6</v>
      </c>
      <c r="G9" s="463" t="s">
        <v>195</v>
      </c>
      <c r="H9" s="460" t="s">
        <v>663</v>
      </c>
      <c r="I9" s="460" t="s">
        <v>664</v>
      </c>
      <c r="J9" s="460" t="s">
        <v>650</v>
      </c>
      <c r="K9" s="460">
        <v>20</v>
      </c>
      <c r="L9" s="460" t="s">
        <v>665</v>
      </c>
      <c r="M9" s="471">
        <v>1800</v>
      </c>
      <c r="N9" s="824"/>
      <c r="O9" s="824" t="s">
        <v>666</v>
      </c>
      <c r="P9" s="824" t="s">
        <v>667</v>
      </c>
      <c r="Q9" s="824" t="s">
        <v>1578</v>
      </c>
      <c r="R9" s="213" t="s">
        <v>684</v>
      </c>
      <c r="S9" s="213" t="s">
        <v>7</v>
      </c>
      <c r="T9" s="213">
        <v>0</v>
      </c>
      <c r="U9" s="213">
        <v>0</v>
      </c>
      <c r="V9" s="213" t="s">
        <v>77</v>
      </c>
      <c r="W9" s="213" t="s">
        <v>77</v>
      </c>
      <c r="X9" s="213" t="s">
        <v>77</v>
      </c>
      <c r="Y9" s="621" t="s">
        <v>150</v>
      </c>
      <c r="Z9" s="621" t="s">
        <v>150</v>
      </c>
      <c r="AA9" s="303" t="s">
        <v>1706</v>
      </c>
      <c r="AB9" s="135" t="str">
        <f t="shared" si="0"/>
        <v/>
      </c>
      <c r="AG9" s="412"/>
      <c r="AH9" s="135"/>
      <c r="AI9" s="135"/>
    </row>
    <row r="10" spans="1:39" ht="25.5" x14ac:dyDescent="0.3">
      <c r="A10" s="462" t="s">
        <v>276</v>
      </c>
      <c r="B10" s="460" t="s">
        <v>662</v>
      </c>
      <c r="C10" s="460"/>
      <c r="D10" s="460" t="s">
        <v>6</v>
      </c>
      <c r="E10" s="460" t="s">
        <v>77</v>
      </c>
      <c r="F10" s="460" t="s">
        <v>6</v>
      </c>
      <c r="G10" s="463" t="s">
        <v>195</v>
      </c>
      <c r="H10" s="460" t="s">
        <v>663</v>
      </c>
      <c r="I10" s="460" t="s">
        <v>664</v>
      </c>
      <c r="J10" s="460" t="s">
        <v>650</v>
      </c>
      <c r="K10" s="460"/>
      <c r="L10" s="460" t="s">
        <v>656</v>
      </c>
      <c r="M10" s="471">
        <v>10</v>
      </c>
      <c r="N10" s="825"/>
      <c r="O10" s="825"/>
      <c r="P10" s="825"/>
      <c r="Q10" s="825"/>
      <c r="R10" s="213" t="s">
        <v>684</v>
      </c>
      <c r="S10" s="213" t="s">
        <v>7</v>
      </c>
      <c r="T10" s="213">
        <v>0</v>
      </c>
      <c r="U10" s="213">
        <v>0</v>
      </c>
      <c r="V10" s="213" t="s">
        <v>77</v>
      </c>
      <c r="W10" s="213" t="s">
        <v>77</v>
      </c>
      <c r="X10" s="213" t="s">
        <v>77</v>
      </c>
      <c r="Y10" s="621" t="s">
        <v>150</v>
      </c>
      <c r="Z10" s="621" t="s">
        <v>150</v>
      </c>
      <c r="AA10" s="303" t="s">
        <v>1706</v>
      </c>
      <c r="AB10" s="135"/>
      <c r="AG10" s="412"/>
      <c r="AH10" s="135"/>
      <c r="AI10" s="135"/>
    </row>
    <row r="11" spans="1:39" ht="25.5" x14ac:dyDescent="0.3">
      <c r="A11" s="462" t="s">
        <v>276</v>
      </c>
      <c r="B11" s="460" t="s">
        <v>662</v>
      </c>
      <c r="C11" s="460"/>
      <c r="D11" s="460" t="s">
        <v>6</v>
      </c>
      <c r="E11" s="460" t="s">
        <v>77</v>
      </c>
      <c r="F11" s="460" t="s">
        <v>6</v>
      </c>
      <c r="G11" s="463" t="s">
        <v>195</v>
      </c>
      <c r="H11" s="460" t="s">
        <v>663</v>
      </c>
      <c r="I11" s="460" t="s">
        <v>664</v>
      </c>
      <c r="J11" s="460" t="s">
        <v>650</v>
      </c>
      <c r="K11" s="460"/>
      <c r="L11" s="460" t="s">
        <v>660</v>
      </c>
      <c r="M11" s="471">
        <v>20</v>
      </c>
      <c r="N11" s="826"/>
      <c r="O11" s="826"/>
      <c r="P11" s="826"/>
      <c r="Q11" s="826"/>
      <c r="R11" s="213" t="s">
        <v>684</v>
      </c>
      <c r="S11" s="213" t="s">
        <v>7</v>
      </c>
      <c r="T11" s="213">
        <v>0</v>
      </c>
      <c r="U11" s="213">
        <v>0</v>
      </c>
      <c r="V11" s="213" t="s">
        <v>77</v>
      </c>
      <c r="W11" s="213" t="s">
        <v>77</v>
      </c>
      <c r="X11" s="213" t="s">
        <v>77</v>
      </c>
      <c r="Y11" s="621" t="s">
        <v>150</v>
      </c>
      <c r="Z11" s="621" t="s">
        <v>150</v>
      </c>
      <c r="AA11" s="303" t="s">
        <v>1706</v>
      </c>
      <c r="AB11" s="135"/>
      <c r="AG11" s="412"/>
      <c r="AH11" s="135"/>
      <c r="AI11" s="135"/>
    </row>
    <row r="12" spans="1:39" ht="49.5" customHeight="1" x14ac:dyDescent="0.3">
      <c r="A12" s="462" t="s">
        <v>645</v>
      </c>
      <c r="B12" s="460" t="s">
        <v>668</v>
      </c>
      <c r="C12" s="460" t="s">
        <v>669</v>
      </c>
      <c r="D12" s="460" t="s">
        <v>6</v>
      </c>
      <c r="E12" s="460" t="s">
        <v>77</v>
      </c>
      <c r="F12" s="460" t="s">
        <v>6</v>
      </c>
      <c r="G12" s="460" t="s">
        <v>195</v>
      </c>
      <c r="H12" s="460" t="s">
        <v>1579</v>
      </c>
      <c r="I12" s="460" t="s">
        <v>670</v>
      </c>
      <c r="J12" s="460" t="s">
        <v>671</v>
      </c>
      <c r="K12" s="824">
        <v>40</v>
      </c>
      <c r="L12" s="460" t="s">
        <v>672</v>
      </c>
      <c r="M12" s="460">
        <v>240</v>
      </c>
      <c r="N12" s="824"/>
      <c r="O12" s="824" t="s">
        <v>673</v>
      </c>
      <c r="P12" s="824" t="s">
        <v>674</v>
      </c>
      <c r="Q12" s="824" t="s">
        <v>1580</v>
      </c>
      <c r="R12" s="213" t="s">
        <v>684</v>
      </c>
      <c r="S12" s="306" t="s">
        <v>7</v>
      </c>
      <c r="T12" s="306">
        <v>20</v>
      </c>
      <c r="U12" s="306">
        <v>253</v>
      </c>
      <c r="V12" s="306" t="s">
        <v>6</v>
      </c>
      <c r="W12" s="306" t="s">
        <v>6</v>
      </c>
      <c r="X12" s="306" t="s">
        <v>6</v>
      </c>
      <c r="Y12" s="413"/>
      <c r="Z12" s="413"/>
      <c r="AA12" s="303" t="s">
        <v>1707</v>
      </c>
      <c r="AB12" s="135" t="str">
        <f t="shared" si="0"/>
        <v/>
      </c>
      <c r="AG12" s="412"/>
      <c r="AH12" s="137"/>
      <c r="AI12" s="135"/>
    </row>
    <row r="13" spans="1:39" ht="38.25" x14ac:dyDescent="0.3">
      <c r="A13" s="462" t="s">
        <v>276</v>
      </c>
      <c r="B13" s="460" t="s">
        <v>675</v>
      </c>
      <c r="C13" s="460" t="s">
        <v>669</v>
      </c>
      <c r="D13" s="460" t="s">
        <v>6</v>
      </c>
      <c r="E13" s="460" t="s">
        <v>77</v>
      </c>
      <c r="F13" s="460" t="s">
        <v>6</v>
      </c>
      <c r="G13" s="460" t="s">
        <v>195</v>
      </c>
      <c r="H13" s="460" t="s">
        <v>1581</v>
      </c>
      <c r="I13" s="460" t="s">
        <v>670</v>
      </c>
      <c r="J13" s="460" t="s">
        <v>671</v>
      </c>
      <c r="K13" s="826"/>
      <c r="L13" s="460" t="s">
        <v>676</v>
      </c>
      <c r="M13" s="460">
        <v>10</v>
      </c>
      <c r="N13" s="826"/>
      <c r="O13" s="826"/>
      <c r="P13" s="826"/>
      <c r="Q13" s="826"/>
      <c r="R13" s="213" t="s">
        <v>684</v>
      </c>
      <c r="S13" s="306" t="s">
        <v>7</v>
      </c>
      <c r="T13" s="306">
        <v>20</v>
      </c>
      <c r="U13" s="306">
        <v>7</v>
      </c>
      <c r="V13" s="306" t="s">
        <v>6</v>
      </c>
      <c r="W13" s="306" t="s">
        <v>6</v>
      </c>
      <c r="X13" s="306" t="s">
        <v>6</v>
      </c>
      <c r="Y13" s="413"/>
      <c r="Z13" s="413"/>
      <c r="AA13" s="303" t="s">
        <v>1707</v>
      </c>
      <c r="AB13" s="135" t="str">
        <f t="shared" si="0"/>
        <v/>
      </c>
      <c r="AG13" s="412"/>
      <c r="AH13" s="137"/>
      <c r="AI13" s="137"/>
    </row>
    <row r="14" spans="1:39" ht="38.25" x14ac:dyDescent="0.3">
      <c r="A14" s="462" t="s">
        <v>276</v>
      </c>
      <c r="B14" s="460" t="s">
        <v>677</v>
      </c>
      <c r="C14" s="460"/>
      <c r="D14" s="460" t="s">
        <v>6</v>
      </c>
      <c r="E14" s="460" t="s">
        <v>77</v>
      </c>
      <c r="F14" s="460" t="s">
        <v>6</v>
      </c>
      <c r="G14" s="460" t="s">
        <v>195</v>
      </c>
      <c r="H14" s="460" t="s">
        <v>678</v>
      </c>
      <c r="I14" s="466" t="s">
        <v>679</v>
      </c>
      <c r="J14" s="463" t="s">
        <v>650</v>
      </c>
      <c r="K14" s="824">
        <v>40</v>
      </c>
      <c r="L14" s="463" t="s">
        <v>665</v>
      </c>
      <c r="M14" s="463">
        <v>5000</v>
      </c>
      <c r="N14" s="824" t="s">
        <v>1725</v>
      </c>
      <c r="O14" s="824" t="s">
        <v>666</v>
      </c>
      <c r="P14" s="824" t="s">
        <v>680</v>
      </c>
      <c r="Q14" s="824" t="s">
        <v>1582</v>
      </c>
      <c r="R14" s="213" t="s">
        <v>684</v>
      </c>
      <c r="S14" s="213" t="s">
        <v>7</v>
      </c>
      <c r="T14" s="213">
        <v>40</v>
      </c>
      <c r="U14" s="213">
        <v>5000</v>
      </c>
      <c r="V14" s="213" t="s">
        <v>6</v>
      </c>
      <c r="W14" s="213" t="s">
        <v>6</v>
      </c>
      <c r="X14" s="213" t="s">
        <v>6</v>
      </c>
      <c r="Y14" s="413"/>
      <c r="Z14" s="413"/>
      <c r="AA14" s="622"/>
      <c r="AB14" s="135" t="str">
        <f t="shared" si="0"/>
        <v/>
      </c>
      <c r="AG14" s="412"/>
    </row>
    <row r="15" spans="1:39" ht="38.25" x14ac:dyDescent="0.3">
      <c r="A15" s="462"/>
      <c r="B15" s="460" t="s">
        <v>677</v>
      </c>
      <c r="C15" s="473"/>
      <c r="D15" s="460" t="s">
        <v>6</v>
      </c>
      <c r="E15" s="460" t="s">
        <v>77</v>
      </c>
      <c r="F15" s="460" t="s">
        <v>6</v>
      </c>
      <c r="G15" s="460" t="s">
        <v>195</v>
      </c>
      <c r="H15" s="460" t="s">
        <v>678</v>
      </c>
      <c r="I15" s="466" t="s">
        <v>679</v>
      </c>
      <c r="J15" s="463" t="s">
        <v>650</v>
      </c>
      <c r="K15" s="825"/>
      <c r="L15" s="463" t="s">
        <v>656</v>
      </c>
      <c r="M15" s="463">
        <v>30</v>
      </c>
      <c r="N15" s="825"/>
      <c r="O15" s="825"/>
      <c r="P15" s="825"/>
      <c r="Q15" s="825"/>
      <c r="R15" s="213" t="s">
        <v>684</v>
      </c>
      <c r="S15" s="213" t="s">
        <v>7</v>
      </c>
      <c r="T15" s="213">
        <v>40</v>
      </c>
      <c r="U15" s="213">
        <v>35</v>
      </c>
      <c r="V15" s="213" t="s">
        <v>6</v>
      </c>
      <c r="W15" s="213" t="s">
        <v>6</v>
      </c>
      <c r="X15" s="213" t="s">
        <v>6</v>
      </c>
      <c r="Y15" s="413"/>
      <c r="Z15" s="413"/>
      <c r="AA15" s="622" t="s">
        <v>1708</v>
      </c>
      <c r="AB15" s="135" t="str">
        <f t="shared" si="0"/>
        <v/>
      </c>
      <c r="AG15" s="412"/>
    </row>
    <row r="16" spans="1:39" ht="38.25" x14ac:dyDescent="0.3">
      <c r="A16" s="462"/>
      <c r="B16" s="460" t="s">
        <v>677</v>
      </c>
      <c r="C16" s="473"/>
      <c r="D16" s="460" t="s">
        <v>6</v>
      </c>
      <c r="E16" s="460" t="s">
        <v>77</v>
      </c>
      <c r="F16" s="460" t="s">
        <v>6</v>
      </c>
      <c r="G16" s="460" t="s">
        <v>195</v>
      </c>
      <c r="H16" s="460" t="s">
        <v>678</v>
      </c>
      <c r="I16" s="466" t="s">
        <v>679</v>
      </c>
      <c r="J16" s="463" t="s">
        <v>650</v>
      </c>
      <c r="K16" s="826"/>
      <c r="L16" s="463" t="s">
        <v>660</v>
      </c>
      <c r="M16" s="463">
        <v>60</v>
      </c>
      <c r="N16" s="826"/>
      <c r="O16" s="826"/>
      <c r="P16" s="826"/>
      <c r="Q16" s="826"/>
      <c r="R16" s="213" t="s">
        <v>684</v>
      </c>
      <c r="S16" s="213" t="s">
        <v>7</v>
      </c>
      <c r="T16" s="213">
        <v>40</v>
      </c>
      <c r="U16" s="213">
        <v>76</v>
      </c>
      <c r="V16" s="213" t="s">
        <v>6</v>
      </c>
      <c r="W16" s="213" t="s">
        <v>6</v>
      </c>
      <c r="X16" s="213" t="s">
        <v>6</v>
      </c>
      <c r="Y16" s="413"/>
      <c r="Z16" s="413"/>
      <c r="AA16" s="622" t="s">
        <v>1709</v>
      </c>
      <c r="AB16" s="135" t="str">
        <f t="shared" si="0"/>
        <v/>
      </c>
      <c r="AG16" s="412"/>
    </row>
    <row r="17" spans="1:33" ht="102" x14ac:dyDescent="0.3">
      <c r="A17" s="462" t="s">
        <v>276</v>
      </c>
      <c r="B17" s="460" t="s">
        <v>677</v>
      </c>
      <c r="C17" s="473"/>
      <c r="D17" s="460" t="s">
        <v>6</v>
      </c>
      <c r="E17" s="460" t="s">
        <v>77</v>
      </c>
      <c r="F17" s="460" t="s">
        <v>6</v>
      </c>
      <c r="G17" s="460" t="s">
        <v>195</v>
      </c>
      <c r="H17" s="460" t="s">
        <v>678</v>
      </c>
      <c r="I17" s="466" t="s">
        <v>679</v>
      </c>
      <c r="J17" s="463" t="s">
        <v>650</v>
      </c>
      <c r="K17" s="824">
        <v>20</v>
      </c>
      <c r="L17" s="463" t="s">
        <v>665</v>
      </c>
      <c r="M17" s="463">
        <v>2000</v>
      </c>
      <c r="N17" s="824" t="s">
        <v>1726</v>
      </c>
      <c r="O17" s="824" t="s">
        <v>666</v>
      </c>
      <c r="P17" s="824" t="s">
        <v>680</v>
      </c>
      <c r="Q17" s="824" t="s">
        <v>681</v>
      </c>
      <c r="R17" s="213" t="s">
        <v>684</v>
      </c>
      <c r="S17" s="213" t="s">
        <v>7</v>
      </c>
      <c r="T17" s="213">
        <v>20</v>
      </c>
      <c r="U17" s="213">
        <v>2235</v>
      </c>
      <c r="V17" s="213" t="s">
        <v>6</v>
      </c>
      <c r="W17" s="213" t="s">
        <v>6</v>
      </c>
      <c r="X17" s="213" t="s">
        <v>6</v>
      </c>
      <c r="Y17" s="413"/>
      <c r="Z17" s="621"/>
      <c r="AA17" s="622" t="s">
        <v>1727</v>
      </c>
      <c r="AB17" s="135" t="str">
        <f t="shared" si="0"/>
        <v/>
      </c>
      <c r="AG17" s="412"/>
    </row>
    <row r="18" spans="1:33" ht="38.25" x14ac:dyDescent="0.3">
      <c r="A18" s="462" t="s">
        <v>276</v>
      </c>
      <c r="B18" s="460" t="s">
        <v>677</v>
      </c>
      <c r="C18" s="473"/>
      <c r="D18" s="460" t="s">
        <v>6</v>
      </c>
      <c r="E18" s="460" t="s">
        <v>77</v>
      </c>
      <c r="F18" s="460" t="s">
        <v>6</v>
      </c>
      <c r="G18" s="460" t="s">
        <v>195</v>
      </c>
      <c r="H18" s="460" t="s">
        <v>678</v>
      </c>
      <c r="I18" s="466" t="s">
        <v>679</v>
      </c>
      <c r="J18" s="463" t="s">
        <v>650</v>
      </c>
      <c r="K18" s="825"/>
      <c r="L18" s="463" t="s">
        <v>656</v>
      </c>
      <c r="M18" s="463">
        <v>10</v>
      </c>
      <c r="N18" s="825"/>
      <c r="O18" s="825"/>
      <c r="P18" s="825"/>
      <c r="Q18" s="825"/>
      <c r="R18" s="213" t="s">
        <v>684</v>
      </c>
      <c r="S18" s="213" t="s">
        <v>7</v>
      </c>
      <c r="T18" s="213">
        <v>20</v>
      </c>
      <c r="U18" s="213">
        <v>17</v>
      </c>
      <c r="V18" s="213" t="s">
        <v>6</v>
      </c>
      <c r="W18" s="213" t="s">
        <v>6</v>
      </c>
      <c r="X18" s="213" t="s">
        <v>6</v>
      </c>
      <c r="Y18" s="621" t="s">
        <v>150</v>
      </c>
      <c r="Z18" s="621"/>
      <c r="AA18" s="622" t="s">
        <v>1708</v>
      </c>
      <c r="AB18" s="135" t="str">
        <f t="shared" si="0"/>
        <v/>
      </c>
      <c r="AG18" s="412"/>
    </row>
    <row r="19" spans="1:33" ht="38.25" x14ac:dyDescent="0.3">
      <c r="A19" s="462" t="s">
        <v>276</v>
      </c>
      <c r="B19" s="460" t="s">
        <v>677</v>
      </c>
      <c r="C19" s="473"/>
      <c r="D19" s="460" t="s">
        <v>6</v>
      </c>
      <c r="E19" s="460" t="s">
        <v>77</v>
      </c>
      <c r="F19" s="460" t="s">
        <v>6</v>
      </c>
      <c r="G19" s="460" t="s">
        <v>195</v>
      </c>
      <c r="H19" s="460" t="s">
        <v>678</v>
      </c>
      <c r="I19" s="466" t="s">
        <v>679</v>
      </c>
      <c r="J19" s="463" t="s">
        <v>650</v>
      </c>
      <c r="K19" s="826"/>
      <c r="L19" s="463" t="s">
        <v>660</v>
      </c>
      <c r="M19" s="463">
        <v>20</v>
      </c>
      <c r="N19" s="826"/>
      <c r="O19" s="826"/>
      <c r="P19" s="826"/>
      <c r="Q19" s="826"/>
      <c r="R19" s="213" t="s">
        <v>684</v>
      </c>
      <c r="S19" s="213" t="s">
        <v>7</v>
      </c>
      <c r="T19" s="213">
        <v>20</v>
      </c>
      <c r="U19" s="213">
        <v>45</v>
      </c>
      <c r="V19" s="213" t="s">
        <v>6</v>
      </c>
      <c r="W19" s="213" t="s">
        <v>6</v>
      </c>
      <c r="X19" s="213" t="s">
        <v>6</v>
      </c>
      <c r="Y19" s="621" t="s">
        <v>150</v>
      </c>
      <c r="Z19" s="621"/>
      <c r="AA19" s="622" t="s">
        <v>1709</v>
      </c>
      <c r="AB19" s="135" t="str">
        <f t="shared" si="0"/>
        <v/>
      </c>
      <c r="AG19" s="412"/>
    </row>
    <row r="20" spans="1:33" ht="64.5" customHeight="1" x14ac:dyDescent="0.3">
      <c r="A20" s="462" t="s">
        <v>276</v>
      </c>
      <c r="B20" s="460" t="s">
        <v>682</v>
      </c>
      <c r="C20" s="460" t="s">
        <v>683</v>
      </c>
      <c r="D20" s="460" t="s">
        <v>6</v>
      </c>
      <c r="E20" s="460" t="s">
        <v>77</v>
      </c>
      <c r="F20" s="460" t="s">
        <v>6</v>
      </c>
      <c r="G20" s="460" t="s">
        <v>684</v>
      </c>
      <c r="H20" s="460" t="s">
        <v>384</v>
      </c>
      <c r="I20" s="824" t="s">
        <v>685</v>
      </c>
      <c r="J20" s="833" t="s">
        <v>650</v>
      </c>
      <c r="K20" s="827">
        <v>33</v>
      </c>
      <c r="L20" s="830" t="s">
        <v>686</v>
      </c>
      <c r="M20" s="830">
        <v>280</v>
      </c>
      <c r="N20" s="824" t="s">
        <v>1728</v>
      </c>
      <c r="O20" s="824" t="s">
        <v>687</v>
      </c>
      <c r="P20" s="824" t="s">
        <v>688</v>
      </c>
      <c r="Q20" s="821" t="s">
        <v>689</v>
      </c>
      <c r="R20" s="213" t="s">
        <v>684</v>
      </c>
      <c r="S20" s="213" t="s">
        <v>7</v>
      </c>
      <c r="T20" s="213">
        <v>33</v>
      </c>
      <c r="U20" s="213">
        <v>292</v>
      </c>
      <c r="V20" s="213" t="s">
        <v>6</v>
      </c>
      <c r="W20" s="213" t="s">
        <v>6</v>
      </c>
      <c r="X20" s="213" t="s">
        <v>6</v>
      </c>
      <c r="Y20" s="413"/>
      <c r="Z20" s="413"/>
      <c r="AA20" s="303" t="s">
        <v>1733</v>
      </c>
      <c r="AB20" s="135" t="str">
        <f t="shared" si="0"/>
        <v/>
      </c>
      <c r="AG20" s="412"/>
    </row>
    <row r="21" spans="1:33" ht="25.5" x14ac:dyDescent="0.3">
      <c r="A21" s="462" t="s">
        <v>276</v>
      </c>
      <c r="B21" s="460" t="s">
        <v>690</v>
      </c>
      <c r="C21" s="460" t="s">
        <v>691</v>
      </c>
      <c r="D21" s="460" t="s">
        <v>6</v>
      </c>
      <c r="E21" s="460" t="s">
        <v>77</v>
      </c>
      <c r="F21" s="460" t="s">
        <v>6</v>
      </c>
      <c r="G21" s="460" t="s">
        <v>195</v>
      </c>
      <c r="H21" s="460" t="s">
        <v>692</v>
      </c>
      <c r="I21" s="825"/>
      <c r="J21" s="828"/>
      <c r="K21" s="828"/>
      <c r="L21" s="831"/>
      <c r="M21" s="831"/>
      <c r="N21" s="825"/>
      <c r="O21" s="825"/>
      <c r="P21" s="825"/>
      <c r="Q21" s="822"/>
      <c r="R21" s="213" t="s">
        <v>684</v>
      </c>
      <c r="S21" s="213" t="s">
        <v>7</v>
      </c>
      <c r="T21" s="213">
        <v>33</v>
      </c>
      <c r="U21" s="213">
        <v>292</v>
      </c>
      <c r="V21" s="213" t="s">
        <v>6</v>
      </c>
      <c r="W21" s="213" t="s">
        <v>6</v>
      </c>
      <c r="X21" s="213" t="s">
        <v>6</v>
      </c>
      <c r="Y21" s="413"/>
      <c r="Z21" s="413"/>
      <c r="AA21" s="303"/>
      <c r="AB21" s="135" t="str">
        <f t="shared" si="0"/>
        <v/>
      </c>
      <c r="AG21" s="412"/>
    </row>
    <row r="22" spans="1:33" ht="25.5" x14ac:dyDescent="0.3">
      <c r="A22" s="462" t="s">
        <v>276</v>
      </c>
      <c r="B22" s="460" t="s">
        <v>693</v>
      </c>
      <c r="C22" s="460" t="s">
        <v>694</v>
      </c>
      <c r="D22" s="460" t="s">
        <v>6</v>
      </c>
      <c r="E22" s="460" t="s">
        <v>77</v>
      </c>
      <c r="F22" s="460" t="s">
        <v>6</v>
      </c>
      <c r="G22" s="460" t="s">
        <v>195</v>
      </c>
      <c r="H22" s="460" t="s">
        <v>695</v>
      </c>
      <c r="I22" s="826"/>
      <c r="J22" s="829"/>
      <c r="K22" s="828"/>
      <c r="L22" s="832"/>
      <c r="M22" s="831"/>
      <c r="N22" s="825"/>
      <c r="O22" s="825"/>
      <c r="P22" s="825"/>
      <c r="Q22" s="822"/>
      <c r="R22" s="213" t="s">
        <v>684</v>
      </c>
      <c r="S22" s="213" t="s">
        <v>7</v>
      </c>
      <c r="T22" s="213">
        <v>33</v>
      </c>
      <c r="U22" s="213">
        <v>292</v>
      </c>
      <c r="V22" s="213" t="s">
        <v>6</v>
      </c>
      <c r="W22" s="213" t="s">
        <v>6</v>
      </c>
      <c r="X22" s="213" t="s">
        <v>6</v>
      </c>
      <c r="Y22" s="413"/>
      <c r="Z22" s="413"/>
      <c r="AA22" s="303"/>
      <c r="AB22" s="135" t="str">
        <f t="shared" si="0"/>
        <v/>
      </c>
      <c r="AG22" s="412"/>
    </row>
    <row r="23" spans="1:33" ht="25.5" x14ac:dyDescent="0.3">
      <c r="A23" s="462" t="s">
        <v>276</v>
      </c>
      <c r="B23" s="460" t="s">
        <v>693</v>
      </c>
      <c r="C23" s="460" t="s">
        <v>694</v>
      </c>
      <c r="D23" s="460" t="s">
        <v>6</v>
      </c>
      <c r="E23" s="460" t="s">
        <v>77</v>
      </c>
      <c r="F23" s="460" t="s">
        <v>6</v>
      </c>
      <c r="G23" s="460" t="s">
        <v>195</v>
      </c>
      <c r="H23" s="460" t="s">
        <v>695</v>
      </c>
      <c r="I23" s="465" t="s">
        <v>696</v>
      </c>
      <c r="J23" s="464" t="s">
        <v>650</v>
      </c>
      <c r="K23" s="828"/>
      <c r="L23" s="467" t="s">
        <v>697</v>
      </c>
      <c r="M23" s="831"/>
      <c r="N23" s="825"/>
      <c r="O23" s="825"/>
      <c r="P23" s="825"/>
      <c r="Q23" s="822"/>
      <c r="R23" s="213" t="s">
        <v>684</v>
      </c>
      <c r="S23" s="213" t="s">
        <v>7</v>
      </c>
      <c r="T23" s="213">
        <v>33</v>
      </c>
      <c r="U23" s="213">
        <v>292</v>
      </c>
      <c r="V23" s="213" t="s">
        <v>6</v>
      </c>
      <c r="W23" s="213" t="s">
        <v>6</v>
      </c>
      <c r="X23" s="213" t="s">
        <v>6</v>
      </c>
      <c r="Y23" s="413"/>
      <c r="Z23" s="413"/>
      <c r="AA23" s="303"/>
      <c r="AB23" s="135" t="str">
        <f t="shared" si="0"/>
        <v/>
      </c>
      <c r="AG23" s="412"/>
    </row>
    <row r="24" spans="1:33" ht="37.5" customHeight="1" x14ac:dyDescent="0.3">
      <c r="A24" s="462" t="s">
        <v>276</v>
      </c>
      <c r="B24" s="460" t="s">
        <v>693</v>
      </c>
      <c r="C24" s="460" t="s">
        <v>694</v>
      </c>
      <c r="D24" s="460" t="s">
        <v>6</v>
      </c>
      <c r="E24" s="460" t="s">
        <v>77</v>
      </c>
      <c r="F24" s="460" t="s">
        <v>6</v>
      </c>
      <c r="G24" s="460" t="s">
        <v>195</v>
      </c>
      <c r="H24" s="460" t="s">
        <v>695</v>
      </c>
      <c r="I24" s="465" t="s">
        <v>696</v>
      </c>
      <c r="J24" s="464" t="s">
        <v>650</v>
      </c>
      <c r="K24" s="829"/>
      <c r="L24" s="467" t="s">
        <v>698</v>
      </c>
      <c r="M24" s="832"/>
      <c r="N24" s="826"/>
      <c r="O24" s="826"/>
      <c r="P24" s="826"/>
      <c r="Q24" s="823"/>
      <c r="R24" s="213" t="s">
        <v>684</v>
      </c>
      <c r="S24" s="213" t="s">
        <v>7</v>
      </c>
      <c r="T24" s="213">
        <v>33</v>
      </c>
      <c r="U24" s="213">
        <v>292</v>
      </c>
      <c r="V24" s="213" t="s">
        <v>6</v>
      </c>
      <c r="W24" s="213" t="s">
        <v>6</v>
      </c>
      <c r="X24" s="213" t="s">
        <v>6</v>
      </c>
      <c r="Y24" s="413"/>
      <c r="Z24" s="413"/>
      <c r="AA24" s="303"/>
      <c r="AB24" s="135" t="str">
        <f t="shared" si="0"/>
        <v/>
      </c>
      <c r="AG24" s="412"/>
    </row>
    <row r="25" spans="1:33" ht="164.25" customHeight="1" x14ac:dyDescent="0.3">
      <c r="A25" s="459" t="s">
        <v>276</v>
      </c>
      <c r="B25" s="460" t="s">
        <v>699</v>
      </c>
      <c r="C25" s="468" t="s">
        <v>700</v>
      </c>
      <c r="D25" s="468" t="s">
        <v>77</v>
      </c>
      <c r="E25" s="460" t="s">
        <v>77</v>
      </c>
      <c r="F25" s="468" t="s">
        <v>77</v>
      </c>
      <c r="G25" s="468" t="s">
        <v>195</v>
      </c>
      <c r="H25" s="460" t="s">
        <v>701</v>
      </c>
      <c r="I25" s="468" t="s">
        <v>702</v>
      </c>
      <c r="J25" s="468" t="s">
        <v>650</v>
      </c>
      <c r="K25" s="830">
        <v>32</v>
      </c>
      <c r="L25" s="468" t="s">
        <v>1583</v>
      </c>
      <c r="M25" s="468">
        <v>115</v>
      </c>
      <c r="N25" s="830" t="s">
        <v>1729</v>
      </c>
      <c r="O25" s="460" t="s">
        <v>703</v>
      </c>
      <c r="P25" s="460"/>
      <c r="Q25" s="824" t="s">
        <v>704</v>
      </c>
      <c r="R25" s="213" t="s">
        <v>684</v>
      </c>
      <c r="S25" s="213" t="s">
        <v>7</v>
      </c>
      <c r="T25" s="213">
        <v>33</v>
      </c>
      <c r="U25" s="213">
        <v>98</v>
      </c>
      <c r="V25" s="213" t="s">
        <v>6</v>
      </c>
      <c r="W25" s="213" t="s">
        <v>6</v>
      </c>
      <c r="X25" s="213" t="s">
        <v>6</v>
      </c>
      <c r="Y25" s="621" t="s">
        <v>150</v>
      </c>
      <c r="Z25" s="621"/>
      <c r="AA25" s="303" t="s">
        <v>1724</v>
      </c>
      <c r="AB25" s="135" t="str">
        <f t="shared" si="0"/>
        <v/>
      </c>
      <c r="AG25" s="412"/>
    </row>
    <row r="26" spans="1:33" ht="25.5" x14ac:dyDescent="0.3">
      <c r="A26" s="459" t="s">
        <v>276</v>
      </c>
      <c r="B26" s="460" t="s">
        <v>699</v>
      </c>
      <c r="C26" s="468" t="s">
        <v>700</v>
      </c>
      <c r="D26" s="468" t="s">
        <v>77</v>
      </c>
      <c r="E26" s="460" t="s">
        <v>77</v>
      </c>
      <c r="F26" s="468" t="s">
        <v>77</v>
      </c>
      <c r="G26" s="468" t="s">
        <v>195</v>
      </c>
      <c r="H26" s="460" t="s">
        <v>701</v>
      </c>
      <c r="I26" s="468" t="s">
        <v>702</v>
      </c>
      <c r="J26" s="468" t="s">
        <v>650</v>
      </c>
      <c r="K26" s="831"/>
      <c r="L26" s="468" t="s">
        <v>660</v>
      </c>
      <c r="M26" s="468">
        <v>115</v>
      </c>
      <c r="N26" s="831"/>
      <c r="O26" s="460" t="s">
        <v>703</v>
      </c>
      <c r="P26" s="460"/>
      <c r="Q26" s="825"/>
      <c r="R26" s="213" t="s">
        <v>684</v>
      </c>
      <c r="S26" s="213" t="s">
        <v>7</v>
      </c>
      <c r="T26" s="213">
        <v>33</v>
      </c>
      <c r="U26" s="213">
        <v>98</v>
      </c>
      <c r="V26" s="213" t="s">
        <v>6</v>
      </c>
      <c r="W26" s="213" t="s">
        <v>6</v>
      </c>
      <c r="X26" s="213" t="s">
        <v>6</v>
      </c>
      <c r="Y26" s="621" t="s">
        <v>150</v>
      </c>
      <c r="Z26" s="413"/>
      <c r="AA26" s="303" t="s">
        <v>1731</v>
      </c>
      <c r="AB26" s="135" t="str">
        <f t="shared" si="0"/>
        <v/>
      </c>
      <c r="AG26" s="412"/>
    </row>
    <row r="27" spans="1:33" ht="25.5" x14ac:dyDescent="0.3">
      <c r="A27" s="459" t="s">
        <v>276</v>
      </c>
      <c r="B27" s="460" t="s">
        <v>699</v>
      </c>
      <c r="C27" s="468" t="s">
        <v>700</v>
      </c>
      <c r="D27" s="468" t="s">
        <v>77</v>
      </c>
      <c r="E27" s="460" t="s">
        <v>77</v>
      </c>
      <c r="F27" s="468" t="s">
        <v>77</v>
      </c>
      <c r="G27" s="468" t="s">
        <v>195</v>
      </c>
      <c r="H27" s="460" t="s">
        <v>701</v>
      </c>
      <c r="I27" s="468" t="s">
        <v>702</v>
      </c>
      <c r="J27" s="468" t="s">
        <v>650</v>
      </c>
      <c r="K27" s="832"/>
      <c r="L27" s="468" t="s">
        <v>705</v>
      </c>
      <c r="M27" s="468">
        <v>115</v>
      </c>
      <c r="N27" s="832"/>
      <c r="O27" s="460" t="s">
        <v>703</v>
      </c>
      <c r="P27" s="460"/>
      <c r="Q27" s="826"/>
      <c r="R27" s="213" t="s">
        <v>684</v>
      </c>
      <c r="S27" s="213" t="s">
        <v>7</v>
      </c>
      <c r="T27" s="213">
        <v>33</v>
      </c>
      <c r="U27" s="213">
        <v>98</v>
      </c>
      <c r="V27" s="213" t="s">
        <v>6</v>
      </c>
      <c r="W27" s="213" t="s">
        <v>6</v>
      </c>
      <c r="X27" s="213" t="s">
        <v>6</v>
      </c>
      <c r="Y27" s="621" t="s">
        <v>150</v>
      </c>
      <c r="Z27" s="413"/>
      <c r="AA27" s="303" t="s">
        <v>1731</v>
      </c>
      <c r="AB27" s="135" t="str">
        <f t="shared" si="0"/>
        <v/>
      </c>
      <c r="AG27" s="412"/>
    </row>
    <row r="28" spans="1:33" ht="102" x14ac:dyDescent="0.3">
      <c r="A28" s="469" t="s">
        <v>276</v>
      </c>
      <c r="B28" s="469" t="s">
        <v>706</v>
      </c>
      <c r="C28" s="469" t="s">
        <v>707</v>
      </c>
      <c r="D28" s="469" t="s">
        <v>77</v>
      </c>
      <c r="E28" s="460" t="s">
        <v>77</v>
      </c>
      <c r="F28" s="469" t="s">
        <v>77</v>
      </c>
      <c r="G28" s="469" t="s">
        <v>77</v>
      </c>
      <c r="H28" s="460" t="s">
        <v>384</v>
      </c>
      <c r="I28" s="469" t="s">
        <v>1712</v>
      </c>
      <c r="J28" s="469" t="s">
        <v>650</v>
      </c>
      <c r="K28" s="469">
        <v>10</v>
      </c>
      <c r="L28" s="469" t="s">
        <v>708</v>
      </c>
      <c r="M28" s="469">
        <v>200</v>
      </c>
      <c r="N28" s="469" t="s">
        <v>1734</v>
      </c>
      <c r="O28" s="460" t="s">
        <v>295</v>
      </c>
      <c r="P28" s="460" t="s">
        <v>295</v>
      </c>
      <c r="Q28" s="460" t="s">
        <v>709</v>
      </c>
      <c r="R28" s="213" t="s">
        <v>684</v>
      </c>
      <c r="S28" s="213" t="s">
        <v>7</v>
      </c>
      <c r="T28" s="213">
        <v>8</v>
      </c>
      <c r="U28" s="306">
        <v>200</v>
      </c>
      <c r="V28" s="213" t="s">
        <v>6</v>
      </c>
      <c r="W28" s="213" t="s">
        <v>6</v>
      </c>
      <c r="X28" s="213" t="s">
        <v>6</v>
      </c>
      <c r="Y28" s="413"/>
      <c r="Z28" s="413"/>
      <c r="AA28" s="303" t="s">
        <v>1713</v>
      </c>
      <c r="AB28" s="135" t="str">
        <f>IF(OR( T28&lt;(K28*0.9), T28&gt;(K28*1.5), T28&gt;(K28*0.9), T28&lt;(K28*1.5)),"", "X")</f>
        <v/>
      </c>
      <c r="AG28" s="412"/>
    </row>
    <row r="29" spans="1:33" ht="89.25" x14ac:dyDescent="0.3">
      <c r="A29" s="469" t="s">
        <v>276</v>
      </c>
      <c r="B29" s="598" t="s">
        <v>710</v>
      </c>
      <c r="C29" s="469" t="s">
        <v>711</v>
      </c>
      <c r="D29" s="469" t="s">
        <v>77</v>
      </c>
      <c r="E29" s="460" t="s">
        <v>77</v>
      </c>
      <c r="F29" s="469" t="s">
        <v>77</v>
      </c>
      <c r="G29" s="469" t="s">
        <v>77</v>
      </c>
      <c r="H29" s="460" t="s">
        <v>385</v>
      </c>
      <c r="I29" s="469" t="s">
        <v>1714</v>
      </c>
      <c r="J29" s="469" t="s">
        <v>650</v>
      </c>
      <c r="K29" s="469">
        <v>10</v>
      </c>
      <c r="L29" s="469" t="s">
        <v>708</v>
      </c>
      <c r="M29" s="469">
        <v>200</v>
      </c>
      <c r="N29" s="598" t="s">
        <v>1735</v>
      </c>
      <c r="O29" s="460" t="s">
        <v>295</v>
      </c>
      <c r="P29" s="460" t="s">
        <v>295</v>
      </c>
      <c r="Q29" s="460" t="s">
        <v>709</v>
      </c>
      <c r="R29" s="213" t="s">
        <v>684</v>
      </c>
      <c r="S29" s="213" t="s">
        <v>7</v>
      </c>
      <c r="T29" s="213">
        <v>2</v>
      </c>
      <c r="U29" s="306">
        <v>35</v>
      </c>
      <c r="V29" s="213" t="s">
        <v>6</v>
      </c>
      <c r="W29" s="213" t="s">
        <v>6</v>
      </c>
      <c r="X29" s="213" t="s">
        <v>6</v>
      </c>
      <c r="Y29" s="621" t="s">
        <v>150</v>
      </c>
      <c r="Z29" s="621" t="s">
        <v>150</v>
      </c>
      <c r="AA29" s="303" t="s">
        <v>1748</v>
      </c>
      <c r="AB29" s="135" t="str">
        <f>IF(OR( T29&lt;(K29*0.9), T29&gt;(K29*1.5), T29&gt;(K29*0.9), T29&lt;(K29*1.5)),"", "X")</f>
        <v/>
      </c>
      <c r="AG29" s="412"/>
    </row>
    <row r="30" spans="1:33" ht="48.75" customHeight="1" x14ac:dyDescent="0.3">
      <c r="A30" s="469" t="s">
        <v>276</v>
      </c>
      <c r="B30" s="598" t="s">
        <v>712</v>
      </c>
      <c r="C30" s="469" t="s">
        <v>713</v>
      </c>
      <c r="D30" s="469" t="s">
        <v>77</v>
      </c>
      <c r="E30" s="460" t="s">
        <v>77</v>
      </c>
      <c r="F30" s="469" t="s">
        <v>77</v>
      </c>
      <c r="G30" s="469" t="s">
        <v>77</v>
      </c>
      <c r="H30" s="460" t="s">
        <v>692</v>
      </c>
      <c r="I30" s="469" t="s">
        <v>649</v>
      </c>
      <c r="J30" s="469" t="s">
        <v>650</v>
      </c>
      <c r="K30" s="469">
        <v>6</v>
      </c>
      <c r="L30" s="469" t="s">
        <v>708</v>
      </c>
      <c r="M30" s="469">
        <v>90</v>
      </c>
      <c r="N30" s="598"/>
      <c r="O30" s="460" t="s">
        <v>714</v>
      </c>
      <c r="P30" s="460" t="s">
        <v>295</v>
      </c>
      <c r="Q30" s="460" t="s">
        <v>715</v>
      </c>
      <c r="R30" s="213" t="s">
        <v>684</v>
      </c>
      <c r="S30" s="213" t="s">
        <v>7</v>
      </c>
      <c r="T30" s="213">
        <v>0</v>
      </c>
      <c r="U30" s="306">
        <v>0</v>
      </c>
      <c r="V30" s="213" t="s">
        <v>77</v>
      </c>
      <c r="W30" s="213" t="s">
        <v>77</v>
      </c>
      <c r="X30" s="213" t="s">
        <v>77</v>
      </c>
      <c r="Y30" s="621" t="s">
        <v>150</v>
      </c>
      <c r="Z30" s="621" t="s">
        <v>150</v>
      </c>
      <c r="AA30" s="303" t="s">
        <v>1715</v>
      </c>
      <c r="AB30" s="135" t="str">
        <f>IF(OR( T30&lt;(K30*0.9), T30&gt;(K30*1.5), T30&gt;(K30*0.9), T30&lt;(K30*1.5)),"", "X")</f>
        <v/>
      </c>
      <c r="AG30" s="412"/>
    </row>
    <row r="31" spans="1:33" ht="55.5" customHeight="1" x14ac:dyDescent="0.3">
      <c r="A31" s="469" t="s">
        <v>276</v>
      </c>
      <c r="B31" s="469" t="s">
        <v>716</v>
      </c>
      <c r="C31" s="469" t="s">
        <v>717</v>
      </c>
      <c r="D31" s="469" t="s">
        <v>77</v>
      </c>
      <c r="E31" s="460" t="s">
        <v>77</v>
      </c>
      <c r="F31" s="469" t="s">
        <v>77</v>
      </c>
      <c r="G31" s="469" t="s">
        <v>77</v>
      </c>
      <c r="H31" s="460" t="s">
        <v>384</v>
      </c>
      <c r="I31" s="469" t="s">
        <v>1716</v>
      </c>
      <c r="J31" s="469" t="s">
        <v>650</v>
      </c>
      <c r="K31" s="469">
        <v>6</v>
      </c>
      <c r="L31" s="469" t="s">
        <v>718</v>
      </c>
      <c r="M31" s="469">
        <v>400</v>
      </c>
      <c r="N31" s="469" t="s">
        <v>1749</v>
      </c>
      <c r="O31" s="460" t="s">
        <v>295</v>
      </c>
      <c r="P31" s="460" t="s">
        <v>295</v>
      </c>
      <c r="Q31" s="460" t="s">
        <v>719</v>
      </c>
      <c r="R31" s="213" t="s">
        <v>684</v>
      </c>
      <c r="S31" s="213" t="s">
        <v>7</v>
      </c>
      <c r="T31" s="213">
        <v>5</v>
      </c>
      <c r="U31" s="306">
        <v>400</v>
      </c>
      <c r="V31" s="213" t="s">
        <v>6</v>
      </c>
      <c r="W31" s="213" t="s">
        <v>6</v>
      </c>
      <c r="X31" s="213" t="s">
        <v>6</v>
      </c>
      <c r="Y31" s="621" t="s">
        <v>150</v>
      </c>
      <c r="Z31" s="621" t="s">
        <v>150</v>
      </c>
      <c r="AA31" s="303" t="s">
        <v>1717</v>
      </c>
      <c r="AB31" s="135" t="str">
        <f>IF(OR( T31&lt;(K31*0.9), T31&gt;(K31*1.5), T31&gt;(K31*0.9), T31&lt;(K31*1.5)),"", "X")</f>
        <v/>
      </c>
      <c r="AG31" s="412"/>
    </row>
    <row r="32" spans="1:33" ht="69" customHeight="1" x14ac:dyDescent="0.3">
      <c r="A32" s="469" t="s">
        <v>276</v>
      </c>
      <c r="B32" s="469" t="s">
        <v>720</v>
      </c>
      <c r="C32" s="458" t="s">
        <v>721</v>
      </c>
      <c r="D32" s="469" t="s">
        <v>77</v>
      </c>
      <c r="E32" s="460" t="s">
        <v>77</v>
      </c>
      <c r="F32" s="469" t="s">
        <v>77</v>
      </c>
      <c r="G32" s="469" t="s">
        <v>77</v>
      </c>
      <c r="H32" s="460" t="s">
        <v>722</v>
      </c>
      <c r="I32" s="469" t="s">
        <v>723</v>
      </c>
      <c r="J32" s="469" t="s">
        <v>650</v>
      </c>
      <c r="K32" s="469">
        <v>6</v>
      </c>
      <c r="L32" s="469" t="s">
        <v>708</v>
      </c>
      <c r="M32" s="469">
        <v>120</v>
      </c>
      <c r="N32" s="598" t="s">
        <v>1750</v>
      </c>
      <c r="O32" s="460" t="s">
        <v>295</v>
      </c>
      <c r="P32" s="460" t="s">
        <v>295</v>
      </c>
      <c r="Q32" s="460" t="s">
        <v>724</v>
      </c>
      <c r="R32" s="213" t="s">
        <v>684</v>
      </c>
      <c r="S32" s="213" t="s">
        <v>7</v>
      </c>
      <c r="T32" s="213">
        <v>10</v>
      </c>
      <c r="U32" s="306">
        <v>231</v>
      </c>
      <c r="V32" s="213" t="s">
        <v>6</v>
      </c>
      <c r="W32" s="213" t="s">
        <v>6</v>
      </c>
      <c r="X32" s="213" t="s">
        <v>6</v>
      </c>
      <c r="Y32" s="621" t="s">
        <v>150</v>
      </c>
      <c r="Z32" s="621" t="s">
        <v>150</v>
      </c>
      <c r="AA32" s="303" t="s">
        <v>1718</v>
      </c>
      <c r="AB32" s="135" t="str">
        <f>IF(OR( T32&lt;(K32*0.9), T32&gt;(K32*1.5), T32&gt;(K32*0.9), T32&lt;(K32*1.5)),"", "X")</f>
        <v/>
      </c>
      <c r="AG32" s="412"/>
    </row>
    <row r="33" spans="1:33" ht="16.5" x14ac:dyDescent="0.3">
      <c r="A33" s="212"/>
      <c r="B33" s="212"/>
      <c r="C33" s="212"/>
      <c r="D33" s="212"/>
      <c r="E33" s="212"/>
      <c r="F33" s="212"/>
      <c r="G33" s="212"/>
      <c r="H33" s="212"/>
      <c r="I33" s="212"/>
      <c r="J33" s="212"/>
      <c r="K33" s="212"/>
      <c r="L33" s="212"/>
      <c r="M33" s="212"/>
      <c r="N33" s="212"/>
      <c r="O33" s="212"/>
      <c r="P33" s="212"/>
      <c r="Q33" s="212"/>
      <c r="AG33" s="412"/>
    </row>
    <row r="34" spans="1:33" x14ac:dyDescent="0.2">
      <c r="M34" s="3"/>
      <c r="N34" s="3"/>
      <c r="O34" s="3"/>
      <c r="P34" s="3"/>
      <c r="Q34" s="3"/>
    </row>
    <row r="35" spans="1:33" x14ac:dyDescent="0.2">
      <c r="M35" s="3"/>
      <c r="N35" s="3"/>
      <c r="O35" s="3"/>
      <c r="P35" s="3"/>
      <c r="Q35" s="3"/>
    </row>
    <row r="36" spans="1:33" x14ac:dyDescent="0.2">
      <c r="M36" s="3"/>
      <c r="N36" s="3"/>
      <c r="O36" s="3"/>
      <c r="P36" s="3"/>
      <c r="Q36" s="3"/>
    </row>
    <row r="37" spans="1:33" x14ac:dyDescent="0.2">
      <c r="M37" s="3"/>
      <c r="N37" s="3"/>
      <c r="O37" s="3"/>
      <c r="P37" s="3"/>
      <c r="Q37" s="3"/>
    </row>
    <row r="38" spans="1:33" x14ac:dyDescent="0.2">
      <c r="M38" s="3"/>
      <c r="N38" s="3"/>
      <c r="O38" s="3"/>
      <c r="P38" s="3"/>
      <c r="Q38" s="3"/>
    </row>
    <row r="39" spans="1:33" x14ac:dyDescent="0.2">
      <c r="M39" s="3"/>
      <c r="N39" s="3"/>
      <c r="O39" s="3"/>
      <c r="P39" s="3"/>
      <c r="Q39" s="3"/>
    </row>
    <row r="40" spans="1:33" x14ac:dyDescent="0.2">
      <c r="M40" s="3"/>
      <c r="N40" s="3"/>
      <c r="O40" s="3"/>
      <c r="P40" s="3"/>
      <c r="Q40" s="3"/>
    </row>
    <row r="41" spans="1:33" x14ac:dyDescent="0.2">
      <c r="M41" s="3"/>
      <c r="N41" s="3"/>
      <c r="O41" s="3"/>
      <c r="P41" s="3"/>
      <c r="Q41" s="3"/>
    </row>
    <row r="42" spans="1:33" x14ac:dyDescent="0.2">
      <c r="M42" s="3"/>
      <c r="N42" s="3"/>
      <c r="O42" s="3"/>
      <c r="P42" s="3"/>
      <c r="Q42" s="3"/>
    </row>
    <row r="43" spans="1:33" x14ac:dyDescent="0.2">
      <c r="M43" s="3"/>
      <c r="N43" s="3"/>
      <c r="O43" s="3"/>
      <c r="P43" s="3"/>
      <c r="Q43" s="3"/>
    </row>
    <row r="44" spans="1:33" x14ac:dyDescent="0.2">
      <c r="M44" s="3"/>
      <c r="N44" s="3"/>
      <c r="O44" s="3"/>
      <c r="P44" s="3"/>
      <c r="Q44" s="3"/>
    </row>
    <row r="45" spans="1:33" x14ac:dyDescent="0.2">
      <c r="M45" s="3"/>
      <c r="N45" s="3"/>
      <c r="O45" s="3"/>
      <c r="P45" s="3"/>
      <c r="Q45" s="3"/>
    </row>
    <row r="46" spans="1:33" x14ac:dyDescent="0.2">
      <c r="M46" s="3"/>
      <c r="N46" s="3"/>
      <c r="O46" s="3"/>
      <c r="P46" s="3"/>
      <c r="Q46" s="3"/>
    </row>
    <row r="47" spans="1:33" x14ac:dyDescent="0.2">
      <c r="M47" s="3"/>
      <c r="N47" s="3"/>
      <c r="O47" s="3"/>
      <c r="P47" s="3"/>
      <c r="Q47" s="3"/>
    </row>
    <row r="48" spans="1:33" x14ac:dyDescent="0.2">
      <c r="M48" s="3"/>
      <c r="N48" s="3"/>
      <c r="O48" s="3"/>
      <c r="P48" s="3"/>
      <c r="Q48" s="3"/>
    </row>
    <row r="49" spans="13:17" x14ac:dyDescent="0.2">
      <c r="M49" s="3"/>
      <c r="N49" s="3"/>
      <c r="O49" s="3"/>
      <c r="P49" s="3"/>
      <c r="Q49" s="3"/>
    </row>
    <row r="50" spans="13:17" x14ac:dyDescent="0.2">
      <c r="M50" s="3"/>
      <c r="N50" s="3"/>
      <c r="O50" s="3"/>
      <c r="P50" s="3"/>
      <c r="Q50" s="3"/>
    </row>
    <row r="51" spans="13:17" x14ac:dyDescent="0.2">
      <c r="M51" s="3"/>
      <c r="N51" s="3"/>
      <c r="O51" s="3"/>
      <c r="P51" s="3"/>
      <c r="Q51" s="3"/>
    </row>
    <row r="52" spans="13:17" x14ac:dyDescent="0.2">
      <c r="M52" s="3"/>
      <c r="N52" s="3"/>
      <c r="O52" s="3"/>
      <c r="P52" s="3"/>
      <c r="Q52" s="3"/>
    </row>
    <row r="53" spans="13:17" x14ac:dyDescent="0.2">
      <c r="M53" s="3"/>
      <c r="N53" s="3"/>
      <c r="O53" s="3"/>
      <c r="P53" s="3"/>
      <c r="Q53" s="3"/>
    </row>
    <row r="54" spans="13:17" x14ac:dyDescent="0.2">
      <c r="M54" s="3"/>
      <c r="N54" s="3"/>
      <c r="O54" s="3"/>
      <c r="P54" s="3"/>
      <c r="Q54" s="3"/>
    </row>
    <row r="55" spans="13:17" x14ac:dyDescent="0.2">
      <c r="M55" s="3"/>
      <c r="N55" s="3"/>
      <c r="O55" s="3"/>
      <c r="P55" s="3"/>
      <c r="Q55" s="3"/>
    </row>
    <row r="56" spans="13:17" x14ac:dyDescent="0.2">
      <c r="M56" s="3"/>
      <c r="N56" s="3"/>
      <c r="O56" s="3"/>
      <c r="P56" s="3"/>
      <c r="Q56" s="3"/>
    </row>
    <row r="57" spans="13:17" x14ac:dyDescent="0.2">
      <c r="M57" s="3"/>
      <c r="N57" s="3"/>
      <c r="O57" s="3"/>
      <c r="P57" s="3"/>
      <c r="Q57" s="3"/>
    </row>
    <row r="58" spans="13:17" x14ac:dyDescent="0.2">
      <c r="M58" s="3"/>
      <c r="N58" s="3"/>
      <c r="O58" s="3"/>
      <c r="P58" s="3"/>
      <c r="Q58" s="3"/>
    </row>
    <row r="59" spans="13:17" x14ac:dyDescent="0.2">
      <c r="M59" s="3"/>
      <c r="N59" s="3"/>
      <c r="O59" s="3"/>
      <c r="P59" s="3"/>
      <c r="Q59" s="3"/>
    </row>
    <row r="60" spans="13:17" x14ac:dyDescent="0.2">
      <c r="M60" s="3"/>
      <c r="N60" s="3"/>
      <c r="O60" s="3"/>
      <c r="P60" s="3"/>
      <c r="Q60" s="3"/>
    </row>
    <row r="61" spans="13:17" x14ac:dyDescent="0.2">
      <c r="M61" s="3"/>
      <c r="N61" s="3"/>
      <c r="O61" s="3"/>
      <c r="P61" s="3"/>
      <c r="Q61" s="3"/>
    </row>
    <row r="62" spans="13:17" x14ac:dyDescent="0.2">
      <c r="M62" s="3"/>
      <c r="N62" s="3"/>
      <c r="O62" s="3"/>
      <c r="P62" s="3"/>
      <c r="Q62" s="3"/>
    </row>
    <row r="63" spans="13:17" x14ac:dyDescent="0.2">
      <c r="M63" s="3"/>
      <c r="N63" s="3"/>
      <c r="O63" s="3"/>
      <c r="P63" s="3"/>
      <c r="Q63" s="3"/>
    </row>
    <row r="64" spans="13:17" x14ac:dyDescent="0.2">
      <c r="M64" s="3"/>
      <c r="N64" s="3"/>
      <c r="O64" s="3"/>
      <c r="P64" s="3"/>
      <c r="Q64" s="3"/>
    </row>
    <row r="65" spans="13:17" x14ac:dyDescent="0.2">
      <c r="M65" s="3"/>
      <c r="N65" s="3"/>
      <c r="O65" s="3"/>
      <c r="P65" s="3"/>
      <c r="Q65" s="3"/>
    </row>
    <row r="66" spans="13:17" x14ac:dyDescent="0.2">
      <c r="M66" s="3"/>
      <c r="N66" s="3"/>
      <c r="O66" s="3"/>
      <c r="P66" s="3"/>
      <c r="Q66" s="3"/>
    </row>
    <row r="67" spans="13:17" x14ac:dyDescent="0.2">
      <c r="M67" s="3"/>
      <c r="N67" s="3"/>
      <c r="O67" s="3"/>
      <c r="P67" s="3"/>
      <c r="Q67" s="3"/>
    </row>
    <row r="68" spans="13:17" x14ac:dyDescent="0.2">
      <c r="M68" s="3"/>
      <c r="N68" s="3"/>
      <c r="O68" s="3"/>
      <c r="P68" s="3"/>
      <c r="Q68" s="3"/>
    </row>
    <row r="69" spans="13:17" x14ac:dyDescent="0.2">
      <c r="M69" s="3"/>
      <c r="N69" s="3"/>
      <c r="O69" s="3"/>
      <c r="P69" s="3"/>
      <c r="Q69" s="3"/>
    </row>
    <row r="70" spans="13:17" x14ac:dyDescent="0.2">
      <c r="M70" s="3"/>
      <c r="N70" s="3"/>
      <c r="O70" s="3"/>
      <c r="P70" s="3"/>
      <c r="Q70" s="3"/>
    </row>
    <row r="71" spans="13:17" x14ac:dyDescent="0.2">
      <c r="M71" s="3"/>
      <c r="N71" s="3"/>
      <c r="O71" s="3"/>
      <c r="P71" s="3"/>
      <c r="Q71" s="3"/>
    </row>
    <row r="72" spans="13:17" x14ac:dyDescent="0.2">
      <c r="M72" s="3"/>
      <c r="N72" s="3"/>
      <c r="O72" s="3"/>
      <c r="P72" s="3"/>
      <c r="Q72" s="3"/>
    </row>
    <row r="73" spans="13:17" x14ac:dyDescent="0.2">
      <c r="M73" s="3"/>
      <c r="N73" s="3"/>
      <c r="O73" s="3"/>
      <c r="P73" s="3"/>
      <c r="Q73" s="3"/>
    </row>
    <row r="74" spans="13:17" x14ac:dyDescent="0.2">
      <c r="M74" s="3"/>
      <c r="N74" s="3"/>
      <c r="O74" s="3"/>
      <c r="P74" s="3"/>
      <c r="Q74" s="3"/>
    </row>
    <row r="75" spans="13:17" x14ac:dyDescent="0.2">
      <c r="M75" s="3"/>
      <c r="N75" s="3"/>
      <c r="O75" s="3"/>
      <c r="P75" s="3"/>
      <c r="Q75" s="3"/>
    </row>
    <row r="76" spans="13:17" x14ac:dyDescent="0.2">
      <c r="M76" s="3"/>
      <c r="N76" s="3"/>
      <c r="O76" s="3"/>
      <c r="P76" s="3"/>
      <c r="Q76" s="3"/>
    </row>
    <row r="77" spans="13:17" x14ac:dyDescent="0.2">
      <c r="M77" s="3"/>
      <c r="N77" s="3"/>
      <c r="O77" s="3"/>
      <c r="P77" s="3"/>
      <c r="Q77" s="3"/>
    </row>
    <row r="78" spans="13:17" x14ac:dyDescent="0.2">
      <c r="M78" s="3"/>
      <c r="N78" s="3"/>
      <c r="O78" s="3"/>
      <c r="P78" s="3"/>
      <c r="Q78" s="3"/>
    </row>
    <row r="79" spans="13:17" x14ac:dyDescent="0.2">
      <c r="M79" s="3"/>
      <c r="N79" s="3"/>
      <c r="O79" s="3"/>
      <c r="P79" s="3"/>
      <c r="Q79" s="3"/>
    </row>
    <row r="80" spans="13:17" x14ac:dyDescent="0.2">
      <c r="M80" s="3"/>
      <c r="N80" s="3"/>
      <c r="O80" s="3"/>
      <c r="P80" s="3"/>
      <c r="Q80" s="3"/>
    </row>
    <row r="81" spans="13:17" x14ac:dyDescent="0.2">
      <c r="M81" s="3"/>
      <c r="N81" s="3"/>
      <c r="O81" s="3"/>
      <c r="P81" s="3"/>
      <c r="Q81" s="3"/>
    </row>
    <row r="82" spans="13:17" x14ac:dyDescent="0.2">
      <c r="M82" s="3"/>
      <c r="N82" s="3"/>
      <c r="O82" s="3"/>
      <c r="P82" s="3"/>
      <c r="Q82" s="3"/>
    </row>
    <row r="83" spans="13:17" x14ac:dyDescent="0.2">
      <c r="M83" s="3"/>
      <c r="N83" s="3"/>
      <c r="O83" s="3"/>
      <c r="P83" s="3"/>
      <c r="Q83" s="3"/>
    </row>
    <row r="84" spans="13:17" x14ac:dyDescent="0.2">
      <c r="M84" s="3"/>
      <c r="N84" s="3"/>
      <c r="O84" s="3"/>
      <c r="P84" s="3"/>
      <c r="Q84" s="3"/>
    </row>
    <row r="85" spans="13:17" x14ac:dyDescent="0.2">
      <c r="M85" s="3"/>
      <c r="N85" s="3"/>
      <c r="O85" s="3"/>
      <c r="P85" s="3"/>
      <c r="Q85" s="3"/>
    </row>
    <row r="86" spans="13:17" x14ac:dyDescent="0.2">
      <c r="M86" s="3"/>
      <c r="N86" s="3"/>
      <c r="O86" s="3"/>
      <c r="P86" s="3"/>
      <c r="Q86" s="3"/>
    </row>
    <row r="87" spans="13:17" x14ac:dyDescent="0.2">
      <c r="M87" s="3"/>
      <c r="N87" s="3"/>
      <c r="O87" s="3"/>
      <c r="P87" s="3"/>
      <c r="Q87" s="3"/>
    </row>
    <row r="88" spans="13:17" x14ac:dyDescent="0.2">
      <c r="M88" s="3"/>
      <c r="N88" s="3"/>
      <c r="O88" s="3"/>
      <c r="P88" s="3"/>
      <c r="Q88" s="3"/>
    </row>
    <row r="89" spans="13:17" x14ac:dyDescent="0.2">
      <c r="M89" s="3"/>
      <c r="N89" s="3"/>
      <c r="O89" s="3"/>
      <c r="P89" s="3"/>
      <c r="Q89" s="3"/>
    </row>
    <row r="90" spans="13:17" x14ac:dyDescent="0.2">
      <c r="M90" s="3"/>
      <c r="N90" s="3"/>
      <c r="O90" s="3"/>
      <c r="P90" s="3"/>
      <c r="Q90" s="3"/>
    </row>
    <row r="91" spans="13:17" x14ac:dyDescent="0.2">
      <c r="M91" s="3"/>
      <c r="N91" s="3"/>
      <c r="O91" s="3"/>
      <c r="P91" s="3"/>
      <c r="Q91" s="3"/>
    </row>
    <row r="92" spans="13:17" x14ac:dyDescent="0.2">
      <c r="M92" s="3"/>
      <c r="N92" s="3"/>
      <c r="O92" s="3"/>
      <c r="P92" s="3"/>
      <c r="Q92" s="3"/>
    </row>
    <row r="93" spans="13:17" x14ac:dyDescent="0.2">
      <c r="M93" s="3"/>
      <c r="N93" s="3"/>
      <c r="O93" s="3"/>
      <c r="P93" s="3"/>
      <c r="Q93" s="3"/>
    </row>
    <row r="94" spans="13:17" x14ac:dyDescent="0.2">
      <c r="M94" s="3"/>
      <c r="N94" s="3"/>
      <c r="O94" s="3"/>
      <c r="P94" s="3"/>
      <c r="Q94" s="3"/>
    </row>
    <row r="95" spans="13:17" x14ac:dyDescent="0.2">
      <c r="M95" s="3"/>
      <c r="N95" s="3"/>
      <c r="O95" s="3"/>
      <c r="P95" s="3"/>
      <c r="Q95" s="3"/>
    </row>
    <row r="96" spans="13:17" x14ac:dyDescent="0.2">
      <c r="M96" s="3"/>
      <c r="N96" s="3"/>
      <c r="O96" s="3"/>
      <c r="P96" s="3"/>
      <c r="Q96" s="3"/>
    </row>
    <row r="97" spans="13:17" x14ac:dyDescent="0.2">
      <c r="M97" s="3"/>
      <c r="N97" s="3"/>
      <c r="O97" s="3"/>
      <c r="P97" s="3"/>
      <c r="Q97" s="3"/>
    </row>
    <row r="98" spans="13:17" x14ac:dyDescent="0.2">
      <c r="M98" s="3"/>
      <c r="N98" s="3"/>
      <c r="O98" s="3"/>
      <c r="P98" s="3"/>
      <c r="Q98" s="3"/>
    </row>
    <row r="99" spans="13:17" x14ac:dyDescent="0.2">
      <c r="M99" s="3"/>
      <c r="N99" s="3"/>
      <c r="O99" s="3"/>
      <c r="P99" s="3"/>
      <c r="Q99" s="3"/>
    </row>
    <row r="100" spans="13:17" x14ac:dyDescent="0.2">
      <c r="M100" s="3"/>
      <c r="N100" s="3"/>
      <c r="O100" s="3"/>
      <c r="P100" s="3"/>
      <c r="Q100" s="3"/>
    </row>
    <row r="101" spans="13:17" x14ac:dyDescent="0.2">
      <c r="M101" s="3"/>
      <c r="N101" s="3"/>
      <c r="O101" s="3"/>
      <c r="P101" s="3"/>
      <c r="Q101" s="3"/>
    </row>
    <row r="102" spans="13:17" x14ac:dyDescent="0.2">
      <c r="M102" s="3"/>
      <c r="N102" s="3"/>
      <c r="O102" s="3"/>
      <c r="P102" s="3"/>
      <c r="Q102" s="3"/>
    </row>
    <row r="103" spans="13:17" x14ac:dyDescent="0.2">
      <c r="M103" s="3"/>
      <c r="N103" s="3"/>
      <c r="O103" s="3"/>
      <c r="P103" s="3"/>
      <c r="Q103" s="3"/>
    </row>
    <row r="104" spans="13:17" x14ac:dyDescent="0.2">
      <c r="M104" s="3"/>
      <c r="N104" s="3"/>
      <c r="O104" s="3"/>
      <c r="P104" s="3"/>
      <c r="Q104" s="3"/>
    </row>
    <row r="105" spans="13:17" x14ac:dyDescent="0.2">
      <c r="M105" s="3"/>
      <c r="N105" s="3"/>
      <c r="O105" s="3"/>
      <c r="P105" s="3"/>
      <c r="Q105" s="3"/>
    </row>
    <row r="106" spans="13:17" x14ac:dyDescent="0.2">
      <c r="M106" s="3"/>
      <c r="N106" s="3"/>
      <c r="O106" s="3"/>
      <c r="P106" s="3"/>
      <c r="Q106" s="3"/>
    </row>
    <row r="107" spans="13:17" x14ac:dyDescent="0.2">
      <c r="M107" s="3"/>
      <c r="N107" s="3"/>
      <c r="O107" s="3"/>
      <c r="P107" s="3"/>
      <c r="Q107" s="3"/>
    </row>
    <row r="108" spans="13:17" x14ac:dyDescent="0.2">
      <c r="M108" s="3"/>
      <c r="N108" s="3"/>
      <c r="O108" s="3"/>
      <c r="P108" s="3"/>
      <c r="Q108" s="3"/>
    </row>
    <row r="109" spans="13:17" x14ac:dyDescent="0.2">
      <c r="M109" s="3"/>
      <c r="N109" s="3"/>
      <c r="O109" s="3"/>
      <c r="P109" s="3"/>
      <c r="Q109" s="3"/>
    </row>
    <row r="110" spans="13:17" x14ac:dyDescent="0.2">
      <c r="M110" s="3"/>
      <c r="N110" s="3"/>
      <c r="O110" s="3"/>
      <c r="P110" s="3"/>
      <c r="Q110" s="3"/>
    </row>
    <row r="111" spans="13:17" x14ac:dyDescent="0.2">
      <c r="M111" s="3"/>
      <c r="N111" s="3"/>
      <c r="O111" s="3"/>
      <c r="P111" s="3"/>
      <c r="Q111" s="3"/>
    </row>
    <row r="112" spans="13:17" x14ac:dyDescent="0.2">
      <c r="M112" s="3"/>
      <c r="N112" s="3"/>
      <c r="O112" s="3"/>
      <c r="P112" s="3"/>
      <c r="Q112" s="3"/>
    </row>
    <row r="113" spans="13:17" x14ac:dyDescent="0.2">
      <c r="M113" s="3"/>
      <c r="N113" s="3"/>
      <c r="O113" s="3"/>
      <c r="P113" s="3"/>
      <c r="Q113" s="3"/>
    </row>
    <row r="114" spans="13:17" x14ac:dyDescent="0.2">
      <c r="M114" s="3"/>
      <c r="N114" s="3"/>
      <c r="O114" s="3"/>
      <c r="P114" s="3"/>
      <c r="Q114" s="3"/>
    </row>
    <row r="115" spans="13:17" x14ac:dyDescent="0.2">
      <c r="M115" s="3"/>
      <c r="N115" s="3"/>
      <c r="O115" s="3"/>
      <c r="P115" s="3"/>
      <c r="Q115" s="3"/>
    </row>
    <row r="116" spans="13:17" x14ac:dyDescent="0.2">
      <c r="M116" s="3"/>
      <c r="N116" s="3"/>
      <c r="O116" s="3"/>
      <c r="P116" s="3"/>
      <c r="Q116" s="3"/>
    </row>
    <row r="117" spans="13:17" x14ac:dyDescent="0.2">
      <c r="M117" s="3"/>
      <c r="N117" s="3"/>
      <c r="O117" s="3"/>
      <c r="P117" s="3"/>
      <c r="Q117" s="3"/>
    </row>
    <row r="118" spans="13:17" x14ac:dyDescent="0.2">
      <c r="M118" s="3"/>
      <c r="N118" s="3"/>
      <c r="O118" s="3"/>
      <c r="P118" s="3"/>
      <c r="Q118" s="3"/>
    </row>
    <row r="119" spans="13:17" x14ac:dyDescent="0.2">
      <c r="M119" s="3"/>
      <c r="N119" s="3"/>
      <c r="O119" s="3"/>
      <c r="P119" s="3"/>
      <c r="Q119" s="3"/>
    </row>
    <row r="120" spans="13:17" x14ac:dyDescent="0.2">
      <c r="M120" s="3"/>
      <c r="N120" s="3"/>
      <c r="O120" s="3"/>
      <c r="P120" s="3"/>
      <c r="Q120" s="3"/>
    </row>
    <row r="121" spans="13:17" x14ac:dyDescent="0.2">
      <c r="M121" s="3"/>
      <c r="N121" s="3"/>
      <c r="O121" s="3"/>
      <c r="P121" s="3"/>
      <c r="Q121" s="3"/>
    </row>
    <row r="122" spans="13:17" x14ac:dyDescent="0.2">
      <c r="M122" s="3"/>
      <c r="N122" s="3"/>
      <c r="O122" s="3"/>
      <c r="P122" s="3"/>
      <c r="Q122" s="3"/>
    </row>
    <row r="123" spans="13:17" x14ac:dyDescent="0.2">
      <c r="M123" s="3"/>
      <c r="N123" s="3"/>
      <c r="O123" s="3"/>
      <c r="P123" s="3"/>
      <c r="Q123" s="3"/>
    </row>
    <row r="124" spans="13:17" x14ac:dyDescent="0.2">
      <c r="M124" s="3"/>
      <c r="N124" s="3"/>
      <c r="O124" s="3"/>
      <c r="P124" s="3"/>
      <c r="Q124" s="3"/>
    </row>
    <row r="125" spans="13:17" x14ac:dyDescent="0.2">
      <c r="M125" s="3"/>
      <c r="N125" s="3"/>
      <c r="O125" s="3"/>
      <c r="P125" s="3"/>
      <c r="Q125" s="3"/>
    </row>
    <row r="126" spans="13:17" x14ac:dyDescent="0.2">
      <c r="M126" s="3"/>
      <c r="N126" s="3"/>
      <c r="O126" s="3"/>
      <c r="P126" s="3"/>
      <c r="Q126" s="3"/>
    </row>
    <row r="127" spans="13:17" x14ac:dyDescent="0.2">
      <c r="M127" s="3"/>
      <c r="N127" s="3"/>
      <c r="O127" s="3"/>
      <c r="P127" s="3"/>
      <c r="Q127" s="3"/>
    </row>
    <row r="128" spans="13:17" x14ac:dyDescent="0.2">
      <c r="M128" s="3"/>
      <c r="N128" s="3"/>
      <c r="O128" s="3"/>
      <c r="P128" s="3"/>
      <c r="Q128" s="3"/>
    </row>
    <row r="129" spans="13:17" x14ac:dyDescent="0.2">
      <c r="M129" s="3"/>
      <c r="N129" s="3"/>
      <c r="O129" s="3"/>
      <c r="P129" s="3"/>
      <c r="Q129" s="3"/>
    </row>
    <row r="130" spans="13:17" x14ac:dyDescent="0.2">
      <c r="M130" s="3"/>
      <c r="N130" s="3"/>
      <c r="O130" s="3"/>
      <c r="P130" s="3"/>
      <c r="Q130" s="3"/>
    </row>
    <row r="131" spans="13:17" x14ac:dyDescent="0.2">
      <c r="M131" s="3"/>
      <c r="N131" s="3"/>
      <c r="O131" s="3"/>
      <c r="P131" s="3"/>
      <c r="Q131" s="3"/>
    </row>
    <row r="132" spans="13:17" x14ac:dyDescent="0.2">
      <c r="M132" s="3"/>
      <c r="N132" s="3"/>
      <c r="O132" s="3"/>
      <c r="P132" s="3"/>
      <c r="Q132" s="3"/>
    </row>
    <row r="133" spans="13:17" x14ac:dyDescent="0.2">
      <c r="M133" s="3"/>
      <c r="N133" s="3"/>
      <c r="O133" s="3"/>
      <c r="P133" s="3"/>
      <c r="Q133" s="3"/>
    </row>
    <row r="134" spans="13:17" x14ac:dyDescent="0.2">
      <c r="M134" s="3"/>
      <c r="N134" s="3"/>
      <c r="O134" s="3"/>
      <c r="P134" s="3"/>
      <c r="Q134" s="3"/>
    </row>
    <row r="135" spans="13:17" x14ac:dyDescent="0.2">
      <c r="M135" s="3"/>
      <c r="N135" s="3"/>
      <c r="O135" s="3"/>
      <c r="P135" s="3"/>
      <c r="Q135" s="3"/>
    </row>
    <row r="136" spans="13:17" x14ac:dyDescent="0.2">
      <c r="M136" s="3"/>
      <c r="N136" s="3"/>
      <c r="O136" s="3"/>
      <c r="P136" s="3"/>
      <c r="Q136" s="3"/>
    </row>
    <row r="137" spans="13:17" x14ac:dyDescent="0.2">
      <c r="M137" s="3"/>
      <c r="N137" s="3"/>
      <c r="O137" s="3"/>
      <c r="P137" s="3"/>
      <c r="Q137" s="3"/>
    </row>
    <row r="138" spans="13:17" x14ac:dyDescent="0.2">
      <c r="M138" s="3"/>
      <c r="N138" s="3"/>
      <c r="O138" s="3"/>
      <c r="P138" s="3"/>
      <c r="Q138" s="3"/>
    </row>
    <row r="139" spans="13:17" x14ac:dyDescent="0.2">
      <c r="M139" s="3"/>
      <c r="N139" s="3"/>
      <c r="O139" s="3"/>
      <c r="P139" s="3"/>
      <c r="Q139" s="3"/>
    </row>
    <row r="140" spans="13:17" x14ac:dyDescent="0.2">
      <c r="M140" s="3"/>
      <c r="N140" s="3"/>
      <c r="O140" s="3"/>
      <c r="P140" s="3"/>
      <c r="Q140" s="3"/>
    </row>
    <row r="141" spans="13:17" x14ac:dyDescent="0.2">
      <c r="M141" s="3"/>
      <c r="N141" s="3"/>
      <c r="O141" s="3"/>
      <c r="P141" s="3"/>
      <c r="Q141" s="3"/>
    </row>
    <row r="142" spans="13:17" x14ac:dyDescent="0.2">
      <c r="M142" s="3"/>
      <c r="N142" s="3"/>
      <c r="O142" s="3"/>
      <c r="P142" s="3"/>
      <c r="Q142" s="3"/>
    </row>
    <row r="143" spans="13:17" x14ac:dyDescent="0.2">
      <c r="M143" s="3"/>
      <c r="N143" s="3"/>
      <c r="O143" s="3"/>
      <c r="P143" s="3"/>
      <c r="Q143" s="3"/>
    </row>
    <row r="144" spans="13:17" x14ac:dyDescent="0.2">
      <c r="M144" s="3"/>
      <c r="N144" s="3"/>
      <c r="O144" s="3"/>
      <c r="P144" s="3"/>
      <c r="Q144" s="3"/>
    </row>
    <row r="145" spans="13:17" x14ac:dyDescent="0.2">
      <c r="M145" s="3"/>
      <c r="N145" s="3"/>
      <c r="O145" s="3"/>
      <c r="P145" s="3"/>
      <c r="Q145" s="3"/>
    </row>
    <row r="146" spans="13:17" x14ac:dyDescent="0.2">
      <c r="M146" s="3"/>
      <c r="N146" s="3"/>
      <c r="O146" s="3"/>
      <c r="P146" s="3"/>
      <c r="Q146" s="3"/>
    </row>
    <row r="147" spans="13:17" x14ac:dyDescent="0.2">
      <c r="M147" s="3"/>
      <c r="N147" s="3"/>
      <c r="O147" s="3"/>
      <c r="P147" s="3"/>
      <c r="Q147" s="3"/>
    </row>
    <row r="148" spans="13:17" x14ac:dyDescent="0.2">
      <c r="M148" s="3"/>
      <c r="N148" s="3"/>
      <c r="O148" s="3"/>
      <c r="P148" s="3"/>
      <c r="Q148" s="3"/>
    </row>
    <row r="149" spans="13:17" x14ac:dyDescent="0.2">
      <c r="M149" s="3"/>
      <c r="N149" s="3"/>
      <c r="O149" s="3"/>
      <c r="P149" s="3"/>
      <c r="Q149" s="3"/>
    </row>
    <row r="150" spans="13:17" x14ac:dyDescent="0.2">
      <c r="M150" s="3"/>
      <c r="N150" s="3"/>
      <c r="O150" s="3"/>
      <c r="P150" s="3"/>
      <c r="Q150" s="3"/>
    </row>
    <row r="151" spans="13:17" x14ac:dyDescent="0.2">
      <c r="M151" s="3"/>
      <c r="N151" s="3"/>
      <c r="O151" s="3"/>
      <c r="P151" s="3"/>
      <c r="Q151" s="3"/>
    </row>
    <row r="152" spans="13:17" x14ac:dyDescent="0.2">
      <c r="M152" s="3"/>
      <c r="N152" s="3"/>
      <c r="O152" s="3"/>
      <c r="P152" s="3"/>
      <c r="Q152" s="3"/>
    </row>
    <row r="153" spans="13:17" x14ac:dyDescent="0.2">
      <c r="M153" s="3"/>
      <c r="N153" s="3"/>
      <c r="O153" s="3"/>
      <c r="P153" s="3"/>
      <c r="Q153" s="3"/>
    </row>
    <row r="154" spans="13:17" x14ac:dyDescent="0.2">
      <c r="M154" s="3"/>
      <c r="N154" s="3"/>
      <c r="O154" s="3"/>
      <c r="P154" s="3"/>
      <c r="Q154" s="3"/>
    </row>
    <row r="155" spans="13:17" x14ac:dyDescent="0.2">
      <c r="M155" s="3"/>
      <c r="N155" s="3"/>
      <c r="O155" s="3"/>
      <c r="P155" s="3"/>
      <c r="Q155" s="3"/>
    </row>
    <row r="156" spans="13:17" x14ac:dyDescent="0.2">
      <c r="M156" s="3"/>
      <c r="N156" s="3"/>
      <c r="O156" s="3"/>
      <c r="P156" s="3"/>
      <c r="Q156" s="3"/>
    </row>
    <row r="157" spans="13:17" x14ac:dyDescent="0.2">
      <c r="M157" s="3"/>
      <c r="N157" s="3"/>
      <c r="O157" s="3"/>
      <c r="P157" s="3"/>
      <c r="Q157" s="3"/>
    </row>
    <row r="158" spans="13:17" x14ac:dyDescent="0.2">
      <c r="M158" s="3"/>
      <c r="N158" s="3"/>
      <c r="O158" s="3"/>
      <c r="P158" s="3"/>
      <c r="Q158" s="3"/>
    </row>
    <row r="159" spans="13:17" x14ac:dyDescent="0.2">
      <c r="M159" s="3"/>
      <c r="N159" s="3"/>
      <c r="O159" s="3"/>
      <c r="P159" s="3"/>
      <c r="Q159" s="3"/>
    </row>
    <row r="160" spans="13:17" x14ac:dyDescent="0.2">
      <c r="M160" s="3"/>
      <c r="N160" s="3"/>
      <c r="O160" s="3"/>
      <c r="P160" s="3"/>
      <c r="Q160" s="3"/>
    </row>
    <row r="161" spans="13:17" x14ac:dyDescent="0.2">
      <c r="M161" s="3"/>
      <c r="N161" s="3"/>
      <c r="O161" s="3"/>
      <c r="P161" s="3"/>
      <c r="Q161" s="3"/>
    </row>
    <row r="162" spans="13:17" x14ac:dyDescent="0.2">
      <c r="M162" s="3"/>
      <c r="N162" s="3"/>
      <c r="O162" s="3"/>
      <c r="P162" s="3"/>
      <c r="Q162" s="3"/>
    </row>
    <row r="163" spans="13:17" x14ac:dyDescent="0.2">
      <c r="M163" s="3"/>
      <c r="N163" s="3"/>
      <c r="O163" s="3"/>
      <c r="P163" s="3"/>
      <c r="Q163" s="3"/>
    </row>
    <row r="164" spans="13:17" x14ac:dyDescent="0.2">
      <c r="M164" s="3"/>
      <c r="N164" s="3"/>
      <c r="O164" s="3"/>
      <c r="P164" s="3"/>
      <c r="Q164" s="3"/>
    </row>
    <row r="165" spans="13:17" x14ac:dyDescent="0.2">
      <c r="M165" s="3"/>
      <c r="N165" s="3"/>
      <c r="O165" s="3"/>
      <c r="P165" s="3"/>
      <c r="Q165" s="3"/>
    </row>
    <row r="166" spans="13:17" x14ac:dyDescent="0.2">
      <c r="M166" s="3"/>
      <c r="N166" s="3"/>
      <c r="O166" s="3"/>
      <c r="P166" s="3"/>
      <c r="Q166" s="3"/>
    </row>
    <row r="167" spans="13:17" x14ac:dyDescent="0.2">
      <c r="M167" s="3"/>
      <c r="N167" s="3"/>
      <c r="O167" s="3"/>
      <c r="P167" s="3"/>
      <c r="Q167" s="3"/>
    </row>
    <row r="168" spans="13:17" x14ac:dyDescent="0.2">
      <c r="M168" s="3"/>
      <c r="N168" s="3"/>
      <c r="O168" s="3"/>
      <c r="P168" s="3"/>
      <c r="Q168" s="3"/>
    </row>
    <row r="169" spans="13:17" x14ac:dyDescent="0.2">
      <c r="M169" s="3"/>
      <c r="N169" s="3"/>
      <c r="O169" s="3"/>
      <c r="P169" s="3"/>
      <c r="Q169" s="3"/>
    </row>
    <row r="170" spans="13:17" x14ac:dyDescent="0.2">
      <c r="M170" s="3"/>
      <c r="N170" s="3"/>
      <c r="O170" s="3"/>
      <c r="P170" s="3"/>
      <c r="Q170" s="3"/>
    </row>
    <row r="171" spans="13:17" x14ac:dyDescent="0.2">
      <c r="M171" s="3"/>
      <c r="N171" s="3"/>
      <c r="O171" s="3"/>
      <c r="P171" s="3"/>
      <c r="Q171" s="3"/>
    </row>
    <row r="172" spans="13:17" x14ac:dyDescent="0.2">
      <c r="M172" s="3"/>
      <c r="N172" s="3"/>
      <c r="O172" s="3"/>
      <c r="P172" s="3"/>
      <c r="Q172" s="3"/>
    </row>
    <row r="173" spans="13:17" x14ac:dyDescent="0.2">
      <c r="M173" s="3"/>
      <c r="N173" s="3"/>
      <c r="O173" s="3"/>
      <c r="P173" s="3"/>
      <c r="Q173" s="3"/>
    </row>
    <row r="174" spans="13:17" x14ac:dyDescent="0.2">
      <c r="M174" s="3"/>
      <c r="N174" s="3"/>
      <c r="O174" s="3"/>
      <c r="P174" s="3"/>
      <c r="Q174" s="3"/>
    </row>
    <row r="175" spans="13:17" x14ac:dyDescent="0.2">
      <c r="M175" s="3"/>
      <c r="N175" s="3"/>
      <c r="O175" s="3"/>
      <c r="P175" s="3"/>
      <c r="Q175" s="3"/>
    </row>
    <row r="176" spans="13:17" x14ac:dyDescent="0.2">
      <c r="M176" s="3"/>
      <c r="N176" s="3"/>
      <c r="O176" s="3"/>
      <c r="P176" s="3"/>
      <c r="Q176" s="3"/>
    </row>
    <row r="177" spans="13:17" x14ac:dyDescent="0.2">
      <c r="M177" s="3"/>
      <c r="N177" s="3"/>
      <c r="O177" s="3"/>
      <c r="P177" s="3"/>
      <c r="Q177" s="3"/>
    </row>
    <row r="178" spans="13:17" x14ac:dyDescent="0.2">
      <c r="M178" s="3"/>
      <c r="N178" s="3"/>
      <c r="O178" s="3"/>
      <c r="P178" s="3"/>
      <c r="Q178" s="3"/>
    </row>
    <row r="179" spans="13:17" x14ac:dyDescent="0.2">
      <c r="M179" s="3"/>
      <c r="N179" s="3"/>
      <c r="O179" s="3"/>
      <c r="P179" s="3"/>
      <c r="Q179" s="3"/>
    </row>
    <row r="180" spans="13:17" x14ac:dyDescent="0.2">
      <c r="M180" s="3"/>
      <c r="N180" s="3"/>
      <c r="O180" s="3"/>
      <c r="P180" s="3"/>
      <c r="Q180" s="3"/>
    </row>
    <row r="181" spans="13:17" x14ac:dyDescent="0.2">
      <c r="M181" s="3"/>
      <c r="N181" s="3"/>
      <c r="O181" s="3"/>
      <c r="P181" s="3"/>
      <c r="Q181" s="3"/>
    </row>
    <row r="182" spans="13:17" x14ac:dyDescent="0.2">
      <c r="M182" s="3"/>
      <c r="N182" s="3"/>
      <c r="O182" s="3"/>
      <c r="P182" s="3"/>
      <c r="Q182" s="3"/>
    </row>
    <row r="183" spans="13:17" x14ac:dyDescent="0.2">
      <c r="M183" s="3"/>
      <c r="N183" s="3"/>
      <c r="O183" s="3"/>
      <c r="P183" s="3"/>
      <c r="Q183" s="3"/>
    </row>
    <row r="184" spans="13:17" x14ac:dyDescent="0.2">
      <c r="M184" s="3"/>
      <c r="N184" s="3"/>
      <c r="O184" s="3"/>
      <c r="P184" s="3"/>
      <c r="Q184" s="3"/>
    </row>
    <row r="185" spans="13:17" x14ac:dyDescent="0.2">
      <c r="M185" s="3"/>
      <c r="N185" s="3"/>
      <c r="O185" s="3"/>
      <c r="P185" s="3"/>
      <c r="Q185" s="3"/>
    </row>
    <row r="186" spans="13:17" x14ac:dyDescent="0.2">
      <c r="M186" s="3"/>
      <c r="N186" s="3"/>
      <c r="O186" s="3"/>
      <c r="P186" s="3"/>
      <c r="Q186" s="3"/>
    </row>
    <row r="187" spans="13:17" x14ac:dyDescent="0.2">
      <c r="M187" s="3"/>
      <c r="N187" s="3"/>
      <c r="O187" s="3"/>
      <c r="P187" s="3"/>
      <c r="Q187" s="3"/>
    </row>
    <row r="188" spans="13:17" x14ac:dyDescent="0.2">
      <c r="M188" s="3"/>
      <c r="N188" s="3"/>
      <c r="O188" s="3"/>
      <c r="P188" s="3"/>
      <c r="Q188" s="3"/>
    </row>
    <row r="189" spans="13:17" x14ac:dyDescent="0.2">
      <c r="M189" s="3"/>
      <c r="N189" s="3"/>
      <c r="O189" s="3"/>
      <c r="P189" s="3"/>
      <c r="Q189" s="3"/>
    </row>
    <row r="190" spans="13:17" x14ac:dyDescent="0.2">
      <c r="M190" s="3"/>
      <c r="N190" s="3"/>
      <c r="O190" s="3"/>
      <c r="P190" s="3"/>
      <c r="Q190" s="3"/>
    </row>
    <row r="191" spans="13:17" x14ac:dyDescent="0.2">
      <c r="M191" s="3"/>
      <c r="N191" s="3"/>
      <c r="O191" s="3"/>
      <c r="P191" s="3"/>
      <c r="Q191" s="3"/>
    </row>
    <row r="192" spans="13:17" x14ac:dyDescent="0.2">
      <c r="M192" s="3"/>
      <c r="N192" s="3"/>
      <c r="O192" s="3"/>
      <c r="P192" s="3"/>
      <c r="Q192" s="3"/>
    </row>
    <row r="193" spans="13:17" x14ac:dyDescent="0.2">
      <c r="M193" s="3"/>
      <c r="N193" s="3"/>
      <c r="O193" s="3"/>
      <c r="P193" s="3"/>
      <c r="Q193" s="3"/>
    </row>
    <row r="194" spans="13:17" x14ac:dyDescent="0.2">
      <c r="M194" s="3"/>
      <c r="N194" s="3"/>
      <c r="O194" s="3"/>
      <c r="P194" s="3"/>
      <c r="Q194" s="3"/>
    </row>
    <row r="195" spans="13:17" x14ac:dyDescent="0.2">
      <c r="M195" s="3"/>
      <c r="N195" s="3"/>
      <c r="O195" s="3"/>
      <c r="P195" s="3"/>
      <c r="Q195" s="3"/>
    </row>
    <row r="196" spans="13:17" x14ac:dyDescent="0.2">
      <c r="M196" s="3"/>
      <c r="N196" s="3"/>
      <c r="O196" s="3"/>
      <c r="P196" s="3"/>
      <c r="Q196" s="3"/>
    </row>
    <row r="197" spans="13:17" x14ac:dyDescent="0.2">
      <c r="M197" s="3"/>
      <c r="N197" s="3"/>
      <c r="O197" s="3"/>
      <c r="P197" s="3"/>
      <c r="Q197" s="3"/>
    </row>
    <row r="198" spans="13:17" x14ac:dyDescent="0.2">
      <c r="M198" s="3"/>
      <c r="N198" s="3"/>
      <c r="O198" s="3"/>
      <c r="P198" s="3"/>
      <c r="Q198" s="3"/>
    </row>
    <row r="199" spans="13:17" x14ac:dyDescent="0.2">
      <c r="M199" s="3"/>
      <c r="N199" s="3"/>
      <c r="O199" s="3"/>
      <c r="P199" s="3"/>
      <c r="Q199" s="3"/>
    </row>
    <row r="200" spans="13:17" x14ac:dyDescent="0.2">
      <c r="M200" s="3"/>
      <c r="N200" s="3"/>
      <c r="O200" s="3"/>
      <c r="P200" s="3"/>
      <c r="Q200" s="3"/>
    </row>
    <row r="201" spans="13:17" x14ac:dyDescent="0.2">
      <c r="M201" s="3"/>
      <c r="N201" s="3"/>
      <c r="O201" s="3"/>
      <c r="P201" s="3"/>
      <c r="Q201" s="3"/>
    </row>
    <row r="202" spans="13:17" x14ac:dyDescent="0.2">
      <c r="M202" s="3"/>
      <c r="N202" s="3"/>
      <c r="O202" s="3"/>
      <c r="P202" s="3"/>
      <c r="Q202" s="3"/>
    </row>
    <row r="203" spans="13:17" x14ac:dyDescent="0.2">
      <c r="M203" s="3"/>
      <c r="N203" s="3"/>
      <c r="O203" s="3"/>
      <c r="P203" s="3"/>
      <c r="Q203" s="3"/>
    </row>
    <row r="204" spans="13:17" x14ac:dyDescent="0.2">
      <c r="M204" s="3"/>
      <c r="N204" s="3"/>
      <c r="O204" s="3"/>
      <c r="P204" s="3"/>
      <c r="Q204" s="3"/>
    </row>
    <row r="205" spans="13:17" x14ac:dyDescent="0.2">
      <c r="M205" s="3"/>
      <c r="N205" s="3"/>
      <c r="O205" s="3"/>
      <c r="P205" s="3"/>
      <c r="Q205" s="3"/>
    </row>
    <row r="206" spans="13:17" x14ac:dyDescent="0.2">
      <c r="M206" s="3"/>
      <c r="N206" s="3"/>
      <c r="O206" s="3"/>
      <c r="P206" s="3"/>
      <c r="Q206" s="3"/>
    </row>
    <row r="207" spans="13:17" x14ac:dyDescent="0.2">
      <c r="M207" s="3"/>
      <c r="N207" s="3"/>
      <c r="O207" s="3"/>
      <c r="P207" s="3"/>
      <c r="Q207" s="3"/>
    </row>
    <row r="208" spans="13:17" x14ac:dyDescent="0.2">
      <c r="M208" s="3"/>
      <c r="N208" s="3"/>
      <c r="O208" s="3"/>
      <c r="P208" s="3"/>
      <c r="Q208" s="3"/>
    </row>
    <row r="209" spans="13:17" x14ac:dyDescent="0.2">
      <c r="M209" s="3"/>
      <c r="N209" s="3"/>
      <c r="O209" s="3"/>
      <c r="P209" s="3"/>
      <c r="Q209" s="3"/>
    </row>
    <row r="210" spans="13:17" x14ac:dyDescent="0.2">
      <c r="M210" s="3"/>
      <c r="N210" s="3"/>
      <c r="O210" s="3"/>
      <c r="P210" s="3"/>
      <c r="Q210" s="3"/>
    </row>
    <row r="211" spans="13:17" x14ac:dyDescent="0.2">
      <c r="M211" s="3"/>
      <c r="N211" s="3"/>
      <c r="O211" s="3"/>
      <c r="P211" s="3"/>
      <c r="Q211" s="3"/>
    </row>
    <row r="212" spans="13:17" x14ac:dyDescent="0.2">
      <c r="M212" s="3"/>
      <c r="N212" s="3"/>
      <c r="O212" s="3"/>
      <c r="P212" s="3"/>
      <c r="Q212" s="3"/>
    </row>
    <row r="213" spans="13:17" x14ac:dyDescent="0.2">
      <c r="M213" s="3"/>
      <c r="N213" s="3"/>
      <c r="O213" s="3"/>
      <c r="P213" s="3"/>
      <c r="Q213" s="3"/>
    </row>
    <row r="214" spans="13:17" x14ac:dyDescent="0.2">
      <c r="M214" s="3"/>
      <c r="N214" s="3"/>
      <c r="O214" s="3"/>
      <c r="P214" s="3"/>
      <c r="Q214" s="3"/>
    </row>
    <row r="215" spans="13:17" x14ac:dyDescent="0.2">
      <c r="M215" s="3"/>
      <c r="N215" s="3"/>
      <c r="O215" s="3"/>
      <c r="P215" s="3"/>
      <c r="Q215" s="3"/>
    </row>
    <row r="216" spans="13:17" x14ac:dyDescent="0.2">
      <c r="M216" s="3"/>
      <c r="N216" s="3"/>
      <c r="O216" s="3"/>
      <c r="P216" s="3"/>
      <c r="Q216" s="3"/>
    </row>
    <row r="217" spans="13:17" x14ac:dyDescent="0.2">
      <c r="M217" s="3"/>
      <c r="N217" s="3"/>
      <c r="O217" s="3"/>
      <c r="P217" s="3"/>
      <c r="Q217" s="3"/>
    </row>
    <row r="218" spans="13:17" x14ac:dyDescent="0.2">
      <c r="M218" s="3"/>
      <c r="N218" s="3"/>
      <c r="O218" s="3"/>
      <c r="P218" s="3"/>
      <c r="Q218" s="3"/>
    </row>
    <row r="219" spans="13:17" x14ac:dyDescent="0.2">
      <c r="M219" s="3"/>
      <c r="N219" s="3"/>
      <c r="O219" s="3"/>
      <c r="P219" s="3"/>
      <c r="Q219" s="3"/>
    </row>
    <row r="220" spans="13:17" x14ac:dyDescent="0.2">
      <c r="M220" s="3"/>
      <c r="N220" s="3"/>
      <c r="O220" s="3"/>
      <c r="P220" s="3"/>
      <c r="Q220" s="3"/>
    </row>
    <row r="221" spans="13:17" x14ac:dyDescent="0.2">
      <c r="M221" s="3"/>
      <c r="N221" s="3"/>
      <c r="O221" s="3"/>
      <c r="P221" s="3"/>
      <c r="Q221" s="3"/>
    </row>
    <row r="222" spans="13:17" x14ac:dyDescent="0.2">
      <c r="M222" s="3"/>
      <c r="N222" s="3"/>
      <c r="O222" s="3"/>
      <c r="P222" s="3"/>
      <c r="Q222" s="3"/>
    </row>
    <row r="223" spans="13:17" x14ac:dyDescent="0.2">
      <c r="M223" s="3"/>
      <c r="N223" s="3"/>
      <c r="O223" s="3"/>
      <c r="P223" s="3"/>
      <c r="Q223" s="3"/>
    </row>
    <row r="224" spans="13:17" x14ac:dyDescent="0.2">
      <c r="M224" s="3"/>
      <c r="N224" s="3"/>
      <c r="O224" s="3"/>
      <c r="P224" s="3"/>
      <c r="Q224" s="3"/>
    </row>
    <row r="225" spans="13:17" x14ac:dyDescent="0.2">
      <c r="M225" s="3"/>
      <c r="N225" s="3"/>
      <c r="O225" s="3"/>
      <c r="P225" s="3"/>
      <c r="Q225" s="3"/>
    </row>
    <row r="226" spans="13:17" x14ac:dyDescent="0.2">
      <c r="M226" s="3"/>
      <c r="N226" s="3"/>
      <c r="O226" s="3"/>
      <c r="P226" s="3"/>
      <c r="Q226" s="3"/>
    </row>
    <row r="227" spans="13:17" x14ac:dyDescent="0.2">
      <c r="M227" s="3"/>
      <c r="N227" s="3"/>
      <c r="O227" s="3"/>
      <c r="P227" s="3"/>
      <c r="Q227" s="3"/>
    </row>
    <row r="228" spans="13:17" x14ac:dyDescent="0.2">
      <c r="M228" s="3"/>
      <c r="N228" s="3"/>
      <c r="O228" s="3"/>
      <c r="P228" s="3"/>
      <c r="Q228" s="3"/>
    </row>
    <row r="229" spans="13:17" x14ac:dyDescent="0.2">
      <c r="M229" s="3"/>
      <c r="N229" s="3"/>
      <c r="O229" s="3"/>
      <c r="P229" s="3"/>
      <c r="Q229" s="3"/>
    </row>
    <row r="230" spans="13:17" x14ac:dyDescent="0.2">
      <c r="M230" s="3"/>
      <c r="N230" s="3"/>
      <c r="O230" s="3"/>
      <c r="P230" s="3"/>
      <c r="Q230" s="3"/>
    </row>
    <row r="231" spans="13:17" x14ac:dyDescent="0.2">
      <c r="M231" s="3"/>
      <c r="N231" s="3"/>
      <c r="O231" s="3"/>
      <c r="P231" s="3"/>
      <c r="Q231" s="3"/>
    </row>
    <row r="232" spans="13:17" x14ac:dyDescent="0.2">
      <c r="M232" s="3"/>
      <c r="N232" s="3"/>
      <c r="O232" s="3"/>
      <c r="P232" s="3"/>
      <c r="Q232" s="3"/>
    </row>
    <row r="233" spans="13:17" x14ac:dyDescent="0.2">
      <c r="M233" s="3"/>
      <c r="N233" s="3"/>
      <c r="O233" s="3"/>
      <c r="P233" s="3"/>
      <c r="Q233" s="3"/>
    </row>
    <row r="234" spans="13:17" x14ac:dyDescent="0.2">
      <c r="M234" s="3"/>
      <c r="N234" s="3"/>
      <c r="O234" s="3"/>
      <c r="P234" s="3"/>
      <c r="Q234" s="3"/>
    </row>
    <row r="235" spans="13:17" x14ac:dyDescent="0.2">
      <c r="M235" s="3"/>
      <c r="N235" s="3"/>
      <c r="O235" s="3"/>
      <c r="P235" s="3"/>
      <c r="Q235" s="3"/>
    </row>
    <row r="236" spans="13:17" x14ac:dyDescent="0.2">
      <c r="M236" s="3"/>
      <c r="N236" s="3"/>
      <c r="O236" s="3"/>
      <c r="P236" s="3"/>
      <c r="Q236" s="3"/>
    </row>
    <row r="237" spans="13:17" x14ac:dyDescent="0.2">
      <c r="M237" s="3"/>
      <c r="N237" s="3"/>
      <c r="O237" s="3"/>
      <c r="P237" s="3"/>
      <c r="Q237" s="3"/>
    </row>
    <row r="238" spans="13:17" x14ac:dyDescent="0.2">
      <c r="M238" s="3"/>
      <c r="N238" s="3"/>
      <c r="O238" s="3"/>
      <c r="P238" s="3"/>
      <c r="Q238" s="3"/>
    </row>
    <row r="239" spans="13:17" x14ac:dyDescent="0.2">
      <c r="M239" s="3"/>
      <c r="N239" s="3"/>
      <c r="O239" s="3"/>
      <c r="P239" s="3"/>
      <c r="Q239" s="3"/>
    </row>
    <row r="240" spans="13:17" x14ac:dyDescent="0.2">
      <c r="M240" s="3"/>
      <c r="N240" s="3"/>
      <c r="O240" s="3"/>
      <c r="P240" s="3"/>
      <c r="Q240" s="3"/>
    </row>
    <row r="241" spans="13:17" x14ac:dyDescent="0.2">
      <c r="M241" s="3"/>
      <c r="N241" s="3"/>
      <c r="O241" s="3"/>
      <c r="P241" s="3"/>
      <c r="Q241" s="3"/>
    </row>
    <row r="242" spans="13:17" x14ac:dyDescent="0.2">
      <c r="M242" s="3"/>
      <c r="N242" s="3"/>
      <c r="O242" s="3"/>
      <c r="P242" s="3"/>
      <c r="Q242" s="3"/>
    </row>
    <row r="243" spans="13:17" x14ac:dyDescent="0.2">
      <c r="M243" s="3"/>
      <c r="N243" s="3"/>
      <c r="O243" s="3"/>
      <c r="P243" s="3"/>
      <c r="Q243" s="3"/>
    </row>
    <row r="244" spans="13:17" x14ac:dyDescent="0.2">
      <c r="M244" s="3"/>
      <c r="N244" s="3"/>
      <c r="O244" s="3"/>
      <c r="P244" s="3"/>
      <c r="Q244" s="3"/>
    </row>
    <row r="245" spans="13:17" x14ac:dyDescent="0.2">
      <c r="M245" s="3"/>
      <c r="N245" s="3"/>
      <c r="O245" s="3"/>
      <c r="P245" s="3"/>
      <c r="Q245" s="3"/>
    </row>
    <row r="246" spans="13:17" x14ac:dyDescent="0.2">
      <c r="M246" s="3"/>
      <c r="N246" s="3"/>
      <c r="O246" s="3"/>
      <c r="P246" s="3"/>
      <c r="Q246" s="3"/>
    </row>
    <row r="247" spans="13:17" x14ac:dyDescent="0.2">
      <c r="M247" s="3"/>
      <c r="N247" s="3"/>
      <c r="O247" s="3"/>
      <c r="P247" s="3"/>
      <c r="Q247" s="3"/>
    </row>
    <row r="248" spans="13:17" x14ac:dyDescent="0.2">
      <c r="M248" s="3"/>
      <c r="N248" s="3"/>
      <c r="O248" s="3"/>
      <c r="P248" s="3"/>
      <c r="Q248" s="3"/>
    </row>
    <row r="249" spans="13:17" x14ac:dyDescent="0.2">
      <c r="M249" s="3"/>
      <c r="N249" s="3"/>
      <c r="O249" s="3"/>
      <c r="P249" s="3"/>
      <c r="Q249" s="3"/>
    </row>
    <row r="250" spans="13:17" x14ac:dyDescent="0.2">
      <c r="M250" s="3"/>
      <c r="N250" s="3"/>
      <c r="O250" s="3"/>
      <c r="P250" s="3"/>
      <c r="Q250" s="3"/>
    </row>
    <row r="251" spans="13:17" x14ac:dyDescent="0.2">
      <c r="M251" s="3"/>
      <c r="N251" s="3"/>
      <c r="O251" s="3"/>
      <c r="P251" s="3"/>
      <c r="Q251" s="3"/>
    </row>
    <row r="252" spans="13:17" x14ac:dyDescent="0.2">
      <c r="M252" s="3"/>
      <c r="N252" s="3"/>
      <c r="O252" s="3"/>
      <c r="P252" s="3"/>
      <c r="Q252" s="3"/>
    </row>
    <row r="253" spans="13:17" x14ac:dyDescent="0.2">
      <c r="M253" s="3"/>
      <c r="N253" s="3"/>
      <c r="O253" s="3"/>
      <c r="P253" s="3"/>
      <c r="Q253" s="3"/>
    </row>
    <row r="254" spans="13:17" x14ac:dyDescent="0.2">
      <c r="M254" s="3"/>
      <c r="N254" s="3"/>
      <c r="O254" s="3"/>
      <c r="P254" s="3"/>
      <c r="Q254" s="3"/>
    </row>
    <row r="255" spans="13:17" x14ac:dyDescent="0.2">
      <c r="M255" s="3"/>
      <c r="N255" s="3"/>
      <c r="O255" s="3"/>
      <c r="P255" s="3"/>
      <c r="Q255" s="3"/>
    </row>
    <row r="256" spans="13:17" x14ac:dyDescent="0.2">
      <c r="M256" s="3"/>
      <c r="N256" s="3"/>
      <c r="O256" s="3"/>
      <c r="P256" s="3"/>
      <c r="Q256" s="3"/>
    </row>
    <row r="257" spans="13:17" x14ac:dyDescent="0.2">
      <c r="M257" s="3"/>
      <c r="N257" s="3"/>
      <c r="O257" s="3"/>
      <c r="P257" s="3"/>
      <c r="Q257" s="3"/>
    </row>
    <row r="258" spans="13:17" x14ac:dyDescent="0.2">
      <c r="M258" s="3"/>
      <c r="N258" s="3"/>
      <c r="O258" s="3"/>
      <c r="P258" s="3"/>
      <c r="Q258" s="3"/>
    </row>
    <row r="259" spans="13:17" x14ac:dyDescent="0.2">
      <c r="M259" s="3"/>
      <c r="N259" s="3"/>
      <c r="O259" s="3"/>
      <c r="P259" s="3"/>
      <c r="Q259" s="3"/>
    </row>
    <row r="260" spans="13:17" x14ac:dyDescent="0.2">
      <c r="M260" s="3"/>
      <c r="N260" s="3"/>
      <c r="O260" s="3"/>
      <c r="P260" s="3"/>
      <c r="Q260" s="3"/>
    </row>
    <row r="261" spans="13:17" x14ac:dyDescent="0.2">
      <c r="M261" s="3"/>
      <c r="N261" s="3"/>
      <c r="O261" s="3"/>
      <c r="P261" s="3"/>
      <c r="Q261" s="3"/>
    </row>
    <row r="262" spans="13:17" x14ac:dyDescent="0.2">
      <c r="M262" s="3"/>
      <c r="N262" s="3"/>
      <c r="O262" s="3"/>
      <c r="P262" s="3"/>
      <c r="Q262" s="3"/>
    </row>
    <row r="263" spans="13:17" x14ac:dyDescent="0.2">
      <c r="M263" s="3"/>
      <c r="N263" s="3"/>
      <c r="O263" s="3"/>
      <c r="P263" s="3"/>
      <c r="Q263" s="3"/>
    </row>
    <row r="264" spans="13:17" x14ac:dyDescent="0.2">
      <c r="M264" s="3"/>
      <c r="N264" s="3"/>
      <c r="O264" s="3"/>
      <c r="P264" s="3"/>
      <c r="Q264" s="3"/>
    </row>
    <row r="265" spans="13:17" x14ac:dyDescent="0.2">
      <c r="M265" s="3"/>
      <c r="N265" s="3"/>
      <c r="O265" s="3"/>
      <c r="P265" s="3"/>
      <c r="Q265" s="3"/>
    </row>
    <row r="266" spans="13:17" x14ac:dyDescent="0.2">
      <c r="M266" s="3"/>
      <c r="N266" s="3"/>
      <c r="O266" s="3"/>
      <c r="P266" s="3"/>
      <c r="Q266" s="3"/>
    </row>
    <row r="267" spans="13:17" x14ac:dyDescent="0.2">
      <c r="M267" s="3"/>
      <c r="N267" s="3"/>
      <c r="O267" s="3"/>
      <c r="P267" s="3"/>
      <c r="Q267" s="3"/>
    </row>
    <row r="268" spans="13:17" x14ac:dyDescent="0.2">
      <c r="M268" s="3"/>
      <c r="N268" s="3"/>
      <c r="O268" s="3"/>
      <c r="P268" s="3"/>
      <c r="Q268" s="3"/>
    </row>
    <row r="269" spans="13:17" x14ac:dyDescent="0.2">
      <c r="M269" s="3"/>
      <c r="N269" s="3"/>
      <c r="O269" s="3"/>
      <c r="P269" s="3"/>
      <c r="Q269" s="3"/>
    </row>
    <row r="270" spans="13:17" x14ac:dyDescent="0.2">
      <c r="M270" s="3"/>
      <c r="N270" s="3"/>
      <c r="O270" s="3"/>
      <c r="P270" s="3"/>
      <c r="Q270" s="3"/>
    </row>
    <row r="271" spans="13:17" x14ac:dyDescent="0.2">
      <c r="M271" s="3"/>
      <c r="N271" s="3"/>
      <c r="O271" s="3"/>
      <c r="P271" s="3"/>
      <c r="Q271" s="3"/>
    </row>
    <row r="272" spans="13:17" x14ac:dyDescent="0.2">
      <c r="M272" s="3"/>
      <c r="N272" s="3"/>
      <c r="O272" s="3"/>
      <c r="P272" s="3"/>
      <c r="Q272" s="3"/>
    </row>
    <row r="273" spans="13:17" x14ac:dyDescent="0.2">
      <c r="M273" s="3"/>
      <c r="N273" s="3"/>
      <c r="O273" s="3"/>
      <c r="P273" s="3"/>
      <c r="Q273" s="3"/>
    </row>
    <row r="274" spans="13:17" x14ac:dyDescent="0.2">
      <c r="M274" s="3"/>
      <c r="N274" s="3"/>
      <c r="O274" s="3"/>
      <c r="P274" s="3"/>
      <c r="Q274" s="3"/>
    </row>
    <row r="275" spans="13:17" x14ac:dyDescent="0.2">
      <c r="M275" s="3"/>
      <c r="N275" s="3"/>
      <c r="O275" s="3"/>
      <c r="P275" s="3"/>
      <c r="Q275" s="3"/>
    </row>
    <row r="276" spans="13:17" x14ac:dyDescent="0.2">
      <c r="M276" s="3"/>
      <c r="N276" s="3"/>
      <c r="O276" s="3"/>
      <c r="P276" s="3"/>
      <c r="Q276" s="3"/>
    </row>
    <row r="277" spans="13:17" x14ac:dyDescent="0.2">
      <c r="M277" s="3"/>
      <c r="N277" s="3"/>
      <c r="O277" s="3"/>
      <c r="P277" s="3"/>
      <c r="Q277" s="3"/>
    </row>
    <row r="278" spans="13:17" x14ac:dyDescent="0.2">
      <c r="M278" s="3"/>
      <c r="N278" s="3"/>
      <c r="O278" s="3"/>
      <c r="P278" s="3"/>
      <c r="Q278" s="3"/>
    </row>
    <row r="279" spans="13:17" x14ac:dyDescent="0.2">
      <c r="M279" s="3"/>
      <c r="N279" s="3"/>
      <c r="O279" s="3"/>
      <c r="P279" s="3"/>
      <c r="Q279" s="3"/>
    </row>
    <row r="280" spans="13:17" x14ac:dyDescent="0.2">
      <c r="M280" s="3"/>
      <c r="N280" s="3"/>
      <c r="O280" s="3"/>
      <c r="P280" s="3"/>
      <c r="Q280" s="3"/>
    </row>
    <row r="281" spans="13:17" x14ac:dyDescent="0.2">
      <c r="M281" s="3"/>
      <c r="N281" s="3"/>
      <c r="O281" s="3"/>
      <c r="P281" s="3"/>
      <c r="Q281" s="3"/>
    </row>
    <row r="282" spans="13:17" x14ac:dyDescent="0.2">
      <c r="M282" s="3"/>
      <c r="N282" s="3"/>
      <c r="O282" s="3"/>
      <c r="P282" s="3"/>
      <c r="Q282" s="3"/>
    </row>
    <row r="283" spans="13:17" x14ac:dyDescent="0.2">
      <c r="M283" s="3"/>
      <c r="N283" s="3"/>
      <c r="O283" s="3"/>
      <c r="P283" s="3"/>
      <c r="Q283" s="3"/>
    </row>
    <row r="284" spans="13:17" x14ac:dyDescent="0.2">
      <c r="M284" s="3"/>
      <c r="N284" s="3"/>
      <c r="O284" s="3"/>
      <c r="P284" s="3"/>
      <c r="Q284" s="3"/>
    </row>
    <row r="285" spans="13:17" x14ac:dyDescent="0.2">
      <c r="M285" s="3"/>
      <c r="N285" s="3"/>
      <c r="O285" s="3"/>
      <c r="P285" s="3"/>
      <c r="Q285" s="3"/>
    </row>
    <row r="286" spans="13:17" x14ac:dyDescent="0.2">
      <c r="M286" s="3"/>
      <c r="N286" s="3"/>
      <c r="O286" s="3"/>
      <c r="P286" s="3"/>
      <c r="Q286" s="3"/>
    </row>
    <row r="287" spans="13:17" x14ac:dyDescent="0.2">
      <c r="M287" s="3"/>
      <c r="N287" s="3"/>
      <c r="O287" s="3"/>
      <c r="P287" s="3"/>
      <c r="Q287" s="3"/>
    </row>
    <row r="288" spans="13:17" x14ac:dyDescent="0.2">
      <c r="M288" s="3"/>
      <c r="N288" s="3"/>
      <c r="O288" s="3"/>
      <c r="P288" s="3"/>
      <c r="Q288" s="3"/>
    </row>
    <row r="289" spans="13:17" x14ac:dyDescent="0.2">
      <c r="M289" s="3"/>
      <c r="N289" s="3"/>
      <c r="O289" s="3"/>
      <c r="P289" s="3"/>
      <c r="Q289" s="3"/>
    </row>
    <row r="290" spans="13:17" x14ac:dyDescent="0.2">
      <c r="M290" s="3"/>
      <c r="N290" s="3"/>
      <c r="O290" s="3"/>
      <c r="P290" s="3"/>
      <c r="Q290" s="3"/>
    </row>
    <row r="291" spans="13:17" x14ac:dyDescent="0.2">
      <c r="M291" s="3"/>
      <c r="N291" s="3"/>
      <c r="O291" s="3"/>
      <c r="P291" s="3"/>
      <c r="Q291" s="3"/>
    </row>
    <row r="292" spans="13:17" x14ac:dyDescent="0.2">
      <c r="M292" s="3"/>
      <c r="N292" s="3"/>
      <c r="O292" s="3"/>
      <c r="P292" s="3"/>
      <c r="Q292" s="3"/>
    </row>
    <row r="293" spans="13:17" x14ac:dyDescent="0.2">
      <c r="M293" s="3"/>
      <c r="N293" s="3"/>
      <c r="O293" s="3"/>
      <c r="P293" s="3"/>
      <c r="Q293" s="3"/>
    </row>
    <row r="294" spans="13:17" x14ac:dyDescent="0.2">
      <c r="M294" s="3"/>
      <c r="N294" s="3"/>
      <c r="O294" s="3"/>
      <c r="P294" s="3"/>
      <c r="Q294" s="3"/>
    </row>
    <row r="295" spans="13:17" x14ac:dyDescent="0.2">
      <c r="M295" s="3"/>
      <c r="N295" s="3"/>
      <c r="O295" s="3"/>
      <c r="P295" s="3"/>
      <c r="Q295" s="3"/>
    </row>
    <row r="296" spans="13:17" x14ac:dyDescent="0.2">
      <c r="M296" s="3"/>
      <c r="N296" s="3"/>
      <c r="O296" s="3"/>
      <c r="P296" s="3"/>
      <c r="Q296" s="3"/>
    </row>
    <row r="297" spans="13:17" x14ac:dyDescent="0.2">
      <c r="M297" s="3"/>
      <c r="N297" s="3"/>
      <c r="O297" s="3"/>
      <c r="P297" s="3"/>
      <c r="Q297" s="3"/>
    </row>
    <row r="298" spans="13:17" x14ac:dyDescent="0.2">
      <c r="M298" s="3"/>
      <c r="N298" s="3"/>
      <c r="O298" s="3"/>
      <c r="P298" s="3"/>
      <c r="Q298" s="3"/>
    </row>
    <row r="299" spans="13:17" x14ac:dyDescent="0.2">
      <c r="M299" s="3"/>
      <c r="N299" s="3"/>
      <c r="O299" s="3"/>
      <c r="P299" s="3"/>
      <c r="Q299" s="3"/>
    </row>
    <row r="300" spans="13:17" x14ac:dyDescent="0.2">
      <c r="M300" s="3"/>
      <c r="N300" s="3"/>
      <c r="O300" s="3"/>
      <c r="P300" s="3"/>
      <c r="Q300" s="3"/>
    </row>
    <row r="301" spans="13:17" x14ac:dyDescent="0.2">
      <c r="M301" s="3"/>
      <c r="N301" s="3"/>
      <c r="O301" s="3"/>
      <c r="P301" s="3"/>
      <c r="Q301" s="3"/>
    </row>
    <row r="302" spans="13:17" x14ac:dyDescent="0.2">
      <c r="M302" s="3"/>
      <c r="N302" s="3"/>
      <c r="O302" s="3"/>
      <c r="P302" s="3"/>
      <c r="Q302" s="3"/>
    </row>
    <row r="303" spans="13:17" x14ac:dyDescent="0.2">
      <c r="M303" s="3"/>
      <c r="N303" s="3"/>
      <c r="O303" s="3"/>
      <c r="P303" s="3"/>
      <c r="Q303" s="3"/>
    </row>
    <row r="304" spans="13:17" x14ac:dyDescent="0.2">
      <c r="M304" s="3"/>
      <c r="N304" s="3"/>
      <c r="O304" s="3"/>
      <c r="P304" s="3"/>
      <c r="Q304" s="3"/>
    </row>
    <row r="305" spans="13:17" x14ac:dyDescent="0.2">
      <c r="M305" s="3"/>
      <c r="N305" s="3"/>
      <c r="O305" s="3"/>
      <c r="P305" s="3"/>
      <c r="Q305" s="3"/>
    </row>
    <row r="306" spans="13:17" x14ac:dyDescent="0.2">
      <c r="M306" s="3"/>
      <c r="N306" s="3"/>
      <c r="O306" s="3"/>
      <c r="P306" s="3"/>
      <c r="Q306" s="3"/>
    </row>
    <row r="307" spans="13:17" x14ac:dyDescent="0.2">
      <c r="M307" s="3"/>
      <c r="N307" s="3"/>
      <c r="O307" s="3"/>
      <c r="P307" s="3"/>
      <c r="Q307" s="3"/>
    </row>
    <row r="308" spans="13:17" x14ac:dyDescent="0.2">
      <c r="M308" s="3"/>
      <c r="N308" s="3"/>
      <c r="O308" s="3"/>
      <c r="P308" s="3"/>
      <c r="Q308" s="3"/>
    </row>
    <row r="309" spans="13:17" x14ac:dyDescent="0.2">
      <c r="M309" s="3"/>
      <c r="N309" s="3"/>
      <c r="O309" s="3"/>
      <c r="P309" s="3"/>
      <c r="Q309" s="3"/>
    </row>
    <row r="310" spans="13:17" x14ac:dyDescent="0.2">
      <c r="M310" s="3"/>
      <c r="N310" s="3"/>
      <c r="O310" s="3"/>
      <c r="P310" s="3"/>
      <c r="Q310" s="3"/>
    </row>
    <row r="311" spans="13:17" x14ac:dyDescent="0.2">
      <c r="M311" s="3"/>
      <c r="N311" s="3"/>
      <c r="O311" s="3"/>
      <c r="P311" s="3"/>
      <c r="Q311" s="3"/>
    </row>
    <row r="312" spans="13:17" x14ac:dyDescent="0.2">
      <c r="M312" s="3"/>
      <c r="N312" s="3"/>
      <c r="O312" s="3"/>
      <c r="P312" s="3"/>
      <c r="Q312" s="3"/>
    </row>
    <row r="313" spans="13:17" x14ac:dyDescent="0.2">
      <c r="M313" s="3"/>
      <c r="N313" s="3"/>
      <c r="O313" s="3"/>
      <c r="P313" s="3"/>
      <c r="Q313" s="3"/>
    </row>
    <row r="314" spans="13:17" x14ac:dyDescent="0.2">
      <c r="M314" s="3"/>
      <c r="N314" s="3"/>
      <c r="O314" s="3"/>
      <c r="P314" s="3"/>
      <c r="Q314" s="3"/>
    </row>
    <row r="315" spans="13:17" x14ac:dyDescent="0.2">
      <c r="M315" s="3"/>
      <c r="N315" s="3"/>
      <c r="O315" s="3"/>
      <c r="P315" s="3"/>
      <c r="Q315" s="3"/>
    </row>
    <row r="316" spans="13:17" x14ac:dyDescent="0.2">
      <c r="M316" s="3"/>
      <c r="N316" s="3"/>
      <c r="O316" s="3"/>
      <c r="P316" s="3"/>
      <c r="Q316" s="3"/>
    </row>
    <row r="317" spans="13:17" x14ac:dyDescent="0.2">
      <c r="M317" s="3"/>
      <c r="N317" s="3"/>
      <c r="O317" s="3"/>
      <c r="P317" s="3"/>
      <c r="Q317" s="3"/>
    </row>
    <row r="318" spans="13:17" x14ac:dyDescent="0.2">
      <c r="M318" s="3"/>
      <c r="N318" s="3"/>
      <c r="O318" s="3"/>
      <c r="P318" s="3"/>
      <c r="Q318" s="3"/>
    </row>
    <row r="319" spans="13:17" x14ac:dyDescent="0.2">
      <c r="M319" s="3"/>
      <c r="N319" s="3"/>
      <c r="O319" s="3"/>
      <c r="P319" s="3"/>
      <c r="Q319" s="3"/>
    </row>
    <row r="320" spans="13:17" x14ac:dyDescent="0.2">
      <c r="M320" s="3"/>
      <c r="N320" s="3"/>
      <c r="O320" s="3"/>
      <c r="P320" s="3"/>
      <c r="Q320" s="3"/>
    </row>
    <row r="321" spans="13:17" x14ac:dyDescent="0.2">
      <c r="M321" s="3"/>
      <c r="N321" s="3"/>
      <c r="O321" s="3"/>
      <c r="P321" s="3"/>
      <c r="Q321" s="3"/>
    </row>
    <row r="322" spans="13:17" x14ac:dyDescent="0.2">
      <c r="M322" s="3"/>
      <c r="N322" s="3"/>
      <c r="O322" s="3"/>
      <c r="P322" s="3"/>
      <c r="Q322" s="3"/>
    </row>
    <row r="323" spans="13:17" x14ac:dyDescent="0.2">
      <c r="M323" s="3"/>
      <c r="N323" s="3"/>
      <c r="O323" s="3"/>
      <c r="P323" s="3"/>
      <c r="Q323" s="3"/>
    </row>
    <row r="324" spans="13:17" x14ac:dyDescent="0.2">
      <c r="M324" s="3"/>
      <c r="N324" s="3"/>
      <c r="O324" s="3"/>
      <c r="P324" s="3"/>
      <c r="Q324" s="3"/>
    </row>
    <row r="325" spans="13:17" x14ac:dyDescent="0.2">
      <c r="M325" s="3"/>
      <c r="N325" s="3"/>
      <c r="O325" s="3"/>
      <c r="P325" s="3"/>
      <c r="Q325" s="3"/>
    </row>
    <row r="326" spans="13:17" x14ac:dyDescent="0.2">
      <c r="M326" s="3"/>
      <c r="N326" s="3"/>
      <c r="O326" s="3"/>
      <c r="P326" s="3"/>
      <c r="Q326" s="3"/>
    </row>
    <row r="327" spans="13:17" x14ac:dyDescent="0.2">
      <c r="M327" s="3"/>
      <c r="N327" s="3"/>
      <c r="O327" s="3"/>
      <c r="P327" s="3"/>
      <c r="Q327" s="3"/>
    </row>
    <row r="328" spans="13:17" x14ac:dyDescent="0.2">
      <c r="M328" s="3"/>
      <c r="N328" s="3"/>
      <c r="O328" s="3"/>
      <c r="P328" s="3"/>
      <c r="Q328" s="3"/>
    </row>
    <row r="329" spans="13:17" x14ac:dyDescent="0.2">
      <c r="M329" s="3"/>
      <c r="N329" s="3"/>
      <c r="O329" s="3"/>
      <c r="P329" s="3"/>
      <c r="Q329" s="3"/>
    </row>
    <row r="330" spans="13:17" x14ac:dyDescent="0.2">
      <c r="M330" s="3"/>
      <c r="N330" s="3"/>
      <c r="O330" s="3"/>
      <c r="P330" s="3"/>
      <c r="Q330" s="3"/>
    </row>
    <row r="331" spans="13:17" x14ac:dyDescent="0.2">
      <c r="M331" s="3"/>
      <c r="N331" s="3"/>
      <c r="O331" s="3"/>
      <c r="P331" s="3"/>
      <c r="Q331" s="3"/>
    </row>
    <row r="332" spans="13:17" x14ac:dyDescent="0.2">
      <c r="M332" s="3"/>
      <c r="N332" s="3"/>
      <c r="O332" s="3"/>
      <c r="P332" s="3"/>
      <c r="Q332" s="3"/>
    </row>
    <row r="333" spans="13:17" x14ac:dyDescent="0.2">
      <c r="M333" s="3"/>
      <c r="N333" s="3"/>
      <c r="O333" s="3"/>
      <c r="P333" s="3"/>
      <c r="Q333" s="3"/>
    </row>
    <row r="334" spans="13:17" x14ac:dyDescent="0.2">
      <c r="M334" s="3"/>
      <c r="N334" s="3"/>
      <c r="O334" s="3"/>
      <c r="P334" s="3"/>
      <c r="Q334" s="3"/>
    </row>
    <row r="335" spans="13:17" x14ac:dyDescent="0.2">
      <c r="M335" s="3"/>
      <c r="N335" s="3"/>
      <c r="O335" s="3"/>
      <c r="P335" s="3"/>
      <c r="Q335" s="3"/>
    </row>
    <row r="336" spans="13:17" x14ac:dyDescent="0.2">
      <c r="M336" s="3"/>
      <c r="N336" s="3"/>
      <c r="O336" s="3"/>
      <c r="P336" s="3"/>
      <c r="Q336" s="3"/>
    </row>
    <row r="337" spans="13:17" x14ac:dyDescent="0.2">
      <c r="M337" s="3"/>
      <c r="N337" s="3"/>
      <c r="O337" s="3"/>
      <c r="P337" s="3"/>
      <c r="Q337" s="3"/>
    </row>
    <row r="338" spans="13:17" x14ac:dyDescent="0.2">
      <c r="M338" s="3"/>
      <c r="N338" s="3"/>
      <c r="O338" s="3"/>
      <c r="P338" s="3"/>
      <c r="Q338" s="3"/>
    </row>
    <row r="339" spans="13:17" x14ac:dyDescent="0.2">
      <c r="M339" s="3"/>
      <c r="N339" s="3"/>
      <c r="O339" s="3"/>
      <c r="P339" s="3"/>
      <c r="Q339" s="3"/>
    </row>
    <row r="340" spans="13:17" x14ac:dyDescent="0.2">
      <c r="M340" s="3"/>
      <c r="N340" s="3"/>
      <c r="O340" s="3"/>
      <c r="P340" s="3"/>
      <c r="Q340" s="3"/>
    </row>
    <row r="341" spans="13:17" x14ac:dyDescent="0.2">
      <c r="M341" s="3"/>
      <c r="N341" s="3"/>
      <c r="O341" s="3"/>
      <c r="P341" s="3"/>
      <c r="Q341" s="3"/>
    </row>
    <row r="342" spans="13:17" x14ac:dyDescent="0.2">
      <c r="M342" s="3"/>
      <c r="N342" s="3"/>
      <c r="O342" s="3"/>
      <c r="P342" s="3"/>
      <c r="Q342" s="3"/>
    </row>
    <row r="343" spans="13:17" x14ac:dyDescent="0.2">
      <c r="M343" s="3"/>
      <c r="N343" s="3"/>
      <c r="O343" s="3"/>
      <c r="P343" s="3"/>
      <c r="Q343" s="3"/>
    </row>
    <row r="344" spans="13:17" x14ac:dyDescent="0.2">
      <c r="M344" s="3"/>
      <c r="N344" s="3"/>
      <c r="O344" s="3"/>
      <c r="P344" s="3"/>
      <c r="Q344" s="3"/>
    </row>
    <row r="345" spans="13:17" x14ac:dyDescent="0.2">
      <c r="M345" s="3"/>
      <c r="N345" s="3"/>
      <c r="O345" s="3"/>
      <c r="P345" s="3"/>
      <c r="Q345" s="3"/>
    </row>
    <row r="346" spans="13:17" x14ac:dyDescent="0.2">
      <c r="M346" s="3"/>
      <c r="N346" s="3"/>
      <c r="O346" s="3"/>
      <c r="P346" s="3"/>
      <c r="Q346" s="3"/>
    </row>
    <row r="347" spans="13:17" x14ac:dyDescent="0.2">
      <c r="M347" s="3"/>
      <c r="N347" s="3"/>
      <c r="O347" s="3"/>
      <c r="P347" s="3"/>
      <c r="Q347" s="3"/>
    </row>
    <row r="348" spans="13:17" x14ac:dyDescent="0.2">
      <c r="M348" s="3"/>
      <c r="N348" s="3"/>
      <c r="O348" s="3"/>
      <c r="P348" s="3"/>
      <c r="Q348" s="3"/>
    </row>
    <row r="349" spans="13:17" x14ac:dyDescent="0.2">
      <c r="M349" s="3"/>
      <c r="N349" s="3"/>
      <c r="O349" s="3"/>
      <c r="P349" s="3"/>
      <c r="Q349" s="3"/>
    </row>
    <row r="350" spans="13:17" x14ac:dyDescent="0.2">
      <c r="M350" s="3"/>
      <c r="N350" s="3"/>
      <c r="O350" s="3"/>
      <c r="P350" s="3"/>
      <c r="Q350" s="3"/>
    </row>
    <row r="351" spans="13:17" x14ac:dyDescent="0.2">
      <c r="M351" s="3"/>
      <c r="N351" s="3"/>
      <c r="O351" s="3"/>
      <c r="P351" s="3"/>
      <c r="Q351" s="3"/>
    </row>
    <row r="352" spans="13:17" x14ac:dyDescent="0.2">
      <c r="M352" s="3"/>
      <c r="N352" s="3"/>
      <c r="O352" s="3"/>
      <c r="P352" s="3"/>
      <c r="Q352" s="3"/>
    </row>
    <row r="353" spans="13:17" x14ac:dyDescent="0.2">
      <c r="M353" s="3"/>
      <c r="N353" s="3"/>
      <c r="O353" s="3"/>
      <c r="P353" s="3"/>
      <c r="Q353" s="3"/>
    </row>
    <row r="354" spans="13:17" x14ac:dyDescent="0.2">
      <c r="M354" s="3"/>
      <c r="N354" s="3"/>
      <c r="O354" s="3"/>
      <c r="P354" s="3"/>
      <c r="Q354" s="3"/>
    </row>
    <row r="355" spans="13:17" x14ac:dyDescent="0.2">
      <c r="M355" s="3"/>
      <c r="N355" s="3"/>
      <c r="O355" s="3"/>
      <c r="P355" s="3"/>
      <c r="Q355" s="3"/>
    </row>
    <row r="356" spans="13:17" x14ac:dyDescent="0.2">
      <c r="M356" s="3"/>
      <c r="N356" s="3"/>
      <c r="O356" s="3"/>
      <c r="P356" s="3"/>
      <c r="Q356" s="3"/>
    </row>
    <row r="357" spans="13:17" x14ac:dyDescent="0.2">
      <c r="M357" s="3"/>
      <c r="N357" s="3"/>
      <c r="O357" s="3"/>
      <c r="P357" s="3"/>
      <c r="Q357" s="3"/>
    </row>
    <row r="358" spans="13:17" x14ac:dyDescent="0.2">
      <c r="M358" s="3"/>
      <c r="N358" s="3"/>
      <c r="O358" s="3"/>
      <c r="P358" s="3"/>
      <c r="Q358" s="3"/>
    </row>
    <row r="359" spans="13:17" x14ac:dyDescent="0.2">
      <c r="M359" s="3"/>
      <c r="N359" s="3"/>
      <c r="O359" s="3"/>
      <c r="P359" s="3"/>
      <c r="Q359" s="3"/>
    </row>
    <row r="360" spans="13:17" x14ac:dyDescent="0.2">
      <c r="M360" s="3"/>
      <c r="N360" s="3"/>
      <c r="O360" s="3"/>
      <c r="P360" s="3"/>
      <c r="Q360" s="3"/>
    </row>
    <row r="361" spans="13:17" x14ac:dyDescent="0.2">
      <c r="M361" s="3"/>
      <c r="N361" s="3"/>
      <c r="O361" s="3"/>
      <c r="P361" s="3"/>
      <c r="Q361" s="3"/>
    </row>
    <row r="362" spans="13:17" x14ac:dyDescent="0.2">
      <c r="M362" s="3"/>
      <c r="N362" s="3"/>
      <c r="O362" s="3"/>
      <c r="P362" s="3"/>
      <c r="Q362" s="3"/>
    </row>
    <row r="363" spans="13:17" x14ac:dyDescent="0.2">
      <c r="M363" s="3"/>
      <c r="N363" s="3"/>
      <c r="O363" s="3"/>
      <c r="P363" s="3"/>
      <c r="Q363" s="3"/>
    </row>
    <row r="364" spans="13:17" x14ac:dyDescent="0.2">
      <c r="M364" s="3"/>
      <c r="N364" s="3"/>
      <c r="O364" s="3"/>
      <c r="P364" s="3"/>
      <c r="Q364" s="3"/>
    </row>
    <row r="365" spans="13:17" x14ac:dyDescent="0.2">
      <c r="M365" s="3"/>
      <c r="N365" s="3"/>
      <c r="O365" s="3"/>
      <c r="P365" s="3"/>
      <c r="Q365" s="3"/>
    </row>
    <row r="366" spans="13:17" x14ac:dyDescent="0.2">
      <c r="M366" s="3"/>
      <c r="N366" s="3"/>
      <c r="O366" s="3"/>
      <c r="P366" s="3"/>
      <c r="Q366" s="3"/>
    </row>
    <row r="367" spans="13:17" x14ac:dyDescent="0.2">
      <c r="M367" s="3"/>
      <c r="N367" s="3"/>
      <c r="O367" s="3"/>
      <c r="P367" s="3"/>
      <c r="Q367" s="3"/>
    </row>
    <row r="368" spans="13:17" x14ac:dyDescent="0.2">
      <c r="M368" s="3"/>
      <c r="N368" s="3"/>
      <c r="O368" s="3"/>
      <c r="P368" s="3"/>
      <c r="Q368" s="3"/>
    </row>
    <row r="369" spans="13:17" x14ac:dyDescent="0.2">
      <c r="M369" s="3"/>
      <c r="N369" s="3"/>
      <c r="O369" s="3"/>
      <c r="P369" s="3"/>
      <c r="Q369" s="3"/>
    </row>
    <row r="370" spans="13:17" x14ac:dyDescent="0.2">
      <c r="M370" s="3"/>
      <c r="N370" s="3"/>
      <c r="O370" s="3"/>
      <c r="P370" s="3"/>
      <c r="Q370" s="3"/>
    </row>
    <row r="371" spans="13:17" x14ac:dyDescent="0.2">
      <c r="M371" s="3"/>
      <c r="N371" s="3"/>
      <c r="O371" s="3"/>
      <c r="P371" s="3"/>
      <c r="Q371" s="3"/>
    </row>
    <row r="372" spans="13:17" x14ac:dyDescent="0.2">
      <c r="M372" s="3"/>
      <c r="N372" s="3"/>
      <c r="O372" s="3"/>
      <c r="P372" s="3"/>
      <c r="Q372" s="3"/>
    </row>
    <row r="373" spans="13:17" x14ac:dyDescent="0.2">
      <c r="M373" s="3"/>
      <c r="N373" s="3"/>
      <c r="O373" s="3"/>
      <c r="P373" s="3"/>
      <c r="Q373" s="3"/>
    </row>
    <row r="374" spans="13:17" x14ac:dyDescent="0.2">
      <c r="M374" s="3"/>
      <c r="N374" s="3"/>
      <c r="O374" s="3"/>
      <c r="P374" s="3"/>
      <c r="Q374" s="3"/>
    </row>
    <row r="375" spans="13:17" x14ac:dyDescent="0.2">
      <c r="M375" s="3"/>
      <c r="N375" s="3"/>
      <c r="O375" s="3"/>
      <c r="P375" s="3"/>
      <c r="Q375" s="3"/>
    </row>
    <row r="376" spans="13:17" x14ac:dyDescent="0.2">
      <c r="M376" s="3"/>
      <c r="N376" s="3"/>
      <c r="O376" s="3"/>
      <c r="P376" s="3"/>
      <c r="Q376" s="3"/>
    </row>
    <row r="377" spans="13:17" x14ac:dyDescent="0.2">
      <c r="M377" s="3"/>
      <c r="N377" s="3"/>
      <c r="O377" s="3"/>
      <c r="P377" s="3"/>
      <c r="Q377" s="3"/>
    </row>
    <row r="378" spans="13:17" x14ac:dyDescent="0.2">
      <c r="M378" s="3"/>
      <c r="N378" s="3"/>
      <c r="O378" s="3"/>
      <c r="P378" s="3"/>
      <c r="Q378" s="3"/>
    </row>
    <row r="379" spans="13:17" x14ac:dyDescent="0.2">
      <c r="M379" s="3"/>
      <c r="N379" s="3"/>
      <c r="O379" s="3"/>
      <c r="P379" s="3"/>
      <c r="Q379" s="3"/>
    </row>
    <row r="380" spans="13:17" x14ac:dyDescent="0.2">
      <c r="M380" s="3"/>
      <c r="N380" s="3"/>
      <c r="O380" s="3"/>
      <c r="P380" s="3"/>
      <c r="Q380" s="3"/>
    </row>
    <row r="381" spans="13:17" x14ac:dyDescent="0.2">
      <c r="M381" s="3"/>
      <c r="N381" s="3"/>
      <c r="O381" s="3"/>
      <c r="P381" s="3"/>
      <c r="Q381" s="3"/>
    </row>
    <row r="382" spans="13:17" x14ac:dyDescent="0.2">
      <c r="M382" s="3"/>
      <c r="N382" s="3"/>
      <c r="O382" s="3"/>
      <c r="P382" s="3"/>
      <c r="Q382" s="3"/>
    </row>
    <row r="383" spans="13:17" x14ac:dyDescent="0.2">
      <c r="M383" s="3"/>
      <c r="N383" s="3"/>
      <c r="O383" s="3"/>
      <c r="P383" s="3"/>
      <c r="Q383" s="3"/>
    </row>
    <row r="384" spans="13:17" x14ac:dyDescent="0.2">
      <c r="M384" s="3"/>
      <c r="N384" s="3"/>
      <c r="O384" s="3"/>
      <c r="P384" s="3"/>
      <c r="Q384" s="3"/>
    </row>
    <row r="385" spans="13:17" x14ac:dyDescent="0.2">
      <c r="M385" s="3"/>
      <c r="N385" s="3"/>
      <c r="O385" s="3"/>
      <c r="P385" s="3"/>
      <c r="Q385" s="3"/>
    </row>
    <row r="386" spans="13:17" x14ac:dyDescent="0.2">
      <c r="M386" s="3"/>
      <c r="N386" s="3"/>
      <c r="O386" s="3"/>
      <c r="P386" s="3"/>
      <c r="Q386" s="3"/>
    </row>
    <row r="387" spans="13:17" x14ac:dyDescent="0.2">
      <c r="M387" s="3"/>
      <c r="N387" s="3"/>
      <c r="O387" s="3"/>
      <c r="P387" s="3"/>
      <c r="Q387" s="3"/>
    </row>
    <row r="388" spans="13:17" x14ac:dyDescent="0.2">
      <c r="M388" s="3"/>
      <c r="N388" s="3"/>
      <c r="O388" s="3"/>
      <c r="P388" s="3"/>
      <c r="Q388" s="3"/>
    </row>
    <row r="389" spans="13:17" x14ac:dyDescent="0.2">
      <c r="M389" s="3"/>
      <c r="N389" s="3"/>
      <c r="O389" s="3"/>
      <c r="P389" s="3"/>
      <c r="Q389" s="3"/>
    </row>
    <row r="390" spans="13:17" x14ac:dyDescent="0.2">
      <c r="M390" s="3"/>
      <c r="N390" s="3"/>
      <c r="O390" s="3"/>
      <c r="P390" s="3"/>
      <c r="Q390" s="3"/>
    </row>
    <row r="391" spans="13:17" x14ac:dyDescent="0.2">
      <c r="M391" s="3"/>
      <c r="N391" s="3"/>
      <c r="O391" s="3"/>
      <c r="P391" s="3"/>
      <c r="Q391" s="3"/>
    </row>
    <row r="392" spans="13:17" x14ac:dyDescent="0.2">
      <c r="M392" s="3"/>
      <c r="N392" s="3"/>
      <c r="O392" s="3"/>
      <c r="P392" s="3"/>
      <c r="Q392" s="3"/>
    </row>
    <row r="393" spans="13:17" x14ac:dyDescent="0.2">
      <c r="M393" s="3"/>
      <c r="N393" s="3"/>
      <c r="O393" s="3"/>
      <c r="P393" s="3"/>
      <c r="Q393" s="3"/>
    </row>
    <row r="394" spans="13:17" x14ac:dyDescent="0.2">
      <c r="M394" s="3"/>
      <c r="N394" s="3"/>
      <c r="O394" s="3"/>
      <c r="P394" s="3"/>
      <c r="Q394" s="3"/>
    </row>
    <row r="395" spans="13:17" x14ac:dyDescent="0.2">
      <c r="M395" s="3"/>
      <c r="N395" s="3"/>
      <c r="O395" s="3"/>
      <c r="P395" s="3"/>
      <c r="Q395" s="3"/>
    </row>
    <row r="396" spans="13:17" x14ac:dyDescent="0.2">
      <c r="M396" s="3"/>
      <c r="N396" s="3"/>
      <c r="O396" s="3"/>
      <c r="P396" s="3"/>
      <c r="Q396" s="3"/>
    </row>
    <row r="397" spans="13:17" x14ac:dyDescent="0.2">
      <c r="M397" s="3"/>
      <c r="N397" s="3"/>
      <c r="O397" s="3"/>
      <c r="P397" s="3"/>
      <c r="Q397" s="3"/>
    </row>
    <row r="398" spans="13:17" x14ac:dyDescent="0.2">
      <c r="M398" s="3"/>
      <c r="N398" s="3"/>
      <c r="O398" s="3"/>
      <c r="P398" s="3"/>
      <c r="Q398" s="3"/>
    </row>
    <row r="399" spans="13:17" x14ac:dyDescent="0.2">
      <c r="M399" s="3"/>
      <c r="N399" s="3"/>
      <c r="O399" s="3"/>
      <c r="P399" s="3"/>
      <c r="Q399" s="3"/>
    </row>
    <row r="400" spans="13:17" x14ac:dyDescent="0.2">
      <c r="M400" s="3"/>
      <c r="N400" s="3"/>
      <c r="O400" s="3"/>
      <c r="P400" s="3"/>
      <c r="Q400" s="3"/>
    </row>
    <row r="401" spans="13:17" x14ac:dyDescent="0.2">
      <c r="M401" s="3"/>
      <c r="N401" s="3"/>
      <c r="O401" s="3"/>
      <c r="P401" s="3"/>
      <c r="Q401" s="3"/>
    </row>
    <row r="402" spans="13:17" x14ac:dyDescent="0.2">
      <c r="M402" s="3"/>
      <c r="N402" s="3"/>
      <c r="O402" s="3"/>
      <c r="P402" s="3"/>
      <c r="Q402" s="3"/>
    </row>
    <row r="403" spans="13:17" x14ac:dyDescent="0.2">
      <c r="M403" s="3"/>
      <c r="N403" s="3"/>
      <c r="O403" s="3"/>
      <c r="P403" s="3"/>
      <c r="Q403" s="3"/>
    </row>
    <row r="404" spans="13:17" x14ac:dyDescent="0.2">
      <c r="M404" s="3"/>
      <c r="N404" s="3"/>
      <c r="O404" s="3"/>
      <c r="P404" s="3"/>
      <c r="Q404" s="3"/>
    </row>
    <row r="405" spans="13:17" x14ac:dyDescent="0.2">
      <c r="M405" s="3"/>
      <c r="N405" s="3"/>
      <c r="O405" s="3"/>
      <c r="P405" s="3"/>
      <c r="Q405" s="3"/>
    </row>
    <row r="406" spans="13:17" x14ac:dyDescent="0.2">
      <c r="M406" s="3"/>
      <c r="N406" s="3"/>
      <c r="O406" s="3"/>
      <c r="P406" s="3"/>
      <c r="Q406" s="3"/>
    </row>
    <row r="407" spans="13:17" x14ac:dyDescent="0.2">
      <c r="M407" s="3"/>
      <c r="N407" s="3"/>
      <c r="O407" s="3"/>
      <c r="P407" s="3"/>
      <c r="Q407" s="3"/>
    </row>
    <row r="408" spans="13:17" x14ac:dyDescent="0.2">
      <c r="M408" s="3"/>
      <c r="N408" s="3"/>
      <c r="O408" s="3"/>
      <c r="P408" s="3"/>
      <c r="Q408" s="3"/>
    </row>
    <row r="409" spans="13:17" x14ac:dyDescent="0.2">
      <c r="M409" s="3"/>
      <c r="N409" s="3"/>
      <c r="O409" s="3"/>
      <c r="P409" s="3"/>
      <c r="Q409" s="3"/>
    </row>
    <row r="410" spans="13:17" x14ac:dyDescent="0.2">
      <c r="M410" s="3"/>
      <c r="N410" s="3"/>
      <c r="O410" s="3"/>
      <c r="P410" s="3"/>
      <c r="Q410" s="3"/>
    </row>
    <row r="411" spans="13:17" x14ac:dyDescent="0.2">
      <c r="M411" s="3"/>
      <c r="N411" s="3"/>
      <c r="O411" s="3"/>
      <c r="P411" s="3"/>
      <c r="Q411" s="3"/>
    </row>
    <row r="412" spans="13:17" x14ac:dyDescent="0.2">
      <c r="M412" s="3"/>
      <c r="N412" s="3"/>
      <c r="O412" s="3"/>
      <c r="P412" s="3"/>
      <c r="Q412" s="3"/>
    </row>
    <row r="413" spans="13:17" x14ac:dyDescent="0.2">
      <c r="M413" s="3"/>
      <c r="N413" s="3"/>
      <c r="O413" s="3"/>
      <c r="P413" s="3"/>
      <c r="Q413" s="3"/>
    </row>
    <row r="414" spans="13:17" x14ac:dyDescent="0.2">
      <c r="M414" s="3"/>
      <c r="N414" s="3"/>
      <c r="O414" s="3"/>
      <c r="P414" s="3"/>
      <c r="Q414" s="3"/>
    </row>
    <row r="415" spans="13:17" x14ac:dyDescent="0.2">
      <c r="M415" s="3"/>
      <c r="N415" s="3"/>
      <c r="O415" s="3"/>
      <c r="P415" s="3"/>
      <c r="Q415" s="3"/>
    </row>
    <row r="416" spans="13:17" x14ac:dyDescent="0.2">
      <c r="M416" s="3"/>
      <c r="N416" s="3"/>
      <c r="O416" s="3"/>
      <c r="P416" s="3"/>
      <c r="Q416" s="3"/>
    </row>
    <row r="417" spans="13:17" x14ac:dyDescent="0.2">
      <c r="M417" s="3"/>
      <c r="N417" s="3"/>
      <c r="O417" s="3"/>
      <c r="P417" s="3"/>
      <c r="Q417" s="3"/>
    </row>
    <row r="418" spans="13:17" x14ac:dyDescent="0.2">
      <c r="M418" s="3"/>
      <c r="N418" s="3"/>
      <c r="O418" s="3"/>
      <c r="P418" s="3"/>
      <c r="Q418" s="3"/>
    </row>
    <row r="419" spans="13:17" x14ac:dyDescent="0.2">
      <c r="M419" s="3"/>
      <c r="N419" s="3"/>
      <c r="O419" s="3"/>
      <c r="P419" s="3"/>
      <c r="Q419" s="3"/>
    </row>
    <row r="420" spans="13:17" x14ac:dyDescent="0.2">
      <c r="M420" s="3"/>
      <c r="N420" s="3"/>
      <c r="O420" s="3"/>
      <c r="P420" s="3"/>
      <c r="Q420" s="3"/>
    </row>
    <row r="421" spans="13:17" x14ac:dyDescent="0.2">
      <c r="M421" s="3"/>
      <c r="N421" s="3"/>
      <c r="O421" s="3"/>
      <c r="P421" s="3"/>
      <c r="Q421" s="3"/>
    </row>
    <row r="422" spans="13:17" x14ac:dyDescent="0.2">
      <c r="M422" s="3"/>
      <c r="N422" s="3"/>
      <c r="O422" s="3"/>
      <c r="P422" s="3"/>
      <c r="Q422" s="3"/>
    </row>
    <row r="423" spans="13:17" x14ac:dyDescent="0.2">
      <c r="M423" s="3"/>
      <c r="N423" s="3"/>
      <c r="O423" s="3"/>
      <c r="P423" s="3"/>
      <c r="Q423" s="3"/>
    </row>
    <row r="424" spans="13:17" x14ac:dyDescent="0.2">
      <c r="M424" s="3"/>
      <c r="N424" s="3"/>
      <c r="O424" s="3"/>
      <c r="P424" s="3"/>
      <c r="Q424" s="3"/>
    </row>
    <row r="425" spans="13:17" x14ac:dyDescent="0.2">
      <c r="M425" s="3"/>
      <c r="N425" s="3"/>
      <c r="O425" s="3"/>
      <c r="P425" s="3"/>
      <c r="Q425" s="3"/>
    </row>
    <row r="426" spans="13:17" x14ac:dyDescent="0.2">
      <c r="M426" s="3"/>
      <c r="N426" s="3"/>
      <c r="O426" s="3"/>
      <c r="P426" s="3"/>
      <c r="Q426" s="3"/>
    </row>
    <row r="427" spans="13:17" x14ac:dyDescent="0.2">
      <c r="M427" s="3"/>
      <c r="N427" s="3"/>
      <c r="O427" s="3"/>
      <c r="P427" s="3"/>
      <c r="Q427" s="3"/>
    </row>
    <row r="428" spans="13:17" x14ac:dyDescent="0.2">
      <c r="M428" s="3"/>
      <c r="N428" s="3"/>
      <c r="O428" s="3"/>
      <c r="P428" s="3"/>
      <c r="Q428" s="3"/>
    </row>
    <row r="429" spans="13:17" x14ac:dyDescent="0.2">
      <c r="M429" s="3"/>
      <c r="N429" s="3"/>
      <c r="O429" s="3"/>
      <c r="P429" s="3"/>
      <c r="Q429" s="3"/>
    </row>
    <row r="430" spans="13:17" x14ac:dyDescent="0.2">
      <c r="M430" s="3"/>
      <c r="N430" s="3"/>
      <c r="O430" s="3"/>
      <c r="P430" s="3"/>
      <c r="Q430" s="3"/>
    </row>
    <row r="431" spans="13:17" x14ac:dyDescent="0.2">
      <c r="M431" s="3"/>
      <c r="N431" s="3"/>
      <c r="O431" s="3"/>
      <c r="P431" s="3"/>
      <c r="Q431" s="3"/>
    </row>
    <row r="432" spans="13:17" x14ac:dyDescent="0.2">
      <c r="M432" s="3"/>
      <c r="N432" s="3"/>
      <c r="O432" s="3"/>
      <c r="P432" s="3"/>
      <c r="Q432" s="3"/>
    </row>
    <row r="433" spans="13:17" x14ac:dyDescent="0.2">
      <c r="M433" s="3"/>
      <c r="N433" s="3"/>
      <c r="O433" s="3"/>
      <c r="P433" s="3"/>
      <c r="Q433" s="3"/>
    </row>
    <row r="434" spans="13:17" x14ac:dyDescent="0.2">
      <c r="M434" s="3"/>
      <c r="N434" s="3"/>
      <c r="O434" s="3"/>
      <c r="P434" s="3"/>
      <c r="Q434" s="3"/>
    </row>
    <row r="435" spans="13:17" x14ac:dyDescent="0.2">
      <c r="M435" s="3"/>
      <c r="N435" s="3"/>
      <c r="O435" s="3"/>
      <c r="P435" s="3"/>
      <c r="Q435" s="3"/>
    </row>
    <row r="436" spans="13:17" x14ac:dyDescent="0.2">
      <c r="M436" s="3"/>
      <c r="N436" s="3"/>
      <c r="O436" s="3"/>
      <c r="P436" s="3"/>
      <c r="Q436" s="3"/>
    </row>
    <row r="437" spans="13:17" x14ac:dyDescent="0.2">
      <c r="M437" s="3"/>
      <c r="N437" s="3"/>
      <c r="O437" s="3"/>
      <c r="P437" s="3"/>
      <c r="Q437" s="3"/>
    </row>
    <row r="438" spans="13:17" x14ac:dyDescent="0.2">
      <c r="M438" s="3"/>
      <c r="N438" s="3"/>
      <c r="O438" s="3"/>
      <c r="P438" s="3"/>
      <c r="Q438" s="3"/>
    </row>
    <row r="439" spans="13:17" x14ac:dyDescent="0.2">
      <c r="M439" s="3"/>
      <c r="N439" s="3"/>
      <c r="O439" s="3"/>
      <c r="P439" s="3"/>
      <c r="Q439" s="3"/>
    </row>
    <row r="440" spans="13:17" x14ac:dyDescent="0.2">
      <c r="M440" s="3"/>
      <c r="N440" s="3"/>
      <c r="O440" s="3"/>
      <c r="P440" s="3"/>
      <c r="Q440" s="3"/>
    </row>
    <row r="441" spans="13:17" x14ac:dyDescent="0.2">
      <c r="M441" s="3"/>
      <c r="N441" s="3"/>
      <c r="O441" s="3"/>
      <c r="P441" s="3"/>
      <c r="Q441" s="3"/>
    </row>
    <row r="442" spans="13:17" x14ac:dyDescent="0.2">
      <c r="M442" s="3"/>
      <c r="N442" s="3"/>
      <c r="O442" s="3"/>
      <c r="P442" s="3"/>
      <c r="Q442" s="3"/>
    </row>
    <row r="443" spans="13:17" x14ac:dyDescent="0.2">
      <c r="M443" s="3"/>
      <c r="N443" s="3"/>
      <c r="O443" s="3"/>
      <c r="P443" s="3"/>
      <c r="Q443" s="3"/>
    </row>
    <row r="444" spans="13:17" x14ac:dyDescent="0.2">
      <c r="M444" s="3"/>
      <c r="N444" s="3"/>
      <c r="O444" s="3"/>
      <c r="P444" s="3"/>
      <c r="Q444" s="3"/>
    </row>
    <row r="445" spans="13:17" x14ac:dyDescent="0.2">
      <c r="M445" s="3"/>
      <c r="N445" s="3"/>
      <c r="O445" s="3"/>
      <c r="P445" s="3"/>
      <c r="Q445" s="3"/>
    </row>
    <row r="446" spans="13:17" x14ac:dyDescent="0.2">
      <c r="M446" s="3"/>
      <c r="N446" s="3"/>
      <c r="O446" s="3"/>
      <c r="P446" s="3"/>
      <c r="Q446" s="3"/>
    </row>
    <row r="447" spans="13:17" x14ac:dyDescent="0.2">
      <c r="M447" s="3"/>
      <c r="N447" s="3"/>
      <c r="O447" s="3"/>
      <c r="P447" s="3"/>
      <c r="Q447" s="3"/>
    </row>
    <row r="448" spans="13:17" x14ac:dyDescent="0.2">
      <c r="M448" s="3"/>
      <c r="N448" s="3"/>
      <c r="O448" s="3"/>
      <c r="P448" s="3"/>
      <c r="Q448" s="3"/>
    </row>
    <row r="449" spans="13:17" x14ac:dyDescent="0.2">
      <c r="M449" s="3"/>
      <c r="N449" s="3"/>
      <c r="O449" s="3"/>
      <c r="P449" s="3"/>
      <c r="Q449" s="3"/>
    </row>
    <row r="450" spans="13:17" x14ac:dyDescent="0.2">
      <c r="M450" s="3"/>
      <c r="N450" s="3"/>
      <c r="O450" s="3"/>
      <c r="P450" s="3"/>
      <c r="Q450" s="3"/>
    </row>
    <row r="451" spans="13:17" x14ac:dyDescent="0.2">
      <c r="M451" s="3"/>
      <c r="N451" s="3"/>
      <c r="O451" s="3"/>
      <c r="P451" s="3"/>
      <c r="Q451" s="3"/>
    </row>
    <row r="452" spans="13:17" x14ac:dyDescent="0.2">
      <c r="M452" s="3"/>
      <c r="N452" s="3"/>
      <c r="O452" s="3"/>
      <c r="P452" s="3"/>
      <c r="Q452" s="3"/>
    </row>
    <row r="453" spans="13:17" x14ac:dyDescent="0.2">
      <c r="M453" s="3"/>
      <c r="N453" s="3"/>
      <c r="O453" s="3"/>
      <c r="P453" s="3"/>
      <c r="Q453" s="3"/>
    </row>
    <row r="454" spans="13:17" x14ac:dyDescent="0.2">
      <c r="M454" s="3"/>
      <c r="N454" s="3"/>
      <c r="O454" s="3"/>
      <c r="P454" s="3"/>
      <c r="Q454" s="3"/>
    </row>
    <row r="455" spans="13:17" x14ac:dyDescent="0.2">
      <c r="M455" s="3"/>
      <c r="N455" s="3"/>
      <c r="O455" s="3"/>
      <c r="P455" s="3"/>
      <c r="Q455" s="3"/>
    </row>
    <row r="456" spans="13:17" x14ac:dyDescent="0.2">
      <c r="M456" s="3"/>
      <c r="N456" s="3"/>
      <c r="O456" s="3"/>
      <c r="P456" s="3"/>
      <c r="Q456" s="3"/>
    </row>
    <row r="457" spans="13:17" x14ac:dyDescent="0.2">
      <c r="M457" s="3"/>
      <c r="N457" s="3"/>
      <c r="O457" s="3"/>
      <c r="P457" s="3"/>
      <c r="Q457" s="3"/>
    </row>
    <row r="458" spans="13:17" x14ac:dyDescent="0.2">
      <c r="M458" s="3"/>
      <c r="N458" s="3"/>
      <c r="O458" s="3"/>
      <c r="P458" s="3"/>
      <c r="Q458" s="3"/>
    </row>
    <row r="459" spans="13:17" x14ac:dyDescent="0.2">
      <c r="M459" s="3"/>
      <c r="N459" s="3"/>
      <c r="O459" s="3"/>
      <c r="P459" s="3"/>
      <c r="Q459" s="3"/>
    </row>
    <row r="460" spans="13:17" x14ac:dyDescent="0.2">
      <c r="M460" s="3"/>
      <c r="N460" s="3"/>
      <c r="O460" s="3"/>
      <c r="P460" s="3"/>
      <c r="Q460" s="3"/>
    </row>
    <row r="461" spans="13:17" x14ac:dyDescent="0.2">
      <c r="M461" s="3"/>
      <c r="N461" s="3"/>
      <c r="O461" s="3"/>
      <c r="P461" s="3"/>
      <c r="Q461" s="3"/>
    </row>
    <row r="462" spans="13:17" x14ac:dyDescent="0.2">
      <c r="M462" s="3"/>
      <c r="N462" s="3"/>
      <c r="O462" s="3"/>
      <c r="P462" s="3"/>
      <c r="Q462" s="3"/>
    </row>
    <row r="463" spans="13:17" x14ac:dyDescent="0.2">
      <c r="M463" s="3"/>
      <c r="N463" s="3"/>
      <c r="O463" s="3"/>
      <c r="P463" s="3"/>
      <c r="Q463" s="3"/>
    </row>
  </sheetData>
  <mergeCells count="44">
    <mergeCell ref="R2:T2"/>
    <mergeCell ref="U2:W2"/>
    <mergeCell ref="R3:T3"/>
    <mergeCell ref="H2:I2"/>
    <mergeCell ref="J2:K2"/>
    <mergeCell ref="L2:M2"/>
    <mergeCell ref="N2:O2"/>
    <mergeCell ref="P2:Q2"/>
    <mergeCell ref="N6:N8"/>
    <mergeCell ref="O6:O8"/>
    <mergeCell ref="P6:P8"/>
    <mergeCell ref="Q6:Q8"/>
    <mergeCell ref="K6:K8"/>
    <mergeCell ref="N12:N13"/>
    <mergeCell ref="K12:K13"/>
    <mergeCell ref="O12:O13"/>
    <mergeCell ref="Q9:Q11"/>
    <mergeCell ref="Q12:Q13"/>
    <mergeCell ref="P12:P13"/>
    <mergeCell ref="N9:N11"/>
    <mergeCell ref="O9:O11"/>
    <mergeCell ref="P9:P11"/>
    <mergeCell ref="N14:N16"/>
    <mergeCell ref="N17:N19"/>
    <mergeCell ref="Q17:Q19"/>
    <mergeCell ref="Q14:Q16"/>
    <mergeCell ref="K14:K16"/>
    <mergeCell ref="K17:K19"/>
    <mergeCell ref="O17:O19"/>
    <mergeCell ref="O14:O16"/>
    <mergeCell ref="P14:P16"/>
    <mergeCell ref="P17:P19"/>
    <mergeCell ref="Q20:Q24"/>
    <mergeCell ref="Q25:Q27"/>
    <mergeCell ref="K20:K24"/>
    <mergeCell ref="M20:M24"/>
    <mergeCell ref="I20:I22"/>
    <mergeCell ref="J20:J22"/>
    <mergeCell ref="L20:L22"/>
    <mergeCell ref="K25:K27"/>
    <mergeCell ref="N25:N27"/>
    <mergeCell ref="N20:N24"/>
    <mergeCell ref="O20:O24"/>
    <mergeCell ref="P20:P24"/>
  </mergeCells>
  <dataValidations disablePrompts="1" count="2">
    <dataValidation type="textLength" showInputMessage="1" showErrorMessage="1" sqref="AG4">
      <formula1>0</formula1>
      <formula2>150</formula2>
    </dataValidation>
    <dataValidation type="list" allowBlank="1" showInputMessage="1" showErrorMessage="1" sqref="AD4:AE7 AC4 AC7">
      <formula1>#REF!</formula1>
    </dataValidation>
  </dataValidations>
  <pageMargins left="0.70866141732283472" right="0.70866141732283472" top="0.74803149606299213" bottom="0.74803149606299213" header="0.31496062992125984" footer="0.31496062992125984"/>
  <pageSetup paperSize="9" scale="53"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U438"/>
  <sheetViews>
    <sheetView zoomScale="60" zoomScaleNormal="60" workbookViewId="0">
      <pane ySplit="4" topLeftCell="A11" activePane="bottomLeft" state="frozen"/>
      <selection activeCell="AA4" sqref="AA4"/>
      <selection pane="bottomLeft" activeCell="A12" sqref="A12:XFD12"/>
    </sheetView>
  </sheetViews>
  <sheetFormatPr defaultColWidth="8.85546875" defaultRowHeight="12.75" x14ac:dyDescent="0.2"/>
  <cols>
    <col min="2" max="2" width="34.140625" customWidth="1"/>
    <col min="3" max="3" width="12.5703125" bestFit="1" customWidth="1"/>
    <col min="4" max="4" width="38.140625" customWidth="1"/>
    <col min="5" max="5" width="11.85546875" customWidth="1"/>
    <col min="6" max="6" width="12.140625" customWidth="1"/>
    <col min="7" max="7" width="29.140625" customWidth="1"/>
    <col min="8" max="8" width="10.5703125" style="311" customWidth="1"/>
    <col min="9" max="9" width="26.5703125" style="317" customWidth="1"/>
    <col min="10" max="10" width="26.7109375" style="311" customWidth="1"/>
    <col min="11" max="11" width="18.85546875" style="311" customWidth="1"/>
    <col min="12" max="12" width="30.5703125" style="311" customWidth="1"/>
    <col min="13" max="13" width="35.28515625" style="317" customWidth="1"/>
    <col min="14" max="14" width="12.85546875" customWidth="1"/>
    <col min="15" max="15" width="57" customWidth="1"/>
    <col min="16" max="16" width="13.42578125" customWidth="1"/>
    <col min="25" max="25" width="52.7109375" customWidth="1"/>
  </cols>
  <sheetData>
    <row r="1" spans="1:21" ht="13.5" thickBot="1" x14ac:dyDescent="0.25">
      <c r="A1" s="7" t="s">
        <v>189</v>
      </c>
      <c r="B1" s="138"/>
      <c r="C1" s="138"/>
      <c r="D1" s="139"/>
      <c r="E1" s="38"/>
      <c r="F1" s="38"/>
      <c r="G1" s="39"/>
      <c r="H1" s="38"/>
      <c r="I1" s="38"/>
      <c r="J1" s="38"/>
      <c r="K1" s="39"/>
      <c r="L1" s="39"/>
      <c r="M1" s="39"/>
      <c r="N1" s="39"/>
      <c r="O1" s="39"/>
      <c r="P1" s="40"/>
    </row>
    <row r="2" spans="1:21" x14ac:dyDescent="0.2">
      <c r="J2" s="312"/>
      <c r="K2" s="312"/>
      <c r="L2" s="313" t="s">
        <v>56</v>
      </c>
      <c r="M2" s="295" t="s">
        <v>1484</v>
      </c>
    </row>
    <row r="3" spans="1:21" x14ac:dyDescent="0.2">
      <c r="J3" s="263"/>
      <c r="K3" s="263"/>
      <c r="L3" s="140" t="s">
        <v>55</v>
      </c>
      <c r="M3" s="399">
        <v>2020</v>
      </c>
    </row>
    <row r="4" spans="1:21" ht="84.95" customHeight="1" thickBot="1" x14ac:dyDescent="0.25">
      <c r="A4" s="140" t="s">
        <v>0</v>
      </c>
      <c r="B4" s="141" t="s">
        <v>178</v>
      </c>
      <c r="C4" s="141" t="s">
        <v>179</v>
      </c>
      <c r="D4" s="141" t="s">
        <v>190</v>
      </c>
      <c r="E4" s="141" t="s">
        <v>191</v>
      </c>
      <c r="F4" s="141" t="s">
        <v>192</v>
      </c>
      <c r="G4" s="141" t="s">
        <v>4</v>
      </c>
      <c r="H4" s="154" t="s">
        <v>275</v>
      </c>
      <c r="I4" s="155" t="s">
        <v>193</v>
      </c>
      <c r="J4" s="155" t="s">
        <v>269</v>
      </c>
      <c r="K4" s="155" t="s">
        <v>270</v>
      </c>
      <c r="L4" s="168" t="s">
        <v>194</v>
      </c>
      <c r="M4" s="620" t="s">
        <v>95</v>
      </c>
    </row>
    <row r="5" spans="1:21" ht="25.5" x14ac:dyDescent="0.2">
      <c r="A5" s="472" t="s">
        <v>276</v>
      </c>
      <c r="B5" s="472" t="s">
        <v>668</v>
      </c>
      <c r="C5" s="472" t="s">
        <v>669</v>
      </c>
      <c r="D5" s="472" t="s">
        <v>725</v>
      </c>
      <c r="E5" s="472" t="s">
        <v>195</v>
      </c>
      <c r="F5" s="472" t="s">
        <v>6</v>
      </c>
      <c r="G5" s="844" t="s">
        <v>1584</v>
      </c>
      <c r="H5" s="307"/>
      <c r="I5" s="307" t="s">
        <v>674</v>
      </c>
      <c r="J5" s="308"/>
      <c r="K5" s="308"/>
      <c r="L5" s="309" t="str">
        <f>IF(OR(H5="Y",H5=""),"","x")</f>
        <v/>
      </c>
      <c r="M5" s="845" t="s">
        <v>1719</v>
      </c>
      <c r="N5" s="185"/>
      <c r="O5" s="185"/>
      <c r="P5" s="185"/>
      <c r="Q5" s="185"/>
      <c r="R5" s="185"/>
      <c r="S5" s="185"/>
      <c r="T5" s="185"/>
      <c r="U5" s="185"/>
    </row>
    <row r="6" spans="1:21" ht="25.5" x14ac:dyDescent="0.2">
      <c r="A6" s="472" t="s">
        <v>276</v>
      </c>
      <c r="B6" s="472" t="s">
        <v>668</v>
      </c>
      <c r="C6" s="472" t="s">
        <v>669</v>
      </c>
      <c r="D6" s="472" t="s">
        <v>1585</v>
      </c>
      <c r="E6" s="472" t="s">
        <v>195</v>
      </c>
      <c r="F6" s="472" t="s">
        <v>6</v>
      </c>
      <c r="G6" s="842"/>
      <c r="H6" s="307"/>
      <c r="I6" s="307" t="s">
        <v>674</v>
      </c>
      <c r="J6" s="308"/>
      <c r="K6" s="308"/>
      <c r="L6" s="309" t="str">
        <f t="shared" ref="L6:L25" si="0">IF(OR(H6="Y",H6=""),"","x")</f>
        <v/>
      </c>
      <c r="M6" s="845"/>
      <c r="N6" s="185"/>
      <c r="O6" s="185"/>
      <c r="P6" s="185"/>
      <c r="Q6" s="185"/>
    </row>
    <row r="7" spans="1:21" ht="25.5" x14ac:dyDescent="0.2">
      <c r="A7" s="472" t="s">
        <v>276</v>
      </c>
      <c r="B7" s="472" t="s">
        <v>668</v>
      </c>
      <c r="C7" s="472" t="s">
        <v>669</v>
      </c>
      <c r="D7" s="472" t="s">
        <v>1585</v>
      </c>
      <c r="E7" s="472" t="s">
        <v>195</v>
      </c>
      <c r="F7" s="472" t="s">
        <v>6</v>
      </c>
      <c r="G7" s="842"/>
      <c r="H7" s="307"/>
      <c r="I7" s="307" t="s">
        <v>674</v>
      </c>
      <c r="J7" s="308"/>
      <c r="K7" s="308"/>
      <c r="L7" s="309" t="str">
        <f t="shared" si="0"/>
        <v/>
      </c>
      <c r="M7" s="845"/>
      <c r="N7" s="185"/>
      <c r="O7" s="185"/>
      <c r="P7" s="185"/>
      <c r="Q7" s="185"/>
    </row>
    <row r="8" spans="1:21" ht="25.5" x14ac:dyDescent="0.2">
      <c r="A8" s="472" t="s">
        <v>276</v>
      </c>
      <c r="B8" s="472" t="s">
        <v>668</v>
      </c>
      <c r="C8" s="472" t="s">
        <v>669</v>
      </c>
      <c r="D8" s="472" t="s">
        <v>726</v>
      </c>
      <c r="E8" s="472" t="s">
        <v>195</v>
      </c>
      <c r="F8" s="472" t="s">
        <v>6</v>
      </c>
      <c r="G8" s="842"/>
      <c r="H8" s="307"/>
      <c r="I8" s="307" t="s">
        <v>674</v>
      </c>
      <c r="J8" s="308"/>
      <c r="K8" s="308"/>
      <c r="L8" s="309" t="str">
        <f t="shared" si="0"/>
        <v/>
      </c>
      <c r="M8" s="845"/>
      <c r="N8" s="185"/>
      <c r="O8" s="185"/>
      <c r="P8" s="185"/>
      <c r="Q8" s="185"/>
    </row>
    <row r="9" spans="1:21" ht="25.5" x14ac:dyDescent="0.2">
      <c r="A9" s="472" t="s">
        <v>276</v>
      </c>
      <c r="B9" s="472" t="s">
        <v>668</v>
      </c>
      <c r="C9" s="472" t="s">
        <v>669</v>
      </c>
      <c r="D9" s="472" t="s">
        <v>1586</v>
      </c>
      <c r="E9" s="472" t="s">
        <v>195</v>
      </c>
      <c r="F9" s="472" t="s">
        <v>6</v>
      </c>
      <c r="G9" s="842"/>
      <c r="H9" s="307"/>
      <c r="I9" s="307" t="s">
        <v>674</v>
      </c>
      <c r="J9" s="308"/>
      <c r="K9" s="308"/>
      <c r="L9" s="309" t="str">
        <f t="shared" si="0"/>
        <v/>
      </c>
      <c r="M9" s="845"/>
      <c r="N9" s="185"/>
      <c r="O9" s="185"/>
      <c r="P9" s="185"/>
      <c r="Q9" s="185"/>
    </row>
    <row r="10" spans="1:21" ht="25.5" x14ac:dyDescent="0.2">
      <c r="A10" s="472" t="s">
        <v>276</v>
      </c>
      <c r="B10" s="472" t="s">
        <v>668</v>
      </c>
      <c r="C10" s="472" t="s">
        <v>669</v>
      </c>
      <c r="D10" s="472" t="s">
        <v>727</v>
      </c>
      <c r="E10" s="472" t="s">
        <v>196</v>
      </c>
      <c r="F10" s="472" t="s">
        <v>77</v>
      </c>
      <c r="G10" s="842"/>
      <c r="H10" s="307"/>
      <c r="I10" s="307"/>
      <c r="J10" s="308"/>
      <c r="K10" s="308"/>
      <c r="L10" s="309" t="str">
        <f t="shared" si="0"/>
        <v/>
      </c>
      <c r="M10" s="845"/>
      <c r="N10" s="185"/>
      <c r="O10" s="185"/>
      <c r="P10" s="185"/>
      <c r="Q10" s="185"/>
    </row>
    <row r="11" spans="1:21" ht="25.5" x14ac:dyDescent="0.2">
      <c r="A11" s="472" t="s">
        <v>276</v>
      </c>
      <c r="B11" s="472" t="s">
        <v>668</v>
      </c>
      <c r="C11" s="472" t="s">
        <v>669</v>
      </c>
      <c r="D11" s="472" t="s">
        <v>728</v>
      </c>
      <c r="E11" s="472" t="s">
        <v>196</v>
      </c>
      <c r="F11" s="472" t="s">
        <v>77</v>
      </c>
      <c r="G11" s="843"/>
      <c r="H11" s="307"/>
      <c r="I11" s="307"/>
      <c r="J11" s="308"/>
      <c r="K11" s="308"/>
      <c r="L11" s="309" t="str">
        <f t="shared" si="0"/>
        <v/>
      </c>
      <c r="M11" s="845"/>
      <c r="N11" s="185"/>
      <c r="O11" s="185"/>
      <c r="P11" s="185"/>
      <c r="Q11" s="185"/>
    </row>
    <row r="12" spans="1:21" ht="76.5" x14ac:dyDescent="0.2">
      <c r="A12" s="472" t="s">
        <v>276</v>
      </c>
      <c r="B12" s="472" t="s">
        <v>652</v>
      </c>
      <c r="C12" s="472" t="s">
        <v>729</v>
      </c>
      <c r="D12" s="472" t="s">
        <v>730</v>
      </c>
      <c r="E12" s="472" t="s">
        <v>195</v>
      </c>
      <c r="F12" s="472" t="s">
        <v>6</v>
      </c>
      <c r="G12" s="472"/>
      <c r="H12" s="310" t="s">
        <v>6</v>
      </c>
      <c r="I12" s="316" t="s">
        <v>659</v>
      </c>
      <c r="J12" s="310" t="s">
        <v>6</v>
      </c>
      <c r="K12" s="310" t="s">
        <v>77</v>
      </c>
      <c r="L12" s="309" t="str">
        <f t="shared" si="0"/>
        <v/>
      </c>
      <c r="M12" s="623"/>
      <c r="N12" s="185"/>
      <c r="O12" s="185"/>
      <c r="P12" s="185"/>
      <c r="Q12" s="185"/>
    </row>
    <row r="13" spans="1:21" ht="114.75" x14ac:dyDescent="0.2">
      <c r="A13" s="472" t="s">
        <v>276</v>
      </c>
      <c r="B13" s="472" t="s">
        <v>652</v>
      </c>
      <c r="C13" s="472" t="s">
        <v>729</v>
      </c>
      <c r="D13" s="472" t="s">
        <v>731</v>
      </c>
      <c r="E13" s="472" t="s">
        <v>195</v>
      </c>
      <c r="F13" s="472" t="s">
        <v>6</v>
      </c>
      <c r="G13" s="472"/>
      <c r="H13" s="310" t="s">
        <v>6</v>
      </c>
      <c r="I13" s="316" t="s">
        <v>659</v>
      </c>
      <c r="J13" s="310" t="s">
        <v>6</v>
      </c>
      <c r="K13" s="310" t="s">
        <v>77</v>
      </c>
      <c r="L13" s="309" t="str">
        <f t="shared" si="0"/>
        <v/>
      </c>
      <c r="M13" s="623"/>
      <c r="N13" s="185"/>
      <c r="O13" s="185"/>
      <c r="P13" s="185"/>
      <c r="Q13" s="185"/>
    </row>
    <row r="14" spans="1:21" ht="229.5" x14ac:dyDescent="0.2">
      <c r="A14" s="472" t="s">
        <v>276</v>
      </c>
      <c r="B14" s="472" t="s">
        <v>652</v>
      </c>
      <c r="C14" s="472" t="s">
        <v>729</v>
      </c>
      <c r="D14" s="472" t="s">
        <v>732</v>
      </c>
      <c r="E14" s="472" t="s">
        <v>195</v>
      </c>
      <c r="F14" s="472" t="s">
        <v>6</v>
      </c>
      <c r="G14" s="472"/>
      <c r="H14" s="310" t="s">
        <v>6</v>
      </c>
      <c r="I14" s="316" t="s">
        <v>659</v>
      </c>
      <c r="J14" s="310" t="s">
        <v>6</v>
      </c>
      <c r="K14" s="310" t="s">
        <v>77</v>
      </c>
      <c r="L14" s="309" t="str">
        <f t="shared" si="0"/>
        <v/>
      </c>
      <c r="M14" s="623"/>
      <c r="N14" s="185"/>
      <c r="O14" s="185"/>
      <c r="P14" s="185"/>
      <c r="Q14" s="185"/>
    </row>
    <row r="15" spans="1:21" ht="178.5" x14ac:dyDescent="0.2">
      <c r="A15" s="472" t="s">
        <v>276</v>
      </c>
      <c r="B15" s="472" t="s">
        <v>652</v>
      </c>
      <c r="C15" s="472" t="s">
        <v>729</v>
      </c>
      <c r="D15" s="472" t="s">
        <v>733</v>
      </c>
      <c r="E15" s="472" t="s">
        <v>195</v>
      </c>
      <c r="F15" s="472" t="s">
        <v>6</v>
      </c>
      <c r="G15" s="472"/>
      <c r="H15" s="310" t="s">
        <v>6</v>
      </c>
      <c r="I15" s="316" t="s">
        <v>659</v>
      </c>
      <c r="J15" s="310" t="s">
        <v>6</v>
      </c>
      <c r="K15" s="310" t="s">
        <v>77</v>
      </c>
      <c r="L15" s="309" t="str">
        <f t="shared" si="0"/>
        <v/>
      </c>
      <c r="M15" s="623"/>
      <c r="N15" s="185"/>
      <c r="O15" s="185"/>
      <c r="P15" s="185"/>
      <c r="Q15" s="185"/>
    </row>
    <row r="16" spans="1:21" ht="293.25" x14ac:dyDescent="0.2">
      <c r="A16" s="472" t="s">
        <v>276</v>
      </c>
      <c r="B16" s="472" t="s">
        <v>652</v>
      </c>
      <c r="C16" s="472" t="s">
        <v>729</v>
      </c>
      <c r="D16" s="472" t="s">
        <v>734</v>
      </c>
      <c r="E16" s="472" t="s">
        <v>195</v>
      </c>
      <c r="F16" s="472" t="s">
        <v>6</v>
      </c>
      <c r="G16" s="472"/>
      <c r="H16" s="310" t="s">
        <v>6</v>
      </c>
      <c r="I16" s="316" t="s">
        <v>659</v>
      </c>
      <c r="J16" s="310" t="s">
        <v>6</v>
      </c>
      <c r="K16" s="310" t="s">
        <v>77</v>
      </c>
      <c r="L16" s="309" t="str">
        <f t="shared" si="0"/>
        <v/>
      </c>
      <c r="M16" s="623"/>
      <c r="N16" s="185"/>
      <c r="O16" s="185"/>
      <c r="P16" s="185"/>
      <c r="Q16" s="185"/>
    </row>
    <row r="17" spans="1:17" ht="25.5" x14ac:dyDescent="0.2">
      <c r="A17" s="472" t="s">
        <v>276</v>
      </c>
      <c r="B17" s="472" t="s">
        <v>652</v>
      </c>
      <c r="C17" s="472" t="s">
        <v>729</v>
      </c>
      <c r="D17" s="472" t="s">
        <v>735</v>
      </c>
      <c r="E17" s="472" t="s">
        <v>195</v>
      </c>
      <c r="F17" s="472" t="s">
        <v>6</v>
      </c>
      <c r="G17" s="472"/>
      <c r="H17" s="310" t="s">
        <v>6</v>
      </c>
      <c r="I17" s="316" t="s">
        <v>1441</v>
      </c>
      <c r="J17" s="310" t="s">
        <v>6</v>
      </c>
      <c r="K17" s="310" t="s">
        <v>77</v>
      </c>
      <c r="L17" s="309" t="str">
        <f t="shared" si="0"/>
        <v/>
      </c>
      <c r="M17" s="623"/>
      <c r="N17" s="185"/>
      <c r="O17" s="185"/>
      <c r="P17" s="185"/>
      <c r="Q17" s="185"/>
    </row>
    <row r="18" spans="1:17" ht="25.5" x14ac:dyDescent="0.2">
      <c r="A18" s="472" t="s">
        <v>276</v>
      </c>
      <c r="B18" s="472" t="s">
        <v>652</v>
      </c>
      <c r="C18" s="472" t="s">
        <v>729</v>
      </c>
      <c r="D18" s="472" t="s">
        <v>736</v>
      </c>
      <c r="E18" s="472" t="s">
        <v>196</v>
      </c>
      <c r="F18" s="472" t="s">
        <v>77</v>
      </c>
      <c r="G18" s="472" t="s">
        <v>737</v>
      </c>
      <c r="H18" s="307" t="s">
        <v>6</v>
      </c>
      <c r="I18" s="307" t="s">
        <v>1442</v>
      </c>
      <c r="J18" s="310" t="s">
        <v>6</v>
      </c>
      <c r="K18" s="308" t="s">
        <v>77</v>
      </c>
      <c r="L18" s="309" t="str">
        <f t="shared" si="0"/>
        <v/>
      </c>
      <c r="M18" s="623"/>
      <c r="N18" s="185"/>
      <c r="O18" s="185"/>
      <c r="P18" s="185"/>
      <c r="Q18" s="185"/>
    </row>
    <row r="19" spans="1:17" ht="25.5" x14ac:dyDescent="0.2">
      <c r="A19" s="472" t="s">
        <v>276</v>
      </c>
      <c r="B19" s="472" t="s">
        <v>652</v>
      </c>
      <c r="C19" s="472" t="s">
        <v>729</v>
      </c>
      <c r="D19" s="472" t="s">
        <v>738</v>
      </c>
      <c r="E19" s="472" t="s">
        <v>196</v>
      </c>
      <c r="F19" s="472" t="s">
        <v>77</v>
      </c>
      <c r="G19" s="472"/>
      <c r="H19" s="307" t="s">
        <v>6</v>
      </c>
      <c r="I19" s="307" t="s">
        <v>659</v>
      </c>
      <c r="J19" s="310" t="s">
        <v>6</v>
      </c>
      <c r="K19" s="308" t="s">
        <v>77</v>
      </c>
      <c r="L19" s="309" t="str">
        <f t="shared" si="0"/>
        <v/>
      </c>
      <c r="M19" s="623"/>
      <c r="N19" s="185"/>
      <c r="O19" s="185"/>
      <c r="P19" s="185"/>
      <c r="Q19" s="185"/>
    </row>
    <row r="20" spans="1:17" ht="25.5" x14ac:dyDescent="0.2">
      <c r="A20" s="472" t="s">
        <v>276</v>
      </c>
      <c r="B20" s="472" t="s">
        <v>652</v>
      </c>
      <c r="C20" s="472" t="s">
        <v>729</v>
      </c>
      <c r="D20" s="472" t="s">
        <v>739</v>
      </c>
      <c r="E20" s="472" t="s">
        <v>196</v>
      </c>
      <c r="F20" s="472" t="s">
        <v>77</v>
      </c>
      <c r="G20" s="472"/>
      <c r="H20" s="307" t="s">
        <v>6</v>
      </c>
      <c r="I20" s="363" t="s">
        <v>1479</v>
      </c>
      <c r="J20" s="310" t="s">
        <v>6</v>
      </c>
      <c r="K20" s="308" t="s">
        <v>6</v>
      </c>
      <c r="L20" s="309" t="str">
        <f t="shared" si="0"/>
        <v/>
      </c>
      <c r="M20" s="625" t="s">
        <v>1732</v>
      </c>
      <c r="N20" s="185"/>
      <c r="O20" s="185"/>
      <c r="P20" s="185"/>
      <c r="Q20" s="185"/>
    </row>
    <row r="21" spans="1:17" s="315" customFormat="1" ht="89.25" x14ac:dyDescent="0.2">
      <c r="A21" s="472" t="s">
        <v>276</v>
      </c>
      <c r="B21" s="472" t="s">
        <v>652</v>
      </c>
      <c r="C21" s="472" t="s">
        <v>729</v>
      </c>
      <c r="D21" s="472" t="s">
        <v>740</v>
      </c>
      <c r="E21" s="472" t="s">
        <v>196</v>
      </c>
      <c r="F21" s="472" t="s">
        <v>77</v>
      </c>
      <c r="G21" s="472"/>
      <c r="H21" s="364" t="s">
        <v>6</v>
      </c>
      <c r="I21" s="364" t="s">
        <v>1443</v>
      </c>
      <c r="J21" s="310" t="s">
        <v>6</v>
      </c>
      <c r="K21" s="365" t="s">
        <v>77</v>
      </c>
      <c r="L21" s="309" t="str">
        <f t="shared" si="0"/>
        <v/>
      </c>
      <c r="M21" s="622"/>
      <c r="N21" s="314"/>
      <c r="O21" s="314"/>
      <c r="P21" s="314"/>
      <c r="Q21" s="314"/>
    </row>
    <row r="22" spans="1:17" ht="38.25" x14ac:dyDescent="0.2">
      <c r="A22" s="472" t="s">
        <v>276</v>
      </c>
      <c r="B22" s="472" t="s">
        <v>693</v>
      </c>
      <c r="C22" s="472" t="s">
        <v>741</v>
      </c>
      <c r="D22" s="472" t="s">
        <v>742</v>
      </c>
      <c r="E22" s="472" t="s">
        <v>195</v>
      </c>
      <c r="F22" s="472" t="s">
        <v>6</v>
      </c>
      <c r="G22" s="841" t="s">
        <v>743</v>
      </c>
      <c r="H22" s="307" t="s">
        <v>6</v>
      </c>
      <c r="I22" s="307" t="s">
        <v>688</v>
      </c>
      <c r="J22" s="310" t="s">
        <v>6</v>
      </c>
      <c r="K22" s="308" t="s">
        <v>77</v>
      </c>
      <c r="L22" s="309" t="str">
        <f t="shared" si="0"/>
        <v/>
      </c>
      <c r="M22" s="623"/>
      <c r="N22" s="185"/>
      <c r="O22" s="185"/>
      <c r="P22" s="185"/>
      <c r="Q22" s="185"/>
    </row>
    <row r="23" spans="1:17" ht="38.25" x14ac:dyDescent="0.2">
      <c r="A23" s="472" t="s">
        <v>276</v>
      </c>
      <c r="B23" s="472" t="s">
        <v>693</v>
      </c>
      <c r="C23" s="472" t="s">
        <v>741</v>
      </c>
      <c r="D23" s="472" t="s">
        <v>744</v>
      </c>
      <c r="E23" s="472" t="s">
        <v>196</v>
      </c>
      <c r="F23" s="472" t="s">
        <v>77</v>
      </c>
      <c r="G23" s="842"/>
      <c r="H23" s="307" t="s">
        <v>6</v>
      </c>
      <c r="I23" s="307" t="s">
        <v>77</v>
      </c>
      <c r="J23" s="310" t="s">
        <v>6</v>
      </c>
      <c r="K23" s="308" t="s">
        <v>77</v>
      </c>
      <c r="L23" s="309"/>
      <c r="M23" s="623"/>
      <c r="N23" s="185"/>
      <c r="O23" s="185"/>
      <c r="P23" s="185"/>
      <c r="Q23" s="185"/>
    </row>
    <row r="24" spans="1:17" ht="38.25" x14ac:dyDescent="0.2">
      <c r="A24" s="472" t="s">
        <v>276</v>
      </c>
      <c r="B24" s="472" t="s">
        <v>693</v>
      </c>
      <c r="C24" s="472" t="s">
        <v>741</v>
      </c>
      <c r="D24" s="472" t="s">
        <v>745</v>
      </c>
      <c r="E24" s="472" t="s">
        <v>196</v>
      </c>
      <c r="F24" s="472" t="s">
        <v>77</v>
      </c>
      <c r="G24" s="842"/>
      <c r="H24" s="307" t="s">
        <v>6</v>
      </c>
      <c r="I24" s="307" t="s">
        <v>77</v>
      </c>
      <c r="J24" s="310" t="s">
        <v>6</v>
      </c>
      <c r="K24" s="308" t="s">
        <v>77</v>
      </c>
      <c r="L24" s="309" t="str">
        <f t="shared" si="0"/>
        <v/>
      </c>
      <c r="M24" s="623"/>
      <c r="N24" s="185"/>
      <c r="O24" s="185"/>
      <c r="P24" s="185"/>
      <c r="Q24" s="185"/>
    </row>
    <row r="25" spans="1:17" ht="50.25" customHeight="1" x14ac:dyDescent="0.2">
      <c r="A25" s="472" t="s">
        <v>276</v>
      </c>
      <c r="B25" s="472" t="s">
        <v>693</v>
      </c>
      <c r="C25" s="472" t="s">
        <v>741</v>
      </c>
      <c r="D25" s="472" t="s">
        <v>746</v>
      </c>
      <c r="E25" s="472" t="s">
        <v>196</v>
      </c>
      <c r="F25" s="472" t="s">
        <v>77</v>
      </c>
      <c r="G25" s="842"/>
      <c r="H25" s="307" t="s">
        <v>6</v>
      </c>
      <c r="I25" s="307" t="s">
        <v>77</v>
      </c>
      <c r="J25" s="310" t="s">
        <v>6</v>
      </c>
      <c r="K25" s="308" t="s">
        <v>6</v>
      </c>
      <c r="L25" s="309" t="str">
        <f t="shared" si="0"/>
        <v/>
      </c>
      <c r="M25" s="623" t="s">
        <v>1720</v>
      </c>
      <c r="N25" s="185"/>
      <c r="O25" s="185"/>
      <c r="P25" s="185"/>
      <c r="Q25" s="185"/>
    </row>
    <row r="26" spans="1:17" ht="108.75" customHeight="1" x14ac:dyDescent="0.2">
      <c r="A26" s="472" t="s">
        <v>276</v>
      </c>
      <c r="B26" s="472" t="s">
        <v>693</v>
      </c>
      <c r="C26" s="472" t="s">
        <v>747</v>
      </c>
      <c r="D26" s="472" t="s">
        <v>748</v>
      </c>
      <c r="E26" s="472" t="s">
        <v>196</v>
      </c>
      <c r="F26" s="472" t="s">
        <v>77</v>
      </c>
      <c r="G26" s="843"/>
      <c r="H26" s="307" t="s">
        <v>77</v>
      </c>
      <c r="I26" s="307" t="s">
        <v>77</v>
      </c>
      <c r="J26" s="310" t="s">
        <v>77</v>
      </c>
      <c r="K26" s="308" t="s">
        <v>77</v>
      </c>
      <c r="L26" s="309" t="s">
        <v>150</v>
      </c>
      <c r="M26" s="622" t="s">
        <v>1721</v>
      </c>
      <c r="N26" s="185"/>
      <c r="O26" s="185"/>
      <c r="P26" s="185"/>
      <c r="Q26" s="185"/>
    </row>
    <row r="27" spans="1:17" ht="58.5" customHeight="1" x14ac:dyDescent="0.2">
      <c r="A27" s="472" t="s">
        <v>276</v>
      </c>
      <c r="B27" s="473" t="s">
        <v>662</v>
      </c>
      <c r="C27" s="472"/>
      <c r="D27" s="472" t="s">
        <v>749</v>
      </c>
      <c r="E27" s="472" t="s">
        <v>195</v>
      </c>
      <c r="F27" s="472" t="s">
        <v>6</v>
      </c>
      <c r="G27" s="472"/>
      <c r="H27" s="310" t="s">
        <v>77</v>
      </c>
      <c r="I27" s="316" t="s">
        <v>1445</v>
      </c>
      <c r="J27" s="310" t="s">
        <v>77</v>
      </c>
      <c r="K27" s="310" t="s">
        <v>77</v>
      </c>
      <c r="L27" s="309" t="str">
        <f t="shared" ref="L27:L61" si="1">IF(OR(H27="Y",H27=""),"","X")</f>
        <v>X</v>
      </c>
      <c r="M27" s="846" t="s">
        <v>1722</v>
      </c>
      <c r="N27" s="185"/>
      <c r="O27" s="185"/>
      <c r="P27" s="185"/>
      <c r="Q27" s="185"/>
    </row>
    <row r="28" spans="1:17" ht="19.5" customHeight="1" x14ac:dyDescent="0.2">
      <c r="A28" s="472" t="s">
        <v>276</v>
      </c>
      <c r="B28" s="473" t="s">
        <v>662</v>
      </c>
      <c r="C28" s="472"/>
      <c r="D28" s="472" t="s">
        <v>750</v>
      </c>
      <c r="E28" s="472" t="s">
        <v>195</v>
      </c>
      <c r="F28" s="472" t="s">
        <v>6</v>
      </c>
      <c r="G28" s="472"/>
      <c r="H28" s="310" t="s">
        <v>77</v>
      </c>
      <c r="I28" s="316" t="s">
        <v>1445</v>
      </c>
      <c r="J28" s="310" t="s">
        <v>77</v>
      </c>
      <c r="K28" s="310" t="s">
        <v>77</v>
      </c>
      <c r="L28" s="309" t="str">
        <f t="shared" si="1"/>
        <v>X</v>
      </c>
      <c r="M28" s="847"/>
      <c r="N28" s="185"/>
      <c r="O28" s="185"/>
      <c r="P28" s="185"/>
      <c r="Q28" s="185"/>
    </row>
    <row r="29" spans="1:17" ht="24.75" customHeight="1" x14ac:dyDescent="0.2">
      <c r="A29" s="472" t="s">
        <v>276</v>
      </c>
      <c r="B29" s="473" t="s">
        <v>662</v>
      </c>
      <c r="C29" s="472"/>
      <c r="D29" s="472" t="s">
        <v>751</v>
      </c>
      <c r="E29" s="472" t="s">
        <v>195</v>
      </c>
      <c r="F29" s="472" t="s">
        <v>77</v>
      </c>
      <c r="G29" s="472"/>
      <c r="H29" s="310" t="s">
        <v>77</v>
      </c>
      <c r="I29" s="316" t="s">
        <v>1444</v>
      </c>
      <c r="J29" s="310" t="s">
        <v>77</v>
      </c>
      <c r="K29" s="310" t="s">
        <v>77</v>
      </c>
      <c r="L29" s="309" t="str">
        <f t="shared" si="1"/>
        <v>X</v>
      </c>
      <c r="M29" s="847"/>
      <c r="N29" s="185"/>
      <c r="O29" s="185"/>
      <c r="P29" s="185"/>
      <c r="Q29" s="185"/>
    </row>
    <row r="30" spans="1:17" x14ac:dyDescent="0.2">
      <c r="A30" s="472" t="s">
        <v>276</v>
      </c>
      <c r="B30" s="473" t="s">
        <v>662</v>
      </c>
      <c r="C30" s="472"/>
      <c r="D30" s="472" t="s">
        <v>752</v>
      </c>
      <c r="E30" s="472" t="s">
        <v>196</v>
      </c>
      <c r="F30" s="472" t="s">
        <v>77</v>
      </c>
      <c r="G30" s="472"/>
      <c r="H30" s="310" t="s">
        <v>77</v>
      </c>
      <c r="I30" s="316" t="s">
        <v>77</v>
      </c>
      <c r="J30" s="310" t="s">
        <v>77</v>
      </c>
      <c r="K30" s="310" t="s">
        <v>77</v>
      </c>
      <c r="L30" s="309" t="str">
        <f t="shared" si="1"/>
        <v>X</v>
      </c>
      <c r="M30" s="847"/>
      <c r="N30" s="185"/>
      <c r="O30" s="185"/>
      <c r="P30" s="185"/>
      <c r="Q30" s="185"/>
    </row>
    <row r="31" spans="1:17" x14ac:dyDescent="0.2">
      <c r="A31" s="472" t="s">
        <v>276</v>
      </c>
      <c r="B31" s="473" t="s">
        <v>662</v>
      </c>
      <c r="C31" s="472"/>
      <c r="D31" s="472" t="s">
        <v>753</v>
      </c>
      <c r="E31" s="472" t="s">
        <v>196</v>
      </c>
      <c r="F31" s="472" t="s">
        <v>77</v>
      </c>
      <c r="G31" s="472"/>
      <c r="H31" s="310" t="s">
        <v>77</v>
      </c>
      <c r="I31" s="316" t="s">
        <v>77</v>
      </c>
      <c r="J31" s="310" t="s">
        <v>77</v>
      </c>
      <c r="K31" s="310" t="s">
        <v>77</v>
      </c>
      <c r="L31" s="309" t="str">
        <f t="shared" si="1"/>
        <v>X</v>
      </c>
      <c r="M31" s="848"/>
      <c r="N31" s="185"/>
      <c r="O31" s="185"/>
      <c r="P31" s="185"/>
      <c r="Q31" s="185"/>
    </row>
    <row r="32" spans="1:17" ht="25.5" x14ac:dyDescent="0.2">
      <c r="A32" s="472" t="s">
        <v>276</v>
      </c>
      <c r="B32" s="472" t="s">
        <v>677</v>
      </c>
      <c r="C32" s="472"/>
      <c r="D32" s="472" t="s">
        <v>749</v>
      </c>
      <c r="E32" s="472" t="s">
        <v>195</v>
      </c>
      <c r="F32" s="472" t="s">
        <v>6</v>
      </c>
      <c r="G32" s="472" t="s">
        <v>754</v>
      </c>
      <c r="H32" s="310" t="s">
        <v>6</v>
      </c>
      <c r="I32" s="316" t="s">
        <v>1445</v>
      </c>
      <c r="J32" s="310" t="s">
        <v>6</v>
      </c>
      <c r="K32" s="310" t="s">
        <v>77</v>
      </c>
      <c r="L32" s="309" t="str">
        <f t="shared" si="1"/>
        <v/>
      </c>
      <c r="M32" s="623"/>
      <c r="N32" s="185"/>
      <c r="O32" s="185"/>
      <c r="P32" s="185"/>
      <c r="Q32" s="185"/>
    </row>
    <row r="33" spans="1:17" ht="25.5" x14ac:dyDescent="0.2">
      <c r="A33" s="472" t="s">
        <v>276</v>
      </c>
      <c r="B33" s="472" t="s">
        <v>677</v>
      </c>
      <c r="C33" s="472"/>
      <c r="D33" s="472" t="s">
        <v>755</v>
      </c>
      <c r="E33" s="472" t="s">
        <v>195</v>
      </c>
      <c r="F33" s="472" t="s">
        <v>6</v>
      </c>
      <c r="G33" s="472" t="s">
        <v>754</v>
      </c>
      <c r="H33" s="310" t="s">
        <v>6</v>
      </c>
      <c r="I33" s="316" t="s">
        <v>1445</v>
      </c>
      <c r="J33" s="310" t="s">
        <v>6</v>
      </c>
      <c r="K33" s="310" t="s">
        <v>77</v>
      </c>
      <c r="L33" s="309" t="str">
        <f t="shared" si="1"/>
        <v/>
      </c>
      <c r="M33" s="623"/>
      <c r="N33" s="185"/>
      <c r="O33" s="185"/>
      <c r="P33" s="185"/>
      <c r="Q33" s="185"/>
    </row>
    <row r="34" spans="1:17" ht="25.5" x14ac:dyDescent="0.2">
      <c r="A34" s="472" t="s">
        <v>276</v>
      </c>
      <c r="B34" s="472" t="s">
        <v>677</v>
      </c>
      <c r="C34" s="472"/>
      <c r="D34" s="472" t="s">
        <v>756</v>
      </c>
      <c r="E34" s="472" t="s">
        <v>195</v>
      </c>
      <c r="F34" s="472" t="s">
        <v>6</v>
      </c>
      <c r="G34" s="472" t="s">
        <v>754</v>
      </c>
      <c r="H34" s="310" t="s">
        <v>6</v>
      </c>
      <c r="I34" s="316" t="s">
        <v>1445</v>
      </c>
      <c r="J34" s="310" t="s">
        <v>6</v>
      </c>
      <c r="K34" s="310" t="s">
        <v>77</v>
      </c>
      <c r="L34" s="309" t="str">
        <f t="shared" si="1"/>
        <v/>
      </c>
      <c r="M34" s="623"/>
      <c r="N34" s="185"/>
      <c r="O34" s="185"/>
      <c r="P34" s="185"/>
      <c r="Q34" s="185"/>
    </row>
    <row r="35" spans="1:17" ht="25.5" x14ac:dyDescent="0.2">
      <c r="A35" s="472" t="s">
        <v>276</v>
      </c>
      <c r="B35" s="472" t="s">
        <v>677</v>
      </c>
      <c r="C35" s="472"/>
      <c r="D35" s="472" t="s">
        <v>757</v>
      </c>
      <c r="E35" s="472" t="s">
        <v>196</v>
      </c>
      <c r="F35" s="472" t="s">
        <v>77</v>
      </c>
      <c r="G35" s="472" t="s">
        <v>754</v>
      </c>
      <c r="H35" s="310" t="s">
        <v>6</v>
      </c>
      <c r="I35" s="316" t="s">
        <v>1445</v>
      </c>
      <c r="J35" s="310" t="s">
        <v>6</v>
      </c>
      <c r="K35" s="310" t="s">
        <v>77</v>
      </c>
      <c r="L35" s="309" t="str">
        <f t="shared" si="1"/>
        <v/>
      </c>
      <c r="M35" s="623"/>
      <c r="N35" s="185"/>
      <c r="O35" s="185"/>
      <c r="P35" s="185"/>
      <c r="Q35" s="185"/>
    </row>
    <row r="36" spans="1:17" ht="25.5" x14ac:dyDescent="0.2">
      <c r="A36" s="472" t="s">
        <v>276</v>
      </c>
      <c r="B36" s="472" t="s">
        <v>677</v>
      </c>
      <c r="C36" s="472"/>
      <c r="D36" s="472" t="s">
        <v>751</v>
      </c>
      <c r="E36" s="472" t="s">
        <v>195</v>
      </c>
      <c r="F36" s="472" t="s">
        <v>77</v>
      </c>
      <c r="G36" s="472" t="s">
        <v>754</v>
      </c>
      <c r="H36" s="310" t="s">
        <v>6</v>
      </c>
      <c r="I36" s="316" t="s">
        <v>1444</v>
      </c>
      <c r="J36" s="310" t="s">
        <v>6</v>
      </c>
      <c r="K36" s="310" t="s">
        <v>77</v>
      </c>
      <c r="L36" s="309" t="str">
        <f t="shared" si="1"/>
        <v/>
      </c>
      <c r="M36" s="623"/>
      <c r="N36" s="185"/>
      <c r="O36" s="185"/>
      <c r="P36" s="185"/>
      <c r="Q36" s="185"/>
    </row>
    <row r="37" spans="1:17" ht="25.5" x14ac:dyDescent="0.2">
      <c r="A37" s="472" t="s">
        <v>276</v>
      </c>
      <c r="B37" s="472" t="s">
        <v>677</v>
      </c>
      <c r="C37" s="472"/>
      <c r="D37" s="472" t="s">
        <v>752</v>
      </c>
      <c r="E37" s="472" t="s">
        <v>196</v>
      </c>
      <c r="F37" s="472" t="s">
        <v>77</v>
      </c>
      <c r="G37" s="472" t="s">
        <v>754</v>
      </c>
      <c r="H37" s="310" t="s">
        <v>6</v>
      </c>
      <c r="I37" s="316" t="s">
        <v>77</v>
      </c>
      <c r="J37" s="310" t="s">
        <v>77</v>
      </c>
      <c r="K37" s="310" t="s">
        <v>77</v>
      </c>
      <c r="L37" s="309" t="str">
        <f t="shared" si="1"/>
        <v/>
      </c>
      <c r="M37" s="623"/>
      <c r="N37" s="185"/>
      <c r="O37" s="185"/>
      <c r="P37" s="185"/>
      <c r="Q37" s="185"/>
    </row>
    <row r="38" spans="1:17" ht="25.5" x14ac:dyDescent="0.2">
      <c r="A38" s="472" t="s">
        <v>276</v>
      </c>
      <c r="B38" s="472" t="s">
        <v>677</v>
      </c>
      <c r="C38" s="472"/>
      <c r="D38" s="472" t="s">
        <v>753</v>
      </c>
      <c r="E38" s="472" t="s">
        <v>196</v>
      </c>
      <c r="F38" s="472" t="s">
        <v>77</v>
      </c>
      <c r="G38" s="472" t="s">
        <v>754</v>
      </c>
      <c r="H38" s="310" t="s">
        <v>6</v>
      </c>
      <c r="I38" s="316" t="s">
        <v>77</v>
      </c>
      <c r="J38" s="310" t="s">
        <v>77</v>
      </c>
      <c r="K38" s="310" t="s">
        <v>77</v>
      </c>
      <c r="L38" s="309" t="str">
        <f t="shared" si="1"/>
        <v/>
      </c>
      <c r="M38" s="623"/>
      <c r="N38" s="185"/>
      <c r="O38" s="185"/>
      <c r="P38" s="185"/>
      <c r="Q38" s="185"/>
    </row>
    <row r="39" spans="1:17" ht="25.5" x14ac:dyDescent="0.2">
      <c r="A39" s="472" t="s">
        <v>276</v>
      </c>
      <c r="B39" s="472" t="s">
        <v>677</v>
      </c>
      <c r="C39" s="472"/>
      <c r="D39" s="472" t="s">
        <v>758</v>
      </c>
      <c r="E39" s="472" t="s">
        <v>196</v>
      </c>
      <c r="F39" s="472" t="s">
        <v>77</v>
      </c>
      <c r="G39" s="472" t="s">
        <v>754</v>
      </c>
      <c r="H39" s="310" t="s">
        <v>6</v>
      </c>
      <c r="I39" s="316" t="s">
        <v>77</v>
      </c>
      <c r="J39" s="310" t="s">
        <v>77</v>
      </c>
      <c r="K39" s="310" t="s">
        <v>77</v>
      </c>
      <c r="L39" s="309" t="str">
        <f t="shared" si="1"/>
        <v/>
      </c>
      <c r="M39" s="623"/>
      <c r="N39" s="185"/>
      <c r="O39" s="185"/>
      <c r="P39" s="185"/>
      <c r="Q39" s="185"/>
    </row>
    <row r="40" spans="1:17" ht="25.5" x14ac:dyDescent="0.2">
      <c r="A40" s="472" t="s">
        <v>276</v>
      </c>
      <c r="B40" s="472" t="s">
        <v>677</v>
      </c>
      <c r="C40" s="472"/>
      <c r="D40" s="472" t="s">
        <v>749</v>
      </c>
      <c r="E40" s="472" t="s">
        <v>195</v>
      </c>
      <c r="F40" s="472" t="s">
        <v>6</v>
      </c>
      <c r="G40" s="472" t="s">
        <v>759</v>
      </c>
      <c r="H40" s="310" t="s">
        <v>6</v>
      </c>
      <c r="I40" s="316" t="s">
        <v>1445</v>
      </c>
      <c r="J40" s="310" t="s">
        <v>6</v>
      </c>
      <c r="K40" s="310" t="s">
        <v>77</v>
      </c>
      <c r="L40" s="309" t="str">
        <f t="shared" si="1"/>
        <v/>
      </c>
      <c r="M40" s="623"/>
      <c r="N40" s="185"/>
      <c r="O40" s="185"/>
      <c r="P40" s="185"/>
      <c r="Q40" s="185"/>
    </row>
    <row r="41" spans="1:17" ht="25.5" x14ac:dyDescent="0.2">
      <c r="A41" s="472" t="s">
        <v>276</v>
      </c>
      <c r="B41" s="472" t="s">
        <v>677</v>
      </c>
      <c r="C41" s="472"/>
      <c r="D41" s="472" t="s">
        <v>760</v>
      </c>
      <c r="E41" s="472" t="s">
        <v>195</v>
      </c>
      <c r="F41" s="472" t="s">
        <v>6</v>
      </c>
      <c r="G41" s="472" t="s">
        <v>759</v>
      </c>
      <c r="H41" s="310" t="s">
        <v>6</v>
      </c>
      <c r="I41" s="316" t="s">
        <v>1445</v>
      </c>
      <c r="J41" s="310" t="s">
        <v>6</v>
      </c>
      <c r="K41" s="310" t="s">
        <v>77</v>
      </c>
      <c r="L41" s="309" t="str">
        <f t="shared" si="1"/>
        <v/>
      </c>
      <c r="M41" s="623"/>
      <c r="N41" s="185"/>
      <c r="O41" s="185"/>
      <c r="P41" s="185"/>
      <c r="Q41" s="185"/>
    </row>
    <row r="42" spans="1:17" ht="25.5" x14ac:dyDescent="0.2">
      <c r="A42" s="472" t="s">
        <v>276</v>
      </c>
      <c r="B42" s="472" t="s">
        <v>677</v>
      </c>
      <c r="C42" s="472"/>
      <c r="D42" s="472" t="s">
        <v>761</v>
      </c>
      <c r="E42" s="472" t="s">
        <v>195</v>
      </c>
      <c r="F42" s="472" t="s">
        <v>77</v>
      </c>
      <c r="G42" s="472" t="s">
        <v>759</v>
      </c>
      <c r="H42" s="310" t="s">
        <v>6</v>
      </c>
      <c r="I42" s="316" t="s">
        <v>1445</v>
      </c>
      <c r="J42" s="310" t="s">
        <v>6</v>
      </c>
      <c r="K42" s="310" t="s">
        <v>77</v>
      </c>
      <c r="L42" s="309" t="str">
        <f t="shared" si="1"/>
        <v/>
      </c>
      <c r="M42" s="623"/>
      <c r="N42" s="185"/>
      <c r="O42" s="185"/>
      <c r="P42" s="185"/>
      <c r="Q42" s="185"/>
    </row>
    <row r="43" spans="1:17" ht="25.5" x14ac:dyDescent="0.2">
      <c r="A43" s="472" t="s">
        <v>276</v>
      </c>
      <c r="B43" s="472" t="s">
        <v>677</v>
      </c>
      <c r="C43" s="472"/>
      <c r="D43" s="472" t="s">
        <v>751</v>
      </c>
      <c r="E43" s="472" t="s">
        <v>195</v>
      </c>
      <c r="F43" s="472" t="s">
        <v>77</v>
      </c>
      <c r="G43" s="472" t="s">
        <v>759</v>
      </c>
      <c r="H43" s="310" t="s">
        <v>6</v>
      </c>
      <c r="I43" s="316" t="s">
        <v>1444</v>
      </c>
      <c r="J43" s="310" t="s">
        <v>6</v>
      </c>
      <c r="K43" s="310" t="s">
        <v>77</v>
      </c>
      <c r="L43" s="309" t="str">
        <f t="shared" si="1"/>
        <v/>
      </c>
      <c r="M43" s="623"/>
      <c r="N43" s="185"/>
      <c r="O43" s="185"/>
      <c r="P43" s="185"/>
      <c r="Q43" s="185"/>
    </row>
    <row r="44" spans="1:17" ht="25.5" x14ac:dyDescent="0.2">
      <c r="A44" s="472" t="s">
        <v>276</v>
      </c>
      <c r="B44" s="472" t="s">
        <v>677</v>
      </c>
      <c r="C44" s="472"/>
      <c r="D44" s="472" t="s">
        <v>752</v>
      </c>
      <c r="E44" s="472" t="s">
        <v>196</v>
      </c>
      <c r="F44" s="472" t="s">
        <v>77</v>
      </c>
      <c r="G44" s="472" t="s">
        <v>759</v>
      </c>
      <c r="H44" s="310" t="s">
        <v>6</v>
      </c>
      <c r="I44" s="316" t="s">
        <v>77</v>
      </c>
      <c r="J44" s="310" t="s">
        <v>77</v>
      </c>
      <c r="K44" s="310" t="s">
        <v>77</v>
      </c>
      <c r="L44" s="309" t="str">
        <f t="shared" si="1"/>
        <v/>
      </c>
      <c r="M44" s="623"/>
      <c r="N44" s="185"/>
      <c r="O44" s="185"/>
      <c r="P44" s="185"/>
      <c r="Q44" s="185"/>
    </row>
    <row r="45" spans="1:17" ht="25.5" x14ac:dyDescent="0.2">
      <c r="A45" s="472" t="s">
        <v>276</v>
      </c>
      <c r="B45" s="472" t="s">
        <v>677</v>
      </c>
      <c r="C45" s="472"/>
      <c r="D45" s="472" t="s">
        <v>753</v>
      </c>
      <c r="E45" s="472" t="s">
        <v>196</v>
      </c>
      <c r="F45" s="472" t="s">
        <v>77</v>
      </c>
      <c r="G45" s="472" t="s">
        <v>759</v>
      </c>
      <c r="H45" s="310" t="s">
        <v>6</v>
      </c>
      <c r="I45" s="316" t="s">
        <v>77</v>
      </c>
      <c r="J45" s="310" t="s">
        <v>77</v>
      </c>
      <c r="K45" s="310" t="s">
        <v>77</v>
      </c>
      <c r="L45" s="309" t="str">
        <f>IF(OR(H45="Y",H45=""),"","X")</f>
        <v/>
      </c>
      <c r="M45" s="623"/>
      <c r="N45" s="185"/>
      <c r="O45" s="185"/>
      <c r="P45" s="185"/>
      <c r="Q45" s="185"/>
    </row>
    <row r="46" spans="1:17" ht="114.75" x14ac:dyDescent="0.2">
      <c r="A46" s="472" t="s">
        <v>276</v>
      </c>
      <c r="B46" s="472" t="s">
        <v>699</v>
      </c>
      <c r="C46" s="472" t="s">
        <v>700</v>
      </c>
      <c r="D46" s="472" t="s">
        <v>762</v>
      </c>
      <c r="E46" s="472" t="s">
        <v>195</v>
      </c>
      <c r="F46" s="472" t="s">
        <v>6</v>
      </c>
      <c r="G46" s="472" t="s">
        <v>763</v>
      </c>
      <c r="H46" s="310"/>
      <c r="I46" s="316" t="s">
        <v>659</v>
      </c>
      <c r="J46" s="310" t="s">
        <v>6</v>
      </c>
      <c r="K46" s="310" t="s">
        <v>77</v>
      </c>
      <c r="L46" s="309" t="str">
        <f t="shared" si="1"/>
        <v/>
      </c>
      <c r="M46" s="623"/>
      <c r="N46" s="185"/>
      <c r="O46" s="185"/>
      <c r="P46" s="185"/>
      <c r="Q46" s="185"/>
    </row>
    <row r="47" spans="1:17" ht="25.5" x14ac:dyDescent="0.2">
      <c r="A47" s="472" t="s">
        <v>276</v>
      </c>
      <c r="B47" s="472" t="s">
        <v>699</v>
      </c>
      <c r="C47" s="472" t="s">
        <v>700</v>
      </c>
      <c r="D47" s="472" t="s">
        <v>1587</v>
      </c>
      <c r="E47" s="472" t="s">
        <v>195</v>
      </c>
      <c r="F47" s="472" t="s">
        <v>6</v>
      </c>
      <c r="G47" s="472" t="s">
        <v>764</v>
      </c>
      <c r="H47" s="310"/>
      <c r="I47" s="316" t="s">
        <v>659</v>
      </c>
      <c r="J47" s="310" t="s">
        <v>6</v>
      </c>
      <c r="K47" s="310" t="s">
        <v>77</v>
      </c>
      <c r="L47" s="309" t="str">
        <f t="shared" si="1"/>
        <v/>
      </c>
      <c r="M47" s="623"/>
      <c r="N47" s="185"/>
      <c r="O47" s="185"/>
      <c r="P47" s="185"/>
      <c r="Q47" s="185"/>
    </row>
    <row r="48" spans="1:17" ht="25.5" x14ac:dyDescent="0.2">
      <c r="A48" s="472" t="s">
        <v>276</v>
      </c>
      <c r="B48" s="472" t="s">
        <v>699</v>
      </c>
      <c r="C48" s="472" t="s">
        <v>700</v>
      </c>
      <c r="D48" s="472" t="s">
        <v>736</v>
      </c>
      <c r="E48" s="472" t="s">
        <v>196</v>
      </c>
      <c r="F48" s="472" t="s">
        <v>77</v>
      </c>
      <c r="G48" s="472" t="s">
        <v>765</v>
      </c>
      <c r="H48" s="310"/>
      <c r="I48" s="316" t="s">
        <v>1442</v>
      </c>
      <c r="J48" s="310" t="s">
        <v>6</v>
      </c>
      <c r="K48" s="310" t="s">
        <v>77</v>
      </c>
      <c r="L48" s="309" t="str">
        <f t="shared" si="1"/>
        <v/>
      </c>
      <c r="M48" s="623"/>
      <c r="N48" s="185"/>
      <c r="O48" s="185"/>
      <c r="P48" s="185"/>
      <c r="Q48" s="185"/>
    </row>
    <row r="49" spans="1:17" x14ac:dyDescent="0.2">
      <c r="A49" s="472" t="s">
        <v>276</v>
      </c>
      <c r="B49" s="472" t="s">
        <v>699</v>
      </c>
      <c r="C49" s="472" t="s">
        <v>700</v>
      </c>
      <c r="D49" s="472" t="s">
        <v>738</v>
      </c>
      <c r="E49" s="472" t="s">
        <v>196</v>
      </c>
      <c r="F49" s="472" t="s">
        <v>77</v>
      </c>
      <c r="G49" s="472" t="s">
        <v>765</v>
      </c>
      <c r="H49" s="310"/>
      <c r="I49" s="316" t="s">
        <v>659</v>
      </c>
      <c r="J49" s="310" t="s">
        <v>6</v>
      </c>
      <c r="K49" s="310" t="s">
        <v>77</v>
      </c>
      <c r="L49" s="309" t="str">
        <f t="shared" si="1"/>
        <v/>
      </c>
      <c r="M49" s="622"/>
      <c r="N49" s="185"/>
      <c r="O49" s="185"/>
      <c r="P49" s="185"/>
      <c r="Q49" s="185"/>
    </row>
    <row r="50" spans="1:17" ht="25.5" x14ac:dyDescent="0.2">
      <c r="A50" s="472" t="s">
        <v>276</v>
      </c>
      <c r="B50" s="472" t="s">
        <v>766</v>
      </c>
      <c r="C50" s="472" t="s">
        <v>707</v>
      </c>
      <c r="D50" s="472" t="s">
        <v>767</v>
      </c>
      <c r="E50" s="472" t="s">
        <v>195</v>
      </c>
      <c r="F50" s="472" t="s">
        <v>6</v>
      </c>
      <c r="G50" s="472"/>
      <c r="H50" s="310"/>
      <c r="I50" s="316" t="s">
        <v>659</v>
      </c>
      <c r="J50" s="310" t="s">
        <v>6</v>
      </c>
      <c r="K50" s="310" t="s">
        <v>77</v>
      </c>
      <c r="L50" s="309" t="str">
        <f t="shared" si="1"/>
        <v/>
      </c>
      <c r="M50" s="623" t="s">
        <v>1723</v>
      </c>
      <c r="N50" s="185"/>
      <c r="O50" s="185"/>
      <c r="P50" s="185"/>
      <c r="Q50" s="185"/>
    </row>
    <row r="51" spans="1:17" ht="25.5" x14ac:dyDescent="0.2">
      <c r="A51" s="472" t="s">
        <v>276</v>
      </c>
      <c r="B51" s="472" t="s">
        <v>766</v>
      </c>
      <c r="C51" s="472" t="s">
        <v>707</v>
      </c>
      <c r="D51" s="472" t="s">
        <v>768</v>
      </c>
      <c r="E51" s="472" t="s">
        <v>196</v>
      </c>
      <c r="F51" s="472" t="s">
        <v>6</v>
      </c>
      <c r="G51" s="472"/>
      <c r="H51" s="310"/>
      <c r="I51" s="316" t="s">
        <v>7</v>
      </c>
      <c r="J51" s="310" t="s">
        <v>6</v>
      </c>
      <c r="K51" s="310" t="s">
        <v>77</v>
      </c>
      <c r="L51" s="309" t="str">
        <f t="shared" si="1"/>
        <v/>
      </c>
      <c r="M51" s="623" t="s">
        <v>1723</v>
      </c>
      <c r="N51" s="185"/>
      <c r="O51" s="185"/>
      <c r="P51" s="185"/>
      <c r="Q51" s="185"/>
    </row>
    <row r="52" spans="1:17" ht="25.5" x14ac:dyDescent="0.2">
      <c r="A52" s="472" t="s">
        <v>276</v>
      </c>
      <c r="B52" s="472" t="s">
        <v>769</v>
      </c>
      <c r="C52" s="472" t="s">
        <v>770</v>
      </c>
      <c r="D52" s="472" t="s">
        <v>771</v>
      </c>
      <c r="E52" s="472" t="s">
        <v>195</v>
      </c>
      <c r="F52" s="472" t="s">
        <v>6</v>
      </c>
      <c r="G52" s="472"/>
      <c r="H52" s="310"/>
      <c r="I52" s="316" t="s">
        <v>7</v>
      </c>
      <c r="J52" s="310" t="s">
        <v>6</v>
      </c>
      <c r="K52" s="310" t="s">
        <v>77</v>
      </c>
      <c r="L52" s="309" t="str">
        <f t="shared" si="1"/>
        <v/>
      </c>
      <c r="M52" s="623" t="s">
        <v>1723</v>
      </c>
      <c r="N52" s="185"/>
      <c r="O52" s="185"/>
      <c r="P52" s="185"/>
      <c r="Q52" s="185"/>
    </row>
    <row r="53" spans="1:17" ht="25.5" x14ac:dyDescent="0.2">
      <c r="A53" s="472" t="s">
        <v>276</v>
      </c>
      <c r="B53" s="472" t="s">
        <v>769</v>
      </c>
      <c r="C53" s="472" t="s">
        <v>770</v>
      </c>
      <c r="D53" s="472" t="s">
        <v>768</v>
      </c>
      <c r="E53" s="472" t="s">
        <v>196</v>
      </c>
      <c r="F53" s="472" t="s">
        <v>6</v>
      </c>
      <c r="G53" s="472"/>
      <c r="H53" s="310"/>
      <c r="I53" s="316" t="s">
        <v>7</v>
      </c>
      <c r="J53" s="310" t="s">
        <v>6</v>
      </c>
      <c r="K53" s="310" t="s">
        <v>77</v>
      </c>
      <c r="L53" s="309" t="str">
        <f t="shared" si="1"/>
        <v/>
      </c>
      <c r="M53" s="623" t="s">
        <v>1723</v>
      </c>
      <c r="N53" s="185"/>
      <c r="O53" s="185"/>
      <c r="P53" s="185"/>
      <c r="Q53" s="185"/>
    </row>
    <row r="54" spans="1:17" ht="25.5" x14ac:dyDescent="0.2">
      <c r="A54" s="472" t="s">
        <v>276</v>
      </c>
      <c r="B54" s="472" t="s">
        <v>772</v>
      </c>
      <c r="C54" s="472" t="s">
        <v>773</v>
      </c>
      <c r="D54" s="472" t="s">
        <v>774</v>
      </c>
      <c r="E54" s="472" t="s">
        <v>195</v>
      </c>
      <c r="F54" s="472" t="s">
        <v>6</v>
      </c>
      <c r="G54" s="472"/>
      <c r="H54" s="310"/>
      <c r="I54" s="316" t="s">
        <v>7</v>
      </c>
      <c r="J54" s="310" t="s">
        <v>6</v>
      </c>
      <c r="K54" s="310" t="s">
        <v>77</v>
      </c>
      <c r="L54" s="309" t="str">
        <f t="shared" si="1"/>
        <v/>
      </c>
      <c r="M54" s="623" t="s">
        <v>1723</v>
      </c>
      <c r="N54" s="185"/>
      <c r="O54" s="185"/>
      <c r="P54" s="185"/>
      <c r="Q54" s="185"/>
    </row>
    <row r="55" spans="1:17" ht="25.5" x14ac:dyDescent="0.2">
      <c r="A55" s="472" t="s">
        <v>276</v>
      </c>
      <c r="B55" s="472" t="s">
        <v>772</v>
      </c>
      <c r="C55" s="472" t="s">
        <v>773</v>
      </c>
      <c r="D55" s="472" t="s">
        <v>768</v>
      </c>
      <c r="E55" s="472" t="s">
        <v>196</v>
      </c>
      <c r="F55" s="472" t="s">
        <v>77</v>
      </c>
      <c r="G55" s="472"/>
      <c r="H55" s="310"/>
      <c r="I55" s="316" t="s">
        <v>77</v>
      </c>
      <c r="J55" s="310" t="s">
        <v>6</v>
      </c>
      <c r="K55" s="310" t="s">
        <v>77</v>
      </c>
      <c r="L55" s="309" t="str">
        <f t="shared" si="1"/>
        <v/>
      </c>
      <c r="M55" s="623" t="s">
        <v>1723</v>
      </c>
      <c r="N55" s="185"/>
      <c r="O55" s="185"/>
      <c r="P55" s="185"/>
      <c r="Q55" s="185"/>
    </row>
    <row r="56" spans="1:17" ht="25.5" x14ac:dyDescent="0.2">
      <c r="A56" s="472" t="s">
        <v>276</v>
      </c>
      <c r="B56" s="472" t="s">
        <v>716</v>
      </c>
      <c r="C56" s="472" t="s">
        <v>775</v>
      </c>
      <c r="D56" s="472" t="s">
        <v>776</v>
      </c>
      <c r="E56" s="472" t="s">
        <v>195</v>
      </c>
      <c r="F56" s="472" t="s">
        <v>6</v>
      </c>
      <c r="G56" s="472"/>
      <c r="H56" s="310"/>
      <c r="I56" s="316" t="s">
        <v>77</v>
      </c>
      <c r="J56" s="310" t="s">
        <v>6</v>
      </c>
      <c r="K56" s="310" t="s">
        <v>77</v>
      </c>
      <c r="L56" s="309" t="str">
        <f t="shared" si="1"/>
        <v/>
      </c>
      <c r="M56" s="623" t="s">
        <v>1723</v>
      </c>
      <c r="N56" s="185"/>
      <c r="O56" s="185"/>
      <c r="P56" s="185"/>
      <c r="Q56" s="185"/>
    </row>
    <row r="57" spans="1:17" ht="25.5" x14ac:dyDescent="0.2">
      <c r="A57" s="472" t="s">
        <v>276</v>
      </c>
      <c r="B57" s="472" t="s">
        <v>716</v>
      </c>
      <c r="C57" s="472" t="s">
        <v>775</v>
      </c>
      <c r="D57" s="472" t="s">
        <v>768</v>
      </c>
      <c r="E57" s="472" t="s">
        <v>195</v>
      </c>
      <c r="F57" s="472" t="s">
        <v>6</v>
      </c>
      <c r="G57" s="472"/>
      <c r="H57" s="310"/>
      <c r="I57" s="316" t="s">
        <v>77</v>
      </c>
      <c r="J57" s="310" t="s">
        <v>6</v>
      </c>
      <c r="K57" s="310" t="s">
        <v>77</v>
      </c>
      <c r="L57" s="309" t="str">
        <f t="shared" si="1"/>
        <v/>
      </c>
      <c r="M57" s="623" t="s">
        <v>1723</v>
      </c>
      <c r="N57" s="185"/>
      <c r="O57" s="185"/>
      <c r="P57" s="185"/>
      <c r="Q57" s="185"/>
    </row>
    <row r="58" spans="1:17" ht="25.5" x14ac:dyDescent="0.2">
      <c r="A58" s="472" t="s">
        <v>276</v>
      </c>
      <c r="B58" s="472" t="s">
        <v>716</v>
      </c>
      <c r="C58" s="472" t="s">
        <v>775</v>
      </c>
      <c r="D58" s="472" t="s">
        <v>777</v>
      </c>
      <c r="E58" s="472" t="s">
        <v>195</v>
      </c>
      <c r="F58" s="472" t="s">
        <v>6</v>
      </c>
      <c r="G58" s="472"/>
      <c r="H58" s="310"/>
      <c r="I58" s="316" t="s">
        <v>77</v>
      </c>
      <c r="J58" s="310" t="s">
        <v>6</v>
      </c>
      <c r="K58" s="310" t="s">
        <v>77</v>
      </c>
      <c r="L58" s="309" t="str">
        <f t="shared" si="1"/>
        <v/>
      </c>
      <c r="M58" s="623" t="s">
        <v>1723</v>
      </c>
      <c r="N58" s="185"/>
      <c r="O58" s="185"/>
      <c r="P58" s="185"/>
      <c r="Q58" s="185"/>
    </row>
    <row r="59" spans="1:17" ht="51" x14ac:dyDescent="0.2">
      <c r="A59" s="472" t="s">
        <v>276</v>
      </c>
      <c r="B59" s="472" t="s">
        <v>712</v>
      </c>
      <c r="C59" s="472" t="s">
        <v>713</v>
      </c>
      <c r="D59" s="472" t="s">
        <v>778</v>
      </c>
      <c r="E59" s="472" t="s">
        <v>195</v>
      </c>
      <c r="F59" s="472" t="s">
        <v>6</v>
      </c>
      <c r="G59" s="472"/>
      <c r="H59" s="310"/>
      <c r="I59" s="316" t="s">
        <v>77</v>
      </c>
      <c r="J59" s="310" t="s">
        <v>77</v>
      </c>
      <c r="K59" s="310" t="s">
        <v>77</v>
      </c>
      <c r="L59" s="309" t="str">
        <f t="shared" si="1"/>
        <v/>
      </c>
      <c r="M59" s="629" t="s">
        <v>1715</v>
      </c>
      <c r="N59" s="185"/>
      <c r="O59" s="185"/>
      <c r="P59" s="185"/>
      <c r="Q59" s="185"/>
    </row>
    <row r="60" spans="1:17" ht="51" x14ac:dyDescent="0.2">
      <c r="A60" s="472" t="s">
        <v>276</v>
      </c>
      <c r="B60" s="472" t="s">
        <v>712</v>
      </c>
      <c r="C60" s="472" t="s">
        <v>713</v>
      </c>
      <c r="D60" s="472" t="s">
        <v>768</v>
      </c>
      <c r="E60" s="472" t="s">
        <v>196</v>
      </c>
      <c r="F60" s="472" t="s">
        <v>77</v>
      </c>
      <c r="G60" s="472"/>
      <c r="H60" s="310"/>
      <c r="I60" s="316" t="s">
        <v>77</v>
      </c>
      <c r="J60" s="310" t="s">
        <v>77</v>
      </c>
      <c r="K60" s="310" t="s">
        <v>77</v>
      </c>
      <c r="L60" s="309" t="str">
        <f t="shared" si="1"/>
        <v/>
      </c>
      <c r="M60" s="629" t="s">
        <v>1715</v>
      </c>
      <c r="N60" s="185"/>
      <c r="O60" s="185"/>
      <c r="P60" s="185"/>
      <c r="Q60" s="185"/>
    </row>
    <row r="61" spans="1:17" ht="51" x14ac:dyDescent="0.2">
      <c r="A61" s="211" t="s">
        <v>276</v>
      </c>
      <c r="B61" s="211" t="s">
        <v>712</v>
      </c>
      <c r="C61" s="211" t="s">
        <v>713</v>
      </c>
      <c r="D61" s="211" t="s">
        <v>768</v>
      </c>
      <c r="E61" s="211" t="s">
        <v>196</v>
      </c>
      <c r="F61" s="211" t="s">
        <v>77</v>
      </c>
      <c r="G61" s="211"/>
      <c r="H61" s="310"/>
      <c r="I61" s="316" t="s">
        <v>77</v>
      </c>
      <c r="J61" s="310" t="s">
        <v>77</v>
      </c>
      <c r="K61" s="310" t="s">
        <v>77</v>
      </c>
      <c r="L61" s="309" t="str">
        <f t="shared" si="1"/>
        <v/>
      </c>
      <c r="M61" s="629" t="s">
        <v>1715</v>
      </c>
      <c r="N61" s="185"/>
      <c r="O61" s="185"/>
      <c r="P61" s="185"/>
      <c r="Q61" s="185"/>
    </row>
    <row r="62" spans="1:17" x14ac:dyDescent="0.2">
      <c r="A62" s="1"/>
      <c r="B62" s="1"/>
      <c r="C62" s="214"/>
      <c r="D62" s="1"/>
      <c r="E62" s="1"/>
      <c r="F62" s="1"/>
      <c r="G62" s="1"/>
      <c r="M62" s="318"/>
      <c r="N62" s="185"/>
      <c r="O62" s="185"/>
      <c r="P62" s="185"/>
      <c r="Q62" s="185"/>
    </row>
    <row r="63" spans="1:17" x14ac:dyDescent="0.2">
      <c r="A63" s="1"/>
      <c r="B63" s="1"/>
      <c r="C63" s="214"/>
      <c r="D63" s="1"/>
      <c r="E63" s="1"/>
      <c r="F63" s="1"/>
      <c r="G63" s="1"/>
      <c r="M63" s="318"/>
      <c r="N63" s="185"/>
      <c r="O63" s="185"/>
      <c r="P63" s="185"/>
      <c r="Q63" s="185"/>
    </row>
    <row r="64" spans="1:17" x14ac:dyDescent="0.2">
      <c r="M64" s="318"/>
      <c r="N64" s="185"/>
      <c r="O64" s="185"/>
      <c r="P64" s="185"/>
      <c r="Q64" s="185"/>
    </row>
    <row r="65" spans="13:17" x14ac:dyDescent="0.2">
      <c r="M65" s="318"/>
      <c r="N65" s="185"/>
      <c r="O65" s="185"/>
      <c r="P65" s="185"/>
      <c r="Q65" s="185"/>
    </row>
    <row r="66" spans="13:17" x14ac:dyDescent="0.2">
      <c r="M66" s="318"/>
      <c r="N66" s="185"/>
      <c r="O66" s="185"/>
      <c r="P66" s="185"/>
      <c r="Q66" s="185"/>
    </row>
    <row r="67" spans="13:17" x14ac:dyDescent="0.2">
      <c r="M67" s="318"/>
      <c r="N67" s="185"/>
      <c r="O67" s="185"/>
      <c r="P67" s="185"/>
      <c r="Q67" s="185"/>
    </row>
    <row r="68" spans="13:17" x14ac:dyDescent="0.2">
      <c r="M68" s="318"/>
      <c r="N68" s="185"/>
      <c r="O68" s="185"/>
      <c r="P68" s="185"/>
      <c r="Q68" s="185"/>
    </row>
    <row r="69" spans="13:17" x14ac:dyDescent="0.2">
      <c r="M69" s="318"/>
      <c r="N69" s="185"/>
      <c r="O69" s="185"/>
      <c r="P69" s="185"/>
      <c r="Q69" s="185"/>
    </row>
    <row r="70" spans="13:17" x14ac:dyDescent="0.2">
      <c r="M70" s="318"/>
      <c r="N70" s="185"/>
      <c r="O70" s="185"/>
      <c r="P70" s="185"/>
      <c r="Q70" s="185"/>
    </row>
    <row r="71" spans="13:17" x14ac:dyDescent="0.2">
      <c r="M71" s="318"/>
      <c r="N71" s="185"/>
      <c r="O71" s="185"/>
      <c r="P71" s="185"/>
      <c r="Q71" s="185"/>
    </row>
    <row r="72" spans="13:17" x14ac:dyDescent="0.2">
      <c r="M72" s="318"/>
      <c r="N72" s="185"/>
      <c r="O72" s="185"/>
      <c r="P72" s="185"/>
      <c r="Q72" s="185"/>
    </row>
    <row r="73" spans="13:17" x14ac:dyDescent="0.2">
      <c r="M73" s="318"/>
      <c r="N73" s="185"/>
      <c r="O73" s="185"/>
      <c r="P73" s="185"/>
      <c r="Q73" s="185"/>
    </row>
    <row r="74" spans="13:17" x14ac:dyDescent="0.2">
      <c r="M74" s="318"/>
      <c r="N74" s="185"/>
      <c r="O74" s="185"/>
      <c r="P74" s="185"/>
      <c r="Q74" s="185"/>
    </row>
    <row r="75" spans="13:17" x14ac:dyDescent="0.2">
      <c r="M75" s="318"/>
      <c r="N75" s="185"/>
      <c r="O75" s="185"/>
      <c r="P75" s="185"/>
      <c r="Q75" s="185"/>
    </row>
    <row r="76" spans="13:17" x14ac:dyDescent="0.2">
      <c r="M76" s="318"/>
      <c r="N76" s="185"/>
      <c r="O76" s="185"/>
      <c r="P76" s="185"/>
      <c r="Q76" s="185"/>
    </row>
    <row r="77" spans="13:17" x14ac:dyDescent="0.2">
      <c r="M77" s="318"/>
      <c r="N77" s="185"/>
      <c r="O77" s="185"/>
      <c r="P77" s="185"/>
      <c r="Q77" s="185"/>
    </row>
    <row r="78" spans="13:17" x14ac:dyDescent="0.2">
      <c r="M78" s="318"/>
      <c r="N78" s="185"/>
      <c r="O78" s="185"/>
      <c r="P78" s="185"/>
      <c r="Q78" s="185"/>
    </row>
    <row r="79" spans="13:17" x14ac:dyDescent="0.2">
      <c r="M79" s="318"/>
      <c r="N79" s="185"/>
      <c r="O79" s="185"/>
      <c r="P79" s="185"/>
      <c r="Q79" s="185"/>
    </row>
    <row r="80" spans="13:17" x14ac:dyDescent="0.2">
      <c r="M80" s="318"/>
      <c r="N80" s="185"/>
      <c r="O80" s="185"/>
      <c r="P80" s="185"/>
      <c r="Q80" s="185"/>
    </row>
    <row r="81" spans="13:17" x14ac:dyDescent="0.2">
      <c r="M81" s="318"/>
      <c r="N81" s="185"/>
      <c r="O81" s="185"/>
      <c r="P81" s="185"/>
      <c r="Q81" s="185"/>
    </row>
    <row r="82" spans="13:17" x14ac:dyDescent="0.2">
      <c r="M82" s="318"/>
      <c r="N82" s="185"/>
      <c r="O82" s="185"/>
      <c r="P82" s="185"/>
      <c r="Q82" s="185"/>
    </row>
    <row r="83" spans="13:17" x14ac:dyDescent="0.2">
      <c r="M83" s="318"/>
      <c r="N83" s="185"/>
      <c r="O83" s="185"/>
      <c r="P83" s="185"/>
      <c r="Q83" s="185"/>
    </row>
    <row r="84" spans="13:17" x14ac:dyDescent="0.2">
      <c r="M84" s="318"/>
      <c r="N84" s="185"/>
      <c r="O84" s="185"/>
      <c r="P84" s="185"/>
      <c r="Q84" s="185"/>
    </row>
    <row r="85" spans="13:17" x14ac:dyDescent="0.2">
      <c r="M85" s="318"/>
      <c r="N85" s="185"/>
      <c r="O85" s="185"/>
      <c r="P85" s="185"/>
      <c r="Q85" s="185"/>
    </row>
    <row r="86" spans="13:17" x14ac:dyDescent="0.2">
      <c r="M86" s="318"/>
      <c r="N86" s="185"/>
      <c r="O86" s="185"/>
      <c r="P86" s="185"/>
      <c r="Q86" s="185"/>
    </row>
    <row r="87" spans="13:17" x14ac:dyDescent="0.2">
      <c r="M87" s="318"/>
      <c r="N87" s="185"/>
      <c r="O87" s="185"/>
      <c r="P87" s="185"/>
      <c r="Q87" s="185"/>
    </row>
    <row r="88" spans="13:17" x14ac:dyDescent="0.2">
      <c r="M88" s="318"/>
      <c r="N88" s="185"/>
      <c r="O88" s="185"/>
      <c r="P88" s="185"/>
      <c r="Q88" s="185"/>
    </row>
    <row r="89" spans="13:17" x14ac:dyDescent="0.2">
      <c r="M89" s="318"/>
      <c r="N89" s="185"/>
      <c r="O89" s="185"/>
      <c r="P89" s="185"/>
      <c r="Q89" s="185"/>
    </row>
    <row r="90" spans="13:17" x14ac:dyDescent="0.2">
      <c r="M90" s="318"/>
      <c r="N90" s="185"/>
      <c r="O90" s="185"/>
      <c r="P90" s="185"/>
      <c r="Q90" s="185"/>
    </row>
    <row r="91" spans="13:17" x14ac:dyDescent="0.2">
      <c r="M91" s="318"/>
      <c r="N91" s="185"/>
      <c r="O91" s="185"/>
      <c r="P91" s="185"/>
      <c r="Q91" s="185"/>
    </row>
    <row r="92" spans="13:17" x14ac:dyDescent="0.2">
      <c r="M92" s="318"/>
      <c r="N92" s="185"/>
      <c r="O92" s="185"/>
      <c r="P92" s="185"/>
      <c r="Q92" s="185"/>
    </row>
    <row r="93" spans="13:17" x14ac:dyDescent="0.2">
      <c r="M93" s="318"/>
      <c r="N93" s="185"/>
      <c r="O93" s="185"/>
      <c r="P93" s="185"/>
      <c r="Q93" s="185"/>
    </row>
    <row r="94" spans="13:17" x14ac:dyDescent="0.2">
      <c r="M94" s="318"/>
      <c r="N94" s="185"/>
      <c r="O94" s="185"/>
      <c r="P94" s="185"/>
      <c r="Q94" s="185"/>
    </row>
    <row r="95" spans="13:17" x14ac:dyDescent="0.2">
      <c r="M95" s="318"/>
      <c r="N95" s="185"/>
      <c r="O95" s="185"/>
      <c r="P95" s="185"/>
      <c r="Q95" s="185"/>
    </row>
    <row r="96" spans="13:17" x14ac:dyDescent="0.2">
      <c r="M96" s="318"/>
      <c r="N96" s="185"/>
      <c r="O96" s="185"/>
      <c r="P96" s="185"/>
      <c r="Q96" s="185"/>
    </row>
    <row r="97" spans="13:17" x14ac:dyDescent="0.2">
      <c r="M97" s="318"/>
      <c r="N97" s="185"/>
      <c r="O97" s="185"/>
      <c r="P97" s="185"/>
      <c r="Q97" s="185"/>
    </row>
    <row r="98" spans="13:17" x14ac:dyDescent="0.2">
      <c r="M98" s="318"/>
      <c r="N98" s="185"/>
      <c r="O98" s="185"/>
      <c r="P98" s="185"/>
      <c r="Q98" s="185"/>
    </row>
    <row r="99" spans="13:17" x14ac:dyDescent="0.2">
      <c r="M99" s="318"/>
      <c r="N99" s="185"/>
      <c r="O99" s="185"/>
      <c r="P99" s="185"/>
      <c r="Q99" s="185"/>
    </row>
    <row r="100" spans="13:17" x14ac:dyDescent="0.2">
      <c r="M100" s="318"/>
      <c r="N100" s="185"/>
      <c r="O100" s="185"/>
      <c r="P100" s="185"/>
      <c r="Q100" s="185"/>
    </row>
    <row r="101" spans="13:17" x14ac:dyDescent="0.2">
      <c r="M101" s="318"/>
      <c r="N101" s="185"/>
      <c r="O101" s="185"/>
      <c r="P101" s="185"/>
      <c r="Q101" s="185"/>
    </row>
    <row r="102" spans="13:17" x14ac:dyDescent="0.2">
      <c r="M102" s="318"/>
      <c r="N102" s="185"/>
      <c r="O102" s="185"/>
      <c r="P102" s="185"/>
      <c r="Q102" s="185"/>
    </row>
    <row r="103" spans="13:17" x14ac:dyDescent="0.2">
      <c r="M103" s="318"/>
      <c r="N103" s="185"/>
      <c r="O103" s="185"/>
      <c r="P103" s="185"/>
      <c r="Q103" s="185"/>
    </row>
    <row r="104" spans="13:17" x14ac:dyDescent="0.2">
      <c r="M104" s="318"/>
      <c r="N104" s="185"/>
      <c r="O104" s="185"/>
      <c r="P104" s="185"/>
      <c r="Q104" s="185"/>
    </row>
    <row r="105" spans="13:17" x14ac:dyDescent="0.2">
      <c r="M105" s="318"/>
      <c r="N105" s="185"/>
      <c r="O105" s="185"/>
      <c r="P105" s="185"/>
      <c r="Q105" s="185"/>
    </row>
    <row r="106" spans="13:17" x14ac:dyDescent="0.2">
      <c r="M106" s="318"/>
      <c r="N106" s="185"/>
      <c r="O106" s="185"/>
      <c r="P106" s="185"/>
      <c r="Q106" s="185"/>
    </row>
    <row r="107" spans="13:17" x14ac:dyDescent="0.2">
      <c r="M107" s="318"/>
      <c r="N107" s="185"/>
      <c r="O107" s="185"/>
      <c r="P107" s="185"/>
      <c r="Q107" s="185"/>
    </row>
    <row r="108" spans="13:17" x14ac:dyDescent="0.2">
      <c r="M108" s="318"/>
      <c r="N108" s="185"/>
      <c r="O108" s="185"/>
      <c r="P108" s="185"/>
      <c r="Q108" s="185"/>
    </row>
    <row r="109" spans="13:17" x14ac:dyDescent="0.2">
      <c r="M109" s="318"/>
      <c r="N109" s="185"/>
      <c r="O109" s="185"/>
      <c r="P109" s="185"/>
      <c r="Q109" s="185"/>
    </row>
    <row r="110" spans="13:17" x14ac:dyDescent="0.2">
      <c r="M110" s="318"/>
      <c r="N110" s="185"/>
      <c r="O110" s="185"/>
      <c r="P110" s="185"/>
      <c r="Q110" s="185"/>
    </row>
    <row r="111" spans="13:17" x14ac:dyDescent="0.2">
      <c r="M111" s="318"/>
      <c r="N111" s="185"/>
      <c r="O111" s="185"/>
      <c r="P111" s="185"/>
      <c r="Q111" s="185"/>
    </row>
    <row r="112" spans="13:17" x14ac:dyDescent="0.2">
      <c r="M112" s="318"/>
      <c r="N112" s="185"/>
      <c r="O112" s="185"/>
      <c r="P112" s="185"/>
      <c r="Q112" s="185"/>
    </row>
    <row r="113" spans="13:17" x14ac:dyDescent="0.2">
      <c r="M113" s="318"/>
      <c r="N113" s="185"/>
      <c r="O113" s="185"/>
      <c r="P113" s="185"/>
      <c r="Q113" s="185"/>
    </row>
    <row r="114" spans="13:17" x14ac:dyDescent="0.2">
      <c r="M114" s="318"/>
      <c r="N114" s="185"/>
      <c r="O114" s="185"/>
      <c r="P114" s="185"/>
      <c r="Q114" s="185"/>
    </row>
    <row r="115" spans="13:17" x14ac:dyDescent="0.2">
      <c r="M115" s="318"/>
      <c r="N115" s="185"/>
      <c r="O115" s="185"/>
      <c r="P115" s="185"/>
      <c r="Q115" s="185"/>
    </row>
    <row r="116" spans="13:17" x14ac:dyDescent="0.2">
      <c r="M116" s="318"/>
      <c r="N116" s="185"/>
      <c r="O116" s="185"/>
      <c r="P116" s="185"/>
      <c r="Q116" s="185"/>
    </row>
    <row r="117" spans="13:17" x14ac:dyDescent="0.2">
      <c r="M117" s="318"/>
      <c r="N117" s="185"/>
      <c r="O117" s="185"/>
      <c r="P117" s="185"/>
      <c r="Q117" s="185"/>
    </row>
    <row r="118" spans="13:17" x14ac:dyDescent="0.2">
      <c r="M118" s="318"/>
      <c r="N118" s="185"/>
      <c r="O118" s="185"/>
      <c r="P118" s="185"/>
      <c r="Q118" s="185"/>
    </row>
    <row r="119" spans="13:17" x14ac:dyDescent="0.2">
      <c r="M119" s="318"/>
      <c r="N119" s="185"/>
      <c r="O119" s="185"/>
      <c r="P119" s="185"/>
      <c r="Q119" s="185"/>
    </row>
    <row r="120" spans="13:17" x14ac:dyDescent="0.2">
      <c r="M120" s="318"/>
      <c r="N120" s="185"/>
      <c r="O120" s="185"/>
      <c r="P120" s="185"/>
      <c r="Q120" s="185"/>
    </row>
    <row r="121" spans="13:17" x14ac:dyDescent="0.2">
      <c r="M121" s="318"/>
      <c r="N121" s="185"/>
      <c r="O121" s="185"/>
      <c r="P121" s="185"/>
      <c r="Q121" s="185"/>
    </row>
    <row r="122" spans="13:17" x14ac:dyDescent="0.2">
      <c r="M122" s="318"/>
      <c r="N122" s="185"/>
      <c r="O122" s="185"/>
      <c r="P122" s="185"/>
      <c r="Q122" s="185"/>
    </row>
    <row r="123" spans="13:17" x14ac:dyDescent="0.2">
      <c r="M123" s="318"/>
      <c r="N123" s="185"/>
      <c r="O123" s="185"/>
      <c r="P123" s="185"/>
      <c r="Q123" s="185"/>
    </row>
    <row r="124" spans="13:17" x14ac:dyDescent="0.2">
      <c r="M124" s="318"/>
      <c r="N124" s="185"/>
      <c r="O124" s="185"/>
      <c r="P124" s="185"/>
      <c r="Q124" s="185"/>
    </row>
    <row r="125" spans="13:17" x14ac:dyDescent="0.2">
      <c r="M125" s="318"/>
      <c r="N125" s="185"/>
      <c r="O125" s="185"/>
      <c r="P125" s="185"/>
      <c r="Q125" s="185"/>
    </row>
    <row r="126" spans="13:17" x14ac:dyDescent="0.2">
      <c r="M126" s="318"/>
      <c r="N126" s="185"/>
      <c r="O126" s="185"/>
      <c r="P126" s="185"/>
      <c r="Q126" s="185"/>
    </row>
    <row r="127" spans="13:17" x14ac:dyDescent="0.2">
      <c r="M127" s="318"/>
      <c r="N127" s="185"/>
      <c r="O127" s="185"/>
      <c r="P127" s="185"/>
      <c r="Q127" s="185"/>
    </row>
    <row r="128" spans="13:17" x14ac:dyDescent="0.2">
      <c r="M128" s="318"/>
      <c r="N128" s="185"/>
      <c r="O128" s="185"/>
      <c r="P128" s="185"/>
      <c r="Q128" s="185"/>
    </row>
    <row r="129" spans="13:17" x14ac:dyDescent="0.2">
      <c r="M129" s="318"/>
      <c r="N129" s="185"/>
      <c r="O129" s="185"/>
      <c r="P129" s="185"/>
      <c r="Q129" s="185"/>
    </row>
    <row r="130" spans="13:17" x14ac:dyDescent="0.2">
      <c r="M130" s="318"/>
      <c r="N130" s="185"/>
      <c r="O130" s="185"/>
      <c r="P130" s="185"/>
      <c r="Q130" s="185"/>
    </row>
    <row r="131" spans="13:17" x14ac:dyDescent="0.2">
      <c r="M131" s="318"/>
      <c r="N131" s="185"/>
      <c r="O131" s="185"/>
      <c r="P131" s="185"/>
      <c r="Q131" s="185"/>
    </row>
    <row r="132" spans="13:17" x14ac:dyDescent="0.2">
      <c r="M132" s="318"/>
      <c r="N132" s="185"/>
      <c r="O132" s="185"/>
      <c r="P132" s="185"/>
      <c r="Q132" s="185"/>
    </row>
    <row r="133" spans="13:17" x14ac:dyDescent="0.2">
      <c r="M133" s="318"/>
      <c r="N133" s="185"/>
      <c r="O133" s="185"/>
      <c r="P133" s="185"/>
      <c r="Q133" s="185"/>
    </row>
    <row r="134" spans="13:17" x14ac:dyDescent="0.2">
      <c r="M134" s="318"/>
      <c r="N134" s="185"/>
      <c r="O134" s="185"/>
      <c r="P134" s="185"/>
      <c r="Q134" s="185"/>
    </row>
    <row r="135" spans="13:17" x14ac:dyDescent="0.2">
      <c r="M135" s="318"/>
      <c r="N135" s="185"/>
      <c r="O135" s="185"/>
      <c r="P135" s="185"/>
      <c r="Q135" s="185"/>
    </row>
    <row r="136" spans="13:17" x14ac:dyDescent="0.2">
      <c r="M136" s="318"/>
      <c r="N136" s="185"/>
      <c r="O136" s="185"/>
      <c r="P136" s="185"/>
      <c r="Q136" s="185"/>
    </row>
    <row r="137" spans="13:17" x14ac:dyDescent="0.2">
      <c r="M137" s="318"/>
      <c r="N137" s="185"/>
      <c r="O137" s="185"/>
      <c r="P137" s="185"/>
      <c r="Q137" s="185"/>
    </row>
    <row r="138" spans="13:17" x14ac:dyDescent="0.2">
      <c r="M138" s="318"/>
      <c r="N138" s="185"/>
      <c r="O138" s="185"/>
      <c r="P138" s="185"/>
      <c r="Q138" s="185"/>
    </row>
    <row r="139" spans="13:17" x14ac:dyDescent="0.2">
      <c r="M139" s="318"/>
      <c r="N139" s="185"/>
      <c r="O139" s="185"/>
      <c r="P139" s="185"/>
      <c r="Q139" s="185"/>
    </row>
    <row r="140" spans="13:17" x14ac:dyDescent="0.2">
      <c r="M140" s="318"/>
      <c r="N140" s="185"/>
      <c r="O140" s="185"/>
      <c r="P140" s="185"/>
      <c r="Q140" s="185"/>
    </row>
    <row r="141" spans="13:17" x14ac:dyDescent="0.2">
      <c r="M141" s="318"/>
      <c r="N141" s="185"/>
      <c r="O141" s="185"/>
      <c r="P141" s="185"/>
      <c r="Q141" s="185"/>
    </row>
    <row r="142" spans="13:17" x14ac:dyDescent="0.2">
      <c r="M142" s="318"/>
      <c r="N142" s="185"/>
      <c r="O142" s="185"/>
      <c r="P142" s="185"/>
      <c r="Q142" s="185"/>
    </row>
    <row r="143" spans="13:17" x14ac:dyDescent="0.2">
      <c r="M143" s="318"/>
      <c r="N143" s="185"/>
      <c r="O143" s="185"/>
      <c r="P143" s="185"/>
      <c r="Q143" s="185"/>
    </row>
    <row r="144" spans="13:17" x14ac:dyDescent="0.2">
      <c r="M144" s="318"/>
      <c r="N144" s="185"/>
      <c r="O144" s="185"/>
      <c r="P144" s="185"/>
      <c r="Q144" s="185"/>
    </row>
    <row r="145" spans="13:17" x14ac:dyDescent="0.2">
      <c r="M145" s="318"/>
      <c r="N145" s="185"/>
      <c r="O145" s="185"/>
      <c r="P145" s="185"/>
      <c r="Q145" s="185"/>
    </row>
    <row r="146" spans="13:17" x14ac:dyDescent="0.2">
      <c r="M146" s="318"/>
      <c r="N146" s="185"/>
      <c r="O146" s="185"/>
      <c r="P146" s="185"/>
      <c r="Q146" s="185"/>
    </row>
    <row r="147" spans="13:17" x14ac:dyDescent="0.2">
      <c r="M147" s="318"/>
      <c r="N147" s="185"/>
      <c r="O147" s="185"/>
      <c r="P147" s="185"/>
      <c r="Q147" s="185"/>
    </row>
    <row r="148" spans="13:17" x14ac:dyDescent="0.2">
      <c r="M148" s="318"/>
      <c r="N148" s="185"/>
      <c r="O148" s="185"/>
      <c r="P148" s="185"/>
      <c r="Q148" s="185"/>
    </row>
    <row r="149" spans="13:17" x14ac:dyDescent="0.2">
      <c r="M149" s="318"/>
      <c r="N149" s="185"/>
      <c r="O149" s="185"/>
      <c r="P149" s="185"/>
      <c r="Q149" s="185"/>
    </row>
    <row r="150" spans="13:17" x14ac:dyDescent="0.2">
      <c r="M150" s="318"/>
      <c r="N150" s="185"/>
      <c r="O150" s="185"/>
      <c r="P150" s="185"/>
      <c r="Q150" s="185"/>
    </row>
    <row r="151" spans="13:17" x14ac:dyDescent="0.2">
      <c r="M151" s="318"/>
      <c r="N151" s="185"/>
      <c r="O151" s="185"/>
      <c r="P151" s="185"/>
      <c r="Q151" s="185"/>
    </row>
    <row r="152" spans="13:17" x14ac:dyDescent="0.2">
      <c r="M152" s="318"/>
      <c r="N152" s="185"/>
      <c r="O152" s="185"/>
      <c r="P152" s="185"/>
      <c r="Q152" s="185"/>
    </row>
    <row r="153" spans="13:17" x14ac:dyDescent="0.2">
      <c r="M153" s="318"/>
      <c r="N153" s="185"/>
      <c r="O153" s="185"/>
      <c r="P153" s="185"/>
      <c r="Q153" s="185"/>
    </row>
    <row r="154" spans="13:17" x14ac:dyDescent="0.2">
      <c r="M154" s="318"/>
      <c r="N154" s="185"/>
      <c r="O154" s="185"/>
      <c r="P154" s="185"/>
      <c r="Q154" s="185"/>
    </row>
    <row r="155" spans="13:17" x14ac:dyDescent="0.2">
      <c r="M155" s="318"/>
      <c r="N155" s="185"/>
      <c r="O155" s="185"/>
      <c r="P155" s="185"/>
      <c r="Q155" s="185"/>
    </row>
    <row r="156" spans="13:17" x14ac:dyDescent="0.2">
      <c r="M156" s="318"/>
      <c r="N156" s="185"/>
      <c r="O156" s="185"/>
      <c r="P156" s="185"/>
      <c r="Q156" s="185"/>
    </row>
    <row r="157" spans="13:17" x14ac:dyDescent="0.2">
      <c r="M157" s="318"/>
      <c r="N157" s="185"/>
      <c r="O157" s="185"/>
      <c r="P157" s="185"/>
      <c r="Q157" s="185"/>
    </row>
    <row r="158" spans="13:17" x14ac:dyDescent="0.2">
      <c r="M158" s="318"/>
      <c r="N158" s="185"/>
      <c r="O158" s="185"/>
      <c r="P158" s="185"/>
      <c r="Q158" s="185"/>
    </row>
    <row r="159" spans="13:17" x14ac:dyDescent="0.2">
      <c r="M159" s="318"/>
      <c r="N159" s="185"/>
      <c r="O159" s="185"/>
      <c r="P159" s="185"/>
      <c r="Q159" s="185"/>
    </row>
    <row r="160" spans="13:17" x14ac:dyDescent="0.2">
      <c r="M160" s="318"/>
      <c r="N160" s="185"/>
      <c r="O160" s="185"/>
      <c r="P160" s="185"/>
      <c r="Q160" s="185"/>
    </row>
    <row r="161" spans="13:17" x14ac:dyDescent="0.2">
      <c r="M161" s="318"/>
      <c r="N161" s="185"/>
      <c r="O161" s="185"/>
      <c r="P161" s="185"/>
      <c r="Q161" s="185"/>
    </row>
    <row r="162" spans="13:17" x14ac:dyDescent="0.2">
      <c r="M162" s="318"/>
      <c r="N162" s="185"/>
      <c r="O162" s="185"/>
      <c r="P162" s="185"/>
      <c r="Q162" s="185"/>
    </row>
    <row r="163" spans="13:17" x14ac:dyDescent="0.2">
      <c r="M163" s="318"/>
      <c r="N163" s="185"/>
      <c r="O163" s="185"/>
      <c r="P163" s="185"/>
      <c r="Q163" s="185"/>
    </row>
    <row r="164" spans="13:17" x14ac:dyDescent="0.2">
      <c r="M164" s="318"/>
      <c r="N164" s="185"/>
      <c r="O164" s="185"/>
      <c r="P164" s="185"/>
      <c r="Q164" s="185"/>
    </row>
    <row r="165" spans="13:17" x14ac:dyDescent="0.2">
      <c r="M165" s="318"/>
      <c r="N165" s="185"/>
      <c r="O165" s="185"/>
      <c r="P165" s="185"/>
      <c r="Q165" s="185"/>
    </row>
    <row r="166" spans="13:17" x14ac:dyDescent="0.2">
      <c r="M166" s="318"/>
      <c r="N166" s="185"/>
      <c r="O166" s="185"/>
      <c r="P166" s="185"/>
      <c r="Q166" s="185"/>
    </row>
    <row r="167" spans="13:17" x14ac:dyDescent="0.2">
      <c r="M167" s="318"/>
      <c r="N167" s="185"/>
      <c r="O167" s="185"/>
      <c r="P167" s="185"/>
      <c r="Q167" s="185"/>
    </row>
    <row r="168" spans="13:17" x14ac:dyDescent="0.2">
      <c r="M168" s="318"/>
      <c r="N168" s="185"/>
      <c r="O168" s="185"/>
      <c r="P168" s="185"/>
      <c r="Q168" s="185"/>
    </row>
    <row r="169" spans="13:17" x14ac:dyDescent="0.2">
      <c r="M169" s="318"/>
      <c r="N169" s="185"/>
      <c r="O169" s="185"/>
      <c r="P169" s="185"/>
      <c r="Q169" s="185"/>
    </row>
    <row r="170" spans="13:17" x14ac:dyDescent="0.2">
      <c r="M170" s="318"/>
      <c r="N170" s="185"/>
      <c r="O170" s="185"/>
      <c r="P170" s="185"/>
      <c r="Q170" s="185"/>
    </row>
    <row r="171" spans="13:17" x14ac:dyDescent="0.2">
      <c r="M171" s="318"/>
      <c r="N171" s="185"/>
      <c r="O171" s="185"/>
      <c r="P171" s="185"/>
      <c r="Q171" s="185"/>
    </row>
    <row r="172" spans="13:17" x14ac:dyDescent="0.2">
      <c r="M172" s="318"/>
      <c r="N172" s="185"/>
      <c r="O172" s="185"/>
      <c r="P172" s="185"/>
      <c r="Q172" s="185"/>
    </row>
    <row r="173" spans="13:17" x14ac:dyDescent="0.2">
      <c r="M173" s="318"/>
      <c r="N173" s="185"/>
      <c r="O173" s="185"/>
      <c r="P173" s="185"/>
      <c r="Q173" s="185"/>
    </row>
    <row r="174" spans="13:17" x14ac:dyDescent="0.2">
      <c r="M174" s="318"/>
      <c r="N174" s="185"/>
      <c r="O174" s="185"/>
      <c r="P174" s="185"/>
      <c r="Q174" s="185"/>
    </row>
    <row r="175" spans="13:17" x14ac:dyDescent="0.2">
      <c r="M175" s="318"/>
      <c r="N175" s="185"/>
      <c r="O175" s="185"/>
      <c r="P175" s="185"/>
      <c r="Q175" s="185"/>
    </row>
    <row r="176" spans="13:17" x14ac:dyDescent="0.2">
      <c r="M176" s="318"/>
      <c r="N176" s="185"/>
      <c r="O176" s="185"/>
      <c r="P176" s="185"/>
      <c r="Q176" s="185"/>
    </row>
    <row r="177" spans="13:17" x14ac:dyDescent="0.2">
      <c r="M177" s="318"/>
      <c r="N177" s="185"/>
      <c r="O177" s="185"/>
      <c r="P177" s="185"/>
      <c r="Q177" s="185"/>
    </row>
    <row r="178" spans="13:17" x14ac:dyDescent="0.2">
      <c r="M178" s="318"/>
      <c r="N178" s="185"/>
      <c r="O178" s="185"/>
      <c r="P178" s="185"/>
      <c r="Q178" s="185"/>
    </row>
    <row r="179" spans="13:17" x14ac:dyDescent="0.2">
      <c r="M179" s="318"/>
      <c r="N179" s="185"/>
      <c r="O179" s="185"/>
      <c r="P179" s="185"/>
      <c r="Q179" s="185"/>
    </row>
    <row r="180" spans="13:17" x14ac:dyDescent="0.2">
      <c r="M180" s="318"/>
      <c r="N180" s="185"/>
      <c r="O180" s="185"/>
      <c r="P180" s="185"/>
      <c r="Q180" s="185"/>
    </row>
    <row r="181" spans="13:17" x14ac:dyDescent="0.2">
      <c r="M181" s="318"/>
      <c r="N181" s="185"/>
      <c r="O181" s="185"/>
      <c r="P181" s="185"/>
      <c r="Q181" s="185"/>
    </row>
    <row r="182" spans="13:17" x14ac:dyDescent="0.2">
      <c r="M182" s="318"/>
      <c r="N182" s="185"/>
      <c r="O182" s="185"/>
      <c r="P182" s="185"/>
      <c r="Q182" s="185"/>
    </row>
    <row r="183" spans="13:17" x14ac:dyDescent="0.2">
      <c r="M183" s="318"/>
      <c r="N183" s="185"/>
      <c r="O183" s="185"/>
      <c r="P183" s="185"/>
      <c r="Q183" s="185"/>
    </row>
    <row r="184" spans="13:17" x14ac:dyDescent="0.2">
      <c r="M184" s="318"/>
      <c r="N184" s="185"/>
      <c r="O184" s="185"/>
      <c r="P184" s="185"/>
      <c r="Q184" s="185"/>
    </row>
    <row r="185" spans="13:17" x14ac:dyDescent="0.2">
      <c r="M185" s="318"/>
      <c r="N185" s="185"/>
      <c r="O185" s="185"/>
      <c r="P185" s="185"/>
      <c r="Q185" s="185"/>
    </row>
    <row r="186" spans="13:17" x14ac:dyDescent="0.2">
      <c r="M186" s="318"/>
      <c r="N186" s="185"/>
      <c r="O186" s="185"/>
      <c r="P186" s="185"/>
      <c r="Q186" s="185"/>
    </row>
    <row r="187" spans="13:17" x14ac:dyDescent="0.2">
      <c r="M187" s="318"/>
      <c r="N187" s="185"/>
      <c r="O187" s="185"/>
      <c r="P187" s="185"/>
      <c r="Q187" s="185"/>
    </row>
    <row r="188" spans="13:17" x14ac:dyDescent="0.2">
      <c r="M188" s="318"/>
      <c r="N188" s="185"/>
      <c r="O188" s="185"/>
      <c r="P188" s="185"/>
      <c r="Q188" s="185"/>
    </row>
    <row r="189" spans="13:17" x14ac:dyDescent="0.2">
      <c r="M189" s="318"/>
      <c r="N189" s="185"/>
      <c r="O189" s="185"/>
      <c r="P189" s="185"/>
      <c r="Q189" s="185"/>
    </row>
    <row r="190" spans="13:17" x14ac:dyDescent="0.2">
      <c r="M190" s="318"/>
      <c r="N190" s="185"/>
      <c r="O190" s="185"/>
      <c r="P190" s="185"/>
      <c r="Q190" s="185"/>
    </row>
    <row r="191" spans="13:17" x14ac:dyDescent="0.2">
      <c r="M191" s="318"/>
      <c r="N191" s="185"/>
      <c r="O191" s="185"/>
      <c r="P191" s="185"/>
      <c r="Q191" s="185"/>
    </row>
    <row r="192" spans="13:17" x14ac:dyDescent="0.2">
      <c r="M192" s="318"/>
      <c r="N192" s="185"/>
      <c r="O192" s="185"/>
      <c r="P192" s="185"/>
      <c r="Q192" s="185"/>
    </row>
    <row r="193" spans="13:17" x14ac:dyDescent="0.2">
      <c r="M193" s="318"/>
      <c r="N193" s="185"/>
      <c r="O193" s="185"/>
      <c r="P193" s="185"/>
      <c r="Q193" s="185"/>
    </row>
    <row r="194" spans="13:17" x14ac:dyDescent="0.2">
      <c r="M194" s="318"/>
      <c r="N194" s="185"/>
      <c r="O194" s="185"/>
      <c r="P194" s="185"/>
      <c r="Q194" s="185"/>
    </row>
    <row r="195" spans="13:17" x14ac:dyDescent="0.2">
      <c r="M195" s="318"/>
      <c r="N195" s="185"/>
      <c r="O195" s="185"/>
      <c r="P195" s="185"/>
      <c r="Q195" s="185"/>
    </row>
    <row r="196" spans="13:17" x14ac:dyDescent="0.2">
      <c r="M196" s="318"/>
      <c r="N196" s="185"/>
      <c r="O196" s="185"/>
      <c r="P196" s="185"/>
      <c r="Q196" s="185"/>
    </row>
    <row r="197" spans="13:17" x14ac:dyDescent="0.2">
      <c r="M197" s="318"/>
      <c r="N197" s="185"/>
      <c r="O197" s="185"/>
      <c r="P197" s="185"/>
      <c r="Q197" s="185"/>
    </row>
    <row r="198" spans="13:17" x14ac:dyDescent="0.2">
      <c r="M198" s="318"/>
      <c r="N198" s="185"/>
      <c r="O198" s="185"/>
      <c r="P198" s="185"/>
      <c r="Q198" s="185"/>
    </row>
    <row r="199" spans="13:17" x14ac:dyDescent="0.2">
      <c r="M199" s="318"/>
      <c r="N199" s="185"/>
      <c r="O199" s="185"/>
      <c r="P199" s="185"/>
      <c r="Q199" s="185"/>
    </row>
    <row r="200" spans="13:17" x14ac:dyDescent="0.2">
      <c r="M200" s="318"/>
      <c r="N200" s="185"/>
      <c r="O200" s="185"/>
      <c r="P200" s="185"/>
      <c r="Q200" s="185"/>
    </row>
    <row r="201" spans="13:17" x14ac:dyDescent="0.2">
      <c r="M201" s="318"/>
      <c r="N201" s="185"/>
      <c r="O201" s="185"/>
      <c r="P201" s="185"/>
      <c r="Q201" s="185"/>
    </row>
    <row r="202" spans="13:17" x14ac:dyDescent="0.2">
      <c r="M202" s="318"/>
      <c r="N202" s="185"/>
      <c r="O202" s="185"/>
      <c r="P202" s="185"/>
      <c r="Q202" s="185"/>
    </row>
    <row r="203" spans="13:17" x14ac:dyDescent="0.2">
      <c r="M203" s="318"/>
      <c r="N203" s="185"/>
      <c r="O203" s="185"/>
      <c r="P203" s="185"/>
      <c r="Q203" s="185"/>
    </row>
    <row r="204" spans="13:17" x14ac:dyDescent="0.2">
      <c r="M204" s="318"/>
      <c r="N204" s="185"/>
      <c r="O204" s="185"/>
      <c r="P204" s="185"/>
      <c r="Q204" s="185"/>
    </row>
    <row r="205" spans="13:17" x14ac:dyDescent="0.2">
      <c r="M205" s="318"/>
      <c r="N205" s="185"/>
      <c r="O205" s="185"/>
      <c r="P205" s="185"/>
      <c r="Q205" s="185"/>
    </row>
    <row r="206" spans="13:17" x14ac:dyDescent="0.2">
      <c r="M206" s="318"/>
      <c r="N206" s="185"/>
      <c r="O206" s="185"/>
      <c r="P206" s="185"/>
      <c r="Q206" s="185"/>
    </row>
    <row r="207" spans="13:17" x14ac:dyDescent="0.2">
      <c r="M207" s="318"/>
      <c r="N207" s="185"/>
      <c r="O207" s="185"/>
      <c r="P207" s="185"/>
      <c r="Q207" s="185"/>
    </row>
    <row r="208" spans="13:17" x14ac:dyDescent="0.2">
      <c r="M208" s="318"/>
      <c r="N208" s="185"/>
      <c r="O208" s="185"/>
      <c r="P208" s="185"/>
      <c r="Q208" s="185"/>
    </row>
    <row r="209" spans="13:17" x14ac:dyDescent="0.2">
      <c r="M209" s="318"/>
      <c r="N209" s="185"/>
      <c r="O209" s="185"/>
      <c r="P209" s="185"/>
      <c r="Q209" s="185"/>
    </row>
    <row r="210" spans="13:17" x14ac:dyDescent="0.2">
      <c r="M210" s="318"/>
      <c r="N210" s="185"/>
      <c r="O210" s="185"/>
      <c r="P210" s="185"/>
      <c r="Q210" s="185"/>
    </row>
    <row r="211" spans="13:17" x14ac:dyDescent="0.2">
      <c r="M211" s="318"/>
      <c r="N211" s="185"/>
      <c r="O211" s="185"/>
      <c r="P211" s="185"/>
      <c r="Q211" s="185"/>
    </row>
    <row r="212" spans="13:17" x14ac:dyDescent="0.2">
      <c r="M212" s="318"/>
      <c r="N212" s="185"/>
      <c r="O212" s="185"/>
      <c r="P212" s="185"/>
      <c r="Q212" s="185"/>
    </row>
    <row r="213" spans="13:17" x14ac:dyDescent="0.2">
      <c r="M213" s="318"/>
      <c r="N213" s="185"/>
      <c r="O213" s="185"/>
      <c r="P213" s="185"/>
      <c r="Q213" s="185"/>
    </row>
    <row r="214" spans="13:17" x14ac:dyDescent="0.2">
      <c r="M214" s="318"/>
      <c r="N214" s="185"/>
      <c r="O214" s="185"/>
      <c r="P214" s="185"/>
      <c r="Q214" s="185"/>
    </row>
    <row r="215" spans="13:17" x14ac:dyDescent="0.2">
      <c r="M215" s="318"/>
      <c r="N215" s="185"/>
      <c r="O215" s="185"/>
      <c r="P215" s="185"/>
      <c r="Q215" s="185"/>
    </row>
    <row r="216" spans="13:17" x14ac:dyDescent="0.2">
      <c r="M216" s="318"/>
      <c r="N216" s="185"/>
      <c r="O216" s="185"/>
      <c r="P216" s="185"/>
      <c r="Q216" s="185"/>
    </row>
    <row r="217" spans="13:17" x14ac:dyDescent="0.2">
      <c r="M217" s="318"/>
      <c r="N217" s="185"/>
      <c r="O217" s="185"/>
      <c r="P217" s="185"/>
      <c r="Q217" s="185"/>
    </row>
    <row r="218" spans="13:17" x14ac:dyDescent="0.2">
      <c r="M218" s="318"/>
      <c r="N218" s="185"/>
      <c r="O218" s="185"/>
      <c r="P218" s="185"/>
      <c r="Q218" s="185"/>
    </row>
    <row r="219" spans="13:17" x14ac:dyDescent="0.2">
      <c r="M219" s="318"/>
      <c r="N219" s="185"/>
      <c r="O219" s="185"/>
      <c r="P219" s="185"/>
      <c r="Q219" s="185"/>
    </row>
    <row r="220" spans="13:17" x14ac:dyDescent="0.2">
      <c r="M220" s="318"/>
      <c r="N220" s="185"/>
      <c r="O220" s="185"/>
      <c r="P220" s="185"/>
      <c r="Q220" s="185"/>
    </row>
    <row r="221" spans="13:17" x14ac:dyDescent="0.2">
      <c r="M221" s="318"/>
      <c r="N221" s="185"/>
      <c r="O221" s="185"/>
      <c r="P221" s="185"/>
      <c r="Q221" s="185"/>
    </row>
    <row r="222" spans="13:17" x14ac:dyDescent="0.2">
      <c r="M222" s="318"/>
      <c r="N222" s="185"/>
      <c r="O222" s="185"/>
      <c r="P222" s="185"/>
      <c r="Q222" s="185"/>
    </row>
    <row r="223" spans="13:17" x14ac:dyDescent="0.2">
      <c r="M223" s="318"/>
      <c r="N223" s="185"/>
      <c r="O223" s="185"/>
      <c r="P223" s="185"/>
      <c r="Q223" s="185"/>
    </row>
    <row r="224" spans="13:17" x14ac:dyDescent="0.2">
      <c r="M224" s="318"/>
      <c r="N224" s="185"/>
      <c r="O224" s="185"/>
      <c r="P224" s="185"/>
      <c r="Q224" s="185"/>
    </row>
    <row r="225" spans="13:17" x14ac:dyDescent="0.2">
      <c r="M225" s="318"/>
      <c r="N225" s="185"/>
      <c r="O225" s="185"/>
      <c r="P225" s="185"/>
      <c r="Q225" s="185"/>
    </row>
    <row r="226" spans="13:17" x14ac:dyDescent="0.2">
      <c r="M226" s="318"/>
      <c r="N226" s="185"/>
      <c r="O226" s="185"/>
      <c r="P226" s="185"/>
      <c r="Q226" s="185"/>
    </row>
    <row r="227" spans="13:17" x14ac:dyDescent="0.2">
      <c r="M227" s="318"/>
      <c r="N227" s="185"/>
      <c r="O227" s="185"/>
      <c r="P227" s="185"/>
      <c r="Q227" s="185"/>
    </row>
    <row r="228" spans="13:17" x14ac:dyDescent="0.2">
      <c r="M228" s="318"/>
      <c r="N228" s="185"/>
      <c r="O228" s="185"/>
      <c r="P228" s="185"/>
      <c r="Q228" s="185"/>
    </row>
    <row r="229" spans="13:17" x14ac:dyDescent="0.2">
      <c r="M229" s="318"/>
      <c r="N229" s="185"/>
      <c r="O229" s="185"/>
      <c r="P229" s="185"/>
      <c r="Q229" s="185"/>
    </row>
    <row r="230" spans="13:17" x14ac:dyDescent="0.2">
      <c r="M230" s="318"/>
      <c r="N230" s="185"/>
      <c r="O230" s="185"/>
      <c r="P230" s="185"/>
      <c r="Q230" s="185"/>
    </row>
    <row r="231" spans="13:17" x14ac:dyDescent="0.2">
      <c r="M231" s="318"/>
      <c r="N231" s="185"/>
      <c r="O231" s="185"/>
      <c r="P231" s="185"/>
      <c r="Q231" s="185"/>
    </row>
    <row r="232" spans="13:17" x14ac:dyDescent="0.2">
      <c r="M232" s="318"/>
      <c r="N232" s="185"/>
      <c r="O232" s="185"/>
      <c r="P232" s="185"/>
      <c r="Q232" s="185"/>
    </row>
    <row r="233" spans="13:17" x14ac:dyDescent="0.2">
      <c r="M233" s="318"/>
      <c r="N233" s="185"/>
      <c r="O233" s="185"/>
      <c r="P233" s="185"/>
      <c r="Q233" s="185"/>
    </row>
    <row r="234" spans="13:17" x14ac:dyDescent="0.2">
      <c r="M234" s="318"/>
      <c r="N234" s="185"/>
      <c r="O234" s="185"/>
      <c r="P234" s="185"/>
      <c r="Q234" s="185"/>
    </row>
    <row r="235" spans="13:17" x14ac:dyDescent="0.2">
      <c r="M235" s="318"/>
      <c r="N235" s="185"/>
      <c r="O235" s="185"/>
      <c r="P235" s="185"/>
      <c r="Q235" s="185"/>
    </row>
    <row r="236" spans="13:17" x14ac:dyDescent="0.2">
      <c r="M236" s="318"/>
      <c r="N236" s="185"/>
      <c r="O236" s="185"/>
      <c r="P236" s="185"/>
      <c r="Q236" s="185"/>
    </row>
    <row r="237" spans="13:17" x14ac:dyDescent="0.2">
      <c r="M237" s="318"/>
      <c r="N237" s="185"/>
      <c r="O237" s="185"/>
      <c r="P237" s="185"/>
      <c r="Q237" s="185"/>
    </row>
    <row r="238" spans="13:17" x14ac:dyDescent="0.2">
      <c r="M238" s="318"/>
      <c r="N238" s="185"/>
      <c r="O238" s="185"/>
      <c r="P238" s="185"/>
      <c r="Q238" s="185"/>
    </row>
    <row r="239" spans="13:17" x14ac:dyDescent="0.2">
      <c r="M239" s="318"/>
      <c r="N239" s="185"/>
      <c r="O239" s="185"/>
      <c r="P239" s="185"/>
      <c r="Q239" s="185"/>
    </row>
    <row r="240" spans="13:17" x14ac:dyDescent="0.2">
      <c r="M240" s="318"/>
      <c r="N240" s="185"/>
      <c r="O240" s="185"/>
      <c r="P240" s="185"/>
      <c r="Q240" s="185"/>
    </row>
    <row r="241" spans="13:17" x14ac:dyDescent="0.2">
      <c r="M241" s="318"/>
      <c r="N241" s="185"/>
      <c r="O241" s="185"/>
      <c r="P241" s="185"/>
      <c r="Q241" s="185"/>
    </row>
    <row r="242" spans="13:17" x14ac:dyDescent="0.2">
      <c r="M242" s="318"/>
      <c r="N242" s="185"/>
      <c r="O242" s="185"/>
      <c r="P242" s="185"/>
      <c r="Q242" s="185"/>
    </row>
    <row r="243" spans="13:17" x14ac:dyDescent="0.2">
      <c r="M243" s="318"/>
      <c r="N243" s="185"/>
      <c r="O243" s="185"/>
      <c r="P243" s="185"/>
      <c r="Q243" s="185"/>
    </row>
    <row r="244" spans="13:17" x14ac:dyDescent="0.2">
      <c r="M244" s="318"/>
      <c r="N244" s="185"/>
      <c r="O244" s="185"/>
      <c r="P244" s="185"/>
      <c r="Q244" s="185"/>
    </row>
    <row r="245" spans="13:17" x14ac:dyDescent="0.2">
      <c r="M245" s="318"/>
      <c r="N245" s="185"/>
      <c r="O245" s="185"/>
      <c r="P245" s="185"/>
      <c r="Q245" s="185"/>
    </row>
    <row r="246" spans="13:17" x14ac:dyDescent="0.2">
      <c r="M246" s="318"/>
      <c r="N246" s="185"/>
      <c r="O246" s="185"/>
      <c r="P246" s="185"/>
      <c r="Q246" s="185"/>
    </row>
    <row r="247" spans="13:17" x14ac:dyDescent="0.2">
      <c r="M247" s="318"/>
      <c r="N247" s="185"/>
      <c r="O247" s="185"/>
      <c r="P247" s="185"/>
      <c r="Q247" s="185"/>
    </row>
    <row r="248" spans="13:17" x14ac:dyDescent="0.2">
      <c r="M248" s="318"/>
      <c r="N248" s="185"/>
      <c r="O248" s="185"/>
      <c r="P248" s="185"/>
      <c r="Q248" s="185"/>
    </row>
    <row r="249" spans="13:17" x14ac:dyDescent="0.2">
      <c r="M249" s="318"/>
      <c r="N249" s="185"/>
      <c r="O249" s="185"/>
      <c r="P249" s="185"/>
      <c r="Q249" s="185"/>
    </row>
    <row r="250" spans="13:17" x14ac:dyDescent="0.2">
      <c r="M250" s="318"/>
      <c r="N250" s="185"/>
      <c r="O250" s="185"/>
      <c r="P250" s="185"/>
      <c r="Q250" s="185"/>
    </row>
    <row r="251" spans="13:17" x14ac:dyDescent="0.2">
      <c r="M251" s="318"/>
      <c r="N251" s="185"/>
      <c r="O251" s="185"/>
      <c r="P251" s="185"/>
      <c r="Q251" s="185"/>
    </row>
    <row r="252" spans="13:17" x14ac:dyDescent="0.2">
      <c r="M252" s="318"/>
      <c r="N252" s="185"/>
      <c r="O252" s="185"/>
      <c r="P252" s="185"/>
      <c r="Q252" s="185"/>
    </row>
    <row r="253" spans="13:17" x14ac:dyDescent="0.2">
      <c r="M253" s="318"/>
      <c r="N253" s="185"/>
      <c r="O253" s="185"/>
      <c r="P253" s="185"/>
      <c r="Q253" s="185"/>
    </row>
    <row r="254" spans="13:17" x14ac:dyDescent="0.2">
      <c r="M254" s="318"/>
      <c r="N254" s="185"/>
      <c r="O254" s="185"/>
      <c r="P254" s="185"/>
      <c r="Q254" s="185"/>
    </row>
    <row r="255" spans="13:17" x14ac:dyDescent="0.2">
      <c r="M255" s="318"/>
      <c r="N255" s="185"/>
      <c r="O255" s="185"/>
      <c r="P255" s="185"/>
      <c r="Q255" s="185"/>
    </row>
    <row r="256" spans="13:17" x14ac:dyDescent="0.2">
      <c r="M256" s="318"/>
      <c r="N256" s="185"/>
      <c r="O256" s="185"/>
      <c r="P256" s="185"/>
      <c r="Q256" s="185"/>
    </row>
    <row r="257" spans="13:17" x14ac:dyDescent="0.2">
      <c r="M257" s="318"/>
      <c r="N257" s="185"/>
      <c r="O257" s="185"/>
      <c r="P257" s="185"/>
      <c r="Q257" s="185"/>
    </row>
    <row r="258" spans="13:17" x14ac:dyDescent="0.2">
      <c r="M258" s="318"/>
      <c r="N258" s="185"/>
      <c r="O258" s="185"/>
      <c r="P258" s="185"/>
      <c r="Q258" s="185"/>
    </row>
    <row r="259" spans="13:17" x14ac:dyDescent="0.2">
      <c r="M259" s="318"/>
      <c r="N259" s="185"/>
      <c r="O259" s="185"/>
      <c r="P259" s="185"/>
      <c r="Q259" s="185"/>
    </row>
    <row r="260" spans="13:17" x14ac:dyDescent="0.2">
      <c r="M260" s="318"/>
      <c r="N260" s="185"/>
      <c r="O260" s="185"/>
      <c r="P260" s="185"/>
      <c r="Q260" s="185"/>
    </row>
    <row r="261" spans="13:17" x14ac:dyDescent="0.2">
      <c r="M261" s="318"/>
      <c r="N261" s="185"/>
      <c r="O261" s="185"/>
      <c r="P261" s="185"/>
      <c r="Q261" s="185"/>
    </row>
    <row r="262" spans="13:17" x14ac:dyDescent="0.2">
      <c r="M262" s="318"/>
      <c r="N262" s="185"/>
      <c r="O262" s="185"/>
      <c r="P262" s="185"/>
      <c r="Q262" s="185"/>
    </row>
    <row r="263" spans="13:17" x14ac:dyDescent="0.2">
      <c r="M263" s="318"/>
      <c r="N263" s="185"/>
      <c r="O263" s="185"/>
      <c r="P263" s="185"/>
      <c r="Q263" s="185"/>
    </row>
    <row r="264" spans="13:17" x14ac:dyDescent="0.2">
      <c r="M264" s="318"/>
      <c r="N264" s="185"/>
      <c r="O264" s="185"/>
      <c r="P264" s="185"/>
      <c r="Q264" s="185"/>
    </row>
    <row r="265" spans="13:17" x14ac:dyDescent="0.2">
      <c r="M265" s="318"/>
      <c r="N265" s="185"/>
      <c r="O265" s="185"/>
      <c r="P265" s="185"/>
      <c r="Q265" s="185"/>
    </row>
    <row r="266" spans="13:17" x14ac:dyDescent="0.2">
      <c r="M266" s="318"/>
      <c r="N266" s="185"/>
      <c r="O266" s="185"/>
      <c r="P266" s="185"/>
      <c r="Q266" s="185"/>
    </row>
    <row r="267" spans="13:17" x14ac:dyDescent="0.2">
      <c r="M267" s="318"/>
      <c r="N267" s="185"/>
      <c r="O267" s="185"/>
      <c r="P267" s="185"/>
      <c r="Q267" s="185"/>
    </row>
    <row r="268" spans="13:17" x14ac:dyDescent="0.2">
      <c r="M268" s="318"/>
      <c r="N268" s="185"/>
      <c r="O268" s="185"/>
      <c r="P268" s="185"/>
      <c r="Q268" s="185"/>
    </row>
    <row r="269" spans="13:17" x14ac:dyDescent="0.2">
      <c r="M269" s="318"/>
      <c r="N269" s="185"/>
      <c r="O269" s="185"/>
      <c r="P269" s="185"/>
      <c r="Q269" s="185"/>
    </row>
    <row r="270" spans="13:17" x14ac:dyDescent="0.2">
      <c r="M270" s="318"/>
      <c r="N270" s="185"/>
      <c r="O270" s="185"/>
      <c r="P270" s="185"/>
      <c r="Q270" s="185"/>
    </row>
    <row r="271" spans="13:17" x14ac:dyDescent="0.2">
      <c r="M271" s="318"/>
      <c r="N271" s="185"/>
      <c r="O271" s="185"/>
      <c r="P271" s="185"/>
      <c r="Q271" s="185"/>
    </row>
    <row r="272" spans="13:17" x14ac:dyDescent="0.2">
      <c r="M272" s="318"/>
      <c r="N272" s="185"/>
      <c r="O272" s="185"/>
      <c r="P272" s="185"/>
      <c r="Q272" s="185"/>
    </row>
    <row r="273" spans="13:17" x14ac:dyDescent="0.2">
      <c r="M273" s="318"/>
      <c r="N273" s="185"/>
      <c r="O273" s="185"/>
      <c r="P273" s="185"/>
      <c r="Q273" s="185"/>
    </row>
    <row r="274" spans="13:17" x14ac:dyDescent="0.2">
      <c r="M274" s="318"/>
      <c r="N274" s="185"/>
      <c r="O274" s="185"/>
      <c r="P274" s="185"/>
      <c r="Q274" s="185"/>
    </row>
    <row r="275" spans="13:17" x14ac:dyDescent="0.2">
      <c r="M275" s="318"/>
      <c r="N275" s="185"/>
      <c r="O275" s="185"/>
      <c r="P275" s="185"/>
      <c r="Q275" s="185"/>
    </row>
    <row r="276" spans="13:17" x14ac:dyDescent="0.2">
      <c r="M276" s="318"/>
      <c r="N276" s="185"/>
      <c r="O276" s="185"/>
      <c r="P276" s="185"/>
      <c r="Q276" s="185"/>
    </row>
    <row r="277" spans="13:17" x14ac:dyDescent="0.2">
      <c r="M277" s="318"/>
      <c r="N277" s="185"/>
      <c r="O277" s="185"/>
      <c r="P277" s="185"/>
      <c r="Q277" s="185"/>
    </row>
    <row r="278" spans="13:17" x14ac:dyDescent="0.2">
      <c r="M278" s="318"/>
      <c r="N278" s="185"/>
      <c r="O278" s="185"/>
      <c r="P278" s="185"/>
      <c r="Q278" s="185"/>
    </row>
    <row r="279" spans="13:17" x14ac:dyDescent="0.2">
      <c r="M279" s="318"/>
      <c r="N279" s="185"/>
      <c r="O279" s="185"/>
      <c r="P279" s="185"/>
      <c r="Q279" s="185"/>
    </row>
    <row r="280" spans="13:17" x14ac:dyDescent="0.2">
      <c r="M280" s="318"/>
      <c r="N280" s="185"/>
      <c r="O280" s="185"/>
      <c r="P280" s="185"/>
      <c r="Q280" s="185"/>
    </row>
    <row r="281" spans="13:17" x14ac:dyDescent="0.2">
      <c r="M281" s="318"/>
      <c r="N281" s="185"/>
      <c r="O281" s="185"/>
      <c r="P281" s="185"/>
      <c r="Q281" s="185"/>
    </row>
    <row r="282" spans="13:17" x14ac:dyDescent="0.2">
      <c r="M282" s="318"/>
      <c r="N282" s="185"/>
      <c r="O282" s="185"/>
      <c r="P282" s="185"/>
      <c r="Q282" s="185"/>
    </row>
    <row r="283" spans="13:17" x14ac:dyDescent="0.2">
      <c r="M283" s="318"/>
      <c r="N283" s="185"/>
      <c r="O283" s="185"/>
      <c r="P283" s="185"/>
      <c r="Q283" s="185"/>
    </row>
    <row r="284" spans="13:17" x14ac:dyDescent="0.2">
      <c r="M284" s="318"/>
      <c r="N284" s="185"/>
      <c r="O284" s="185"/>
      <c r="P284" s="185"/>
      <c r="Q284" s="185"/>
    </row>
    <row r="285" spans="13:17" x14ac:dyDescent="0.2">
      <c r="M285" s="318"/>
      <c r="N285" s="185"/>
      <c r="O285" s="185"/>
      <c r="P285" s="185"/>
      <c r="Q285" s="185"/>
    </row>
    <row r="286" spans="13:17" x14ac:dyDescent="0.2">
      <c r="M286" s="318"/>
      <c r="N286" s="185"/>
      <c r="O286" s="185"/>
      <c r="P286" s="185"/>
      <c r="Q286" s="185"/>
    </row>
    <row r="287" spans="13:17" x14ac:dyDescent="0.2">
      <c r="M287" s="318"/>
      <c r="N287" s="185"/>
      <c r="O287" s="185"/>
      <c r="P287" s="185"/>
      <c r="Q287" s="185"/>
    </row>
    <row r="288" spans="13:17" x14ac:dyDescent="0.2">
      <c r="M288" s="318"/>
      <c r="N288" s="185"/>
      <c r="O288" s="185"/>
      <c r="P288" s="185"/>
      <c r="Q288" s="185"/>
    </row>
    <row r="289" spans="13:17" x14ac:dyDescent="0.2">
      <c r="M289" s="318"/>
      <c r="N289" s="185"/>
      <c r="O289" s="185"/>
      <c r="P289" s="185"/>
      <c r="Q289" s="185"/>
    </row>
    <row r="290" spans="13:17" x14ac:dyDescent="0.2">
      <c r="M290" s="318"/>
      <c r="N290" s="185"/>
      <c r="O290" s="185"/>
      <c r="P290" s="185"/>
      <c r="Q290" s="185"/>
    </row>
    <row r="291" spans="13:17" x14ac:dyDescent="0.2">
      <c r="M291" s="318"/>
      <c r="N291" s="185"/>
      <c r="O291" s="185"/>
      <c r="P291" s="185"/>
      <c r="Q291" s="185"/>
    </row>
    <row r="292" spans="13:17" x14ac:dyDescent="0.2">
      <c r="M292" s="318"/>
      <c r="N292" s="185"/>
      <c r="O292" s="185"/>
      <c r="P292" s="185"/>
      <c r="Q292" s="185"/>
    </row>
    <row r="293" spans="13:17" x14ac:dyDescent="0.2">
      <c r="M293" s="318"/>
      <c r="N293" s="185"/>
      <c r="O293" s="185"/>
      <c r="P293" s="185"/>
      <c r="Q293" s="185"/>
    </row>
    <row r="294" spans="13:17" x14ac:dyDescent="0.2">
      <c r="M294" s="318"/>
      <c r="N294" s="185"/>
      <c r="O294" s="185"/>
      <c r="P294" s="185"/>
      <c r="Q294" s="185"/>
    </row>
    <row r="295" spans="13:17" x14ac:dyDescent="0.2">
      <c r="M295" s="318"/>
      <c r="N295" s="185"/>
      <c r="O295" s="185"/>
      <c r="P295" s="185"/>
      <c r="Q295" s="185"/>
    </row>
    <row r="296" spans="13:17" x14ac:dyDescent="0.2">
      <c r="M296" s="318"/>
      <c r="N296" s="185"/>
      <c r="O296" s="185"/>
      <c r="P296" s="185"/>
      <c r="Q296" s="185"/>
    </row>
    <row r="297" spans="13:17" x14ac:dyDescent="0.2">
      <c r="M297" s="318"/>
      <c r="N297" s="185"/>
      <c r="O297" s="185"/>
      <c r="P297" s="185"/>
      <c r="Q297" s="185"/>
    </row>
    <row r="298" spans="13:17" x14ac:dyDescent="0.2">
      <c r="M298" s="318"/>
      <c r="N298" s="185"/>
      <c r="O298" s="185"/>
      <c r="P298" s="185"/>
      <c r="Q298" s="185"/>
    </row>
    <row r="299" spans="13:17" x14ac:dyDescent="0.2">
      <c r="M299" s="318"/>
      <c r="N299" s="185"/>
      <c r="O299" s="185"/>
      <c r="P299" s="185"/>
      <c r="Q299" s="185"/>
    </row>
    <row r="300" spans="13:17" x14ac:dyDescent="0.2">
      <c r="M300" s="318"/>
      <c r="N300" s="185"/>
      <c r="O300" s="185"/>
      <c r="P300" s="185"/>
      <c r="Q300" s="185"/>
    </row>
    <row r="301" spans="13:17" x14ac:dyDescent="0.2">
      <c r="M301" s="318"/>
      <c r="N301" s="185"/>
      <c r="O301" s="185"/>
      <c r="P301" s="185"/>
      <c r="Q301" s="185"/>
    </row>
    <row r="302" spans="13:17" x14ac:dyDescent="0.2">
      <c r="M302" s="318"/>
      <c r="N302" s="185"/>
      <c r="O302" s="185"/>
      <c r="P302" s="185"/>
      <c r="Q302" s="185"/>
    </row>
    <row r="303" spans="13:17" x14ac:dyDescent="0.2">
      <c r="M303" s="318"/>
      <c r="N303" s="185"/>
      <c r="O303" s="185"/>
      <c r="P303" s="185"/>
      <c r="Q303" s="185"/>
    </row>
    <row r="304" spans="13:17" x14ac:dyDescent="0.2">
      <c r="M304" s="318"/>
      <c r="N304" s="185"/>
      <c r="O304" s="185"/>
      <c r="P304" s="185"/>
      <c r="Q304" s="185"/>
    </row>
    <row r="305" spans="13:17" x14ac:dyDescent="0.2">
      <c r="M305" s="318"/>
      <c r="N305" s="185"/>
      <c r="O305" s="185"/>
      <c r="P305" s="185"/>
      <c r="Q305" s="185"/>
    </row>
    <row r="306" spans="13:17" x14ac:dyDescent="0.2">
      <c r="M306" s="318"/>
      <c r="N306" s="185"/>
      <c r="O306" s="185"/>
      <c r="P306" s="185"/>
      <c r="Q306" s="185"/>
    </row>
    <row r="307" spans="13:17" x14ac:dyDescent="0.2">
      <c r="M307" s="318"/>
      <c r="N307" s="185"/>
      <c r="O307" s="185"/>
      <c r="P307" s="185"/>
      <c r="Q307" s="185"/>
    </row>
    <row r="308" spans="13:17" x14ac:dyDescent="0.2">
      <c r="M308" s="318"/>
      <c r="N308" s="185"/>
      <c r="O308" s="185"/>
      <c r="P308" s="185"/>
      <c r="Q308" s="185"/>
    </row>
    <row r="309" spans="13:17" x14ac:dyDescent="0.2">
      <c r="M309" s="318"/>
      <c r="N309" s="185"/>
      <c r="O309" s="185"/>
      <c r="P309" s="185"/>
      <c r="Q309" s="185"/>
    </row>
    <row r="310" spans="13:17" x14ac:dyDescent="0.2">
      <c r="M310" s="318"/>
      <c r="N310" s="185"/>
      <c r="O310" s="185"/>
      <c r="P310" s="185"/>
      <c r="Q310" s="185"/>
    </row>
    <row r="311" spans="13:17" x14ac:dyDescent="0.2">
      <c r="M311" s="318"/>
      <c r="N311" s="185"/>
      <c r="O311" s="185"/>
      <c r="P311" s="185"/>
      <c r="Q311" s="185"/>
    </row>
    <row r="312" spans="13:17" x14ac:dyDescent="0.2">
      <c r="M312" s="318"/>
      <c r="N312" s="185"/>
      <c r="O312" s="185"/>
      <c r="P312" s="185"/>
      <c r="Q312" s="185"/>
    </row>
    <row r="313" spans="13:17" x14ac:dyDescent="0.2">
      <c r="M313" s="318"/>
      <c r="N313" s="185"/>
      <c r="O313" s="185"/>
      <c r="P313" s="185"/>
      <c r="Q313" s="185"/>
    </row>
    <row r="314" spans="13:17" x14ac:dyDescent="0.2">
      <c r="M314" s="318"/>
      <c r="N314" s="185"/>
      <c r="O314" s="185"/>
      <c r="P314" s="185"/>
      <c r="Q314" s="185"/>
    </row>
    <row r="315" spans="13:17" x14ac:dyDescent="0.2">
      <c r="M315" s="318"/>
      <c r="N315" s="185"/>
      <c r="O315" s="185"/>
      <c r="P315" s="185"/>
      <c r="Q315" s="185"/>
    </row>
    <row r="316" spans="13:17" x14ac:dyDescent="0.2">
      <c r="M316" s="318"/>
      <c r="N316" s="185"/>
      <c r="O316" s="185"/>
      <c r="P316" s="185"/>
      <c r="Q316" s="185"/>
    </row>
    <row r="317" spans="13:17" x14ac:dyDescent="0.2">
      <c r="M317" s="318"/>
      <c r="N317" s="185"/>
      <c r="O317" s="185"/>
      <c r="P317" s="185"/>
      <c r="Q317" s="185"/>
    </row>
    <row r="318" spans="13:17" x14ac:dyDescent="0.2">
      <c r="M318" s="318"/>
      <c r="N318" s="185"/>
      <c r="O318" s="185"/>
      <c r="P318" s="185"/>
      <c r="Q318" s="185"/>
    </row>
    <row r="319" spans="13:17" x14ac:dyDescent="0.2">
      <c r="M319" s="318"/>
      <c r="N319" s="185"/>
      <c r="O319" s="185"/>
      <c r="P319" s="185"/>
      <c r="Q319" s="185"/>
    </row>
    <row r="320" spans="13:17" x14ac:dyDescent="0.2">
      <c r="M320" s="318"/>
      <c r="N320" s="185"/>
      <c r="O320" s="185"/>
      <c r="P320" s="185"/>
      <c r="Q320" s="185"/>
    </row>
    <row r="321" spans="13:17" x14ac:dyDescent="0.2">
      <c r="M321" s="318"/>
      <c r="N321" s="185"/>
      <c r="O321" s="185"/>
      <c r="P321" s="185"/>
      <c r="Q321" s="185"/>
    </row>
    <row r="322" spans="13:17" x14ac:dyDescent="0.2">
      <c r="M322" s="318"/>
      <c r="N322" s="185"/>
      <c r="O322" s="185"/>
      <c r="P322" s="185"/>
      <c r="Q322" s="185"/>
    </row>
    <row r="323" spans="13:17" x14ac:dyDescent="0.2">
      <c r="M323" s="318"/>
      <c r="N323" s="185"/>
      <c r="O323" s="185"/>
      <c r="P323" s="185"/>
      <c r="Q323" s="185"/>
    </row>
    <row r="324" spans="13:17" x14ac:dyDescent="0.2">
      <c r="M324" s="318"/>
      <c r="N324" s="185"/>
      <c r="O324" s="185"/>
      <c r="P324" s="185"/>
      <c r="Q324" s="185"/>
    </row>
    <row r="325" spans="13:17" x14ac:dyDescent="0.2">
      <c r="M325" s="318"/>
      <c r="N325" s="185"/>
      <c r="O325" s="185"/>
      <c r="P325" s="185"/>
      <c r="Q325" s="185"/>
    </row>
    <row r="326" spans="13:17" x14ac:dyDescent="0.2">
      <c r="M326" s="318"/>
      <c r="N326" s="185"/>
      <c r="O326" s="185"/>
      <c r="P326" s="185"/>
      <c r="Q326" s="185"/>
    </row>
    <row r="327" spans="13:17" x14ac:dyDescent="0.2">
      <c r="M327" s="318"/>
      <c r="N327" s="185"/>
      <c r="O327" s="185"/>
      <c r="P327" s="185"/>
      <c r="Q327" s="185"/>
    </row>
    <row r="328" spans="13:17" x14ac:dyDescent="0.2">
      <c r="M328" s="318"/>
      <c r="N328" s="185"/>
      <c r="O328" s="185"/>
      <c r="P328" s="185"/>
      <c r="Q328" s="185"/>
    </row>
    <row r="329" spans="13:17" x14ac:dyDescent="0.2">
      <c r="M329" s="318"/>
      <c r="N329" s="185"/>
      <c r="O329" s="185"/>
      <c r="P329" s="185"/>
      <c r="Q329" s="185"/>
    </row>
    <row r="330" spans="13:17" x14ac:dyDescent="0.2">
      <c r="M330" s="318"/>
      <c r="N330" s="185"/>
      <c r="O330" s="185"/>
      <c r="P330" s="185"/>
      <c r="Q330" s="185"/>
    </row>
    <row r="331" spans="13:17" x14ac:dyDescent="0.2">
      <c r="M331" s="318"/>
      <c r="N331" s="185"/>
      <c r="O331" s="185"/>
      <c r="P331" s="185"/>
      <c r="Q331" s="185"/>
    </row>
    <row r="332" spans="13:17" x14ac:dyDescent="0.2">
      <c r="M332" s="318"/>
      <c r="N332" s="185"/>
      <c r="O332" s="185"/>
      <c r="P332" s="185"/>
      <c r="Q332" s="185"/>
    </row>
    <row r="333" spans="13:17" x14ac:dyDescent="0.2">
      <c r="M333" s="318"/>
      <c r="N333" s="185"/>
      <c r="O333" s="185"/>
      <c r="P333" s="185"/>
      <c r="Q333" s="185"/>
    </row>
    <row r="334" spans="13:17" x14ac:dyDescent="0.2">
      <c r="M334" s="318"/>
      <c r="N334" s="185"/>
      <c r="O334" s="185"/>
      <c r="P334" s="185"/>
      <c r="Q334" s="185"/>
    </row>
    <row r="335" spans="13:17" x14ac:dyDescent="0.2">
      <c r="M335" s="318"/>
      <c r="N335" s="185"/>
      <c r="O335" s="185"/>
      <c r="P335" s="185"/>
      <c r="Q335" s="185"/>
    </row>
    <row r="336" spans="13:17" x14ac:dyDescent="0.2">
      <c r="M336" s="318"/>
      <c r="N336" s="185"/>
      <c r="O336" s="185"/>
      <c r="P336" s="185"/>
      <c r="Q336" s="185"/>
    </row>
    <row r="337" spans="13:17" x14ac:dyDescent="0.2">
      <c r="M337" s="318"/>
      <c r="N337" s="185"/>
      <c r="O337" s="185"/>
      <c r="P337" s="185"/>
      <c r="Q337" s="185"/>
    </row>
    <row r="338" spans="13:17" x14ac:dyDescent="0.2">
      <c r="M338" s="318"/>
      <c r="N338" s="185"/>
      <c r="O338" s="185"/>
      <c r="P338" s="185"/>
      <c r="Q338" s="185"/>
    </row>
    <row r="339" spans="13:17" x14ac:dyDescent="0.2">
      <c r="M339" s="318"/>
      <c r="N339" s="185"/>
      <c r="O339" s="185"/>
      <c r="P339" s="185"/>
      <c r="Q339" s="185"/>
    </row>
    <row r="340" spans="13:17" x14ac:dyDescent="0.2">
      <c r="M340" s="318"/>
      <c r="N340" s="185"/>
      <c r="O340" s="185"/>
      <c r="P340" s="185"/>
      <c r="Q340" s="185"/>
    </row>
    <row r="341" spans="13:17" x14ac:dyDescent="0.2">
      <c r="M341" s="318"/>
      <c r="N341" s="185"/>
      <c r="O341" s="185"/>
      <c r="P341" s="185"/>
      <c r="Q341" s="185"/>
    </row>
    <row r="342" spans="13:17" x14ac:dyDescent="0.2">
      <c r="M342" s="318"/>
      <c r="N342" s="185"/>
      <c r="O342" s="185"/>
      <c r="P342" s="185"/>
      <c r="Q342" s="185"/>
    </row>
    <row r="343" spans="13:17" x14ac:dyDescent="0.2">
      <c r="M343" s="318"/>
      <c r="N343" s="185"/>
      <c r="O343" s="185"/>
      <c r="P343" s="185"/>
      <c r="Q343" s="185"/>
    </row>
    <row r="344" spans="13:17" x14ac:dyDescent="0.2">
      <c r="M344" s="318"/>
      <c r="N344" s="185"/>
      <c r="O344" s="185"/>
      <c r="P344" s="185"/>
      <c r="Q344" s="185"/>
    </row>
    <row r="345" spans="13:17" x14ac:dyDescent="0.2">
      <c r="M345" s="318"/>
      <c r="N345" s="185"/>
      <c r="O345" s="185"/>
      <c r="P345" s="185"/>
      <c r="Q345" s="185"/>
    </row>
    <row r="346" spans="13:17" x14ac:dyDescent="0.2">
      <c r="M346" s="318"/>
      <c r="N346" s="185"/>
      <c r="O346" s="185"/>
      <c r="P346" s="185"/>
      <c r="Q346" s="185"/>
    </row>
    <row r="347" spans="13:17" x14ac:dyDescent="0.2">
      <c r="M347" s="318"/>
      <c r="N347" s="185"/>
      <c r="O347" s="185"/>
      <c r="P347" s="185"/>
      <c r="Q347" s="185"/>
    </row>
    <row r="348" spans="13:17" x14ac:dyDescent="0.2">
      <c r="M348" s="318"/>
      <c r="N348" s="185"/>
      <c r="O348" s="185"/>
      <c r="P348" s="185"/>
      <c r="Q348" s="185"/>
    </row>
    <row r="349" spans="13:17" x14ac:dyDescent="0.2">
      <c r="M349" s="318"/>
      <c r="N349" s="185"/>
      <c r="O349" s="185"/>
      <c r="P349" s="185"/>
      <c r="Q349" s="185"/>
    </row>
    <row r="350" spans="13:17" x14ac:dyDescent="0.2">
      <c r="M350" s="318"/>
      <c r="N350" s="185"/>
      <c r="O350" s="185"/>
      <c r="P350" s="185"/>
      <c r="Q350" s="185"/>
    </row>
    <row r="351" spans="13:17" x14ac:dyDescent="0.2">
      <c r="M351" s="318"/>
      <c r="N351" s="185"/>
      <c r="O351" s="185"/>
      <c r="P351" s="185"/>
      <c r="Q351" s="185"/>
    </row>
    <row r="352" spans="13:17" x14ac:dyDescent="0.2">
      <c r="M352" s="318"/>
      <c r="N352" s="185"/>
      <c r="O352" s="185"/>
      <c r="P352" s="185"/>
      <c r="Q352" s="185"/>
    </row>
    <row r="353" spans="13:17" x14ac:dyDescent="0.2">
      <c r="M353" s="318"/>
      <c r="N353" s="185"/>
      <c r="O353" s="185"/>
      <c r="P353" s="185"/>
      <c r="Q353" s="185"/>
    </row>
    <row r="354" spans="13:17" x14ac:dyDescent="0.2">
      <c r="M354" s="318"/>
      <c r="N354" s="185"/>
      <c r="O354" s="185"/>
      <c r="P354" s="185"/>
      <c r="Q354" s="185"/>
    </row>
    <row r="355" spans="13:17" x14ac:dyDescent="0.2">
      <c r="M355" s="318"/>
      <c r="N355" s="185"/>
      <c r="O355" s="185"/>
      <c r="P355" s="185"/>
      <c r="Q355" s="185"/>
    </row>
    <row r="356" spans="13:17" x14ac:dyDescent="0.2">
      <c r="M356" s="318"/>
      <c r="N356" s="185"/>
      <c r="O356" s="185"/>
      <c r="P356" s="185"/>
      <c r="Q356" s="185"/>
    </row>
    <row r="357" spans="13:17" x14ac:dyDescent="0.2">
      <c r="M357" s="318"/>
      <c r="N357" s="185"/>
      <c r="O357" s="185"/>
      <c r="P357" s="185"/>
      <c r="Q357" s="185"/>
    </row>
    <row r="358" spans="13:17" x14ac:dyDescent="0.2">
      <c r="M358" s="318"/>
      <c r="N358" s="185"/>
      <c r="O358" s="185"/>
      <c r="P358" s="185"/>
      <c r="Q358" s="185"/>
    </row>
    <row r="359" spans="13:17" x14ac:dyDescent="0.2">
      <c r="M359" s="318"/>
      <c r="N359" s="185"/>
      <c r="O359" s="185"/>
      <c r="P359" s="185"/>
      <c r="Q359" s="185"/>
    </row>
    <row r="360" spans="13:17" x14ac:dyDescent="0.2">
      <c r="M360" s="318"/>
      <c r="N360" s="185"/>
      <c r="O360" s="185"/>
      <c r="P360" s="185"/>
      <c r="Q360" s="185"/>
    </row>
    <row r="361" spans="13:17" x14ac:dyDescent="0.2">
      <c r="M361" s="318"/>
      <c r="N361" s="185"/>
      <c r="O361" s="185"/>
      <c r="P361" s="185"/>
      <c r="Q361" s="185"/>
    </row>
    <row r="362" spans="13:17" x14ac:dyDescent="0.2">
      <c r="M362" s="318"/>
      <c r="N362" s="185"/>
      <c r="O362" s="185"/>
      <c r="P362" s="185"/>
      <c r="Q362" s="185"/>
    </row>
    <row r="363" spans="13:17" x14ac:dyDescent="0.2">
      <c r="M363" s="318"/>
      <c r="N363" s="185"/>
      <c r="O363" s="185"/>
      <c r="P363" s="185"/>
      <c r="Q363" s="185"/>
    </row>
    <row r="364" spans="13:17" x14ac:dyDescent="0.2">
      <c r="M364" s="318"/>
      <c r="N364" s="185"/>
      <c r="O364" s="185"/>
      <c r="P364" s="185"/>
      <c r="Q364" s="185"/>
    </row>
    <row r="365" spans="13:17" x14ac:dyDescent="0.2">
      <c r="M365" s="318"/>
      <c r="N365" s="185"/>
      <c r="O365" s="185"/>
      <c r="P365" s="185"/>
      <c r="Q365" s="185"/>
    </row>
    <row r="366" spans="13:17" x14ac:dyDescent="0.2">
      <c r="M366" s="318"/>
      <c r="N366" s="185"/>
      <c r="O366" s="185"/>
      <c r="P366" s="185"/>
      <c r="Q366" s="185"/>
    </row>
    <row r="367" spans="13:17" x14ac:dyDescent="0.2">
      <c r="M367" s="318"/>
      <c r="N367" s="185"/>
      <c r="O367" s="185"/>
      <c r="P367" s="185"/>
      <c r="Q367" s="185"/>
    </row>
    <row r="368" spans="13:17" x14ac:dyDescent="0.2">
      <c r="M368" s="318"/>
      <c r="N368" s="185"/>
      <c r="O368" s="185"/>
      <c r="P368" s="185"/>
      <c r="Q368" s="185"/>
    </row>
    <row r="369" spans="13:17" x14ac:dyDescent="0.2">
      <c r="M369" s="318"/>
      <c r="N369" s="185"/>
      <c r="O369" s="185"/>
      <c r="P369" s="185"/>
      <c r="Q369" s="185"/>
    </row>
    <row r="370" spans="13:17" x14ac:dyDescent="0.2">
      <c r="M370" s="318"/>
      <c r="N370" s="185"/>
      <c r="O370" s="185"/>
      <c r="P370" s="185"/>
      <c r="Q370" s="185"/>
    </row>
    <row r="371" spans="13:17" x14ac:dyDescent="0.2">
      <c r="M371" s="318"/>
      <c r="N371" s="185"/>
      <c r="O371" s="185"/>
      <c r="P371" s="185"/>
      <c r="Q371" s="185"/>
    </row>
    <row r="372" spans="13:17" x14ac:dyDescent="0.2">
      <c r="M372" s="318"/>
      <c r="N372" s="185"/>
      <c r="O372" s="185"/>
      <c r="P372" s="185"/>
      <c r="Q372" s="185"/>
    </row>
    <row r="373" spans="13:17" x14ac:dyDescent="0.2">
      <c r="M373" s="318"/>
      <c r="N373" s="185"/>
      <c r="O373" s="185"/>
      <c r="P373" s="185"/>
      <c r="Q373" s="185"/>
    </row>
    <row r="374" spans="13:17" x14ac:dyDescent="0.2">
      <c r="M374" s="318"/>
      <c r="N374" s="185"/>
      <c r="O374" s="185"/>
      <c r="P374" s="185"/>
      <c r="Q374" s="185"/>
    </row>
    <row r="375" spans="13:17" x14ac:dyDescent="0.2">
      <c r="M375" s="318"/>
      <c r="N375" s="185"/>
      <c r="O375" s="185"/>
      <c r="P375" s="185"/>
      <c r="Q375" s="185"/>
    </row>
    <row r="376" spans="13:17" x14ac:dyDescent="0.2">
      <c r="M376" s="318"/>
      <c r="N376" s="185"/>
      <c r="O376" s="185"/>
      <c r="P376" s="185"/>
      <c r="Q376" s="185"/>
    </row>
    <row r="377" spans="13:17" x14ac:dyDescent="0.2">
      <c r="M377" s="318"/>
      <c r="N377" s="185"/>
      <c r="O377" s="185"/>
      <c r="P377" s="185"/>
      <c r="Q377" s="185"/>
    </row>
    <row r="378" spans="13:17" x14ac:dyDescent="0.2">
      <c r="M378" s="318"/>
      <c r="N378" s="185"/>
      <c r="O378" s="185"/>
      <c r="P378" s="185"/>
      <c r="Q378" s="185"/>
    </row>
    <row r="379" spans="13:17" x14ac:dyDescent="0.2">
      <c r="M379" s="318"/>
      <c r="N379" s="185"/>
      <c r="O379" s="185"/>
      <c r="P379" s="185"/>
      <c r="Q379" s="185"/>
    </row>
    <row r="380" spans="13:17" x14ac:dyDescent="0.2">
      <c r="M380" s="318"/>
      <c r="N380" s="185"/>
      <c r="O380" s="185"/>
      <c r="P380" s="185"/>
      <c r="Q380" s="185"/>
    </row>
    <row r="381" spans="13:17" x14ac:dyDescent="0.2">
      <c r="M381" s="318"/>
      <c r="N381" s="185"/>
      <c r="O381" s="185"/>
      <c r="P381" s="185"/>
      <c r="Q381" s="185"/>
    </row>
    <row r="382" spans="13:17" x14ac:dyDescent="0.2">
      <c r="M382" s="318"/>
      <c r="N382" s="185"/>
      <c r="O382" s="185"/>
      <c r="P382" s="185"/>
      <c r="Q382" s="185"/>
    </row>
    <row r="383" spans="13:17" x14ac:dyDescent="0.2">
      <c r="M383" s="318"/>
      <c r="N383" s="185"/>
      <c r="O383" s="185"/>
      <c r="P383" s="185"/>
      <c r="Q383" s="185"/>
    </row>
    <row r="384" spans="13:17" x14ac:dyDescent="0.2">
      <c r="M384" s="318"/>
      <c r="N384" s="185"/>
      <c r="O384" s="185"/>
      <c r="P384" s="185"/>
      <c r="Q384" s="185"/>
    </row>
    <row r="385" spans="13:17" x14ac:dyDescent="0.2">
      <c r="M385" s="318"/>
      <c r="N385" s="185"/>
      <c r="O385" s="185"/>
      <c r="P385" s="185"/>
      <c r="Q385" s="185"/>
    </row>
    <row r="386" spans="13:17" x14ac:dyDescent="0.2">
      <c r="M386" s="318"/>
      <c r="N386" s="185"/>
      <c r="O386" s="185"/>
      <c r="P386" s="185"/>
      <c r="Q386" s="185"/>
    </row>
    <row r="387" spans="13:17" x14ac:dyDescent="0.2">
      <c r="M387" s="318"/>
      <c r="N387" s="185"/>
      <c r="O387" s="185"/>
      <c r="P387" s="185"/>
      <c r="Q387" s="185"/>
    </row>
    <row r="388" spans="13:17" x14ac:dyDescent="0.2">
      <c r="M388" s="318"/>
      <c r="N388" s="185"/>
      <c r="O388" s="185"/>
      <c r="P388" s="185"/>
      <c r="Q388" s="185"/>
    </row>
    <row r="389" spans="13:17" x14ac:dyDescent="0.2">
      <c r="M389" s="318"/>
      <c r="N389" s="185"/>
      <c r="O389" s="185"/>
      <c r="P389" s="185"/>
      <c r="Q389" s="185"/>
    </row>
    <row r="390" spans="13:17" x14ac:dyDescent="0.2">
      <c r="M390" s="318"/>
      <c r="N390" s="185"/>
      <c r="O390" s="185"/>
      <c r="P390" s="185"/>
      <c r="Q390" s="185"/>
    </row>
    <row r="391" spans="13:17" x14ac:dyDescent="0.2">
      <c r="M391" s="318"/>
      <c r="N391" s="185"/>
      <c r="O391" s="185"/>
      <c r="P391" s="185"/>
      <c r="Q391" s="185"/>
    </row>
    <row r="392" spans="13:17" x14ac:dyDescent="0.2">
      <c r="M392" s="318"/>
      <c r="N392" s="185"/>
      <c r="O392" s="185"/>
      <c r="P392" s="185"/>
      <c r="Q392" s="185"/>
    </row>
    <row r="393" spans="13:17" x14ac:dyDescent="0.2">
      <c r="M393" s="318"/>
      <c r="N393" s="185"/>
      <c r="O393" s="185"/>
      <c r="P393" s="185"/>
      <c r="Q393" s="185"/>
    </row>
    <row r="394" spans="13:17" x14ac:dyDescent="0.2">
      <c r="M394" s="318"/>
      <c r="N394" s="185"/>
      <c r="O394" s="185"/>
      <c r="P394" s="185"/>
      <c r="Q394" s="185"/>
    </row>
    <row r="395" spans="13:17" x14ac:dyDescent="0.2">
      <c r="M395" s="318"/>
      <c r="N395" s="185"/>
      <c r="O395" s="185"/>
      <c r="P395" s="185"/>
      <c r="Q395" s="185"/>
    </row>
    <row r="396" spans="13:17" x14ac:dyDescent="0.2">
      <c r="M396" s="318"/>
      <c r="N396" s="185"/>
      <c r="O396" s="185"/>
      <c r="P396" s="185"/>
      <c r="Q396" s="185"/>
    </row>
    <row r="397" spans="13:17" x14ac:dyDescent="0.2">
      <c r="M397" s="318"/>
      <c r="N397" s="185"/>
      <c r="O397" s="185"/>
      <c r="P397" s="185"/>
      <c r="Q397" s="185"/>
    </row>
    <row r="398" spans="13:17" x14ac:dyDescent="0.2">
      <c r="M398" s="318"/>
      <c r="N398" s="185"/>
      <c r="O398" s="185"/>
      <c r="P398" s="185"/>
      <c r="Q398" s="185"/>
    </row>
    <row r="399" spans="13:17" x14ac:dyDescent="0.2">
      <c r="M399" s="318"/>
      <c r="N399" s="185"/>
      <c r="O399" s="185"/>
      <c r="P399" s="185"/>
      <c r="Q399" s="185"/>
    </row>
    <row r="400" spans="13:17" x14ac:dyDescent="0.2">
      <c r="M400" s="318"/>
      <c r="N400" s="185"/>
      <c r="O400" s="185"/>
      <c r="P400" s="185"/>
      <c r="Q400" s="185"/>
    </row>
    <row r="401" spans="13:17" x14ac:dyDescent="0.2">
      <c r="M401" s="318"/>
      <c r="N401" s="185"/>
      <c r="O401" s="185"/>
      <c r="P401" s="185"/>
      <c r="Q401" s="185"/>
    </row>
    <row r="402" spans="13:17" x14ac:dyDescent="0.2">
      <c r="M402" s="318"/>
      <c r="N402" s="185"/>
      <c r="O402" s="185"/>
      <c r="P402" s="185"/>
      <c r="Q402" s="185"/>
    </row>
    <row r="403" spans="13:17" x14ac:dyDescent="0.2">
      <c r="M403" s="318"/>
      <c r="N403" s="185"/>
      <c r="O403" s="185"/>
      <c r="P403" s="185"/>
      <c r="Q403" s="185"/>
    </row>
    <row r="404" spans="13:17" x14ac:dyDescent="0.2">
      <c r="M404" s="318"/>
      <c r="N404" s="185"/>
      <c r="O404" s="185"/>
      <c r="P404" s="185"/>
      <c r="Q404" s="185"/>
    </row>
    <row r="405" spans="13:17" x14ac:dyDescent="0.2">
      <c r="M405" s="318"/>
      <c r="N405" s="185"/>
      <c r="O405" s="185"/>
      <c r="P405" s="185"/>
      <c r="Q405" s="185"/>
    </row>
    <row r="406" spans="13:17" x14ac:dyDescent="0.2">
      <c r="M406" s="318"/>
      <c r="N406" s="185"/>
      <c r="O406" s="185"/>
      <c r="P406" s="185"/>
      <c r="Q406" s="185"/>
    </row>
    <row r="407" spans="13:17" x14ac:dyDescent="0.2">
      <c r="M407" s="318"/>
      <c r="N407" s="185"/>
      <c r="O407" s="185"/>
      <c r="P407" s="185"/>
      <c r="Q407" s="185"/>
    </row>
    <row r="408" spans="13:17" x14ac:dyDescent="0.2">
      <c r="M408" s="318"/>
      <c r="N408" s="185"/>
      <c r="O408" s="185"/>
      <c r="P408" s="185"/>
      <c r="Q408" s="185"/>
    </row>
    <row r="409" spans="13:17" x14ac:dyDescent="0.2">
      <c r="M409" s="318"/>
      <c r="N409" s="185"/>
      <c r="O409" s="185"/>
      <c r="P409" s="185"/>
      <c r="Q409" s="185"/>
    </row>
    <row r="410" spans="13:17" x14ac:dyDescent="0.2">
      <c r="M410" s="318"/>
      <c r="N410" s="185"/>
      <c r="O410" s="185"/>
      <c r="P410" s="185"/>
      <c r="Q410" s="185"/>
    </row>
    <row r="411" spans="13:17" x14ac:dyDescent="0.2">
      <c r="M411" s="318"/>
      <c r="N411" s="185"/>
      <c r="O411" s="185"/>
      <c r="P411" s="185"/>
      <c r="Q411" s="185"/>
    </row>
    <row r="412" spans="13:17" x14ac:dyDescent="0.2">
      <c r="M412" s="318"/>
      <c r="N412" s="185"/>
      <c r="O412" s="185"/>
      <c r="P412" s="185"/>
      <c r="Q412" s="185"/>
    </row>
    <row r="413" spans="13:17" x14ac:dyDescent="0.2">
      <c r="M413" s="318"/>
      <c r="N413" s="185"/>
      <c r="O413" s="185"/>
      <c r="P413" s="185"/>
      <c r="Q413" s="185"/>
    </row>
    <row r="414" spans="13:17" x14ac:dyDescent="0.2">
      <c r="M414" s="318"/>
      <c r="N414" s="185"/>
      <c r="O414" s="185"/>
      <c r="P414" s="185"/>
      <c r="Q414" s="185"/>
    </row>
    <row r="415" spans="13:17" x14ac:dyDescent="0.2">
      <c r="M415" s="318"/>
      <c r="N415" s="185"/>
      <c r="O415" s="185"/>
      <c r="P415" s="185"/>
      <c r="Q415" s="185"/>
    </row>
    <row r="416" spans="13:17" x14ac:dyDescent="0.2">
      <c r="M416" s="318"/>
      <c r="N416" s="185"/>
      <c r="O416" s="185"/>
      <c r="P416" s="185"/>
      <c r="Q416" s="185"/>
    </row>
    <row r="417" spans="13:17" x14ac:dyDescent="0.2">
      <c r="M417" s="318"/>
      <c r="N417" s="185"/>
      <c r="O417" s="185"/>
      <c r="P417" s="185"/>
      <c r="Q417" s="185"/>
    </row>
    <row r="418" spans="13:17" x14ac:dyDescent="0.2">
      <c r="M418" s="318"/>
      <c r="N418" s="185"/>
      <c r="O418" s="185"/>
      <c r="P418" s="185"/>
      <c r="Q418" s="185"/>
    </row>
    <row r="419" spans="13:17" x14ac:dyDescent="0.2">
      <c r="M419" s="318"/>
      <c r="N419" s="185"/>
      <c r="O419" s="185"/>
      <c r="P419" s="185"/>
      <c r="Q419" s="185"/>
    </row>
    <row r="420" spans="13:17" x14ac:dyDescent="0.2">
      <c r="M420" s="318"/>
      <c r="N420" s="185"/>
      <c r="O420" s="185"/>
      <c r="P420" s="185"/>
      <c r="Q420" s="185"/>
    </row>
    <row r="421" spans="13:17" x14ac:dyDescent="0.2">
      <c r="M421" s="318"/>
      <c r="N421" s="185"/>
      <c r="O421" s="185"/>
      <c r="P421" s="185"/>
      <c r="Q421" s="185"/>
    </row>
    <row r="422" spans="13:17" x14ac:dyDescent="0.2">
      <c r="M422" s="318"/>
      <c r="N422" s="185"/>
      <c r="O422" s="185"/>
      <c r="P422" s="185"/>
      <c r="Q422" s="185"/>
    </row>
    <row r="423" spans="13:17" x14ac:dyDescent="0.2">
      <c r="M423" s="318"/>
      <c r="N423" s="185"/>
      <c r="O423" s="185"/>
      <c r="P423" s="185"/>
      <c r="Q423" s="185"/>
    </row>
    <row r="424" spans="13:17" x14ac:dyDescent="0.2">
      <c r="M424" s="318"/>
      <c r="N424" s="185"/>
      <c r="O424" s="185"/>
      <c r="P424" s="185"/>
      <c r="Q424" s="185"/>
    </row>
    <row r="425" spans="13:17" x14ac:dyDescent="0.2">
      <c r="M425" s="318"/>
      <c r="N425" s="185"/>
      <c r="O425" s="185"/>
      <c r="P425" s="185"/>
      <c r="Q425" s="185"/>
    </row>
    <row r="426" spans="13:17" x14ac:dyDescent="0.2">
      <c r="M426" s="318"/>
      <c r="N426" s="185"/>
      <c r="O426" s="185"/>
      <c r="P426" s="185"/>
      <c r="Q426" s="185"/>
    </row>
    <row r="427" spans="13:17" x14ac:dyDescent="0.2">
      <c r="M427" s="318"/>
      <c r="N427" s="185"/>
      <c r="O427" s="185"/>
      <c r="P427" s="185"/>
      <c r="Q427" s="185"/>
    </row>
    <row r="428" spans="13:17" x14ac:dyDescent="0.2">
      <c r="M428" s="318"/>
      <c r="N428" s="185"/>
      <c r="O428" s="185"/>
      <c r="P428" s="185"/>
      <c r="Q428" s="185"/>
    </row>
    <row r="429" spans="13:17" x14ac:dyDescent="0.2">
      <c r="M429" s="318"/>
      <c r="N429" s="185"/>
      <c r="O429" s="185"/>
      <c r="P429" s="185"/>
      <c r="Q429" s="185"/>
    </row>
    <row r="430" spans="13:17" x14ac:dyDescent="0.2">
      <c r="M430" s="318"/>
      <c r="N430" s="185"/>
      <c r="O430" s="185"/>
      <c r="P430" s="185"/>
      <c r="Q430" s="185"/>
    </row>
    <row r="431" spans="13:17" x14ac:dyDescent="0.2">
      <c r="M431" s="318"/>
      <c r="N431" s="185"/>
      <c r="O431" s="185"/>
      <c r="P431" s="185"/>
      <c r="Q431" s="185"/>
    </row>
    <row r="432" spans="13:17" x14ac:dyDescent="0.2">
      <c r="M432" s="318"/>
      <c r="N432" s="185"/>
      <c r="O432" s="185"/>
      <c r="P432" s="185"/>
      <c r="Q432" s="185"/>
    </row>
    <row r="433" spans="13:17" x14ac:dyDescent="0.2">
      <c r="M433" s="318"/>
      <c r="N433" s="185"/>
      <c r="O433" s="185"/>
      <c r="P433" s="185"/>
      <c r="Q433" s="185"/>
    </row>
    <row r="434" spans="13:17" x14ac:dyDescent="0.2">
      <c r="M434" s="318"/>
      <c r="N434" s="185"/>
      <c r="O434" s="185"/>
      <c r="P434" s="185"/>
      <c r="Q434" s="185"/>
    </row>
    <row r="435" spans="13:17" x14ac:dyDescent="0.2">
      <c r="M435" s="318"/>
      <c r="N435" s="185"/>
      <c r="O435" s="185"/>
      <c r="P435" s="185"/>
      <c r="Q435" s="185"/>
    </row>
    <row r="436" spans="13:17" x14ac:dyDescent="0.2">
      <c r="M436" s="318"/>
      <c r="N436" s="185"/>
      <c r="O436" s="185"/>
      <c r="P436" s="185"/>
      <c r="Q436" s="185"/>
    </row>
    <row r="437" spans="13:17" x14ac:dyDescent="0.2">
      <c r="M437" s="318"/>
      <c r="N437" s="185"/>
      <c r="O437" s="185"/>
      <c r="P437" s="185"/>
      <c r="Q437" s="185"/>
    </row>
    <row r="438" spans="13:17" x14ac:dyDescent="0.2">
      <c r="M438" s="318"/>
      <c r="N438" s="185"/>
      <c r="O438" s="185"/>
      <c r="P438" s="185"/>
      <c r="Q438" s="185"/>
    </row>
  </sheetData>
  <dataConsolidate/>
  <mergeCells count="4">
    <mergeCell ref="G22:G26"/>
    <mergeCell ref="G5:G11"/>
    <mergeCell ref="M5:M11"/>
    <mergeCell ref="M27:M31"/>
  </mergeCells>
  <dataValidations count="2">
    <dataValidation type="list" allowBlank="1" showInputMessage="1" showErrorMessage="1" sqref="J1:N1">
      <formula1>$BB$3:$BB$3</formula1>
    </dataValidation>
    <dataValidation type="list" allowBlank="1" showInputMessage="1" showErrorMessage="1" sqref="B1:E1">
      <formula1>$BN$1:$BN$4</formula1>
    </dataValidation>
  </dataValidations>
  <hyperlinks>
    <hyperlink ref="M20" r:id="rId1"/>
  </hyperlinks>
  <pageMargins left="0.70866141732283472" right="0.70866141732283472" top="0.74803149606299213" bottom="0.74803149606299213" header="0.31496062992125984" footer="0.31496062992125984"/>
  <pageSetup paperSize="9" scale="89" orientation="landscape" r:id="rId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Y15"/>
  <sheetViews>
    <sheetView zoomScale="80" zoomScaleNormal="80" workbookViewId="0">
      <pane ySplit="4" topLeftCell="A5" activePane="bottomLeft" state="frozen"/>
      <selection activeCell="S2" sqref="S2"/>
      <selection pane="bottomLeft" activeCell="E15" sqref="E15"/>
    </sheetView>
  </sheetViews>
  <sheetFormatPr defaultColWidth="8.85546875" defaultRowHeight="12.75" x14ac:dyDescent="0.2"/>
  <cols>
    <col min="1" max="1" width="5.7109375" style="19" customWidth="1"/>
    <col min="2" max="2" width="13" style="19" customWidth="1"/>
    <col min="3" max="3" width="21.140625" style="19" customWidth="1"/>
    <col min="4" max="4" width="18.5703125" style="19" customWidth="1"/>
    <col min="5" max="5" width="23.28515625" style="19" customWidth="1"/>
    <col min="6" max="6" width="19.28515625" style="19" customWidth="1"/>
    <col min="7" max="7" width="29.140625" style="19" customWidth="1"/>
    <col min="8" max="8" width="24" style="19" customWidth="1"/>
    <col min="9" max="9" width="25.7109375" style="19" customWidth="1"/>
    <col min="10" max="10" width="41.42578125" style="19" customWidth="1"/>
    <col min="11" max="11" width="30.140625" style="19" bestFit="1" customWidth="1"/>
    <col min="12" max="12" width="35.85546875" style="19" bestFit="1" customWidth="1"/>
    <col min="13" max="13" width="28.28515625" style="19" bestFit="1" customWidth="1"/>
    <col min="14" max="14" width="20" style="19" customWidth="1"/>
    <col min="15" max="15" width="57" style="19" customWidth="1"/>
    <col min="16" max="16" width="21.140625" style="19" customWidth="1"/>
    <col min="17" max="17" width="21.85546875" style="19" customWidth="1"/>
    <col min="18" max="19" width="21.140625" style="382" customWidth="1"/>
    <col min="20" max="20" width="28.42578125" style="19" customWidth="1"/>
    <col min="21" max="24" width="8.85546875" style="19"/>
    <col min="25" max="25" width="52.7109375" style="19" customWidth="1"/>
    <col min="26" max="16384" width="8.85546875" style="19"/>
  </cols>
  <sheetData>
    <row r="1" spans="1:25" ht="13.5" thickBot="1" x14ac:dyDescent="0.25">
      <c r="A1" s="21" t="s">
        <v>80</v>
      </c>
    </row>
    <row r="2" spans="1:25" x14ac:dyDescent="0.2">
      <c r="A2" s="203"/>
      <c r="B2" s="5"/>
      <c r="C2" s="203"/>
      <c r="S2" s="383" t="s">
        <v>56</v>
      </c>
      <c r="T2" s="85" t="s">
        <v>1484</v>
      </c>
    </row>
    <row r="3" spans="1:25" ht="13.5" thickBot="1" x14ac:dyDescent="0.25">
      <c r="A3" s="45"/>
      <c r="B3" s="45"/>
      <c r="C3" s="45"/>
      <c r="D3" s="45"/>
      <c r="E3" s="45"/>
      <c r="F3" s="45"/>
      <c r="G3" s="45"/>
      <c r="H3" s="45"/>
      <c r="I3" s="45"/>
      <c r="J3" s="45"/>
      <c r="S3" s="366" t="s">
        <v>55</v>
      </c>
      <c r="T3" s="144">
        <v>2020</v>
      </c>
    </row>
    <row r="4" spans="1:25" ht="97.5" customHeight="1" thickBot="1" x14ac:dyDescent="0.25">
      <c r="A4" s="104" t="s">
        <v>0</v>
      </c>
      <c r="B4" s="104" t="s">
        <v>81</v>
      </c>
      <c r="C4" s="97" t="s">
        <v>1</v>
      </c>
      <c r="D4" s="160" t="s">
        <v>82</v>
      </c>
      <c r="E4" s="160" t="s">
        <v>83</v>
      </c>
      <c r="F4" s="98" t="s">
        <v>84</v>
      </c>
      <c r="G4" s="99" t="s">
        <v>85</v>
      </c>
      <c r="H4" s="104" t="s">
        <v>86</v>
      </c>
      <c r="I4" s="104" t="s">
        <v>87</v>
      </c>
      <c r="J4" s="104" t="s">
        <v>88</v>
      </c>
      <c r="K4" s="104" t="s">
        <v>90</v>
      </c>
      <c r="L4" s="104" t="s">
        <v>91</v>
      </c>
      <c r="M4" s="104" t="s">
        <v>92</v>
      </c>
      <c r="N4" s="104" t="s">
        <v>93</v>
      </c>
      <c r="O4" s="104" t="s">
        <v>4</v>
      </c>
      <c r="P4" s="159" t="s">
        <v>255</v>
      </c>
      <c r="Q4" s="159" t="s">
        <v>89</v>
      </c>
      <c r="R4" s="159" t="s">
        <v>94</v>
      </c>
      <c r="S4" s="159" t="s">
        <v>271</v>
      </c>
      <c r="T4" s="159" t="s">
        <v>95</v>
      </c>
    </row>
    <row r="5" spans="1:25" ht="36.75" customHeight="1" x14ac:dyDescent="0.2">
      <c r="A5" s="483" t="s">
        <v>276</v>
      </c>
      <c r="B5" s="483" t="s">
        <v>1588</v>
      </c>
      <c r="C5" s="483" t="s">
        <v>277</v>
      </c>
      <c r="D5" s="474" t="s">
        <v>100</v>
      </c>
      <c r="E5" s="329" t="s">
        <v>1446</v>
      </c>
      <c r="F5" s="215" t="s">
        <v>1589</v>
      </c>
      <c r="G5" s="195" t="s">
        <v>152</v>
      </c>
      <c r="H5" s="200" t="s">
        <v>1590</v>
      </c>
      <c r="I5" s="216" t="s">
        <v>6</v>
      </c>
      <c r="J5" s="501" t="s">
        <v>280</v>
      </c>
      <c r="K5" s="501">
        <v>1</v>
      </c>
      <c r="L5" s="501" t="s">
        <v>77</v>
      </c>
      <c r="M5" s="501" t="s">
        <v>7</v>
      </c>
      <c r="N5" s="200" t="s">
        <v>7</v>
      </c>
      <c r="O5" s="218"/>
      <c r="P5" s="330" t="s">
        <v>6</v>
      </c>
      <c r="Q5" s="331" t="s">
        <v>7</v>
      </c>
      <c r="R5" s="331" t="s">
        <v>7</v>
      </c>
      <c r="S5" s="332" t="s">
        <v>7</v>
      </c>
      <c r="T5" s="493"/>
      <c r="U5" s="1"/>
    </row>
    <row r="6" spans="1:25" ht="36.75" customHeight="1" x14ac:dyDescent="0.2">
      <c r="A6" s="483" t="s">
        <v>276</v>
      </c>
      <c r="B6" s="483" t="s">
        <v>1588</v>
      </c>
      <c r="C6" s="483" t="s">
        <v>277</v>
      </c>
      <c r="D6" s="476" t="s">
        <v>100</v>
      </c>
      <c r="E6" s="329" t="s">
        <v>1446</v>
      </c>
      <c r="F6" s="484" t="s">
        <v>1591</v>
      </c>
      <c r="G6" s="195" t="s">
        <v>152</v>
      </c>
      <c r="H6" s="200" t="s">
        <v>1590</v>
      </c>
      <c r="I6" s="216" t="s">
        <v>6</v>
      </c>
      <c r="J6" s="501" t="s">
        <v>280</v>
      </c>
      <c r="K6" s="501">
        <v>1</v>
      </c>
      <c r="L6" s="501" t="s">
        <v>77</v>
      </c>
      <c r="M6" s="501" t="s">
        <v>7</v>
      </c>
      <c r="N6" s="200" t="s">
        <v>7</v>
      </c>
      <c r="O6" s="172"/>
      <c r="P6" s="330" t="s">
        <v>6</v>
      </c>
      <c r="Q6" s="331" t="s">
        <v>7</v>
      </c>
      <c r="R6" s="331" t="s">
        <v>7</v>
      </c>
      <c r="S6" s="332" t="s">
        <v>7</v>
      </c>
      <c r="T6" s="491"/>
    </row>
    <row r="7" spans="1:25" ht="165.75" x14ac:dyDescent="0.2">
      <c r="A7" s="483" t="s">
        <v>276</v>
      </c>
      <c r="B7" s="483" t="s">
        <v>1588</v>
      </c>
      <c r="C7" s="483" t="s">
        <v>277</v>
      </c>
      <c r="D7" s="476" t="s">
        <v>96</v>
      </c>
      <c r="E7" s="728" t="s">
        <v>2033</v>
      </c>
      <c r="F7" s="500" t="s">
        <v>1589</v>
      </c>
      <c r="G7" s="195" t="s">
        <v>287</v>
      </c>
      <c r="H7" s="200" t="s">
        <v>1590</v>
      </c>
      <c r="I7" s="216" t="s">
        <v>6</v>
      </c>
      <c r="J7" s="501" t="s">
        <v>1595</v>
      </c>
      <c r="K7" s="501">
        <v>1</v>
      </c>
      <c r="L7" s="501" t="s">
        <v>6</v>
      </c>
      <c r="M7" s="501" t="s">
        <v>1596</v>
      </c>
      <c r="N7" s="217">
        <v>0.08</v>
      </c>
      <c r="O7" s="218"/>
      <c r="P7" s="330" t="s">
        <v>6</v>
      </c>
      <c r="Q7" s="332" t="s">
        <v>1595</v>
      </c>
      <c r="R7" s="495">
        <v>0.08</v>
      </c>
      <c r="S7" s="494">
        <v>1</v>
      </c>
      <c r="T7" s="491"/>
    </row>
    <row r="8" spans="1:25" ht="165.75" x14ac:dyDescent="0.2">
      <c r="A8" s="483" t="s">
        <v>276</v>
      </c>
      <c r="B8" s="483" t="s">
        <v>1588</v>
      </c>
      <c r="C8" s="483" t="s">
        <v>277</v>
      </c>
      <c r="D8" s="476" t="s">
        <v>96</v>
      </c>
      <c r="E8" s="728" t="s">
        <v>2033</v>
      </c>
      <c r="F8" s="500" t="s">
        <v>1589</v>
      </c>
      <c r="G8" s="195" t="s">
        <v>283</v>
      </c>
      <c r="H8" s="200" t="s">
        <v>1590</v>
      </c>
      <c r="I8" s="216" t="s">
        <v>6</v>
      </c>
      <c r="J8" s="501" t="s">
        <v>1595</v>
      </c>
      <c r="K8" s="501">
        <v>1</v>
      </c>
      <c r="L8" s="501" t="s">
        <v>6</v>
      </c>
      <c r="M8" s="501" t="s">
        <v>1596</v>
      </c>
      <c r="N8" s="217">
        <v>0.08</v>
      </c>
      <c r="O8" s="172"/>
      <c r="P8" s="330" t="s">
        <v>6</v>
      </c>
      <c r="Q8" s="332" t="s">
        <v>1595</v>
      </c>
      <c r="R8" s="495">
        <v>0.08</v>
      </c>
      <c r="S8" s="494">
        <v>1</v>
      </c>
      <c r="T8" s="491"/>
    </row>
    <row r="9" spans="1:25" ht="165.75" x14ac:dyDescent="0.2">
      <c r="A9" s="483" t="s">
        <v>276</v>
      </c>
      <c r="B9" s="483" t="s">
        <v>1588</v>
      </c>
      <c r="C9" s="483" t="s">
        <v>277</v>
      </c>
      <c r="D9" s="476" t="s">
        <v>96</v>
      </c>
      <c r="E9" s="728" t="s">
        <v>2033</v>
      </c>
      <c r="F9" s="500" t="s">
        <v>1589</v>
      </c>
      <c r="G9" s="195" t="s">
        <v>1592</v>
      </c>
      <c r="H9" s="200" t="s">
        <v>1590</v>
      </c>
      <c r="I9" s="216" t="s">
        <v>6</v>
      </c>
      <c r="J9" s="501" t="s">
        <v>1597</v>
      </c>
      <c r="K9" s="501">
        <v>1</v>
      </c>
      <c r="L9" s="501" t="s">
        <v>77</v>
      </c>
      <c r="M9" s="501" t="s">
        <v>7</v>
      </c>
      <c r="N9" s="200" t="s">
        <v>7</v>
      </c>
      <c r="O9" s="172"/>
      <c r="P9" s="330" t="s">
        <v>6</v>
      </c>
      <c r="Q9" s="331" t="s">
        <v>7</v>
      </c>
      <c r="R9" s="331" t="s">
        <v>7</v>
      </c>
      <c r="S9" s="332" t="s">
        <v>7</v>
      </c>
      <c r="T9" s="491"/>
    </row>
    <row r="10" spans="1:25" ht="165.75" x14ac:dyDescent="0.2">
      <c r="A10" s="483" t="s">
        <v>276</v>
      </c>
      <c r="B10" s="483" t="s">
        <v>1588</v>
      </c>
      <c r="C10" s="483" t="s">
        <v>277</v>
      </c>
      <c r="D10" s="476" t="s">
        <v>98</v>
      </c>
      <c r="E10" s="728" t="s">
        <v>2034</v>
      </c>
      <c r="F10" s="500" t="s">
        <v>1589</v>
      </c>
      <c r="G10" s="195" t="s">
        <v>1593</v>
      </c>
      <c r="H10" s="200" t="s">
        <v>1590</v>
      </c>
      <c r="I10" s="216" t="s">
        <v>6</v>
      </c>
      <c r="J10" s="501" t="s">
        <v>1595</v>
      </c>
      <c r="K10" s="501">
        <v>1</v>
      </c>
      <c r="L10" s="501" t="s">
        <v>6</v>
      </c>
      <c r="M10" s="501" t="s">
        <v>1596</v>
      </c>
      <c r="N10" s="217">
        <v>0.08</v>
      </c>
      <c r="O10" s="172"/>
      <c r="P10" s="330" t="s">
        <v>6</v>
      </c>
      <c r="Q10" s="332" t="s">
        <v>1595</v>
      </c>
      <c r="R10" s="495">
        <v>0.08</v>
      </c>
      <c r="S10" s="494">
        <v>1</v>
      </c>
      <c r="T10" s="492"/>
    </row>
    <row r="11" spans="1:25" ht="165.75" x14ac:dyDescent="0.2">
      <c r="A11" s="483" t="s">
        <v>276</v>
      </c>
      <c r="B11" s="483" t="s">
        <v>1588</v>
      </c>
      <c r="C11" s="483" t="s">
        <v>277</v>
      </c>
      <c r="D11" s="476" t="s">
        <v>98</v>
      </c>
      <c r="E11" s="728" t="s">
        <v>2034</v>
      </c>
      <c r="F11" s="500" t="s">
        <v>1589</v>
      </c>
      <c r="G11" s="195" t="s">
        <v>1594</v>
      </c>
      <c r="H11" s="200" t="s">
        <v>1590</v>
      </c>
      <c r="I11" s="216" t="s">
        <v>6</v>
      </c>
      <c r="J11" s="501" t="s">
        <v>1595</v>
      </c>
      <c r="K11" s="501">
        <v>1</v>
      </c>
      <c r="L11" s="501" t="s">
        <v>6</v>
      </c>
      <c r="M11" s="501" t="s">
        <v>1596</v>
      </c>
      <c r="N11" s="217">
        <v>0.08</v>
      </c>
      <c r="O11" s="172"/>
      <c r="P11" s="330" t="s">
        <v>6</v>
      </c>
      <c r="Q11" s="332" t="s">
        <v>1595</v>
      </c>
      <c r="R11" s="495">
        <v>0.08</v>
      </c>
      <c r="S11" s="494">
        <v>1</v>
      </c>
      <c r="T11" s="490"/>
      <c r="U11" s="28"/>
      <c r="V11" s="28"/>
      <c r="W11" s="28"/>
      <c r="X11" s="28"/>
      <c r="Y11" s="28"/>
    </row>
    <row r="12" spans="1:25" ht="165.75" x14ac:dyDescent="0.2">
      <c r="A12" s="483" t="s">
        <v>276</v>
      </c>
      <c r="B12" s="483" t="s">
        <v>1588</v>
      </c>
      <c r="C12" s="483" t="s">
        <v>277</v>
      </c>
      <c r="D12" s="476" t="s">
        <v>98</v>
      </c>
      <c r="E12" s="728" t="s">
        <v>2034</v>
      </c>
      <c r="F12" s="500" t="s">
        <v>1589</v>
      </c>
      <c r="G12" s="499" t="s">
        <v>1592</v>
      </c>
      <c r="H12" s="216" t="s">
        <v>1590</v>
      </c>
      <c r="I12" s="216" t="s">
        <v>6</v>
      </c>
      <c r="J12" s="501" t="s">
        <v>1597</v>
      </c>
      <c r="K12" s="501">
        <v>1</v>
      </c>
      <c r="L12" s="501" t="s">
        <v>77</v>
      </c>
      <c r="M12" s="501" t="s">
        <v>7</v>
      </c>
      <c r="N12" s="200" t="s">
        <v>7</v>
      </c>
      <c r="O12" s="172"/>
      <c r="P12" s="330" t="s">
        <v>6</v>
      </c>
      <c r="Q12" s="331" t="s">
        <v>7</v>
      </c>
      <c r="R12" s="331" t="s">
        <v>7</v>
      </c>
      <c r="S12" s="332" t="s">
        <v>7</v>
      </c>
      <c r="T12" s="490"/>
      <c r="U12" s="28"/>
      <c r="V12" s="28"/>
      <c r="W12" s="28"/>
      <c r="X12" s="28"/>
      <c r="Y12" s="28"/>
    </row>
    <row r="13" spans="1:25" ht="165.75" x14ac:dyDescent="0.2">
      <c r="A13" s="483" t="s">
        <v>276</v>
      </c>
      <c r="B13" s="483" t="s">
        <v>1588</v>
      </c>
      <c r="C13" s="483" t="s">
        <v>278</v>
      </c>
      <c r="D13" s="476" t="s">
        <v>100</v>
      </c>
      <c r="E13" s="728" t="s">
        <v>2034</v>
      </c>
      <c r="F13" s="500" t="s">
        <v>1589</v>
      </c>
      <c r="G13" s="499" t="s">
        <v>286</v>
      </c>
      <c r="H13" s="216" t="s">
        <v>1590</v>
      </c>
      <c r="I13" s="216" t="s">
        <v>6</v>
      </c>
      <c r="J13" s="501" t="s">
        <v>1597</v>
      </c>
      <c r="K13" s="501">
        <v>1</v>
      </c>
      <c r="L13" s="501" t="s">
        <v>77</v>
      </c>
      <c r="M13" s="501" t="s">
        <v>7</v>
      </c>
      <c r="N13" s="200" t="s">
        <v>7</v>
      </c>
      <c r="O13" s="172"/>
      <c r="P13" s="330" t="s">
        <v>6</v>
      </c>
      <c r="Q13" s="331" t="s">
        <v>7</v>
      </c>
      <c r="R13" s="331" t="s">
        <v>7</v>
      </c>
      <c r="S13" s="332" t="s">
        <v>7</v>
      </c>
      <c r="T13" s="490"/>
      <c r="U13" s="28"/>
      <c r="V13" s="28"/>
      <c r="W13" s="28"/>
      <c r="X13" s="28"/>
      <c r="Y13" s="28"/>
    </row>
    <row r="14" spans="1:25" ht="165.75" x14ac:dyDescent="0.2">
      <c r="A14" s="481" t="s">
        <v>276</v>
      </c>
      <c r="B14" s="481" t="s">
        <v>1588</v>
      </c>
      <c r="C14" s="481" t="s">
        <v>278</v>
      </c>
      <c r="D14" s="475" t="s">
        <v>96</v>
      </c>
      <c r="E14" s="728" t="s">
        <v>2034</v>
      </c>
      <c r="F14" s="498" t="s">
        <v>1589</v>
      </c>
      <c r="G14" s="497" t="s">
        <v>286</v>
      </c>
      <c r="H14" s="482" t="s">
        <v>1590</v>
      </c>
      <c r="I14" s="482" t="s">
        <v>6</v>
      </c>
      <c r="J14" s="501" t="s">
        <v>1597</v>
      </c>
      <c r="K14" s="501">
        <v>1</v>
      </c>
      <c r="L14" s="501" t="s">
        <v>77</v>
      </c>
      <c r="M14" s="501" t="s">
        <v>7</v>
      </c>
      <c r="N14" s="481" t="s">
        <v>7</v>
      </c>
      <c r="O14" s="480"/>
      <c r="P14" s="479" t="s">
        <v>6</v>
      </c>
      <c r="Q14" s="478" t="s">
        <v>7</v>
      </c>
      <c r="R14" s="478" t="s">
        <v>7</v>
      </c>
      <c r="S14" s="477" t="s">
        <v>7</v>
      </c>
      <c r="T14" s="490"/>
      <c r="U14" s="28"/>
      <c r="V14" s="28"/>
      <c r="W14" s="28"/>
      <c r="X14" s="28"/>
      <c r="Y14" s="28"/>
    </row>
    <row r="15" spans="1:25" ht="165.75" x14ac:dyDescent="0.2">
      <c r="A15" s="483" t="s">
        <v>276</v>
      </c>
      <c r="B15" s="483" t="s">
        <v>1588</v>
      </c>
      <c r="C15" s="483" t="s">
        <v>278</v>
      </c>
      <c r="D15" s="476" t="s">
        <v>98</v>
      </c>
      <c r="E15" s="728" t="s">
        <v>2034</v>
      </c>
      <c r="F15" s="496" t="s">
        <v>1589</v>
      </c>
      <c r="G15" s="496" t="s">
        <v>286</v>
      </c>
      <c r="H15" s="485" t="s">
        <v>1590</v>
      </c>
      <c r="I15" s="485" t="s">
        <v>6</v>
      </c>
      <c r="J15" s="501" t="s">
        <v>1597</v>
      </c>
      <c r="K15" s="501">
        <v>1</v>
      </c>
      <c r="L15" s="501" t="s">
        <v>77</v>
      </c>
      <c r="M15" s="501" t="s">
        <v>7</v>
      </c>
      <c r="N15" s="483" t="s">
        <v>7</v>
      </c>
      <c r="O15" s="486"/>
      <c r="P15" s="487" t="s">
        <v>6</v>
      </c>
      <c r="Q15" s="488" t="s">
        <v>7</v>
      </c>
      <c r="R15" s="488" t="s">
        <v>7</v>
      </c>
      <c r="S15" s="489" t="s">
        <v>7</v>
      </c>
      <c r="T15" s="490"/>
      <c r="U15" s="28"/>
      <c r="V15" s="28"/>
      <c r="W15" s="28"/>
      <c r="X15" s="28"/>
      <c r="Y15" s="28"/>
    </row>
  </sheetData>
  <dataValidations count="1">
    <dataValidation type="list" allowBlank="1" showInputMessage="1" showErrorMessage="1" sqref="G12:G15">
      <formula1>$R$4:$R$4</formula1>
    </dataValidation>
  </dataValidations>
  <pageMargins left="0.25" right="0.25" top="0.75" bottom="0.75" header="0.3" footer="0.3"/>
  <pageSetup paperSize="9" scale="3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pageSetUpPr fitToPage="1"/>
  </sheetPr>
  <dimension ref="A1:Y1270"/>
  <sheetViews>
    <sheetView zoomScaleNormal="100" zoomScaleSheetLayoutView="100" workbookViewId="0">
      <pane xSplit="4" ySplit="4" topLeftCell="E1194" activePane="bottomRight" state="frozen"/>
      <selection pane="topRight" activeCell="E1" sqref="E1"/>
      <selection pane="bottomLeft" activeCell="A5" sqref="A5"/>
      <selection pane="bottomRight" activeCell="O1223" sqref="O1223"/>
    </sheetView>
  </sheetViews>
  <sheetFormatPr defaultColWidth="11.42578125" defaultRowHeight="12.75" x14ac:dyDescent="0.2"/>
  <cols>
    <col min="1" max="1" width="6.85546875" style="19" customWidth="1"/>
    <col min="2" max="2" width="13" style="19" customWidth="1"/>
    <col min="3" max="3" width="37.140625" style="19" bestFit="1" customWidth="1"/>
    <col min="4" max="4" width="18.5703125" style="19" customWidth="1"/>
    <col min="5" max="5" width="47.42578125" style="19" bestFit="1" customWidth="1"/>
    <col min="6" max="6" width="18.7109375" style="19" customWidth="1"/>
    <col min="7" max="7" width="47.28515625" style="19" bestFit="1" customWidth="1"/>
    <col min="8" max="8" width="28.5703125" style="19" bestFit="1" customWidth="1"/>
    <col min="9" max="9" width="31.42578125" style="19" bestFit="1" customWidth="1"/>
    <col min="10" max="10" width="20.85546875" style="19" customWidth="1"/>
    <col min="11" max="11" width="15.7109375" style="19" bestFit="1" customWidth="1"/>
    <col min="12" max="12" width="54" style="19" customWidth="1"/>
    <col min="13" max="13" width="26.5703125" style="19" customWidth="1"/>
    <col min="14" max="14" width="13.42578125" style="19" customWidth="1"/>
    <col min="15" max="15" width="57" style="19" customWidth="1"/>
    <col min="16" max="16" width="18.5703125" style="19" customWidth="1"/>
    <col min="17" max="17" width="20.42578125" style="19" customWidth="1"/>
    <col min="18" max="18" width="84.85546875" style="19" bestFit="1" customWidth="1"/>
    <col min="19" max="24" width="11.42578125" style="19"/>
    <col min="25" max="25" width="52.7109375" style="19" customWidth="1"/>
    <col min="26" max="16384" width="11.42578125" style="19"/>
  </cols>
  <sheetData>
    <row r="1" spans="1:25" ht="13.5" thickBot="1" x14ac:dyDescent="0.25">
      <c r="A1" s="22" t="s">
        <v>101</v>
      </c>
    </row>
    <row r="2" spans="1:25" x14ac:dyDescent="0.2">
      <c r="A2" s="47"/>
      <c r="B2" s="20"/>
      <c r="C2" s="20"/>
      <c r="D2" s="20"/>
      <c r="E2" s="20"/>
      <c r="F2" s="20"/>
      <c r="G2" s="20"/>
      <c r="H2" s="20"/>
      <c r="I2" s="20"/>
      <c r="J2" s="20"/>
      <c r="K2" s="20"/>
      <c r="L2" s="20"/>
      <c r="M2" s="20"/>
      <c r="N2" s="20"/>
      <c r="O2" s="20"/>
      <c r="Q2" s="92" t="s">
        <v>56</v>
      </c>
      <c r="R2" s="85" t="s">
        <v>1484</v>
      </c>
    </row>
    <row r="3" spans="1:25" ht="13.5" thickBot="1" x14ac:dyDescent="0.25">
      <c r="A3" s="47"/>
      <c r="B3" s="20"/>
      <c r="C3" s="20"/>
      <c r="D3" s="20"/>
      <c r="E3" s="20"/>
      <c r="F3" s="20"/>
      <c r="G3" s="20"/>
      <c r="H3" s="20"/>
      <c r="I3" s="20"/>
      <c r="J3" s="20"/>
      <c r="K3" s="20"/>
      <c r="L3" s="20"/>
      <c r="M3" s="20"/>
      <c r="N3" s="20"/>
      <c r="O3" s="20"/>
      <c r="Q3" s="74" t="s">
        <v>1480</v>
      </c>
      <c r="R3" s="144">
        <v>2020</v>
      </c>
    </row>
    <row r="4" spans="1:25" ht="39" thickBot="1" x14ac:dyDescent="0.25">
      <c r="A4" s="96" t="s">
        <v>0</v>
      </c>
      <c r="B4" s="97" t="s">
        <v>81</v>
      </c>
      <c r="C4" s="98" t="s">
        <v>84</v>
      </c>
      <c r="D4" s="99" t="s">
        <v>85</v>
      </c>
      <c r="E4" s="159" t="s">
        <v>102</v>
      </c>
      <c r="F4" s="753" t="s">
        <v>103</v>
      </c>
      <c r="G4" s="101" t="s">
        <v>83</v>
      </c>
      <c r="H4" s="343" t="s">
        <v>104</v>
      </c>
      <c r="I4" s="103" t="s">
        <v>105</v>
      </c>
      <c r="J4" s="103" t="s">
        <v>9</v>
      </c>
      <c r="K4" s="341" t="s">
        <v>106</v>
      </c>
      <c r="L4" s="97" t="s">
        <v>4</v>
      </c>
      <c r="M4" s="160" t="s">
        <v>239</v>
      </c>
      <c r="N4" s="160" t="s">
        <v>240</v>
      </c>
      <c r="O4" s="159" t="s">
        <v>107</v>
      </c>
      <c r="P4" s="159" t="s">
        <v>241</v>
      </c>
      <c r="Q4" s="169" t="s">
        <v>242</v>
      </c>
      <c r="R4" s="159" t="s">
        <v>154</v>
      </c>
    </row>
    <row r="5" spans="1:25" x14ac:dyDescent="0.2">
      <c r="A5" s="506" t="s">
        <v>276</v>
      </c>
      <c r="B5" s="502" t="s">
        <v>779</v>
      </c>
      <c r="C5" s="502" t="s">
        <v>97</v>
      </c>
      <c r="D5" s="503" t="s">
        <v>279</v>
      </c>
      <c r="E5" s="344"/>
      <c r="F5" s="504" t="s">
        <v>109</v>
      </c>
      <c r="G5" s="512" t="s">
        <v>782</v>
      </c>
      <c r="H5" s="511" t="s">
        <v>783</v>
      </c>
      <c r="I5" s="509" t="s">
        <v>784</v>
      </c>
      <c r="J5" s="509" t="s">
        <v>650</v>
      </c>
      <c r="K5" s="516">
        <v>100</v>
      </c>
      <c r="L5" s="522"/>
      <c r="M5" s="360">
        <v>6</v>
      </c>
      <c r="N5" s="360">
        <v>6</v>
      </c>
      <c r="O5" s="682">
        <f>IFERROR(N5/M5,0)</f>
        <v>1</v>
      </c>
      <c r="P5" s="683">
        <f>IFERROR(N5/(M5*(K5/100))*100,"0")</f>
        <v>100</v>
      </c>
      <c r="Q5" s="684">
        <f>IFERROR(N5/(M5*(K5/100)),"0")</f>
        <v>1</v>
      </c>
      <c r="R5" s="360"/>
    </row>
    <row r="6" spans="1:25" x14ac:dyDescent="0.2">
      <c r="A6" s="506" t="s">
        <v>276</v>
      </c>
      <c r="B6" s="502" t="s">
        <v>779</v>
      </c>
      <c r="C6" s="504" t="s">
        <v>97</v>
      </c>
      <c r="D6" s="505" t="s">
        <v>281</v>
      </c>
      <c r="E6" s="345"/>
      <c r="F6" s="504" t="s">
        <v>109</v>
      </c>
      <c r="G6" s="512" t="s">
        <v>782</v>
      </c>
      <c r="H6" s="511" t="s">
        <v>783</v>
      </c>
      <c r="I6" s="509" t="s">
        <v>784</v>
      </c>
      <c r="J6" s="509" t="s">
        <v>650</v>
      </c>
      <c r="K6" s="516">
        <v>100</v>
      </c>
      <c r="L6" s="523"/>
      <c r="M6" s="685">
        <v>9</v>
      </c>
      <c r="N6" s="685">
        <v>9</v>
      </c>
      <c r="O6" s="682">
        <f t="shared" ref="O6:O68" si="0">IFERROR(N6/M6,0)</f>
        <v>1</v>
      </c>
      <c r="P6" s="683">
        <f t="shared" ref="P6:P68" si="1">IFERROR(N6/(M6*(K6/100))*100,"0")</f>
        <v>100</v>
      </c>
      <c r="Q6" s="684">
        <f t="shared" ref="Q6:Q68" si="2">IFERROR(N6/(M6*(K6/100)),"0")</f>
        <v>1</v>
      </c>
      <c r="R6" s="686"/>
    </row>
    <row r="7" spans="1:25" x14ac:dyDescent="0.2">
      <c r="A7" s="506" t="s">
        <v>276</v>
      </c>
      <c r="B7" s="502" t="s">
        <v>779</v>
      </c>
      <c r="C7" s="504" t="s">
        <v>282</v>
      </c>
      <c r="D7" s="505" t="s">
        <v>287</v>
      </c>
      <c r="E7" s="346"/>
      <c r="F7" s="504" t="s">
        <v>109</v>
      </c>
      <c r="G7" s="512" t="s">
        <v>782</v>
      </c>
      <c r="H7" s="511" t="s">
        <v>785</v>
      </c>
      <c r="I7" s="509" t="s">
        <v>784</v>
      </c>
      <c r="J7" s="509" t="s">
        <v>650</v>
      </c>
      <c r="K7" s="516">
        <v>100</v>
      </c>
      <c r="L7" s="523"/>
      <c r="M7" s="685">
        <v>68</v>
      </c>
      <c r="N7" s="685">
        <v>68</v>
      </c>
      <c r="O7" s="682">
        <f t="shared" si="0"/>
        <v>1</v>
      </c>
      <c r="P7" s="683">
        <f t="shared" si="1"/>
        <v>100</v>
      </c>
      <c r="Q7" s="684">
        <f t="shared" si="2"/>
        <v>1</v>
      </c>
      <c r="R7" s="686"/>
    </row>
    <row r="8" spans="1:25" x14ac:dyDescent="0.2">
      <c r="A8" s="506" t="s">
        <v>276</v>
      </c>
      <c r="B8" s="502" t="s">
        <v>779</v>
      </c>
      <c r="C8" s="507" t="s">
        <v>282</v>
      </c>
      <c r="D8" s="505" t="s">
        <v>283</v>
      </c>
      <c r="E8" s="346"/>
      <c r="F8" s="504" t="s">
        <v>109</v>
      </c>
      <c r="G8" s="512" t="s">
        <v>782</v>
      </c>
      <c r="H8" s="511" t="s">
        <v>783</v>
      </c>
      <c r="I8" s="509" t="s">
        <v>784</v>
      </c>
      <c r="J8" s="509" t="s">
        <v>650</v>
      </c>
      <c r="K8" s="516">
        <v>100</v>
      </c>
      <c r="L8" s="523"/>
      <c r="M8" s="685">
        <v>19</v>
      </c>
      <c r="N8" s="685">
        <v>19</v>
      </c>
      <c r="O8" s="682">
        <f t="shared" si="0"/>
        <v>1</v>
      </c>
      <c r="P8" s="683">
        <f t="shared" si="1"/>
        <v>100</v>
      </c>
      <c r="Q8" s="684">
        <f t="shared" si="2"/>
        <v>1</v>
      </c>
      <c r="R8" s="686"/>
    </row>
    <row r="9" spans="1:25" x14ac:dyDescent="0.2">
      <c r="A9" s="506" t="s">
        <v>276</v>
      </c>
      <c r="B9" s="502" t="s">
        <v>779</v>
      </c>
      <c r="C9" s="507" t="s">
        <v>282</v>
      </c>
      <c r="D9" s="505" t="s">
        <v>284</v>
      </c>
      <c r="E9" s="346"/>
      <c r="F9" s="504" t="s">
        <v>109</v>
      </c>
      <c r="G9" s="512" t="s">
        <v>782</v>
      </c>
      <c r="H9" s="511" t="s">
        <v>783</v>
      </c>
      <c r="I9" s="509" t="s">
        <v>784</v>
      </c>
      <c r="J9" s="509" t="s">
        <v>650</v>
      </c>
      <c r="K9" s="516">
        <v>100</v>
      </c>
      <c r="L9" s="524"/>
      <c r="M9" s="685">
        <v>43</v>
      </c>
      <c r="N9" s="685">
        <v>43</v>
      </c>
      <c r="O9" s="682">
        <f t="shared" si="0"/>
        <v>1</v>
      </c>
      <c r="P9" s="683">
        <f t="shared" si="1"/>
        <v>100</v>
      </c>
      <c r="Q9" s="684">
        <f t="shared" si="2"/>
        <v>1</v>
      </c>
      <c r="R9" s="686"/>
    </row>
    <row r="10" spans="1:25" x14ac:dyDescent="0.2">
      <c r="A10" s="506" t="s">
        <v>276</v>
      </c>
      <c r="B10" s="502" t="s">
        <v>779</v>
      </c>
      <c r="C10" s="507" t="s">
        <v>282</v>
      </c>
      <c r="D10" s="508" t="s">
        <v>279</v>
      </c>
      <c r="E10" s="346"/>
      <c r="F10" s="504" t="s">
        <v>109</v>
      </c>
      <c r="G10" s="512" t="s">
        <v>782</v>
      </c>
      <c r="H10" s="511" t="s">
        <v>783</v>
      </c>
      <c r="I10" s="509" t="s">
        <v>784</v>
      </c>
      <c r="J10" s="509" t="s">
        <v>650</v>
      </c>
      <c r="K10" s="516">
        <v>100</v>
      </c>
      <c r="L10" s="524"/>
      <c r="M10" s="685">
        <v>65</v>
      </c>
      <c r="N10" s="685">
        <v>65</v>
      </c>
      <c r="O10" s="682">
        <f t="shared" si="0"/>
        <v>1</v>
      </c>
      <c r="P10" s="683">
        <f t="shared" si="1"/>
        <v>100</v>
      </c>
      <c r="Q10" s="684">
        <f t="shared" si="2"/>
        <v>1</v>
      </c>
      <c r="R10" s="490"/>
    </row>
    <row r="11" spans="1:25" x14ac:dyDescent="0.2">
      <c r="A11" s="506" t="s">
        <v>276</v>
      </c>
      <c r="B11" s="502" t="s">
        <v>779</v>
      </c>
      <c r="C11" s="507" t="s">
        <v>282</v>
      </c>
      <c r="D11" s="508" t="s">
        <v>281</v>
      </c>
      <c r="E11" s="346"/>
      <c r="F11" s="504" t="s">
        <v>109</v>
      </c>
      <c r="G11" s="512" t="s">
        <v>782</v>
      </c>
      <c r="H11" s="511" t="s">
        <v>783</v>
      </c>
      <c r="I11" s="509" t="s">
        <v>784</v>
      </c>
      <c r="J11" s="509" t="s">
        <v>650</v>
      </c>
      <c r="K11" s="516">
        <v>100</v>
      </c>
      <c r="L11" s="524"/>
      <c r="M11" s="685">
        <v>48</v>
      </c>
      <c r="N11" s="685">
        <v>48</v>
      </c>
      <c r="O11" s="682">
        <f t="shared" si="0"/>
        <v>1</v>
      </c>
      <c r="P11" s="683">
        <f t="shared" si="1"/>
        <v>100</v>
      </c>
      <c r="Q11" s="684">
        <f t="shared" si="2"/>
        <v>1</v>
      </c>
      <c r="R11" s="490"/>
      <c r="S11" s="28"/>
      <c r="T11" s="28"/>
      <c r="U11" s="28"/>
      <c r="V11" s="28"/>
      <c r="W11" s="28"/>
      <c r="X11" s="28"/>
      <c r="Y11" s="28"/>
    </row>
    <row r="12" spans="1:25" x14ac:dyDescent="0.2">
      <c r="A12" s="506" t="s">
        <v>276</v>
      </c>
      <c r="B12" s="502" t="s">
        <v>779</v>
      </c>
      <c r="C12" s="507" t="s">
        <v>288</v>
      </c>
      <c r="D12" s="508" t="s">
        <v>287</v>
      </c>
      <c r="E12" s="346"/>
      <c r="F12" s="504" t="s">
        <v>109</v>
      </c>
      <c r="G12" s="512" t="s">
        <v>782</v>
      </c>
      <c r="H12" s="511" t="s">
        <v>785</v>
      </c>
      <c r="I12" s="509" t="s">
        <v>784</v>
      </c>
      <c r="J12" s="509" t="s">
        <v>650</v>
      </c>
      <c r="K12" s="516">
        <v>100</v>
      </c>
      <c r="L12" s="524"/>
      <c r="M12" s="685">
        <v>299</v>
      </c>
      <c r="N12" s="685">
        <v>299</v>
      </c>
      <c r="O12" s="682">
        <f t="shared" si="0"/>
        <v>1</v>
      </c>
      <c r="P12" s="683">
        <f t="shared" si="1"/>
        <v>100</v>
      </c>
      <c r="Q12" s="684">
        <f t="shared" si="2"/>
        <v>1</v>
      </c>
      <c r="R12" s="490"/>
      <c r="S12" s="28"/>
      <c r="T12" s="28"/>
      <c r="U12" s="28"/>
      <c r="V12" s="28"/>
      <c r="W12" s="28"/>
      <c r="X12" s="28"/>
      <c r="Y12" s="28"/>
    </row>
    <row r="13" spans="1:25" x14ac:dyDescent="0.2">
      <c r="A13" s="506" t="s">
        <v>276</v>
      </c>
      <c r="B13" s="502" t="s">
        <v>779</v>
      </c>
      <c r="C13" s="507" t="s">
        <v>288</v>
      </c>
      <c r="D13" s="508" t="s">
        <v>283</v>
      </c>
      <c r="E13" s="346"/>
      <c r="F13" s="504" t="s">
        <v>109</v>
      </c>
      <c r="G13" s="512" t="s">
        <v>782</v>
      </c>
      <c r="H13" s="511" t="s">
        <v>783</v>
      </c>
      <c r="I13" s="509" t="s">
        <v>784</v>
      </c>
      <c r="J13" s="509" t="s">
        <v>650</v>
      </c>
      <c r="K13" s="516">
        <v>100</v>
      </c>
      <c r="L13" s="524"/>
      <c r="M13" s="685">
        <v>64</v>
      </c>
      <c r="N13" s="685">
        <v>64</v>
      </c>
      <c r="O13" s="682">
        <f t="shared" si="0"/>
        <v>1</v>
      </c>
      <c r="P13" s="683">
        <f t="shared" si="1"/>
        <v>100</v>
      </c>
      <c r="Q13" s="684">
        <f t="shared" si="2"/>
        <v>1</v>
      </c>
      <c r="R13" s="490"/>
      <c r="S13" s="28"/>
      <c r="T13" s="28"/>
      <c r="U13" s="28"/>
      <c r="V13" s="28"/>
      <c r="W13" s="28"/>
      <c r="X13" s="28"/>
      <c r="Y13" s="28"/>
    </row>
    <row r="14" spans="1:25" x14ac:dyDescent="0.2">
      <c r="A14" s="506" t="s">
        <v>276</v>
      </c>
      <c r="B14" s="502" t="s">
        <v>779</v>
      </c>
      <c r="C14" s="507" t="s">
        <v>288</v>
      </c>
      <c r="D14" s="508" t="s">
        <v>284</v>
      </c>
      <c r="E14" s="346"/>
      <c r="F14" s="504" t="s">
        <v>109</v>
      </c>
      <c r="G14" s="512" t="s">
        <v>782</v>
      </c>
      <c r="H14" s="511" t="s">
        <v>783</v>
      </c>
      <c r="I14" s="509" t="s">
        <v>784</v>
      </c>
      <c r="J14" s="509" t="s">
        <v>650</v>
      </c>
      <c r="K14" s="516">
        <v>100</v>
      </c>
      <c r="L14" s="524"/>
      <c r="M14" s="685">
        <v>10</v>
      </c>
      <c r="N14" s="685">
        <v>10</v>
      </c>
      <c r="O14" s="682">
        <f t="shared" si="0"/>
        <v>1</v>
      </c>
      <c r="P14" s="683">
        <f t="shared" si="1"/>
        <v>100</v>
      </c>
      <c r="Q14" s="684">
        <f t="shared" si="2"/>
        <v>1</v>
      </c>
      <c r="R14" s="490"/>
      <c r="S14" s="28"/>
      <c r="T14" s="28"/>
      <c r="U14" s="28"/>
      <c r="V14" s="28"/>
      <c r="W14" s="28"/>
      <c r="X14" s="28"/>
      <c r="Y14" s="28"/>
    </row>
    <row r="15" spans="1:25" x14ac:dyDescent="0.2">
      <c r="A15" s="506" t="s">
        <v>276</v>
      </c>
      <c r="B15" s="502" t="s">
        <v>779</v>
      </c>
      <c r="C15" s="507" t="s">
        <v>288</v>
      </c>
      <c r="D15" s="508" t="s">
        <v>279</v>
      </c>
      <c r="E15" s="346"/>
      <c r="F15" s="504" t="s">
        <v>109</v>
      </c>
      <c r="G15" s="512" t="s">
        <v>782</v>
      </c>
      <c r="H15" s="511" t="s">
        <v>783</v>
      </c>
      <c r="I15" s="509" t="s">
        <v>784</v>
      </c>
      <c r="J15" s="509" t="s">
        <v>650</v>
      </c>
      <c r="K15" s="516">
        <v>100</v>
      </c>
      <c r="L15" s="524"/>
      <c r="M15" s="685">
        <v>2</v>
      </c>
      <c r="N15" s="685">
        <v>2</v>
      </c>
      <c r="O15" s="682">
        <f t="shared" si="0"/>
        <v>1</v>
      </c>
      <c r="P15" s="683">
        <f t="shared" si="1"/>
        <v>100</v>
      </c>
      <c r="Q15" s="684">
        <f t="shared" si="2"/>
        <v>1</v>
      </c>
      <c r="R15" s="490"/>
      <c r="S15" s="28"/>
      <c r="T15" s="28"/>
      <c r="U15" s="28"/>
      <c r="V15" s="28"/>
      <c r="W15" s="28"/>
      <c r="X15" s="28"/>
      <c r="Y15" s="28"/>
    </row>
    <row r="16" spans="1:25" x14ac:dyDescent="0.2">
      <c r="A16" s="506" t="s">
        <v>276</v>
      </c>
      <c r="B16" s="502" t="s">
        <v>779</v>
      </c>
      <c r="C16" s="507" t="s">
        <v>288</v>
      </c>
      <c r="D16" s="508" t="s">
        <v>281</v>
      </c>
      <c r="E16" s="346"/>
      <c r="F16" s="504" t="s">
        <v>109</v>
      </c>
      <c r="G16" s="512" t="s">
        <v>782</v>
      </c>
      <c r="H16" s="511" t="s">
        <v>783</v>
      </c>
      <c r="I16" s="509" t="s">
        <v>784</v>
      </c>
      <c r="J16" s="509" t="s">
        <v>650</v>
      </c>
      <c r="K16" s="516">
        <v>100</v>
      </c>
      <c r="L16" s="524"/>
      <c r="M16" s="685">
        <v>17</v>
      </c>
      <c r="N16" s="685">
        <v>17</v>
      </c>
      <c r="O16" s="682">
        <f t="shared" si="0"/>
        <v>1</v>
      </c>
      <c r="P16" s="683">
        <f t="shared" si="1"/>
        <v>100</v>
      </c>
      <c r="Q16" s="684">
        <f t="shared" si="2"/>
        <v>1</v>
      </c>
      <c r="R16" s="490"/>
      <c r="S16" s="28"/>
      <c r="T16" s="28"/>
      <c r="U16" s="28"/>
      <c r="V16" s="28"/>
      <c r="W16" s="28"/>
      <c r="X16" s="28"/>
      <c r="Y16" s="28"/>
    </row>
    <row r="17" spans="1:25" x14ac:dyDescent="0.2">
      <c r="A17" s="506" t="s">
        <v>276</v>
      </c>
      <c r="B17" s="502" t="s">
        <v>779</v>
      </c>
      <c r="C17" s="507" t="s">
        <v>99</v>
      </c>
      <c r="D17" s="508" t="s">
        <v>287</v>
      </c>
      <c r="E17" s="346"/>
      <c r="F17" s="504" t="s">
        <v>109</v>
      </c>
      <c r="G17" s="512" t="s">
        <v>782</v>
      </c>
      <c r="H17" s="511" t="s">
        <v>785</v>
      </c>
      <c r="I17" s="509" t="s">
        <v>784</v>
      </c>
      <c r="J17" s="509" t="s">
        <v>650</v>
      </c>
      <c r="K17" s="516">
        <v>100</v>
      </c>
      <c r="L17" s="524"/>
      <c r="M17" s="685">
        <v>326</v>
      </c>
      <c r="N17" s="685">
        <v>326</v>
      </c>
      <c r="O17" s="682">
        <f t="shared" si="0"/>
        <v>1</v>
      </c>
      <c r="P17" s="683">
        <f t="shared" si="1"/>
        <v>100</v>
      </c>
      <c r="Q17" s="684">
        <f t="shared" si="2"/>
        <v>1</v>
      </c>
      <c r="R17" s="490"/>
      <c r="S17" s="28"/>
      <c r="T17" s="28"/>
      <c r="U17" s="28"/>
      <c r="V17" s="28"/>
      <c r="W17" s="28"/>
      <c r="X17" s="28"/>
      <c r="Y17" s="28"/>
    </row>
    <row r="18" spans="1:25" x14ac:dyDescent="0.2">
      <c r="A18" s="506" t="s">
        <v>276</v>
      </c>
      <c r="B18" s="502" t="s">
        <v>779</v>
      </c>
      <c r="C18" s="507" t="s">
        <v>99</v>
      </c>
      <c r="D18" s="508" t="s">
        <v>283</v>
      </c>
      <c r="E18" s="346"/>
      <c r="F18" s="504" t="s">
        <v>109</v>
      </c>
      <c r="G18" s="512" t="s">
        <v>782</v>
      </c>
      <c r="H18" s="511" t="s">
        <v>783</v>
      </c>
      <c r="I18" s="509" t="s">
        <v>784</v>
      </c>
      <c r="J18" s="509" t="s">
        <v>650</v>
      </c>
      <c r="K18" s="516">
        <v>100</v>
      </c>
      <c r="L18" s="524"/>
      <c r="M18" s="685">
        <v>17</v>
      </c>
      <c r="N18" s="685">
        <v>17</v>
      </c>
      <c r="O18" s="682">
        <f t="shared" si="0"/>
        <v>1</v>
      </c>
      <c r="P18" s="683">
        <f t="shared" si="1"/>
        <v>100</v>
      </c>
      <c r="Q18" s="684">
        <f t="shared" si="2"/>
        <v>1</v>
      </c>
      <c r="R18" s="490"/>
      <c r="S18" s="28"/>
      <c r="T18" s="28"/>
      <c r="U18" s="28"/>
      <c r="V18" s="28"/>
      <c r="W18" s="28"/>
      <c r="X18" s="28"/>
      <c r="Y18" s="28"/>
    </row>
    <row r="19" spans="1:25" x14ac:dyDescent="0.2">
      <c r="A19" s="506" t="s">
        <v>276</v>
      </c>
      <c r="B19" s="502" t="s">
        <v>779</v>
      </c>
      <c r="C19" s="507" t="s">
        <v>99</v>
      </c>
      <c r="D19" s="508" t="s">
        <v>284</v>
      </c>
      <c r="E19" s="346"/>
      <c r="F19" s="504" t="s">
        <v>109</v>
      </c>
      <c r="G19" s="512" t="s">
        <v>782</v>
      </c>
      <c r="H19" s="511" t="s">
        <v>783</v>
      </c>
      <c r="I19" s="509" t="s">
        <v>784</v>
      </c>
      <c r="J19" s="509" t="s">
        <v>650</v>
      </c>
      <c r="K19" s="516">
        <v>100</v>
      </c>
      <c r="L19" s="524"/>
      <c r="M19" s="685">
        <v>8</v>
      </c>
      <c r="N19" s="685">
        <v>8</v>
      </c>
      <c r="O19" s="682">
        <f t="shared" si="0"/>
        <v>1</v>
      </c>
      <c r="P19" s="683">
        <f t="shared" si="1"/>
        <v>100</v>
      </c>
      <c r="Q19" s="684">
        <f t="shared" si="2"/>
        <v>1</v>
      </c>
      <c r="R19" s="490"/>
      <c r="S19" s="28"/>
      <c r="T19" s="28"/>
      <c r="U19" s="28"/>
      <c r="V19" s="28"/>
      <c r="W19" s="28"/>
      <c r="X19" s="28"/>
      <c r="Y19" s="28"/>
    </row>
    <row r="20" spans="1:25" x14ac:dyDescent="0.2">
      <c r="A20" s="506" t="s">
        <v>276</v>
      </c>
      <c r="B20" s="502" t="s">
        <v>779</v>
      </c>
      <c r="C20" s="507" t="s">
        <v>99</v>
      </c>
      <c r="D20" s="508" t="s">
        <v>279</v>
      </c>
      <c r="E20" s="346"/>
      <c r="F20" s="504" t="s">
        <v>109</v>
      </c>
      <c r="G20" s="512" t="s">
        <v>782</v>
      </c>
      <c r="H20" s="511" t="s">
        <v>783</v>
      </c>
      <c r="I20" s="509" t="s">
        <v>784</v>
      </c>
      <c r="J20" s="509" t="s">
        <v>650</v>
      </c>
      <c r="K20" s="516">
        <v>100</v>
      </c>
      <c r="L20" s="524"/>
      <c r="M20" s="685">
        <v>5</v>
      </c>
      <c r="N20" s="685">
        <v>5</v>
      </c>
      <c r="O20" s="682">
        <f t="shared" si="0"/>
        <v>1</v>
      </c>
      <c r="P20" s="683">
        <f t="shared" si="1"/>
        <v>100</v>
      </c>
      <c r="Q20" s="684">
        <f t="shared" si="2"/>
        <v>1</v>
      </c>
      <c r="R20" s="490"/>
      <c r="S20" s="28"/>
      <c r="T20" s="28"/>
      <c r="U20" s="28"/>
      <c r="V20" s="28"/>
      <c r="W20" s="28"/>
      <c r="X20" s="28"/>
      <c r="Y20" s="28"/>
    </row>
    <row r="21" spans="1:25" x14ac:dyDescent="0.2">
      <c r="A21" s="506" t="s">
        <v>276</v>
      </c>
      <c r="B21" s="502" t="s">
        <v>779</v>
      </c>
      <c r="C21" s="507" t="s">
        <v>99</v>
      </c>
      <c r="D21" s="508" t="s">
        <v>281</v>
      </c>
      <c r="E21" s="347"/>
      <c r="F21" s="504" t="s">
        <v>109</v>
      </c>
      <c r="G21" s="512" t="s">
        <v>782</v>
      </c>
      <c r="H21" s="511" t="s">
        <v>783</v>
      </c>
      <c r="I21" s="509" t="s">
        <v>784</v>
      </c>
      <c r="J21" s="509" t="s">
        <v>650</v>
      </c>
      <c r="K21" s="516">
        <v>100</v>
      </c>
      <c r="L21" s="524"/>
      <c r="M21" s="685">
        <v>1</v>
      </c>
      <c r="N21" s="685">
        <v>1</v>
      </c>
      <c r="O21" s="682">
        <f t="shared" si="0"/>
        <v>1</v>
      </c>
      <c r="P21" s="683">
        <f t="shared" si="1"/>
        <v>100</v>
      </c>
      <c r="Q21" s="684">
        <f t="shared" si="2"/>
        <v>1</v>
      </c>
      <c r="R21" s="490"/>
      <c r="S21" s="28"/>
      <c r="T21" s="28"/>
      <c r="U21" s="28"/>
      <c r="V21" s="24"/>
      <c r="W21" s="24"/>
      <c r="X21" s="24"/>
      <c r="Y21" s="24"/>
    </row>
    <row r="22" spans="1:25" x14ac:dyDescent="0.2">
      <c r="A22" s="506" t="s">
        <v>276</v>
      </c>
      <c r="B22" s="502" t="s">
        <v>779</v>
      </c>
      <c r="C22" s="507" t="s">
        <v>285</v>
      </c>
      <c r="D22" s="508" t="s">
        <v>287</v>
      </c>
      <c r="E22" s="347"/>
      <c r="F22" s="504" t="s">
        <v>109</v>
      </c>
      <c r="G22" s="512" t="s">
        <v>782</v>
      </c>
      <c r="H22" s="511" t="s">
        <v>785</v>
      </c>
      <c r="I22" s="509" t="s">
        <v>784</v>
      </c>
      <c r="J22" s="509" t="s">
        <v>650</v>
      </c>
      <c r="K22" s="516">
        <v>100</v>
      </c>
      <c r="L22" s="524"/>
      <c r="M22" s="685">
        <v>0</v>
      </c>
      <c r="N22" s="685">
        <v>0</v>
      </c>
      <c r="O22" s="682">
        <f t="shared" si="0"/>
        <v>0</v>
      </c>
      <c r="P22" s="683" t="str">
        <f t="shared" si="1"/>
        <v>0</v>
      </c>
      <c r="Q22" s="684" t="str">
        <f t="shared" si="2"/>
        <v>0</v>
      </c>
      <c r="R22" s="491"/>
      <c r="S22" s="28"/>
      <c r="T22" s="28"/>
      <c r="U22" s="28"/>
      <c r="V22" s="24"/>
      <c r="W22" s="24"/>
      <c r="X22" s="24"/>
      <c r="Y22" s="24"/>
    </row>
    <row r="23" spans="1:25" x14ac:dyDescent="0.2">
      <c r="A23" s="506" t="s">
        <v>276</v>
      </c>
      <c r="B23" s="502" t="s">
        <v>779</v>
      </c>
      <c r="C23" s="507" t="s">
        <v>285</v>
      </c>
      <c r="D23" s="508" t="s">
        <v>283</v>
      </c>
      <c r="E23" s="347"/>
      <c r="F23" s="504" t="s">
        <v>109</v>
      </c>
      <c r="G23" s="512" t="s">
        <v>782</v>
      </c>
      <c r="H23" s="511" t="s">
        <v>783</v>
      </c>
      <c r="I23" s="509" t="s">
        <v>784</v>
      </c>
      <c r="J23" s="509" t="s">
        <v>650</v>
      </c>
      <c r="K23" s="516">
        <v>100</v>
      </c>
      <c r="L23" s="524"/>
      <c r="M23" s="685">
        <v>5</v>
      </c>
      <c r="N23" s="685">
        <v>5</v>
      </c>
      <c r="O23" s="682">
        <f t="shared" si="0"/>
        <v>1</v>
      </c>
      <c r="P23" s="683">
        <f t="shared" si="1"/>
        <v>100</v>
      </c>
      <c r="Q23" s="684">
        <f t="shared" si="2"/>
        <v>1</v>
      </c>
      <c r="R23" s="490"/>
      <c r="S23" s="28"/>
      <c r="T23" s="28"/>
      <c r="U23" s="28"/>
      <c r="V23" s="24"/>
      <c r="W23" s="24"/>
      <c r="X23" s="24"/>
      <c r="Y23" s="24"/>
    </row>
    <row r="24" spans="1:25" x14ac:dyDescent="0.2">
      <c r="A24" s="506" t="s">
        <v>276</v>
      </c>
      <c r="B24" s="502" t="s">
        <v>779</v>
      </c>
      <c r="C24" s="507" t="s">
        <v>285</v>
      </c>
      <c r="D24" s="508" t="s">
        <v>284</v>
      </c>
      <c r="E24" s="347"/>
      <c r="F24" s="504" t="s">
        <v>109</v>
      </c>
      <c r="G24" s="512" t="s">
        <v>782</v>
      </c>
      <c r="H24" s="511" t="s">
        <v>783</v>
      </c>
      <c r="I24" s="509" t="s">
        <v>784</v>
      </c>
      <c r="J24" s="509" t="s">
        <v>650</v>
      </c>
      <c r="K24" s="516">
        <v>100</v>
      </c>
      <c r="L24" s="524"/>
      <c r="M24" s="685">
        <v>4</v>
      </c>
      <c r="N24" s="685">
        <v>4</v>
      </c>
      <c r="O24" s="682">
        <f t="shared" si="0"/>
        <v>1</v>
      </c>
      <c r="P24" s="683">
        <f t="shared" si="1"/>
        <v>100</v>
      </c>
      <c r="Q24" s="684">
        <f t="shared" si="2"/>
        <v>1</v>
      </c>
      <c r="R24" s="490"/>
      <c r="S24" s="28"/>
      <c r="T24" s="28"/>
      <c r="U24" s="28"/>
    </row>
    <row r="25" spans="1:25" x14ac:dyDescent="0.2">
      <c r="A25" s="506" t="s">
        <v>276</v>
      </c>
      <c r="B25" s="502" t="s">
        <v>779</v>
      </c>
      <c r="C25" s="507" t="s">
        <v>285</v>
      </c>
      <c r="D25" s="508" t="s">
        <v>279</v>
      </c>
      <c r="E25" s="347"/>
      <c r="F25" s="504" t="s">
        <v>109</v>
      </c>
      <c r="G25" s="512" t="s">
        <v>782</v>
      </c>
      <c r="H25" s="511" t="s">
        <v>783</v>
      </c>
      <c r="I25" s="509" t="s">
        <v>784</v>
      </c>
      <c r="J25" s="509" t="s">
        <v>650</v>
      </c>
      <c r="K25" s="516">
        <v>100</v>
      </c>
      <c r="L25" s="524"/>
      <c r="M25" s="685">
        <v>1</v>
      </c>
      <c r="N25" s="685">
        <v>1</v>
      </c>
      <c r="O25" s="682">
        <f t="shared" si="0"/>
        <v>1</v>
      </c>
      <c r="P25" s="683">
        <f t="shared" si="1"/>
        <v>100</v>
      </c>
      <c r="Q25" s="684">
        <f t="shared" si="2"/>
        <v>1</v>
      </c>
      <c r="R25" s="490"/>
      <c r="S25" s="28"/>
      <c r="T25" s="28"/>
      <c r="U25" s="28"/>
    </row>
    <row r="26" spans="1:25" x14ac:dyDescent="0.2">
      <c r="A26" s="506" t="s">
        <v>276</v>
      </c>
      <c r="B26" s="502" t="s">
        <v>779</v>
      </c>
      <c r="C26" s="507" t="s">
        <v>285</v>
      </c>
      <c r="D26" s="508" t="s">
        <v>281</v>
      </c>
      <c r="E26" s="347"/>
      <c r="F26" s="504" t="s">
        <v>109</v>
      </c>
      <c r="G26" s="512" t="s">
        <v>782</v>
      </c>
      <c r="H26" s="511" t="s">
        <v>783</v>
      </c>
      <c r="I26" s="509" t="s">
        <v>784</v>
      </c>
      <c r="J26" s="509" t="s">
        <v>650</v>
      </c>
      <c r="K26" s="516">
        <v>100</v>
      </c>
      <c r="L26" s="524"/>
      <c r="M26" s="685">
        <v>12</v>
      </c>
      <c r="N26" s="685">
        <v>12</v>
      </c>
      <c r="O26" s="682">
        <f t="shared" si="0"/>
        <v>1</v>
      </c>
      <c r="P26" s="683">
        <f t="shared" si="1"/>
        <v>100</v>
      </c>
      <c r="Q26" s="684">
        <f t="shared" si="2"/>
        <v>1</v>
      </c>
      <c r="R26" s="490"/>
      <c r="S26" s="28"/>
      <c r="T26" s="28"/>
      <c r="U26" s="28"/>
    </row>
    <row r="27" spans="1:25" x14ac:dyDescent="0.2">
      <c r="A27" s="506" t="s">
        <v>276</v>
      </c>
      <c r="B27" s="502" t="s">
        <v>779</v>
      </c>
      <c r="C27" s="507" t="s">
        <v>285</v>
      </c>
      <c r="D27" s="508" t="s">
        <v>286</v>
      </c>
      <c r="E27" s="347"/>
      <c r="F27" s="504" t="s">
        <v>109</v>
      </c>
      <c r="G27" s="512" t="s">
        <v>782</v>
      </c>
      <c r="H27" s="511" t="s">
        <v>783</v>
      </c>
      <c r="I27" s="509" t="s">
        <v>784</v>
      </c>
      <c r="J27" s="509" t="s">
        <v>650</v>
      </c>
      <c r="K27" s="516">
        <v>100</v>
      </c>
      <c r="L27" s="524"/>
      <c r="M27" s="685">
        <v>20</v>
      </c>
      <c r="N27" s="685">
        <v>20</v>
      </c>
      <c r="O27" s="682">
        <f t="shared" si="0"/>
        <v>1</v>
      </c>
      <c r="P27" s="683">
        <f t="shared" si="1"/>
        <v>100</v>
      </c>
      <c r="Q27" s="684">
        <f t="shared" si="2"/>
        <v>1</v>
      </c>
      <c r="R27" s="490"/>
      <c r="S27" s="28"/>
      <c r="T27" s="28"/>
      <c r="U27" s="28"/>
    </row>
    <row r="28" spans="1:25" x14ac:dyDescent="0.2">
      <c r="A28" s="506" t="s">
        <v>276</v>
      </c>
      <c r="B28" s="502" t="s">
        <v>779</v>
      </c>
      <c r="C28" s="507" t="s">
        <v>291</v>
      </c>
      <c r="D28" s="508" t="s">
        <v>283</v>
      </c>
      <c r="E28" s="347"/>
      <c r="F28" s="504" t="s">
        <v>109</v>
      </c>
      <c r="G28" s="512" t="s">
        <v>782</v>
      </c>
      <c r="H28" s="511" t="s">
        <v>783</v>
      </c>
      <c r="I28" s="509" t="s">
        <v>784</v>
      </c>
      <c r="J28" s="509" t="s">
        <v>650</v>
      </c>
      <c r="K28" s="516">
        <v>100</v>
      </c>
      <c r="L28" s="524"/>
      <c r="M28" s="685">
        <v>0</v>
      </c>
      <c r="N28" s="685">
        <v>0</v>
      </c>
      <c r="O28" s="682">
        <f t="shared" si="0"/>
        <v>0</v>
      </c>
      <c r="P28" s="683" t="str">
        <f t="shared" si="1"/>
        <v>0</v>
      </c>
      <c r="Q28" s="684" t="str">
        <f t="shared" si="2"/>
        <v>0</v>
      </c>
      <c r="R28" s="491"/>
      <c r="S28" s="28"/>
      <c r="T28" s="28"/>
      <c r="U28" s="28"/>
    </row>
    <row r="29" spans="1:25" x14ac:dyDescent="0.2">
      <c r="A29" s="506" t="s">
        <v>276</v>
      </c>
      <c r="B29" s="502" t="s">
        <v>779</v>
      </c>
      <c r="C29" s="507" t="s">
        <v>291</v>
      </c>
      <c r="D29" s="508" t="s">
        <v>284</v>
      </c>
      <c r="E29" s="345"/>
      <c r="F29" s="504" t="s">
        <v>109</v>
      </c>
      <c r="G29" s="512" t="s">
        <v>782</v>
      </c>
      <c r="H29" s="511" t="s">
        <v>783</v>
      </c>
      <c r="I29" s="509" t="s">
        <v>784</v>
      </c>
      <c r="J29" s="509" t="s">
        <v>650</v>
      </c>
      <c r="K29" s="516">
        <v>100</v>
      </c>
      <c r="L29" s="524"/>
      <c r="M29" s="685">
        <v>0</v>
      </c>
      <c r="N29" s="685">
        <v>0</v>
      </c>
      <c r="O29" s="682">
        <f t="shared" si="0"/>
        <v>0</v>
      </c>
      <c r="P29" s="683" t="str">
        <f t="shared" si="1"/>
        <v>0</v>
      </c>
      <c r="Q29" s="684" t="str">
        <f t="shared" si="2"/>
        <v>0</v>
      </c>
      <c r="R29" s="491"/>
      <c r="S29" s="28"/>
      <c r="T29" s="28"/>
      <c r="U29" s="28"/>
    </row>
    <row r="30" spans="1:25" x14ac:dyDescent="0.2">
      <c r="A30" s="506" t="s">
        <v>276</v>
      </c>
      <c r="B30" s="502" t="s">
        <v>779</v>
      </c>
      <c r="C30" s="507" t="s">
        <v>290</v>
      </c>
      <c r="D30" s="508" t="s">
        <v>287</v>
      </c>
      <c r="E30" s="348"/>
      <c r="F30" s="504" t="s">
        <v>109</v>
      </c>
      <c r="G30" s="512" t="s">
        <v>782</v>
      </c>
      <c r="H30" s="511" t="s">
        <v>785</v>
      </c>
      <c r="I30" s="509" t="s">
        <v>784</v>
      </c>
      <c r="J30" s="509" t="s">
        <v>650</v>
      </c>
      <c r="K30" s="516">
        <v>100</v>
      </c>
      <c r="L30" s="524"/>
      <c r="M30" s="685">
        <v>65</v>
      </c>
      <c r="N30" s="685">
        <v>65</v>
      </c>
      <c r="O30" s="682">
        <f t="shared" si="0"/>
        <v>1</v>
      </c>
      <c r="P30" s="683">
        <f t="shared" si="1"/>
        <v>100</v>
      </c>
      <c r="Q30" s="684">
        <f t="shared" si="2"/>
        <v>1</v>
      </c>
      <c r="R30" s="490"/>
      <c r="S30" s="28"/>
      <c r="T30" s="28"/>
      <c r="U30" s="28"/>
    </row>
    <row r="31" spans="1:25" x14ac:dyDescent="0.2">
      <c r="A31" s="506" t="s">
        <v>276</v>
      </c>
      <c r="B31" s="502" t="s">
        <v>779</v>
      </c>
      <c r="C31" s="507" t="s">
        <v>290</v>
      </c>
      <c r="D31" s="508" t="s">
        <v>283</v>
      </c>
      <c r="E31" s="348"/>
      <c r="F31" s="504" t="s">
        <v>109</v>
      </c>
      <c r="G31" s="512" t="s">
        <v>782</v>
      </c>
      <c r="H31" s="511" t="s">
        <v>783</v>
      </c>
      <c r="I31" s="509" t="s">
        <v>784</v>
      </c>
      <c r="J31" s="509" t="s">
        <v>650</v>
      </c>
      <c r="K31" s="516">
        <v>100</v>
      </c>
      <c r="L31" s="524"/>
      <c r="M31" s="685">
        <v>5</v>
      </c>
      <c r="N31" s="685">
        <v>5</v>
      </c>
      <c r="O31" s="682">
        <f t="shared" si="0"/>
        <v>1</v>
      </c>
      <c r="P31" s="683">
        <f t="shared" si="1"/>
        <v>100</v>
      </c>
      <c r="Q31" s="684">
        <f t="shared" si="2"/>
        <v>1</v>
      </c>
      <c r="R31" s="490"/>
    </row>
    <row r="32" spans="1:25" x14ac:dyDescent="0.2">
      <c r="A32" s="506" t="s">
        <v>276</v>
      </c>
      <c r="B32" s="502" t="s">
        <v>779</v>
      </c>
      <c r="C32" s="507" t="s">
        <v>290</v>
      </c>
      <c r="D32" s="508" t="s">
        <v>284</v>
      </c>
      <c r="E32" s="348"/>
      <c r="F32" s="504" t="s">
        <v>109</v>
      </c>
      <c r="G32" s="512" t="s">
        <v>782</v>
      </c>
      <c r="H32" s="511" t="s">
        <v>783</v>
      </c>
      <c r="I32" s="509" t="s">
        <v>784</v>
      </c>
      <c r="J32" s="509" t="s">
        <v>650</v>
      </c>
      <c r="K32" s="516">
        <v>100</v>
      </c>
      <c r="L32" s="524"/>
      <c r="M32" s="685">
        <v>0</v>
      </c>
      <c r="N32" s="685">
        <v>0</v>
      </c>
      <c r="O32" s="682">
        <f t="shared" si="0"/>
        <v>0</v>
      </c>
      <c r="P32" s="683" t="str">
        <f t="shared" si="1"/>
        <v>0</v>
      </c>
      <c r="Q32" s="684" t="str">
        <f t="shared" si="2"/>
        <v>0</v>
      </c>
      <c r="R32" s="490"/>
    </row>
    <row r="33" spans="1:18" x14ac:dyDescent="0.2">
      <c r="A33" s="506" t="s">
        <v>276</v>
      </c>
      <c r="B33" s="502" t="s">
        <v>779</v>
      </c>
      <c r="C33" s="507" t="s">
        <v>289</v>
      </c>
      <c r="D33" s="508" t="s">
        <v>287</v>
      </c>
      <c r="E33" s="348"/>
      <c r="F33" s="504" t="s">
        <v>109</v>
      </c>
      <c r="G33" s="512" t="s">
        <v>782</v>
      </c>
      <c r="H33" s="511" t="s">
        <v>785</v>
      </c>
      <c r="I33" s="509" t="s">
        <v>784</v>
      </c>
      <c r="J33" s="509" t="s">
        <v>650</v>
      </c>
      <c r="K33" s="516">
        <v>100</v>
      </c>
      <c r="L33" s="524"/>
      <c r="M33" s="685">
        <v>733</v>
      </c>
      <c r="N33" s="685">
        <v>733</v>
      </c>
      <c r="O33" s="682">
        <f t="shared" si="0"/>
        <v>1</v>
      </c>
      <c r="P33" s="683">
        <f t="shared" si="1"/>
        <v>100</v>
      </c>
      <c r="Q33" s="684">
        <f t="shared" si="2"/>
        <v>1</v>
      </c>
      <c r="R33" s="490"/>
    </row>
    <row r="34" spans="1:18" x14ac:dyDescent="0.2">
      <c r="A34" s="506" t="s">
        <v>276</v>
      </c>
      <c r="B34" s="502" t="s">
        <v>779</v>
      </c>
      <c r="C34" s="507" t="s">
        <v>289</v>
      </c>
      <c r="D34" s="508" t="s">
        <v>283</v>
      </c>
      <c r="E34" s="348"/>
      <c r="F34" s="504" t="s">
        <v>109</v>
      </c>
      <c r="G34" s="512" t="s">
        <v>782</v>
      </c>
      <c r="H34" s="511" t="s">
        <v>783</v>
      </c>
      <c r="I34" s="509" t="s">
        <v>784</v>
      </c>
      <c r="J34" s="509" t="s">
        <v>650</v>
      </c>
      <c r="K34" s="516">
        <v>100</v>
      </c>
      <c r="L34" s="524"/>
      <c r="M34" s="685">
        <v>134</v>
      </c>
      <c r="N34" s="685">
        <v>134</v>
      </c>
      <c r="O34" s="682">
        <f t="shared" si="0"/>
        <v>1</v>
      </c>
      <c r="P34" s="683">
        <f t="shared" si="1"/>
        <v>100</v>
      </c>
      <c r="Q34" s="684">
        <f t="shared" si="2"/>
        <v>1</v>
      </c>
      <c r="R34" s="490"/>
    </row>
    <row r="35" spans="1:18" x14ac:dyDescent="0.2">
      <c r="A35" s="506" t="s">
        <v>276</v>
      </c>
      <c r="B35" s="502" t="s">
        <v>779</v>
      </c>
      <c r="C35" s="507" t="s">
        <v>289</v>
      </c>
      <c r="D35" s="508" t="s">
        <v>284</v>
      </c>
      <c r="E35" s="348"/>
      <c r="F35" s="504" t="s">
        <v>109</v>
      </c>
      <c r="G35" s="512" t="s">
        <v>782</v>
      </c>
      <c r="H35" s="511" t="s">
        <v>783</v>
      </c>
      <c r="I35" s="509" t="s">
        <v>784</v>
      </c>
      <c r="J35" s="509" t="s">
        <v>650</v>
      </c>
      <c r="K35" s="516">
        <v>100</v>
      </c>
      <c r="L35" s="524"/>
      <c r="M35" s="685">
        <v>29</v>
      </c>
      <c r="N35" s="685">
        <v>29</v>
      </c>
      <c r="O35" s="682">
        <f t="shared" si="0"/>
        <v>1</v>
      </c>
      <c r="P35" s="683">
        <f t="shared" si="1"/>
        <v>100</v>
      </c>
      <c r="Q35" s="684">
        <f t="shared" si="2"/>
        <v>1</v>
      </c>
      <c r="R35" s="490"/>
    </row>
    <row r="36" spans="1:18" x14ac:dyDescent="0.2">
      <c r="A36" s="506" t="s">
        <v>276</v>
      </c>
      <c r="B36" s="502" t="s">
        <v>779</v>
      </c>
      <c r="C36" s="507" t="s">
        <v>289</v>
      </c>
      <c r="D36" s="508" t="s">
        <v>281</v>
      </c>
      <c r="E36" s="348"/>
      <c r="F36" s="504" t="s">
        <v>109</v>
      </c>
      <c r="G36" s="512" t="s">
        <v>782</v>
      </c>
      <c r="H36" s="511" t="s">
        <v>783</v>
      </c>
      <c r="I36" s="509" t="s">
        <v>784</v>
      </c>
      <c r="J36" s="509" t="s">
        <v>650</v>
      </c>
      <c r="K36" s="516">
        <v>100</v>
      </c>
      <c r="L36" s="524"/>
      <c r="M36" s="685">
        <v>2</v>
      </c>
      <c r="N36" s="685">
        <v>2</v>
      </c>
      <c r="O36" s="682">
        <f t="shared" si="0"/>
        <v>1</v>
      </c>
      <c r="P36" s="683">
        <f t="shared" si="1"/>
        <v>100</v>
      </c>
      <c r="Q36" s="684">
        <f t="shared" si="2"/>
        <v>1</v>
      </c>
      <c r="R36" s="490"/>
    </row>
    <row r="37" spans="1:18" x14ac:dyDescent="0.2">
      <c r="A37" s="506" t="s">
        <v>276</v>
      </c>
      <c r="B37" s="502" t="s">
        <v>779</v>
      </c>
      <c r="C37" s="507" t="s">
        <v>97</v>
      </c>
      <c r="D37" s="503" t="s">
        <v>279</v>
      </c>
      <c r="E37" s="348"/>
      <c r="F37" s="504" t="s">
        <v>109</v>
      </c>
      <c r="G37" s="512" t="s">
        <v>788</v>
      </c>
      <c r="H37" s="511" t="s">
        <v>789</v>
      </c>
      <c r="I37" s="510" t="s">
        <v>790</v>
      </c>
      <c r="J37" s="509" t="s">
        <v>650</v>
      </c>
      <c r="K37" s="516">
        <v>33</v>
      </c>
      <c r="L37" s="520"/>
      <c r="M37" s="685">
        <v>6</v>
      </c>
      <c r="N37" s="685">
        <v>4</v>
      </c>
      <c r="O37" s="682">
        <f t="shared" si="0"/>
        <v>0.66666666666666663</v>
      </c>
      <c r="P37" s="683">
        <f t="shared" si="1"/>
        <v>202.02020202020202</v>
      </c>
      <c r="Q37" s="684">
        <f t="shared" si="2"/>
        <v>2.0202020202020203</v>
      </c>
      <c r="R37" s="490"/>
    </row>
    <row r="38" spans="1:18" x14ac:dyDescent="0.2">
      <c r="A38" s="506" t="s">
        <v>276</v>
      </c>
      <c r="B38" s="502" t="s">
        <v>779</v>
      </c>
      <c r="C38" s="507" t="s">
        <v>97</v>
      </c>
      <c r="D38" s="503" t="s">
        <v>281</v>
      </c>
      <c r="E38" s="348"/>
      <c r="F38" s="504" t="s">
        <v>109</v>
      </c>
      <c r="G38" s="512" t="s">
        <v>788</v>
      </c>
      <c r="H38" s="511" t="s">
        <v>789</v>
      </c>
      <c r="I38" s="510" t="s">
        <v>790</v>
      </c>
      <c r="J38" s="509" t="s">
        <v>650</v>
      </c>
      <c r="K38" s="516">
        <v>33</v>
      </c>
      <c r="L38" s="520" t="s">
        <v>791</v>
      </c>
      <c r="M38" s="685">
        <v>9</v>
      </c>
      <c r="N38" s="685">
        <v>7</v>
      </c>
      <c r="O38" s="682">
        <f t="shared" si="0"/>
        <v>0.77777777777777779</v>
      </c>
      <c r="P38" s="683">
        <f t="shared" si="1"/>
        <v>235.69023569023568</v>
      </c>
      <c r="Q38" s="684">
        <f t="shared" si="2"/>
        <v>2.3569023569023568</v>
      </c>
      <c r="R38" s="491"/>
    </row>
    <row r="39" spans="1:18" x14ac:dyDescent="0.2">
      <c r="A39" s="506" t="s">
        <v>276</v>
      </c>
      <c r="B39" s="502" t="s">
        <v>779</v>
      </c>
      <c r="C39" s="507" t="s">
        <v>282</v>
      </c>
      <c r="D39" s="503" t="s">
        <v>287</v>
      </c>
      <c r="E39" s="348"/>
      <c r="F39" s="504" t="s">
        <v>109</v>
      </c>
      <c r="G39" s="512" t="s">
        <v>788</v>
      </c>
      <c r="H39" s="511" t="s">
        <v>792</v>
      </c>
      <c r="I39" s="510" t="s">
        <v>790</v>
      </c>
      <c r="J39" s="509" t="s">
        <v>650</v>
      </c>
      <c r="K39" s="516">
        <v>5</v>
      </c>
      <c r="L39" s="520" t="s">
        <v>791</v>
      </c>
      <c r="M39" s="685">
        <v>68</v>
      </c>
      <c r="N39" s="685">
        <v>10</v>
      </c>
      <c r="O39" s="682">
        <f t="shared" si="0"/>
        <v>0.14705882352941177</v>
      </c>
      <c r="P39" s="683">
        <f t="shared" si="1"/>
        <v>294.11764705882348</v>
      </c>
      <c r="Q39" s="684">
        <f t="shared" si="2"/>
        <v>2.9411764705882351</v>
      </c>
      <c r="R39" s="491"/>
    </row>
    <row r="40" spans="1:18" x14ac:dyDescent="0.2">
      <c r="A40" s="506" t="s">
        <v>276</v>
      </c>
      <c r="B40" s="502" t="s">
        <v>779</v>
      </c>
      <c r="C40" s="507" t="s">
        <v>282</v>
      </c>
      <c r="D40" s="503" t="s">
        <v>283</v>
      </c>
      <c r="E40" s="348"/>
      <c r="F40" s="504" t="s">
        <v>109</v>
      </c>
      <c r="G40" s="512" t="s">
        <v>788</v>
      </c>
      <c r="H40" s="511" t="s">
        <v>789</v>
      </c>
      <c r="I40" s="510" t="s">
        <v>790</v>
      </c>
      <c r="J40" s="509" t="s">
        <v>650</v>
      </c>
      <c r="K40" s="516">
        <v>26</v>
      </c>
      <c r="L40" s="520"/>
      <c r="M40" s="685">
        <v>19</v>
      </c>
      <c r="N40" s="685">
        <v>2</v>
      </c>
      <c r="O40" s="682">
        <f t="shared" si="0"/>
        <v>0.10526315789473684</v>
      </c>
      <c r="P40" s="683">
        <f t="shared" si="1"/>
        <v>40.48582995951417</v>
      </c>
      <c r="Q40" s="684">
        <f t="shared" si="2"/>
        <v>0.40485829959514169</v>
      </c>
      <c r="R40" s="491"/>
    </row>
    <row r="41" spans="1:18" x14ac:dyDescent="0.2">
      <c r="A41" s="506" t="s">
        <v>276</v>
      </c>
      <c r="B41" s="502" t="s">
        <v>779</v>
      </c>
      <c r="C41" s="507" t="s">
        <v>282</v>
      </c>
      <c r="D41" s="503" t="s">
        <v>284</v>
      </c>
      <c r="E41" s="348"/>
      <c r="F41" s="504" t="s">
        <v>109</v>
      </c>
      <c r="G41" s="512" t="s">
        <v>788</v>
      </c>
      <c r="H41" s="511" t="s">
        <v>789</v>
      </c>
      <c r="I41" s="510" t="s">
        <v>790</v>
      </c>
      <c r="J41" s="509" t="s">
        <v>650</v>
      </c>
      <c r="K41" s="516">
        <v>16</v>
      </c>
      <c r="L41" s="520"/>
      <c r="M41" s="685">
        <v>43</v>
      </c>
      <c r="N41" s="685">
        <v>7</v>
      </c>
      <c r="O41" s="682">
        <f t="shared" si="0"/>
        <v>0.16279069767441862</v>
      </c>
      <c r="P41" s="683">
        <f t="shared" si="1"/>
        <v>101.74418604651163</v>
      </c>
      <c r="Q41" s="684">
        <f t="shared" si="2"/>
        <v>1.0174418604651163</v>
      </c>
      <c r="R41" s="491"/>
    </row>
    <row r="42" spans="1:18" x14ac:dyDescent="0.2">
      <c r="A42" s="506" t="s">
        <v>276</v>
      </c>
      <c r="B42" s="502" t="s">
        <v>779</v>
      </c>
      <c r="C42" s="507" t="s">
        <v>282</v>
      </c>
      <c r="D42" s="503" t="s">
        <v>279</v>
      </c>
      <c r="E42" s="348"/>
      <c r="F42" s="504" t="s">
        <v>109</v>
      </c>
      <c r="G42" s="512" t="s">
        <v>788</v>
      </c>
      <c r="H42" s="511" t="s">
        <v>789</v>
      </c>
      <c r="I42" s="510" t="s">
        <v>790</v>
      </c>
      <c r="J42" s="509" t="s">
        <v>650</v>
      </c>
      <c r="K42" s="516">
        <v>6</v>
      </c>
      <c r="L42" s="520"/>
      <c r="M42" s="685">
        <v>65</v>
      </c>
      <c r="N42" s="685">
        <v>7</v>
      </c>
      <c r="O42" s="682">
        <f t="shared" si="0"/>
        <v>0.1076923076923077</v>
      </c>
      <c r="P42" s="683">
        <f t="shared" si="1"/>
        <v>179.4871794871795</v>
      </c>
      <c r="Q42" s="684">
        <f t="shared" si="2"/>
        <v>1.7948717948717949</v>
      </c>
      <c r="R42" s="491"/>
    </row>
    <row r="43" spans="1:18" x14ac:dyDescent="0.2">
      <c r="A43" s="506" t="s">
        <v>276</v>
      </c>
      <c r="B43" s="502" t="s">
        <v>779</v>
      </c>
      <c r="C43" s="507" t="s">
        <v>282</v>
      </c>
      <c r="D43" s="503" t="s">
        <v>281</v>
      </c>
      <c r="E43" s="348"/>
      <c r="F43" s="504" t="s">
        <v>109</v>
      </c>
      <c r="G43" s="512" t="s">
        <v>788</v>
      </c>
      <c r="H43" s="511" t="s">
        <v>789</v>
      </c>
      <c r="I43" s="510" t="s">
        <v>790</v>
      </c>
      <c r="J43" s="509" t="s">
        <v>650</v>
      </c>
      <c r="K43" s="516">
        <v>8</v>
      </c>
      <c r="L43" s="520"/>
      <c r="M43" s="685">
        <v>48</v>
      </c>
      <c r="N43" s="685">
        <v>12</v>
      </c>
      <c r="O43" s="682">
        <f t="shared" si="0"/>
        <v>0.25</v>
      </c>
      <c r="P43" s="683">
        <f t="shared" si="1"/>
        <v>312.5</v>
      </c>
      <c r="Q43" s="684">
        <f t="shared" si="2"/>
        <v>3.125</v>
      </c>
      <c r="R43" s="491"/>
    </row>
    <row r="44" spans="1:18" x14ac:dyDescent="0.2">
      <c r="A44" s="506" t="s">
        <v>276</v>
      </c>
      <c r="B44" s="502" t="s">
        <v>779</v>
      </c>
      <c r="C44" s="507" t="s">
        <v>288</v>
      </c>
      <c r="D44" s="503" t="s">
        <v>287</v>
      </c>
      <c r="E44" s="348"/>
      <c r="F44" s="504" t="s">
        <v>109</v>
      </c>
      <c r="G44" s="512" t="s">
        <v>788</v>
      </c>
      <c r="H44" s="511" t="s">
        <v>792</v>
      </c>
      <c r="I44" s="510" t="s">
        <v>790</v>
      </c>
      <c r="J44" s="509" t="s">
        <v>650</v>
      </c>
      <c r="K44" s="516">
        <v>28.999999999999996</v>
      </c>
      <c r="L44" s="520"/>
      <c r="M44" s="685">
        <v>299</v>
      </c>
      <c r="N44" s="685">
        <v>36</v>
      </c>
      <c r="O44" s="682">
        <f t="shared" si="0"/>
        <v>0.12040133779264214</v>
      </c>
      <c r="P44" s="683">
        <f t="shared" si="1"/>
        <v>41.517702687117982</v>
      </c>
      <c r="Q44" s="684">
        <f t="shared" si="2"/>
        <v>0.4151770268711798</v>
      </c>
      <c r="R44" s="491"/>
    </row>
    <row r="45" spans="1:18" x14ac:dyDescent="0.2">
      <c r="A45" s="506" t="s">
        <v>276</v>
      </c>
      <c r="B45" s="502" t="s">
        <v>779</v>
      </c>
      <c r="C45" s="507" t="s">
        <v>288</v>
      </c>
      <c r="D45" s="503" t="s">
        <v>283</v>
      </c>
      <c r="E45" s="348"/>
      <c r="F45" s="504" t="s">
        <v>109</v>
      </c>
      <c r="G45" s="512" t="s">
        <v>788</v>
      </c>
      <c r="H45" s="511" t="s">
        <v>789</v>
      </c>
      <c r="I45" s="510" t="s">
        <v>790</v>
      </c>
      <c r="J45" s="509" t="s">
        <v>650</v>
      </c>
      <c r="K45" s="516">
        <v>8</v>
      </c>
      <c r="L45" s="520"/>
      <c r="M45" s="685">
        <v>64</v>
      </c>
      <c r="N45" s="685">
        <v>6</v>
      </c>
      <c r="O45" s="682">
        <f t="shared" si="0"/>
        <v>9.375E-2</v>
      </c>
      <c r="P45" s="683">
        <f t="shared" si="1"/>
        <v>117.1875</v>
      </c>
      <c r="Q45" s="684">
        <f t="shared" si="2"/>
        <v>1.171875</v>
      </c>
      <c r="R45" s="491"/>
    </row>
    <row r="46" spans="1:18" x14ac:dyDescent="0.2">
      <c r="A46" s="506" t="s">
        <v>276</v>
      </c>
      <c r="B46" s="502" t="s">
        <v>779</v>
      </c>
      <c r="C46" s="507" t="s">
        <v>288</v>
      </c>
      <c r="D46" s="503" t="s">
        <v>284</v>
      </c>
      <c r="E46" s="348"/>
      <c r="F46" s="504" t="s">
        <v>109</v>
      </c>
      <c r="G46" s="512" t="s">
        <v>788</v>
      </c>
      <c r="H46" s="511" t="s">
        <v>789</v>
      </c>
      <c r="I46" s="510" t="s">
        <v>790</v>
      </c>
      <c r="J46" s="509" t="s">
        <v>650</v>
      </c>
      <c r="K46" s="516">
        <v>8</v>
      </c>
      <c r="L46" s="520" t="s">
        <v>791</v>
      </c>
      <c r="M46" s="685">
        <v>10</v>
      </c>
      <c r="N46" s="685">
        <v>0</v>
      </c>
      <c r="O46" s="682">
        <f t="shared" si="0"/>
        <v>0</v>
      </c>
      <c r="P46" s="683">
        <f t="shared" si="1"/>
        <v>0</v>
      </c>
      <c r="Q46" s="684">
        <f t="shared" si="2"/>
        <v>0</v>
      </c>
      <c r="R46" s="491"/>
    </row>
    <row r="47" spans="1:18" x14ac:dyDescent="0.2">
      <c r="A47" s="506" t="s">
        <v>276</v>
      </c>
      <c r="B47" s="502" t="s">
        <v>779</v>
      </c>
      <c r="C47" s="507" t="s">
        <v>288</v>
      </c>
      <c r="D47" s="503" t="s">
        <v>279</v>
      </c>
      <c r="E47" s="348"/>
      <c r="F47" s="504" t="s">
        <v>109</v>
      </c>
      <c r="G47" s="512" t="s">
        <v>788</v>
      </c>
      <c r="H47" s="511" t="s">
        <v>789</v>
      </c>
      <c r="I47" s="510" t="s">
        <v>790</v>
      </c>
      <c r="J47" s="509" t="s">
        <v>650</v>
      </c>
      <c r="K47" s="516">
        <v>50</v>
      </c>
      <c r="L47" s="520" t="s">
        <v>791</v>
      </c>
      <c r="M47" s="685">
        <v>2</v>
      </c>
      <c r="N47" s="685">
        <v>1</v>
      </c>
      <c r="O47" s="682">
        <f t="shared" si="0"/>
        <v>0.5</v>
      </c>
      <c r="P47" s="683">
        <f t="shared" si="1"/>
        <v>100</v>
      </c>
      <c r="Q47" s="684">
        <f t="shared" si="2"/>
        <v>1</v>
      </c>
      <c r="R47" s="491"/>
    </row>
    <row r="48" spans="1:18" x14ac:dyDescent="0.2">
      <c r="A48" s="506" t="s">
        <v>276</v>
      </c>
      <c r="B48" s="502" t="s">
        <v>779</v>
      </c>
      <c r="C48" s="507" t="s">
        <v>288</v>
      </c>
      <c r="D48" s="503" t="s">
        <v>281</v>
      </c>
      <c r="E48" s="348"/>
      <c r="F48" s="504" t="s">
        <v>109</v>
      </c>
      <c r="G48" s="512" t="s">
        <v>788</v>
      </c>
      <c r="H48" s="511" t="s">
        <v>789</v>
      </c>
      <c r="I48" s="510" t="s">
        <v>790</v>
      </c>
      <c r="J48" s="509" t="s">
        <v>650</v>
      </c>
      <c r="K48" s="516">
        <v>36</v>
      </c>
      <c r="L48" s="520" t="s">
        <v>791</v>
      </c>
      <c r="M48" s="685">
        <v>17</v>
      </c>
      <c r="N48" s="685">
        <v>3</v>
      </c>
      <c r="O48" s="682">
        <f t="shared" si="0"/>
        <v>0.17647058823529413</v>
      </c>
      <c r="P48" s="683">
        <f t="shared" si="1"/>
        <v>49.019607843137251</v>
      </c>
      <c r="Q48" s="684">
        <f t="shared" si="2"/>
        <v>0.49019607843137253</v>
      </c>
      <c r="R48" s="491"/>
    </row>
    <row r="49" spans="1:18" x14ac:dyDescent="0.2">
      <c r="A49" s="506" t="s">
        <v>276</v>
      </c>
      <c r="B49" s="502" t="s">
        <v>779</v>
      </c>
      <c r="C49" s="507" t="s">
        <v>99</v>
      </c>
      <c r="D49" s="503" t="s">
        <v>287</v>
      </c>
      <c r="E49" s="348"/>
      <c r="F49" s="504" t="s">
        <v>109</v>
      </c>
      <c r="G49" s="512" t="s">
        <v>788</v>
      </c>
      <c r="H49" s="511" t="s">
        <v>792</v>
      </c>
      <c r="I49" s="510" t="s">
        <v>790</v>
      </c>
      <c r="J49" s="509" t="s">
        <v>650</v>
      </c>
      <c r="K49" s="516">
        <v>17</v>
      </c>
      <c r="L49" s="520"/>
      <c r="M49" s="685">
        <v>326</v>
      </c>
      <c r="N49" s="685">
        <v>49</v>
      </c>
      <c r="O49" s="682">
        <f t="shared" si="0"/>
        <v>0.15030674846625766</v>
      </c>
      <c r="P49" s="683">
        <f t="shared" si="1"/>
        <v>88.415734391916274</v>
      </c>
      <c r="Q49" s="684">
        <f t="shared" si="2"/>
        <v>0.88415734391916267</v>
      </c>
      <c r="R49" s="490"/>
    </row>
    <row r="50" spans="1:18" x14ac:dyDescent="0.2">
      <c r="A50" s="506" t="s">
        <v>276</v>
      </c>
      <c r="B50" s="502" t="s">
        <v>779</v>
      </c>
      <c r="C50" s="507" t="s">
        <v>99</v>
      </c>
      <c r="D50" s="503" t="s">
        <v>283</v>
      </c>
      <c r="E50" s="348"/>
      <c r="F50" s="504" t="s">
        <v>109</v>
      </c>
      <c r="G50" s="512" t="s">
        <v>788</v>
      </c>
      <c r="H50" s="511" t="s">
        <v>789</v>
      </c>
      <c r="I50" s="510" t="s">
        <v>790</v>
      </c>
      <c r="J50" s="509" t="s">
        <v>650</v>
      </c>
      <c r="K50" s="516">
        <v>36</v>
      </c>
      <c r="L50" s="520"/>
      <c r="M50" s="685">
        <v>17</v>
      </c>
      <c r="N50" s="685">
        <v>4</v>
      </c>
      <c r="O50" s="682">
        <f t="shared" si="0"/>
        <v>0.23529411764705882</v>
      </c>
      <c r="P50" s="683">
        <f t="shared" si="1"/>
        <v>65.359477124183002</v>
      </c>
      <c r="Q50" s="684">
        <f t="shared" si="2"/>
        <v>0.65359477124183007</v>
      </c>
      <c r="R50" s="490"/>
    </row>
    <row r="51" spans="1:18" x14ac:dyDescent="0.2">
      <c r="A51" s="506" t="s">
        <v>276</v>
      </c>
      <c r="B51" s="502" t="s">
        <v>779</v>
      </c>
      <c r="C51" s="507" t="s">
        <v>99</v>
      </c>
      <c r="D51" s="503" t="s">
        <v>284</v>
      </c>
      <c r="E51" s="348"/>
      <c r="F51" s="504" t="s">
        <v>109</v>
      </c>
      <c r="G51" s="512" t="s">
        <v>788</v>
      </c>
      <c r="H51" s="511" t="s">
        <v>789</v>
      </c>
      <c r="I51" s="510" t="s">
        <v>790</v>
      </c>
      <c r="J51" s="509" t="s">
        <v>650</v>
      </c>
      <c r="K51" s="516">
        <v>80</v>
      </c>
      <c r="L51" s="520"/>
      <c r="M51" s="685">
        <v>8</v>
      </c>
      <c r="N51" s="685">
        <v>2</v>
      </c>
      <c r="O51" s="682">
        <f t="shared" si="0"/>
        <v>0.25</v>
      </c>
      <c r="P51" s="683">
        <f t="shared" si="1"/>
        <v>31.25</v>
      </c>
      <c r="Q51" s="684">
        <f t="shared" si="2"/>
        <v>0.3125</v>
      </c>
      <c r="R51" s="490"/>
    </row>
    <row r="52" spans="1:18" x14ac:dyDescent="0.2">
      <c r="A52" s="506" t="s">
        <v>276</v>
      </c>
      <c r="B52" s="502" t="s">
        <v>779</v>
      </c>
      <c r="C52" s="507" t="s">
        <v>99</v>
      </c>
      <c r="D52" s="503" t="s">
        <v>279</v>
      </c>
      <c r="E52" s="348"/>
      <c r="F52" s="504" t="s">
        <v>109</v>
      </c>
      <c r="G52" s="512" t="s">
        <v>788</v>
      </c>
      <c r="H52" s="511" t="s">
        <v>789</v>
      </c>
      <c r="I52" s="510" t="s">
        <v>790</v>
      </c>
      <c r="J52" s="509" t="s">
        <v>650</v>
      </c>
      <c r="K52" s="516">
        <v>36</v>
      </c>
      <c r="L52" s="520" t="s">
        <v>791</v>
      </c>
      <c r="M52" s="685">
        <v>5</v>
      </c>
      <c r="N52" s="685">
        <v>2</v>
      </c>
      <c r="O52" s="682">
        <f t="shared" si="0"/>
        <v>0.4</v>
      </c>
      <c r="P52" s="683">
        <f t="shared" si="1"/>
        <v>111.11111111111111</v>
      </c>
      <c r="Q52" s="684">
        <f t="shared" si="2"/>
        <v>1.1111111111111112</v>
      </c>
      <c r="R52" s="491"/>
    </row>
    <row r="53" spans="1:18" x14ac:dyDescent="0.2">
      <c r="A53" s="506" t="s">
        <v>276</v>
      </c>
      <c r="B53" s="502" t="s">
        <v>779</v>
      </c>
      <c r="C53" s="507" t="s">
        <v>99</v>
      </c>
      <c r="D53" s="503" t="s">
        <v>281</v>
      </c>
      <c r="E53" s="348"/>
      <c r="F53" s="504" t="s">
        <v>109</v>
      </c>
      <c r="G53" s="512" t="s">
        <v>788</v>
      </c>
      <c r="H53" s="511" t="s">
        <v>789</v>
      </c>
      <c r="I53" s="510" t="s">
        <v>790</v>
      </c>
      <c r="J53" s="509" t="s">
        <v>650</v>
      </c>
      <c r="K53" s="516">
        <v>0</v>
      </c>
      <c r="L53" s="520" t="s">
        <v>791</v>
      </c>
      <c r="M53" s="685">
        <v>1</v>
      </c>
      <c r="N53" s="685">
        <v>0</v>
      </c>
      <c r="O53" s="682">
        <f t="shared" si="0"/>
        <v>0</v>
      </c>
      <c r="P53" s="683" t="str">
        <f t="shared" si="1"/>
        <v>0</v>
      </c>
      <c r="Q53" s="684" t="str">
        <f t="shared" si="2"/>
        <v>0</v>
      </c>
      <c r="R53" s="491"/>
    </row>
    <row r="54" spans="1:18" x14ac:dyDescent="0.2">
      <c r="A54" s="506" t="s">
        <v>276</v>
      </c>
      <c r="B54" s="502" t="s">
        <v>779</v>
      </c>
      <c r="C54" s="507" t="s">
        <v>285</v>
      </c>
      <c r="D54" s="503" t="s">
        <v>287</v>
      </c>
      <c r="E54" s="348"/>
      <c r="F54" s="504" t="s">
        <v>109</v>
      </c>
      <c r="G54" s="512" t="s">
        <v>788</v>
      </c>
      <c r="H54" s="511" t="s">
        <v>792</v>
      </c>
      <c r="I54" s="510" t="s">
        <v>790</v>
      </c>
      <c r="J54" s="509" t="s">
        <v>650</v>
      </c>
      <c r="K54" s="516">
        <v>13</v>
      </c>
      <c r="L54" s="520"/>
      <c r="M54" s="685">
        <v>0</v>
      </c>
      <c r="N54" s="685">
        <v>0</v>
      </c>
      <c r="O54" s="682">
        <f t="shared" si="0"/>
        <v>0</v>
      </c>
      <c r="P54" s="683" t="str">
        <f t="shared" si="1"/>
        <v>0</v>
      </c>
      <c r="Q54" s="684" t="str">
        <f t="shared" si="2"/>
        <v>0</v>
      </c>
      <c r="R54" s="491"/>
    </row>
    <row r="55" spans="1:18" x14ac:dyDescent="0.2">
      <c r="A55" s="506" t="s">
        <v>276</v>
      </c>
      <c r="B55" s="502" t="s">
        <v>779</v>
      </c>
      <c r="C55" s="507" t="s">
        <v>285</v>
      </c>
      <c r="D55" s="503" t="s">
        <v>283</v>
      </c>
      <c r="E55" s="348"/>
      <c r="F55" s="504" t="s">
        <v>109</v>
      </c>
      <c r="G55" s="512" t="s">
        <v>788</v>
      </c>
      <c r="H55" s="511" t="s">
        <v>789</v>
      </c>
      <c r="I55" s="510" t="s">
        <v>790</v>
      </c>
      <c r="J55" s="509" t="s">
        <v>650</v>
      </c>
      <c r="K55" s="516">
        <v>33</v>
      </c>
      <c r="L55" s="520" t="s">
        <v>791</v>
      </c>
      <c r="M55" s="685">
        <v>5</v>
      </c>
      <c r="N55" s="685">
        <v>1</v>
      </c>
      <c r="O55" s="682">
        <f t="shared" si="0"/>
        <v>0.2</v>
      </c>
      <c r="P55" s="683">
        <f t="shared" si="1"/>
        <v>60.606060606060595</v>
      </c>
      <c r="Q55" s="684">
        <f t="shared" si="2"/>
        <v>0.60606060606060597</v>
      </c>
      <c r="R55" s="491"/>
    </row>
    <row r="56" spans="1:18" x14ac:dyDescent="0.2">
      <c r="A56" s="506" t="s">
        <v>276</v>
      </c>
      <c r="B56" s="502" t="s">
        <v>779</v>
      </c>
      <c r="C56" s="507" t="s">
        <v>285</v>
      </c>
      <c r="D56" s="503" t="s">
        <v>284</v>
      </c>
      <c r="E56" s="348"/>
      <c r="F56" s="504" t="s">
        <v>109</v>
      </c>
      <c r="G56" s="512" t="s">
        <v>788</v>
      </c>
      <c r="H56" s="511" t="s">
        <v>789</v>
      </c>
      <c r="I56" s="510" t="s">
        <v>790</v>
      </c>
      <c r="J56" s="509" t="s">
        <v>650</v>
      </c>
      <c r="K56" s="516">
        <v>50</v>
      </c>
      <c r="L56" s="520" t="s">
        <v>791</v>
      </c>
      <c r="M56" s="685">
        <v>4</v>
      </c>
      <c r="N56" s="685">
        <v>0</v>
      </c>
      <c r="O56" s="682">
        <f t="shared" si="0"/>
        <v>0</v>
      </c>
      <c r="P56" s="683">
        <f t="shared" si="1"/>
        <v>0</v>
      </c>
      <c r="Q56" s="684">
        <f t="shared" si="2"/>
        <v>0</v>
      </c>
      <c r="R56" s="491"/>
    </row>
    <row r="57" spans="1:18" x14ac:dyDescent="0.2">
      <c r="A57" s="506" t="s">
        <v>276</v>
      </c>
      <c r="B57" s="502" t="s">
        <v>779</v>
      </c>
      <c r="C57" s="507" t="s">
        <v>285</v>
      </c>
      <c r="D57" s="503" t="s">
        <v>279</v>
      </c>
      <c r="E57" s="348"/>
      <c r="F57" s="504" t="s">
        <v>109</v>
      </c>
      <c r="G57" s="512" t="s">
        <v>788</v>
      </c>
      <c r="H57" s="511" t="s">
        <v>789</v>
      </c>
      <c r="I57" s="510" t="s">
        <v>790</v>
      </c>
      <c r="J57" s="509" t="s">
        <v>650</v>
      </c>
      <c r="K57" s="516">
        <v>0</v>
      </c>
      <c r="L57" s="520" t="s">
        <v>791</v>
      </c>
      <c r="M57" s="685">
        <v>1</v>
      </c>
      <c r="N57" s="685">
        <v>0</v>
      </c>
      <c r="O57" s="682">
        <f t="shared" si="0"/>
        <v>0</v>
      </c>
      <c r="P57" s="683" t="str">
        <f t="shared" si="1"/>
        <v>0</v>
      </c>
      <c r="Q57" s="684" t="str">
        <f t="shared" si="2"/>
        <v>0</v>
      </c>
      <c r="R57" s="491"/>
    </row>
    <row r="58" spans="1:18" x14ac:dyDescent="0.2">
      <c r="A58" s="506" t="s">
        <v>276</v>
      </c>
      <c r="B58" s="502" t="s">
        <v>779</v>
      </c>
      <c r="C58" s="507" t="s">
        <v>285</v>
      </c>
      <c r="D58" s="503" t="s">
        <v>281</v>
      </c>
      <c r="E58" s="348"/>
      <c r="F58" s="504" t="s">
        <v>109</v>
      </c>
      <c r="G58" s="512" t="s">
        <v>788</v>
      </c>
      <c r="H58" s="511" t="s">
        <v>789</v>
      </c>
      <c r="I58" s="510" t="s">
        <v>790</v>
      </c>
      <c r="J58" s="509" t="s">
        <v>650</v>
      </c>
      <c r="K58" s="516">
        <v>25</v>
      </c>
      <c r="L58" s="520"/>
      <c r="M58" s="685">
        <v>12</v>
      </c>
      <c r="N58" s="685">
        <v>4</v>
      </c>
      <c r="O58" s="682">
        <f t="shared" si="0"/>
        <v>0.33333333333333331</v>
      </c>
      <c r="P58" s="683">
        <f t="shared" si="1"/>
        <v>133.33333333333331</v>
      </c>
      <c r="Q58" s="684">
        <f t="shared" si="2"/>
        <v>1.3333333333333333</v>
      </c>
      <c r="R58" s="490"/>
    </row>
    <row r="59" spans="1:18" x14ac:dyDescent="0.2">
      <c r="A59" s="506" t="s">
        <v>276</v>
      </c>
      <c r="B59" s="502" t="s">
        <v>779</v>
      </c>
      <c r="C59" s="507" t="s">
        <v>285</v>
      </c>
      <c r="D59" s="503" t="s">
        <v>286</v>
      </c>
      <c r="E59" s="348"/>
      <c r="F59" s="504" t="s">
        <v>109</v>
      </c>
      <c r="G59" s="512" t="s">
        <v>788</v>
      </c>
      <c r="H59" s="511" t="s">
        <v>789</v>
      </c>
      <c r="I59" s="510" t="s">
        <v>790</v>
      </c>
      <c r="J59" s="509" t="s">
        <v>650</v>
      </c>
      <c r="K59" s="516">
        <v>10</v>
      </c>
      <c r="L59" s="520"/>
      <c r="M59" s="685">
        <v>20</v>
      </c>
      <c r="N59" s="685">
        <v>0</v>
      </c>
      <c r="O59" s="682">
        <f t="shared" si="0"/>
        <v>0</v>
      </c>
      <c r="P59" s="683">
        <f t="shared" si="1"/>
        <v>0</v>
      </c>
      <c r="Q59" s="684">
        <f t="shared" si="2"/>
        <v>0</v>
      </c>
      <c r="R59" s="490"/>
    </row>
    <row r="60" spans="1:18" x14ac:dyDescent="0.2">
      <c r="A60" s="506" t="s">
        <v>276</v>
      </c>
      <c r="B60" s="502" t="s">
        <v>779</v>
      </c>
      <c r="C60" s="507" t="s">
        <v>291</v>
      </c>
      <c r="D60" s="503" t="s">
        <v>283</v>
      </c>
      <c r="E60" s="348"/>
      <c r="F60" s="504" t="s">
        <v>109</v>
      </c>
      <c r="G60" s="512" t="s">
        <v>788</v>
      </c>
      <c r="H60" s="511" t="s">
        <v>789</v>
      </c>
      <c r="I60" s="510" t="s">
        <v>790</v>
      </c>
      <c r="J60" s="509" t="s">
        <v>650</v>
      </c>
      <c r="K60" s="516">
        <v>0</v>
      </c>
      <c r="L60" s="520" t="s">
        <v>791</v>
      </c>
      <c r="M60" s="685">
        <v>0</v>
      </c>
      <c r="N60" s="685">
        <v>0</v>
      </c>
      <c r="O60" s="682">
        <f t="shared" si="0"/>
        <v>0</v>
      </c>
      <c r="P60" s="683" t="str">
        <f t="shared" si="1"/>
        <v>0</v>
      </c>
      <c r="Q60" s="684" t="str">
        <f t="shared" si="2"/>
        <v>0</v>
      </c>
      <c r="R60" s="491"/>
    </row>
    <row r="61" spans="1:18" x14ac:dyDescent="0.2">
      <c r="A61" s="506" t="s">
        <v>276</v>
      </c>
      <c r="B61" s="502" t="s">
        <v>779</v>
      </c>
      <c r="C61" s="507" t="s">
        <v>291</v>
      </c>
      <c r="D61" s="503" t="s">
        <v>284</v>
      </c>
      <c r="E61" s="348"/>
      <c r="F61" s="504" t="s">
        <v>109</v>
      </c>
      <c r="G61" s="512" t="s">
        <v>788</v>
      </c>
      <c r="H61" s="511" t="s">
        <v>789</v>
      </c>
      <c r="I61" s="510" t="s">
        <v>790</v>
      </c>
      <c r="J61" s="509" t="s">
        <v>650</v>
      </c>
      <c r="K61" s="516">
        <v>0</v>
      </c>
      <c r="L61" s="520" t="s">
        <v>791</v>
      </c>
      <c r="M61" s="685">
        <v>0</v>
      </c>
      <c r="N61" s="685">
        <v>0</v>
      </c>
      <c r="O61" s="682">
        <f t="shared" si="0"/>
        <v>0</v>
      </c>
      <c r="P61" s="683" t="str">
        <f t="shared" si="1"/>
        <v>0</v>
      </c>
      <c r="Q61" s="684" t="str">
        <f t="shared" si="2"/>
        <v>0</v>
      </c>
      <c r="R61" s="491"/>
    </row>
    <row r="62" spans="1:18" x14ac:dyDescent="0.2">
      <c r="A62" s="506" t="s">
        <v>276</v>
      </c>
      <c r="B62" s="502" t="s">
        <v>779</v>
      </c>
      <c r="C62" s="507" t="s">
        <v>290</v>
      </c>
      <c r="D62" s="503" t="s">
        <v>287</v>
      </c>
      <c r="E62" s="348"/>
      <c r="F62" s="504" t="s">
        <v>109</v>
      </c>
      <c r="G62" s="512" t="s">
        <v>788</v>
      </c>
      <c r="H62" s="511" t="s">
        <v>792</v>
      </c>
      <c r="I62" s="510" t="s">
        <v>790</v>
      </c>
      <c r="J62" s="509" t="s">
        <v>650</v>
      </c>
      <c r="K62" s="516">
        <v>38</v>
      </c>
      <c r="L62" s="520"/>
      <c r="M62" s="685">
        <v>65</v>
      </c>
      <c r="N62" s="685">
        <v>9</v>
      </c>
      <c r="O62" s="682">
        <f t="shared" si="0"/>
        <v>0.13846153846153847</v>
      </c>
      <c r="P62" s="683">
        <f t="shared" si="1"/>
        <v>36.43724696356275</v>
      </c>
      <c r="Q62" s="684">
        <f t="shared" si="2"/>
        <v>0.36437246963562753</v>
      </c>
      <c r="R62" s="490"/>
    </row>
    <row r="63" spans="1:18" x14ac:dyDescent="0.2">
      <c r="A63" s="506" t="s">
        <v>276</v>
      </c>
      <c r="B63" s="502" t="s">
        <v>779</v>
      </c>
      <c r="C63" s="507" t="s">
        <v>290</v>
      </c>
      <c r="D63" s="503" t="s">
        <v>283</v>
      </c>
      <c r="E63" s="348"/>
      <c r="F63" s="504" t="s">
        <v>109</v>
      </c>
      <c r="G63" s="512" t="s">
        <v>788</v>
      </c>
      <c r="H63" s="511" t="s">
        <v>789</v>
      </c>
      <c r="I63" s="510" t="s">
        <v>790</v>
      </c>
      <c r="J63" s="509" t="s">
        <v>650</v>
      </c>
      <c r="K63" s="516">
        <v>33</v>
      </c>
      <c r="L63" s="520" t="s">
        <v>791</v>
      </c>
      <c r="M63" s="685">
        <v>5</v>
      </c>
      <c r="N63" s="685">
        <v>0</v>
      </c>
      <c r="O63" s="682">
        <f t="shared" si="0"/>
        <v>0</v>
      </c>
      <c r="P63" s="683">
        <f t="shared" si="1"/>
        <v>0</v>
      </c>
      <c r="Q63" s="684">
        <f t="shared" si="2"/>
        <v>0</v>
      </c>
      <c r="R63" s="491"/>
    </row>
    <row r="64" spans="1:18" x14ac:dyDescent="0.2">
      <c r="A64" s="506" t="s">
        <v>276</v>
      </c>
      <c r="B64" s="502" t="s">
        <v>779</v>
      </c>
      <c r="C64" s="507" t="s">
        <v>290</v>
      </c>
      <c r="D64" s="503" t="s">
        <v>284</v>
      </c>
      <c r="E64" s="348"/>
      <c r="F64" s="504" t="s">
        <v>109</v>
      </c>
      <c r="G64" s="512" t="s">
        <v>788</v>
      </c>
      <c r="H64" s="511" t="s">
        <v>789</v>
      </c>
      <c r="I64" s="510" t="s">
        <v>790</v>
      </c>
      <c r="J64" s="509" t="s">
        <v>650</v>
      </c>
      <c r="K64" s="516">
        <v>0</v>
      </c>
      <c r="L64" s="520" t="s">
        <v>791</v>
      </c>
      <c r="M64" s="685">
        <v>0</v>
      </c>
      <c r="N64" s="685">
        <v>0</v>
      </c>
      <c r="O64" s="682">
        <f t="shared" si="0"/>
        <v>0</v>
      </c>
      <c r="P64" s="683" t="str">
        <f t="shared" si="1"/>
        <v>0</v>
      </c>
      <c r="Q64" s="684" t="str">
        <f t="shared" si="2"/>
        <v>0</v>
      </c>
      <c r="R64" s="491"/>
    </row>
    <row r="65" spans="1:18" x14ac:dyDescent="0.2">
      <c r="A65" s="506" t="s">
        <v>276</v>
      </c>
      <c r="B65" s="502" t="s">
        <v>779</v>
      </c>
      <c r="C65" s="507" t="s">
        <v>289</v>
      </c>
      <c r="D65" s="503" t="s">
        <v>287</v>
      </c>
      <c r="E65" s="348"/>
      <c r="F65" s="504" t="s">
        <v>109</v>
      </c>
      <c r="G65" s="512" t="s">
        <v>788</v>
      </c>
      <c r="H65" s="511" t="s">
        <v>792</v>
      </c>
      <c r="I65" s="510" t="s">
        <v>790</v>
      </c>
      <c r="J65" s="509" t="s">
        <v>650</v>
      </c>
      <c r="K65" s="516">
        <v>5</v>
      </c>
      <c r="L65" s="520"/>
      <c r="M65" s="685">
        <v>733</v>
      </c>
      <c r="N65" s="685">
        <v>90</v>
      </c>
      <c r="O65" s="682">
        <f t="shared" si="0"/>
        <v>0.12278308321964529</v>
      </c>
      <c r="P65" s="683">
        <f t="shared" si="1"/>
        <v>245.56616643929061</v>
      </c>
      <c r="Q65" s="684">
        <f t="shared" si="2"/>
        <v>2.4556616643929061</v>
      </c>
      <c r="R65" s="490"/>
    </row>
    <row r="66" spans="1:18" x14ac:dyDescent="0.2">
      <c r="A66" s="506" t="s">
        <v>276</v>
      </c>
      <c r="B66" s="502" t="s">
        <v>779</v>
      </c>
      <c r="C66" s="507" t="s">
        <v>289</v>
      </c>
      <c r="D66" s="503" t="s">
        <v>283</v>
      </c>
      <c r="E66" s="348"/>
      <c r="F66" s="504" t="s">
        <v>109</v>
      </c>
      <c r="G66" s="512" t="s">
        <v>788</v>
      </c>
      <c r="H66" s="511" t="s">
        <v>789</v>
      </c>
      <c r="I66" s="510" t="s">
        <v>790</v>
      </c>
      <c r="J66" s="509" t="s">
        <v>650</v>
      </c>
      <c r="K66" s="516">
        <v>32</v>
      </c>
      <c r="L66" s="520"/>
      <c r="M66" s="685">
        <v>134</v>
      </c>
      <c r="N66" s="685">
        <v>38</v>
      </c>
      <c r="O66" s="682">
        <f t="shared" si="0"/>
        <v>0.28358208955223879</v>
      </c>
      <c r="P66" s="683">
        <f t="shared" si="1"/>
        <v>88.619402985074629</v>
      </c>
      <c r="Q66" s="684">
        <f t="shared" si="2"/>
        <v>0.88619402985074625</v>
      </c>
      <c r="R66" s="490"/>
    </row>
    <row r="67" spans="1:18" x14ac:dyDescent="0.2">
      <c r="A67" s="506" t="s">
        <v>276</v>
      </c>
      <c r="B67" s="502" t="s">
        <v>779</v>
      </c>
      <c r="C67" s="507" t="s">
        <v>289</v>
      </c>
      <c r="D67" s="503" t="s">
        <v>284</v>
      </c>
      <c r="E67" s="348"/>
      <c r="F67" s="504" t="s">
        <v>109</v>
      </c>
      <c r="G67" s="512" t="s">
        <v>788</v>
      </c>
      <c r="H67" s="511" t="s">
        <v>789</v>
      </c>
      <c r="I67" s="510" t="s">
        <v>790</v>
      </c>
      <c r="J67" s="509" t="s">
        <v>650</v>
      </c>
      <c r="K67" s="516">
        <v>33</v>
      </c>
      <c r="L67" s="520"/>
      <c r="M67" s="685">
        <v>29</v>
      </c>
      <c r="N67" s="685">
        <v>13</v>
      </c>
      <c r="O67" s="682">
        <f t="shared" si="0"/>
        <v>0.44827586206896552</v>
      </c>
      <c r="P67" s="683">
        <f t="shared" si="1"/>
        <v>135.84117032392896</v>
      </c>
      <c r="Q67" s="684">
        <f t="shared" si="2"/>
        <v>1.3584117032392895</v>
      </c>
      <c r="R67" s="490"/>
    </row>
    <row r="68" spans="1:18" x14ac:dyDescent="0.2">
      <c r="A68" s="506" t="s">
        <v>276</v>
      </c>
      <c r="B68" s="502" t="s">
        <v>779</v>
      </c>
      <c r="C68" s="507" t="s">
        <v>289</v>
      </c>
      <c r="D68" s="503" t="s">
        <v>281</v>
      </c>
      <c r="E68" s="348"/>
      <c r="F68" s="504" t="s">
        <v>109</v>
      </c>
      <c r="G68" s="512" t="s">
        <v>788</v>
      </c>
      <c r="H68" s="511" t="s">
        <v>789</v>
      </c>
      <c r="I68" s="510" t="s">
        <v>790</v>
      </c>
      <c r="J68" s="509" t="s">
        <v>650</v>
      </c>
      <c r="K68" s="516">
        <v>0</v>
      </c>
      <c r="L68" s="520" t="s">
        <v>791</v>
      </c>
      <c r="M68" s="685">
        <v>2</v>
      </c>
      <c r="N68" s="685">
        <v>0</v>
      </c>
      <c r="O68" s="682">
        <f t="shared" si="0"/>
        <v>0</v>
      </c>
      <c r="P68" s="683" t="str">
        <f t="shared" si="1"/>
        <v>0</v>
      </c>
      <c r="Q68" s="684" t="str">
        <f t="shared" si="2"/>
        <v>0</v>
      </c>
      <c r="R68" s="491"/>
    </row>
    <row r="69" spans="1:18" x14ac:dyDescent="0.2">
      <c r="A69" s="506" t="s">
        <v>276</v>
      </c>
      <c r="B69" s="502" t="s">
        <v>779</v>
      </c>
      <c r="C69" s="507" t="s">
        <v>97</v>
      </c>
      <c r="D69" s="503" t="s">
        <v>279</v>
      </c>
      <c r="E69" s="348"/>
      <c r="F69" s="504" t="s">
        <v>109</v>
      </c>
      <c r="G69" s="512" t="s">
        <v>793</v>
      </c>
      <c r="H69" s="511" t="s">
        <v>789</v>
      </c>
      <c r="I69" s="510" t="s">
        <v>790</v>
      </c>
      <c r="J69" s="509" t="s">
        <v>650</v>
      </c>
      <c r="K69" s="516">
        <v>33</v>
      </c>
      <c r="L69" s="520"/>
      <c r="M69" s="685">
        <v>6</v>
      </c>
      <c r="N69" s="685">
        <v>4</v>
      </c>
      <c r="O69" s="682">
        <f t="shared" ref="O69:O132" si="3">IFERROR(N69/M69,0)</f>
        <v>0.66666666666666663</v>
      </c>
      <c r="P69" s="683">
        <f t="shared" ref="P69:P132" si="4">IFERROR(N69/(M69*(K69/100))*100,"0")</f>
        <v>202.02020202020202</v>
      </c>
      <c r="Q69" s="684">
        <f t="shared" ref="Q69:Q132" si="5">IFERROR(N69/(M69*(K69/100)),"0")</f>
        <v>2.0202020202020203</v>
      </c>
      <c r="R69" s="490"/>
    </row>
    <row r="70" spans="1:18" x14ac:dyDescent="0.2">
      <c r="A70" s="506" t="s">
        <v>276</v>
      </c>
      <c r="B70" s="502" t="s">
        <v>779</v>
      </c>
      <c r="C70" s="507" t="s">
        <v>97</v>
      </c>
      <c r="D70" s="503" t="s">
        <v>281</v>
      </c>
      <c r="E70" s="348"/>
      <c r="F70" s="504" t="s">
        <v>109</v>
      </c>
      <c r="G70" s="512" t="s">
        <v>793</v>
      </c>
      <c r="H70" s="511" t="s">
        <v>789</v>
      </c>
      <c r="I70" s="510" t="s">
        <v>790</v>
      </c>
      <c r="J70" s="509" t="s">
        <v>650</v>
      </c>
      <c r="K70" s="516">
        <v>33</v>
      </c>
      <c r="L70" s="520" t="s">
        <v>791</v>
      </c>
      <c r="M70" s="685">
        <v>9</v>
      </c>
      <c r="N70" s="685">
        <v>7</v>
      </c>
      <c r="O70" s="682">
        <f t="shared" si="3"/>
        <v>0.77777777777777779</v>
      </c>
      <c r="P70" s="683">
        <f t="shared" si="4"/>
        <v>235.69023569023568</v>
      </c>
      <c r="Q70" s="684">
        <f t="shared" si="5"/>
        <v>2.3569023569023568</v>
      </c>
      <c r="R70" s="491"/>
    </row>
    <row r="71" spans="1:18" x14ac:dyDescent="0.2">
      <c r="A71" s="506" t="s">
        <v>276</v>
      </c>
      <c r="B71" s="502" t="s">
        <v>779</v>
      </c>
      <c r="C71" s="507" t="s">
        <v>282</v>
      </c>
      <c r="D71" s="503" t="s">
        <v>287</v>
      </c>
      <c r="E71" s="348"/>
      <c r="F71" s="504" t="s">
        <v>109</v>
      </c>
      <c r="G71" s="512" t="s">
        <v>793</v>
      </c>
      <c r="H71" s="511" t="s">
        <v>792</v>
      </c>
      <c r="I71" s="510" t="s">
        <v>790</v>
      </c>
      <c r="J71" s="509" t="s">
        <v>650</v>
      </c>
      <c r="K71" s="516">
        <v>5</v>
      </c>
      <c r="L71" s="520" t="s">
        <v>791</v>
      </c>
      <c r="M71" s="685">
        <v>68</v>
      </c>
      <c r="N71" s="685">
        <v>10</v>
      </c>
      <c r="O71" s="682">
        <f t="shared" si="3"/>
        <v>0.14705882352941177</v>
      </c>
      <c r="P71" s="683">
        <f t="shared" si="4"/>
        <v>294.11764705882348</v>
      </c>
      <c r="Q71" s="684">
        <f t="shared" si="5"/>
        <v>2.9411764705882351</v>
      </c>
      <c r="R71" s="491"/>
    </row>
    <row r="72" spans="1:18" x14ac:dyDescent="0.2">
      <c r="A72" s="506" t="s">
        <v>276</v>
      </c>
      <c r="B72" s="502" t="s">
        <v>779</v>
      </c>
      <c r="C72" s="507" t="s">
        <v>282</v>
      </c>
      <c r="D72" s="503" t="s">
        <v>283</v>
      </c>
      <c r="E72" s="348"/>
      <c r="F72" s="504" t="s">
        <v>109</v>
      </c>
      <c r="G72" s="512" t="s">
        <v>793</v>
      </c>
      <c r="H72" s="511" t="s">
        <v>789</v>
      </c>
      <c r="I72" s="510" t="s">
        <v>790</v>
      </c>
      <c r="J72" s="509" t="s">
        <v>650</v>
      </c>
      <c r="K72" s="516">
        <v>26</v>
      </c>
      <c r="L72" s="520"/>
      <c r="M72" s="685">
        <v>19</v>
      </c>
      <c r="N72" s="685">
        <v>2</v>
      </c>
      <c r="O72" s="682">
        <f t="shared" si="3"/>
        <v>0.10526315789473684</v>
      </c>
      <c r="P72" s="683">
        <f t="shared" si="4"/>
        <v>40.48582995951417</v>
      </c>
      <c r="Q72" s="684">
        <f t="shared" si="5"/>
        <v>0.40485829959514169</v>
      </c>
      <c r="R72" s="490"/>
    </row>
    <row r="73" spans="1:18" x14ac:dyDescent="0.2">
      <c r="A73" s="506" t="s">
        <v>276</v>
      </c>
      <c r="B73" s="502" t="s">
        <v>779</v>
      </c>
      <c r="C73" s="507" t="s">
        <v>282</v>
      </c>
      <c r="D73" s="503" t="s">
        <v>284</v>
      </c>
      <c r="E73" s="348"/>
      <c r="F73" s="504" t="s">
        <v>109</v>
      </c>
      <c r="G73" s="512" t="s">
        <v>793</v>
      </c>
      <c r="H73" s="511" t="s">
        <v>789</v>
      </c>
      <c r="I73" s="510" t="s">
        <v>790</v>
      </c>
      <c r="J73" s="509" t="s">
        <v>650</v>
      </c>
      <c r="K73" s="516">
        <v>16</v>
      </c>
      <c r="L73" s="520"/>
      <c r="M73" s="685">
        <v>43</v>
      </c>
      <c r="N73" s="685">
        <v>7</v>
      </c>
      <c r="O73" s="682">
        <f t="shared" si="3"/>
        <v>0.16279069767441862</v>
      </c>
      <c r="P73" s="683">
        <f t="shared" si="4"/>
        <v>101.74418604651163</v>
      </c>
      <c r="Q73" s="684">
        <f t="shared" si="5"/>
        <v>1.0174418604651163</v>
      </c>
      <c r="R73" s="490"/>
    </row>
    <row r="74" spans="1:18" x14ac:dyDescent="0.2">
      <c r="A74" s="506" t="s">
        <v>276</v>
      </c>
      <c r="B74" s="502" t="s">
        <v>779</v>
      </c>
      <c r="C74" s="507" t="s">
        <v>282</v>
      </c>
      <c r="D74" s="503" t="s">
        <v>279</v>
      </c>
      <c r="E74" s="348"/>
      <c r="F74" s="504" t="s">
        <v>109</v>
      </c>
      <c r="G74" s="512" t="s">
        <v>793</v>
      </c>
      <c r="H74" s="511" t="s">
        <v>789</v>
      </c>
      <c r="I74" s="510" t="s">
        <v>790</v>
      </c>
      <c r="J74" s="509" t="s">
        <v>650</v>
      </c>
      <c r="K74" s="516">
        <v>6</v>
      </c>
      <c r="L74" s="520"/>
      <c r="M74" s="685">
        <v>65</v>
      </c>
      <c r="N74" s="685">
        <v>7</v>
      </c>
      <c r="O74" s="682">
        <f t="shared" si="3"/>
        <v>0.1076923076923077</v>
      </c>
      <c r="P74" s="683">
        <f t="shared" si="4"/>
        <v>179.4871794871795</v>
      </c>
      <c r="Q74" s="684">
        <f t="shared" si="5"/>
        <v>1.7948717948717949</v>
      </c>
      <c r="R74" s="490"/>
    </row>
    <row r="75" spans="1:18" x14ac:dyDescent="0.2">
      <c r="A75" s="506" t="s">
        <v>276</v>
      </c>
      <c r="B75" s="502" t="s">
        <v>779</v>
      </c>
      <c r="C75" s="507" t="s">
        <v>282</v>
      </c>
      <c r="D75" s="503" t="s">
        <v>281</v>
      </c>
      <c r="E75" s="348"/>
      <c r="F75" s="504" t="s">
        <v>109</v>
      </c>
      <c r="G75" s="512" t="s">
        <v>793</v>
      </c>
      <c r="H75" s="511" t="s">
        <v>789</v>
      </c>
      <c r="I75" s="510" t="s">
        <v>790</v>
      </c>
      <c r="J75" s="509" t="s">
        <v>650</v>
      </c>
      <c r="K75" s="516">
        <v>8</v>
      </c>
      <c r="L75" s="520"/>
      <c r="M75" s="685">
        <v>48</v>
      </c>
      <c r="N75" s="685">
        <v>12</v>
      </c>
      <c r="O75" s="682">
        <f t="shared" si="3"/>
        <v>0.25</v>
      </c>
      <c r="P75" s="683">
        <f t="shared" si="4"/>
        <v>312.5</v>
      </c>
      <c r="Q75" s="684">
        <f t="shared" si="5"/>
        <v>3.125</v>
      </c>
      <c r="R75" s="490"/>
    </row>
    <row r="76" spans="1:18" x14ac:dyDescent="0.2">
      <c r="A76" s="506" t="s">
        <v>276</v>
      </c>
      <c r="B76" s="502" t="s">
        <v>779</v>
      </c>
      <c r="C76" s="507" t="s">
        <v>288</v>
      </c>
      <c r="D76" s="503" t="s">
        <v>287</v>
      </c>
      <c r="E76" s="348"/>
      <c r="F76" s="504" t="s">
        <v>109</v>
      </c>
      <c r="G76" s="512" t="s">
        <v>793</v>
      </c>
      <c r="H76" s="511" t="s">
        <v>792</v>
      </c>
      <c r="I76" s="510" t="s">
        <v>790</v>
      </c>
      <c r="J76" s="509" t="s">
        <v>650</v>
      </c>
      <c r="K76" s="516">
        <v>28.999999999999996</v>
      </c>
      <c r="L76" s="520"/>
      <c r="M76" s="685">
        <v>299</v>
      </c>
      <c r="N76" s="685">
        <v>36</v>
      </c>
      <c r="O76" s="682">
        <f t="shared" si="3"/>
        <v>0.12040133779264214</v>
      </c>
      <c r="P76" s="683">
        <f t="shared" si="4"/>
        <v>41.517702687117982</v>
      </c>
      <c r="Q76" s="684">
        <f t="shared" si="5"/>
        <v>0.4151770268711798</v>
      </c>
      <c r="R76" s="490"/>
    </row>
    <row r="77" spans="1:18" x14ac:dyDescent="0.2">
      <c r="A77" s="506" t="s">
        <v>276</v>
      </c>
      <c r="B77" s="502" t="s">
        <v>779</v>
      </c>
      <c r="C77" s="507" t="s">
        <v>288</v>
      </c>
      <c r="D77" s="503" t="s">
        <v>283</v>
      </c>
      <c r="E77" s="348"/>
      <c r="F77" s="504" t="s">
        <v>109</v>
      </c>
      <c r="G77" s="512" t="s">
        <v>793</v>
      </c>
      <c r="H77" s="511" t="s">
        <v>789</v>
      </c>
      <c r="I77" s="510" t="s">
        <v>790</v>
      </c>
      <c r="J77" s="509" t="s">
        <v>650</v>
      </c>
      <c r="K77" s="516">
        <v>8</v>
      </c>
      <c r="L77" s="520"/>
      <c r="M77" s="685">
        <v>64</v>
      </c>
      <c r="N77" s="685">
        <v>6</v>
      </c>
      <c r="O77" s="682">
        <f t="shared" si="3"/>
        <v>9.375E-2</v>
      </c>
      <c r="P77" s="683">
        <f t="shared" si="4"/>
        <v>117.1875</v>
      </c>
      <c r="Q77" s="684">
        <f t="shared" si="5"/>
        <v>1.171875</v>
      </c>
      <c r="R77" s="490"/>
    </row>
    <row r="78" spans="1:18" x14ac:dyDescent="0.2">
      <c r="A78" s="506" t="s">
        <v>276</v>
      </c>
      <c r="B78" s="502" t="s">
        <v>779</v>
      </c>
      <c r="C78" s="507" t="s">
        <v>288</v>
      </c>
      <c r="D78" s="503" t="s">
        <v>284</v>
      </c>
      <c r="E78" s="348"/>
      <c r="F78" s="504" t="s">
        <v>109</v>
      </c>
      <c r="G78" s="512" t="s">
        <v>793</v>
      </c>
      <c r="H78" s="511" t="s">
        <v>789</v>
      </c>
      <c r="I78" s="510" t="s">
        <v>790</v>
      </c>
      <c r="J78" s="509" t="s">
        <v>650</v>
      </c>
      <c r="K78" s="516">
        <v>8</v>
      </c>
      <c r="L78" s="520" t="s">
        <v>791</v>
      </c>
      <c r="M78" s="685">
        <v>10</v>
      </c>
      <c r="N78" s="685">
        <v>0</v>
      </c>
      <c r="O78" s="682">
        <f t="shared" si="3"/>
        <v>0</v>
      </c>
      <c r="P78" s="683">
        <f t="shared" si="4"/>
        <v>0</v>
      </c>
      <c r="Q78" s="684">
        <f t="shared" si="5"/>
        <v>0</v>
      </c>
      <c r="R78" s="491"/>
    </row>
    <row r="79" spans="1:18" x14ac:dyDescent="0.2">
      <c r="A79" s="506" t="s">
        <v>276</v>
      </c>
      <c r="B79" s="502" t="s">
        <v>779</v>
      </c>
      <c r="C79" s="507" t="s">
        <v>288</v>
      </c>
      <c r="D79" s="503" t="s">
        <v>279</v>
      </c>
      <c r="E79" s="348"/>
      <c r="F79" s="504" t="s">
        <v>109</v>
      </c>
      <c r="G79" s="512" t="s">
        <v>793</v>
      </c>
      <c r="H79" s="511" t="s">
        <v>789</v>
      </c>
      <c r="I79" s="510" t="s">
        <v>790</v>
      </c>
      <c r="J79" s="509" t="s">
        <v>650</v>
      </c>
      <c r="K79" s="516">
        <v>0</v>
      </c>
      <c r="L79" s="520" t="s">
        <v>791</v>
      </c>
      <c r="M79" s="685">
        <v>2</v>
      </c>
      <c r="N79" s="685">
        <v>1</v>
      </c>
      <c r="O79" s="682">
        <f t="shared" si="3"/>
        <v>0.5</v>
      </c>
      <c r="P79" s="683" t="str">
        <f t="shared" si="4"/>
        <v>0</v>
      </c>
      <c r="Q79" s="684" t="str">
        <f t="shared" si="5"/>
        <v>0</v>
      </c>
      <c r="R79" s="491"/>
    </row>
    <row r="80" spans="1:18" x14ac:dyDescent="0.2">
      <c r="A80" s="506" t="s">
        <v>276</v>
      </c>
      <c r="B80" s="502" t="s">
        <v>779</v>
      </c>
      <c r="C80" s="507" t="s">
        <v>288</v>
      </c>
      <c r="D80" s="503" t="s">
        <v>281</v>
      </c>
      <c r="E80" s="348"/>
      <c r="F80" s="504" t="s">
        <v>109</v>
      </c>
      <c r="G80" s="512" t="s">
        <v>793</v>
      </c>
      <c r="H80" s="511" t="s">
        <v>789</v>
      </c>
      <c r="I80" s="510" t="s">
        <v>790</v>
      </c>
      <c r="J80" s="509" t="s">
        <v>650</v>
      </c>
      <c r="K80" s="516">
        <v>8</v>
      </c>
      <c r="L80" s="520" t="s">
        <v>791</v>
      </c>
      <c r="M80" s="685">
        <v>17</v>
      </c>
      <c r="N80" s="685">
        <v>3</v>
      </c>
      <c r="O80" s="682">
        <f t="shared" si="3"/>
        <v>0.17647058823529413</v>
      </c>
      <c r="P80" s="683">
        <f t="shared" si="4"/>
        <v>220.58823529411762</v>
      </c>
      <c r="Q80" s="684">
        <f t="shared" si="5"/>
        <v>2.2058823529411762</v>
      </c>
      <c r="R80" s="491"/>
    </row>
    <row r="81" spans="1:18" x14ac:dyDescent="0.2">
      <c r="A81" s="506" t="s">
        <v>276</v>
      </c>
      <c r="B81" s="502" t="s">
        <v>779</v>
      </c>
      <c r="C81" s="507" t="s">
        <v>99</v>
      </c>
      <c r="D81" s="503" t="s">
        <v>287</v>
      </c>
      <c r="E81" s="348"/>
      <c r="F81" s="504" t="s">
        <v>109</v>
      </c>
      <c r="G81" s="512" t="s">
        <v>793</v>
      </c>
      <c r="H81" s="511" t="s">
        <v>792</v>
      </c>
      <c r="I81" s="510" t="s">
        <v>790</v>
      </c>
      <c r="J81" s="509" t="s">
        <v>650</v>
      </c>
      <c r="K81" s="516">
        <v>17</v>
      </c>
      <c r="L81" s="520"/>
      <c r="M81" s="685">
        <v>326</v>
      </c>
      <c r="N81" s="685">
        <v>49</v>
      </c>
      <c r="O81" s="682">
        <f t="shared" si="3"/>
        <v>0.15030674846625766</v>
      </c>
      <c r="P81" s="683">
        <f t="shared" si="4"/>
        <v>88.415734391916274</v>
      </c>
      <c r="Q81" s="684">
        <f t="shared" si="5"/>
        <v>0.88415734391916267</v>
      </c>
      <c r="R81" s="490"/>
    </row>
    <row r="82" spans="1:18" x14ac:dyDescent="0.2">
      <c r="A82" s="506" t="s">
        <v>276</v>
      </c>
      <c r="B82" s="502" t="s">
        <v>779</v>
      </c>
      <c r="C82" s="507" t="s">
        <v>99</v>
      </c>
      <c r="D82" s="503" t="s">
        <v>283</v>
      </c>
      <c r="E82" s="348"/>
      <c r="F82" s="504" t="s">
        <v>109</v>
      </c>
      <c r="G82" s="512" t="s">
        <v>793</v>
      </c>
      <c r="H82" s="511" t="s">
        <v>789</v>
      </c>
      <c r="I82" s="510" t="s">
        <v>790</v>
      </c>
      <c r="J82" s="509" t="s">
        <v>650</v>
      </c>
      <c r="K82" s="516">
        <v>36</v>
      </c>
      <c r="L82" s="520"/>
      <c r="M82" s="685">
        <v>17</v>
      </c>
      <c r="N82" s="685">
        <v>4</v>
      </c>
      <c r="O82" s="682">
        <f t="shared" si="3"/>
        <v>0.23529411764705882</v>
      </c>
      <c r="P82" s="683">
        <f t="shared" si="4"/>
        <v>65.359477124183002</v>
      </c>
      <c r="Q82" s="684">
        <f t="shared" si="5"/>
        <v>0.65359477124183007</v>
      </c>
      <c r="R82" s="490"/>
    </row>
    <row r="83" spans="1:18" x14ac:dyDescent="0.2">
      <c r="A83" s="506" t="s">
        <v>276</v>
      </c>
      <c r="B83" s="502" t="s">
        <v>779</v>
      </c>
      <c r="C83" s="507" t="s">
        <v>99</v>
      </c>
      <c r="D83" s="503" t="s">
        <v>284</v>
      </c>
      <c r="E83" s="348"/>
      <c r="F83" s="504" t="s">
        <v>109</v>
      </c>
      <c r="G83" s="512" t="s">
        <v>793</v>
      </c>
      <c r="H83" s="511" t="s">
        <v>789</v>
      </c>
      <c r="I83" s="510" t="s">
        <v>790</v>
      </c>
      <c r="J83" s="509" t="s">
        <v>650</v>
      </c>
      <c r="K83" s="516">
        <v>80</v>
      </c>
      <c r="L83" s="520"/>
      <c r="M83" s="685">
        <v>8</v>
      </c>
      <c r="N83" s="685">
        <v>2</v>
      </c>
      <c r="O83" s="682">
        <f t="shared" si="3"/>
        <v>0.25</v>
      </c>
      <c r="P83" s="683">
        <f t="shared" si="4"/>
        <v>31.25</v>
      </c>
      <c r="Q83" s="684">
        <f t="shared" si="5"/>
        <v>0.3125</v>
      </c>
      <c r="R83" s="490"/>
    </row>
    <row r="84" spans="1:18" x14ac:dyDescent="0.2">
      <c r="A84" s="506" t="s">
        <v>276</v>
      </c>
      <c r="B84" s="502" t="s">
        <v>779</v>
      </c>
      <c r="C84" s="507" t="s">
        <v>99</v>
      </c>
      <c r="D84" s="503" t="s">
        <v>279</v>
      </c>
      <c r="E84" s="348"/>
      <c r="F84" s="504" t="s">
        <v>109</v>
      </c>
      <c r="G84" s="512" t="s">
        <v>793</v>
      </c>
      <c r="H84" s="511" t="s">
        <v>789</v>
      </c>
      <c r="I84" s="510" t="s">
        <v>790</v>
      </c>
      <c r="J84" s="509" t="s">
        <v>650</v>
      </c>
      <c r="K84" s="516">
        <v>0</v>
      </c>
      <c r="L84" s="520" t="s">
        <v>791</v>
      </c>
      <c r="M84" s="685">
        <v>5</v>
      </c>
      <c r="N84" s="685">
        <v>2</v>
      </c>
      <c r="O84" s="682">
        <f t="shared" si="3"/>
        <v>0.4</v>
      </c>
      <c r="P84" s="683" t="str">
        <f t="shared" si="4"/>
        <v>0</v>
      </c>
      <c r="Q84" s="684" t="str">
        <f t="shared" si="5"/>
        <v>0</v>
      </c>
      <c r="R84" s="491"/>
    </row>
    <row r="85" spans="1:18" x14ac:dyDescent="0.2">
      <c r="A85" s="506" t="s">
        <v>276</v>
      </c>
      <c r="B85" s="502" t="s">
        <v>779</v>
      </c>
      <c r="C85" s="507" t="s">
        <v>99</v>
      </c>
      <c r="D85" s="503" t="s">
        <v>281</v>
      </c>
      <c r="E85" s="348"/>
      <c r="F85" s="504" t="s">
        <v>109</v>
      </c>
      <c r="G85" s="512" t="s">
        <v>793</v>
      </c>
      <c r="H85" s="511" t="s">
        <v>789</v>
      </c>
      <c r="I85" s="510" t="s">
        <v>790</v>
      </c>
      <c r="J85" s="509" t="s">
        <v>650</v>
      </c>
      <c r="K85" s="516">
        <v>0</v>
      </c>
      <c r="L85" s="520" t="s">
        <v>791</v>
      </c>
      <c r="M85" s="685">
        <v>1</v>
      </c>
      <c r="N85" s="685">
        <v>0</v>
      </c>
      <c r="O85" s="682">
        <f t="shared" si="3"/>
        <v>0</v>
      </c>
      <c r="P85" s="683" t="str">
        <f t="shared" si="4"/>
        <v>0</v>
      </c>
      <c r="Q85" s="684" t="str">
        <f t="shared" si="5"/>
        <v>0</v>
      </c>
      <c r="R85" s="491"/>
    </row>
    <row r="86" spans="1:18" x14ac:dyDescent="0.2">
      <c r="A86" s="506" t="s">
        <v>276</v>
      </c>
      <c r="B86" s="502" t="s">
        <v>779</v>
      </c>
      <c r="C86" s="507" t="s">
        <v>285</v>
      </c>
      <c r="D86" s="503" t="s">
        <v>287</v>
      </c>
      <c r="E86" s="348"/>
      <c r="F86" s="504" t="s">
        <v>109</v>
      </c>
      <c r="G86" s="512" t="s">
        <v>793</v>
      </c>
      <c r="H86" s="511" t="s">
        <v>792</v>
      </c>
      <c r="I86" s="510" t="s">
        <v>790</v>
      </c>
      <c r="J86" s="509" t="s">
        <v>650</v>
      </c>
      <c r="K86" s="516">
        <v>13</v>
      </c>
      <c r="L86" s="520"/>
      <c r="M86" s="685">
        <v>0</v>
      </c>
      <c r="N86" s="685">
        <v>0</v>
      </c>
      <c r="O86" s="682">
        <f t="shared" si="3"/>
        <v>0</v>
      </c>
      <c r="P86" s="683" t="str">
        <f t="shared" si="4"/>
        <v>0</v>
      </c>
      <c r="Q86" s="684" t="str">
        <f t="shared" si="5"/>
        <v>0</v>
      </c>
      <c r="R86" s="491"/>
    </row>
    <row r="87" spans="1:18" x14ac:dyDescent="0.2">
      <c r="A87" s="506" t="s">
        <v>276</v>
      </c>
      <c r="B87" s="502" t="s">
        <v>779</v>
      </c>
      <c r="C87" s="507" t="s">
        <v>285</v>
      </c>
      <c r="D87" s="503" t="s">
        <v>283</v>
      </c>
      <c r="E87" s="348"/>
      <c r="F87" s="504" t="s">
        <v>109</v>
      </c>
      <c r="G87" s="512" t="s">
        <v>793</v>
      </c>
      <c r="H87" s="511" t="s">
        <v>789</v>
      </c>
      <c r="I87" s="510" t="s">
        <v>790</v>
      </c>
      <c r="J87" s="509" t="s">
        <v>650</v>
      </c>
      <c r="K87" s="516">
        <v>0</v>
      </c>
      <c r="L87" s="520" t="s">
        <v>791</v>
      </c>
      <c r="M87" s="685">
        <v>5</v>
      </c>
      <c r="N87" s="685">
        <v>1</v>
      </c>
      <c r="O87" s="682">
        <f t="shared" si="3"/>
        <v>0.2</v>
      </c>
      <c r="P87" s="683" t="str">
        <f t="shared" si="4"/>
        <v>0</v>
      </c>
      <c r="Q87" s="684" t="str">
        <f t="shared" si="5"/>
        <v>0</v>
      </c>
      <c r="R87" s="491"/>
    </row>
    <row r="88" spans="1:18" x14ac:dyDescent="0.2">
      <c r="A88" s="506" t="s">
        <v>276</v>
      </c>
      <c r="B88" s="502" t="s">
        <v>779</v>
      </c>
      <c r="C88" s="507" t="s">
        <v>285</v>
      </c>
      <c r="D88" s="503" t="s">
        <v>284</v>
      </c>
      <c r="E88" s="348"/>
      <c r="F88" s="504" t="s">
        <v>109</v>
      </c>
      <c r="G88" s="512" t="s">
        <v>793</v>
      </c>
      <c r="H88" s="511" t="s">
        <v>789</v>
      </c>
      <c r="I88" s="510" t="s">
        <v>790</v>
      </c>
      <c r="J88" s="509" t="s">
        <v>650</v>
      </c>
      <c r="K88" s="516">
        <v>0</v>
      </c>
      <c r="L88" s="520" t="s">
        <v>791</v>
      </c>
      <c r="M88" s="685">
        <v>4</v>
      </c>
      <c r="N88" s="685">
        <v>0</v>
      </c>
      <c r="O88" s="682">
        <f t="shared" si="3"/>
        <v>0</v>
      </c>
      <c r="P88" s="683" t="str">
        <f t="shared" si="4"/>
        <v>0</v>
      </c>
      <c r="Q88" s="684" t="str">
        <f t="shared" si="5"/>
        <v>0</v>
      </c>
      <c r="R88" s="491"/>
    </row>
    <row r="89" spans="1:18" x14ac:dyDescent="0.2">
      <c r="A89" s="506" t="s">
        <v>276</v>
      </c>
      <c r="B89" s="502" t="s">
        <v>779</v>
      </c>
      <c r="C89" s="507" t="s">
        <v>285</v>
      </c>
      <c r="D89" s="503" t="s">
        <v>279</v>
      </c>
      <c r="E89" s="348"/>
      <c r="F89" s="504" t="s">
        <v>109</v>
      </c>
      <c r="G89" s="512" t="s">
        <v>793</v>
      </c>
      <c r="H89" s="511" t="s">
        <v>789</v>
      </c>
      <c r="I89" s="510" t="s">
        <v>790</v>
      </c>
      <c r="J89" s="509" t="s">
        <v>650</v>
      </c>
      <c r="K89" s="516">
        <v>0</v>
      </c>
      <c r="L89" s="520" t="s">
        <v>791</v>
      </c>
      <c r="M89" s="685">
        <v>1</v>
      </c>
      <c r="N89" s="685">
        <v>0</v>
      </c>
      <c r="O89" s="682">
        <f t="shared" si="3"/>
        <v>0</v>
      </c>
      <c r="P89" s="683" t="str">
        <f t="shared" si="4"/>
        <v>0</v>
      </c>
      <c r="Q89" s="684" t="str">
        <f t="shared" si="5"/>
        <v>0</v>
      </c>
      <c r="R89" s="491"/>
    </row>
    <row r="90" spans="1:18" x14ac:dyDescent="0.2">
      <c r="A90" s="506" t="s">
        <v>276</v>
      </c>
      <c r="B90" s="502" t="s">
        <v>779</v>
      </c>
      <c r="C90" s="507" t="s">
        <v>285</v>
      </c>
      <c r="D90" s="503" t="s">
        <v>281</v>
      </c>
      <c r="E90" s="348"/>
      <c r="F90" s="504" t="s">
        <v>109</v>
      </c>
      <c r="G90" s="512" t="s">
        <v>793</v>
      </c>
      <c r="H90" s="511" t="s">
        <v>789</v>
      </c>
      <c r="I90" s="510" t="s">
        <v>790</v>
      </c>
      <c r="J90" s="509" t="s">
        <v>650</v>
      </c>
      <c r="K90" s="516">
        <v>25</v>
      </c>
      <c r="L90" s="520"/>
      <c r="M90" s="685">
        <v>12</v>
      </c>
      <c r="N90" s="685">
        <v>4</v>
      </c>
      <c r="O90" s="682">
        <f t="shared" si="3"/>
        <v>0.33333333333333331</v>
      </c>
      <c r="P90" s="683">
        <f t="shared" si="4"/>
        <v>133.33333333333331</v>
      </c>
      <c r="Q90" s="684">
        <f t="shared" si="5"/>
        <v>1.3333333333333333</v>
      </c>
      <c r="R90" s="490"/>
    </row>
    <row r="91" spans="1:18" x14ac:dyDescent="0.2">
      <c r="A91" s="506" t="s">
        <v>276</v>
      </c>
      <c r="B91" s="502" t="s">
        <v>779</v>
      </c>
      <c r="C91" s="507" t="s">
        <v>285</v>
      </c>
      <c r="D91" s="503" t="s">
        <v>286</v>
      </c>
      <c r="E91" s="348"/>
      <c r="F91" s="504" t="s">
        <v>109</v>
      </c>
      <c r="G91" s="512" t="s">
        <v>793</v>
      </c>
      <c r="H91" s="511" t="s">
        <v>789</v>
      </c>
      <c r="I91" s="510" t="s">
        <v>790</v>
      </c>
      <c r="J91" s="509" t="s">
        <v>650</v>
      </c>
      <c r="K91" s="516">
        <v>10</v>
      </c>
      <c r="L91" s="520"/>
      <c r="M91" s="685">
        <v>20</v>
      </c>
      <c r="N91" s="685">
        <v>0</v>
      </c>
      <c r="O91" s="682">
        <f t="shared" si="3"/>
        <v>0</v>
      </c>
      <c r="P91" s="683">
        <f t="shared" si="4"/>
        <v>0</v>
      </c>
      <c r="Q91" s="684">
        <f t="shared" si="5"/>
        <v>0</v>
      </c>
      <c r="R91" s="490"/>
    </row>
    <row r="92" spans="1:18" x14ac:dyDescent="0.2">
      <c r="A92" s="506" t="s">
        <v>276</v>
      </c>
      <c r="B92" s="502" t="s">
        <v>779</v>
      </c>
      <c r="C92" s="507" t="s">
        <v>291</v>
      </c>
      <c r="D92" s="503" t="s">
        <v>283</v>
      </c>
      <c r="E92" s="348"/>
      <c r="F92" s="504" t="s">
        <v>109</v>
      </c>
      <c r="G92" s="512" t="s">
        <v>793</v>
      </c>
      <c r="H92" s="511" t="s">
        <v>789</v>
      </c>
      <c r="I92" s="510" t="s">
        <v>790</v>
      </c>
      <c r="J92" s="509" t="s">
        <v>650</v>
      </c>
      <c r="K92" s="516">
        <v>0</v>
      </c>
      <c r="L92" s="520" t="s">
        <v>791</v>
      </c>
      <c r="M92" s="685">
        <v>0</v>
      </c>
      <c r="N92" s="685">
        <v>0</v>
      </c>
      <c r="O92" s="682">
        <f t="shared" si="3"/>
        <v>0</v>
      </c>
      <c r="P92" s="683" t="str">
        <f t="shared" si="4"/>
        <v>0</v>
      </c>
      <c r="Q92" s="684" t="str">
        <f t="shared" si="5"/>
        <v>0</v>
      </c>
      <c r="R92" s="491"/>
    </row>
    <row r="93" spans="1:18" x14ac:dyDescent="0.2">
      <c r="A93" s="506" t="s">
        <v>276</v>
      </c>
      <c r="B93" s="502" t="s">
        <v>779</v>
      </c>
      <c r="C93" s="507" t="s">
        <v>291</v>
      </c>
      <c r="D93" s="503" t="s">
        <v>284</v>
      </c>
      <c r="E93" s="348"/>
      <c r="F93" s="504" t="s">
        <v>109</v>
      </c>
      <c r="G93" s="512" t="s">
        <v>793</v>
      </c>
      <c r="H93" s="511" t="s">
        <v>789</v>
      </c>
      <c r="I93" s="510" t="s">
        <v>790</v>
      </c>
      <c r="J93" s="509" t="s">
        <v>650</v>
      </c>
      <c r="K93" s="516">
        <v>0</v>
      </c>
      <c r="L93" s="520" t="s">
        <v>791</v>
      </c>
      <c r="M93" s="685">
        <v>0</v>
      </c>
      <c r="N93" s="685">
        <v>0</v>
      </c>
      <c r="O93" s="682">
        <f t="shared" si="3"/>
        <v>0</v>
      </c>
      <c r="P93" s="683" t="str">
        <f t="shared" si="4"/>
        <v>0</v>
      </c>
      <c r="Q93" s="684" t="str">
        <f t="shared" si="5"/>
        <v>0</v>
      </c>
      <c r="R93" s="491"/>
    </row>
    <row r="94" spans="1:18" x14ac:dyDescent="0.2">
      <c r="A94" s="506" t="s">
        <v>276</v>
      </c>
      <c r="B94" s="502" t="s">
        <v>779</v>
      </c>
      <c r="C94" s="507" t="s">
        <v>290</v>
      </c>
      <c r="D94" s="503" t="s">
        <v>287</v>
      </c>
      <c r="E94" s="348"/>
      <c r="F94" s="504" t="s">
        <v>109</v>
      </c>
      <c r="G94" s="512" t="s">
        <v>793</v>
      </c>
      <c r="H94" s="511" t="s">
        <v>792</v>
      </c>
      <c r="I94" s="510" t="s">
        <v>790</v>
      </c>
      <c r="J94" s="509" t="s">
        <v>650</v>
      </c>
      <c r="K94" s="516">
        <v>38</v>
      </c>
      <c r="L94" s="520"/>
      <c r="M94" s="685">
        <v>65</v>
      </c>
      <c r="N94" s="685">
        <v>9</v>
      </c>
      <c r="O94" s="682">
        <f t="shared" si="3"/>
        <v>0.13846153846153847</v>
      </c>
      <c r="P94" s="683">
        <f t="shared" si="4"/>
        <v>36.43724696356275</v>
      </c>
      <c r="Q94" s="684">
        <f t="shared" si="5"/>
        <v>0.36437246963562753</v>
      </c>
      <c r="R94" s="490"/>
    </row>
    <row r="95" spans="1:18" x14ac:dyDescent="0.2">
      <c r="A95" s="506" t="s">
        <v>276</v>
      </c>
      <c r="B95" s="502" t="s">
        <v>779</v>
      </c>
      <c r="C95" s="507" t="s">
        <v>290</v>
      </c>
      <c r="D95" s="503" t="s">
        <v>283</v>
      </c>
      <c r="E95" s="348"/>
      <c r="F95" s="504" t="s">
        <v>109</v>
      </c>
      <c r="G95" s="512" t="s">
        <v>793</v>
      </c>
      <c r="H95" s="511" t="s">
        <v>789</v>
      </c>
      <c r="I95" s="510" t="s">
        <v>790</v>
      </c>
      <c r="J95" s="509" t="s">
        <v>650</v>
      </c>
      <c r="K95" s="516">
        <v>0</v>
      </c>
      <c r="L95" s="520" t="s">
        <v>791</v>
      </c>
      <c r="M95" s="685">
        <v>5</v>
      </c>
      <c r="N95" s="685">
        <v>0</v>
      </c>
      <c r="O95" s="682">
        <f t="shared" si="3"/>
        <v>0</v>
      </c>
      <c r="P95" s="683" t="str">
        <f t="shared" si="4"/>
        <v>0</v>
      </c>
      <c r="Q95" s="684" t="str">
        <f t="shared" si="5"/>
        <v>0</v>
      </c>
      <c r="R95" s="491"/>
    </row>
    <row r="96" spans="1:18" x14ac:dyDescent="0.2">
      <c r="A96" s="506" t="s">
        <v>276</v>
      </c>
      <c r="B96" s="502" t="s">
        <v>779</v>
      </c>
      <c r="C96" s="507" t="s">
        <v>290</v>
      </c>
      <c r="D96" s="503" t="s">
        <v>284</v>
      </c>
      <c r="E96" s="348"/>
      <c r="F96" s="504" t="s">
        <v>109</v>
      </c>
      <c r="G96" s="512" t="s">
        <v>793</v>
      </c>
      <c r="H96" s="511" t="s">
        <v>789</v>
      </c>
      <c r="I96" s="510" t="s">
        <v>790</v>
      </c>
      <c r="J96" s="509" t="s">
        <v>650</v>
      </c>
      <c r="K96" s="516">
        <v>0</v>
      </c>
      <c r="L96" s="520" t="s">
        <v>791</v>
      </c>
      <c r="M96" s="685">
        <v>0</v>
      </c>
      <c r="N96" s="685">
        <v>0</v>
      </c>
      <c r="O96" s="682">
        <f t="shared" si="3"/>
        <v>0</v>
      </c>
      <c r="P96" s="683" t="str">
        <f t="shared" si="4"/>
        <v>0</v>
      </c>
      <c r="Q96" s="684" t="str">
        <f t="shared" si="5"/>
        <v>0</v>
      </c>
      <c r="R96" s="491"/>
    </row>
    <row r="97" spans="1:18" x14ac:dyDescent="0.2">
      <c r="A97" s="506" t="s">
        <v>276</v>
      </c>
      <c r="B97" s="502" t="s">
        <v>779</v>
      </c>
      <c r="C97" s="507" t="s">
        <v>289</v>
      </c>
      <c r="D97" s="503" t="s">
        <v>287</v>
      </c>
      <c r="E97" s="348"/>
      <c r="F97" s="504" t="s">
        <v>109</v>
      </c>
      <c r="G97" s="512" t="s">
        <v>793</v>
      </c>
      <c r="H97" s="511" t="s">
        <v>792</v>
      </c>
      <c r="I97" s="510" t="s">
        <v>790</v>
      </c>
      <c r="J97" s="509" t="s">
        <v>650</v>
      </c>
      <c r="K97" s="516">
        <v>5</v>
      </c>
      <c r="L97" s="520"/>
      <c r="M97" s="685">
        <v>733</v>
      </c>
      <c r="N97" s="685">
        <v>90</v>
      </c>
      <c r="O97" s="682">
        <f t="shared" si="3"/>
        <v>0.12278308321964529</v>
      </c>
      <c r="P97" s="683">
        <f t="shared" si="4"/>
        <v>245.56616643929061</v>
      </c>
      <c r="Q97" s="684">
        <f t="shared" si="5"/>
        <v>2.4556616643929061</v>
      </c>
      <c r="R97" s="490"/>
    </row>
    <row r="98" spans="1:18" x14ac:dyDescent="0.2">
      <c r="A98" s="506" t="s">
        <v>276</v>
      </c>
      <c r="B98" s="502" t="s">
        <v>779</v>
      </c>
      <c r="C98" s="507" t="s">
        <v>289</v>
      </c>
      <c r="D98" s="503" t="s">
        <v>283</v>
      </c>
      <c r="E98" s="348"/>
      <c r="F98" s="504" t="s">
        <v>109</v>
      </c>
      <c r="G98" s="512" t="s">
        <v>793</v>
      </c>
      <c r="H98" s="511" t="s">
        <v>789</v>
      </c>
      <c r="I98" s="510" t="s">
        <v>790</v>
      </c>
      <c r="J98" s="509" t="s">
        <v>650</v>
      </c>
      <c r="K98" s="516">
        <v>32</v>
      </c>
      <c r="L98" s="520"/>
      <c r="M98" s="685">
        <v>134</v>
      </c>
      <c r="N98" s="685">
        <v>38</v>
      </c>
      <c r="O98" s="682">
        <f t="shared" si="3"/>
        <v>0.28358208955223879</v>
      </c>
      <c r="P98" s="683">
        <f t="shared" si="4"/>
        <v>88.619402985074629</v>
      </c>
      <c r="Q98" s="684">
        <f t="shared" si="5"/>
        <v>0.88619402985074625</v>
      </c>
      <c r="R98" s="490"/>
    </row>
    <row r="99" spans="1:18" x14ac:dyDescent="0.2">
      <c r="A99" s="506" t="s">
        <v>276</v>
      </c>
      <c r="B99" s="502" t="s">
        <v>779</v>
      </c>
      <c r="C99" s="507" t="s">
        <v>289</v>
      </c>
      <c r="D99" s="503" t="s">
        <v>284</v>
      </c>
      <c r="E99" s="348"/>
      <c r="F99" s="504" t="s">
        <v>109</v>
      </c>
      <c r="G99" s="512" t="s">
        <v>793</v>
      </c>
      <c r="H99" s="511" t="s">
        <v>789</v>
      </c>
      <c r="I99" s="510" t="s">
        <v>790</v>
      </c>
      <c r="J99" s="509" t="s">
        <v>650</v>
      </c>
      <c r="K99" s="516">
        <v>33</v>
      </c>
      <c r="L99" s="520"/>
      <c r="M99" s="685">
        <v>29</v>
      </c>
      <c r="N99" s="685">
        <v>13</v>
      </c>
      <c r="O99" s="682">
        <f t="shared" si="3"/>
        <v>0.44827586206896552</v>
      </c>
      <c r="P99" s="683">
        <f t="shared" si="4"/>
        <v>135.84117032392896</v>
      </c>
      <c r="Q99" s="684">
        <f t="shared" si="5"/>
        <v>1.3584117032392895</v>
      </c>
      <c r="R99" s="490"/>
    </row>
    <row r="100" spans="1:18" x14ac:dyDescent="0.2">
      <c r="A100" s="506" t="s">
        <v>276</v>
      </c>
      <c r="B100" s="502" t="s">
        <v>779</v>
      </c>
      <c r="C100" s="507" t="s">
        <v>289</v>
      </c>
      <c r="D100" s="503" t="s">
        <v>281</v>
      </c>
      <c r="E100" s="348"/>
      <c r="F100" s="504" t="s">
        <v>109</v>
      </c>
      <c r="G100" s="512" t="s">
        <v>793</v>
      </c>
      <c r="H100" s="511" t="s">
        <v>789</v>
      </c>
      <c r="I100" s="510" t="s">
        <v>790</v>
      </c>
      <c r="J100" s="509" t="s">
        <v>650</v>
      </c>
      <c r="K100" s="516">
        <v>0</v>
      </c>
      <c r="L100" s="520" t="s">
        <v>791</v>
      </c>
      <c r="M100" s="685">
        <v>2</v>
      </c>
      <c r="N100" s="685">
        <v>0</v>
      </c>
      <c r="O100" s="682">
        <f t="shared" si="3"/>
        <v>0</v>
      </c>
      <c r="P100" s="683" t="str">
        <f t="shared" si="4"/>
        <v>0</v>
      </c>
      <c r="Q100" s="684" t="str">
        <f t="shared" si="5"/>
        <v>0</v>
      </c>
      <c r="R100" s="491"/>
    </row>
    <row r="101" spans="1:18" x14ac:dyDescent="0.2">
      <c r="A101" s="506" t="s">
        <v>276</v>
      </c>
      <c r="B101" s="502" t="s">
        <v>779</v>
      </c>
      <c r="C101" s="507" t="s">
        <v>97</v>
      </c>
      <c r="D101" s="503" t="s">
        <v>279</v>
      </c>
      <c r="E101" s="348"/>
      <c r="F101" s="504" t="s">
        <v>109</v>
      </c>
      <c r="G101" s="512" t="s">
        <v>794</v>
      </c>
      <c r="H101" s="511" t="s">
        <v>789</v>
      </c>
      <c r="I101" s="510" t="s">
        <v>790</v>
      </c>
      <c r="J101" s="509" t="s">
        <v>650</v>
      </c>
      <c r="K101" s="516">
        <v>33</v>
      </c>
      <c r="L101" s="520"/>
      <c r="M101" s="685">
        <v>6</v>
      </c>
      <c r="N101" s="685">
        <v>4</v>
      </c>
      <c r="O101" s="682">
        <f t="shared" si="3"/>
        <v>0.66666666666666663</v>
      </c>
      <c r="P101" s="683">
        <f t="shared" si="4"/>
        <v>202.02020202020202</v>
      </c>
      <c r="Q101" s="684">
        <f t="shared" si="5"/>
        <v>2.0202020202020203</v>
      </c>
      <c r="R101" s="491"/>
    </row>
    <row r="102" spans="1:18" x14ac:dyDescent="0.2">
      <c r="A102" s="506" t="s">
        <v>276</v>
      </c>
      <c r="B102" s="502" t="s">
        <v>779</v>
      </c>
      <c r="C102" s="507" t="s">
        <v>97</v>
      </c>
      <c r="D102" s="503" t="s">
        <v>281</v>
      </c>
      <c r="E102" s="348"/>
      <c r="F102" s="504" t="s">
        <v>109</v>
      </c>
      <c r="G102" s="512" t="s">
        <v>794</v>
      </c>
      <c r="H102" s="511" t="s">
        <v>789</v>
      </c>
      <c r="I102" s="510" t="s">
        <v>790</v>
      </c>
      <c r="J102" s="509" t="s">
        <v>650</v>
      </c>
      <c r="K102" s="516">
        <v>33</v>
      </c>
      <c r="L102" s="520" t="s">
        <v>791</v>
      </c>
      <c r="M102" s="685">
        <v>9</v>
      </c>
      <c r="N102" s="685">
        <v>7</v>
      </c>
      <c r="O102" s="682">
        <f t="shared" si="3"/>
        <v>0.77777777777777779</v>
      </c>
      <c r="P102" s="683">
        <f t="shared" si="4"/>
        <v>235.69023569023568</v>
      </c>
      <c r="Q102" s="684">
        <f t="shared" si="5"/>
        <v>2.3569023569023568</v>
      </c>
      <c r="R102" s="491"/>
    </row>
    <row r="103" spans="1:18" x14ac:dyDescent="0.2">
      <c r="A103" s="506" t="s">
        <v>276</v>
      </c>
      <c r="B103" s="502" t="s">
        <v>779</v>
      </c>
      <c r="C103" s="507" t="s">
        <v>282</v>
      </c>
      <c r="D103" s="503" t="s">
        <v>287</v>
      </c>
      <c r="E103" s="348"/>
      <c r="F103" s="504" t="s">
        <v>109</v>
      </c>
      <c r="G103" s="512" t="s">
        <v>794</v>
      </c>
      <c r="H103" s="511" t="s">
        <v>792</v>
      </c>
      <c r="I103" s="510" t="s">
        <v>790</v>
      </c>
      <c r="J103" s="509" t="s">
        <v>650</v>
      </c>
      <c r="K103" s="516">
        <v>5</v>
      </c>
      <c r="L103" s="520" t="s">
        <v>791</v>
      </c>
      <c r="M103" s="685">
        <v>68</v>
      </c>
      <c r="N103" s="687">
        <v>10</v>
      </c>
      <c r="O103" s="682">
        <f t="shared" si="3"/>
        <v>0.14705882352941177</v>
      </c>
      <c r="P103" s="683">
        <f t="shared" si="4"/>
        <v>294.11764705882348</v>
      </c>
      <c r="Q103" s="684">
        <f t="shared" si="5"/>
        <v>2.9411764705882351</v>
      </c>
      <c r="R103" s="491"/>
    </row>
    <row r="104" spans="1:18" x14ac:dyDescent="0.2">
      <c r="A104" s="506" t="s">
        <v>276</v>
      </c>
      <c r="B104" s="502" t="s">
        <v>779</v>
      </c>
      <c r="C104" s="507" t="s">
        <v>282</v>
      </c>
      <c r="D104" s="503" t="s">
        <v>283</v>
      </c>
      <c r="E104" s="348"/>
      <c r="F104" s="504" t="s">
        <v>109</v>
      </c>
      <c r="G104" s="512" t="s">
        <v>794</v>
      </c>
      <c r="H104" s="511" t="s">
        <v>789</v>
      </c>
      <c r="I104" s="510" t="s">
        <v>790</v>
      </c>
      <c r="J104" s="509" t="s">
        <v>650</v>
      </c>
      <c r="K104" s="516">
        <v>26</v>
      </c>
      <c r="L104" s="520"/>
      <c r="M104" s="685">
        <v>19</v>
      </c>
      <c r="N104" s="687">
        <v>2</v>
      </c>
      <c r="O104" s="682">
        <f t="shared" si="3"/>
        <v>0.10526315789473684</v>
      </c>
      <c r="P104" s="683">
        <f t="shared" si="4"/>
        <v>40.48582995951417</v>
      </c>
      <c r="Q104" s="684">
        <f t="shared" si="5"/>
        <v>0.40485829959514169</v>
      </c>
      <c r="R104" s="490"/>
    </row>
    <row r="105" spans="1:18" x14ac:dyDescent="0.2">
      <c r="A105" s="506" t="s">
        <v>276</v>
      </c>
      <c r="B105" s="502" t="s">
        <v>779</v>
      </c>
      <c r="C105" s="507" t="s">
        <v>282</v>
      </c>
      <c r="D105" s="503" t="s">
        <v>284</v>
      </c>
      <c r="E105" s="348"/>
      <c r="F105" s="504" t="s">
        <v>109</v>
      </c>
      <c r="G105" s="512" t="s">
        <v>794</v>
      </c>
      <c r="H105" s="511" t="s">
        <v>789</v>
      </c>
      <c r="I105" s="510" t="s">
        <v>790</v>
      </c>
      <c r="J105" s="509" t="s">
        <v>650</v>
      </c>
      <c r="K105" s="516">
        <v>16</v>
      </c>
      <c r="L105" s="520"/>
      <c r="M105" s="685">
        <v>43</v>
      </c>
      <c r="N105" s="687">
        <v>7</v>
      </c>
      <c r="O105" s="682">
        <f t="shared" si="3"/>
        <v>0.16279069767441862</v>
      </c>
      <c r="P105" s="683">
        <f t="shared" si="4"/>
        <v>101.74418604651163</v>
      </c>
      <c r="Q105" s="684">
        <f t="shared" si="5"/>
        <v>1.0174418604651163</v>
      </c>
      <c r="R105" s="490"/>
    </row>
    <row r="106" spans="1:18" x14ac:dyDescent="0.2">
      <c r="A106" s="506" t="s">
        <v>276</v>
      </c>
      <c r="B106" s="502" t="s">
        <v>779</v>
      </c>
      <c r="C106" s="507" t="s">
        <v>282</v>
      </c>
      <c r="D106" s="503" t="s">
        <v>279</v>
      </c>
      <c r="E106" s="348"/>
      <c r="F106" s="504" t="s">
        <v>109</v>
      </c>
      <c r="G106" s="512" t="s">
        <v>794</v>
      </c>
      <c r="H106" s="511" t="s">
        <v>789</v>
      </c>
      <c r="I106" s="510" t="s">
        <v>790</v>
      </c>
      <c r="J106" s="509" t="s">
        <v>650</v>
      </c>
      <c r="K106" s="516">
        <v>6</v>
      </c>
      <c r="L106" s="520"/>
      <c r="M106" s="685">
        <v>65</v>
      </c>
      <c r="N106" s="687">
        <v>7</v>
      </c>
      <c r="O106" s="682">
        <f t="shared" si="3"/>
        <v>0.1076923076923077</v>
      </c>
      <c r="P106" s="683">
        <f t="shared" si="4"/>
        <v>179.4871794871795</v>
      </c>
      <c r="Q106" s="684">
        <f t="shared" si="5"/>
        <v>1.7948717948717949</v>
      </c>
      <c r="R106" s="490"/>
    </row>
    <row r="107" spans="1:18" x14ac:dyDescent="0.2">
      <c r="A107" s="506" t="s">
        <v>276</v>
      </c>
      <c r="B107" s="502" t="s">
        <v>779</v>
      </c>
      <c r="C107" s="507" t="s">
        <v>282</v>
      </c>
      <c r="D107" s="503" t="s">
        <v>281</v>
      </c>
      <c r="E107" s="348"/>
      <c r="F107" s="504" t="s">
        <v>109</v>
      </c>
      <c r="G107" s="512" t="s">
        <v>794</v>
      </c>
      <c r="H107" s="511" t="s">
        <v>789</v>
      </c>
      <c r="I107" s="510" t="s">
        <v>790</v>
      </c>
      <c r="J107" s="509" t="s">
        <v>650</v>
      </c>
      <c r="K107" s="516">
        <v>8</v>
      </c>
      <c r="L107" s="520"/>
      <c r="M107" s="685">
        <v>48</v>
      </c>
      <c r="N107" s="687">
        <v>12</v>
      </c>
      <c r="O107" s="682">
        <f t="shared" si="3"/>
        <v>0.25</v>
      </c>
      <c r="P107" s="683">
        <f t="shared" si="4"/>
        <v>312.5</v>
      </c>
      <c r="Q107" s="684">
        <f t="shared" si="5"/>
        <v>3.125</v>
      </c>
      <c r="R107" s="490"/>
    </row>
    <row r="108" spans="1:18" x14ac:dyDescent="0.2">
      <c r="A108" s="506" t="s">
        <v>276</v>
      </c>
      <c r="B108" s="502" t="s">
        <v>779</v>
      </c>
      <c r="C108" s="507" t="s">
        <v>288</v>
      </c>
      <c r="D108" s="503" t="s">
        <v>287</v>
      </c>
      <c r="E108" s="348"/>
      <c r="F108" s="504" t="s">
        <v>109</v>
      </c>
      <c r="G108" s="512" t="s">
        <v>794</v>
      </c>
      <c r="H108" s="511" t="s">
        <v>792</v>
      </c>
      <c r="I108" s="510" t="s">
        <v>790</v>
      </c>
      <c r="J108" s="509" t="s">
        <v>650</v>
      </c>
      <c r="K108" s="516">
        <v>28.999999999999996</v>
      </c>
      <c r="L108" s="520"/>
      <c r="M108" s="685">
        <v>299</v>
      </c>
      <c r="N108" s="687">
        <v>36</v>
      </c>
      <c r="O108" s="682">
        <f t="shared" si="3"/>
        <v>0.12040133779264214</v>
      </c>
      <c r="P108" s="683">
        <f t="shared" si="4"/>
        <v>41.517702687117982</v>
      </c>
      <c r="Q108" s="684">
        <f t="shared" si="5"/>
        <v>0.4151770268711798</v>
      </c>
      <c r="R108" s="490"/>
    </row>
    <row r="109" spans="1:18" x14ac:dyDescent="0.2">
      <c r="A109" s="506" t="s">
        <v>276</v>
      </c>
      <c r="B109" s="502" t="s">
        <v>779</v>
      </c>
      <c r="C109" s="507" t="s">
        <v>288</v>
      </c>
      <c r="D109" s="503" t="s">
        <v>283</v>
      </c>
      <c r="E109" s="348"/>
      <c r="F109" s="504" t="s">
        <v>109</v>
      </c>
      <c r="G109" s="512" t="s">
        <v>794</v>
      </c>
      <c r="H109" s="511" t="s">
        <v>789</v>
      </c>
      <c r="I109" s="510" t="s">
        <v>790</v>
      </c>
      <c r="J109" s="509" t="s">
        <v>650</v>
      </c>
      <c r="K109" s="516">
        <v>8</v>
      </c>
      <c r="L109" s="520"/>
      <c r="M109" s="685">
        <v>64</v>
      </c>
      <c r="N109" s="687">
        <v>6</v>
      </c>
      <c r="O109" s="682">
        <f t="shared" si="3"/>
        <v>9.375E-2</v>
      </c>
      <c r="P109" s="683">
        <f t="shared" si="4"/>
        <v>117.1875</v>
      </c>
      <c r="Q109" s="684">
        <f t="shared" si="5"/>
        <v>1.171875</v>
      </c>
      <c r="R109" s="490"/>
    </row>
    <row r="110" spans="1:18" x14ac:dyDescent="0.2">
      <c r="A110" s="506" t="s">
        <v>276</v>
      </c>
      <c r="B110" s="502" t="s">
        <v>779</v>
      </c>
      <c r="C110" s="507" t="s">
        <v>288</v>
      </c>
      <c r="D110" s="503" t="s">
        <v>284</v>
      </c>
      <c r="E110" s="348"/>
      <c r="F110" s="504" t="s">
        <v>109</v>
      </c>
      <c r="G110" s="512" t="s">
        <v>794</v>
      </c>
      <c r="H110" s="511" t="s">
        <v>789</v>
      </c>
      <c r="I110" s="510" t="s">
        <v>790</v>
      </c>
      <c r="J110" s="509" t="s">
        <v>650</v>
      </c>
      <c r="K110" s="516">
        <v>8</v>
      </c>
      <c r="L110" s="520" t="s">
        <v>791</v>
      </c>
      <c r="M110" s="685">
        <v>10</v>
      </c>
      <c r="N110" s="687">
        <v>0</v>
      </c>
      <c r="O110" s="682">
        <f t="shared" si="3"/>
        <v>0</v>
      </c>
      <c r="P110" s="683">
        <f t="shared" si="4"/>
        <v>0</v>
      </c>
      <c r="Q110" s="684">
        <f t="shared" si="5"/>
        <v>0</v>
      </c>
      <c r="R110" s="491"/>
    </row>
    <row r="111" spans="1:18" x14ac:dyDescent="0.2">
      <c r="A111" s="506" t="s">
        <v>276</v>
      </c>
      <c r="B111" s="502" t="s">
        <v>779</v>
      </c>
      <c r="C111" s="507" t="s">
        <v>288</v>
      </c>
      <c r="D111" s="503" t="s">
        <v>279</v>
      </c>
      <c r="E111" s="348"/>
      <c r="F111" s="504" t="s">
        <v>109</v>
      </c>
      <c r="G111" s="512" t="s">
        <v>794</v>
      </c>
      <c r="H111" s="511" t="s">
        <v>789</v>
      </c>
      <c r="I111" s="510" t="s">
        <v>790</v>
      </c>
      <c r="J111" s="509" t="s">
        <v>650</v>
      </c>
      <c r="K111" s="516">
        <v>0</v>
      </c>
      <c r="L111" s="520" t="s">
        <v>791</v>
      </c>
      <c r="M111" s="685">
        <v>2</v>
      </c>
      <c r="N111" s="687">
        <v>1</v>
      </c>
      <c r="O111" s="682">
        <f t="shared" si="3"/>
        <v>0.5</v>
      </c>
      <c r="P111" s="683" t="str">
        <f t="shared" si="4"/>
        <v>0</v>
      </c>
      <c r="Q111" s="684" t="str">
        <f t="shared" si="5"/>
        <v>0</v>
      </c>
      <c r="R111" s="491"/>
    </row>
    <row r="112" spans="1:18" x14ac:dyDescent="0.2">
      <c r="A112" s="506" t="s">
        <v>276</v>
      </c>
      <c r="B112" s="502" t="s">
        <v>779</v>
      </c>
      <c r="C112" s="507" t="s">
        <v>288</v>
      </c>
      <c r="D112" s="503" t="s">
        <v>281</v>
      </c>
      <c r="E112" s="348"/>
      <c r="F112" s="504" t="s">
        <v>109</v>
      </c>
      <c r="G112" s="512" t="s">
        <v>794</v>
      </c>
      <c r="H112" s="511" t="s">
        <v>789</v>
      </c>
      <c r="I112" s="510" t="s">
        <v>790</v>
      </c>
      <c r="J112" s="509" t="s">
        <v>650</v>
      </c>
      <c r="K112" s="516">
        <v>8</v>
      </c>
      <c r="L112" s="520" t="s">
        <v>791</v>
      </c>
      <c r="M112" s="685">
        <v>17</v>
      </c>
      <c r="N112" s="687">
        <v>3</v>
      </c>
      <c r="O112" s="682">
        <f t="shared" si="3"/>
        <v>0.17647058823529413</v>
      </c>
      <c r="P112" s="683">
        <f t="shared" si="4"/>
        <v>220.58823529411762</v>
      </c>
      <c r="Q112" s="684">
        <f t="shared" si="5"/>
        <v>2.2058823529411762</v>
      </c>
      <c r="R112" s="491"/>
    </row>
    <row r="113" spans="1:18" x14ac:dyDescent="0.2">
      <c r="A113" s="506" t="s">
        <v>276</v>
      </c>
      <c r="B113" s="502" t="s">
        <v>779</v>
      </c>
      <c r="C113" s="507" t="s">
        <v>99</v>
      </c>
      <c r="D113" s="503" t="s">
        <v>287</v>
      </c>
      <c r="E113" s="348"/>
      <c r="F113" s="504" t="s">
        <v>109</v>
      </c>
      <c r="G113" s="512" t="s">
        <v>794</v>
      </c>
      <c r="H113" s="511" t="s">
        <v>792</v>
      </c>
      <c r="I113" s="510" t="s">
        <v>790</v>
      </c>
      <c r="J113" s="509" t="s">
        <v>650</v>
      </c>
      <c r="K113" s="516">
        <v>17</v>
      </c>
      <c r="L113" s="520"/>
      <c r="M113" s="685">
        <v>326</v>
      </c>
      <c r="N113" s="687">
        <v>49</v>
      </c>
      <c r="O113" s="682">
        <f t="shared" si="3"/>
        <v>0.15030674846625766</v>
      </c>
      <c r="P113" s="683">
        <f t="shared" si="4"/>
        <v>88.415734391916274</v>
      </c>
      <c r="Q113" s="684">
        <f t="shared" si="5"/>
        <v>0.88415734391916267</v>
      </c>
      <c r="R113" s="490"/>
    </row>
    <row r="114" spans="1:18" x14ac:dyDescent="0.2">
      <c r="A114" s="506" t="s">
        <v>276</v>
      </c>
      <c r="B114" s="502" t="s">
        <v>779</v>
      </c>
      <c r="C114" s="507" t="s">
        <v>99</v>
      </c>
      <c r="D114" s="503" t="s">
        <v>283</v>
      </c>
      <c r="E114" s="348"/>
      <c r="F114" s="504" t="s">
        <v>109</v>
      </c>
      <c r="G114" s="512" t="s">
        <v>794</v>
      </c>
      <c r="H114" s="511" t="s">
        <v>789</v>
      </c>
      <c r="I114" s="510" t="s">
        <v>790</v>
      </c>
      <c r="J114" s="509" t="s">
        <v>650</v>
      </c>
      <c r="K114" s="516">
        <v>36</v>
      </c>
      <c r="L114" s="520"/>
      <c r="M114" s="685">
        <v>17</v>
      </c>
      <c r="N114" s="687">
        <v>4</v>
      </c>
      <c r="O114" s="682">
        <f t="shared" si="3"/>
        <v>0.23529411764705882</v>
      </c>
      <c r="P114" s="683">
        <f t="shared" si="4"/>
        <v>65.359477124183002</v>
      </c>
      <c r="Q114" s="684">
        <f t="shared" si="5"/>
        <v>0.65359477124183007</v>
      </c>
      <c r="R114" s="490"/>
    </row>
    <row r="115" spans="1:18" x14ac:dyDescent="0.2">
      <c r="A115" s="506" t="s">
        <v>276</v>
      </c>
      <c r="B115" s="502" t="s">
        <v>779</v>
      </c>
      <c r="C115" s="507" t="s">
        <v>99</v>
      </c>
      <c r="D115" s="503" t="s">
        <v>284</v>
      </c>
      <c r="E115" s="348"/>
      <c r="F115" s="504" t="s">
        <v>109</v>
      </c>
      <c r="G115" s="512" t="s">
        <v>794</v>
      </c>
      <c r="H115" s="511" t="s">
        <v>789</v>
      </c>
      <c r="I115" s="510" t="s">
        <v>790</v>
      </c>
      <c r="J115" s="509" t="s">
        <v>650</v>
      </c>
      <c r="K115" s="516">
        <v>80</v>
      </c>
      <c r="L115" s="520"/>
      <c r="M115" s="685">
        <v>8</v>
      </c>
      <c r="N115" s="687">
        <v>2</v>
      </c>
      <c r="O115" s="682">
        <f t="shared" si="3"/>
        <v>0.25</v>
      </c>
      <c r="P115" s="683">
        <f t="shared" si="4"/>
        <v>31.25</v>
      </c>
      <c r="Q115" s="684">
        <f t="shared" si="5"/>
        <v>0.3125</v>
      </c>
      <c r="R115" s="490"/>
    </row>
    <row r="116" spans="1:18" x14ac:dyDescent="0.2">
      <c r="A116" s="506" t="s">
        <v>276</v>
      </c>
      <c r="B116" s="502" t="s">
        <v>779</v>
      </c>
      <c r="C116" s="507" t="s">
        <v>99</v>
      </c>
      <c r="D116" s="503" t="s">
        <v>279</v>
      </c>
      <c r="E116" s="348"/>
      <c r="F116" s="504" t="s">
        <v>109</v>
      </c>
      <c r="G116" s="512" t="s">
        <v>794</v>
      </c>
      <c r="H116" s="511" t="s">
        <v>789</v>
      </c>
      <c r="I116" s="510" t="s">
        <v>790</v>
      </c>
      <c r="J116" s="509" t="s">
        <v>650</v>
      </c>
      <c r="K116" s="516">
        <v>0</v>
      </c>
      <c r="L116" s="520" t="s">
        <v>791</v>
      </c>
      <c r="M116" s="685">
        <v>5</v>
      </c>
      <c r="N116" s="687">
        <v>2</v>
      </c>
      <c r="O116" s="682">
        <f t="shared" si="3"/>
        <v>0.4</v>
      </c>
      <c r="P116" s="683" t="str">
        <f t="shared" si="4"/>
        <v>0</v>
      </c>
      <c r="Q116" s="684" t="str">
        <f t="shared" si="5"/>
        <v>0</v>
      </c>
      <c r="R116" s="491"/>
    </row>
    <row r="117" spans="1:18" x14ac:dyDescent="0.2">
      <c r="A117" s="506" t="s">
        <v>276</v>
      </c>
      <c r="B117" s="502" t="s">
        <v>779</v>
      </c>
      <c r="C117" s="507" t="s">
        <v>99</v>
      </c>
      <c r="D117" s="503" t="s">
        <v>281</v>
      </c>
      <c r="E117" s="348"/>
      <c r="F117" s="504" t="s">
        <v>109</v>
      </c>
      <c r="G117" s="512" t="s">
        <v>794</v>
      </c>
      <c r="H117" s="511" t="s">
        <v>789</v>
      </c>
      <c r="I117" s="510" t="s">
        <v>790</v>
      </c>
      <c r="J117" s="509" t="s">
        <v>650</v>
      </c>
      <c r="K117" s="516">
        <v>0</v>
      </c>
      <c r="L117" s="520" t="s">
        <v>791</v>
      </c>
      <c r="M117" s="685">
        <v>1</v>
      </c>
      <c r="N117" s="687">
        <v>0</v>
      </c>
      <c r="O117" s="682">
        <f t="shared" si="3"/>
        <v>0</v>
      </c>
      <c r="P117" s="683" t="str">
        <f t="shared" si="4"/>
        <v>0</v>
      </c>
      <c r="Q117" s="684" t="str">
        <f t="shared" si="5"/>
        <v>0</v>
      </c>
      <c r="R117" s="491"/>
    </row>
    <row r="118" spans="1:18" x14ac:dyDescent="0.2">
      <c r="A118" s="506" t="s">
        <v>276</v>
      </c>
      <c r="B118" s="502" t="s">
        <v>779</v>
      </c>
      <c r="C118" s="507" t="s">
        <v>285</v>
      </c>
      <c r="D118" s="503" t="s">
        <v>287</v>
      </c>
      <c r="E118" s="348"/>
      <c r="F118" s="504" t="s">
        <v>109</v>
      </c>
      <c r="G118" s="512" t="s">
        <v>794</v>
      </c>
      <c r="H118" s="511" t="s">
        <v>792</v>
      </c>
      <c r="I118" s="510" t="s">
        <v>790</v>
      </c>
      <c r="J118" s="509" t="s">
        <v>650</v>
      </c>
      <c r="K118" s="516">
        <v>13</v>
      </c>
      <c r="L118" s="520"/>
      <c r="M118" s="685">
        <v>0</v>
      </c>
      <c r="N118" s="687">
        <v>0</v>
      </c>
      <c r="O118" s="682">
        <f t="shared" si="3"/>
        <v>0</v>
      </c>
      <c r="P118" s="683" t="str">
        <f t="shared" si="4"/>
        <v>0</v>
      </c>
      <c r="Q118" s="684" t="str">
        <f t="shared" si="5"/>
        <v>0</v>
      </c>
      <c r="R118" s="491"/>
    </row>
    <row r="119" spans="1:18" x14ac:dyDescent="0.2">
      <c r="A119" s="506" t="s">
        <v>276</v>
      </c>
      <c r="B119" s="502" t="s">
        <v>779</v>
      </c>
      <c r="C119" s="507" t="s">
        <v>285</v>
      </c>
      <c r="D119" s="503" t="s">
        <v>283</v>
      </c>
      <c r="E119" s="348"/>
      <c r="F119" s="504" t="s">
        <v>109</v>
      </c>
      <c r="G119" s="512" t="s">
        <v>794</v>
      </c>
      <c r="H119" s="511" t="s">
        <v>789</v>
      </c>
      <c r="I119" s="510" t="s">
        <v>790</v>
      </c>
      <c r="J119" s="509" t="s">
        <v>650</v>
      </c>
      <c r="K119" s="516">
        <v>0</v>
      </c>
      <c r="L119" s="520" t="s">
        <v>791</v>
      </c>
      <c r="M119" s="685">
        <v>5</v>
      </c>
      <c r="N119" s="687">
        <v>1</v>
      </c>
      <c r="O119" s="682">
        <f t="shared" si="3"/>
        <v>0.2</v>
      </c>
      <c r="P119" s="683" t="str">
        <f t="shared" si="4"/>
        <v>0</v>
      </c>
      <c r="Q119" s="684" t="str">
        <f t="shared" si="5"/>
        <v>0</v>
      </c>
      <c r="R119" s="491"/>
    </row>
    <row r="120" spans="1:18" x14ac:dyDescent="0.2">
      <c r="A120" s="506" t="s">
        <v>276</v>
      </c>
      <c r="B120" s="502" t="s">
        <v>779</v>
      </c>
      <c r="C120" s="507" t="s">
        <v>285</v>
      </c>
      <c r="D120" s="503" t="s">
        <v>284</v>
      </c>
      <c r="E120" s="348"/>
      <c r="F120" s="504" t="s">
        <v>109</v>
      </c>
      <c r="G120" s="512" t="s">
        <v>794</v>
      </c>
      <c r="H120" s="511" t="s">
        <v>789</v>
      </c>
      <c r="I120" s="510" t="s">
        <v>790</v>
      </c>
      <c r="J120" s="509" t="s">
        <v>650</v>
      </c>
      <c r="K120" s="516">
        <v>0</v>
      </c>
      <c r="L120" s="520" t="s">
        <v>791</v>
      </c>
      <c r="M120" s="685">
        <v>4</v>
      </c>
      <c r="N120" s="687">
        <v>0</v>
      </c>
      <c r="O120" s="682">
        <f t="shared" si="3"/>
        <v>0</v>
      </c>
      <c r="P120" s="683" t="str">
        <f t="shared" si="4"/>
        <v>0</v>
      </c>
      <c r="Q120" s="684" t="str">
        <f t="shared" si="5"/>
        <v>0</v>
      </c>
      <c r="R120" s="491"/>
    </row>
    <row r="121" spans="1:18" x14ac:dyDescent="0.2">
      <c r="A121" s="506" t="s">
        <v>276</v>
      </c>
      <c r="B121" s="502" t="s">
        <v>779</v>
      </c>
      <c r="C121" s="507" t="s">
        <v>285</v>
      </c>
      <c r="D121" s="503" t="s">
        <v>279</v>
      </c>
      <c r="E121" s="348"/>
      <c r="F121" s="504" t="s">
        <v>109</v>
      </c>
      <c r="G121" s="512" t="s">
        <v>794</v>
      </c>
      <c r="H121" s="511" t="s">
        <v>789</v>
      </c>
      <c r="I121" s="510" t="s">
        <v>790</v>
      </c>
      <c r="J121" s="509" t="s">
        <v>650</v>
      </c>
      <c r="K121" s="516">
        <v>0</v>
      </c>
      <c r="L121" s="520" t="s">
        <v>791</v>
      </c>
      <c r="M121" s="685">
        <v>1</v>
      </c>
      <c r="N121" s="687">
        <v>0</v>
      </c>
      <c r="O121" s="682">
        <f t="shared" si="3"/>
        <v>0</v>
      </c>
      <c r="P121" s="683" t="str">
        <f t="shared" si="4"/>
        <v>0</v>
      </c>
      <c r="Q121" s="684" t="str">
        <f t="shared" si="5"/>
        <v>0</v>
      </c>
      <c r="R121" s="491"/>
    </row>
    <row r="122" spans="1:18" x14ac:dyDescent="0.2">
      <c r="A122" s="506" t="s">
        <v>276</v>
      </c>
      <c r="B122" s="502" t="s">
        <v>779</v>
      </c>
      <c r="C122" s="507" t="s">
        <v>285</v>
      </c>
      <c r="D122" s="503" t="s">
        <v>281</v>
      </c>
      <c r="E122" s="348"/>
      <c r="F122" s="504" t="s">
        <v>109</v>
      </c>
      <c r="G122" s="512" t="s">
        <v>794</v>
      </c>
      <c r="H122" s="511" t="s">
        <v>789</v>
      </c>
      <c r="I122" s="510" t="s">
        <v>790</v>
      </c>
      <c r="J122" s="509" t="s">
        <v>650</v>
      </c>
      <c r="K122" s="516">
        <v>25</v>
      </c>
      <c r="L122" s="520"/>
      <c r="M122" s="685">
        <v>12</v>
      </c>
      <c r="N122" s="687">
        <v>4</v>
      </c>
      <c r="O122" s="682">
        <f t="shared" si="3"/>
        <v>0.33333333333333331</v>
      </c>
      <c r="P122" s="683">
        <f t="shared" si="4"/>
        <v>133.33333333333331</v>
      </c>
      <c r="Q122" s="684">
        <f t="shared" si="5"/>
        <v>1.3333333333333333</v>
      </c>
      <c r="R122" s="490"/>
    </row>
    <row r="123" spans="1:18" x14ac:dyDescent="0.2">
      <c r="A123" s="506" t="s">
        <v>276</v>
      </c>
      <c r="B123" s="502" t="s">
        <v>779</v>
      </c>
      <c r="C123" s="507" t="s">
        <v>285</v>
      </c>
      <c r="D123" s="503" t="s">
        <v>286</v>
      </c>
      <c r="E123" s="348"/>
      <c r="F123" s="504" t="s">
        <v>109</v>
      </c>
      <c r="G123" s="512" t="s">
        <v>794</v>
      </c>
      <c r="H123" s="511" t="s">
        <v>789</v>
      </c>
      <c r="I123" s="510" t="s">
        <v>790</v>
      </c>
      <c r="J123" s="509" t="s">
        <v>650</v>
      </c>
      <c r="K123" s="516">
        <v>10</v>
      </c>
      <c r="L123" s="520"/>
      <c r="M123" s="685">
        <v>20</v>
      </c>
      <c r="N123" s="687">
        <v>0</v>
      </c>
      <c r="O123" s="682">
        <f t="shared" si="3"/>
        <v>0</v>
      </c>
      <c r="P123" s="683">
        <f t="shared" si="4"/>
        <v>0</v>
      </c>
      <c r="Q123" s="684">
        <f t="shared" si="5"/>
        <v>0</v>
      </c>
      <c r="R123" s="490"/>
    </row>
    <row r="124" spans="1:18" x14ac:dyDescent="0.2">
      <c r="A124" s="506" t="s">
        <v>276</v>
      </c>
      <c r="B124" s="502" t="s">
        <v>779</v>
      </c>
      <c r="C124" s="507" t="s">
        <v>291</v>
      </c>
      <c r="D124" s="503" t="s">
        <v>283</v>
      </c>
      <c r="E124" s="348"/>
      <c r="F124" s="504" t="s">
        <v>109</v>
      </c>
      <c r="G124" s="512" t="s">
        <v>794</v>
      </c>
      <c r="H124" s="511" t="s">
        <v>789</v>
      </c>
      <c r="I124" s="510" t="s">
        <v>790</v>
      </c>
      <c r="J124" s="509" t="s">
        <v>650</v>
      </c>
      <c r="K124" s="516">
        <v>0</v>
      </c>
      <c r="L124" s="520" t="s">
        <v>791</v>
      </c>
      <c r="M124" s="685">
        <v>0</v>
      </c>
      <c r="N124" s="687">
        <v>0</v>
      </c>
      <c r="O124" s="682">
        <f t="shared" si="3"/>
        <v>0</v>
      </c>
      <c r="P124" s="683" t="str">
        <f t="shared" si="4"/>
        <v>0</v>
      </c>
      <c r="Q124" s="684" t="str">
        <f t="shared" si="5"/>
        <v>0</v>
      </c>
      <c r="R124" s="491"/>
    </row>
    <row r="125" spans="1:18" x14ac:dyDescent="0.2">
      <c r="A125" s="506" t="s">
        <v>276</v>
      </c>
      <c r="B125" s="502" t="s">
        <v>779</v>
      </c>
      <c r="C125" s="507" t="s">
        <v>291</v>
      </c>
      <c r="D125" s="503" t="s">
        <v>284</v>
      </c>
      <c r="E125" s="348"/>
      <c r="F125" s="504" t="s">
        <v>109</v>
      </c>
      <c r="G125" s="512" t="s">
        <v>794</v>
      </c>
      <c r="H125" s="511" t="s">
        <v>789</v>
      </c>
      <c r="I125" s="510" t="s">
        <v>790</v>
      </c>
      <c r="J125" s="509" t="s">
        <v>650</v>
      </c>
      <c r="K125" s="516">
        <v>0</v>
      </c>
      <c r="L125" s="520" t="s">
        <v>791</v>
      </c>
      <c r="M125" s="685">
        <v>0</v>
      </c>
      <c r="N125" s="687">
        <v>0</v>
      </c>
      <c r="O125" s="682">
        <f t="shared" si="3"/>
        <v>0</v>
      </c>
      <c r="P125" s="683" t="str">
        <f t="shared" si="4"/>
        <v>0</v>
      </c>
      <c r="Q125" s="684" t="str">
        <f t="shared" si="5"/>
        <v>0</v>
      </c>
      <c r="R125" s="491"/>
    </row>
    <row r="126" spans="1:18" x14ac:dyDescent="0.2">
      <c r="A126" s="506" t="s">
        <v>276</v>
      </c>
      <c r="B126" s="502" t="s">
        <v>779</v>
      </c>
      <c r="C126" s="507" t="s">
        <v>290</v>
      </c>
      <c r="D126" s="503" t="s">
        <v>287</v>
      </c>
      <c r="E126" s="348"/>
      <c r="F126" s="504" t="s">
        <v>109</v>
      </c>
      <c r="G126" s="512" t="s">
        <v>794</v>
      </c>
      <c r="H126" s="511" t="s">
        <v>792</v>
      </c>
      <c r="I126" s="510" t="s">
        <v>790</v>
      </c>
      <c r="J126" s="509" t="s">
        <v>650</v>
      </c>
      <c r="K126" s="516">
        <v>38</v>
      </c>
      <c r="L126" s="520"/>
      <c r="M126" s="685">
        <v>65</v>
      </c>
      <c r="N126" s="687">
        <v>9</v>
      </c>
      <c r="O126" s="682">
        <f t="shared" si="3"/>
        <v>0.13846153846153847</v>
      </c>
      <c r="P126" s="683">
        <f t="shared" si="4"/>
        <v>36.43724696356275</v>
      </c>
      <c r="Q126" s="684">
        <f t="shared" si="5"/>
        <v>0.36437246963562753</v>
      </c>
      <c r="R126" s="490"/>
    </row>
    <row r="127" spans="1:18" x14ac:dyDescent="0.2">
      <c r="A127" s="506" t="s">
        <v>276</v>
      </c>
      <c r="B127" s="502" t="s">
        <v>779</v>
      </c>
      <c r="C127" s="507" t="s">
        <v>290</v>
      </c>
      <c r="D127" s="503" t="s">
        <v>283</v>
      </c>
      <c r="E127" s="348"/>
      <c r="F127" s="504" t="s">
        <v>109</v>
      </c>
      <c r="G127" s="512" t="s">
        <v>794</v>
      </c>
      <c r="H127" s="511" t="s">
        <v>789</v>
      </c>
      <c r="I127" s="510" t="s">
        <v>790</v>
      </c>
      <c r="J127" s="509" t="s">
        <v>650</v>
      </c>
      <c r="K127" s="516">
        <v>0</v>
      </c>
      <c r="L127" s="520" t="s">
        <v>791</v>
      </c>
      <c r="M127" s="685">
        <v>5</v>
      </c>
      <c r="N127" s="687">
        <v>0</v>
      </c>
      <c r="O127" s="682">
        <f t="shared" si="3"/>
        <v>0</v>
      </c>
      <c r="P127" s="683" t="str">
        <f t="shared" si="4"/>
        <v>0</v>
      </c>
      <c r="Q127" s="684" t="str">
        <f t="shared" si="5"/>
        <v>0</v>
      </c>
      <c r="R127" s="491"/>
    </row>
    <row r="128" spans="1:18" x14ac:dyDescent="0.2">
      <c r="A128" s="506" t="s">
        <v>276</v>
      </c>
      <c r="B128" s="502" t="s">
        <v>779</v>
      </c>
      <c r="C128" s="507" t="s">
        <v>290</v>
      </c>
      <c r="D128" s="503" t="s">
        <v>284</v>
      </c>
      <c r="E128" s="348"/>
      <c r="F128" s="504" t="s">
        <v>109</v>
      </c>
      <c r="G128" s="512" t="s">
        <v>794</v>
      </c>
      <c r="H128" s="511" t="s">
        <v>789</v>
      </c>
      <c r="I128" s="510" t="s">
        <v>790</v>
      </c>
      <c r="J128" s="509" t="s">
        <v>650</v>
      </c>
      <c r="K128" s="516">
        <v>0</v>
      </c>
      <c r="L128" s="520" t="s">
        <v>791</v>
      </c>
      <c r="M128" s="685">
        <v>0</v>
      </c>
      <c r="N128" s="687">
        <v>0</v>
      </c>
      <c r="O128" s="682">
        <f t="shared" si="3"/>
        <v>0</v>
      </c>
      <c r="P128" s="683" t="str">
        <f t="shared" si="4"/>
        <v>0</v>
      </c>
      <c r="Q128" s="684" t="str">
        <f t="shared" si="5"/>
        <v>0</v>
      </c>
      <c r="R128" s="491"/>
    </row>
    <row r="129" spans="1:18" x14ac:dyDescent="0.2">
      <c r="A129" s="506" t="s">
        <v>276</v>
      </c>
      <c r="B129" s="502" t="s">
        <v>779</v>
      </c>
      <c r="C129" s="507" t="s">
        <v>289</v>
      </c>
      <c r="D129" s="503" t="s">
        <v>287</v>
      </c>
      <c r="E129" s="348"/>
      <c r="F129" s="504" t="s">
        <v>109</v>
      </c>
      <c r="G129" s="512" t="s">
        <v>794</v>
      </c>
      <c r="H129" s="511" t="s">
        <v>792</v>
      </c>
      <c r="I129" s="510" t="s">
        <v>790</v>
      </c>
      <c r="J129" s="509" t="s">
        <v>650</v>
      </c>
      <c r="K129" s="516">
        <v>5</v>
      </c>
      <c r="L129" s="520"/>
      <c r="M129" s="685">
        <v>733</v>
      </c>
      <c r="N129" s="687">
        <v>90</v>
      </c>
      <c r="O129" s="682">
        <f t="shared" si="3"/>
        <v>0.12278308321964529</v>
      </c>
      <c r="P129" s="683">
        <f t="shared" si="4"/>
        <v>245.56616643929061</v>
      </c>
      <c r="Q129" s="684">
        <f t="shared" si="5"/>
        <v>2.4556616643929061</v>
      </c>
      <c r="R129" s="490"/>
    </row>
    <row r="130" spans="1:18" x14ac:dyDescent="0.2">
      <c r="A130" s="506" t="s">
        <v>276</v>
      </c>
      <c r="B130" s="502" t="s">
        <v>779</v>
      </c>
      <c r="C130" s="507" t="s">
        <v>289</v>
      </c>
      <c r="D130" s="503" t="s">
        <v>283</v>
      </c>
      <c r="E130" s="348"/>
      <c r="F130" s="504" t="s">
        <v>109</v>
      </c>
      <c r="G130" s="512" t="s">
        <v>794</v>
      </c>
      <c r="H130" s="511" t="s">
        <v>789</v>
      </c>
      <c r="I130" s="510" t="s">
        <v>790</v>
      </c>
      <c r="J130" s="509" t="s">
        <v>650</v>
      </c>
      <c r="K130" s="516">
        <v>32</v>
      </c>
      <c r="L130" s="520"/>
      <c r="M130" s="685">
        <v>134</v>
      </c>
      <c r="N130" s="687">
        <v>38</v>
      </c>
      <c r="O130" s="682">
        <f t="shared" si="3"/>
        <v>0.28358208955223879</v>
      </c>
      <c r="P130" s="683">
        <f t="shared" si="4"/>
        <v>88.619402985074629</v>
      </c>
      <c r="Q130" s="684">
        <f t="shared" si="5"/>
        <v>0.88619402985074625</v>
      </c>
      <c r="R130" s="490"/>
    </row>
    <row r="131" spans="1:18" x14ac:dyDescent="0.2">
      <c r="A131" s="506" t="s">
        <v>276</v>
      </c>
      <c r="B131" s="502" t="s">
        <v>779</v>
      </c>
      <c r="C131" s="507" t="s">
        <v>289</v>
      </c>
      <c r="D131" s="503" t="s">
        <v>284</v>
      </c>
      <c r="E131" s="348"/>
      <c r="F131" s="504" t="s">
        <v>109</v>
      </c>
      <c r="G131" s="512" t="s">
        <v>794</v>
      </c>
      <c r="H131" s="511" t="s">
        <v>789</v>
      </c>
      <c r="I131" s="510" t="s">
        <v>790</v>
      </c>
      <c r="J131" s="509" t="s">
        <v>650</v>
      </c>
      <c r="K131" s="516">
        <v>33</v>
      </c>
      <c r="L131" s="520"/>
      <c r="M131" s="685">
        <v>29</v>
      </c>
      <c r="N131" s="687">
        <v>13</v>
      </c>
      <c r="O131" s="682">
        <f t="shared" si="3"/>
        <v>0.44827586206896552</v>
      </c>
      <c r="P131" s="683">
        <f t="shared" si="4"/>
        <v>135.84117032392896</v>
      </c>
      <c r="Q131" s="684">
        <f t="shared" si="5"/>
        <v>1.3584117032392895</v>
      </c>
      <c r="R131" s="490"/>
    </row>
    <row r="132" spans="1:18" x14ac:dyDescent="0.2">
      <c r="A132" s="506" t="s">
        <v>276</v>
      </c>
      <c r="B132" s="502" t="s">
        <v>779</v>
      </c>
      <c r="C132" s="507" t="s">
        <v>289</v>
      </c>
      <c r="D132" s="503" t="s">
        <v>281</v>
      </c>
      <c r="E132" s="348"/>
      <c r="F132" s="504" t="s">
        <v>109</v>
      </c>
      <c r="G132" s="512" t="s">
        <v>794</v>
      </c>
      <c r="H132" s="511" t="s">
        <v>789</v>
      </c>
      <c r="I132" s="510" t="s">
        <v>790</v>
      </c>
      <c r="J132" s="509" t="s">
        <v>650</v>
      </c>
      <c r="K132" s="516">
        <v>0</v>
      </c>
      <c r="L132" s="520" t="s">
        <v>791</v>
      </c>
      <c r="M132" s="685">
        <v>2</v>
      </c>
      <c r="N132" s="687">
        <v>0</v>
      </c>
      <c r="O132" s="682">
        <f t="shared" si="3"/>
        <v>0</v>
      </c>
      <c r="P132" s="683" t="str">
        <f t="shared" si="4"/>
        <v>0</v>
      </c>
      <c r="Q132" s="684" t="str">
        <f t="shared" si="5"/>
        <v>0</v>
      </c>
      <c r="R132" s="491"/>
    </row>
    <row r="133" spans="1:18" x14ac:dyDescent="0.2">
      <c r="A133" s="506" t="s">
        <v>276</v>
      </c>
      <c r="B133" s="502" t="s">
        <v>779</v>
      </c>
      <c r="C133" s="507" t="s">
        <v>97</v>
      </c>
      <c r="D133" s="503" t="s">
        <v>279</v>
      </c>
      <c r="E133" s="348"/>
      <c r="F133" s="504" t="s">
        <v>109</v>
      </c>
      <c r="G133" s="512" t="s">
        <v>795</v>
      </c>
      <c r="H133" s="511" t="s">
        <v>789</v>
      </c>
      <c r="I133" s="510" t="s">
        <v>790</v>
      </c>
      <c r="J133" s="509" t="s">
        <v>650</v>
      </c>
      <c r="K133" s="516">
        <v>33</v>
      </c>
      <c r="L133" s="520"/>
      <c r="M133" s="685">
        <v>6</v>
      </c>
      <c r="N133" s="685">
        <v>4</v>
      </c>
      <c r="O133" s="682">
        <f t="shared" ref="O133:O196" si="6">IFERROR(N133/M133,0)</f>
        <v>0.66666666666666663</v>
      </c>
      <c r="P133" s="683">
        <f t="shared" ref="P133:P196" si="7">IFERROR(N133/(M133*(K133/100))*100,"0")</f>
        <v>202.02020202020202</v>
      </c>
      <c r="Q133" s="684">
        <f t="shared" ref="Q133:Q196" si="8">IFERROR(N133/(M133*(K133/100)),"0")</f>
        <v>2.0202020202020203</v>
      </c>
      <c r="R133" s="490"/>
    </row>
    <row r="134" spans="1:18" x14ac:dyDescent="0.2">
      <c r="A134" s="506" t="s">
        <v>276</v>
      </c>
      <c r="B134" s="502" t="s">
        <v>779</v>
      </c>
      <c r="C134" s="507" t="s">
        <v>97</v>
      </c>
      <c r="D134" s="503" t="s">
        <v>281</v>
      </c>
      <c r="E134" s="348"/>
      <c r="F134" s="504" t="s">
        <v>109</v>
      </c>
      <c r="G134" s="512" t="s">
        <v>795</v>
      </c>
      <c r="H134" s="511" t="s">
        <v>789</v>
      </c>
      <c r="I134" s="510" t="s">
        <v>790</v>
      </c>
      <c r="J134" s="509" t="s">
        <v>650</v>
      </c>
      <c r="K134" s="516">
        <v>33</v>
      </c>
      <c r="L134" s="520" t="s">
        <v>791</v>
      </c>
      <c r="M134" s="685">
        <v>9</v>
      </c>
      <c r="N134" s="685">
        <v>7</v>
      </c>
      <c r="O134" s="682">
        <f t="shared" si="6"/>
        <v>0.77777777777777779</v>
      </c>
      <c r="P134" s="683">
        <f t="shared" si="7"/>
        <v>235.69023569023568</v>
      </c>
      <c r="Q134" s="684">
        <f t="shared" si="8"/>
        <v>2.3569023569023568</v>
      </c>
      <c r="R134" s="491"/>
    </row>
    <row r="135" spans="1:18" x14ac:dyDescent="0.2">
      <c r="A135" s="506" t="s">
        <v>276</v>
      </c>
      <c r="B135" s="502" t="s">
        <v>779</v>
      </c>
      <c r="C135" s="507" t="s">
        <v>282</v>
      </c>
      <c r="D135" s="503" t="s">
        <v>287</v>
      </c>
      <c r="E135" s="348"/>
      <c r="F135" s="504" t="s">
        <v>109</v>
      </c>
      <c r="G135" s="512" t="s">
        <v>795</v>
      </c>
      <c r="H135" s="511" t="s">
        <v>792</v>
      </c>
      <c r="I135" s="510" t="s">
        <v>790</v>
      </c>
      <c r="J135" s="509" t="s">
        <v>650</v>
      </c>
      <c r="K135" s="516">
        <v>5</v>
      </c>
      <c r="L135" s="520" t="s">
        <v>791</v>
      </c>
      <c r="M135" s="685">
        <v>68</v>
      </c>
      <c r="N135" s="685">
        <v>10</v>
      </c>
      <c r="O135" s="682">
        <f t="shared" si="6"/>
        <v>0.14705882352941177</v>
      </c>
      <c r="P135" s="683">
        <f t="shared" si="7"/>
        <v>294.11764705882348</v>
      </c>
      <c r="Q135" s="684">
        <f t="shared" si="8"/>
        <v>2.9411764705882351</v>
      </c>
      <c r="R135" s="491"/>
    </row>
    <row r="136" spans="1:18" x14ac:dyDescent="0.2">
      <c r="A136" s="506" t="s">
        <v>276</v>
      </c>
      <c r="B136" s="502" t="s">
        <v>779</v>
      </c>
      <c r="C136" s="507" t="s">
        <v>282</v>
      </c>
      <c r="D136" s="503" t="s">
        <v>283</v>
      </c>
      <c r="E136" s="348"/>
      <c r="F136" s="504" t="s">
        <v>109</v>
      </c>
      <c r="G136" s="512" t="s">
        <v>795</v>
      </c>
      <c r="H136" s="511" t="s">
        <v>789</v>
      </c>
      <c r="I136" s="510" t="s">
        <v>790</v>
      </c>
      <c r="J136" s="509" t="s">
        <v>650</v>
      </c>
      <c r="K136" s="516">
        <v>26</v>
      </c>
      <c r="L136" s="520"/>
      <c r="M136" s="685">
        <v>19</v>
      </c>
      <c r="N136" s="685">
        <v>2</v>
      </c>
      <c r="O136" s="682">
        <f t="shared" si="6"/>
        <v>0.10526315789473684</v>
      </c>
      <c r="P136" s="683">
        <f t="shared" si="7"/>
        <v>40.48582995951417</v>
      </c>
      <c r="Q136" s="684">
        <f t="shared" si="8"/>
        <v>0.40485829959514169</v>
      </c>
      <c r="R136" s="490"/>
    </row>
    <row r="137" spans="1:18" x14ac:dyDescent="0.2">
      <c r="A137" s="506" t="s">
        <v>276</v>
      </c>
      <c r="B137" s="502" t="s">
        <v>779</v>
      </c>
      <c r="C137" s="507" t="s">
        <v>282</v>
      </c>
      <c r="D137" s="503" t="s">
        <v>284</v>
      </c>
      <c r="E137" s="348"/>
      <c r="F137" s="504" t="s">
        <v>109</v>
      </c>
      <c r="G137" s="512" t="s">
        <v>795</v>
      </c>
      <c r="H137" s="511" t="s">
        <v>789</v>
      </c>
      <c r="I137" s="510" t="s">
        <v>790</v>
      </c>
      <c r="J137" s="509" t="s">
        <v>650</v>
      </c>
      <c r="K137" s="516">
        <v>16</v>
      </c>
      <c r="L137" s="520"/>
      <c r="M137" s="685">
        <v>43</v>
      </c>
      <c r="N137" s="685">
        <v>7</v>
      </c>
      <c r="O137" s="682">
        <f t="shared" si="6"/>
        <v>0.16279069767441862</v>
      </c>
      <c r="P137" s="683">
        <f t="shared" si="7"/>
        <v>101.74418604651163</v>
      </c>
      <c r="Q137" s="684">
        <f t="shared" si="8"/>
        <v>1.0174418604651163</v>
      </c>
      <c r="R137" s="490"/>
    </row>
    <row r="138" spans="1:18" x14ac:dyDescent="0.2">
      <c r="A138" s="506" t="s">
        <v>276</v>
      </c>
      <c r="B138" s="502" t="s">
        <v>779</v>
      </c>
      <c r="C138" s="507" t="s">
        <v>282</v>
      </c>
      <c r="D138" s="503" t="s">
        <v>279</v>
      </c>
      <c r="E138" s="348"/>
      <c r="F138" s="504" t="s">
        <v>109</v>
      </c>
      <c r="G138" s="512" t="s">
        <v>795</v>
      </c>
      <c r="H138" s="511" t="s">
        <v>789</v>
      </c>
      <c r="I138" s="510" t="s">
        <v>790</v>
      </c>
      <c r="J138" s="509" t="s">
        <v>650</v>
      </c>
      <c r="K138" s="516">
        <v>6</v>
      </c>
      <c r="L138" s="520"/>
      <c r="M138" s="685">
        <v>65</v>
      </c>
      <c r="N138" s="685">
        <v>7</v>
      </c>
      <c r="O138" s="682">
        <f t="shared" si="6"/>
        <v>0.1076923076923077</v>
      </c>
      <c r="P138" s="683">
        <f t="shared" si="7"/>
        <v>179.4871794871795</v>
      </c>
      <c r="Q138" s="684">
        <f t="shared" si="8"/>
        <v>1.7948717948717949</v>
      </c>
      <c r="R138" s="490"/>
    </row>
    <row r="139" spans="1:18" x14ac:dyDescent="0.2">
      <c r="A139" s="506" t="s">
        <v>276</v>
      </c>
      <c r="B139" s="502" t="s">
        <v>779</v>
      </c>
      <c r="C139" s="507" t="s">
        <v>282</v>
      </c>
      <c r="D139" s="503" t="s">
        <v>281</v>
      </c>
      <c r="E139" s="348"/>
      <c r="F139" s="504" t="s">
        <v>109</v>
      </c>
      <c r="G139" s="512" t="s">
        <v>795</v>
      </c>
      <c r="H139" s="511" t="s">
        <v>789</v>
      </c>
      <c r="I139" s="510" t="s">
        <v>790</v>
      </c>
      <c r="J139" s="509" t="s">
        <v>650</v>
      </c>
      <c r="K139" s="516">
        <v>8</v>
      </c>
      <c r="L139" s="520"/>
      <c r="M139" s="685">
        <v>48</v>
      </c>
      <c r="N139" s="685">
        <v>12</v>
      </c>
      <c r="O139" s="682">
        <f t="shared" si="6"/>
        <v>0.25</v>
      </c>
      <c r="P139" s="683">
        <f t="shared" si="7"/>
        <v>312.5</v>
      </c>
      <c r="Q139" s="684">
        <f t="shared" si="8"/>
        <v>3.125</v>
      </c>
      <c r="R139" s="490"/>
    </row>
    <row r="140" spans="1:18" x14ac:dyDescent="0.2">
      <c r="A140" s="506" t="s">
        <v>276</v>
      </c>
      <c r="B140" s="502" t="s">
        <v>779</v>
      </c>
      <c r="C140" s="507" t="s">
        <v>288</v>
      </c>
      <c r="D140" s="503" t="s">
        <v>287</v>
      </c>
      <c r="E140" s="348"/>
      <c r="F140" s="504" t="s">
        <v>109</v>
      </c>
      <c r="G140" s="512" t="s">
        <v>795</v>
      </c>
      <c r="H140" s="511" t="s">
        <v>792</v>
      </c>
      <c r="I140" s="510" t="s">
        <v>790</v>
      </c>
      <c r="J140" s="509" t="s">
        <v>650</v>
      </c>
      <c r="K140" s="516">
        <v>28.999999999999996</v>
      </c>
      <c r="L140" s="520"/>
      <c r="M140" s="685">
        <v>299</v>
      </c>
      <c r="N140" s="685">
        <v>36</v>
      </c>
      <c r="O140" s="682">
        <f t="shared" si="6"/>
        <v>0.12040133779264214</v>
      </c>
      <c r="P140" s="683">
        <f t="shared" si="7"/>
        <v>41.517702687117982</v>
      </c>
      <c r="Q140" s="684">
        <f t="shared" si="8"/>
        <v>0.4151770268711798</v>
      </c>
      <c r="R140" s="490"/>
    </row>
    <row r="141" spans="1:18" x14ac:dyDescent="0.2">
      <c r="A141" s="506" t="s">
        <v>276</v>
      </c>
      <c r="B141" s="502" t="s">
        <v>779</v>
      </c>
      <c r="C141" s="507" t="s">
        <v>288</v>
      </c>
      <c r="D141" s="503" t="s">
        <v>283</v>
      </c>
      <c r="E141" s="348"/>
      <c r="F141" s="504" t="s">
        <v>109</v>
      </c>
      <c r="G141" s="512" t="s">
        <v>795</v>
      </c>
      <c r="H141" s="511" t="s">
        <v>789</v>
      </c>
      <c r="I141" s="510" t="s">
        <v>790</v>
      </c>
      <c r="J141" s="509" t="s">
        <v>650</v>
      </c>
      <c r="K141" s="516">
        <v>8</v>
      </c>
      <c r="L141" s="520"/>
      <c r="M141" s="685">
        <v>64</v>
      </c>
      <c r="N141" s="685">
        <v>6</v>
      </c>
      <c r="O141" s="682">
        <f t="shared" si="6"/>
        <v>9.375E-2</v>
      </c>
      <c r="P141" s="683">
        <f t="shared" si="7"/>
        <v>117.1875</v>
      </c>
      <c r="Q141" s="684">
        <f t="shared" si="8"/>
        <v>1.171875</v>
      </c>
      <c r="R141" s="490"/>
    </row>
    <row r="142" spans="1:18" x14ac:dyDescent="0.2">
      <c r="A142" s="506" t="s">
        <v>276</v>
      </c>
      <c r="B142" s="502" t="s">
        <v>779</v>
      </c>
      <c r="C142" s="507" t="s">
        <v>288</v>
      </c>
      <c r="D142" s="503" t="s">
        <v>284</v>
      </c>
      <c r="E142" s="348"/>
      <c r="F142" s="504" t="s">
        <v>109</v>
      </c>
      <c r="G142" s="512" t="s">
        <v>795</v>
      </c>
      <c r="H142" s="511" t="s">
        <v>789</v>
      </c>
      <c r="I142" s="510" t="s">
        <v>790</v>
      </c>
      <c r="J142" s="509" t="s">
        <v>650</v>
      </c>
      <c r="K142" s="516">
        <v>8</v>
      </c>
      <c r="L142" s="520" t="s">
        <v>791</v>
      </c>
      <c r="M142" s="685">
        <v>10</v>
      </c>
      <c r="N142" s="685">
        <v>0</v>
      </c>
      <c r="O142" s="682">
        <f t="shared" si="6"/>
        <v>0</v>
      </c>
      <c r="P142" s="683">
        <f t="shared" si="7"/>
        <v>0</v>
      </c>
      <c r="Q142" s="684">
        <f t="shared" si="8"/>
        <v>0</v>
      </c>
      <c r="R142" s="491"/>
    </row>
    <row r="143" spans="1:18" x14ac:dyDescent="0.2">
      <c r="A143" s="506" t="s">
        <v>276</v>
      </c>
      <c r="B143" s="502" t="s">
        <v>779</v>
      </c>
      <c r="C143" s="507" t="s">
        <v>288</v>
      </c>
      <c r="D143" s="503" t="s">
        <v>279</v>
      </c>
      <c r="E143" s="348"/>
      <c r="F143" s="504" t="s">
        <v>109</v>
      </c>
      <c r="G143" s="512" t="s">
        <v>795</v>
      </c>
      <c r="H143" s="511" t="s">
        <v>789</v>
      </c>
      <c r="I143" s="510" t="s">
        <v>790</v>
      </c>
      <c r="J143" s="509" t="s">
        <v>650</v>
      </c>
      <c r="K143" s="516">
        <v>0</v>
      </c>
      <c r="L143" s="520" t="s">
        <v>791</v>
      </c>
      <c r="M143" s="685">
        <v>2</v>
      </c>
      <c r="N143" s="685">
        <v>1</v>
      </c>
      <c r="O143" s="682">
        <f t="shared" si="6"/>
        <v>0.5</v>
      </c>
      <c r="P143" s="683" t="str">
        <f t="shared" si="7"/>
        <v>0</v>
      </c>
      <c r="Q143" s="684" t="str">
        <f t="shared" si="8"/>
        <v>0</v>
      </c>
      <c r="R143" s="491"/>
    </row>
    <row r="144" spans="1:18" x14ac:dyDescent="0.2">
      <c r="A144" s="506" t="s">
        <v>276</v>
      </c>
      <c r="B144" s="502" t="s">
        <v>779</v>
      </c>
      <c r="C144" s="507" t="s">
        <v>288</v>
      </c>
      <c r="D144" s="503" t="s">
        <v>281</v>
      </c>
      <c r="E144" s="348"/>
      <c r="F144" s="504" t="s">
        <v>109</v>
      </c>
      <c r="G144" s="512" t="s">
        <v>795</v>
      </c>
      <c r="H144" s="511" t="s">
        <v>789</v>
      </c>
      <c r="I144" s="510" t="s">
        <v>790</v>
      </c>
      <c r="J144" s="509" t="s">
        <v>650</v>
      </c>
      <c r="K144" s="516">
        <v>8</v>
      </c>
      <c r="L144" s="520" t="s">
        <v>791</v>
      </c>
      <c r="M144" s="685">
        <v>17</v>
      </c>
      <c r="N144" s="685">
        <v>3</v>
      </c>
      <c r="O144" s="682">
        <f t="shared" si="6"/>
        <v>0.17647058823529413</v>
      </c>
      <c r="P144" s="683">
        <f t="shared" si="7"/>
        <v>220.58823529411762</v>
      </c>
      <c r="Q144" s="684">
        <f t="shared" si="8"/>
        <v>2.2058823529411762</v>
      </c>
      <c r="R144" s="491"/>
    </row>
    <row r="145" spans="1:18" x14ac:dyDescent="0.2">
      <c r="A145" s="506" t="s">
        <v>276</v>
      </c>
      <c r="B145" s="502" t="s">
        <v>779</v>
      </c>
      <c r="C145" s="507" t="s">
        <v>99</v>
      </c>
      <c r="D145" s="503" t="s">
        <v>287</v>
      </c>
      <c r="E145" s="348"/>
      <c r="F145" s="504" t="s">
        <v>109</v>
      </c>
      <c r="G145" s="512" t="s">
        <v>795</v>
      </c>
      <c r="H145" s="511" t="s">
        <v>792</v>
      </c>
      <c r="I145" s="510" t="s">
        <v>790</v>
      </c>
      <c r="J145" s="509" t="s">
        <v>650</v>
      </c>
      <c r="K145" s="516">
        <v>17</v>
      </c>
      <c r="L145" s="520"/>
      <c r="M145" s="685">
        <v>326</v>
      </c>
      <c r="N145" s="685">
        <v>49</v>
      </c>
      <c r="O145" s="682">
        <f t="shared" si="6"/>
        <v>0.15030674846625766</v>
      </c>
      <c r="P145" s="683">
        <f t="shared" si="7"/>
        <v>88.415734391916274</v>
      </c>
      <c r="Q145" s="684">
        <f t="shared" si="8"/>
        <v>0.88415734391916267</v>
      </c>
      <c r="R145" s="490"/>
    </row>
    <row r="146" spans="1:18" x14ac:dyDescent="0.2">
      <c r="A146" s="506" t="s">
        <v>276</v>
      </c>
      <c r="B146" s="502" t="s">
        <v>779</v>
      </c>
      <c r="C146" s="507" t="s">
        <v>99</v>
      </c>
      <c r="D146" s="503" t="s">
        <v>283</v>
      </c>
      <c r="E146" s="348"/>
      <c r="F146" s="504" t="s">
        <v>109</v>
      </c>
      <c r="G146" s="512" t="s">
        <v>795</v>
      </c>
      <c r="H146" s="511" t="s">
        <v>789</v>
      </c>
      <c r="I146" s="510" t="s">
        <v>790</v>
      </c>
      <c r="J146" s="509" t="s">
        <v>650</v>
      </c>
      <c r="K146" s="516">
        <v>36</v>
      </c>
      <c r="L146" s="520"/>
      <c r="M146" s="685">
        <v>17</v>
      </c>
      <c r="N146" s="685">
        <v>4</v>
      </c>
      <c r="O146" s="682">
        <f t="shared" si="6"/>
        <v>0.23529411764705882</v>
      </c>
      <c r="P146" s="683">
        <f t="shared" si="7"/>
        <v>65.359477124183002</v>
      </c>
      <c r="Q146" s="684">
        <f t="shared" si="8"/>
        <v>0.65359477124183007</v>
      </c>
      <c r="R146" s="490"/>
    </row>
    <row r="147" spans="1:18" x14ac:dyDescent="0.2">
      <c r="A147" s="506" t="s">
        <v>276</v>
      </c>
      <c r="B147" s="502" t="s">
        <v>779</v>
      </c>
      <c r="C147" s="507" t="s">
        <v>99</v>
      </c>
      <c r="D147" s="503" t="s">
        <v>284</v>
      </c>
      <c r="E147" s="348"/>
      <c r="F147" s="504" t="s">
        <v>109</v>
      </c>
      <c r="G147" s="512" t="s">
        <v>795</v>
      </c>
      <c r="H147" s="511" t="s">
        <v>789</v>
      </c>
      <c r="I147" s="510" t="s">
        <v>790</v>
      </c>
      <c r="J147" s="509" t="s">
        <v>650</v>
      </c>
      <c r="K147" s="516">
        <v>80</v>
      </c>
      <c r="L147" s="520"/>
      <c r="M147" s="685">
        <v>8</v>
      </c>
      <c r="N147" s="685">
        <v>2</v>
      </c>
      <c r="O147" s="682">
        <f t="shared" si="6"/>
        <v>0.25</v>
      </c>
      <c r="P147" s="683">
        <f t="shared" si="7"/>
        <v>31.25</v>
      </c>
      <c r="Q147" s="684">
        <f t="shared" si="8"/>
        <v>0.3125</v>
      </c>
      <c r="R147" s="490"/>
    </row>
    <row r="148" spans="1:18" x14ac:dyDescent="0.2">
      <c r="A148" s="506" t="s">
        <v>276</v>
      </c>
      <c r="B148" s="502" t="s">
        <v>779</v>
      </c>
      <c r="C148" s="507" t="s">
        <v>99</v>
      </c>
      <c r="D148" s="503" t="s">
        <v>279</v>
      </c>
      <c r="E148" s="348"/>
      <c r="F148" s="504" t="s">
        <v>109</v>
      </c>
      <c r="G148" s="512" t="s">
        <v>795</v>
      </c>
      <c r="H148" s="511" t="s">
        <v>789</v>
      </c>
      <c r="I148" s="510" t="s">
        <v>790</v>
      </c>
      <c r="J148" s="509" t="s">
        <v>650</v>
      </c>
      <c r="K148" s="516">
        <v>0</v>
      </c>
      <c r="L148" s="520" t="s">
        <v>791</v>
      </c>
      <c r="M148" s="685">
        <v>5</v>
      </c>
      <c r="N148" s="685">
        <v>2</v>
      </c>
      <c r="O148" s="682">
        <f t="shared" si="6"/>
        <v>0.4</v>
      </c>
      <c r="P148" s="683" t="str">
        <f t="shared" si="7"/>
        <v>0</v>
      </c>
      <c r="Q148" s="684" t="str">
        <f t="shared" si="8"/>
        <v>0</v>
      </c>
      <c r="R148" s="491"/>
    </row>
    <row r="149" spans="1:18" x14ac:dyDescent="0.2">
      <c r="A149" s="506" t="s">
        <v>276</v>
      </c>
      <c r="B149" s="502" t="s">
        <v>779</v>
      </c>
      <c r="C149" s="507" t="s">
        <v>99</v>
      </c>
      <c r="D149" s="503" t="s">
        <v>281</v>
      </c>
      <c r="E149" s="348"/>
      <c r="F149" s="504" t="s">
        <v>109</v>
      </c>
      <c r="G149" s="512" t="s">
        <v>795</v>
      </c>
      <c r="H149" s="511" t="s">
        <v>789</v>
      </c>
      <c r="I149" s="510" t="s">
        <v>790</v>
      </c>
      <c r="J149" s="509" t="s">
        <v>650</v>
      </c>
      <c r="K149" s="516">
        <v>0</v>
      </c>
      <c r="L149" s="520" t="s">
        <v>791</v>
      </c>
      <c r="M149" s="685">
        <v>1</v>
      </c>
      <c r="N149" s="685">
        <v>0</v>
      </c>
      <c r="O149" s="682">
        <f t="shared" si="6"/>
        <v>0</v>
      </c>
      <c r="P149" s="683" t="str">
        <f t="shared" si="7"/>
        <v>0</v>
      </c>
      <c r="Q149" s="684" t="str">
        <f t="shared" si="8"/>
        <v>0</v>
      </c>
      <c r="R149" s="491"/>
    </row>
    <row r="150" spans="1:18" x14ac:dyDescent="0.2">
      <c r="A150" s="506" t="s">
        <v>276</v>
      </c>
      <c r="B150" s="502" t="s">
        <v>779</v>
      </c>
      <c r="C150" s="507" t="s">
        <v>285</v>
      </c>
      <c r="D150" s="503" t="s">
        <v>287</v>
      </c>
      <c r="E150" s="348"/>
      <c r="F150" s="504" t="s">
        <v>109</v>
      </c>
      <c r="G150" s="512" t="s">
        <v>795</v>
      </c>
      <c r="H150" s="511" t="s">
        <v>792</v>
      </c>
      <c r="I150" s="510" t="s">
        <v>790</v>
      </c>
      <c r="J150" s="509" t="s">
        <v>650</v>
      </c>
      <c r="K150" s="516">
        <v>13</v>
      </c>
      <c r="L150" s="520"/>
      <c r="M150" s="685">
        <v>0</v>
      </c>
      <c r="N150" s="685">
        <v>0</v>
      </c>
      <c r="O150" s="682">
        <f t="shared" si="6"/>
        <v>0</v>
      </c>
      <c r="P150" s="683" t="str">
        <f t="shared" si="7"/>
        <v>0</v>
      </c>
      <c r="Q150" s="684" t="str">
        <f t="shared" si="8"/>
        <v>0</v>
      </c>
      <c r="R150" s="491"/>
    </row>
    <row r="151" spans="1:18" x14ac:dyDescent="0.2">
      <c r="A151" s="506" t="s">
        <v>276</v>
      </c>
      <c r="B151" s="502" t="s">
        <v>779</v>
      </c>
      <c r="C151" s="507" t="s">
        <v>285</v>
      </c>
      <c r="D151" s="503" t="s">
        <v>283</v>
      </c>
      <c r="E151" s="348"/>
      <c r="F151" s="504" t="s">
        <v>109</v>
      </c>
      <c r="G151" s="512" t="s">
        <v>795</v>
      </c>
      <c r="H151" s="511" t="s">
        <v>789</v>
      </c>
      <c r="I151" s="510" t="s">
        <v>790</v>
      </c>
      <c r="J151" s="509" t="s">
        <v>650</v>
      </c>
      <c r="K151" s="516">
        <v>0</v>
      </c>
      <c r="L151" s="520" t="s">
        <v>791</v>
      </c>
      <c r="M151" s="685">
        <v>5</v>
      </c>
      <c r="N151" s="685">
        <v>1</v>
      </c>
      <c r="O151" s="682">
        <f t="shared" si="6"/>
        <v>0.2</v>
      </c>
      <c r="P151" s="683" t="str">
        <f t="shared" si="7"/>
        <v>0</v>
      </c>
      <c r="Q151" s="684" t="str">
        <f t="shared" si="8"/>
        <v>0</v>
      </c>
      <c r="R151" s="491"/>
    </row>
    <row r="152" spans="1:18" x14ac:dyDescent="0.2">
      <c r="A152" s="506" t="s">
        <v>276</v>
      </c>
      <c r="B152" s="502" t="s">
        <v>779</v>
      </c>
      <c r="C152" s="507" t="s">
        <v>285</v>
      </c>
      <c r="D152" s="503" t="s">
        <v>284</v>
      </c>
      <c r="E152" s="348"/>
      <c r="F152" s="504" t="s">
        <v>109</v>
      </c>
      <c r="G152" s="512" t="s">
        <v>795</v>
      </c>
      <c r="H152" s="511" t="s">
        <v>789</v>
      </c>
      <c r="I152" s="510" t="s">
        <v>790</v>
      </c>
      <c r="J152" s="509" t="s">
        <v>650</v>
      </c>
      <c r="K152" s="516">
        <v>0</v>
      </c>
      <c r="L152" s="520" t="s">
        <v>791</v>
      </c>
      <c r="M152" s="685">
        <v>4</v>
      </c>
      <c r="N152" s="685">
        <v>0</v>
      </c>
      <c r="O152" s="682">
        <f t="shared" si="6"/>
        <v>0</v>
      </c>
      <c r="P152" s="683" t="str">
        <f t="shared" si="7"/>
        <v>0</v>
      </c>
      <c r="Q152" s="684" t="str">
        <f t="shared" si="8"/>
        <v>0</v>
      </c>
      <c r="R152" s="491"/>
    </row>
    <row r="153" spans="1:18" x14ac:dyDescent="0.2">
      <c r="A153" s="506" t="s">
        <v>276</v>
      </c>
      <c r="B153" s="502" t="s">
        <v>779</v>
      </c>
      <c r="C153" s="507" t="s">
        <v>285</v>
      </c>
      <c r="D153" s="503" t="s">
        <v>279</v>
      </c>
      <c r="E153" s="348"/>
      <c r="F153" s="504" t="s">
        <v>109</v>
      </c>
      <c r="G153" s="512" t="s">
        <v>795</v>
      </c>
      <c r="H153" s="511" t="s">
        <v>789</v>
      </c>
      <c r="I153" s="510" t="s">
        <v>790</v>
      </c>
      <c r="J153" s="509" t="s">
        <v>650</v>
      </c>
      <c r="K153" s="516">
        <v>0</v>
      </c>
      <c r="L153" s="520" t="s">
        <v>791</v>
      </c>
      <c r="M153" s="685">
        <v>1</v>
      </c>
      <c r="N153" s="685">
        <v>0</v>
      </c>
      <c r="O153" s="682">
        <f t="shared" si="6"/>
        <v>0</v>
      </c>
      <c r="P153" s="683" t="str">
        <f t="shared" si="7"/>
        <v>0</v>
      </c>
      <c r="Q153" s="684" t="str">
        <f t="shared" si="8"/>
        <v>0</v>
      </c>
      <c r="R153" s="491"/>
    </row>
    <row r="154" spans="1:18" x14ac:dyDescent="0.2">
      <c r="A154" s="506" t="s">
        <v>276</v>
      </c>
      <c r="B154" s="502" t="s">
        <v>779</v>
      </c>
      <c r="C154" s="507" t="s">
        <v>285</v>
      </c>
      <c r="D154" s="503" t="s">
        <v>281</v>
      </c>
      <c r="E154" s="348"/>
      <c r="F154" s="504" t="s">
        <v>109</v>
      </c>
      <c r="G154" s="512" t="s">
        <v>795</v>
      </c>
      <c r="H154" s="511" t="s">
        <v>789</v>
      </c>
      <c r="I154" s="510" t="s">
        <v>790</v>
      </c>
      <c r="J154" s="509" t="s">
        <v>650</v>
      </c>
      <c r="K154" s="516">
        <v>25</v>
      </c>
      <c r="L154" s="520"/>
      <c r="M154" s="685">
        <v>12</v>
      </c>
      <c r="N154" s="685">
        <v>4</v>
      </c>
      <c r="O154" s="682">
        <f t="shared" si="6"/>
        <v>0.33333333333333331</v>
      </c>
      <c r="P154" s="683">
        <f t="shared" si="7"/>
        <v>133.33333333333331</v>
      </c>
      <c r="Q154" s="684">
        <f t="shared" si="8"/>
        <v>1.3333333333333333</v>
      </c>
      <c r="R154" s="490"/>
    </row>
    <row r="155" spans="1:18" x14ac:dyDescent="0.2">
      <c r="A155" s="506" t="s">
        <v>276</v>
      </c>
      <c r="B155" s="502" t="s">
        <v>779</v>
      </c>
      <c r="C155" s="507" t="s">
        <v>285</v>
      </c>
      <c r="D155" s="503" t="s">
        <v>286</v>
      </c>
      <c r="E155" s="348"/>
      <c r="F155" s="504" t="s">
        <v>109</v>
      </c>
      <c r="G155" s="512" t="s">
        <v>795</v>
      </c>
      <c r="H155" s="511" t="s">
        <v>789</v>
      </c>
      <c r="I155" s="510" t="s">
        <v>790</v>
      </c>
      <c r="J155" s="509" t="s">
        <v>650</v>
      </c>
      <c r="K155" s="516">
        <v>10</v>
      </c>
      <c r="L155" s="520"/>
      <c r="M155" s="685">
        <v>20</v>
      </c>
      <c r="N155" s="685">
        <v>0</v>
      </c>
      <c r="O155" s="682">
        <f t="shared" si="6"/>
        <v>0</v>
      </c>
      <c r="P155" s="683">
        <f t="shared" si="7"/>
        <v>0</v>
      </c>
      <c r="Q155" s="684">
        <f t="shared" si="8"/>
        <v>0</v>
      </c>
      <c r="R155" s="490"/>
    </row>
    <row r="156" spans="1:18" x14ac:dyDescent="0.2">
      <c r="A156" s="506" t="s">
        <v>276</v>
      </c>
      <c r="B156" s="502" t="s">
        <v>779</v>
      </c>
      <c r="C156" s="507" t="s">
        <v>291</v>
      </c>
      <c r="D156" s="503" t="s">
        <v>283</v>
      </c>
      <c r="E156" s="348"/>
      <c r="F156" s="504" t="s">
        <v>109</v>
      </c>
      <c r="G156" s="512" t="s">
        <v>795</v>
      </c>
      <c r="H156" s="511" t="s">
        <v>789</v>
      </c>
      <c r="I156" s="510" t="s">
        <v>790</v>
      </c>
      <c r="J156" s="509" t="s">
        <v>650</v>
      </c>
      <c r="K156" s="516">
        <v>0</v>
      </c>
      <c r="L156" s="520" t="s">
        <v>791</v>
      </c>
      <c r="M156" s="685">
        <v>0</v>
      </c>
      <c r="N156" s="685">
        <v>0</v>
      </c>
      <c r="O156" s="682">
        <f t="shared" si="6"/>
        <v>0</v>
      </c>
      <c r="P156" s="683" t="str">
        <f t="shared" si="7"/>
        <v>0</v>
      </c>
      <c r="Q156" s="684" t="str">
        <f t="shared" si="8"/>
        <v>0</v>
      </c>
      <c r="R156" s="491"/>
    </row>
    <row r="157" spans="1:18" x14ac:dyDescent="0.2">
      <c r="A157" s="506" t="s">
        <v>276</v>
      </c>
      <c r="B157" s="502" t="s">
        <v>779</v>
      </c>
      <c r="C157" s="507" t="s">
        <v>291</v>
      </c>
      <c r="D157" s="503" t="s">
        <v>284</v>
      </c>
      <c r="E157" s="348"/>
      <c r="F157" s="504" t="s">
        <v>109</v>
      </c>
      <c r="G157" s="512" t="s">
        <v>795</v>
      </c>
      <c r="H157" s="511" t="s">
        <v>789</v>
      </c>
      <c r="I157" s="510" t="s">
        <v>790</v>
      </c>
      <c r="J157" s="509" t="s">
        <v>650</v>
      </c>
      <c r="K157" s="516">
        <v>0</v>
      </c>
      <c r="L157" s="520" t="s">
        <v>791</v>
      </c>
      <c r="M157" s="685">
        <v>0</v>
      </c>
      <c r="N157" s="685">
        <v>0</v>
      </c>
      <c r="O157" s="682">
        <f t="shared" si="6"/>
        <v>0</v>
      </c>
      <c r="P157" s="683" t="str">
        <f t="shared" si="7"/>
        <v>0</v>
      </c>
      <c r="Q157" s="684" t="str">
        <f t="shared" si="8"/>
        <v>0</v>
      </c>
      <c r="R157" s="491"/>
    </row>
    <row r="158" spans="1:18" x14ac:dyDescent="0.2">
      <c r="A158" s="506" t="s">
        <v>276</v>
      </c>
      <c r="B158" s="502" t="s">
        <v>779</v>
      </c>
      <c r="C158" s="507" t="s">
        <v>290</v>
      </c>
      <c r="D158" s="503" t="s">
        <v>287</v>
      </c>
      <c r="E158" s="348"/>
      <c r="F158" s="504" t="s">
        <v>109</v>
      </c>
      <c r="G158" s="512" t="s">
        <v>795</v>
      </c>
      <c r="H158" s="511" t="s">
        <v>792</v>
      </c>
      <c r="I158" s="510" t="s">
        <v>790</v>
      </c>
      <c r="J158" s="509" t="s">
        <v>650</v>
      </c>
      <c r="K158" s="516">
        <v>38</v>
      </c>
      <c r="L158" s="520"/>
      <c r="M158" s="685">
        <v>65</v>
      </c>
      <c r="N158" s="685">
        <v>9</v>
      </c>
      <c r="O158" s="682">
        <f t="shared" si="6"/>
        <v>0.13846153846153847</v>
      </c>
      <c r="P158" s="683">
        <f t="shared" si="7"/>
        <v>36.43724696356275</v>
      </c>
      <c r="Q158" s="684">
        <f t="shared" si="8"/>
        <v>0.36437246963562753</v>
      </c>
      <c r="R158" s="490"/>
    </row>
    <row r="159" spans="1:18" x14ac:dyDescent="0.2">
      <c r="A159" s="506" t="s">
        <v>276</v>
      </c>
      <c r="B159" s="502" t="s">
        <v>779</v>
      </c>
      <c r="C159" s="507" t="s">
        <v>290</v>
      </c>
      <c r="D159" s="503" t="s">
        <v>283</v>
      </c>
      <c r="E159" s="348"/>
      <c r="F159" s="504" t="s">
        <v>109</v>
      </c>
      <c r="G159" s="512" t="s">
        <v>795</v>
      </c>
      <c r="H159" s="511" t="s">
        <v>789</v>
      </c>
      <c r="I159" s="510" t="s">
        <v>790</v>
      </c>
      <c r="J159" s="509" t="s">
        <v>650</v>
      </c>
      <c r="K159" s="516">
        <v>0</v>
      </c>
      <c r="L159" s="520" t="s">
        <v>791</v>
      </c>
      <c r="M159" s="685">
        <v>5</v>
      </c>
      <c r="N159" s="685">
        <v>0</v>
      </c>
      <c r="O159" s="682">
        <f t="shared" si="6"/>
        <v>0</v>
      </c>
      <c r="P159" s="683" t="str">
        <f t="shared" si="7"/>
        <v>0</v>
      </c>
      <c r="Q159" s="684" t="str">
        <f t="shared" si="8"/>
        <v>0</v>
      </c>
      <c r="R159" s="491"/>
    </row>
    <row r="160" spans="1:18" x14ac:dyDescent="0.2">
      <c r="A160" s="506" t="s">
        <v>276</v>
      </c>
      <c r="B160" s="502" t="s">
        <v>779</v>
      </c>
      <c r="C160" s="507" t="s">
        <v>290</v>
      </c>
      <c r="D160" s="503" t="s">
        <v>284</v>
      </c>
      <c r="E160" s="348"/>
      <c r="F160" s="504" t="s">
        <v>109</v>
      </c>
      <c r="G160" s="512" t="s">
        <v>795</v>
      </c>
      <c r="H160" s="511" t="s">
        <v>789</v>
      </c>
      <c r="I160" s="510" t="s">
        <v>790</v>
      </c>
      <c r="J160" s="509" t="s">
        <v>650</v>
      </c>
      <c r="K160" s="516">
        <v>0</v>
      </c>
      <c r="L160" s="520" t="s">
        <v>791</v>
      </c>
      <c r="M160" s="685">
        <v>0</v>
      </c>
      <c r="N160" s="685">
        <v>0</v>
      </c>
      <c r="O160" s="682">
        <f t="shared" si="6"/>
        <v>0</v>
      </c>
      <c r="P160" s="683" t="str">
        <f t="shared" si="7"/>
        <v>0</v>
      </c>
      <c r="Q160" s="684" t="str">
        <f t="shared" si="8"/>
        <v>0</v>
      </c>
      <c r="R160" s="491"/>
    </row>
    <row r="161" spans="1:18" x14ac:dyDescent="0.2">
      <c r="A161" s="506" t="s">
        <v>276</v>
      </c>
      <c r="B161" s="502" t="s">
        <v>779</v>
      </c>
      <c r="C161" s="507" t="s">
        <v>289</v>
      </c>
      <c r="D161" s="503" t="s">
        <v>287</v>
      </c>
      <c r="E161" s="348"/>
      <c r="F161" s="504" t="s">
        <v>109</v>
      </c>
      <c r="G161" s="512" t="s">
        <v>795</v>
      </c>
      <c r="H161" s="511" t="s">
        <v>792</v>
      </c>
      <c r="I161" s="510" t="s">
        <v>790</v>
      </c>
      <c r="J161" s="509" t="s">
        <v>650</v>
      </c>
      <c r="K161" s="516">
        <v>5</v>
      </c>
      <c r="L161" s="520"/>
      <c r="M161" s="685">
        <v>733</v>
      </c>
      <c r="N161" s="685">
        <v>90</v>
      </c>
      <c r="O161" s="682">
        <f t="shared" si="6"/>
        <v>0.12278308321964529</v>
      </c>
      <c r="P161" s="683">
        <f t="shared" si="7"/>
        <v>245.56616643929061</v>
      </c>
      <c r="Q161" s="684">
        <f t="shared" si="8"/>
        <v>2.4556616643929061</v>
      </c>
      <c r="R161" s="490"/>
    </row>
    <row r="162" spans="1:18" x14ac:dyDescent="0.2">
      <c r="A162" s="506" t="s">
        <v>276</v>
      </c>
      <c r="B162" s="502" t="s">
        <v>779</v>
      </c>
      <c r="C162" s="507" t="s">
        <v>289</v>
      </c>
      <c r="D162" s="503" t="s">
        <v>283</v>
      </c>
      <c r="E162" s="348"/>
      <c r="F162" s="504" t="s">
        <v>109</v>
      </c>
      <c r="G162" s="512" t="s">
        <v>795</v>
      </c>
      <c r="H162" s="511" t="s">
        <v>789</v>
      </c>
      <c r="I162" s="510" t="s">
        <v>790</v>
      </c>
      <c r="J162" s="509" t="s">
        <v>650</v>
      </c>
      <c r="K162" s="516">
        <v>32</v>
      </c>
      <c r="L162" s="520"/>
      <c r="M162" s="685">
        <v>134</v>
      </c>
      <c r="N162" s="685">
        <v>38</v>
      </c>
      <c r="O162" s="682">
        <f t="shared" si="6"/>
        <v>0.28358208955223879</v>
      </c>
      <c r="P162" s="683">
        <f t="shared" si="7"/>
        <v>88.619402985074629</v>
      </c>
      <c r="Q162" s="684">
        <f t="shared" si="8"/>
        <v>0.88619402985074625</v>
      </c>
      <c r="R162" s="490"/>
    </row>
    <row r="163" spans="1:18" x14ac:dyDescent="0.2">
      <c r="A163" s="506" t="s">
        <v>276</v>
      </c>
      <c r="B163" s="502" t="s">
        <v>779</v>
      </c>
      <c r="C163" s="507" t="s">
        <v>289</v>
      </c>
      <c r="D163" s="503" t="s">
        <v>284</v>
      </c>
      <c r="E163" s="348"/>
      <c r="F163" s="504" t="s">
        <v>109</v>
      </c>
      <c r="G163" s="512" t="s">
        <v>795</v>
      </c>
      <c r="H163" s="511" t="s">
        <v>789</v>
      </c>
      <c r="I163" s="510" t="s">
        <v>790</v>
      </c>
      <c r="J163" s="509" t="s">
        <v>650</v>
      </c>
      <c r="K163" s="516">
        <v>33</v>
      </c>
      <c r="L163" s="520"/>
      <c r="M163" s="685">
        <v>29</v>
      </c>
      <c r="N163" s="685">
        <v>13</v>
      </c>
      <c r="O163" s="682">
        <f t="shared" si="6"/>
        <v>0.44827586206896552</v>
      </c>
      <c r="P163" s="683">
        <f t="shared" si="7"/>
        <v>135.84117032392896</v>
      </c>
      <c r="Q163" s="684">
        <f t="shared" si="8"/>
        <v>1.3584117032392895</v>
      </c>
      <c r="R163" s="490"/>
    </row>
    <row r="164" spans="1:18" x14ac:dyDescent="0.2">
      <c r="A164" s="506" t="s">
        <v>276</v>
      </c>
      <c r="B164" s="502" t="s">
        <v>779</v>
      </c>
      <c r="C164" s="507" t="s">
        <v>289</v>
      </c>
      <c r="D164" s="503" t="s">
        <v>281</v>
      </c>
      <c r="E164" s="348"/>
      <c r="F164" s="504" t="s">
        <v>109</v>
      </c>
      <c r="G164" s="512" t="s">
        <v>795</v>
      </c>
      <c r="H164" s="511" t="s">
        <v>789</v>
      </c>
      <c r="I164" s="510" t="s">
        <v>790</v>
      </c>
      <c r="J164" s="509" t="s">
        <v>650</v>
      </c>
      <c r="K164" s="516">
        <v>0</v>
      </c>
      <c r="L164" s="520" t="s">
        <v>791</v>
      </c>
      <c r="M164" s="685">
        <v>2</v>
      </c>
      <c r="N164" s="685">
        <v>0</v>
      </c>
      <c r="O164" s="682">
        <f t="shared" si="6"/>
        <v>0</v>
      </c>
      <c r="P164" s="683" t="str">
        <f t="shared" si="7"/>
        <v>0</v>
      </c>
      <c r="Q164" s="684" t="str">
        <f t="shared" si="8"/>
        <v>0</v>
      </c>
      <c r="R164" s="491"/>
    </row>
    <row r="165" spans="1:18" x14ac:dyDescent="0.2">
      <c r="A165" s="506" t="s">
        <v>276</v>
      </c>
      <c r="B165" s="502" t="s">
        <v>779</v>
      </c>
      <c r="C165" s="507" t="s">
        <v>97</v>
      </c>
      <c r="D165" s="503" t="s">
        <v>279</v>
      </c>
      <c r="E165" s="348"/>
      <c r="F165" s="504" t="s">
        <v>109</v>
      </c>
      <c r="G165" s="512" t="s">
        <v>796</v>
      </c>
      <c r="H165" s="511" t="s">
        <v>789</v>
      </c>
      <c r="I165" s="510" t="s">
        <v>790</v>
      </c>
      <c r="J165" s="509" t="s">
        <v>650</v>
      </c>
      <c r="K165" s="516">
        <v>33</v>
      </c>
      <c r="L165" s="520"/>
      <c r="M165" s="685">
        <v>6</v>
      </c>
      <c r="N165" s="685">
        <v>4</v>
      </c>
      <c r="O165" s="682">
        <f t="shared" si="6"/>
        <v>0.66666666666666663</v>
      </c>
      <c r="P165" s="683">
        <f t="shared" si="7"/>
        <v>202.02020202020202</v>
      </c>
      <c r="Q165" s="684">
        <f t="shared" si="8"/>
        <v>2.0202020202020203</v>
      </c>
      <c r="R165" s="490"/>
    </row>
    <row r="166" spans="1:18" x14ac:dyDescent="0.2">
      <c r="A166" s="506" t="s">
        <v>276</v>
      </c>
      <c r="B166" s="502" t="s">
        <v>779</v>
      </c>
      <c r="C166" s="507" t="s">
        <v>97</v>
      </c>
      <c r="D166" s="503" t="s">
        <v>281</v>
      </c>
      <c r="E166" s="348"/>
      <c r="F166" s="504" t="s">
        <v>109</v>
      </c>
      <c r="G166" s="512" t="s">
        <v>796</v>
      </c>
      <c r="H166" s="511" t="s">
        <v>789</v>
      </c>
      <c r="I166" s="510" t="s">
        <v>790</v>
      </c>
      <c r="J166" s="509" t="s">
        <v>650</v>
      </c>
      <c r="K166" s="516">
        <v>33</v>
      </c>
      <c r="L166" s="520" t="s">
        <v>791</v>
      </c>
      <c r="M166" s="685">
        <v>9</v>
      </c>
      <c r="N166" s="685">
        <v>7</v>
      </c>
      <c r="O166" s="682">
        <f t="shared" si="6"/>
        <v>0.77777777777777779</v>
      </c>
      <c r="P166" s="683">
        <f t="shared" si="7"/>
        <v>235.69023569023568</v>
      </c>
      <c r="Q166" s="684">
        <f t="shared" si="8"/>
        <v>2.3569023569023568</v>
      </c>
      <c r="R166" s="491"/>
    </row>
    <row r="167" spans="1:18" x14ac:dyDescent="0.2">
      <c r="A167" s="506" t="s">
        <v>276</v>
      </c>
      <c r="B167" s="502" t="s">
        <v>779</v>
      </c>
      <c r="C167" s="507" t="s">
        <v>282</v>
      </c>
      <c r="D167" s="503" t="s">
        <v>287</v>
      </c>
      <c r="E167" s="348"/>
      <c r="F167" s="504" t="s">
        <v>109</v>
      </c>
      <c r="G167" s="512" t="s">
        <v>796</v>
      </c>
      <c r="H167" s="511" t="s">
        <v>792</v>
      </c>
      <c r="I167" s="510" t="s">
        <v>790</v>
      </c>
      <c r="J167" s="509" t="s">
        <v>650</v>
      </c>
      <c r="K167" s="516">
        <v>5</v>
      </c>
      <c r="L167" s="520" t="s">
        <v>791</v>
      </c>
      <c r="M167" s="685">
        <v>68</v>
      </c>
      <c r="N167" s="685">
        <v>10</v>
      </c>
      <c r="O167" s="682">
        <f t="shared" si="6"/>
        <v>0.14705882352941177</v>
      </c>
      <c r="P167" s="683">
        <f t="shared" si="7"/>
        <v>294.11764705882348</v>
      </c>
      <c r="Q167" s="684">
        <f t="shared" si="8"/>
        <v>2.9411764705882351</v>
      </c>
      <c r="R167" s="491"/>
    </row>
    <row r="168" spans="1:18" x14ac:dyDescent="0.2">
      <c r="A168" s="506" t="s">
        <v>276</v>
      </c>
      <c r="B168" s="502" t="s">
        <v>779</v>
      </c>
      <c r="C168" s="507" t="s">
        <v>282</v>
      </c>
      <c r="D168" s="503" t="s">
        <v>283</v>
      </c>
      <c r="E168" s="348"/>
      <c r="F168" s="504" t="s">
        <v>109</v>
      </c>
      <c r="G168" s="512" t="s">
        <v>796</v>
      </c>
      <c r="H168" s="511" t="s">
        <v>789</v>
      </c>
      <c r="I168" s="510" t="s">
        <v>790</v>
      </c>
      <c r="J168" s="509" t="s">
        <v>650</v>
      </c>
      <c r="K168" s="516">
        <v>26</v>
      </c>
      <c r="L168" s="520"/>
      <c r="M168" s="685">
        <v>19</v>
      </c>
      <c r="N168" s="685">
        <v>2</v>
      </c>
      <c r="O168" s="682">
        <f t="shared" si="6"/>
        <v>0.10526315789473684</v>
      </c>
      <c r="P168" s="683">
        <f t="shared" si="7"/>
        <v>40.48582995951417</v>
      </c>
      <c r="Q168" s="684">
        <f t="shared" si="8"/>
        <v>0.40485829959514169</v>
      </c>
      <c r="R168" s="490"/>
    </row>
    <row r="169" spans="1:18" x14ac:dyDescent="0.2">
      <c r="A169" s="506" t="s">
        <v>276</v>
      </c>
      <c r="B169" s="502" t="s">
        <v>779</v>
      </c>
      <c r="C169" s="507" t="s">
        <v>282</v>
      </c>
      <c r="D169" s="503" t="s">
        <v>284</v>
      </c>
      <c r="E169" s="348"/>
      <c r="F169" s="504" t="s">
        <v>109</v>
      </c>
      <c r="G169" s="512" t="s">
        <v>796</v>
      </c>
      <c r="H169" s="511" t="s">
        <v>789</v>
      </c>
      <c r="I169" s="510" t="s">
        <v>790</v>
      </c>
      <c r="J169" s="509" t="s">
        <v>650</v>
      </c>
      <c r="K169" s="516">
        <v>16</v>
      </c>
      <c r="L169" s="520"/>
      <c r="M169" s="685">
        <v>43</v>
      </c>
      <c r="N169" s="685">
        <v>7</v>
      </c>
      <c r="O169" s="682">
        <f t="shared" si="6"/>
        <v>0.16279069767441862</v>
      </c>
      <c r="P169" s="683">
        <f t="shared" si="7"/>
        <v>101.74418604651163</v>
      </c>
      <c r="Q169" s="684">
        <f t="shared" si="8"/>
        <v>1.0174418604651163</v>
      </c>
      <c r="R169" s="490"/>
    </row>
    <row r="170" spans="1:18" x14ac:dyDescent="0.2">
      <c r="A170" s="506" t="s">
        <v>276</v>
      </c>
      <c r="B170" s="502" t="s">
        <v>779</v>
      </c>
      <c r="C170" s="507" t="s">
        <v>282</v>
      </c>
      <c r="D170" s="503" t="s">
        <v>279</v>
      </c>
      <c r="E170" s="348"/>
      <c r="F170" s="504" t="s">
        <v>109</v>
      </c>
      <c r="G170" s="512" t="s">
        <v>796</v>
      </c>
      <c r="H170" s="511" t="s">
        <v>789</v>
      </c>
      <c r="I170" s="510" t="s">
        <v>790</v>
      </c>
      <c r="J170" s="509" t="s">
        <v>650</v>
      </c>
      <c r="K170" s="516">
        <v>6</v>
      </c>
      <c r="L170" s="520"/>
      <c r="M170" s="685">
        <v>65</v>
      </c>
      <c r="N170" s="685">
        <v>7</v>
      </c>
      <c r="O170" s="682">
        <f t="shared" si="6"/>
        <v>0.1076923076923077</v>
      </c>
      <c r="P170" s="683">
        <f t="shared" si="7"/>
        <v>179.4871794871795</v>
      </c>
      <c r="Q170" s="684">
        <f t="shared" si="8"/>
        <v>1.7948717948717949</v>
      </c>
      <c r="R170" s="490"/>
    </row>
    <row r="171" spans="1:18" x14ac:dyDescent="0.2">
      <c r="A171" s="506" t="s">
        <v>276</v>
      </c>
      <c r="B171" s="502" t="s">
        <v>779</v>
      </c>
      <c r="C171" s="507" t="s">
        <v>282</v>
      </c>
      <c r="D171" s="503" t="s">
        <v>281</v>
      </c>
      <c r="E171" s="348"/>
      <c r="F171" s="504" t="s">
        <v>109</v>
      </c>
      <c r="G171" s="512" t="s">
        <v>796</v>
      </c>
      <c r="H171" s="511" t="s">
        <v>789</v>
      </c>
      <c r="I171" s="510" t="s">
        <v>790</v>
      </c>
      <c r="J171" s="509" t="s">
        <v>650</v>
      </c>
      <c r="K171" s="516">
        <v>8</v>
      </c>
      <c r="L171" s="520"/>
      <c r="M171" s="685">
        <v>48</v>
      </c>
      <c r="N171" s="685">
        <v>12</v>
      </c>
      <c r="O171" s="682">
        <f t="shared" si="6"/>
        <v>0.25</v>
      </c>
      <c r="P171" s="683">
        <f t="shared" si="7"/>
        <v>312.5</v>
      </c>
      <c r="Q171" s="684">
        <f t="shared" si="8"/>
        <v>3.125</v>
      </c>
      <c r="R171" s="490"/>
    </row>
    <row r="172" spans="1:18" x14ac:dyDescent="0.2">
      <c r="A172" s="506" t="s">
        <v>276</v>
      </c>
      <c r="B172" s="502" t="s">
        <v>779</v>
      </c>
      <c r="C172" s="507" t="s">
        <v>288</v>
      </c>
      <c r="D172" s="503" t="s">
        <v>287</v>
      </c>
      <c r="E172" s="348"/>
      <c r="F172" s="504" t="s">
        <v>109</v>
      </c>
      <c r="G172" s="512" t="s">
        <v>796</v>
      </c>
      <c r="H172" s="511" t="s">
        <v>792</v>
      </c>
      <c r="I172" s="510" t="s">
        <v>790</v>
      </c>
      <c r="J172" s="509" t="s">
        <v>650</v>
      </c>
      <c r="K172" s="516">
        <v>28.999999999999996</v>
      </c>
      <c r="L172" s="520"/>
      <c r="M172" s="685">
        <v>299</v>
      </c>
      <c r="N172" s="685">
        <v>36</v>
      </c>
      <c r="O172" s="682">
        <f t="shared" si="6"/>
        <v>0.12040133779264214</v>
      </c>
      <c r="P172" s="683">
        <f t="shared" si="7"/>
        <v>41.517702687117982</v>
      </c>
      <c r="Q172" s="684">
        <f t="shared" si="8"/>
        <v>0.4151770268711798</v>
      </c>
      <c r="R172" s="490"/>
    </row>
    <row r="173" spans="1:18" x14ac:dyDescent="0.2">
      <c r="A173" s="506" t="s">
        <v>276</v>
      </c>
      <c r="B173" s="502" t="s">
        <v>779</v>
      </c>
      <c r="C173" s="507" t="s">
        <v>288</v>
      </c>
      <c r="D173" s="503" t="s">
        <v>283</v>
      </c>
      <c r="E173" s="348"/>
      <c r="F173" s="504" t="s">
        <v>109</v>
      </c>
      <c r="G173" s="512" t="s">
        <v>796</v>
      </c>
      <c r="H173" s="511" t="s">
        <v>789</v>
      </c>
      <c r="I173" s="510" t="s">
        <v>790</v>
      </c>
      <c r="J173" s="509" t="s">
        <v>650</v>
      </c>
      <c r="K173" s="516">
        <v>8</v>
      </c>
      <c r="L173" s="520"/>
      <c r="M173" s="685">
        <v>64</v>
      </c>
      <c r="N173" s="685">
        <v>6</v>
      </c>
      <c r="O173" s="682">
        <f t="shared" si="6"/>
        <v>9.375E-2</v>
      </c>
      <c r="P173" s="683">
        <f t="shared" si="7"/>
        <v>117.1875</v>
      </c>
      <c r="Q173" s="684">
        <f t="shared" si="8"/>
        <v>1.171875</v>
      </c>
      <c r="R173" s="490"/>
    </row>
    <row r="174" spans="1:18" x14ac:dyDescent="0.2">
      <c r="A174" s="506" t="s">
        <v>276</v>
      </c>
      <c r="B174" s="502" t="s">
        <v>779</v>
      </c>
      <c r="C174" s="507" t="s">
        <v>288</v>
      </c>
      <c r="D174" s="503" t="s">
        <v>284</v>
      </c>
      <c r="E174" s="348"/>
      <c r="F174" s="504" t="s">
        <v>109</v>
      </c>
      <c r="G174" s="512" t="s">
        <v>796</v>
      </c>
      <c r="H174" s="511" t="s">
        <v>789</v>
      </c>
      <c r="I174" s="510" t="s">
        <v>790</v>
      </c>
      <c r="J174" s="509" t="s">
        <v>650</v>
      </c>
      <c r="K174" s="516">
        <v>8</v>
      </c>
      <c r="L174" s="520" t="s">
        <v>791</v>
      </c>
      <c r="M174" s="685">
        <v>10</v>
      </c>
      <c r="N174" s="685">
        <v>0</v>
      </c>
      <c r="O174" s="682">
        <f t="shared" si="6"/>
        <v>0</v>
      </c>
      <c r="P174" s="683">
        <f t="shared" si="7"/>
        <v>0</v>
      </c>
      <c r="Q174" s="684">
        <f t="shared" si="8"/>
        <v>0</v>
      </c>
      <c r="R174" s="491"/>
    </row>
    <row r="175" spans="1:18" x14ac:dyDescent="0.2">
      <c r="A175" s="506" t="s">
        <v>276</v>
      </c>
      <c r="B175" s="502" t="s">
        <v>779</v>
      </c>
      <c r="C175" s="507" t="s">
        <v>288</v>
      </c>
      <c r="D175" s="503" t="s">
        <v>279</v>
      </c>
      <c r="E175" s="348"/>
      <c r="F175" s="504" t="s">
        <v>109</v>
      </c>
      <c r="G175" s="512" t="s">
        <v>796</v>
      </c>
      <c r="H175" s="511" t="s">
        <v>789</v>
      </c>
      <c r="I175" s="510" t="s">
        <v>790</v>
      </c>
      <c r="J175" s="509" t="s">
        <v>650</v>
      </c>
      <c r="K175" s="516">
        <v>0</v>
      </c>
      <c r="L175" s="520" t="s">
        <v>791</v>
      </c>
      <c r="M175" s="685">
        <v>2</v>
      </c>
      <c r="N175" s="685">
        <v>1</v>
      </c>
      <c r="O175" s="682">
        <f t="shared" si="6"/>
        <v>0.5</v>
      </c>
      <c r="P175" s="683" t="str">
        <f t="shared" si="7"/>
        <v>0</v>
      </c>
      <c r="Q175" s="684" t="str">
        <f t="shared" si="8"/>
        <v>0</v>
      </c>
      <c r="R175" s="491"/>
    </row>
    <row r="176" spans="1:18" x14ac:dyDescent="0.2">
      <c r="A176" s="506" t="s">
        <v>276</v>
      </c>
      <c r="B176" s="502" t="s">
        <v>779</v>
      </c>
      <c r="C176" s="507" t="s">
        <v>288</v>
      </c>
      <c r="D176" s="503" t="s">
        <v>281</v>
      </c>
      <c r="E176" s="348"/>
      <c r="F176" s="504" t="s">
        <v>109</v>
      </c>
      <c r="G176" s="512" t="s">
        <v>796</v>
      </c>
      <c r="H176" s="511" t="s">
        <v>789</v>
      </c>
      <c r="I176" s="510" t="s">
        <v>790</v>
      </c>
      <c r="J176" s="509" t="s">
        <v>650</v>
      </c>
      <c r="K176" s="516">
        <v>8</v>
      </c>
      <c r="L176" s="520" t="s">
        <v>791</v>
      </c>
      <c r="M176" s="685">
        <v>17</v>
      </c>
      <c r="N176" s="685">
        <v>3</v>
      </c>
      <c r="O176" s="682">
        <f t="shared" si="6"/>
        <v>0.17647058823529413</v>
      </c>
      <c r="P176" s="683">
        <f t="shared" si="7"/>
        <v>220.58823529411762</v>
      </c>
      <c r="Q176" s="684">
        <f t="shared" si="8"/>
        <v>2.2058823529411762</v>
      </c>
      <c r="R176" s="491"/>
    </row>
    <row r="177" spans="1:18" x14ac:dyDescent="0.2">
      <c r="A177" s="506" t="s">
        <v>276</v>
      </c>
      <c r="B177" s="502" t="s">
        <v>779</v>
      </c>
      <c r="C177" s="507" t="s">
        <v>99</v>
      </c>
      <c r="D177" s="503" t="s">
        <v>287</v>
      </c>
      <c r="E177" s="348"/>
      <c r="F177" s="504" t="s">
        <v>109</v>
      </c>
      <c r="G177" s="512" t="s">
        <v>796</v>
      </c>
      <c r="H177" s="511" t="s">
        <v>792</v>
      </c>
      <c r="I177" s="510" t="s">
        <v>790</v>
      </c>
      <c r="J177" s="509" t="s">
        <v>650</v>
      </c>
      <c r="K177" s="516">
        <v>17</v>
      </c>
      <c r="L177" s="520"/>
      <c r="M177" s="685">
        <v>326</v>
      </c>
      <c r="N177" s="685">
        <v>49</v>
      </c>
      <c r="O177" s="682">
        <f t="shared" si="6"/>
        <v>0.15030674846625766</v>
      </c>
      <c r="P177" s="683">
        <f t="shared" si="7"/>
        <v>88.415734391916274</v>
      </c>
      <c r="Q177" s="684">
        <f t="shared" si="8"/>
        <v>0.88415734391916267</v>
      </c>
      <c r="R177" s="490"/>
    </row>
    <row r="178" spans="1:18" x14ac:dyDescent="0.2">
      <c r="A178" s="506" t="s">
        <v>276</v>
      </c>
      <c r="B178" s="502" t="s">
        <v>779</v>
      </c>
      <c r="C178" s="507" t="s">
        <v>99</v>
      </c>
      <c r="D178" s="503" t="s">
        <v>283</v>
      </c>
      <c r="E178" s="348"/>
      <c r="F178" s="504" t="s">
        <v>109</v>
      </c>
      <c r="G178" s="512" t="s">
        <v>796</v>
      </c>
      <c r="H178" s="511" t="s">
        <v>789</v>
      </c>
      <c r="I178" s="510" t="s">
        <v>790</v>
      </c>
      <c r="J178" s="509" t="s">
        <v>650</v>
      </c>
      <c r="K178" s="516">
        <v>36</v>
      </c>
      <c r="L178" s="520"/>
      <c r="M178" s="685">
        <v>17</v>
      </c>
      <c r="N178" s="685">
        <v>4</v>
      </c>
      <c r="O178" s="682">
        <f t="shared" si="6"/>
        <v>0.23529411764705882</v>
      </c>
      <c r="P178" s="683">
        <f t="shared" si="7"/>
        <v>65.359477124183002</v>
      </c>
      <c r="Q178" s="684">
        <f t="shared" si="8"/>
        <v>0.65359477124183007</v>
      </c>
      <c r="R178" s="490"/>
    </row>
    <row r="179" spans="1:18" x14ac:dyDescent="0.2">
      <c r="A179" s="506" t="s">
        <v>276</v>
      </c>
      <c r="B179" s="502" t="s">
        <v>779</v>
      </c>
      <c r="C179" s="507" t="s">
        <v>99</v>
      </c>
      <c r="D179" s="503" t="s">
        <v>284</v>
      </c>
      <c r="E179" s="348"/>
      <c r="F179" s="504" t="s">
        <v>109</v>
      </c>
      <c r="G179" s="512" t="s">
        <v>796</v>
      </c>
      <c r="H179" s="511" t="s">
        <v>789</v>
      </c>
      <c r="I179" s="510" t="s">
        <v>790</v>
      </c>
      <c r="J179" s="509" t="s">
        <v>650</v>
      </c>
      <c r="K179" s="516">
        <v>80</v>
      </c>
      <c r="L179" s="520"/>
      <c r="M179" s="685">
        <v>8</v>
      </c>
      <c r="N179" s="685">
        <v>2</v>
      </c>
      <c r="O179" s="682">
        <f t="shared" si="6"/>
        <v>0.25</v>
      </c>
      <c r="P179" s="683">
        <f t="shared" si="7"/>
        <v>31.25</v>
      </c>
      <c r="Q179" s="684">
        <f t="shared" si="8"/>
        <v>0.3125</v>
      </c>
      <c r="R179" s="490"/>
    </row>
    <row r="180" spans="1:18" x14ac:dyDescent="0.2">
      <c r="A180" s="506" t="s">
        <v>276</v>
      </c>
      <c r="B180" s="502" t="s">
        <v>779</v>
      </c>
      <c r="C180" s="507" t="s">
        <v>99</v>
      </c>
      <c r="D180" s="503" t="s">
        <v>279</v>
      </c>
      <c r="E180" s="348"/>
      <c r="F180" s="504" t="s">
        <v>109</v>
      </c>
      <c r="G180" s="512" t="s">
        <v>796</v>
      </c>
      <c r="H180" s="511" t="s">
        <v>789</v>
      </c>
      <c r="I180" s="510" t="s">
        <v>790</v>
      </c>
      <c r="J180" s="509" t="s">
        <v>650</v>
      </c>
      <c r="K180" s="516">
        <v>0</v>
      </c>
      <c r="L180" s="520" t="s">
        <v>791</v>
      </c>
      <c r="M180" s="685">
        <v>5</v>
      </c>
      <c r="N180" s="685">
        <v>2</v>
      </c>
      <c r="O180" s="682">
        <f t="shared" si="6"/>
        <v>0.4</v>
      </c>
      <c r="P180" s="683" t="str">
        <f t="shared" si="7"/>
        <v>0</v>
      </c>
      <c r="Q180" s="684" t="str">
        <f t="shared" si="8"/>
        <v>0</v>
      </c>
      <c r="R180" s="491"/>
    </row>
    <row r="181" spans="1:18" x14ac:dyDescent="0.2">
      <c r="A181" s="506" t="s">
        <v>276</v>
      </c>
      <c r="B181" s="502" t="s">
        <v>779</v>
      </c>
      <c r="C181" s="507" t="s">
        <v>99</v>
      </c>
      <c r="D181" s="503" t="s">
        <v>281</v>
      </c>
      <c r="E181" s="348"/>
      <c r="F181" s="504" t="s">
        <v>109</v>
      </c>
      <c r="G181" s="512" t="s">
        <v>796</v>
      </c>
      <c r="H181" s="511" t="s">
        <v>789</v>
      </c>
      <c r="I181" s="510" t="s">
        <v>790</v>
      </c>
      <c r="J181" s="509" t="s">
        <v>650</v>
      </c>
      <c r="K181" s="516">
        <v>0</v>
      </c>
      <c r="L181" s="520" t="s">
        <v>791</v>
      </c>
      <c r="M181" s="685">
        <v>1</v>
      </c>
      <c r="N181" s="685">
        <v>0</v>
      </c>
      <c r="O181" s="682">
        <f t="shared" si="6"/>
        <v>0</v>
      </c>
      <c r="P181" s="683" t="str">
        <f t="shared" si="7"/>
        <v>0</v>
      </c>
      <c r="Q181" s="684" t="str">
        <f t="shared" si="8"/>
        <v>0</v>
      </c>
      <c r="R181" s="491"/>
    </row>
    <row r="182" spans="1:18" x14ac:dyDescent="0.2">
      <c r="A182" s="506" t="s">
        <v>276</v>
      </c>
      <c r="B182" s="502" t="s">
        <v>779</v>
      </c>
      <c r="C182" s="507" t="s">
        <v>285</v>
      </c>
      <c r="D182" s="503" t="s">
        <v>287</v>
      </c>
      <c r="E182" s="348"/>
      <c r="F182" s="504" t="s">
        <v>109</v>
      </c>
      <c r="G182" s="512" t="s">
        <v>796</v>
      </c>
      <c r="H182" s="511" t="s">
        <v>792</v>
      </c>
      <c r="I182" s="510" t="s">
        <v>790</v>
      </c>
      <c r="J182" s="509" t="s">
        <v>650</v>
      </c>
      <c r="K182" s="516">
        <v>13</v>
      </c>
      <c r="L182" s="520"/>
      <c r="M182" s="685">
        <v>0</v>
      </c>
      <c r="N182" s="685">
        <v>0</v>
      </c>
      <c r="O182" s="682">
        <f t="shared" si="6"/>
        <v>0</v>
      </c>
      <c r="P182" s="683" t="str">
        <f t="shared" si="7"/>
        <v>0</v>
      </c>
      <c r="Q182" s="684" t="str">
        <f t="shared" si="8"/>
        <v>0</v>
      </c>
      <c r="R182" s="491"/>
    </row>
    <row r="183" spans="1:18" x14ac:dyDescent="0.2">
      <c r="A183" s="506" t="s">
        <v>276</v>
      </c>
      <c r="B183" s="502" t="s">
        <v>779</v>
      </c>
      <c r="C183" s="507" t="s">
        <v>285</v>
      </c>
      <c r="D183" s="503" t="s">
        <v>283</v>
      </c>
      <c r="E183" s="348"/>
      <c r="F183" s="504" t="s">
        <v>109</v>
      </c>
      <c r="G183" s="512" t="s">
        <v>796</v>
      </c>
      <c r="H183" s="511" t="s">
        <v>789</v>
      </c>
      <c r="I183" s="510" t="s">
        <v>790</v>
      </c>
      <c r="J183" s="509" t="s">
        <v>650</v>
      </c>
      <c r="K183" s="516">
        <v>0</v>
      </c>
      <c r="L183" s="520" t="s">
        <v>791</v>
      </c>
      <c r="M183" s="685">
        <v>5</v>
      </c>
      <c r="N183" s="685">
        <v>1</v>
      </c>
      <c r="O183" s="682">
        <f t="shared" si="6"/>
        <v>0.2</v>
      </c>
      <c r="P183" s="683" t="str">
        <f t="shared" si="7"/>
        <v>0</v>
      </c>
      <c r="Q183" s="684" t="str">
        <f t="shared" si="8"/>
        <v>0</v>
      </c>
      <c r="R183" s="491"/>
    </row>
    <row r="184" spans="1:18" x14ac:dyDescent="0.2">
      <c r="A184" s="506" t="s">
        <v>276</v>
      </c>
      <c r="B184" s="502" t="s">
        <v>779</v>
      </c>
      <c r="C184" s="507" t="s">
        <v>285</v>
      </c>
      <c r="D184" s="503" t="s">
        <v>284</v>
      </c>
      <c r="E184" s="348"/>
      <c r="F184" s="504" t="s">
        <v>109</v>
      </c>
      <c r="G184" s="512" t="s">
        <v>796</v>
      </c>
      <c r="H184" s="511" t="s">
        <v>789</v>
      </c>
      <c r="I184" s="510" t="s">
        <v>790</v>
      </c>
      <c r="J184" s="509" t="s">
        <v>650</v>
      </c>
      <c r="K184" s="516">
        <v>0</v>
      </c>
      <c r="L184" s="520" t="s">
        <v>791</v>
      </c>
      <c r="M184" s="685">
        <v>4</v>
      </c>
      <c r="N184" s="685">
        <v>0</v>
      </c>
      <c r="O184" s="682">
        <f t="shared" si="6"/>
        <v>0</v>
      </c>
      <c r="P184" s="683" t="str">
        <f t="shared" si="7"/>
        <v>0</v>
      </c>
      <c r="Q184" s="684" t="str">
        <f t="shared" si="8"/>
        <v>0</v>
      </c>
      <c r="R184" s="491"/>
    </row>
    <row r="185" spans="1:18" x14ac:dyDescent="0.2">
      <c r="A185" s="506" t="s">
        <v>276</v>
      </c>
      <c r="B185" s="502" t="s">
        <v>779</v>
      </c>
      <c r="C185" s="507" t="s">
        <v>285</v>
      </c>
      <c r="D185" s="503" t="s">
        <v>279</v>
      </c>
      <c r="E185" s="348"/>
      <c r="F185" s="504" t="s">
        <v>109</v>
      </c>
      <c r="G185" s="512" t="s">
        <v>796</v>
      </c>
      <c r="H185" s="511" t="s">
        <v>789</v>
      </c>
      <c r="I185" s="510" t="s">
        <v>790</v>
      </c>
      <c r="J185" s="509" t="s">
        <v>650</v>
      </c>
      <c r="K185" s="516">
        <v>0</v>
      </c>
      <c r="L185" s="520" t="s">
        <v>791</v>
      </c>
      <c r="M185" s="685">
        <v>1</v>
      </c>
      <c r="N185" s="685">
        <v>0</v>
      </c>
      <c r="O185" s="682">
        <f t="shared" si="6"/>
        <v>0</v>
      </c>
      <c r="P185" s="683" t="str">
        <f t="shared" si="7"/>
        <v>0</v>
      </c>
      <c r="Q185" s="684" t="str">
        <f t="shared" si="8"/>
        <v>0</v>
      </c>
      <c r="R185" s="491"/>
    </row>
    <row r="186" spans="1:18" x14ac:dyDescent="0.2">
      <c r="A186" s="506" t="s">
        <v>276</v>
      </c>
      <c r="B186" s="502" t="s">
        <v>779</v>
      </c>
      <c r="C186" s="507" t="s">
        <v>285</v>
      </c>
      <c r="D186" s="503" t="s">
        <v>281</v>
      </c>
      <c r="E186" s="348"/>
      <c r="F186" s="504" t="s">
        <v>109</v>
      </c>
      <c r="G186" s="512" t="s">
        <v>796</v>
      </c>
      <c r="H186" s="511" t="s">
        <v>789</v>
      </c>
      <c r="I186" s="510" t="s">
        <v>790</v>
      </c>
      <c r="J186" s="509" t="s">
        <v>650</v>
      </c>
      <c r="K186" s="516">
        <v>25</v>
      </c>
      <c r="L186" s="520"/>
      <c r="M186" s="685">
        <v>12</v>
      </c>
      <c r="N186" s="685">
        <v>4</v>
      </c>
      <c r="O186" s="682">
        <f t="shared" si="6"/>
        <v>0.33333333333333331</v>
      </c>
      <c r="P186" s="683">
        <f t="shared" si="7"/>
        <v>133.33333333333331</v>
      </c>
      <c r="Q186" s="684">
        <f t="shared" si="8"/>
        <v>1.3333333333333333</v>
      </c>
      <c r="R186" s="490"/>
    </row>
    <row r="187" spans="1:18" x14ac:dyDescent="0.2">
      <c r="A187" s="506" t="s">
        <v>276</v>
      </c>
      <c r="B187" s="502" t="s">
        <v>779</v>
      </c>
      <c r="C187" s="507" t="s">
        <v>285</v>
      </c>
      <c r="D187" s="503" t="s">
        <v>286</v>
      </c>
      <c r="E187" s="348"/>
      <c r="F187" s="504" t="s">
        <v>109</v>
      </c>
      <c r="G187" s="512" t="s">
        <v>796</v>
      </c>
      <c r="H187" s="511" t="s">
        <v>789</v>
      </c>
      <c r="I187" s="510" t="s">
        <v>790</v>
      </c>
      <c r="J187" s="509" t="s">
        <v>650</v>
      </c>
      <c r="K187" s="516">
        <v>10</v>
      </c>
      <c r="L187" s="520"/>
      <c r="M187" s="685">
        <v>20</v>
      </c>
      <c r="N187" s="685">
        <v>0</v>
      </c>
      <c r="O187" s="682">
        <f t="shared" si="6"/>
        <v>0</v>
      </c>
      <c r="P187" s="683">
        <f t="shared" si="7"/>
        <v>0</v>
      </c>
      <c r="Q187" s="684">
        <f t="shared" si="8"/>
        <v>0</v>
      </c>
      <c r="R187" s="490"/>
    </row>
    <row r="188" spans="1:18" x14ac:dyDescent="0.2">
      <c r="A188" s="506" t="s">
        <v>276</v>
      </c>
      <c r="B188" s="502" t="s">
        <v>779</v>
      </c>
      <c r="C188" s="507" t="s">
        <v>291</v>
      </c>
      <c r="D188" s="503" t="s">
        <v>283</v>
      </c>
      <c r="E188" s="348"/>
      <c r="F188" s="504" t="s">
        <v>109</v>
      </c>
      <c r="G188" s="512" t="s">
        <v>796</v>
      </c>
      <c r="H188" s="511" t="s">
        <v>789</v>
      </c>
      <c r="I188" s="510" t="s">
        <v>790</v>
      </c>
      <c r="J188" s="509" t="s">
        <v>650</v>
      </c>
      <c r="K188" s="516">
        <v>0</v>
      </c>
      <c r="L188" s="520" t="s">
        <v>791</v>
      </c>
      <c r="M188" s="685">
        <v>0</v>
      </c>
      <c r="N188" s="685">
        <v>0</v>
      </c>
      <c r="O188" s="682">
        <f t="shared" si="6"/>
        <v>0</v>
      </c>
      <c r="P188" s="683" t="str">
        <f t="shared" si="7"/>
        <v>0</v>
      </c>
      <c r="Q188" s="684" t="str">
        <f t="shared" si="8"/>
        <v>0</v>
      </c>
      <c r="R188" s="491"/>
    </row>
    <row r="189" spans="1:18" x14ac:dyDescent="0.2">
      <c r="A189" s="506" t="s">
        <v>276</v>
      </c>
      <c r="B189" s="502" t="s">
        <v>779</v>
      </c>
      <c r="C189" s="507" t="s">
        <v>291</v>
      </c>
      <c r="D189" s="503" t="s">
        <v>284</v>
      </c>
      <c r="E189" s="348"/>
      <c r="F189" s="504" t="s">
        <v>109</v>
      </c>
      <c r="G189" s="512" t="s">
        <v>796</v>
      </c>
      <c r="H189" s="511" t="s">
        <v>789</v>
      </c>
      <c r="I189" s="510" t="s">
        <v>790</v>
      </c>
      <c r="J189" s="509" t="s">
        <v>650</v>
      </c>
      <c r="K189" s="516">
        <v>0</v>
      </c>
      <c r="L189" s="520" t="s">
        <v>791</v>
      </c>
      <c r="M189" s="685">
        <v>0</v>
      </c>
      <c r="N189" s="685">
        <v>0</v>
      </c>
      <c r="O189" s="682">
        <f t="shared" si="6"/>
        <v>0</v>
      </c>
      <c r="P189" s="683" t="str">
        <f t="shared" si="7"/>
        <v>0</v>
      </c>
      <c r="Q189" s="684" t="str">
        <f t="shared" si="8"/>
        <v>0</v>
      </c>
      <c r="R189" s="491"/>
    </row>
    <row r="190" spans="1:18" x14ac:dyDescent="0.2">
      <c r="A190" s="506" t="s">
        <v>276</v>
      </c>
      <c r="B190" s="502" t="s">
        <v>779</v>
      </c>
      <c r="C190" s="507" t="s">
        <v>290</v>
      </c>
      <c r="D190" s="503" t="s">
        <v>287</v>
      </c>
      <c r="E190" s="348"/>
      <c r="F190" s="504" t="s">
        <v>109</v>
      </c>
      <c r="G190" s="512" t="s">
        <v>796</v>
      </c>
      <c r="H190" s="511" t="s">
        <v>792</v>
      </c>
      <c r="I190" s="510" t="s">
        <v>790</v>
      </c>
      <c r="J190" s="509" t="s">
        <v>650</v>
      </c>
      <c r="K190" s="516">
        <v>38</v>
      </c>
      <c r="L190" s="520"/>
      <c r="M190" s="685">
        <v>65</v>
      </c>
      <c r="N190" s="685">
        <v>9</v>
      </c>
      <c r="O190" s="682">
        <f t="shared" si="6"/>
        <v>0.13846153846153847</v>
      </c>
      <c r="P190" s="683">
        <f t="shared" si="7"/>
        <v>36.43724696356275</v>
      </c>
      <c r="Q190" s="684">
        <f t="shared" si="8"/>
        <v>0.36437246963562753</v>
      </c>
      <c r="R190" s="490"/>
    </row>
    <row r="191" spans="1:18" x14ac:dyDescent="0.2">
      <c r="A191" s="506" t="s">
        <v>276</v>
      </c>
      <c r="B191" s="502" t="s">
        <v>779</v>
      </c>
      <c r="C191" s="507" t="s">
        <v>290</v>
      </c>
      <c r="D191" s="503" t="s">
        <v>283</v>
      </c>
      <c r="E191" s="348"/>
      <c r="F191" s="504" t="s">
        <v>109</v>
      </c>
      <c r="G191" s="512" t="s">
        <v>796</v>
      </c>
      <c r="H191" s="511" t="s">
        <v>789</v>
      </c>
      <c r="I191" s="510" t="s">
        <v>790</v>
      </c>
      <c r="J191" s="509" t="s">
        <v>650</v>
      </c>
      <c r="K191" s="516">
        <v>0</v>
      </c>
      <c r="L191" s="520" t="s">
        <v>791</v>
      </c>
      <c r="M191" s="685">
        <v>5</v>
      </c>
      <c r="N191" s="685">
        <v>0</v>
      </c>
      <c r="O191" s="682">
        <f t="shared" si="6"/>
        <v>0</v>
      </c>
      <c r="P191" s="683" t="str">
        <f t="shared" si="7"/>
        <v>0</v>
      </c>
      <c r="Q191" s="684" t="str">
        <f t="shared" si="8"/>
        <v>0</v>
      </c>
      <c r="R191" s="491"/>
    </row>
    <row r="192" spans="1:18" x14ac:dyDescent="0.2">
      <c r="A192" s="506" t="s">
        <v>276</v>
      </c>
      <c r="B192" s="502" t="s">
        <v>779</v>
      </c>
      <c r="C192" s="507" t="s">
        <v>290</v>
      </c>
      <c r="D192" s="503" t="s">
        <v>284</v>
      </c>
      <c r="E192" s="348"/>
      <c r="F192" s="504" t="s">
        <v>109</v>
      </c>
      <c r="G192" s="512" t="s">
        <v>796</v>
      </c>
      <c r="H192" s="511" t="s">
        <v>789</v>
      </c>
      <c r="I192" s="510" t="s">
        <v>790</v>
      </c>
      <c r="J192" s="509" t="s">
        <v>650</v>
      </c>
      <c r="K192" s="516">
        <v>0</v>
      </c>
      <c r="L192" s="520" t="s">
        <v>791</v>
      </c>
      <c r="M192" s="685">
        <v>0</v>
      </c>
      <c r="N192" s="685">
        <v>0</v>
      </c>
      <c r="O192" s="682">
        <f t="shared" si="6"/>
        <v>0</v>
      </c>
      <c r="P192" s="683" t="str">
        <f t="shared" si="7"/>
        <v>0</v>
      </c>
      <c r="Q192" s="684" t="str">
        <f t="shared" si="8"/>
        <v>0</v>
      </c>
      <c r="R192" s="491"/>
    </row>
    <row r="193" spans="1:18" x14ac:dyDescent="0.2">
      <c r="A193" s="506" t="s">
        <v>276</v>
      </c>
      <c r="B193" s="502" t="s">
        <v>779</v>
      </c>
      <c r="C193" s="507" t="s">
        <v>289</v>
      </c>
      <c r="D193" s="503" t="s">
        <v>287</v>
      </c>
      <c r="E193" s="348"/>
      <c r="F193" s="504" t="s">
        <v>109</v>
      </c>
      <c r="G193" s="512" t="s">
        <v>796</v>
      </c>
      <c r="H193" s="511" t="s">
        <v>792</v>
      </c>
      <c r="I193" s="510" t="s">
        <v>790</v>
      </c>
      <c r="J193" s="509" t="s">
        <v>650</v>
      </c>
      <c r="K193" s="516">
        <v>5</v>
      </c>
      <c r="L193" s="520"/>
      <c r="M193" s="685">
        <v>733</v>
      </c>
      <c r="N193" s="685">
        <v>90</v>
      </c>
      <c r="O193" s="682">
        <f t="shared" si="6"/>
        <v>0.12278308321964529</v>
      </c>
      <c r="P193" s="683">
        <f t="shared" si="7"/>
        <v>245.56616643929061</v>
      </c>
      <c r="Q193" s="684">
        <f t="shared" si="8"/>
        <v>2.4556616643929061</v>
      </c>
      <c r="R193" s="490"/>
    </row>
    <row r="194" spans="1:18" x14ac:dyDescent="0.2">
      <c r="A194" s="506" t="s">
        <v>276</v>
      </c>
      <c r="B194" s="502" t="s">
        <v>779</v>
      </c>
      <c r="C194" s="507" t="s">
        <v>289</v>
      </c>
      <c r="D194" s="503" t="s">
        <v>283</v>
      </c>
      <c r="E194" s="348"/>
      <c r="F194" s="504" t="s">
        <v>109</v>
      </c>
      <c r="G194" s="512" t="s">
        <v>796</v>
      </c>
      <c r="H194" s="511" t="s">
        <v>789</v>
      </c>
      <c r="I194" s="510" t="s">
        <v>790</v>
      </c>
      <c r="J194" s="509" t="s">
        <v>650</v>
      </c>
      <c r="K194" s="516">
        <v>32</v>
      </c>
      <c r="L194" s="520"/>
      <c r="M194" s="685">
        <v>134</v>
      </c>
      <c r="N194" s="685">
        <v>38</v>
      </c>
      <c r="O194" s="682">
        <f t="shared" si="6"/>
        <v>0.28358208955223879</v>
      </c>
      <c r="P194" s="683">
        <f t="shared" si="7"/>
        <v>88.619402985074629</v>
      </c>
      <c r="Q194" s="684">
        <f t="shared" si="8"/>
        <v>0.88619402985074625</v>
      </c>
      <c r="R194" s="490"/>
    </row>
    <row r="195" spans="1:18" x14ac:dyDescent="0.2">
      <c r="A195" s="506" t="s">
        <v>276</v>
      </c>
      <c r="B195" s="502" t="s">
        <v>779</v>
      </c>
      <c r="C195" s="507" t="s">
        <v>289</v>
      </c>
      <c r="D195" s="503" t="s">
        <v>284</v>
      </c>
      <c r="E195" s="348"/>
      <c r="F195" s="504" t="s">
        <v>109</v>
      </c>
      <c r="G195" s="512" t="s">
        <v>796</v>
      </c>
      <c r="H195" s="511" t="s">
        <v>789</v>
      </c>
      <c r="I195" s="510" t="s">
        <v>790</v>
      </c>
      <c r="J195" s="509" t="s">
        <v>650</v>
      </c>
      <c r="K195" s="516">
        <v>33</v>
      </c>
      <c r="L195" s="520"/>
      <c r="M195" s="685">
        <v>29</v>
      </c>
      <c r="N195" s="685">
        <v>13</v>
      </c>
      <c r="O195" s="682">
        <f t="shared" si="6"/>
        <v>0.44827586206896552</v>
      </c>
      <c r="P195" s="683">
        <f t="shared" si="7"/>
        <v>135.84117032392896</v>
      </c>
      <c r="Q195" s="684">
        <f t="shared" si="8"/>
        <v>1.3584117032392895</v>
      </c>
      <c r="R195" s="490"/>
    </row>
    <row r="196" spans="1:18" x14ac:dyDescent="0.2">
      <c r="A196" s="506" t="s">
        <v>276</v>
      </c>
      <c r="B196" s="502" t="s">
        <v>779</v>
      </c>
      <c r="C196" s="507" t="s">
        <v>289</v>
      </c>
      <c r="D196" s="503" t="s">
        <v>281</v>
      </c>
      <c r="E196" s="348"/>
      <c r="F196" s="504" t="s">
        <v>109</v>
      </c>
      <c r="G196" s="512" t="s">
        <v>796</v>
      </c>
      <c r="H196" s="511" t="s">
        <v>789</v>
      </c>
      <c r="I196" s="510" t="s">
        <v>790</v>
      </c>
      <c r="J196" s="509" t="s">
        <v>650</v>
      </c>
      <c r="K196" s="516">
        <v>0</v>
      </c>
      <c r="L196" s="520" t="s">
        <v>791</v>
      </c>
      <c r="M196" s="685">
        <v>2</v>
      </c>
      <c r="N196" s="685">
        <v>0</v>
      </c>
      <c r="O196" s="682">
        <f t="shared" si="6"/>
        <v>0</v>
      </c>
      <c r="P196" s="683" t="str">
        <f t="shared" si="7"/>
        <v>0</v>
      </c>
      <c r="Q196" s="684" t="str">
        <f t="shared" si="8"/>
        <v>0</v>
      </c>
      <c r="R196" s="491"/>
    </row>
    <row r="197" spans="1:18" x14ac:dyDescent="0.2">
      <c r="A197" s="506" t="s">
        <v>276</v>
      </c>
      <c r="B197" s="502" t="s">
        <v>779</v>
      </c>
      <c r="C197" s="507" t="s">
        <v>97</v>
      </c>
      <c r="D197" s="503" t="s">
        <v>279</v>
      </c>
      <c r="E197" s="348"/>
      <c r="F197" s="504" t="s">
        <v>109</v>
      </c>
      <c r="G197" s="512" t="s">
        <v>797</v>
      </c>
      <c r="H197" s="511" t="s">
        <v>789</v>
      </c>
      <c r="I197" s="510" t="s">
        <v>790</v>
      </c>
      <c r="J197" s="509" t="s">
        <v>650</v>
      </c>
      <c r="K197" s="516">
        <v>33</v>
      </c>
      <c r="L197" s="520"/>
      <c r="M197" s="685">
        <v>6</v>
      </c>
      <c r="N197" s="685">
        <v>4</v>
      </c>
      <c r="O197" s="682">
        <f t="shared" ref="O197:O260" si="9">IFERROR(N197/M197,0)</f>
        <v>0.66666666666666663</v>
      </c>
      <c r="P197" s="683">
        <f t="shared" ref="P197:P260" si="10">IFERROR(N197/(M197*(K197/100))*100,"0")</f>
        <v>202.02020202020202</v>
      </c>
      <c r="Q197" s="684">
        <f t="shared" ref="Q197:Q260" si="11">IFERROR(N197/(M197*(K197/100)),"0")</f>
        <v>2.0202020202020203</v>
      </c>
      <c r="R197" s="490"/>
    </row>
    <row r="198" spans="1:18" x14ac:dyDescent="0.2">
      <c r="A198" s="506" t="s">
        <v>276</v>
      </c>
      <c r="B198" s="502" t="s">
        <v>779</v>
      </c>
      <c r="C198" s="507" t="s">
        <v>97</v>
      </c>
      <c r="D198" s="503" t="s">
        <v>281</v>
      </c>
      <c r="E198" s="348"/>
      <c r="F198" s="504" t="s">
        <v>109</v>
      </c>
      <c r="G198" s="512" t="s">
        <v>797</v>
      </c>
      <c r="H198" s="511" t="s">
        <v>789</v>
      </c>
      <c r="I198" s="510" t="s">
        <v>790</v>
      </c>
      <c r="J198" s="509" t="s">
        <v>650</v>
      </c>
      <c r="K198" s="516">
        <v>33</v>
      </c>
      <c r="L198" s="520" t="s">
        <v>791</v>
      </c>
      <c r="M198" s="685">
        <v>9</v>
      </c>
      <c r="N198" s="685">
        <v>7</v>
      </c>
      <c r="O198" s="682">
        <f t="shared" si="9"/>
        <v>0.77777777777777779</v>
      </c>
      <c r="P198" s="683">
        <f t="shared" si="10"/>
        <v>235.69023569023568</v>
      </c>
      <c r="Q198" s="684">
        <f t="shared" si="11"/>
        <v>2.3569023569023568</v>
      </c>
      <c r="R198" s="491"/>
    </row>
    <row r="199" spans="1:18" x14ac:dyDescent="0.2">
      <c r="A199" s="506" t="s">
        <v>276</v>
      </c>
      <c r="B199" s="502" t="s">
        <v>779</v>
      </c>
      <c r="C199" s="507" t="s">
        <v>282</v>
      </c>
      <c r="D199" s="503" t="s">
        <v>287</v>
      </c>
      <c r="E199" s="348"/>
      <c r="F199" s="504" t="s">
        <v>109</v>
      </c>
      <c r="G199" s="512" t="s">
        <v>797</v>
      </c>
      <c r="H199" s="511" t="s">
        <v>792</v>
      </c>
      <c r="I199" s="510" t="s">
        <v>790</v>
      </c>
      <c r="J199" s="509" t="s">
        <v>650</v>
      </c>
      <c r="K199" s="516">
        <v>5</v>
      </c>
      <c r="L199" s="520" t="s">
        <v>791</v>
      </c>
      <c r="M199" s="685">
        <v>68</v>
      </c>
      <c r="N199" s="685">
        <v>10</v>
      </c>
      <c r="O199" s="682">
        <f t="shared" si="9"/>
        <v>0.14705882352941177</v>
      </c>
      <c r="P199" s="683">
        <f t="shared" si="10"/>
        <v>294.11764705882348</v>
      </c>
      <c r="Q199" s="684">
        <f t="shared" si="11"/>
        <v>2.9411764705882351</v>
      </c>
      <c r="R199" s="491"/>
    </row>
    <row r="200" spans="1:18" x14ac:dyDescent="0.2">
      <c r="A200" s="506" t="s">
        <v>276</v>
      </c>
      <c r="B200" s="502" t="s">
        <v>779</v>
      </c>
      <c r="C200" s="507" t="s">
        <v>282</v>
      </c>
      <c r="D200" s="503" t="s">
        <v>283</v>
      </c>
      <c r="E200" s="348"/>
      <c r="F200" s="504" t="s">
        <v>109</v>
      </c>
      <c r="G200" s="512" t="s">
        <v>797</v>
      </c>
      <c r="H200" s="511" t="s">
        <v>789</v>
      </c>
      <c r="I200" s="510" t="s">
        <v>790</v>
      </c>
      <c r="J200" s="509" t="s">
        <v>650</v>
      </c>
      <c r="K200" s="516">
        <v>26</v>
      </c>
      <c r="L200" s="520"/>
      <c r="M200" s="685">
        <v>19</v>
      </c>
      <c r="N200" s="685">
        <v>2</v>
      </c>
      <c r="O200" s="682">
        <f t="shared" si="9"/>
        <v>0.10526315789473684</v>
      </c>
      <c r="P200" s="683">
        <f t="shared" si="10"/>
        <v>40.48582995951417</v>
      </c>
      <c r="Q200" s="684">
        <f t="shared" si="11"/>
        <v>0.40485829959514169</v>
      </c>
      <c r="R200" s="490"/>
    </row>
    <row r="201" spans="1:18" x14ac:dyDescent="0.2">
      <c r="A201" s="506" t="s">
        <v>276</v>
      </c>
      <c r="B201" s="502" t="s">
        <v>779</v>
      </c>
      <c r="C201" s="507" t="s">
        <v>282</v>
      </c>
      <c r="D201" s="503" t="s">
        <v>284</v>
      </c>
      <c r="E201" s="348"/>
      <c r="F201" s="504" t="s">
        <v>109</v>
      </c>
      <c r="G201" s="512" t="s">
        <v>797</v>
      </c>
      <c r="H201" s="511" t="s">
        <v>789</v>
      </c>
      <c r="I201" s="510" t="s">
        <v>790</v>
      </c>
      <c r="J201" s="509" t="s">
        <v>650</v>
      </c>
      <c r="K201" s="516">
        <v>16</v>
      </c>
      <c r="L201" s="520"/>
      <c r="M201" s="685">
        <v>43</v>
      </c>
      <c r="N201" s="685">
        <v>7</v>
      </c>
      <c r="O201" s="682">
        <f t="shared" si="9"/>
        <v>0.16279069767441862</v>
      </c>
      <c r="P201" s="683">
        <f t="shared" si="10"/>
        <v>101.74418604651163</v>
      </c>
      <c r="Q201" s="684">
        <f t="shared" si="11"/>
        <v>1.0174418604651163</v>
      </c>
      <c r="R201" s="490"/>
    </row>
    <row r="202" spans="1:18" x14ac:dyDescent="0.2">
      <c r="A202" s="506" t="s">
        <v>276</v>
      </c>
      <c r="B202" s="502" t="s">
        <v>779</v>
      </c>
      <c r="C202" s="507" t="s">
        <v>282</v>
      </c>
      <c r="D202" s="503" t="s">
        <v>279</v>
      </c>
      <c r="E202" s="348"/>
      <c r="F202" s="504" t="s">
        <v>109</v>
      </c>
      <c r="G202" s="512" t="s">
        <v>797</v>
      </c>
      <c r="H202" s="511" t="s">
        <v>789</v>
      </c>
      <c r="I202" s="510" t="s">
        <v>790</v>
      </c>
      <c r="J202" s="509" t="s">
        <v>650</v>
      </c>
      <c r="K202" s="516">
        <v>6</v>
      </c>
      <c r="L202" s="520"/>
      <c r="M202" s="685">
        <v>65</v>
      </c>
      <c r="N202" s="685">
        <v>7</v>
      </c>
      <c r="O202" s="682">
        <f t="shared" si="9"/>
        <v>0.1076923076923077</v>
      </c>
      <c r="P202" s="683">
        <f t="shared" si="10"/>
        <v>179.4871794871795</v>
      </c>
      <c r="Q202" s="684">
        <f t="shared" si="11"/>
        <v>1.7948717948717949</v>
      </c>
      <c r="R202" s="490"/>
    </row>
    <row r="203" spans="1:18" x14ac:dyDescent="0.2">
      <c r="A203" s="506" t="s">
        <v>276</v>
      </c>
      <c r="B203" s="502" t="s">
        <v>779</v>
      </c>
      <c r="C203" s="507" t="s">
        <v>282</v>
      </c>
      <c r="D203" s="503" t="s">
        <v>281</v>
      </c>
      <c r="E203" s="348"/>
      <c r="F203" s="504" t="s">
        <v>109</v>
      </c>
      <c r="G203" s="512" t="s">
        <v>797</v>
      </c>
      <c r="H203" s="511" t="s">
        <v>789</v>
      </c>
      <c r="I203" s="510" t="s">
        <v>790</v>
      </c>
      <c r="J203" s="509" t="s">
        <v>650</v>
      </c>
      <c r="K203" s="516">
        <v>8</v>
      </c>
      <c r="L203" s="520"/>
      <c r="M203" s="685">
        <v>48</v>
      </c>
      <c r="N203" s="685">
        <v>12</v>
      </c>
      <c r="O203" s="682">
        <f t="shared" si="9"/>
        <v>0.25</v>
      </c>
      <c r="P203" s="683">
        <f t="shared" si="10"/>
        <v>312.5</v>
      </c>
      <c r="Q203" s="684">
        <f t="shared" si="11"/>
        <v>3.125</v>
      </c>
      <c r="R203" s="490"/>
    </row>
    <row r="204" spans="1:18" x14ac:dyDescent="0.2">
      <c r="A204" s="506" t="s">
        <v>276</v>
      </c>
      <c r="B204" s="502" t="s">
        <v>779</v>
      </c>
      <c r="C204" s="507" t="s">
        <v>288</v>
      </c>
      <c r="D204" s="503" t="s">
        <v>287</v>
      </c>
      <c r="E204" s="348"/>
      <c r="F204" s="504" t="s">
        <v>109</v>
      </c>
      <c r="G204" s="512" t="s">
        <v>797</v>
      </c>
      <c r="H204" s="511" t="s">
        <v>792</v>
      </c>
      <c r="I204" s="510" t="s">
        <v>790</v>
      </c>
      <c r="J204" s="509" t="s">
        <v>650</v>
      </c>
      <c r="K204" s="516">
        <v>28.999999999999996</v>
      </c>
      <c r="L204" s="520"/>
      <c r="M204" s="685">
        <v>299</v>
      </c>
      <c r="N204" s="685">
        <v>36</v>
      </c>
      <c r="O204" s="682">
        <f t="shared" si="9"/>
        <v>0.12040133779264214</v>
      </c>
      <c r="P204" s="683">
        <f t="shared" si="10"/>
        <v>41.517702687117982</v>
      </c>
      <c r="Q204" s="684">
        <f t="shared" si="11"/>
        <v>0.4151770268711798</v>
      </c>
      <c r="R204" s="490"/>
    </row>
    <row r="205" spans="1:18" x14ac:dyDescent="0.2">
      <c r="A205" s="506" t="s">
        <v>276</v>
      </c>
      <c r="B205" s="502" t="s">
        <v>779</v>
      </c>
      <c r="C205" s="507" t="s">
        <v>288</v>
      </c>
      <c r="D205" s="503" t="s">
        <v>283</v>
      </c>
      <c r="E205" s="348"/>
      <c r="F205" s="504" t="s">
        <v>109</v>
      </c>
      <c r="G205" s="512" t="s">
        <v>797</v>
      </c>
      <c r="H205" s="511" t="s">
        <v>789</v>
      </c>
      <c r="I205" s="510" t="s">
        <v>790</v>
      </c>
      <c r="J205" s="509" t="s">
        <v>650</v>
      </c>
      <c r="K205" s="516">
        <v>8</v>
      </c>
      <c r="L205" s="520"/>
      <c r="M205" s="685">
        <v>64</v>
      </c>
      <c r="N205" s="685">
        <v>6</v>
      </c>
      <c r="O205" s="682">
        <f t="shared" si="9"/>
        <v>9.375E-2</v>
      </c>
      <c r="P205" s="683">
        <f t="shared" si="10"/>
        <v>117.1875</v>
      </c>
      <c r="Q205" s="684">
        <f t="shared" si="11"/>
        <v>1.171875</v>
      </c>
      <c r="R205" s="490"/>
    </row>
    <row r="206" spans="1:18" x14ac:dyDescent="0.2">
      <c r="A206" s="506" t="s">
        <v>276</v>
      </c>
      <c r="B206" s="502" t="s">
        <v>779</v>
      </c>
      <c r="C206" s="507" t="s">
        <v>288</v>
      </c>
      <c r="D206" s="503" t="s">
        <v>284</v>
      </c>
      <c r="E206" s="348"/>
      <c r="F206" s="504" t="s">
        <v>109</v>
      </c>
      <c r="G206" s="512" t="s">
        <v>797</v>
      </c>
      <c r="H206" s="511" t="s">
        <v>789</v>
      </c>
      <c r="I206" s="510" t="s">
        <v>790</v>
      </c>
      <c r="J206" s="509" t="s">
        <v>650</v>
      </c>
      <c r="K206" s="516">
        <v>8</v>
      </c>
      <c r="L206" s="520" t="s">
        <v>791</v>
      </c>
      <c r="M206" s="685">
        <v>10</v>
      </c>
      <c r="N206" s="685">
        <v>0</v>
      </c>
      <c r="O206" s="682">
        <f t="shared" si="9"/>
        <v>0</v>
      </c>
      <c r="P206" s="683">
        <f t="shared" si="10"/>
        <v>0</v>
      </c>
      <c r="Q206" s="684">
        <f t="shared" si="11"/>
        <v>0</v>
      </c>
      <c r="R206" s="491"/>
    </row>
    <row r="207" spans="1:18" x14ac:dyDescent="0.2">
      <c r="A207" s="506" t="s">
        <v>276</v>
      </c>
      <c r="B207" s="502" t="s">
        <v>779</v>
      </c>
      <c r="C207" s="507" t="s">
        <v>288</v>
      </c>
      <c r="D207" s="503" t="s">
        <v>279</v>
      </c>
      <c r="E207" s="348"/>
      <c r="F207" s="504" t="s">
        <v>109</v>
      </c>
      <c r="G207" s="512" t="s">
        <v>797</v>
      </c>
      <c r="H207" s="511" t="s">
        <v>789</v>
      </c>
      <c r="I207" s="510" t="s">
        <v>790</v>
      </c>
      <c r="J207" s="509" t="s">
        <v>650</v>
      </c>
      <c r="K207" s="516">
        <v>0</v>
      </c>
      <c r="L207" s="520" t="s">
        <v>791</v>
      </c>
      <c r="M207" s="685">
        <v>2</v>
      </c>
      <c r="N207" s="685">
        <v>1</v>
      </c>
      <c r="O207" s="682">
        <f t="shared" si="9"/>
        <v>0.5</v>
      </c>
      <c r="P207" s="683" t="str">
        <f t="shared" si="10"/>
        <v>0</v>
      </c>
      <c r="Q207" s="684" t="str">
        <f t="shared" si="11"/>
        <v>0</v>
      </c>
      <c r="R207" s="491"/>
    </row>
    <row r="208" spans="1:18" x14ac:dyDescent="0.2">
      <c r="A208" s="506" t="s">
        <v>276</v>
      </c>
      <c r="B208" s="502" t="s">
        <v>779</v>
      </c>
      <c r="C208" s="507" t="s">
        <v>288</v>
      </c>
      <c r="D208" s="503" t="s">
        <v>281</v>
      </c>
      <c r="E208" s="348"/>
      <c r="F208" s="504" t="s">
        <v>109</v>
      </c>
      <c r="G208" s="512" t="s">
        <v>797</v>
      </c>
      <c r="H208" s="511" t="s">
        <v>789</v>
      </c>
      <c r="I208" s="510" t="s">
        <v>790</v>
      </c>
      <c r="J208" s="509" t="s">
        <v>650</v>
      </c>
      <c r="K208" s="516">
        <v>8</v>
      </c>
      <c r="L208" s="520" t="s">
        <v>791</v>
      </c>
      <c r="M208" s="685">
        <v>17</v>
      </c>
      <c r="N208" s="685">
        <v>3</v>
      </c>
      <c r="O208" s="682">
        <f t="shared" si="9"/>
        <v>0.17647058823529413</v>
      </c>
      <c r="P208" s="683">
        <f t="shared" si="10"/>
        <v>220.58823529411762</v>
      </c>
      <c r="Q208" s="684">
        <f t="shared" si="11"/>
        <v>2.2058823529411762</v>
      </c>
      <c r="R208" s="491"/>
    </row>
    <row r="209" spans="1:18" x14ac:dyDescent="0.2">
      <c r="A209" s="506" t="s">
        <v>276</v>
      </c>
      <c r="B209" s="502" t="s">
        <v>779</v>
      </c>
      <c r="C209" s="507" t="s">
        <v>99</v>
      </c>
      <c r="D209" s="503" t="s">
        <v>287</v>
      </c>
      <c r="E209" s="348"/>
      <c r="F209" s="504" t="s">
        <v>109</v>
      </c>
      <c r="G209" s="512" t="s">
        <v>797</v>
      </c>
      <c r="H209" s="511" t="s">
        <v>792</v>
      </c>
      <c r="I209" s="510" t="s">
        <v>790</v>
      </c>
      <c r="J209" s="509" t="s">
        <v>650</v>
      </c>
      <c r="K209" s="516">
        <v>17</v>
      </c>
      <c r="L209" s="520"/>
      <c r="M209" s="685">
        <v>326</v>
      </c>
      <c r="N209" s="685">
        <v>49</v>
      </c>
      <c r="O209" s="682">
        <f t="shared" si="9"/>
        <v>0.15030674846625766</v>
      </c>
      <c r="P209" s="683">
        <f t="shared" si="10"/>
        <v>88.415734391916274</v>
      </c>
      <c r="Q209" s="684">
        <f t="shared" si="11"/>
        <v>0.88415734391916267</v>
      </c>
      <c r="R209" s="490"/>
    </row>
    <row r="210" spans="1:18" x14ac:dyDescent="0.2">
      <c r="A210" s="506" t="s">
        <v>276</v>
      </c>
      <c r="B210" s="502" t="s">
        <v>779</v>
      </c>
      <c r="C210" s="507" t="s">
        <v>99</v>
      </c>
      <c r="D210" s="503" t="s">
        <v>283</v>
      </c>
      <c r="E210" s="348"/>
      <c r="F210" s="504" t="s">
        <v>109</v>
      </c>
      <c r="G210" s="512" t="s">
        <v>797</v>
      </c>
      <c r="H210" s="511" t="s">
        <v>789</v>
      </c>
      <c r="I210" s="510" t="s">
        <v>790</v>
      </c>
      <c r="J210" s="509" t="s">
        <v>650</v>
      </c>
      <c r="K210" s="516">
        <v>36</v>
      </c>
      <c r="L210" s="520"/>
      <c r="M210" s="685">
        <v>17</v>
      </c>
      <c r="N210" s="685">
        <v>4</v>
      </c>
      <c r="O210" s="682">
        <f t="shared" si="9"/>
        <v>0.23529411764705882</v>
      </c>
      <c r="P210" s="683">
        <f t="shared" si="10"/>
        <v>65.359477124183002</v>
      </c>
      <c r="Q210" s="684">
        <f t="shared" si="11"/>
        <v>0.65359477124183007</v>
      </c>
      <c r="R210" s="490"/>
    </row>
    <row r="211" spans="1:18" x14ac:dyDescent="0.2">
      <c r="A211" s="506" t="s">
        <v>276</v>
      </c>
      <c r="B211" s="502" t="s">
        <v>779</v>
      </c>
      <c r="C211" s="507" t="s">
        <v>99</v>
      </c>
      <c r="D211" s="503" t="s">
        <v>284</v>
      </c>
      <c r="E211" s="348"/>
      <c r="F211" s="504" t="s">
        <v>109</v>
      </c>
      <c r="G211" s="512" t="s">
        <v>797</v>
      </c>
      <c r="H211" s="511" t="s">
        <v>789</v>
      </c>
      <c r="I211" s="510" t="s">
        <v>790</v>
      </c>
      <c r="J211" s="509" t="s">
        <v>650</v>
      </c>
      <c r="K211" s="516">
        <v>80</v>
      </c>
      <c r="L211" s="520"/>
      <c r="M211" s="685">
        <v>8</v>
      </c>
      <c r="N211" s="685">
        <v>2</v>
      </c>
      <c r="O211" s="682">
        <f t="shared" si="9"/>
        <v>0.25</v>
      </c>
      <c r="P211" s="683">
        <f t="shared" si="10"/>
        <v>31.25</v>
      </c>
      <c r="Q211" s="684">
        <f t="shared" si="11"/>
        <v>0.3125</v>
      </c>
      <c r="R211" s="490"/>
    </row>
    <row r="212" spans="1:18" x14ac:dyDescent="0.2">
      <c r="A212" s="506" t="s">
        <v>276</v>
      </c>
      <c r="B212" s="502" t="s">
        <v>779</v>
      </c>
      <c r="C212" s="507" t="s">
        <v>99</v>
      </c>
      <c r="D212" s="503" t="s">
        <v>279</v>
      </c>
      <c r="E212" s="348"/>
      <c r="F212" s="504" t="s">
        <v>109</v>
      </c>
      <c r="G212" s="512" t="s">
        <v>797</v>
      </c>
      <c r="H212" s="511" t="s">
        <v>789</v>
      </c>
      <c r="I212" s="510" t="s">
        <v>790</v>
      </c>
      <c r="J212" s="509" t="s">
        <v>650</v>
      </c>
      <c r="K212" s="516">
        <v>0</v>
      </c>
      <c r="L212" s="520" t="s">
        <v>791</v>
      </c>
      <c r="M212" s="685">
        <v>5</v>
      </c>
      <c r="N212" s="685">
        <v>2</v>
      </c>
      <c r="O212" s="682">
        <f t="shared" si="9"/>
        <v>0.4</v>
      </c>
      <c r="P212" s="683" t="str">
        <f t="shared" si="10"/>
        <v>0</v>
      </c>
      <c r="Q212" s="684" t="str">
        <f t="shared" si="11"/>
        <v>0</v>
      </c>
      <c r="R212" s="491"/>
    </row>
    <row r="213" spans="1:18" x14ac:dyDescent="0.2">
      <c r="A213" s="506" t="s">
        <v>276</v>
      </c>
      <c r="B213" s="502" t="s">
        <v>779</v>
      </c>
      <c r="C213" s="507" t="s">
        <v>99</v>
      </c>
      <c r="D213" s="503" t="s">
        <v>281</v>
      </c>
      <c r="E213" s="348"/>
      <c r="F213" s="504" t="s">
        <v>109</v>
      </c>
      <c r="G213" s="512" t="s">
        <v>797</v>
      </c>
      <c r="H213" s="511" t="s">
        <v>789</v>
      </c>
      <c r="I213" s="510" t="s">
        <v>790</v>
      </c>
      <c r="J213" s="509" t="s">
        <v>650</v>
      </c>
      <c r="K213" s="516">
        <v>0</v>
      </c>
      <c r="L213" s="520" t="s">
        <v>791</v>
      </c>
      <c r="M213" s="685">
        <v>1</v>
      </c>
      <c r="N213" s="685">
        <v>0</v>
      </c>
      <c r="O213" s="682">
        <f t="shared" si="9"/>
        <v>0</v>
      </c>
      <c r="P213" s="683" t="str">
        <f t="shared" si="10"/>
        <v>0</v>
      </c>
      <c r="Q213" s="684" t="str">
        <f t="shared" si="11"/>
        <v>0</v>
      </c>
      <c r="R213" s="491"/>
    </row>
    <row r="214" spans="1:18" x14ac:dyDescent="0.2">
      <c r="A214" s="506" t="s">
        <v>276</v>
      </c>
      <c r="B214" s="502" t="s">
        <v>779</v>
      </c>
      <c r="C214" s="507" t="s">
        <v>285</v>
      </c>
      <c r="D214" s="503" t="s">
        <v>287</v>
      </c>
      <c r="E214" s="348"/>
      <c r="F214" s="504" t="s">
        <v>109</v>
      </c>
      <c r="G214" s="512" t="s">
        <v>797</v>
      </c>
      <c r="H214" s="511" t="s">
        <v>792</v>
      </c>
      <c r="I214" s="510" t="s">
        <v>790</v>
      </c>
      <c r="J214" s="509" t="s">
        <v>650</v>
      </c>
      <c r="K214" s="516">
        <v>13</v>
      </c>
      <c r="L214" s="520"/>
      <c r="M214" s="685">
        <v>0</v>
      </c>
      <c r="N214" s="685">
        <v>0</v>
      </c>
      <c r="O214" s="682">
        <f t="shared" si="9"/>
        <v>0</v>
      </c>
      <c r="P214" s="683" t="str">
        <f t="shared" si="10"/>
        <v>0</v>
      </c>
      <c r="Q214" s="684" t="str">
        <f t="shared" si="11"/>
        <v>0</v>
      </c>
      <c r="R214" s="491"/>
    </row>
    <row r="215" spans="1:18" x14ac:dyDescent="0.2">
      <c r="A215" s="506" t="s">
        <v>276</v>
      </c>
      <c r="B215" s="502" t="s">
        <v>779</v>
      </c>
      <c r="C215" s="507" t="s">
        <v>285</v>
      </c>
      <c r="D215" s="503" t="s">
        <v>283</v>
      </c>
      <c r="E215" s="348"/>
      <c r="F215" s="504" t="s">
        <v>109</v>
      </c>
      <c r="G215" s="512" t="s">
        <v>797</v>
      </c>
      <c r="H215" s="511" t="s">
        <v>789</v>
      </c>
      <c r="I215" s="510" t="s">
        <v>790</v>
      </c>
      <c r="J215" s="509" t="s">
        <v>650</v>
      </c>
      <c r="K215" s="516">
        <v>0</v>
      </c>
      <c r="L215" s="520" t="s">
        <v>791</v>
      </c>
      <c r="M215" s="685">
        <v>5</v>
      </c>
      <c r="N215" s="685">
        <v>1</v>
      </c>
      <c r="O215" s="682">
        <f t="shared" si="9"/>
        <v>0.2</v>
      </c>
      <c r="P215" s="683" t="str">
        <f t="shared" si="10"/>
        <v>0</v>
      </c>
      <c r="Q215" s="684" t="str">
        <f t="shared" si="11"/>
        <v>0</v>
      </c>
      <c r="R215" s="491"/>
    </row>
    <row r="216" spans="1:18" x14ac:dyDescent="0.2">
      <c r="A216" s="506" t="s">
        <v>276</v>
      </c>
      <c r="B216" s="502" t="s">
        <v>779</v>
      </c>
      <c r="C216" s="507" t="s">
        <v>285</v>
      </c>
      <c r="D216" s="503" t="s">
        <v>284</v>
      </c>
      <c r="E216" s="348"/>
      <c r="F216" s="504" t="s">
        <v>109</v>
      </c>
      <c r="G216" s="512" t="s">
        <v>797</v>
      </c>
      <c r="H216" s="511" t="s">
        <v>789</v>
      </c>
      <c r="I216" s="510" t="s">
        <v>790</v>
      </c>
      <c r="J216" s="509" t="s">
        <v>650</v>
      </c>
      <c r="K216" s="516">
        <v>0</v>
      </c>
      <c r="L216" s="520" t="s">
        <v>791</v>
      </c>
      <c r="M216" s="685">
        <v>4</v>
      </c>
      <c r="N216" s="685">
        <v>0</v>
      </c>
      <c r="O216" s="682">
        <f t="shared" si="9"/>
        <v>0</v>
      </c>
      <c r="P216" s="683" t="str">
        <f t="shared" si="10"/>
        <v>0</v>
      </c>
      <c r="Q216" s="684" t="str">
        <f t="shared" si="11"/>
        <v>0</v>
      </c>
      <c r="R216" s="491"/>
    </row>
    <row r="217" spans="1:18" x14ac:dyDescent="0.2">
      <c r="A217" s="506" t="s">
        <v>276</v>
      </c>
      <c r="B217" s="502" t="s">
        <v>779</v>
      </c>
      <c r="C217" s="507" t="s">
        <v>285</v>
      </c>
      <c r="D217" s="503" t="s">
        <v>279</v>
      </c>
      <c r="E217" s="348"/>
      <c r="F217" s="504" t="s">
        <v>109</v>
      </c>
      <c r="G217" s="512" t="s">
        <v>797</v>
      </c>
      <c r="H217" s="511" t="s">
        <v>789</v>
      </c>
      <c r="I217" s="510" t="s">
        <v>790</v>
      </c>
      <c r="J217" s="509" t="s">
        <v>650</v>
      </c>
      <c r="K217" s="516">
        <v>0</v>
      </c>
      <c r="L217" s="520" t="s">
        <v>791</v>
      </c>
      <c r="M217" s="685">
        <v>1</v>
      </c>
      <c r="N217" s="685">
        <v>0</v>
      </c>
      <c r="O217" s="682">
        <f t="shared" si="9"/>
        <v>0</v>
      </c>
      <c r="P217" s="683" t="str">
        <f t="shared" si="10"/>
        <v>0</v>
      </c>
      <c r="Q217" s="684" t="str">
        <f t="shared" si="11"/>
        <v>0</v>
      </c>
      <c r="R217" s="491"/>
    </row>
    <row r="218" spans="1:18" x14ac:dyDescent="0.2">
      <c r="A218" s="506" t="s">
        <v>276</v>
      </c>
      <c r="B218" s="502" t="s">
        <v>779</v>
      </c>
      <c r="C218" s="507" t="s">
        <v>285</v>
      </c>
      <c r="D218" s="503" t="s">
        <v>281</v>
      </c>
      <c r="E218" s="348"/>
      <c r="F218" s="504" t="s">
        <v>109</v>
      </c>
      <c r="G218" s="512" t="s">
        <v>797</v>
      </c>
      <c r="H218" s="511" t="s">
        <v>789</v>
      </c>
      <c r="I218" s="510" t="s">
        <v>790</v>
      </c>
      <c r="J218" s="509" t="s">
        <v>650</v>
      </c>
      <c r="K218" s="516">
        <v>25</v>
      </c>
      <c r="L218" s="520"/>
      <c r="M218" s="685">
        <v>12</v>
      </c>
      <c r="N218" s="685">
        <v>4</v>
      </c>
      <c r="O218" s="682">
        <f t="shared" si="9"/>
        <v>0.33333333333333331</v>
      </c>
      <c r="P218" s="683">
        <f t="shared" si="10"/>
        <v>133.33333333333331</v>
      </c>
      <c r="Q218" s="684">
        <f t="shared" si="11"/>
        <v>1.3333333333333333</v>
      </c>
      <c r="R218" s="490"/>
    </row>
    <row r="219" spans="1:18" x14ac:dyDescent="0.2">
      <c r="A219" s="506" t="s">
        <v>276</v>
      </c>
      <c r="B219" s="502" t="s">
        <v>779</v>
      </c>
      <c r="C219" s="507" t="s">
        <v>285</v>
      </c>
      <c r="D219" s="503" t="s">
        <v>286</v>
      </c>
      <c r="E219" s="348"/>
      <c r="F219" s="504" t="s">
        <v>109</v>
      </c>
      <c r="G219" s="512" t="s">
        <v>797</v>
      </c>
      <c r="H219" s="511" t="s">
        <v>789</v>
      </c>
      <c r="I219" s="510" t="s">
        <v>790</v>
      </c>
      <c r="J219" s="509" t="s">
        <v>650</v>
      </c>
      <c r="K219" s="516">
        <v>10</v>
      </c>
      <c r="L219" s="520"/>
      <c r="M219" s="685">
        <v>20</v>
      </c>
      <c r="N219" s="685">
        <v>0</v>
      </c>
      <c r="O219" s="682">
        <f t="shared" si="9"/>
        <v>0</v>
      </c>
      <c r="P219" s="683">
        <f t="shared" si="10"/>
        <v>0</v>
      </c>
      <c r="Q219" s="684">
        <f t="shared" si="11"/>
        <v>0</v>
      </c>
      <c r="R219" s="490"/>
    </row>
    <row r="220" spans="1:18" x14ac:dyDescent="0.2">
      <c r="A220" s="506" t="s">
        <v>276</v>
      </c>
      <c r="B220" s="502" t="s">
        <v>779</v>
      </c>
      <c r="C220" s="507" t="s">
        <v>291</v>
      </c>
      <c r="D220" s="503" t="s">
        <v>283</v>
      </c>
      <c r="E220" s="348"/>
      <c r="F220" s="504" t="s">
        <v>109</v>
      </c>
      <c r="G220" s="512" t="s">
        <v>797</v>
      </c>
      <c r="H220" s="511" t="s">
        <v>789</v>
      </c>
      <c r="I220" s="510" t="s">
        <v>790</v>
      </c>
      <c r="J220" s="509" t="s">
        <v>650</v>
      </c>
      <c r="K220" s="516">
        <v>0</v>
      </c>
      <c r="L220" s="520" t="s">
        <v>791</v>
      </c>
      <c r="M220" s="685">
        <v>0</v>
      </c>
      <c r="N220" s="685">
        <v>0</v>
      </c>
      <c r="O220" s="682">
        <f t="shared" si="9"/>
        <v>0</v>
      </c>
      <c r="P220" s="683" t="str">
        <f t="shared" si="10"/>
        <v>0</v>
      </c>
      <c r="Q220" s="684" t="str">
        <f t="shared" si="11"/>
        <v>0</v>
      </c>
      <c r="R220" s="491"/>
    </row>
    <row r="221" spans="1:18" x14ac:dyDescent="0.2">
      <c r="A221" s="506" t="s">
        <v>276</v>
      </c>
      <c r="B221" s="502" t="s">
        <v>779</v>
      </c>
      <c r="C221" s="507" t="s">
        <v>291</v>
      </c>
      <c r="D221" s="503" t="s">
        <v>284</v>
      </c>
      <c r="E221" s="348"/>
      <c r="F221" s="504" t="s">
        <v>109</v>
      </c>
      <c r="G221" s="512" t="s">
        <v>797</v>
      </c>
      <c r="H221" s="511" t="s">
        <v>789</v>
      </c>
      <c r="I221" s="510" t="s">
        <v>790</v>
      </c>
      <c r="J221" s="509" t="s">
        <v>650</v>
      </c>
      <c r="K221" s="516">
        <v>0</v>
      </c>
      <c r="L221" s="520" t="s">
        <v>791</v>
      </c>
      <c r="M221" s="685">
        <v>0</v>
      </c>
      <c r="N221" s="685">
        <v>0</v>
      </c>
      <c r="O221" s="682">
        <f t="shared" si="9"/>
        <v>0</v>
      </c>
      <c r="P221" s="683" t="str">
        <f t="shared" si="10"/>
        <v>0</v>
      </c>
      <c r="Q221" s="684" t="str">
        <f t="shared" si="11"/>
        <v>0</v>
      </c>
      <c r="R221" s="491"/>
    </row>
    <row r="222" spans="1:18" x14ac:dyDescent="0.2">
      <c r="A222" s="506" t="s">
        <v>276</v>
      </c>
      <c r="B222" s="502" t="s">
        <v>779</v>
      </c>
      <c r="C222" s="507" t="s">
        <v>290</v>
      </c>
      <c r="D222" s="503" t="s">
        <v>287</v>
      </c>
      <c r="E222" s="348"/>
      <c r="F222" s="504" t="s">
        <v>109</v>
      </c>
      <c r="G222" s="512" t="s">
        <v>797</v>
      </c>
      <c r="H222" s="511" t="s">
        <v>792</v>
      </c>
      <c r="I222" s="510" t="s">
        <v>790</v>
      </c>
      <c r="J222" s="509" t="s">
        <v>650</v>
      </c>
      <c r="K222" s="516">
        <v>38</v>
      </c>
      <c r="L222" s="520"/>
      <c r="M222" s="685">
        <v>65</v>
      </c>
      <c r="N222" s="685">
        <v>9</v>
      </c>
      <c r="O222" s="682">
        <f t="shared" si="9"/>
        <v>0.13846153846153847</v>
      </c>
      <c r="P222" s="683">
        <f t="shared" si="10"/>
        <v>36.43724696356275</v>
      </c>
      <c r="Q222" s="684">
        <f t="shared" si="11"/>
        <v>0.36437246963562753</v>
      </c>
      <c r="R222" s="490"/>
    </row>
    <row r="223" spans="1:18" x14ac:dyDescent="0.2">
      <c r="A223" s="506" t="s">
        <v>276</v>
      </c>
      <c r="B223" s="502" t="s">
        <v>779</v>
      </c>
      <c r="C223" s="507" t="s">
        <v>290</v>
      </c>
      <c r="D223" s="503" t="s">
        <v>283</v>
      </c>
      <c r="E223" s="348"/>
      <c r="F223" s="504" t="s">
        <v>109</v>
      </c>
      <c r="G223" s="512" t="s">
        <v>797</v>
      </c>
      <c r="H223" s="511" t="s">
        <v>789</v>
      </c>
      <c r="I223" s="510" t="s">
        <v>790</v>
      </c>
      <c r="J223" s="509" t="s">
        <v>650</v>
      </c>
      <c r="K223" s="516">
        <v>0</v>
      </c>
      <c r="L223" s="520" t="s">
        <v>791</v>
      </c>
      <c r="M223" s="685">
        <v>5</v>
      </c>
      <c r="N223" s="685">
        <v>0</v>
      </c>
      <c r="O223" s="682">
        <f t="shared" si="9"/>
        <v>0</v>
      </c>
      <c r="P223" s="683" t="str">
        <f t="shared" si="10"/>
        <v>0</v>
      </c>
      <c r="Q223" s="684" t="str">
        <f t="shared" si="11"/>
        <v>0</v>
      </c>
      <c r="R223" s="491"/>
    </row>
    <row r="224" spans="1:18" x14ac:dyDescent="0.2">
      <c r="A224" s="506" t="s">
        <v>276</v>
      </c>
      <c r="B224" s="502" t="s">
        <v>779</v>
      </c>
      <c r="C224" s="507" t="s">
        <v>290</v>
      </c>
      <c r="D224" s="503" t="s">
        <v>284</v>
      </c>
      <c r="E224" s="348"/>
      <c r="F224" s="504" t="s">
        <v>109</v>
      </c>
      <c r="G224" s="512" t="s">
        <v>797</v>
      </c>
      <c r="H224" s="511" t="s">
        <v>789</v>
      </c>
      <c r="I224" s="510" t="s">
        <v>790</v>
      </c>
      <c r="J224" s="509" t="s">
        <v>650</v>
      </c>
      <c r="K224" s="516">
        <v>0</v>
      </c>
      <c r="L224" s="520" t="s">
        <v>791</v>
      </c>
      <c r="M224" s="685">
        <v>0</v>
      </c>
      <c r="N224" s="685">
        <v>0</v>
      </c>
      <c r="O224" s="682">
        <f t="shared" si="9"/>
        <v>0</v>
      </c>
      <c r="P224" s="683" t="str">
        <f t="shared" si="10"/>
        <v>0</v>
      </c>
      <c r="Q224" s="684" t="str">
        <f t="shared" si="11"/>
        <v>0</v>
      </c>
      <c r="R224" s="491"/>
    </row>
    <row r="225" spans="1:18" x14ac:dyDescent="0.2">
      <c r="A225" s="506" t="s">
        <v>276</v>
      </c>
      <c r="B225" s="502" t="s">
        <v>779</v>
      </c>
      <c r="C225" s="507" t="s">
        <v>289</v>
      </c>
      <c r="D225" s="503" t="s">
        <v>287</v>
      </c>
      <c r="E225" s="348"/>
      <c r="F225" s="504" t="s">
        <v>109</v>
      </c>
      <c r="G225" s="512" t="s">
        <v>797</v>
      </c>
      <c r="H225" s="511" t="s">
        <v>792</v>
      </c>
      <c r="I225" s="510" t="s">
        <v>790</v>
      </c>
      <c r="J225" s="509" t="s">
        <v>650</v>
      </c>
      <c r="K225" s="516">
        <v>5</v>
      </c>
      <c r="L225" s="520"/>
      <c r="M225" s="685">
        <v>733</v>
      </c>
      <c r="N225" s="685">
        <v>90</v>
      </c>
      <c r="O225" s="682">
        <f t="shared" si="9"/>
        <v>0.12278308321964529</v>
      </c>
      <c r="P225" s="683">
        <f t="shared" si="10"/>
        <v>245.56616643929061</v>
      </c>
      <c r="Q225" s="684">
        <f t="shared" si="11"/>
        <v>2.4556616643929061</v>
      </c>
      <c r="R225" s="490"/>
    </row>
    <row r="226" spans="1:18" x14ac:dyDescent="0.2">
      <c r="A226" s="506" t="s">
        <v>276</v>
      </c>
      <c r="B226" s="502" t="s">
        <v>779</v>
      </c>
      <c r="C226" s="507" t="s">
        <v>289</v>
      </c>
      <c r="D226" s="503" t="s">
        <v>283</v>
      </c>
      <c r="E226" s="348"/>
      <c r="F226" s="504" t="s">
        <v>109</v>
      </c>
      <c r="G226" s="512" t="s">
        <v>797</v>
      </c>
      <c r="H226" s="511" t="s">
        <v>789</v>
      </c>
      <c r="I226" s="510" t="s">
        <v>790</v>
      </c>
      <c r="J226" s="509" t="s">
        <v>650</v>
      </c>
      <c r="K226" s="516">
        <v>32</v>
      </c>
      <c r="L226" s="520"/>
      <c r="M226" s="685">
        <v>134</v>
      </c>
      <c r="N226" s="685">
        <v>38</v>
      </c>
      <c r="O226" s="682">
        <f t="shared" si="9"/>
        <v>0.28358208955223879</v>
      </c>
      <c r="P226" s="683">
        <f t="shared" si="10"/>
        <v>88.619402985074629</v>
      </c>
      <c r="Q226" s="684">
        <f t="shared" si="11"/>
        <v>0.88619402985074625</v>
      </c>
      <c r="R226" s="490"/>
    </row>
    <row r="227" spans="1:18" x14ac:dyDescent="0.2">
      <c r="A227" s="506" t="s">
        <v>276</v>
      </c>
      <c r="B227" s="502" t="s">
        <v>779</v>
      </c>
      <c r="C227" s="507" t="s">
        <v>289</v>
      </c>
      <c r="D227" s="503" t="s">
        <v>284</v>
      </c>
      <c r="E227" s="348"/>
      <c r="F227" s="504" t="s">
        <v>109</v>
      </c>
      <c r="G227" s="512" t="s">
        <v>797</v>
      </c>
      <c r="H227" s="511" t="s">
        <v>789</v>
      </c>
      <c r="I227" s="510" t="s">
        <v>790</v>
      </c>
      <c r="J227" s="509" t="s">
        <v>650</v>
      </c>
      <c r="K227" s="516">
        <v>33</v>
      </c>
      <c r="L227" s="520"/>
      <c r="M227" s="685">
        <v>29</v>
      </c>
      <c r="N227" s="685">
        <v>13</v>
      </c>
      <c r="O227" s="682">
        <f t="shared" si="9"/>
        <v>0.44827586206896552</v>
      </c>
      <c r="P227" s="683">
        <f t="shared" si="10"/>
        <v>135.84117032392896</v>
      </c>
      <c r="Q227" s="684">
        <f t="shared" si="11"/>
        <v>1.3584117032392895</v>
      </c>
      <c r="R227" s="490"/>
    </row>
    <row r="228" spans="1:18" x14ac:dyDescent="0.2">
      <c r="A228" s="506" t="s">
        <v>276</v>
      </c>
      <c r="B228" s="502" t="s">
        <v>779</v>
      </c>
      <c r="C228" s="507" t="s">
        <v>289</v>
      </c>
      <c r="D228" s="503" t="s">
        <v>281</v>
      </c>
      <c r="E228" s="348"/>
      <c r="F228" s="504" t="s">
        <v>109</v>
      </c>
      <c r="G228" s="512" t="s">
        <v>797</v>
      </c>
      <c r="H228" s="511" t="s">
        <v>789</v>
      </c>
      <c r="I228" s="510" t="s">
        <v>790</v>
      </c>
      <c r="J228" s="509" t="s">
        <v>650</v>
      </c>
      <c r="K228" s="516">
        <v>0</v>
      </c>
      <c r="L228" s="520" t="s">
        <v>791</v>
      </c>
      <c r="M228" s="685">
        <v>2</v>
      </c>
      <c r="N228" s="685">
        <v>0</v>
      </c>
      <c r="O228" s="682">
        <f t="shared" si="9"/>
        <v>0</v>
      </c>
      <c r="P228" s="683" t="str">
        <f t="shared" si="10"/>
        <v>0</v>
      </c>
      <c r="Q228" s="684" t="str">
        <f t="shared" si="11"/>
        <v>0</v>
      </c>
      <c r="R228" s="491"/>
    </row>
    <row r="229" spans="1:18" x14ac:dyDescent="0.2">
      <c r="A229" s="506" t="s">
        <v>276</v>
      </c>
      <c r="B229" s="502" t="s">
        <v>779</v>
      </c>
      <c r="C229" s="507" t="s">
        <v>97</v>
      </c>
      <c r="D229" s="503" t="s">
        <v>279</v>
      </c>
      <c r="E229" s="348"/>
      <c r="F229" s="504" t="s">
        <v>109</v>
      </c>
      <c r="G229" s="512" t="s">
        <v>798</v>
      </c>
      <c r="H229" s="511" t="s">
        <v>789</v>
      </c>
      <c r="I229" s="510" t="s">
        <v>790</v>
      </c>
      <c r="J229" s="509" t="s">
        <v>650</v>
      </c>
      <c r="K229" s="516">
        <v>33</v>
      </c>
      <c r="L229" s="520"/>
      <c r="M229" s="685">
        <v>6</v>
      </c>
      <c r="N229" s="685">
        <v>4</v>
      </c>
      <c r="O229" s="682">
        <f t="shared" si="9"/>
        <v>0.66666666666666663</v>
      </c>
      <c r="P229" s="683">
        <f t="shared" si="10"/>
        <v>202.02020202020202</v>
      </c>
      <c r="Q229" s="684">
        <f t="shared" si="11"/>
        <v>2.0202020202020203</v>
      </c>
      <c r="R229" s="490"/>
    </row>
    <row r="230" spans="1:18" x14ac:dyDescent="0.2">
      <c r="A230" s="506" t="s">
        <v>276</v>
      </c>
      <c r="B230" s="502" t="s">
        <v>779</v>
      </c>
      <c r="C230" s="507" t="s">
        <v>97</v>
      </c>
      <c r="D230" s="503" t="s">
        <v>281</v>
      </c>
      <c r="E230" s="348"/>
      <c r="F230" s="504" t="s">
        <v>109</v>
      </c>
      <c r="G230" s="512" t="s">
        <v>798</v>
      </c>
      <c r="H230" s="511" t="s">
        <v>789</v>
      </c>
      <c r="I230" s="510" t="s">
        <v>790</v>
      </c>
      <c r="J230" s="509" t="s">
        <v>650</v>
      </c>
      <c r="K230" s="516">
        <v>33</v>
      </c>
      <c r="L230" s="520" t="s">
        <v>791</v>
      </c>
      <c r="M230" s="685">
        <v>9</v>
      </c>
      <c r="N230" s="685">
        <v>7</v>
      </c>
      <c r="O230" s="682">
        <f t="shared" si="9"/>
        <v>0.77777777777777779</v>
      </c>
      <c r="P230" s="683">
        <f t="shared" si="10"/>
        <v>235.69023569023568</v>
      </c>
      <c r="Q230" s="684">
        <f t="shared" si="11"/>
        <v>2.3569023569023568</v>
      </c>
      <c r="R230" s="491"/>
    </row>
    <row r="231" spans="1:18" x14ac:dyDescent="0.2">
      <c r="A231" s="506" t="s">
        <v>276</v>
      </c>
      <c r="B231" s="502" t="s">
        <v>779</v>
      </c>
      <c r="C231" s="507" t="s">
        <v>282</v>
      </c>
      <c r="D231" s="503" t="s">
        <v>287</v>
      </c>
      <c r="E231" s="348"/>
      <c r="F231" s="504" t="s">
        <v>109</v>
      </c>
      <c r="G231" s="512" t="s">
        <v>798</v>
      </c>
      <c r="H231" s="511" t="s">
        <v>792</v>
      </c>
      <c r="I231" s="510" t="s">
        <v>790</v>
      </c>
      <c r="J231" s="509" t="s">
        <v>650</v>
      </c>
      <c r="K231" s="516">
        <v>5</v>
      </c>
      <c r="L231" s="520" t="s">
        <v>791</v>
      </c>
      <c r="M231" s="685">
        <v>68</v>
      </c>
      <c r="N231" s="685">
        <v>10</v>
      </c>
      <c r="O231" s="682">
        <f t="shared" si="9"/>
        <v>0.14705882352941177</v>
      </c>
      <c r="P231" s="683">
        <f t="shared" si="10"/>
        <v>294.11764705882348</v>
      </c>
      <c r="Q231" s="684">
        <f t="shared" si="11"/>
        <v>2.9411764705882351</v>
      </c>
      <c r="R231" s="491"/>
    </row>
    <row r="232" spans="1:18" x14ac:dyDescent="0.2">
      <c r="A232" s="506" t="s">
        <v>276</v>
      </c>
      <c r="B232" s="502" t="s">
        <v>779</v>
      </c>
      <c r="C232" s="507" t="s">
        <v>282</v>
      </c>
      <c r="D232" s="503" t="s">
        <v>283</v>
      </c>
      <c r="E232" s="348"/>
      <c r="F232" s="504" t="s">
        <v>109</v>
      </c>
      <c r="G232" s="512" t="s">
        <v>798</v>
      </c>
      <c r="H232" s="511" t="s">
        <v>789</v>
      </c>
      <c r="I232" s="510" t="s">
        <v>790</v>
      </c>
      <c r="J232" s="509" t="s">
        <v>650</v>
      </c>
      <c r="K232" s="516">
        <v>26</v>
      </c>
      <c r="L232" s="520"/>
      <c r="M232" s="685">
        <v>19</v>
      </c>
      <c r="N232" s="685">
        <v>2</v>
      </c>
      <c r="O232" s="682">
        <f t="shared" si="9"/>
        <v>0.10526315789473684</v>
      </c>
      <c r="P232" s="683">
        <f t="shared" si="10"/>
        <v>40.48582995951417</v>
      </c>
      <c r="Q232" s="684">
        <f t="shared" si="11"/>
        <v>0.40485829959514169</v>
      </c>
      <c r="R232" s="490"/>
    </row>
    <row r="233" spans="1:18" x14ac:dyDescent="0.2">
      <c r="A233" s="506" t="s">
        <v>276</v>
      </c>
      <c r="B233" s="502" t="s">
        <v>779</v>
      </c>
      <c r="C233" s="507" t="s">
        <v>282</v>
      </c>
      <c r="D233" s="503" t="s">
        <v>284</v>
      </c>
      <c r="E233" s="348"/>
      <c r="F233" s="504" t="s">
        <v>109</v>
      </c>
      <c r="G233" s="512" t="s">
        <v>798</v>
      </c>
      <c r="H233" s="511" t="s">
        <v>789</v>
      </c>
      <c r="I233" s="510" t="s">
        <v>790</v>
      </c>
      <c r="J233" s="509" t="s">
        <v>650</v>
      </c>
      <c r="K233" s="516">
        <v>16</v>
      </c>
      <c r="L233" s="520"/>
      <c r="M233" s="685">
        <v>43</v>
      </c>
      <c r="N233" s="685">
        <v>7</v>
      </c>
      <c r="O233" s="682">
        <f t="shared" si="9"/>
        <v>0.16279069767441862</v>
      </c>
      <c r="P233" s="683">
        <f t="shared" si="10"/>
        <v>101.74418604651163</v>
      </c>
      <c r="Q233" s="684">
        <f t="shared" si="11"/>
        <v>1.0174418604651163</v>
      </c>
      <c r="R233" s="490"/>
    </row>
    <row r="234" spans="1:18" x14ac:dyDescent="0.2">
      <c r="A234" s="506" t="s">
        <v>276</v>
      </c>
      <c r="B234" s="502" t="s">
        <v>779</v>
      </c>
      <c r="C234" s="507" t="s">
        <v>282</v>
      </c>
      <c r="D234" s="503" t="s">
        <v>279</v>
      </c>
      <c r="E234" s="348"/>
      <c r="F234" s="504" t="s">
        <v>109</v>
      </c>
      <c r="G234" s="512" t="s">
        <v>798</v>
      </c>
      <c r="H234" s="511" t="s">
        <v>789</v>
      </c>
      <c r="I234" s="510" t="s">
        <v>790</v>
      </c>
      <c r="J234" s="509" t="s">
        <v>650</v>
      </c>
      <c r="K234" s="516">
        <v>6</v>
      </c>
      <c r="L234" s="520"/>
      <c r="M234" s="685">
        <v>65</v>
      </c>
      <c r="N234" s="685">
        <v>7</v>
      </c>
      <c r="O234" s="682">
        <f t="shared" si="9"/>
        <v>0.1076923076923077</v>
      </c>
      <c r="P234" s="683">
        <f t="shared" si="10"/>
        <v>179.4871794871795</v>
      </c>
      <c r="Q234" s="684">
        <f t="shared" si="11"/>
        <v>1.7948717948717949</v>
      </c>
      <c r="R234" s="490"/>
    </row>
    <row r="235" spans="1:18" x14ac:dyDescent="0.2">
      <c r="A235" s="506" t="s">
        <v>276</v>
      </c>
      <c r="B235" s="502" t="s">
        <v>779</v>
      </c>
      <c r="C235" s="507" t="s">
        <v>282</v>
      </c>
      <c r="D235" s="503" t="s">
        <v>281</v>
      </c>
      <c r="E235" s="348"/>
      <c r="F235" s="504" t="s">
        <v>109</v>
      </c>
      <c r="G235" s="512" t="s">
        <v>798</v>
      </c>
      <c r="H235" s="511" t="s">
        <v>789</v>
      </c>
      <c r="I235" s="510" t="s">
        <v>790</v>
      </c>
      <c r="J235" s="509" t="s">
        <v>650</v>
      </c>
      <c r="K235" s="516">
        <v>8</v>
      </c>
      <c r="L235" s="520"/>
      <c r="M235" s="685">
        <v>48</v>
      </c>
      <c r="N235" s="685">
        <v>12</v>
      </c>
      <c r="O235" s="682">
        <f t="shared" si="9"/>
        <v>0.25</v>
      </c>
      <c r="P235" s="683">
        <f t="shared" si="10"/>
        <v>312.5</v>
      </c>
      <c r="Q235" s="684">
        <f t="shared" si="11"/>
        <v>3.125</v>
      </c>
      <c r="R235" s="490"/>
    </row>
    <row r="236" spans="1:18" x14ac:dyDescent="0.2">
      <c r="A236" s="506" t="s">
        <v>276</v>
      </c>
      <c r="B236" s="502" t="s">
        <v>779</v>
      </c>
      <c r="C236" s="507" t="s">
        <v>288</v>
      </c>
      <c r="D236" s="503" t="s">
        <v>287</v>
      </c>
      <c r="E236" s="348"/>
      <c r="F236" s="504" t="s">
        <v>109</v>
      </c>
      <c r="G236" s="512" t="s">
        <v>798</v>
      </c>
      <c r="H236" s="511" t="s">
        <v>792</v>
      </c>
      <c r="I236" s="510" t="s">
        <v>790</v>
      </c>
      <c r="J236" s="509" t="s">
        <v>650</v>
      </c>
      <c r="K236" s="516">
        <v>28.999999999999996</v>
      </c>
      <c r="L236" s="520"/>
      <c r="M236" s="685">
        <v>299</v>
      </c>
      <c r="N236" s="685">
        <v>36</v>
      </c>
      <c r="O236" s="682">
        <f t="shared" si="9"/>
        <v>0.12040133779264214</v>
      </c>
      <c r="P236" s="683">
        <f t="shared" si="10"/>
        <v>41.517702687117982</v>
      </c>
      <c r="Q236" s="684">
        <f t="shared" si="11"/>
        <v>0.4151770268711798</v>
      </c>
      <c r="R236" s="490"/>
    </row>
    <row r="237" spans="1:18" x14ac:dyDescent="0.2">
      <c r="A237" s="506" t="s">
        <v>276</v>
      </c>
      <c r="B237" s="502" t="s">
        <v>779</v>
      </c>
      <c r="C237" s="507" t="s">
        <v>288</v>
      </c>
      <c r="D237" s="503" t="s">
        <v>283</v>
      </c>
      <c r="E237" s="348"/>
      <c r="F237" s="504" t="s">
        <v>109</v>
      </c>
      <c r="G237" s="512" t="s">
        <v>798</v>
      </c>
      <c r="H237" s="511" t="s">
        <v>789</v>
      </c>
      <c r="I237" s="510" t="s">
        <v>790</v>
      </c>
      <c r="J237" s="509" t="s">
        <v>650</v>
      </c>
      <c r="K237" s="516">
        <v>8</v>
      </c>
      <c r="L237" s="520"/>
      <c r="M237" s="685">
        <v>64</v>
      </c>
      <c r="N237" s="685">
        <v>6</v>
      </c>
      <c r="O237" s="682">
        <f t="shared" si="9"/>
        <v>9.375E-2</v>
      </c>
      <c r="P237" s="683">
        <f t="shared" si="10"/>
        <v>117.1875</v>
      </c>
      <c r="Q237" s="684">
        <f t="shared" si="11"/>
        <v>1.171875</v>
      </c>
      <c r="R237" s="490"/>
    </row>
    <row r="238" spans="1:18" x14ac:dyDescent="0.2">
      <c r="A238" s="506" t="s">
        <v>276</v>
      </c>
      <c r="B238" s="502" t="s">
        <v>779</v>
      </c>
      <c r="C238" s="507" t="s">
        <v>288</v>
      </c>
      <c r="D238" s="503" t="s">
        <v>284</v>
      </c>
      <c r="E238" s="348"/>
      <c r="F238" s="504" t="s">
        <v>109</v>
      </c>
      <c r="G238" s="512" t="s">
        <v>798</v>
      </c>
      <c r="H238" s="511" t="s">
        <v>789</v>
      </c>
      <c r="I238" s="510" t="s">
        <v>790</v>
      </c>
      <c r="J238" s="509" t="s">
        <v>650</v>
      </c>
      <c r="K238" s="516">
        <v>8</v>
      </c>
      <c r="L238" s="520" t="s">
        <v>791</v>
      </c>
      <c r="M238" s="685">
        <v>10</v>
      </c>
      <c r="N238" s="685">
        <v>0</v>
      </c>
      <c r="O238" s="682">
        <f t="shared" si="9"/>
        <v>0</v>
      </c>
      <c r="P238" s="683">
        <f t="shared" si="10"/>
        <v>0</v>
      </c>
      <c r="Q238" s="684">
        <f t="shared" si="11"/>
        <v>0</v>
      </c>
      <c r="R238" s="491"/>
    </row>
    <row r="239" spans="1:18" x14ac:dyDescent="0.2">
      <c r="A239" s="506" t="s">
        <v>276</v>
      </c>
      <c r="B239" s="502" t="s">
        <v>779</v>
      </c>
      <c r="C239" s="507" t="s">
        <v>288</v>
      </c>
      <c r="D239" s="503" t="s">
        <v>279</v>
      </c>
      <c r="E239" s="348"/>
      <c r="F239" s="504" t="s">
        <v>109</v>
      </c>
      <c r="G239" s="512" t="s">
        <v>798</v>
      </c>
      <c r="H239" s="511" t="s">
        <v>789</v>
      </c>
      <c r="I239" s="510" t="s">
        <v>790</v>
      </c>
      <c r="J239" s="509" t="s">
        <v>650</v>
      </c>
      <c r="K239" s="516">
        <v>0</v>
      </c>
      <c r="L239" s="520" t="s">
        <v>791</v>
      </c>
      <c r="M239" s="685">
        <v>2</v>
      </c>
      <c r="N239" s="685">
        <v>1</v>
      </c>
      <c r="O239" s="682">
        <f t="shared" si="9"/>
        <v>0.5</v>
      </c>
      <c r="P239" s="683" t="str">
        <f t="shared" si="10"/>
        <v>0</v>
      </c>
      <c r="Q239" s="684" t="str">
        <f t="shared" si="11"/>
        <v>0</v>
      </c>
      <c r="R239" s="491"/>
    </row>
    <row r="240" spans="1:18" x14ac:dyDescent="0.2">
      <c r="A240" s="506" t="s">
        <v>276</v>
      </c>
      <c r="B240" s="502" t="s">
        <v>779</v>
      </c>
      <c r="C240" s="507" t="s">
        <v>288</v>
      </c>
      <c r="D240" s="503" t="s">
        <v>281</v>
      </c>
      <c r="E240" s="348"/>
      <c r="F240" s="504" t="s">
        <v>109</v>
      </c>
      <c r="G240" s="512" t="s">
        <v>798</v>
      </c>
      <c r="H240" s="511" t="s">
        <v>789</v>
      </c>
      <c r="I240" s="510" t="s">
        <v>790</v>
      </c>
      <c r="J240" s="509" t="s">
        <v>650</v>
      </c>
      <c r="K240" s="516">
        <v>8</v>
      </c>
      <c r="L240" s="520" t="s">
        <v>791</v>
      </c>
      <c r="M240" s="685">
        <v>17</v>
      </c>
      <c r="N240" s="685">
        <v>3</v>
      </c>
      <c r="O240" s="682">
        <f t="shared" si="9"/>
        <v>0.17647058823529413</v>
      </c>
      <c r="P240" s="683">
        <f t="shared" si="10"/>
        <v>220.58823529411762</v>
      </c>
      <c r="Q240" s="684">
        <f t="shared" si="11"/>
        <v>2.2058823529411762</v>
      </c>
      <c r="R240" s="491"/>
    </row>
    <row r="241" spans="1:18" x14ac:dyDescent="0.2">
      <c r="A241" s="506" t="s">
        <v>276</v>
      </c>
      <c r="B241" s="502" t="s">
        <v>779</v>
      </c>
      <c r="C241" s="507" t="s">
        <v>99</v>
      </c>
      <c r="D241" s="503" t="s">
        <v>287</v>
      </c>
      <c r="E241" s="348"/>
      <c r="F241" s="504" t="s">
        <v>109</v>
      </c>
      <c r="G241" s="512" t="s">
        <v>798</v>
      </c>
      <c r="H241" s="511" t="s">
        <v>792</v>
      </c>
      <c r="I241" s="510" t="s">
        <v>790</v>
      </c>
      <c r="J241" s="509" t="s">
        <v>650</v>
      </c>
      <c r="K241" s="516">
        <v>17</v>
      </c>
      <c r="L241" s="520"/>
      <c r="M241" s="685">
        <v>326</v>
      </c>
      <c r="N241" s="685">
        <v>49</v>
      </c>
      <c r="O241" s="682">
        <f t="shared" si="9"/>
        <v>0.15030674846625766</v>
      </c>
      <c r="P241" s="683">
        <f t="shared" si="10"/>
        <v>88.415734391916274</v>
      </c>
      <c r="Q241" s="684">
        <f t="shared" si="11"/>
        <v>0.88415734391916267</v>
      </c>
      <c r="R241" s="490"/>
    </row>
    <row r="242" spans="1:18" x14ac:dyDescent="0.2">
      <c r="A242" s="506" t="s">
        <v>276</v>
      </c>
      <c r="B242" s="502" t="s">
        <v>779</v>
      </c>
      <c r="C242" s="507" t="s">
        <v>99</v>
      </c>
      <c r="D242" s="503" t="s">
        <v>283</v>
      </c>
      <c r="E242" s="348"/>
      <c r="F242" s="504" t="s">
        <v>109</v>
      </c>
      <c r="G242" s="512" t="s">
        <v>798</v>
      </c>
      <c r="H242" s="511" t="s">
        <v>789</v>
      </c>
      <c r="I242" s="510" t="s">
        <v>790</v>
      </c>
      <c r="J242" s="509" t="s">
        <v>650</v>
      </c>
      <c r="K242" s="516">
        <v>36</v>
      </c>
      <c r="L242" s="520"/>
      <c r="M242" s="685">
        <v>17</v>
      </c>
      <c r="N242" s="685">
        <v>4</v>
      </c>
      <c r="O242" s="682">
        <f t="shared" si="9"/>
        <v>0.23529411764705882</v>
      </c>
      <c r="P242" s="683">
        <f t="shared" si="10"/>
        <v>65.359477124183002</v>
      </c>
      <c r="Q242" s="684">
        <f t="shared" si="11"/>
        <v>0.65359477124183007</v>
      </c>
      <c r="R242" s="490"/>
    </row>
    <row r="243" spans="1:18" x14ac:dyDescent="0.2">
      <c r="A243" s="506" t="s">
        <v>276</v>
      </c>
      <c r="B243" s="502" t="s">
        <v>779</v>
      </c>
      <c r="C243" s="507" t="s">
        <v>99</v>
      </c>
      <c r="D243" s="503" t="s">
        <v>284</v>
      </c>
      <c r="E243" s="348"/>
      <c r="F243" s="504" t="s">
        <v>109</v>
      </c>
      <c r="G243" s="512" t="s">
        <v>798</v>
      </c>
      <c r="H243" s="511" t="s">
        <v>789</v>
      </c>
      <c r="I243" s="510" t="s">
        <v>790</v>
      </c>
      <c r="J243" s="509" t="s">
        <v>650</v>
      </c>
      <c r="K243" s="516">
        <v>80</v>
      </c>
      <c r="L243" s="520"/>
      <c r="M243" s="685">
        <v>8</v>
      </c>
      <c r="N243" s="685">
        <v>2</v>
      </c>
      <c r="O243" s="682">
        <f t="shared" si="9"/>
        <v>0.25</v>
      </c>
      <c r="P243" s="683">
        <f t="shared" si="10"/>
        <v>31.25</v>
      </c>
      <c r="Q243" s="684">
        <f t="shared" si="11"/>
        <v>0.3125</v>
      </c>
      <c r="R243" s="490"/>
    </row>
    <row r="244" spans="1:18" x14ac:dyDescent="0.2">
      <c r="A244" s="506" t="s">
        <v>276</v>
      </c>
      <c r="B244" s="502" t="s">
        <v>779</v>
      </c>
      <c r="C244" s="507" t="s">
        <v>99</v>
      </c>
      <c r="D244" s="503" t="s">
        <v>279</v>
      </c>
      <c r="E244" s="348"/>
      <c r="F244" s="504" t="s">
        <v>109</v>
      </c>
      <c r="G244" s="512" t="s">
        <v>798</v>
      </c>
      <c r="H244" s="511" t="s">
        <v>789</v>
      </c>
      <c r="I244" s="510" t="s">
        <v>790</v>
      </c>
      <c r="J244" s="509" t="s">
        <v>650</v>
      </c>
      <c r="K244" s="516">
        <v>0</v>
      </c>
      <c r="L244" s="520" t="s">
        <v>791</v>
      </c>
      <c r="M244" s="685">
        <v>5</v>
      </c>
      <c r="N244" s="685">
        <v>2</v>
      </c>
      <c r="O244" s="682">
        <f t="shared" si="9"/>
        <v>0.4</v>
      </c>
      <c r="P244" s="683" t="str">
        <f t="shared" si="10"/>
        <v>0</v>
      </c>
      <c r="Q244" s="684" t="str">
        <f t="shared" si="11"/>
        <v>0</v>
      </c>
      <c r="R244" s="491"/>
    </row>
    <row r="245" spans="1:18" x14ac:dyDescent="0.2">
      <c r="A245" s="506" t="s">
        <v>276</v>
      </c>
      <c r="B245" s="502" t="s">
        <v>779</v>
      </c>
      <c r="C245" s="507" t="s">
        <v>99</v>
      </c>
      <c r="D245" s="503" t="s">
        <v>281</v>
      </c>
      <c r="E245" s="348"/>
      <c r="F245" s="504" t="s">
        <v>109</v>
      </c>
      <c r="G245" s="512" t="s">
        <v>798</v>
      </c>
      <c r="H245" s="511" t="s">
        <v>789</v>
      </c>
      <c r="I245" s="510" t="s">
        <v>790</v>
      </c>
      <c r="J245" s="509" t="s">
        <v>650</v>
      </c>
      <c r="K245" s="516">
        <v>0</v>
      </c>
      <c r="L245" s="520" t="s">
        <v>791</v>
      </c>
      <c r="M245" s="685">
        <v>1</v>
      </c>
      <c r="N245" s="685">
        <v>0</v>
      </c>
      <c r="O245" s="682">
        <f t="shared" si="9"/>
        <v>0</v>
      </c>
      <c r="P245" s="683" t="str">
        <f t="shared" si="10"/>
        <v>0</v>
      </c>
      <c r="Q245" s="684" t="str">
        <f t="shared" si="11"/>
        <v>0</v>
      </c>
      <c r="R245" s="491"/>
    </row>
    <row r="246" spans="1:18" x14ac:dyDescent="0.2">
      <c r="A246" s="506" t="s">
        <v>276</v>
      </c>
      <c r="B246" s="502" t="s">
        <v>779</v>
      </c>
      <c r="C246" s="507" t="s">
        <v>285</v>
      </c>
      <c r="D246" s="503" t="s">
        <v>287</v>
      </c>
      <c r="E246" s="348"/>
      <c r="F246" s="504" t="s">
        <v>109</v>
      </c>
      <c r="G246" s="512" t="s">
        <v>798</v>
      </c>
      <c r="H246" s="511" t="s">
        <v>792</v>
      </c>
      <c r="I246" s="510" t="s">
        <v>790</v>
      </c>
      <c r="J246" s="509" t="s">
        <v>650</v>
      </c>
      <c r="K246" s="516">
        <v>13</v>
      </c>
      <c r="L246" s="520"/>
      <c r="M246" s="685">
        <v>0</v>
      </c>
      <c r="N246" s="685">
        <v>0</v>
      </c>
      <c r="O246" s="682">
        <f t="shared" si="9"/>
        <v>0</v>
      </c>
      <c r="P246" s="683" t="str">
        <f t="shared" si="10"/>
        <v>0</v>
      </c>
      <c r="Q246" s="684" t="str">
        <f t="shared" si="11"/>
        <v>0</v>
      </c>
      <c r="R246" s="491"/>
    </row>
    <row r="247" spans="1:18" x14ac:dyDescent="0.2">
      <c r="A247" s="506" t="s">
        <v>276</v>
      </c>
      <c r="B247" s="502" t="s">
        <v>779</v>
      </c>
      <c r="C247" s="507" t="s">
        <v>285</v>
      </c>
      <c r="D247" s="503" t="s">
        <v>283</v>
      </c>
      <c r="E247" s="348"/>
      <c r="F247" s="504" t="s">
        <v>109</v>
      </c>
      <c r="G247" s="512" t="s">
        <v>798</v>
      </c>
      <c r="H247" s="511" t="s">
        <v>789</v>
      </c>
      <c r="I247" s="510" t="s">
        <v>790</v>
      </c>
      <c r="J247" s="509" t="s">
        <v>650</v>
      </c>
      <c r="K247" s="516">
        <v>0</v>
      </c>
      <c r="L247" s="520" t="s">
        <v>791</v>
      </c>
      <c r="M247" s="685">
        <v>5</v>
      </c>
      <c r="N247" s="685">
        <v>1</v>
      </c>
      <c r="O247" s="682">
        <f t="shared" si="9"/>
        <v>0.2</v>
      </c>
      <c r="P247" s="683" t="str">
        <f t="shared" si="10"/>
        <v>0</v>
      </c>
      <c r="Q247" s="684" t="str">
        <f t="shared" si="11"/>
        <v>0</v>
      </c>
      <c r="R247" s="491"/>
    </row>
    <row r="248" spans="1:18" x14ac:dyDescent="0.2">
      <c r="A248" s="506" t="s">
        <v>276</v>
      </c>
      <c r="B248" s="502" t="s">
        <v>779</v>
      </c>
      <c r="C248" s="507" t="s">
        <v>285</v>
      </c>
      <c r="D248" s="503" t="s">
        <v>284</v>
      </c>
      <c r="E248" s="348"/>
      <c r="F248" s="504" t="s">
        <v>109</v>
      </c>
      <c r="G248" s="512" t="s">
        <v>798</v>
      </c>
      <c r="H248" s="511" t="s">
        <v>789</v>
      </c>
      <c r="I248" s="510" t="s">
        <v>790</v>
      </c>
      <c r="J248" s="509" t="s">
        <v>650</v>
      </c>
      <c r="K248" s="516">
        <v>0</v>
      </c>
      <c r="L248" s="520" t="s">
        <v>791</v>
      </c>
      <c r="M248" s="685">
        <v>4</v>
      </c>
      <c r="N248" s="685">
        <v>0</v>
      </c>
      <c r="O248" s="682">
        <f t="shared" si="9"/>
        <v>0</v>
      </c>
      <c r="P248" s="683" t="str">
        <f t="shared" si="10"/>
        <v>0</v>
      </c>
      <c r="Q248" s="684" t="str">
        <f t="shared" si="11"/>
        <v>0</v>
      </c>
      <c r="R248" s="491"/>
    </row>
    <row r="249" spans="1:18" x14ac:dyDescent="0.2">
      <c r="A249" s="506" t="s">
        <v>276</v>
      </c>
      <c r="B249" s="502" t="s">
        <v>779</v>
      </c>
      <c r="C249" s="507" t="s">
        <v>285</v>
      </c>
      <c r="D249" s="503" t="s">
        <v>279</v>
      </c>
      <c r="E249" s="348"/>
      <c r="F249" s="504" t="s">
        <v>109</v>
      </c>
      <c r="G249" s="512" t="s">
        <v>798</v>
      </c>
      <c r="H249" s="511" t="s">
        <v>789</v>
      </c>
      <c r="I249" s="510" t="s">
        <v>790</v>
      </c>
      <c r="J249" s="509" t="s">
        <v>650</v>
      </c>
      <c r="K249" s="516">
        <v>0</v>
      </c>
      <c r="L249" s="520" t="s">
        <v>791</v>
      </c>
      <c r="M249" s="685">
        <v>1</v>
      </c>
      <c r="N249" s="685">
        <v>0</v>
      </c>
      <c r="O249" s="682">
        <f t="shared" si="9"/>
        <v>0</v>
      </c>
      <c r="P249" s="683" t="str">
        <f t="shared" si="10"/>
        <v>0</v>
      </c>
      <c r="Q249" s="684" t="str">
        <f t="shared" si="11"/>
        <v>0</v>
      </c>
      <c r="R249" s="491"/>
    </row>
    <row r="250" spans="1:18" x14ac:dyDescent="0.2">
      <c r="A250" s="506" t="s">
        <v>276</v>
      </c>
      <c r="B250" s="502" t="s">
        <v>779</v>
      </c>
      <c r="C250" s="507" t="s">
        <v>285</v>
      </c>
      <c r="D250" s="503" t="s">
        <v>281</v>
      </c>
      <c r="E250" s="348"/>
      <c r="F250" s="504" t="s">
        <v>109</v>
      </c>
      <c r="G250" s="512" t="s">
        <v>798</v>
      </c>
      <c r="H250" s="511" t="s">
        <v>789</v>
      </c>
      <c r="I250" s="510" t="s">
        <v>790</v>
      </c>
      <c r="J250" s="509" t="s">
        <v>650</v>
      </c>
      <c r="K250" s="516">
        <v>25</v>
      </c>
      <c r="L250" s="520"/>
      <c r="M250" s="685">
        <v>12</v>
      </c>
      <c r="N250" s="685">
        <v>4</v>
      </c>
      <c r="O250" s="682">
        <f t="shared" si="9"/>
        <v>0.33333333333333331</v>
      </c>
      <c r="P250" s="683">
        <f t="shared" si="10"/>
        <v>133.33333333333331</v>
      </c>
      <c r="Q250" s="684">
        <f t="shared" si="11"/>
        <v>1.3333333333333333</v>
      </c>
      <c r="R250" s="490"/>
    </row>
    <row r="251" spans="1:18" x14ac:dyDescent="0.2">
      <c r="A251" s="506" t="s">
        <v>276</v>
      </c>
      <c r="B251" s="502" t="s">
        <v>779</v>
      </c>
      <c r="C251" s="507" t="s">
        <v>285</v>
      </c>
      <c r="D251" s="503" t="s">
        <v>286</v>
      </c>
      <c r="E251" s="348"/>
      <c r="F251" s="504" t="s">
        <v>109</v>
      </c>
      <c r="G251" s="512" t="s">
        <v>798</v>
      </c>
      <c r="H251" s="511" t="s">
        <v>789</v>
      </c>
      <c r="I251" s="510" t="s">
        <v>790</v>
      </c>
      <c r="J251" s="509" t="s">
        <v>650</v>
      </c>
      <c r="K251" s="516">
        <v>10</v>
      </c>
      <c r="L251" s="520"/>
      <c r="M251" s="685">
        <v>20</v>
      </c>
      <c r="N251" s="685">
        <v>0</v>
      </c>
      <c r="O251" s="682">
        <f t="shared" si="9"/>
        <v>0</v>
      </c>
      <c r="P251" s="683">
        <f t="shared" si="10"/>
        <v>0</v>
      </c>
      <c r="Q251" s="684">
        <f t="shared" si="11"/>
        <v>0</v>
      </c>
      <c r="R251" s="490"/>
    </row>
    <row r="252" spans="1:18" x14ac:dyDescent="0.2">
      <c r="A252" s="506" t="s">
        <v>276</v>
      </c>
      <c r="B252" s="502" t="s">
        <v>779</v>
      </c>
      <c r="C252" s="507" t="s">
        <v>291</v>
      </c>
      <c r="D252" s="503" t="s">
        <v>283</v>
      </c>
      <c r="E252" s="348"/>
      <c r="F252" s="504" t="s">
        <v>109</v>
      </c>
      <c r="G252" s="512" t="s">
        <v>798</v>
      </c>
      <c r="H252" s="511" t="s">
        <v>789</v>
      </c>
      <c r="I252" s="510" t="s">
        <v>790</v>
      </c>
      <c r="J252" s="509" t="s">
        <v>650</v>
      </c>
      <c r="K252" s="516">
        <v>0</v>
      </c>
      <c r="L252" s="520" t="s">
        <v>791</v>
      </c>
      <c r="M252" s="685">
        <v>0</v>
      </c>
      <c r="N252" s="685">
        <v>0</v>
      </c>
      <c r="O252" s="682">
        <f t="shared" si="9"/>
        <v>0</v>
      </c>
      <c r="P252" s="683" t="str">
        <f t="shared" si="10"/>
        <v>0</v>
      </c>
      <c r="Q252" s="684" t="str">
        <f t="shared" si="11"/>
        <v>0</v>
      </c>
      <c r="R252" s="491"/>
    </row>
    <row r="253" spans="1:18" x14ac:dyDescent="0.2">
      <c r="A253" s="506" t="s">
        <v>276</v>
      </c>
      <c r="B253" s="502" t="s">
        <v>779</v>
      </c>
      <c r="C253" s="507" t="s">
        <v>291</v>
      </c>
      <c r="D253" s="503" t="s">
        <v>284</v>
      </c>
      <c r="E253" s="348"/>
      <c r="F253" s="504" t="s">
        <v>109</v>
      </c>
      <c r="G253" s="512" t="s">
        <v>798</v>
      </c>
      <c r="H253" s="511" t="s">
        <v>789</v>
      </c>
      <c r="I253" s="510" t="s">
        <v>790</v>
      </c>
      <c r="J253" s="509" t="s">
        <v>650</v>
      </c>
      <c r="K253" s="516">
        <v>0</v>
      </c>
      <c r="L253" s="520" t="s">
        <v>791</v>
      </c>
      <c r="M253" s="685">
        <v>0</v>
      </c>
      <c r="N253" s="685">
        <v>0</v>
      </c>
      <c r="O253" s="682">
        <f t="shared" si="9"/>
        <v>0</v>
      </c>
      <c r="P253" s="683" t="str">
        <f t="shared" si="10"/>
        <v>0</v>
      </c>
      <c r="Q253" s="684" t="str">
        <f t="shared" si="11"/>
        <v>0</v>
      </c>
      <c r="R253" s="491"/>
    </row>
    <row r="254" spans="1:18" x14ac:dyDescent="0.2">
      <c r="A254" s="506" t="s">
        <v>276</v>
      </c>
      <c r="B254" s="502" t="s">
        <v>779</v>
      </c>
      <c r="C254" s="507" t="s">
        <v>290</v>
      </c>
      <c r="D254" s="503" t="s">
        <v>287</v>
      </c>
      <c r="E254" s="348"/>
      <c r="F254" s="504" t="s">
        <v>109</v>
      </c>
      <c r="G254" s="512" t="s">
        <v>798</v>
      </c>
      <c r="H254" s="511" t="s">
        <v>792</v>
      </c>
      <c r="I254" s="510" t="s">
        <v>790</v>
      </c>
      <c r="J254" s="509" t="s">
        <v>650</v>
      </c>
      <c r="K254" s="516">
        <v>38</v>
      </c>
      <c r="L254" s="520"/>
      <c r="M254" s="685">
        <v>65</v>
      </c>
      <c r="N254" s="685">
        <v>9</v>
      </c>
      <c r="O254" s="682">
        <f t="shared" si="9"/>
        <v>0.13846153846153847</v>
      </c>
      <c r="P254" s="683">
        <f t="shared" si="10"/>
        <v>36.43724696356275</v>
      </c>
      <c r="Q254" s="684">
        <f t="shared" si="11"/>
        <v>0.36437246963562753</v>
      </c>
      <c r="R254" s="490"/>
    </row>
    <row r="255" spans="1:18" x14ac:dyDescent="0.2">
      <c r="A255" s="506" t="s">
        <v>276</v>
      </c>
      <c r="B255" s="502" t="s">
        <v>779</v>
      </c>
      <c r="C255" s="507" t="s">
        <v>290</v>
      </c>
      <c r="D255" s="503" t="s">
        <v>283</v>
      </c>
      <c r="E255" s="348"/>
      <c r="F255" s="504" t="s">
        <v>109</v>
      </c>
      <c r="G255" s="512" t="s">
        <v>798</v>
      </c>
      <c r="H255" s="511" t="s">
        <v>789</v>
      </c>
      <c r="I255" s="510" t="s">
        <v>790</v>
      </c>
      <c r="J255" s="509" t="s">
        <v>650</v>
      </c>
      <c r="K255" s="516">
        <v>0</v>
      </c>
      <c r="L255" s="520" t="s">
        <v>791</v>
      </c>
      <c r="M255" s="685">
        <v>5</v>
      </c>
      <c r="N255" s="685">
        <v>0</v>
      </c>
      <c r="O255" s="682">
        <f t="shared" si="9"/>
        <v>0</v>
      </c>
      <c r="P255" s="683" t="str">
        <f t="shared" si="10"/>
        <v>0</v>
      </c>
      <c r="Q255" s="684" t="str">
        <f t="shared" si="11"/>
        <v>0</v>
      </c>
      <c r="R255" s="491"/>
    </row>
    <row r="256" spans="1:18" x14ac:dyDescent="0.2">
      <c r="A256" s="506" t="s">
        <v>276</v>
      </c>
      <c r="B256" s="502" t="s">
        <v>779</v>
      </c>
      <c r="C256" s="507" t="s">
        <v>290</v>
      </c>
      <c r="D256" s="503" t="s">
        <v>284</v>
      </c>
      <c r="E256" s="348"/>
      <c r="F256" s="504" t="s">
        <v>109</v>
      </c>
      <c r="G256" s="512" t="s">
        <v>798</v>
      </c>
      <c r="H256" s="511" t="s">
        <v>789</v>
      </c>
      <c r="I256" s="510" t="s">
        <v>790</v>
      </c>
      <c r="J256" s="509" t="s">
        <v>650</v>
      </c>
      <c r="K256" s="516">
        <v>0</v>
      </c>
      <c r="L256" s="520" t="s">
        <v>791</v>
      </c>
      <c r="M256" s="685">
        <v>0</v>
      </c>
      <c r="N256" s="685">
        <v>0</v>
      </c>
      <c r="O256" s="682">
        <f t="shared" si="9"/>
        <v>0</v>
      </c>
      <c r="P256" s="683" t="str">
        <f t="shared" si="10"/>
        <v>0</v>
      </c>
      <c r="Q256" s="684" t="str">
        <f t="shared" si="11"/>
        <v>0</v>
      </c>
      <c r="R256" s="491"/>
    </row>
    <row r="257" spans="1:18" x14ac:dyDescent="0.2">
      <c r="A257" s="506" t="s">
        <v>276</v>
      </c>
      <c r="B257" s="502" t="s">
        <v>779</v>
      </c>
      <c r="C257" s="507" t="s">
        <v>289</v>
      </c>
      <c r="D257" s="503" t="s">
        <v>287</v>
      </c>
      <c r="E257" s="348"/>
      <c r="F257" s="504" t="s">
        <v>109</v>
      </c>
      <c r="G257" s="512" t="s">
        <v>798</v>
      </c>
      <c r="H257" s="511" t="s">
        <v>792</v>
      </c>
      <c r="I257" s="510" t="s">
        <v>790</v>
      </c>
      <c r="J257" s="509" t="s">
        <v>650</v>
      </c>
      <c r="K257" s="516">
        <v>5</v>
      </c>
      <c r="L257" s="520"/>
      <c r="M257" s="685">
        <v>733</v>
      </c>
      <c r="N257" s="685">
        <v>90</v>
      </c>
      <c r="O257" s="682">
        <f t="shared" si="9"/>
        <v>0.12278308321964529</v>
      </c>
      <c r="P257" s="683">
        <f t="shared" si="10"/>
        <v>245.56616643929061</v>
      </c>
      <c r="Q257" s="684">
        <f t="shared" si="11"/>
        <v>2.4556616643929061</v>
      </c>
      <c r="R257" s="490"/>
    </row>
    <row r="258" spans="1:18" x14ac:dyDescent="0.2">
      <c r="A258" s="506" t="s">
        <v>276</v>
      </c>
      <c r="B258" s="502" t="s">
        <v>779</v>
      </c>
      <c r="C258" s="507" t="s">
        <v>289</v>
      </c>
      <c r="D258" s="503" t="s">
        <v>283</v>
      </c>
      <c r="E258" s="348"/>
      <c r="F258" s="504" t="s">
        <v>109</v>
      </c>
      <c r="G258" s="512" t="s">
        <v>798</v>
      </c>
      <c r="H258" s="511" t="s">
        <v>789</v>
      </c>
      <c r="I258" s="510" t="s">
        <v>790</v>
      </c>
      <c r="J258" s="509" t="s">
        <v>650</v>
      </c>
      <c r="K258" s="516">
        <v>32</v>
      </c>
      <c r="L258" s="520"/>
      <c r="M258" s="685">
        <v>134</v>
      </c>
      <c r="N258" s="685">
        <v>38</v>
      </c>
      <c r="O258" s="682">
        <f t="shared" si="9"/>
        <v>0.28358208955223879</v>
      </c>
      <c r="P258" s="683">
        <f t="shared" si="10"/>
        <v>88.619402985074629</v>
      </c>
      <c r="Q258" s="684">
        <f t="shared" si="11"/>
        <v>0.88619402985074625</v>
      </c>
      <c r="R258" s="490"/>
    </row>
    <row r="259" spans="1:18" x14ac:dyDescent="0.2">
      <c r="A259" s="506" t="s">
        <v>276</v>
      </c>
      <c r="B259" s="502" t="s">
        <v>779</v>
      </c>
      <c r="C259" s="507" t="s">
        <v>289</v>
      </c>
      <c r="D259" s="503" t="s">
        <v>284</v>
      </c>
      <c r="E259" s="348"/>
      <c r="F259" s="504" t="s">
        <v>109</v>
      </c>
      <c r="G259" s="512" t="s">
        <v>798</v>
      </c>
      <c r="H259" s="511" t="s">
        <v>789</v>
      </c>
      <c r="I259" s="510" t="s">
        <v>790</v>
      </c>
      <c r="J259" s="509" t="s">
        <v>650</v>
      </c>
      <c r="K259" s="516">
        <v>33</v>
      </c>
      <c r="L259" s="520"/>
      <c r="M259" s="685">
        <v>29</v>
      </c>
      <c r="N259" s="685">
        <v>13</v>
      </c>
      <c r="O259" s="682">
        <f t="shared" si="9"/>
        <v>0.44827586206896552</v>
      </c>
      <c r="P259" s="683">
        <f t="shared" si="10"/>
        <v>135.84117032392896</v>
      </c>
      <c r="Q259" s="684">
        <f t="shared" si="11"/>
        <v>1.3584117032392895</v>
      </c>
      <c r="R259" s="490"/>
    </row>
    <row r="260" spans="1:18" x14ac:dyDescent="0.2">
      <c r="A260" s="506" t="s">
        <v>276</v>
      </c>
      <c r="B260" s="502" t="s">
        <v>779</v>
      </c>
      <c r="C260" s="507" t="s">
        <v>289</v>
      </c>
      <c r="D260" s="503" t="s">
        <v>281</v>
      </c>
      <c r="E260" s="348"/>
      <c r="F260" s="504" t="s">
        <v>109</v>
      </c>
      <c r="G260" s="512" t="s">
        <v>798</v>
      </c>
      <c r="H260" s="511" t="s">
        <v>789</v>
      </c>
      <c r="I260" s="510" t="s">
        <v>790</v>
      </c>
      <c r="J260" s="509" t="s">
        <v>650</v>
      </c>
      <c r="K260" s="516">
        <v>0</v>
      </c>
      <c r="L260" s="520" t="s">
        <v>791</v>
      </c>
      <c r="M260" s="685">
        <v>2</v>
      </c>
      <c r="N260" s="685">
        <v>0</v>
      </c>
      <c r="O260" s="682">
        <f t="shared" si="9"/>
        <v>0</v>
      </c>
      <c r="P260" s="683" t="str">
        <f t="shared" si="10"/>
        <v>0</v>
      </c>
      <c r="Q260" s="684" t="str">
        <f t="shared" si="11"/>
        <v>0</v>
      </c>
      <c r="R260" s="491"/>
    </row>
    <row r="261" spans="1:18" x14ac:dyDescent="0.2">
      <c r="A261" s="506" t="s">
        <v>276</v>
      </c>
      <c r="B261" s="502" t="s">
        <v>779</v>
      </c>
      <c r="C261" s="507" t="s">
        <v>97</v>
      </c>
      <c r="D261" s="503" t="s">
        <v>279</v>
      </c>
      <c r="E261" s="348"/>
      <c r="F261" s="504" t="s">
        <v>109</v>
      </c>
      <c r="G261" s="512" t="s">
        <v>799</v>
      </c>
      <c r="H261" s="511" t="s">
        <v>789</v>
      </c>
      <c r="I261" s="510" t="s">
        <v>790</v>
      </c>
      <c r="J261" s="509" t="s">
        <v>650</v>
      </c>
      <c r="K261" s="516">
        <v>33</v>
      </c>
      <c r="L261" s="520"/>
      <c r="M261" s="685">
        <v>6</v>
      </c>
      <c r="N261" s="685">
        <v>4</v>
      </c>
      <c r="O261" s="682">
        <f t="shared" ref="O261:O324" si="12">IFERROR(N261/M261,0)</f>
        <v>0.66666666666666663</v>
      </c>
      <c r="P261" s="683">
        <f t="shared" ref="P261:P324" si="13">IFERROR(N261/(M261*(K261/100))*100,"0")</f>
        <v>202.02020202020202</v>
      </c>
      <c r="Q261" s="684">
        <f t="shared" ref="Q261:Q324" si="14">IFERROR(N261/(M261*(K261/100)),"0")</f>
        <v>2.0202020202020203</v>
      </c>
      <c r="R261" s="491"/>
    </row>
    <row r="262" spans="1:18" x14ac:dyDescent="0.2">
      <c r="A262" s="506" t="s">
        <v>276</v>
      </c>
      <c r="B262" s="502" t="s">
        <v>779</v>
      </c>
      <c r="C262" s="507" t="s">
        <v>97</v>
      </c>
      <c r="D262" s="503" t="s">
        <v>281</v>
      </c>
      <c r="E262" s="348"/>
      <c r="F262" s="504" t="s">
        <v>109</v>
      </c>
      <c r="G262" s="512" t="s">
        <v>799</v>
      </c>
      <c r="H262" s="511" t="s">
        <v>789</v>
      </c>
      <c r="I262" s="510" t="s">
        <v>790</v>
      </c>
      <c r="J262" s="509" t="s">
        <v>650</v>
      </c>
      <c r="K262" s="516">
        <v>33</v>
      </c>
      <c r="L262" s="520" t="s">
        <v>791</v>
      </c>
      <c r="M262" s="685">
        <v>9</v>
      </c>
      <c r="N262" s="685">
        <v>7</v>
      </c>
      <c r="O262" s="682">
        <f t="shared" si="12"/>
        <v>0.77777777777777779</v>
      </c>
      <c r="P262" s="683">
        <f t="shared" si="13"/>
        <v>235.69023569023568</v>
      </c>
      <c r="Q262" s="684">
        <f t="shared" si="14"/>
        <v>2.3569023569023568</v>
      </c>
      <c r="R262" s="491"/>
    </row>
    <row r="263" spans="1:18" x14ac:dyDescent="0.2">
      <c r="A263" s="506" t="s">
        <v>276</v>
      </c>
      <c r="B263" s="502" t="s">
        <v>779</v>
      </c>
      <c r="C263" s="507" t="s">
        <v>282</v>
      </c>
      <c r="D263" s="503" t="s">
        <v>287</v>
      </c>
      <c r="E263" s="348"/>
      <c r="F263" s="504" t="s">
        <v>109</v>
      </c>
      <c r="G263" s="512" t="s">
        <v>799</v>
      </c>
      <c r="H263" s="511" t="s">
        <v>792</v>
      </c>
      <c r="I263" s="510" t="s">
        <v>790</v>
      </c>
      <c r="J263" s="509" t="s">
        <v>650</v>
      </c>
      <c r="K263" s="516">
        <v>5</v>
      </c>
      <c r="L263" s="520" t="s">
        <v>791</v>
      </c>
      <c r="M263" s="685">
        <v>68</v>
      </c>
      <c r="N263" s="685">
        <v>10</v>
      </c>
      <c r="O263" s="682">
        <f t="shared" si="12"/>
        <v>0.14705882352941177</v>
      </c>
      <c r="P263" s="683">
        <f t="shared" si="13"/>
        <v>294.11764705882348</v>
      </c>
      <c r="Q263" s="684">
        <f t="shared" si="14"/>
        <v>2.9411764705882351</v>
      </c>
      <c r="R263" s="491"/>
    </row>
    <row r="264" spans="1:18" x14ac:dyDescent="0.2">
      <c r="A264" s="506" t="s">
        <v>276</v>
      </c>
      <c r="B264" s="502" t="s">
        <v>779</v>
      </c>
      <c r="C264" s="507" t="s">
        <v>282</v>
      </c>
      <c r="D264" s="503" t="s">
        <v>283</v>
      </c>
      <c r="E264" s="348"/>
      <c r="F264" s="504" t="s">
        <v>109</v>
      </c>
      <c r="G264" s="512" t="s">
        <v>799</v>
      </c>
      <c r="H264" s="511" t="s">
        <v>789</v>
      </c>
      <c r="I264" s="510" t="s">
        <v>790</v>
      </c>
      <c r="J264" s="509" t="s">
        <v>650</v>
      </c>
      <c r="K264" s="516">
        <v>26</v>
      </c>
      <c r="L264" s="520"/>
      <c r="M264" s="685">
        <v>19</v>
      </c>
      <c r="N264" s="685">
        <v>2</v>
      </c>
      <c r="O264" s="682">
        <f t="shared" si="12"/>
        <v>0.10526315789473684</v>
      </c>
      <c r="P264" s="683">
        <f t="shared" si="13"/>
        <v>40.48582995951417</v>
      </c>
      <c r="Q264" s="684">
        <f t="shared" si="14"/>
        <v>0.40485829959514169</v>
      </c>
      <c r="R264" s="491"/>
    </row>
    <row r="265" spans="1:18" x14ac:dyDescent="0.2">
      <c r="A265" s="506" t="s">
        <v>276</v>
      </c>
      <c r="B265" s="502" t="s">
        <v>779</v>
      </c>
      <c r="C265" s="507" t="s">
        <v>282</v>
      </c>
      <c r="D265" s="503" t="s">
        <v>284</v>
      </c>
      <c r="E265" s="348"/>
      <c r="F265" s="504" t="s">
        <v>109</v>
      </c>
      <c r="G265" s="512" t="s">
        <v>799</v>
      </c>
      <c r="H265" s="511" t="s">
        <v>789</v>
      </c>
      <c r="I265" s="510" t="s">
        <v>790</v>
      </c>
      <c r="J265" s="509" t="s">
        <v>650</v>
      </c>
      <c r="K265" s="516">
        <v>16</v>
      </c>
      <c r="L265" s="520"/>
      <c r="M265" s="685">
        <v>43</v>
      </c>
      <c r="N265" s="685">
        <v>7</v>
      </c>
      <c r="O265" s="682">
        <f t="shared" si="12"/>
        <v>0.16279069767441862</v>
      </c>
      <c r="P265" s="683">
        <f t="shared" si="13"/>
        <v>101.74418604651163</v>
      </c>
      <c r="Q265" s="684">
        <f t="shared" si="14"/>
        <v>1.0174418604651163</v>
      </c>
      <c r="R265" s="491"/>
    </row>
    <row r="266" spans="1:18" x14ac:dyDescent="0.2">
      <c r="A266" s="506" t="s">
        <v>276</v>
      </c>
      <c r="B266" s="502" t="s">
        <v>779</v>
      </c>
      <c r="C266" s="507" t="s">
        <v>282</v>
      </c>
      <c r="D266" s="503" t="s">
        <v>279</v>
      </c>
      <c r="E266" s="348"/>
      <c r="F266" s="504" t="s">
        <v>109</v>
      </c>
      <c r="G266" s="512" t="s">
        <v>799</v>
      </c>
      <c r="H266" s="511" t="s">
        <v>789</v>
      </c>
      <c r="I266" s="510" t="s">
        <v>790</v>
      </c>
      <c r="J266" s="509" t="s">
        <v>650</v>
      </c>
      <c r="K266" s="516">
        <v>6</v>
      </c>
      <c r="L266" s="520"/>
      <c r="M266" s="685">
        <v>65</v>
      </c>
      <c r="N266" s="685">
        <v>7</v>
      </c>
      <c r="O266" s="682">
        <f t="shared" si="12"/>
        <v>0.1076923076923077</v>
      </c>
      <c r="P266" s="683">
        <f t="shared" si="13"/>
        <v>179.4871794871795</v>
      </c>
      <c r="Q266" s="684">
        <f t="shared" si="14"/>
        <v>1.7948717948717949</v>
      </c>
      <c r="R266" s="491"/>
    </row>
    <row r="267" spans="1:18" x14ac:dyDescent="0.2">
      <c r="A267" s="506" t="s">
        <v>276</v>
      </c>
      <c r="B267" s="502" t="s">
        <v>779</v>
      </c>
      <c r="C267" s="507" t="s">
        <v>282</v>
      </c>
      <c r="D267" s="503" t="s">
        <v>281</v>
      </c>
      <c r="E267" s="348"/>
      <c r="F267" s="504" t="s">
        <v>109</v>
      </c>
      <c r="G267" s="512" t="s">
        <v>799</v>
      </c>
      <c r="H267" s="511" t="s">
        <v>789</v>
      </c>
      <c r="I267" s="510" t="s">
        <v>790</v>
      </c>
      <c r="J267" s="509" t="s">
        <v>650</v>
      </c>
      <c r="K267" s="516">
        <v>8</v>
      </c>
      <c r="L267" s="520"/>
      <c r="M267" s="685">
        <v>48</v>
      </c>
      <c r="N267" s="685">
        <v>12</v>
      </c>
      <c r="O267" s="682">
        <f t="shared" si="12"/>
        <v>0.25</v>
      </c>
      <c r="P267" s="683">
        <f t="shared" si="13"/>
        <v>312.5</v>
      </c>
      <c r="Q267" s="684">
        <f t="shared" si="14"/>
        <v>3.125</v>
      </c>
      <c r="R267" s="491"/>
    </row>
    <row r="268" spans="1:18" x14ac:dyDescent="0.2">
      <c r="A268" s="506" t="s">
        <v>276</v>
      </c>
      <c r="B268" s="502" t="s">
        <v>779</v>
      </c>
      <c r="C268" s="507" t="s">
        <v>288</v>
      </c>
      <c r="D268" s="503" t="s">
        <v>287</v>
      </c>
      <c r="E268" s="348"/>
      <c r="F268" s="504" t="s">
        <v>109</v>
      </c>
      <c r="G268" s="512" t="s">
        <v>799</v>
      </c>
      <c r="H268" s="511" t="s">
        <v>792</v>
      </c>
      <c r="I268" s="510" t="s">
        <v>790</v>
      </c>
      <c r="J268" s="509" t="s">
        <v>650</v>
      </c>
      <c r="K268" s="516">
        <v>28.999999999999996</v>
      </c>
      <c r="L268" s="520"/>
      <c r="M268" s="685">
        <v>299</v>
      </c>
      <c r="N268" s="685">
        <v>36</v>
      </c>
      <c r="O268" s="682">
        <f t="shared" si="12"/>
        <v>0.12040133779264214</v>
      </c>
      <c r="P268" s="683">
        <f t="shared" si="13"/>
        <v>41.517702687117982</v>
      </c>
      <c r="Q268" s="684">
        <f t="shared" si="14"/>
        <v>0.4151770268711798</v>
      </c>
      <c r="R268" s="491"/>
    </row>
    <row r="269" spans="1:18" x14ac:dyDescent="0.2">
      <c r="A269" s="506" t="s">
        <v>276</v>
      </c>
      <c r="B269" s="502" t="s">
        <v>779</v>
      </c>
      <c r="C269" s="507" t="s">
        <v>288</v>
      </c>
      <c r="D269" s="503" t="s">
        <v>283</v>
      </c>
      <c r="E269" s="348"/>
      <c r="F269" s="504" t="s">
        <v>109</v>
      </c>
      <c r="G269" s="512" t="s">
        <v>799</v>
      </c>
      <c r="H269" s="511" t="s">
        <v>789</v>
      </c>
      <c r="I269" s="510" t="s">
        <v>790</v>
      </c>
      <c r="J269" s="509" t="s">
        <v>650</v>
      </c>
      <c r="K269" s="516">
        <v>8</v>
      </c>
      <c r="L269" s="520"/>
      <c r="M269" s="685">
        <v>64</v>
      </c>
      <c r="N269" s="685">
        <v>6</v>
      </c>
      <c r="O269" s="682">
        <f t="shared" si="12"/>
        <v>9.375E-2</v>
      </c>
      <c r="P269" s="683">
        <f t="shared" si="13"/>
        <v>117.1875</v>
      </c>
      <c r="Q269" s="684">
        <f t="shared" si="14"/>
        <v>1.171875</v>
      </c>
      <c r="R269" s="491"/>
    </row>
    <row r="270" spans="1:18" x14ac:dyDescent="0.2">
      <c r="A270" s="506" t="s">
        <v>276</v>
      </c>
      <c r="B270" s="502" t="s">
        <v>779</v>
      </c>
      <c r="C270" s="507" t="s">
        <v>288</v>
      </c>
      <c r="D270" s="503" t="s">
        <v>284</v>
      </c>
      <c r="E270" s="348"/>
      <c r="F270" s="504" t="s">
        <v>109</v>
      </c>
      <c r="G270" s="512" t="s">
        <v>799</v>
      </c>
      <c r="H270" s="511" t="s">
        <v>789</v>
      </c>
      <c r="I270" s="510" t="s">
        <v>790</v>
      </c>
      <c r="J270" s="509" t="s">
        <v>650</v>
      </c>
      <c r="K270" s="516">
        <v>8</v>
      </c>
      <c r="L270" s="520" t="s">
        <v>791</v>
      </c>
      <c r="M270" s="685">
        <v>10</v>
      </c>
      <c r="N270" s="685">
        <v>0</v>
      </c>
      <c r="O270" s="682">
        <f t="shared" si="12"/>
        <v>0</v>
      </c>
      <c r="P270" s="683">
        <f t="shared" si="13"/>
        <v>0</v>
      </c>
      <c r="Q270" s="684">
        <f t="shared" si="14"/>
        <v>0</v>
      </c>
      <c r="R270" s="491"/>
    </row>
    <row r="271" spans="1:18" x14ac:dyDescent="0.2">
      <c r="A271" s="506" t="s">
        <v>276</v>
      </c>
      <c r="B271" s="502" t="s">
        <v>779</v>
      </c>
      <c r="C271" s="507" t="s">
        <v>288</v>
      </c>
      <c r="D271" s="503" t="s">
        <v>279</v>
      </c>
      <c r="E271" s="348"/>
      <c r="F271" s="504" t="s">
        <v>109</v>
      </c>
      <c r="G271" s="512" t="s">
        <v>799</v>
      </c>
      <c r="H271" s="511" t="s">
        <v>789</v>
      </c>
      <c r="I271" s="510" t="s">
        <v>790</v>
      </c>
      <c r="J271" s="509" t="s">
        <v>650</v>
      </c>
      <c r="K271" s="516">
        <v>0</v>
      </c>
      <c r="L271" s="520" t="s">
        <v>791</v>
      </c>
      <c r="M271" s="685">
        <v>2</v>
      </c>
      <c r="N271" s="685">
        <v>1</v>
      </c>
      <c r="O271" s="682">
        <f t="shared" si="12"/>
        <v>0.5</v>
      </c>
      <c r="P271" s="683" t="str">
        <f t="shared" si="13"/>
        <v>0</v>
      </c>
      <c r="Q271" s="684" t="str">
        <f t="shared" si="14"/>
        <v>0</v>
      </c>
      <c r="R271" s="491"/>
    </row>
    <row r="272" spans="1:18" x14ac:dyDescent="0.2">
      <c r="A272" s="506" t="s">
        <v>276</v>
      </c>
      <c r="B272" s="502" t="s">
        <v>779</v>
      </c>
      <c r="C272" s="507" t="s">
        <v>288</v>
      </c>
      <c r="D272" s="503" t="s">
        <v>281</v>
      </c>
      <c r="E272" s="348"/>
      <c r="F272" s="504" t="s">
        <v>109</v>
      </c>
      <c r="G272" s="512" t="s">
        <v>799</v>
      </c>
      <c r="H272" s="511" t="s">
        <v>789</v>
      </c>
      <c r="I272" s="510" t="s">
        <v>790</v>
      </c>
      <c r="J272" s="509" t="s">
        <v>650</v>
      </c>
      <c r="K272" s="516">
        <v>8</v>
      </c>
      <c r="L272" s="520" t="s">
        <v>791</v>
      </c>
      <c r="M272" s="685">
        <v>17</v>
      </c>
      <c r="N272" s="685">
        <v>3</v>
      </c>
      <c r="O272" s="682">
        <f t="shared" si="12"/>
        <v>0.17647058823529413</v>
      </c>
      <c r="P272" s="683">
        <f t="shared" si="13"/>
        <v>220.58823529411762</v>
      </c>
      <c r="Q272" s="684">
        <f t="shared" si="14"/>
        <v>2.2058823529411762</v>
      </c>
      <c r="R272" s="491"/>
    </row>
    <row r="273" spans="1:18" x14ac:dyDescent="0.2">
      <c r="A273" s="506" t="s">
        <v>276</v>
      </c>
      <c r="B273" s="502" t="s">
        <v>779</v>
      </c>
      <c r="C273" s="507" t="s">
        <v>99</v>
      </c>
      <c r="D273" s="503" t="s">
        <v>287</v>
      </c>
      <c r="E273" s="348"/>
      <c r="F273" s="504" t="s">
        <v>109</v>
      </c>
      <c r="G273" s="512" t="s">
        <v>799</v>
      </c>
      <c r="H273" s="511" t="s">
        <v>792</v>
      </c>
      <c r="I273" s="510" t="s">
        <v>790</v>
      </c>
      <c r="J273" s="509" t="s">
        <v>650</v>
      </c>
      <c r="K273" s="516">
        <v>17</v>
      </c>
      <c r="L273" s="520"/>
      <c r="M273" s="685">
        <v>326</v>
      </c>
      <c r="N273" s="685">
        <v>49</v>
      </c>
      <c r="O273" s="682">
        <f t="shared" si="12"/>
        <v>0.15030674846625766</v>
      </c>
      <c r="P273" s="683">
        <f t="shared" si="13"/>
        <v>88.415734391916274</v>
      </c>
      <c r="Q273" s="684">
        <f t="shared" si="14"/>
        <v>0.88415734391916267</v>
      </c>
      <c r="R273" s="491"/>
    </row>
    <row r="274" spans="1:18" x14ac:dyDescent="0.2">
      <c r="A274" s="506" t="s">
        <v>276</v>
      </c>
      <c r="B274" s="502" t="s">
        <v>779</v>
      </c>
      <c r="C274" s="507" t="s">
        <v>99</v>
      </c>
      <c r="D274" s="503" t="s">
        <v>283</v>
      </c>
      <c r="E274" s="348"/>
      <c r="F274" s="504" t="s">
        <v>109</v>
      </c>
      <c r="G274" s="512" t="s">
        <v>799</v>
      </c>
      <c r="H274" s="511" t="s">
        <v>789</v>
      </c>
      <c r="I274" s="510" t="s">
        <v>790</v>
      </c>
      <c r="J274" s="509" t="s">
        <v>650</v>
      </c>
      <c r="K274" s="516">
        <v>36</v>
      </c>
      <c r="L274" s="520"/>
      <c r="M274" s="685">
        <v>17</v>
      </c>
      <c r="N274" s="685">
        <v>4</v>
      </c>
      <c r="O274" s="682">
        <f t="shared" si="12"/>
        <v>0.23529411764705882</v>
      </c>
      <c r="P274" s="683">
        <f t="shared" si="13"/>
        <v>65.359477124183002</v>
      </c>
      <c r="Q274" s="684">
        <f t="shared" si="14"/>
        <v>0.65359477124183007</v>
      </c>
      <c r="R274" s="491"/>
    </row>
    <row r="275" spans="1:18" x14ac:dyDescent="0.2">
      <c r="A275" s="506" t="s">
        <v>276</v>
      </c>
      <c r="B275" s="502" t="s">
        <v>779</v>
      </c>
      <c r="C275" s="507" t="s">
        <v>99</v>
      </c>
      <c r="D275" s="503" t="s">
        <v>284</v>
      </c>
      <c r="E275" s="348"/>
      <c r="F275" s="504" t="s">
        <v>109</v>
      </c>
      <c r="G275" s="512" t="s">
        <v>799</v>
      </c>
      <c r="H275" s="511" t="s">
        <v>789</v>
      </c>
      <c r="I275" s="510" t="s">
        <v>790</v>
      </c>
      <c r="J275" s="509" t="s">
        <v>650</v>
      </c>
      <c r="K275" s="516">
        <v>80</v>
      </c>
      <c r="L275" s="520"/>
      <c r="M275" s="685">
        <v>8</v>
      </c>
      <c r="N275" s="685">
        <v>2</v>
      </c>
      <c r="O275" s="682">
        <f t="shared" si="12"/>
        <v>0.25</v>
      </c>
      <c r="P275" s="683">
        <f t="shared" si="13"/>
        <v>31.25</v>
      </c>
      <c r="Q275" s="684">
        <f t="shared" si="14"/>
        <v>0.3125</v>
      </c>
      <c r="R275" s="491"/>
    </row>
    <row r="276" spans="1:18" x14ac:dyDescent="0.2">
      <c r="A276" s="506" t="s">
        <v>276</v>
      </c>
      <c r="B276" s="502" t="s">
        <v>779</v>
      </c>
      <c r="C276" s="507" t="s">
        <v>99</v>
      </c>
      <c r="D276" s="503" t="s">
        <v>279</v>
      </c>
      <c r="E276" s="348"/>
      <c r="F276" s="504" t="s">
        <v>109</v>
      </c>
      <c r="G276" s="512" t="s">
        <v>799</v>
      </c>
      <c r="H276" s="511" t="s">
        <v>789</v>
      </c>
      <c r="I276" s="510" t="s">
        <v>790</v>
      </c>
      <c r="J276" s="509" t="s">
        <v>650</v>
      </c>
      <c r="K276" s="516">
        <v>0</v>
      </c>
      <c r="L276" s="520" t="s">
        <v>791</v>
      </c>
      <c r="M276" s="685">
        <v>5</v>
      </c>
      <c r="N276" s="685">
        <v>2</v>
      </c>
      <c r="O276" s="682">
        <f t="shared" si="12"/>
        <v>0.4</v>
      </c>
      <c r="P276" s="683" t="str">
        <f t="shared" si="13"/>
        <v>0</v>
      </c>
      <c r="Q276" s="684" t="str">
        <f t="shared" si="14"/>
        <v>0</v>
      </c>
      <c r="R276" s="491"/>
    </row>
    <row r="277" spans="1:18" x14ac:dyDescent="0.2">
      <c r="A277" s="506" t="s">
        <v>276</v>
      </c>
      <c r="B277" s="502" t="s">
        <v>779</v>
      </c>
      <c r="C277" s="507" t="s">
        <v>99</v>
      </c>
      <c r="D277" s="503" t="s">
        <v>281</v>
      </c>
      <c r="E277" s="348"/>
      <c r="F277" s="504" t="s">
        <v>109</v>
      </c>
      <c r="G277" s="512" t="s">
        <v>799</v>
      </c>
      <c r="H277" s="511" t="s">
        <v>789</v>
      </c>
      <c r="I277" s="510" t="s">
        <v>790</v>
      </c>
      <c r="J277" s="509" t="s">
        <v>650</v>
      </c>
      <c r="K277" s="516">
        <v>0</v>
      </c>
      <c r="L277" s="520" t="s">
        <v>791</v>
      </c>
      <c r="M277" s="685">
        <v>1</v>
      </c>
      <c r="N277" s="685">
        <v>0</v>
      </c>
      <c r="O277" s="682">
        <f t="shared" si="12"/>
        <v>0</v>
      </c>
      <c r="P277" s="683" t="str">
        <f t="shared" si="13"/>
        <v>0</v>
      </c>
      <c r="Q277" s="684" t="str">
        <f t="shared" si="14"/>
        <v>0</v>
      </c>
      <c r="R277" s="491"/>
    </row>
    <row r="278" spans="1:18" x14ac:dyDescent="0.2">
      <c r="A278" s="506" t="s">
        <v>276</v>
      </c>
      <c r="B278" s="502" t="s">
        <v>779</v>
      </c>
      <c r="C278" s="507" t="s">
        <v>285</v>
      </c>
      <c r="D278" s="503" t="s">
        <v>287</v>
      </c>
      <c r="E278" s="348"/>
      <c r="F278" s="504" t="s">
        <v>109</v>
      </c>
      <c r="G278" s="512" t="s">
        <v>799</v>
      </c>
      <c r="H278" s="511" t="s">
        <v>792</v>
      </c>
      <c r="I278" s="510" t="s">
        <v>790</v>
      </c>
      <c r="J278" s="509" t="s">
        <v>650</v>
      </c>
      <c r="K278" s="516">
        <v>13</v>
      </c>
      <c r="L278" s="520"/>
      <c r="M278" s="685">
        <v>0</v>
      </c>
      <c r="N278" s="685">
        <v>0</v>
      </c>
      <c r="O278" s="682">
        <f t="shared" si="12"/>
        <v>0</v>
      </c>
      <c r="P278" s="683" t="str">
        <f t="shared" si="13"/>
        <v>0</v>
      </c>
      <c r="Q278" s="684" t="str">
        <f t="shared" si="14"/>
        <v>0</v>
      </c>
      <c r="R278" s="491"/>
    </row>
    <row r="279" spans="1:18" x14ac:dyDescent="0.2">
      <c r="A279" s="506" t="s">
        <v>276</v>
      </c>
      <c r="B279" s="502" t="s">
        <v>779</v>
      </c>
      <c r="C279" s="507" t="s">
        <v>285</v>
      </c>
      <c r="D279" s="503" t="s">
        <v>283</v>
      </c>
      <c r="E279" s="348"/>
      <c r="F279" s="504" t="s">
        <v>109</v>
      </c>
      <c r="G279" s="512" t="s">
        <v>799</v>
      </c>
      <c r="H279" s="511" t="s">
        <v>789</v>
      </c>
      <c r="I279" s="510" t="s">
        <v>790</v>
      </c>
      <c r="J279" s="509" t="s">
        <v>650</v>
      </c>
      <c r="K279" s="516">
        <v>0</v>
      </c>
      <c r="L279" s="520" t="s">
        <v>791</v>
      </c>
      <c r="M279" s="685">
        <v>5</v>
      </c>
      <c r="N279" s="685">
        <v>1</v>
      </c>
      <c r="O279" s="682">
        <f t="shared" si="12"/>
        <v>0.2</v>
      </c>
      <c r="P279" s="683" t="str">
        <f t="shared" si="13"/>
        <v>0</v>
      </c>
      <c r="Q279" s="684" t="str">
        <f t="shared" si="14"/>
        <v>0</v>
      </c>
      <c r="R279" s="491"/>
    </row>
    <row r="280" spans="1:18" x14ac:dyDescent="0.2">
      <c r="A280" s="506" t="s">
        <v>276</v>
      </c>
      <c r="B280" s="502" t="s">
        <v>779</v>
      </c>
      <c r="C280" s="507" t="s">
        <v>285</v>
      </c>
      <c r="D280" s="503" t="s">
        <v>284</v>
      </c>
      <c r="E280" s="348"/>
      <c r="F280" s="504" t="s">
        <v>109</v>
      </c>
      <c r="G280" s="512" t="s">
        <v>799</v>
      </c>
      <c r="H280" s="511" t="s">
        <v>789</v>
      </c>
      <c r="I280" s="510" t="s">
        <v>790</v>
      </c>
      <c r="J280" s="509" t="s">
        <v>650</v>
      </c>
      <c r="K280" s="516">
        <v>0</v>
      </c>
      <c r="L280" s="520" t="s">
        <v>791</v>
      </c>
      <c r="M280" s="685">
        <v>4</v>
      </c>
      <c r="N280" s="685">
        <v>0</v>
      </c>
      <c r="O280" s="682">
        <f t="shared" si="12"/>
        <v>0</v>
      </c>
      <c r="P280" s="683" t="str">
        <f t="shared" si="13"/>
        <v>0</v>
      </c>
      <c r="Q280" s="684" t="str">
        <f t="shared" si="14"/>
        <v>0</v>
      </c>
      <c r="R280" s="491"/>
    </row>
    <row r="281" spans="1:18" x14ac:dyDescent="0.2">
      <c r="A281" s="506" t="s">
        <v>276</v>
      </c>
      <c r="B281" s="502" t="s">
        <v>779</v>
      </c>
      <c r="C281" s="507" t="s">
        <v>285</v>
      </c>
      <c r="D281" s="503" t="s">
        <v>279</v>
      </c>
      <c r="E281" s="348"/>
      <c r="F281" s="504" t="s">
        <v>109</v>
      </c>
      <c r="G281" s="512" t="s">
        <v>799</v>
      </c>
      <c r="H281" s="511" t="s">
        <v>789</v>
      </c>
      <c r="I281" s="510" t="s">
        <v>790</v>
      </c>
      <c r="J281" s="509" t="s">
        <v>650</v>
      </c>
      <c r="K281" s="516">
        <v>0</v>
      </c>
      <c r="L281" s="520" t="s">
        <v>791</v>
      </c>
      <c r="M281" s="685">
        <v>1</v>
      </c>
      <c r="N281" s="685">
        <v>0</v>
      </c>
      <c r="O281" s="682">
        <f t="shared" si="12"/>
        <v>0</v>
      </c>
      <c r="P281" s="683" t="str">
        <f t="shared" si="13"/>
        <v>0</v>
      </c>
      <c r="Q281" s="684" t="str">
        <f t="shared" si="14"/>
        <v>0</v>
      </c>
      <c r="R281" s="491"/>
    </row>
    <row r="282" spans="1:18" x14ac:dyDescent="0.2">
      <c r="A282" s="506" t="s">
        <v>276</v>
      </c>
      <c r="B282" s="502" t="s">
        <v>779</v>
      </c>
      <c r="C282" s="507" t="s">
        <v>285</v>
      </c>
      <c r="D282" s="503" t="s">
        <v>281</v>
      </c>
      <c r="E282" s="348"/>
      <c r="F282" s="504" t="s">
        <v>109</v>
      </c>
      <c r="G282" s="512" t="s">
        <v>799</v>
      </c>
      <c r="H282" s="511" t="s">
        <v>789</v>
      </c>
      <c r="I282" s="510" t="s">
        <v>790</v>
      </c>
      <c r="J282" s="509" t="s">
        <v>650</v>
      </c>
      <c r="K282" s="516">
        <v>25</v>
      </c>
      <c r="L282" s="520"/>
      <c r="M282" s="685">
        <v>12</v>
      </c>
      <c r="N282" s="685">
        <v>4</v>
      </c>
      <c r="O282" s="682">
        <f t="shared" si="12"/>
        <v>0.33333333333333331</v>
      </c>
      <c r="P282" s="683">
        <f t="shared" si="13"/>
        <v>133.33333333333331</v>
      </c>
      <c r="Q282" s="684">
        <f t="shared" si="14"/>
        <v>1.3333333333333333</v>
      </c>
      <c r="R282" s="491"/>
    </row>
    <row r="283" spans="1:18" x14ac:dyDescent="0.2">
      <c r="A283" s="506" t="s">
        <v>276</v>
      </c>
      <c r="B283" s="502" t="s">
        <v>779</v>
      </c>
      <c r="C283" s="507" t="s">
        <v>285</v>
      </c>
      <c r="D283" s="503" t="s">
        <v>286</v>
      </c>
      <c r="E283" s="348"/>
      <c r="F283" s="504" t="s">
        <v>109</v>
      </c>
      <c r="G283" s="512" t="s">
        <v>799</v>
      </c>
      <c r="H283" s="511" t="s">
        <v>789</v>
      </c>
      <c r="I283" s="510" t="s">
        <v>790</v>
      </c>
      <c r="J283" s="509" t="s">
        <v>650</v>
      </c>
      <c r="K283" s="516">
        <v>10</v>
      </c>
      <c r="L283" s="520"/>
      <c r="M283" s="685">
        <v>20</v>
      </c>
      <c r="N283" s="685">
        <v>0</v>
      </c>
      <c r="O283" s="682">
        <f t="shared" si="12"/>
        <v>0</v>
      </c>
      <c r="P283" s="683">
        <f t="shared" si="13"/>
        <v>0</v>
      </c>
      <c r="Q283" s="684">
        <f t="shared" si="14"/>
        <v>0</v>
      </c>
      <c r="R283" s="491"/>
    </row>
    <row r="284" spans="1:18" x14ac:dyDescent="0.2">
      <c r="A284" s="506" t="s">
        <v>276</v>
      </c>
      <c r="B284" s="502" t="s">
        <v>779</v>
      </c>
      <c r="C284" s="507" t="s">
        <v>291</v>
      </c>
      <c r="D284" s="503" t="s">
        <v>283</v>
      </c>
      <c r="E284" s="348"/>
      <c r="F284" s="504" t="s">
        <v>109</v>
      </c>
      <c r="G284" s="512" t="s">
        <v>799</v>
      </c>
      <c r="H284" s="511" t="s">
        <v>789</v>
      </c>
      <c r="I284" s="510" t="s">
        <v>790</v>
      </c>
      <c r="J284" s="509" t="s">
        <v>650</v>
      </c>
      <c r="K284" s="516">
        <v>0</v>
      </c>
      <c r="L284" s="520" t="s">
        <v>791</v>
      </c>
      <c r="M284" s="685">
        <v>0</v>
      </c>
      <c r="N284" s="685">
        <v>0</v>
      </c>
      <c r="O284" s="682">
        <f t="shared" si="12"/>
        <v>0</v>
      </c>
      <c r="P284" s="683" t="str">
        <f t="shared" si="13"/>
        <v>0</v>
      </c>
      <c r="Q284" s="684" t="str">
        <f t="shared" si="14"/>
        <v>0</v>
      </c>
      <c r="R284" s="491"/>
    </row>
    <row r="285" spans="1:18" x14ac:dyDescent="0.2">
      <c r="A285" s="506" t="s">
        <v>276</v>
      </c>
      <c r="B285" s="502" t="s">
        <v>779</v>
      </c>
      <c r="C285" s="507" t="s">
        <v>291</v>
      </c>
      <c r="D285" s="503" t="s">
        <v>284</v>
      </c>
      <c r="E285" s="348"/>
      <c r="F285" s="504" t="s">
        <v>109</v>
      </c>
      <c r="G285" s="512" t="s">
        <v>799</v>
      </c>
      <c r="H285" s="511" t="s">
        <v>789</v>
      </c>
      <c r="I285" s="510" t="s">
        <v>790</v>
      </c>
      <c r="J285" s="509" t="s">
        <v>650</v>
      </c>
      <c r="K285" s="516">
        <v>0</v>
      </c>
      <c r="L285" s="520" t="s">
        <v>791</v>
      </c>
      <c r="M285" s="685">
        <v>0</v>
      </c>
      <c r="N285" s="685">
        <v>0</v>
      </c>
      <c r="O285" s="682">
        <f t="shared" si="12"/>
        <v>0</v>
      </c>
      <c r="P285" s="683" t="str">
        <f t="shared" si="13"/>
        <v>0</v>
      </c>
      <c r="Q285" s="684" t="str">
        <f t="shared" si="14"/>
        <v>0</v>
      </c>
      <c r="R285" s="491"/>
    </row>
    <row r="286" spans="1:18" x14ac:dyDescent="0.2">
      <c r="A286" s="506" t="s">
        <v>276</v>
      </c>
      <c r="B286" s="502" t="s">
        <v>779</v>
      </c>
      <c r="C286" s="507" t="s">
        <v>290</v>
      </c>
      <c r="D286" s="503" t="s">
        <v>287</v>
      </c>
      <c r="E286" s="348"/>
      <c r="F286" s="504" t="s">
        <v>109</v>
      </c>
      <c r="G286" s="512" t="s">
        <v>799</v>
      </c>
      <c r="H286" s="511" t="s">
        <v>792</v>
      </c>
      <c r="I286" s="510" t="s">
        <v>790</v>
      </c>
      <c r="J286" s="509" t="s">
        <v>650</v>
      </c>
      <c r="K286" s="516">
        <v>38</v>
      </c>
      <c r="L286" s="520"/>
      <c r="M286" s="685">
        <v>65</v>
      </c>
      <c r="N286" s="685">
        <v>9</v>
      </c>
      <c r="O286" s="682">
        <f t="shared" si="12"/>
        <v>0.13846153846153847</v>
      </c>
      <c r="P286" s="683">
        <f t="shared" si="13"/>
        <v>36.43724696356275</v>
      </c>
      <c r="Q286" s="684">
        <f t="shared" si="14"/>
        <v>0.36437246963562753</v>
      </c>
      <c r="R286" s="491"/>
    </row>
    <row r="287" spans="1:18" x14ac:dyDescent="0.2">
      <c r="A287" s="506" t="s">
        <v>276</v>
      </c>
      <c r="B287" s="502" t="s">
        <v>779</v>
      </c>
      <c r="C287" s="507" t="s">
        <v>290</v>
      </c>
      <c r="D287" s="503" t="s">
        <v>283</v>
      </c>
      <c r="E287" s="348"/>
      <c r="F287" s="504" t="s">
        <v>109</v>
      </c>
      <c r="G287" s="512" t="s">
        <v>799</v>
      </c>
      <c r="H287" s="511" t="s">
        <v>789</v>
      </c>
      <c r="I287" s="510" t="s">
        <v>790</v>
      </c>
      <c r="J287" s="509" t="s">
        <v>650</v>
      </c>
      <c r="K287" s="516">
        <v>0</v>
      </c>
      <c r="L287" s="520" t="s">
        <v>791</v>
      </c>
      <c r="M287" s="685">
        <v>5</v>
      </c>
      <c r="N287" s="685">
        <v>0</v>
      </c>
      <c r="O287" s="682">
        <f t="shared" si="12"/>
        <v>0</v>
      </c>
      <c r="P287" s="683" t="str">
        <f t="shared" si="13"/>
        <v>0</v>
      </c>
      <c r="Q287" s="684" t="str">
        <f t="shared" si="14"/>
        <v>0</v>
      </c>
      <c r="R287" s="491"/>
    </row>
    <row r="288" spans="1:18" x14ac:dyDescent="0.2">
      <c r="A288" s="506" t="s">
        <v>276</v>
      </c>
      <c r="B288" s="502" t="s">
        <v>779</v>
      </c>
      <c r="C288" s="507" t="s">
        <v>290</v>
      </c>
      <c r="D288" s="503" t="s">
        <v>284</v>
      </c>
      <c r="E288" s="348"/>
      <c r="F288" s="504" t="s">
        <v>109</v>
      </c>
      <c r="G288" s="512" t="s">
        <v>799</v>
      </c>
      <c r="H288" s="511" t="s">
        <v>789</v>
      </c>
      <c r="I288" s="510" t="s">
        <v>790</v>
      </c>
      <c r="J288" s="509" t="s">
        <v>650</v>
      </c>
      <c r="K288" s="516">
        <v>0</v>
      </c>
      <c r="L288" s="520" t="s">
        <v>791</v>
      </c>
      <c r="M288" s="685">
        <v>0</v>
      </c>
      <c r="N288" s="685">
        <v>0</v>
      </c>
      <c r="O288" s="682">
        <f t="shared" si="12"/>
        <v>0</v>
      </c>
      <c r="P288" s="683" t="str">
        <f t="shared" si="13"/>
        <v>0</v>
      </c>
      <c r="Q288" s="684" t="str">
        <f t="shared" si="14"/>
        <v>0</v>
      </c>
      <c r="R288" s="491"/>
    </row>
    <row r="289" spans="1:18" x14ac:dyDescent="0.2">
      <c r="A289" s="506" t="s">
        <v>276</v>
      </c>
      <c r="B289" s="502" t="s">
        <v>779</v>
      </c>
      <c r="C289" s="507" t="s">
        <v>289</v>
      </c>
      <c r="D289" s="503" t="s">
        <v>287</v>
      </c>
      <c r="E289" s="348"/>
      <c r="F289" s="504" t="s">
        <v>109</v>
      </c>
      <c r="G289" s="512" t="s">
        <v>799</v>
      </c>
      <c r="H289" s="511" t="s">
        <v>792</v>
      </c>
      <c r="I289" s="510" t="s">
        <v>790</v>
      </c>
      <c r="J289" s="509" t="s">
        <v>650</v>
      </c>
      <c r="K289" s="516">
        <v>5</v>
      </c>
      <c r="L289" s="520"/>
      <c r="M289" s="685">
        <v>733</v>
      </c>
      <c r="N289" s="685">
        <v>90</v>
      </c>
      <c r="O289" s="682">
        <f t="shared" si="12"/>
        <v>0.12278308321964529</v>
      </c>
      <c r="P289" s="683">
        <f t="shared" si="13"/>
        <v>245.56616643929061</v>
      </c>
      <c r="Q289" s="684">
        <f t="shared" si="14"/>
        <v>2.4556616643929061</v>
      </c>
      <c r="R289" s="491"/>
    </row>
    <row r="290" spans="1:18" x14ac:dyDescent="0.2">
      <c r="A290" s="506" t="s">
        <v>276</v>
      </c>
      <c r="B290" s="502" t="s">
        <v>779</v>
      </c>
      <c r="C290" s="507" t="s">
        <v>289</v>
      </c>
      <c r="D290" s="503" t="s">
        <v>283</v>
      </c>
      <c r="E290" s="348"/>
      <c r="F290" s="504" t="s">
        <v>109</v>
      </c>
      <c r="G290" s="512" t="s">
        <v>799</v>
      </c>
      <c r="H290" s="511" t="s">
        <v>789</v>
      </c>
      <c r="I290" s="510" t="s">
        <v>790</v>
      </c>
      <c r="J290" s="509" t="s">
        <v>650</v>
      </c>
      <c r="K290" s="516">
        <v>32</v>
      </c>
      <c r="L290" s="520"/>
      <c r="M290" s="685">
        <v>134</v>
      </c>
      <c r="N290" s="685">
        <v>38</v>
      </c>
      <c r="O290" s="682">
        <f t="shared" si="12"/>
        <v>0.28358208955223879</v>
      </c>
      <c r="P290" s="683">
        <f t="shared" si="13"/>
        <v>88.619402985074629</v>
      </c>
      <c r="Q290" s="684">
        <f t="shared" si="14"/>
        <v>0.88619402985074625</v>
      </c>
      <c r="R290" s="491"/>
    </row>
    <row r="291" spans="1:18" x14ac:dyDescent="0.2">
      <c r="A291" s="506" t="s">
        <v>276</v>
      </c>
      <c r="B291" s="502" t="s">
        <v>779</v>
      </c>
      <c r="C291" s="507" t="s">
        <v>289</v>
      </c>
      <c r="D291" s="503" t="s">
        <v>284</v>
      </c>
      <c r="E291" s="348"/>
      <c r="F291" s="504" t="s">
        <v>109</v>
      </c>
      <c r="G291" s="512" t="s">
        <v>799</v>
      </c>
      <c r="H291" s="511" t="s">
        <v>789</v>
      </c>
      <c r="I291" s="510" t="s">
        <v>790</v>
      </c>
      <c r="J291" s="509" t="s">
        <v>650</v>
      </c>
      <c r="K291" s="516">
        <v>33</v>
      </c>
      <c r="L291" s="520"/>
      <c r="M291" s="685">
        <v>29</v>
      </c>
      <c r="N291" s="685">
        <v>13</v>
      </c>
      <c r="O291" s="682">
        <f t="shared" si="12"/>
        <v>0.44827586206896552</v>
      </c>
      <c r="P291" s="683">
        <f t="shared" si="13"/>
        <v>135.84117032392896</v>
      </c>
      <c r="Q291" s="684">
        <f t="shared" si="14"/>
        <v>1.3584117032392895</v>
      </c>
      <c r="R291" s="491"/>
    </row>
    <row r="292" spans="1:18" x14ac:dyDescent="0.2">
      <c r="A292" s="506" t="s">
        <v>276</v>
      </c>
      <c r="B292" s="502" t="s">
        <v>779</v>
      </c>
      <c r="C292" s="507" t="s">
        <v>289</v>
      </c>
      <c r="D292" s="503" t="s">
        <v>281</v>
      </c>
      <c r="E292" s="348"/>
      <c r="F292" s="504" t="s">
        <v>109</v>
      </c>
      <c r="G292" s="512" t="s">
        <v>799</v>
      </c>
      <c r="H292" s="511" t="s">
        <v>789</v>
      </c>
      <c r="I292" s="510" t="s">
        <v>790</v>
      </c>
      <c r="J292" s="509" t="s">
        <v>650</v>
      </c>
      <c r="K292" s="516">
        <v>0</v>
      </c>
      <c r="L292" s="520" t="s">
        <v>791</v>
      </c>
      <c r="M292" s="685">
        <v>2</v>
      </c>
      <c r="N292" s="685">
        <v>0</v>
      </c>
      <c r="O292" s="682">
        <f t="shared" si="12"/>
        <v>0</v>
      </c>
      <c r="P292" s="683" t="str">
        <f t="shared" si="13"/>
        <v>0</v>
      </c>
      <c r="Q292" s="684" t="str">
        <f t="shared" si="14"/>
        <v>0</v>
      </c>
      <c r="R292" s="491"/>
    </row>
    <row r="293" spans="1:18" x14ac:dyDescent="0.2">
      <c r="A293" s="506" t="s">
        <v>276</v>
      </c>
      <c r="B293" s="502" t="s">
        <v>779</v>
      </c>
      <c r="C293" s="507" t="s">
        <v>97</v>
      </c>
      <c r="D293" s="503" t="s">
        <v>279</v>
      </c>
      <c r="E293" s="348"/>
      <c r="F293" s="504" t="s">
        <v>109</v>
      </c>
      <c r="G293" s="512" t="s">
        <v>800</v>
      </c>
      <c r="H293" s="511" t="s">
        <v>789</v>
      </c>
      <c r="I293" s="510" t="s">
        <v>790</v>
      </c>
      <c r="J293" s="509" t="s">
        <v>650</v>
      </c>
      <c r="K293" s="516">
        <v>33</v>
      </c>
      <c r="L293" s="520"/>
      <c r="M293" s="685">
        <v>6</v>
      </c>
      <c r="N293" s="685">
        <v>4</v>
      </c>
      <c r="O293" s="682">
        <f t="shared" si="12"/>
        <v>0.66666666666666663</v>
      </c>
      <c r="P293" s="683">
        <f t="shared" si="13"/>
        <v>202.02020202020202</v>
      </c>
      <c r="Q293" s="684">
        <f t="shared" si="14"/>
        <v>2.0202020202020203</v>
      </c>
      <c r="R293" s="491"/>
    </row>
    <row r="294" spans="1:18" x14ac:dyDescent="0.2">
      <c r="A294" s="506" t="s">
        <v>276</v>
      </c>
      <c r="B294" s="502" t="s">
        <v>779</v>
      </c>
      <c r="C294" s="507" t="s">
        <v>97</v>
      </c>
      <c r="D294" s="503" t="s">
        <v>281</v>
      </c>
      <c r="E294" s="348"/>
      <c r="F294" s="504" t="s">
        <v>109</v>
      </c>
      <c r="G294" s="512" t="s">
        <v>800</v>
      </c>
      <c r="H294" s="511" t="s">
        <v>789</v>
      </c>
      <c r="I294" s="510" t="s">
        <v>790</v>
      </c>
      <c r="J294" s="509" t="s">
        <v>650</v>
      </c>
      <c r="K294" s="516">
        <v>33</v>
      </c>
      <c r="L294" s="520" t="s">
        <v>791</v>
      </c>
      <c r="M294" s="685">
        <v>9</v>
      </c>
      <c r="N294" s="685">
        <v>7</v>
      </c>
      <c r="O294" s="682">
        <f t="shared" si="12"/>
        <v>0.77777777777777779</v>
      </c>
      <c r="P294" s="683">
        <f t="shared" si="13"/>
        <v>235.69023569023568</v>
      </c>
      <c r="Q294" s="684">
        <f t="shared" si="14"/>
        <v>2.3569023569023568</v>
      </c>
      <c r="R294" s="491"/>
    </row>
    <row r="295" spans="1:18" x14ac:dyDescent="0.2">
      <c r="A295" s="506" t="s">
        <v>276</v>
      </c>
      <c r="B295" s="502" t="s">
        <v>779</v>
      </c>
      <c r="C295" s="507" t="s">
        <v>282</v>
      </c>
      <c r="D295" s="503" t="s">
        <v>287</v>
      </c>
      <c r="E295" s="348"/>
      <c r="F295" s="504" t="s">
        <v>109</v>
      </c>
      <c r="G295" s="512" t="s">
        <v>800</v>
      </c>
      <c r="H295" s="511" t="s">
        <v>792</v>
      </c>
      <c r="I295" s="510" t="s">
        <v>790</v>
      </c>
      <c r="J295" s="509" t="s">
        <v>650</v>
      </c>
      <c r="K295" s="516">
        <v>5</v>
      </c>
      <c r="L295" s="520" t="s">
        <v>791</v>
      </c>
      <c r="M295" s="685">
        <v>68</v>
      </c>
      <c r="N295" s="685">
        <v>10</v>
      </c>
      <c r="O295" s="682">
        <f t="shared" si="12"/>
        <v>0.14705882352941177</v>
      </c>
      <c r="P295" s="683">
        <f t="shared" si="13"/>
        <v>294.11764705882348</v>
      </c>
      <c r="Q295" s="684">
        <f t="shared" si="14"/>
        <v>2.9411764705882351</v>
      </c>
      <c r="R295" s="491"/>
    </row>
    <row r="296" spans="1:18" x14ac:dyDescent="0.2">
      <c r="A296" s="506" t="s">
        <v>276</v>
      </c>
      <c r="B296" s="502" t="s">
        <v>779</v>
      </c>
      <c r="C296" s="507" t="s">
        <v>282</v>
      </c>
      <c r="D296" s="503" t="s">
        <v>283</v>
      </c>
      <c r="E296" s="348"/>
      <c r="F296" s="504" t="s">
        <v>109</v>
      </c>
      <c r="G296" s="512" t="s">
        <v>800</v>
      </c>
      <c r="H296" s="511" t="s">
        <v>789</v>
      </c>
      <c r="I296" s="510" t="s">
        <v>790</v>
      </c>
      <c r="J296" s="509" t="s">
        <v>650</v>
      </c>
      <c r="K296" s="516">
        <v>26</v>
      </c>
      <c r="L296" s="520"/>
      <c r="M296" s="685">
        <v>19</v>
      </c>
      <c r="N296" s="685">
        <v>2</v>
      </c>
      <c r="O296" s="682">
        <f t="shared" si="12"/>
        <v>0.10526315789473684</v>
      </c>
      <c r="P296" s="683">
        <f t="shared" si="13"/>
        <v>40.48582995951417</v>
      </c>
      <c r="Q296" s="684">
        <f t="shared" si="14"/>
        <v>0.40485829959514169</v>
      </c>
      <c r="R296" s="491"/>
    </row>
    <row r="297" spans="1:18" x14ac:dyDescent="0.2">
      <c r="A297" s="506" t="s">
        <v>276</v>
      </c>
      <c r="B297" s="502" t="s">
        <v>779</v>
      </c>
      <c r="C297" s="507" t="s">
        <v>282</v>
      </c>
      <c r="D297" s="503" t="s">
        <v>284</v>
      </c>
      <c r="E297" s="348"/>
      <c r="F297" s="504" t="s">
        <v>109</v>
      </c>
      <c r="G297" s="512" t="s">
        <v>800</v>
      </c>
      <c r="H297" s="511" t="s">
        <v>789</v>
      </c>
      <c r="I297" s="510" t="s">
        <v>790</v>
      </c>
      <c r="J297" s="509" t="s">
        <v>650</v>
      </c>
      <c r="K297" s="516">
        <v>16</v>
      </c>
      <c r="L297" s="520"/>
      <c r="M297" s="685">
        <v>43</v>
      </c>
      <c r="N297" s="685">
        <v>7</v>
      </c>
      <c r="O297" s="682">
        <f t="shared" si="12"/>
        <v>0.16279069767441862</v>
      </c>
      <c r="P297" s="683">
        <f t="shared" si="13"/>
        <v>101.74418604651163</v>
      </c>
      <c r="Q297" s="684">
        <f t="shared" si="14"/>
        <v>1.0174418604651163</v>
      </c>
      <c r="R297" s="491"/>
    </row>
    <row r="298" spans="1:18" x14ac:dyDescent="0.2">
      <c r="A298" s="506" t="s">
        <v>276</v>
      </c>
      <c r="B298" s="502" t="s">
        <v>779</v>
      </c>
      <c r="C298" s="507" t="s">
        <v>282</v>
      </c>
      <c r="D298" s="503" t="s">
        <v>279</v>
      </c>
      <c r="E298" s="348"/>
      <c r="F298" s="504" t="s">
        <v>109</v>
      </c>
      <c r="G298" s="512" t="s">
        <v>800</v>
      </c>
      <c r="H298" s="511" t="s">
        <v>789</v>
      </c>
      <c r="I298" s="510" t="s">
        <v>790</v>
      </c>
      <c r="J298" s="509" t="s">
        <v>650</v>
      </c>
      <c r="K298" s="516">
        <v>6</v>
      </c>
      <c r="L298" s="520"/>
      <c r="M298" s="685">
        <v>65</v>
      </c>
      <c r="N298" s="685">
        <v>7</v>
      </c>
      <c r="O298" s="682">
        <f t="shared" si="12"/>
        <v>0.1076923076923077</v>
      </c>
      <c r="P298" s="683">
        <f t="shared" si="13"/>
        <v>179.4871794871795</v>
      </c>
      <c r="Q298" s="684">
        <f t="shared" si="14"/>
        <v>1.7948717948717949</v>
      </c>
      <c r="R298" s="491"/>
    </row>
    <row r="299" spans="1:18" x14ac:dyDescent="0.2">
      <c r="A299" s="506" t="s">
        <v>276</v>
      </c>
      <c r="B299" s="502" t="s">
        <v>779</v>
      </c>
      <c r="C299" s="507" t="s">
        <v>282</v>
      </c>
      <c r="D299" s="503" t="s">
        <v>281</v>
      </c>
      <c r="E299" s="348"/>
      <c r="F299" s="504" t="s">
        <v>109</v>
      </c>
      <c r="G299" s="512" t="s">
        <v>800</v>
      </c>
      <c r="H299" s="511" t="s">
        <v>789</v>
      </c>
      <c r="I299" s="510" t="s">
        <v>790</v>
      </c>
      <c r="J299" s="509" t="s">
        <v>650</v>
      </c>
      <c r="K299" s="516">
        <v>8</v>
      </c>
      <c r="L299" s="520"/>
      <c r="M299" s="685">
        <v>48</v>
      </c>
      <c r="N299" s="685">
        <v>12</v>
      </c>
      <c r="O299" s="682">
        <f t="shared" si="12"/>
        <v>0.25</v>
      </c>
      <c r="P299" s="683">
        <f t="shared" si="13"/>
        <v>312.5</v>
      </c>
      <c r="Q299" s="684">
        <f t="shared" si="14"/>
        <v>3.125</v>
      </c>
      <c r="R299" s="491"/>
    </row>
    <row r="300" spans="1:18" x14ac:dyDescent="0.2">
      <c r="A300" s="506" t="s">
        <v>276</v>
      </c>
      <c r="B300" s="502" t="s">
        <v>779</v>
      </c>
      <c r="C300" s="507" t="s">
        <v>288</v>
      </c>
      <c r="D300" s="503" t="s">
        <v>287</v>
      </c>
      <c r="E300" s="348"/>
      <c r="F300" s="504" t="s">
        <v>109</v>
      </c>
      <c r="G300" s="512" t="s">
        <v>800</v>
      </c>
      <c r="H300" s="511" t="s">
        <v>792</v>
      </c>
      <c r="I300" s="510" t="s">
        <v>790</v>
      </c>
      <c r="J300" s="509" t="s">
        <v>650</v>
      </c>
      <c r="K300" s="516">
        <v>28.999999999999996</v>
      </c>
      <c r="L300" s="520"/>
      <c r="M300" s="685">
        <v>299</v>
      </c>
      <c r="N300" s="685">
        <v>36</v>
      </c>
      <c r="O300" s="682">
        <f t="shared" si="12"/>
        <v>0.12040133779264214</v>
      </c>
      <c r="P300" s="683">
        <f t="shared" si="13"/>
        <v>41.517702687117982</v>
      </c>
      <c r="Q300" s="684">
        <f t="shared" si="14"/>
        <v>0.4151770268711798</v>
      </c>
      <c r="R300" s="491"/>
    </row>
    <row r="301" spans="1:18" x14ac:dyDescent="0.2">
      <c r="A301" s="506" t="s">
        <v>276</v>
      </c>
      <c r="B301" s="502" t="s">
        <v>779</v>
      </c>
      <c r="C301" s="507" t="s">
        <v>288</v>
      </c>
      <c r="D301" s="503" t="s">
        <v>283</v>
      </c>
      <c r="E301" s="348"/>
      <c r="F301" s="504" t="s">
        <v>109</v>
      </c>
      <c r="G301" s="512" t="s">
        <v>800</v>
      </c>
      <c r="H301" s="511" t="s">
        <v>789</v>
      </c>
      <c r="I301" s="510" t="s">
        <v>790</v>
      </c>
      <c r="J301" s="509" t="s">
        <v>650</v>
      </c>
      <c r="K301" s="516">
        <v>8</v>
      </c>
      <c r="L301" s="520"/>
      <c r="M301" s="685">
        <v>64</v>
      </c>
      <c r="N301" s="685">
        <v>6</v>
      </c>
      <c r="O301" s="682">
        <f t="shared" si="12"/>
        <v>9.375E-2</v>
      </c>
      <c r="P301" s="683">
        <f t="shared" si="13"/>
        <v>117.1875</v>
      </c>
      <c r="Q301" s="684">
        <f t="shared" si="14"/>
        <v>1.171875</v>
      </c>
      <c r="R301" s="491"/>
    </row>
    <row r="302" spans="1:18" x14ac:dyDescent="0.2">
      <c r="A302" s="506" t="s">
        <v>276</v>
      </c>
      <c r="B302" s="502" t="s">
        <v>779</v>
      </c>
      <c r="C302" s="507" t="s">
        <v>288</v>
      </c>
      <c r="D302" s="503" t="s">
        <v>284</v>
      </c>
      <c r="E302" s="348"/>
      <c r="F302" s="504" t="s">
        <v>109</v>
      </c>
      <c r="G302" s="512" t="s">
        <v>800</v>
      </c>
      <c r="H302" s="511" t="s">
        <v>789</v>
      </c>
      <c r="I302" s="510" t="s">
        <v>790</v>
      </c>
      <c r="J302" s="509" t="s">
        <v>650</v>
      </c>
      <c r="K302" s="516">
        <v>8</v>
      </c>
      <c r="L302" s="520" t="s">
        <v>791</v>
      </c>
      <c r="M302" s="685">
        <v>10</v>
      </c>
      <c r="N302" s="685">
        <v>0</v>
      </c>
      <c r="O302" s="682">
        <f t="shared" si="12"/>
        <v>0</v>
      </c>
      <c r="P302" s="683">
        <f t="shared" si="13"/>
        <v>0</v>
      </c>
      <c r="Q302" s="684">
        <f t="shared" si="14"/>
        <v>0</v>
      </c>
      <c r="R302" s="491"/>
    </row>
    <row r="303" spans="1:18" x14ac:dyDescent="0.2">
      <c r="A303" s="506" t="s">
        <v>276</v>
      </c>
      <c r="B303" s="502" t="s">
        <v>779</v>
      </c>
      <c r="C303" s="507" t="s">
        <v>288</v>
      </c>
      <c r="D303" s="503" t="s">
        <v>279</v>
      </c>
      <c r="E303" s="348"/>
      <c r="F303" s="504" t="s">
        <v>109</v>
      </c>
      <c r="G303" s="512" t="s">
        <v>800</v>
      </c>
      <c r="H303" s="511" t="s">
        <v>789</v>
      </c>
      <c r="I303" s="510" t="s">
        <v>790</v>
      </c>
      <c r="J303" s="509" t="s">
        <v>650</v>
      </c>
      <c r="K303" s="516">
        <v>0</v>
      </c>
      <c r="L303" s="520" t="s">
        <v>791</v>
      </c>
      <c r="M303" s="685">
        <v>2</v>
      </c>
      <c r="N303" s="685">
        <v>1</v>
      </c>
      <c r="O303" s="682">
        <f t="shared" si="12"/>
        <v>0.5</v>
      </c>
      <c r="P303" s="683" t="str">
        <f t="shared" si="13"/>
        <v>0</v>
      </c>
      <c r="Q303" s="684" t="str">
        <f t="shared" si="14"/>
        <v>0</v>
      </c>
      <c r="R303" s="491"/>
    </row>
    <row r="304" spans="1:18" x14ac:dyDescent="0.2">
      <c r="A304" s="506" t="s">
        <v>276</v>
      </c>
      <c r="B304" s="502" t="s">
        <v>779</v>
      </c>
      <c r="C304" s="507" t="s">
        <v>288</v>
      </c>
      <c r="D304" s="503" t="s">
        <v>281</v>
      </c>
      <c r="E304" s="348"/>
      <c r="F304" s="504" t="s">
        <v>109</v>
      </c>
      <c r="G304" s="512" t="s">
        <v>800</v>
      </c>
      <c r="H304" s="511" t="s">
        <v>789</v>
      </c>
      <c r="I304" s="510" t="s">
        <v>790</v>
      </c>
      <c r="J304" s="509" t="s">
        <v>650</v>
      </c>
      <c r="K304" s="516">
        <v>8</v>
      </c>
      <c r="L304" s="520" t="s">
        <v>791</v>
      </c>
      <c r="M304" s="685">
        <v>17</v>
      </c>
      <c r="N304" s="685">
        <v>3</v>
      </c>
      <c r="O304" s="682">
        <f t="shared" si="12"/>
        <v>0.17647058823529413</v>
      </c>
      <c r="P304" s="683">
        <f t="shared" si="13"/>
        <v>220.58823529411762</v>
      </c>
      <c r="Q304" s="684">
        <f t="shared" si="14"/>
        <v>2.2058823529411762</v>
      </c>
      <c r="R304" s="491"/>
    </row>
    <row r="305" spans="1:18" x14ac:dyDescent="0.2">
      <c r="A305" s="506" t="s">
        <v>276</v>
      </c>
      <c r="B305" s="502" t="s">
        <v>779</v>
      </c>
      <c r="C305" s="507" t="s">
        <v>99</v>
      </c>
      <c r="D305" s="503" t="s">
        <v>287</v>
      </c>
      <c r="E305" s="348"/>
      <c r="F305" s="504" t="s">
        <v>109</v>
      </c>
      <c r="G305" s="512" t="s">
        <v>800</v>
      </c>
      <c r="H305" s="511" t="s">
        <v>792</v>
      </c>
      <c r="I305" s="510" t="s">
        <v>790</v>
      </c>
      <c r="J305" s="509" t="s">
        <v>650</v>
      </c>
      <c r="K305" s="516">
        <v>17</v>
      </c>
      <c r="L305" s="520"/>
      <c r="M305" s="685">
        <v>326</v>
      </c>
      <c r="N305" s="685">
        <v>49</v>
      </c>
      <c r="O305" s="682">
        <f t="shared" si="12"/>
        <v>0.15030674846625766</v>
      </c>
      <c r="P305" s="683">
        <f t="shared" si="13"/>
        <v>88.415734391916274</v>
      </c>
      <c r="Q305" s="684">
        <f t="shared" si="14"/>
        <v>0.88415734391916267</v>
      </c>
      <c r="R305" s="491"/>
    </row>
    <row r="306" spans="1:18" x14ac:dyDescent="0.2">
      <c r="A306" s="506" t="s">
        <v>276</v>
      </c>
      <c r="B306" s="502" t="s">
        <v>779</v>
      </c>
      <c r="C306" s="507" t="s">
        <v>99</v>
      </c>
      <c r="D306" s="503" t="s">
        <v>283</v>
      </c>
      <c r="E306" s="348"/>
      <c r="F306" s="504" t="s">
        <v>109</v>
      </c>
      <c r="G306" s="512" t="s">
        <v>800</v>
      </c>
      <c r="H306" s="511" t="s">
        <v>789</v>
      </c>
      <c r="I306" s="510" t="s">
        <v>790</v>
      </c>
      <c r="J306" s="509" t="s">
        <v>650</v>
      </c>
      <c r="K306" s="516">
        <v>36</v>
      </c>
      <c r="L306" s="520"/>
      <c r="M306" s="685">
        <v>17</v>
      </c>
      <c r="N306" s="685">
        <v>4</v>
      </c>
      <c r="O306" s="682">
        <f t="shared" si="12"/>
        <v>0.23529411764705882</v>
      </c>
      <c r="P306" s="683">
        <f t="shared" si="13"/>
        <v>65.359477124183002</v>
      </c>
      <c r="Q306" s="684">
        <f t="shared" si="14"/>
        <v>0.65359477124183007</v>
      </c>
      <c r="R306" s="491"/>
    </row>
    <row r="307" spans="1:18" x14ac:dyDescent="0.2">
      <c r="A307" s="506" t="s">
        <v>276</v>
      </c>
      <c r="B307" s="502" t="s">
        <v>779</v>
      </c>
      <c r="C307" s="507" t="s">
        <v>99</v>
      </c>
      <c r="D307" s="503" t="s">
        <v>284</v>
      </c>
      <c r="E307" s="348"/>
      <c r="F307" s="504" t="s">
        <v>109</v>
      </c>
      <c r="G307" s="512" t="s">
        <v>800</v>
      </c>
      <c r="H307" s="511" t="s">
        <v>789</v>
      </c>
      <c r="I307" s="510" t="s">
        <v>790</v>
      </c>
      <c r="J307" s="509" t="s">
        <v>650</v>
      </c>
      <c r="K307" s="516">
        <v>80</v>
      </c>
      <c r="L307" s="520"/>
      <c r="M307" s="685">
        <v>8</v>
      </c>
      <c r="N307" s="685">
        <v>2</v>
      </c>
      <c r="O307" s="682">
        <f t="shared" si="12"/>
        <v>0.25</v>
      </c>
      <c r="P307" s="683">
        <f t="shared" si="13"/>
        <v>31.25</v>
      </c>
      <c r="Q307" s="684">
        <f t="shared" si="14"/>
        <v>0.3125</v>
      </c>
      <c r="R307" s="491"/>
    </row>
    <row r="308" spans="1:18" x14ac:dyDescent="0.2">
      <c r="A308" s="506" t="s">
        <v>276</v>
      </c>
      <c r="B308" s="502" t="s">
        <v>779</v>
      </c>
      <c r="C308" s="507" t="s">
        <v>99</v>
      </c>
      <c r="D308" s="503" t="s">
        <v>279</v>
      </c>
      <c r="E308" s="348"/>
      <c r="F308" s="504" t="s">
        <v>109</v>
      </c>
      <c r="G308" s="512" t="s">
        <v>800</v>
      </c>
      <c r="H308" s="511" t="s">
        <v>789</v>
      </c>
      <c r="I308" s="510" t="s">
        <v>790</v>
      </c>
      <c r="J308" s="509" t="s">
        <v>650</v>
      </c>
      <c r="K308" s="516">
        <v>0</v>
      </c>
      <c r="L308" s="520" t="s">
        <v>791</v>
      </c>
      <c r="M308" s="685">
        <v>5</v>
      </c>
      <c r="N308" s="685">
        <v>2</v>
      </c>
      <c r="O308" s="682">
        <f t="shared" si="12"/>
        <v>0.4</v>
      </c>
      <c r="P308" s="683" t="str">
        <f t="shared" si="13"/>
        <v>0</v>
      </c>
      <c r="Q308" s="684" t="str">
        <f t="shared" si="14"/>
        <v>0</v>
      </c>
      <c r="R308" s="491"/>
    </row>
    <row r="309" spans="1:18" x14ac:dyDescent="0.2">
      <c r="A309" s="506" t="s">
        <v>276</v>
      </c>
      <c r="B309" s="502" t="s">
        <v>779</v>
      </c>
      <c r="C309" s="507" t="s">
        <v>99</v>
      </c>
      <c r="D309" s="503" t="s">
        <v>281</v>
      </c>
      <c r="E309" s="348"/>
      <c r="F309" s="504" t="s">
        <v>109</v>
      </c>
      <c r="G309" s="512" t="s">
        <v>800</v>
      </c>
      <c r="H309" s="511" t="s">
        <v>789</v>
      </c>
      <c r="I309" s="510" t="s">
        <v>790</v>
      </c>
      <c r="J309" s="509" t="s">
        <v>650</v>
      </c>
      <c r="K309" s="516">
        <v>0</v>
      </c>
      <c r="L309" s="520" t="s">
        <v>791</v>
      </c>
      <c r="M309" s="685">
        <v>1</v>
      </c>
      <c r="N309" s="685">
        <v>0</v>
      </c>
      <c r="O309" s="682">
        <f t="shared" si="12"/>
        <v>0</v>
      </c>
      <c r="P309" s="683" t="str">
        <f t="shared" si="13"/>
        <v>0</v>
      </c>
      <c r="Q309" s="684" t="str">
        <f t="shared" si="14"/>
        <v>0</v>
      </c>
      <c r="R309" s="491"/>
    </row>
    <row r="310" spans="1:18" x14ac:dyDescent="0.2">
      <c r="A310" s="506" t="s">
        <v>276</v>
      </c>
      <c r="B310" s="502" t="s">
        <v>779</v>
      </c>
      <c r="C310" s="507" t="s">
        <v>285</v>
      </c>
      <c r="D310" s="503" t="s">
        <v>287</v>
      </c>
      <c r="E310" s="348"/>
      <c r="F310" s="504" t="s">
        <v>109</v>
      </c>
      <c r="G310" s="512" t="s">
        <v>800</v>
      </c>
      <c r="H310" s="511" t="s">
        <v>792</v>
      </c>
      <c r="I310" s="510" t="s">
        <v>790</v>
      </c>
      <c r="J310" s="509" t="s">
        <v>650</v>
      </c>
      <c r="K310" s="516">
        <v>13</v>
      </c>
      <c r="L310" s="520"/>
      <c r="M310" s="685">
        <v>0</v>
      </c>
      <c r="N310" s="685">
        <v>0</v>
      </c>
      <c r="O310" s="682">
        <f t="shared" si="12"/>
        <v>0</v>
      </c>
      <c r="P310" s="683" t="str">
        <f t="shared" si="13"/>
        <v>0</v>
      </c>
      <c r="Q310" s="684" t="str">
        <f t="shared" si="14"/>
        <v>0</v>
      </c>
      <c r="R310" s="491"/>
    </row>
    <row r="311" spans="1:18" x14ac:dyDescent="0.2">
      <c r="A311" s="506" t="s">
        <v>276</v>
      </c>
      <c r="B311" s="502" t="s">
        <v>779</v>
      </c>
      <c r="C311" s="507" t="s">
        <v>285</v>
      </c>
      <c r="D311" s="503" t="s">
        <v>283</v>
      </c>
      <c r="E311" s="348"/>
      <c r="F311" s="504" t="s">
        <v>109</v>
      </c>
      <c r="G311" s="512" t="s">
        <v>800</v>
      </c>
      <c r="H311" s="511" t="s">
        <v>789</v>
      </c>
      <c r="I311" s="510" t="s">
        <v>790</v>
      </c>
      <c r="J311" s="509" t="s">
        <v>650</v>
      </c>
      <c r="K311" s="516">
        <v>0</v>
      </c>
      <c r="L311" s="520" t="s">
        <v>791</v>
      </c>
      <c r="M311" s="685">
        <v>5</v>
      </c>
      <c r="N311" s="685">
        <v>1</v>
      </c>
      <c r="O311" s="682">
        <f t="shared" si="12"/>
        <v>0.2</v>
      </c>
      <c r="P311" s="683" t="str">
        <f t="shared" si="13"/>
        <v>0</v>
      </c>
      <c r="Q311" s="684" t="str">
        <f t="shared" si="14"/>
        <v>0</v>
      </c>
      <c r="R311" s="491"/>
    </row>
    <row r="312" spans="1:18" x14ac:dyDescent="0.2">
      <c r="A312" s="506" t="s">
        <v>276</v>
      </c>
      <c r="B312" s="502" t="s">
        <v>779</v>
      </c>
      <c r="C312" s="507" t="s">
        <v>285</v>
      </c>
      <c r="D312" s="503" t="s">
        <v>284</v>
      </c>
      <c r="E312" s="348"/>
      <c r="F312" s="504" t="s">
        <v>109</v>
      </c>
      <c r="G312" s="512" t="s">
        <v>800</v>
      </c>
      <c r="H312" s="511" t="s">
        <v>789</v>
      </c>
      <c r="I312" s="510" t="s">
        <v>790</v>
      </c>
      <c r="J312" s="509" t="s">
        <v>650</v>
      </c>
      <c r="K312" s="516">
        <v>0</v>
      </c>
      <c r="L312" s="520" t="s">
        <v>791</v>
      </c>
      <c r="M312" s="685">
        <v>4</v>
      </c>
      <c r="N312" s="685">
        <v>0</v>
      </c>
      <c r="O312" s="682">
        <f t="shared" si="12"/>
        <v>0</v>
      </c>
      <c r="P312" s="683" t="str">
        <f t="shared" si="13"/>
        <v>0</v>
      </c>
      <c r="Q312" s="684" t="str">
        <f t="shared" si="14"/>
        <v>0</v>
      </c>
      <c r="R312" s="491"/>
    </row>
    <row r="313" spans="1:18" x14ac:dyDescent="0.2">
      <c r="A313" s="506" t="s">
        <v>276</v>
      </c>
      <c r="B313" s="502" t="s">
        <v>779</v>
      </c>
      <c r="C313" s="507" t="s">
        <v>285</v>
      </c>
      <c r="D313" s="503" t="s">
        <v>279</v>
      </c>
      <c r="E313" s="348"/>
      <c r="F313" s="504" t="s">
        <v>109</v>
      </c>
      <c r="G313" s="512" t="s">
        <v>800</v>
      </c>
      <c r="H313" s="511" t="s">
        <v>789</v>
      </c>
      <c r="I313" s="510" t="s">
        <v>790</v>
      </c>
      <c r="J313" s="509" t="s">
        <v>650</v>
      </c>
      <c r="K313" s="516">
        <v>0</v>
      </c>
      <c r="L313" s="520" t="s">
        <v>791</v>
      </c>
      <c r="M313" s="685">
        <v>1</v>
      </c>
      <c r="N313" s="685">
        <v>0</v>
      </c>
      <c r="O313" s="682">
        <f t="shared" si="12"/>
        <v>0</v>
      </c>
      <c r="P313" s="683" t="str">
        <f t="shared" si="13"/>
        <v>0</v>
      </c>
      <c r="Q313" s="684" t="str">
        <f t="shared" si="14"/>
        <v>0</v>
      </c>
      <c r="R313" s="491"/>
    </row>
    <row r="314" spans="1:18" x14ac:dyDescent="0.2">
      <c r="A314" s="506" t="s">
        <v>276</v>
      </c>
      <c r="B314" s="502" t="s">
        <v>779</v>
      </c>
      <c r="C314" s="507" t="s">
        <v>285</v>
      </c>
      <c r="D314" s="503" t="s">
        <v>281</v>
      </c>
      <c r="E314" s="348"/>
      <c r="F314" s="504" t="s">
        <v>109</v>
      </c>
      <c r="G314" s="512" t="s">
        <v>800</v>
      </c>
      <c r="H314" s="511" t="s">
        <v>789</v>
      </c>
      <c r="I314" s="510" t="s">
        <v>790</v>
      </c>
      <c r="J314" s="509" t="s">
        <v>650</v>
      </c>
      <c r="K314" s="516">
        <v>25</v>
      </c>
      <c r="L314" s="520"/>
      <c r="M314" s="685">
        <v>12</v>
      </c>
      <c r="N314" s="685">
        <v>4</v>
      </c>
      <c r="O314" s="682">
        <f t="shared" si="12"/>
        <v>0.33333333333333331</v>
      </c>
      <c r="P314" s="683">
        <f t="shared" si="13"/>
        <v>133.33333333333331</v>
      </c>
      <c r="Q314" s="684">
        <f t="shared" si="14"/>
        <v>1.3333333333333333</v>
      </c>
      <c r="R314" s="491"/>
    </row>
    <row r="315" spans="1:18" x14ac:dyDescent="0.2">
      <c r="A315" s="506" t="s">
        <v>276</v>
      </c>
      <c r="B315" s="502" t="s">
        <v>779</v>
      </c>
      <c r="C315" s="507" t="s">
        <v>285</v>
      </c>
      <c r="D315" s="503" t="s">
        <v>286</v>
      </c>
      <c r="E315" s="348"/>
      <c r="F315" s="504" t="s">
        <v>109</v>
      </c>
      <c r="G315" s="512" t="s">
        <v>800</v>
      </c>
      <c r="H315" s="511" t="s">
        <v>789</v>
      </c>
      <c r="I315" s="510" t="s">
        <v>790</v>
      </c>
      <c r="J315" s="509" t="s">
        <v>650</v>
      </c>
      <c r="K315" s="516">
        <v>10</v>
      </c>
      <c r="L315" s="520"/>
      <c r="M315" s="685">
        <v>20</v>
      </c>
      <c r="N315" s="685">
        <v>0</v>
      </c>
      <c r="O315" s="682">
        <f t="shared" si="12"/>
        <v>0</v>
      </c>
      <c r="P315" s="683">
        <f t="shared" si="13"/>
        <v>0</v>
      </c>
      <c r="Q315" s="684">
        <f t="shared" si="14"/>
        <v>0</v>
      </c>
      <c r="R315" s="491"/>
    </row>
    <row r="316" spans="1:18" x14ac:dyDescent="0.2">
      <c r="A316" s="506" t="s">
        <v>276</v>
      </c>
      <c r="B316" s="502" t="s">
        <v>779</v>
      </c>
      <c r="C316" s="507" t="s">
        <v>291</v>
      </c>
      <c r="D316" s="503" t="s">
        <v>283</v>
      </c>
      <c r="E316" s="348"/>
      <c r="F316" s="504" t="s">
        <v>109</v>
      </c>
      <c r="G316" s="512" t="s">
        <v>800</v>
      </c>
      <c r="H316" s="511" t="s">
        <v>789</v>
      </c>
      <c r="I316" s="510" t="s">
        <v>790</v>
      </c>
      <c r="J316" s="509" t="s">
        <v>650</v>
      </c>
      <c r="K316" s="516">
        <v>0</v>
      </c>
      <c r="L316" s="520" t="s">
        <v>791</v>
      </c>
      <c r="M316" s="685">
        <v>0</v>
      </c>
      <c r="N316" s="685">
        <v>0</v>
      </c>
      <c r="O316" s="682">
        <f t="shared" si="12"/>
        <v>0</v>
      </c>
      <c r="P316" s="683" t="str">
        <f t="shared" si="13"/>
        <v>0</v>
      </c>
      <c r="Q316" s="684" t="str">
        <f t="shared" si="14"/>
        <v>0</v>
      </c>
      <c r="R316" s="491"/>
    </row>
    <row r="317" spans="1:18" x14ac:dyDescent="0.2">
      <c r="A317" s="506" t="s">
        <v>276</v>
      </c>
      <c r="B317" s="502" t="s">
        <v>779</v>
      </c>
      <c r="C317" s="507" t="s">
        <v>291</v>
      </c>
      <c r="D317" s="503" t="s">
        <v>284</v>
      </c>
      <c r="E317" s="348"/>
      <c r="F317" s="504" t="s">
        <v>109</v>
      </c>
      <c r="G317" s="512" t="s">
        <v>800</v>
      </c>
      <c r="H317" s="511" t="s">
        <v>789</v>
      </c>
      <c r="I317" s="510" t="s">
        <v>790</v>
      </c>
      <c r="J317" s="509" t="s">
        <v>650</v>
      </c>
      <c r="K317" s="516">
        <v>0</v>
      </c>
      <c r="L317" s="520" t="s">
        <v>791</v>
      </c>
      <c r="M317" s="685">
        <v>0</v>
      </c>
      <c r="N317" s="685">
        <v>0</v>
      </c>
      <c r="O317" s="682">
        <f t="shared" si="12"/>
        <v>0</v>
      </c>
      <c r="P317" s="683" t="str">
        <f t="shared" si="13"/>
        <v>0</v>
      </c>
      <c r="Q317" s="684" t="str">
        <f t="shared" si="14"/>
        <v>0</v>
      </c>
      <c r="R317" s="491"/>
    </row>
    <row r="318" spans="1:18" x14ac:dyDescent="0.2">
      <c r="A318" s="506" t="s">
        <v>276</v>
      </c>
      <c r="B318" s="502" t="s">
        <v>779</v>
      </c>
      <c r="C318" s="507" t="s">
        <v>290</v>
      </c>
      <c r="D318" s="503" t="s">
        <v>287</v>
      </c>
      <c r="E318" s="348"/>
      <c r="F318" s="504" t="s">
        <v>109</v>
      </c>
      <c r="G318" s="512" t="s">
        <v>800</v>
      </c>
      <c r="H318" s="511" t="s">
        <v>792</v>
      </c>
      <c r="I318" s="510" t="s">
        <v>790</v>
      </c>
      <c r="J318" s="509" t="s">
        <v>650</v>
      </c>
      <c r="K318" s="516">
        <v>38</v>
      </c>
      <c r="L318" s="520"/>
      <c r="M318" s="685">
        <v>65</v>
      </c>
      <c r="N318" s="685">
        <v>9</v>
      </c>
      <c r="O318" s="682">
        <f t="shared" si="12"/>
        <v>0.13846153846153847</v>
      </c>
      <c r="P318" s="683">
        <f t="shared" si="13"/>
        <v>36.43724696356275</v>
      </c>
      <c r="Q318" s="684">
        <f t="shared" si="14"/>
        <v>0.36437246963562753</v>
      </c>
      <c r="R318" s="491"/>
    </row>
    <row r="319" spans="1:18" x14ac:dyDescent="0.2">
      <c r="A319" s="506" t="s">
        <v>276</v>
      </c>
      <c r="B319" s="502" t="s">
        <v>779</v>
      </c>
      <c r="C319" s="507" t="s">
        <v>290</v>
      </c>
      <c r="D319" s="503" t="s">
        <v>283</v>
      </c>
      <c r="E319" s="348"/>
      <c r="F319" s="504" t="s">
        <v>109</v>
      </c>
      <c r="G319" s="512" t="s">
        <v>800</v>
      </c>
      <c r="H319" s="511" t="s">
        <v>789</v>
      </c>
      <c r="I319" s="510" t="s">
        <v>790</v>
      </c>
      <c r="J319" s="509" t="s">
        <v>650</v>
      </c>
      <c r="K319" s="516">
        <v>0</v>
      </c>
      <c r="L319" s="520" t="s">
        <v>791</v>
      </c>
      <c r="M319" s="685">
        <v>5</v>
      </c>
      <c r="N319" s="685">
        <v>0</v>
      </c>
      <c r="O319" s="682">
        <f t="shared" si="12"/>
        <v>0</v>
      </c>
      <c r="P319" s="683" t="str">
        <f t="shared" si="13"/>
        <v>0</v>
      </c>
      <c r="Q319" s="684" t="str">
        <f t="shared" si="14"/>
        <v>0</v>
      </c>
      <c r="R319" s="491"/>
    </row>
    <row r="320" spans="1:18" x14ac:dyDescent="0.2">
      <c r="A320" s="506" t="s">
        <v>276</v>
      </c>
      <c r="B320" s="502" t="s">
        <v>779</v>
      </c>
      <c r="C320" s="507" t="s">
        <v>290</v>
      </c>
      <c r="D320" s="503" t="s">
        <v>284</v>
      </c>
      <c r="E320" s="348"/>
      <c r="F320" s="504" t="s">
        <v>109</v>
      </c>
      <c r="G320" s="512" t="s">
        <v>800</v>
      </c>
      <c r="H320" s="511" t="s">
        <v>789</v>
      </c>
      <c r="I320" s="510" t="s">
        <v>790</v>
      </c>
      <c r="J320" s="509" t="s">
        <v>650</v>
      </c>
      <c r="K320" s="516">
        <v>0</v>
      </c>
      <c r="L320" s="520" t="s">
        <v>791</v>
      </c>
      <c r="M320" s="685">
        <v>0</v>
      </c>
      <c r="N320" s="685">
        <v>0</v>
      </c>
      <c r="O320" s="682">
        <f t="shared" si="12"/>
        <v>0</v>
      </c>
      <c r="P320" s="683" t="str">
        <f t="shared" si="13"/>
        <v>0</v>
      </c>
      <c r="Q320" s="684" t="str">
        <f t="shared" si="14"/>
        <v>0</v>
      </c>
      <c r="R320" s="491"/>
    </row>
    <row r="321" spans="1:18" x14ac:dyDescent="0.2">
      <c r="A321" s="506" t="s">
        <v>276</v>
      </c>
      <c r="B321" s="502" t="s">
        <v>779</v>
      </c>
      <c r="C321" s="507" t="s">
        <v>289</v>
      </c>
      <c r="D321" s="503" t="s">
        <v>287</v>
      </c>
      <c r="E321" s="348"/>
      <c r="F321" s="504" t="s">
        <v>109</v>
      </c>
      <c r="G321" s="512" t="s">
        <v>800</v>
      </c>
      <c r="H321" s="511" t="s">
        <v>792</v>
      </c>
      <c r="I321" s="510" t="s">
        <v>790</v>
      </c>
      <c r="J321" s="509" t="s">
        <v>650</v>
      </c>
      <c r="K321" s="516">
        <v>5</v>
      </c>
      <c r="L321" s="520"/>
      <c r="M321" s="685">
        <v>733</v>
      </c>
      <c r="N321" s="685">
        <v>90</v>
      </c>
      <c r="O321" s="682">
        <f t="shared" si="12"/>
        <v>0.12278308321964529</v>
      </c>
      <c r="P321" s="683">
        <f t="shared" si="13"/>
        <v>245.56616643929061</v>
      </c>
      <c r="Q321" s="684">
        <f t="shared" si="14"/>
        <v>2.4556616643929061</v>
      </c>
      <c r="R321" s="491"/>
    </row>
    <row r="322" spans="1:18" x14ac:dyDescent="0.2">
      <c r="A322" s="506" t="s">
        <v>276</v>
      </c>
      <c r="B322" s="502" t="s">
        <v>779</v>
      </c>
      <c r="C322" s="507" t="s">
        <v>289</v>
      </c>
      <c r="D322" s="503" t="s">
        <v>283</v>
      </c>
      <c r="E322" s="348"/>
      <c r="F322" s="504" t="s">
        <v>109</v>
      </c>
      <c r="G322" s="512" t="s">
        <v>800</v>
      </c>
      <c r="H322" s="511" t="s">
        <v>789</v>
      </c>
      <c r="I322" s="510" t="s">
        <v>790</v>
      </c>
      <c r="J322" s="509" t="s">
        <v>650</v>
      </c>
      <c r="K322" s="516">
        <v>32</v>
      </c>
      <c r="L322" s="520"/>
      <c r="M322" s="685">
        <v>134</v>
      </c>
      <c r="N322" s="685">
        <v>38</v>
      </c>
      <c r="O322" s="682">
        <f t="shared" si="12"/>
        <v>0.28358208955223879</v>
      </c>
      <c r="P322" s="683">
        <f t="shared" si="13"/>
        <v>88.619402985074629</v>
      </c>
      <c r="Q322" s="684">
        <f t="shared" si="14"/>
        <v>0.88619402985074625</v>
      </c>
      <c r="R322" s="491"/>
    </row>
    <row r="323" spans="1:18" x14ac:dyDescent="0.2">
      <c r="A323" s="506" t="s">
        <v>276</v>
      </c>
      <c r="B323" s="502" t="s">
        <v>779</v>
      </c>
      <c r="C323" s="507" t="s">
        <v>289</v>
      </c>
      <c r="D323" s="503" t="s">
        <v>284</v>
      </c>
      <c r="E323" s="348"/>
      <c r="F323" s="504" t="s">
        <v>109</v>
      </c>
      <c r="G323" s="512" t="s">
        <v>800</v>
      </c>
      <c r="H323" s="511" t="s">
        <v>789</v>
      </c>
      <c r="I323" s="510" t="s">
        <v>790</v>
      </c>
      <c r="J323" s="509" t="s">
        <v>650</v>
      </c>
      <c r="K323" s="516">
        <v>33</v>
      </c>
      <c r="L323" s="520"/>
      <c r="M323" s="685">
        <v>29</v>
      </c>
      <c r="N323" s="685">
        <v>13</v>
      </c>
      <c r="O323" s="682">
        <f t="shared" si="12"/>
        <v>0.44827586206896552</v>
      </c>
      <c r="P323" s="683">
        <f t="shared" si="13"/>
        <v>135.84117032392896</v>
      </c>
      <c r="Q323" s="684">
        <f t="shared" si="14"/>
        <v>1.3584117032392895</v>
      </c>
      <c r="R323" s="491"/>
    </row>
    <row r="324" spans="1:18" x14ac:dyDescent="0.2">
      <c r="A324" s="506" t="s">
        <v>276</v>
      </c>
      <c r="B324" s="502" t="s">
        <v>779</v>
      </c>
      <c r="C324" s="507" t="s">
        <v>289</v>
      </c>
      <c r="D324" s="503" t="s">
        <v>281</v>
      </c>
      <c r="E324" s="348"/>
      <c r="F324" s="504" t="s">
        <v>109</v>
      </c>
      <c r="G324" s="512" t="s">
        <v>800</v>
      </c>
      <c r="H324" s="511" t="s">
        <v>789</v>
      </c>
      <c r="I324" s="510" t="s">
        <v>790</v>
      </c>
      <c r="J324" s="509" t="s">
        <v>650</v>
      </c>
      <c r="K324" s="516">
        <v>0</v>
      </c>
      <c r="L324" s="520" t="s">
        <v>791</v>
      </c>
      <c r="M324" s="685">
        <v>2</v>
      </c>
      <c r="N324" s="685">
        <v>0</v>
      </c>
      <c r="O324" s="682">
        <f t="shared" si="12"/>
        <v>0</v>
      </c>
      <c r="P324" s="683" t="str">
        <f t="shared" si="13"/>
        <v>0</v>
      </c>
      <c r="Q324" s="684" t="str">
        <f t="shared" si="14"/>
        <v>0</v>
      </c>
      <c r="R324" s="491"/>
    </row>
    <row r="325" spans="1:18" x14ac:dyDescent="0.2">
      <c r="A325" s="506" t="s">
        <v>276</v>
      </c>
      <c r="B325" s="502" t="s">
        <v>779</v>
      </c>
      <c r="C325" s="507" t="s">
        <v>97</v>
      </c>
      <c r="D325" s="503" t="s">
        <v>279</v>
      </c>
      <c r="E325" s="348"/>
      <c r="F325" s="504" t="s">
        <v>109</v>
      </c>
      <c r="G325" s="512" t="s">
        <v>801</v>
      </c>
      <c r="H325" s="511" t="s">
        <v>789</v>
      </c>
      <c r="I325" s="510" t="s">
        <v>790</v>
      </c>
      <c r="J325" s="509" t="s">
        <v>650</v>
      </c>
      <c r="K325" s="516">
        <v>33</v>
      </c>
      <c r="L325" s="520"/>
      <c r="M325" s="685">
        <v>6</v>
      </c>
      <c r="N325" s="685">
        <v>4</v>
      </c>
      <c r="O325" s="682">
        <f t="shared" ref="O325:O388" si="15">IFERROR(N325/M325,0)</f>
        <v>0.66666666666666663</v>
      </c>
      <c r="P325" s="683">
        <f t="shared" ref="P325:P388" si="16">IFERROR(N325/(M325*(K325/100))*100,"0")</f>
        <v>202.02020202020202</v>
      </c>
      <c r="Q325" s="684">
        <f t="shared" ref="Q325:Q388" si="17">IFERROR(N325/(M325*(K325/100)),"0")</f>
        <v>2.0202020202020203</v>
      </c>
      <c r="R325" s="490"/>
    </row>
    <row r="326" spans="1:18" x14ac:dyDescent="0.2">
      <c r="A326" s="506" t="s">
        <v>276</v>
      </c>
      <c r="B326" s="502" t="s">
        <v>779</v>
      </c>
      <c r="C326" s="507" t="s">
        <v>97</v>
      </c>
      <c r="D326" s="503" t="s">
        <v>281</v>
      </c>
      <c r="E326" s="348"/>
      <c r="F326" s="504" t="s">
        <v>109</v>
      </c>
      <c r="G326" s="512" t="s">
        <v>801</v>
      </c>
      <c r="H326" s="511" t="s">
        <v>789</v>
      </c>
      <c r="I326" s="510" t="s">
        <v>790</v>
      </c>
      <c r="J326" s="509" t="s">
        <v>650</v>
      </c>
      <c r="K326" s="516">
        <v>33</v>
      </c>
      <c r="L326" s="520" t="s">
        <v>791</v>
      </c>
      <c r="M326" s="685">
        <v>9</v>
      </c>
      <c r="N326" s="685">
        <v>7</v>
      </c>
      <c r="O326" s="682">
        <f t="shared" si="15"/>
        <v>0.77777777777777779</v>
      </c>
      <c r="P326" s="683">
        <f t="shared" si="16"/>
        <v>235.69023569023568</v>
      </c>
      <c r="Q326" s="684">
        <f t="shared" si="17"/>
        <v>2.3569023569023568</v>
      </c>
      <c r="R326" s="491"/>
    </row>
    <row r="327" spans="1:18" x14ac:dyDescent="0.2">
      <c r="A327" s="506" t="s">
        <v>276</v>
      </c>
      <c r="B327" s="502" t="s">
        <v>779</v>
      </c>
      <c r="C327" s="507" t="s">
        <v>282</v>
      </c>
      <c r="D327" s="503" t="s">
        <v>287</v>
      </c>
      <c r="E327" s="348"/>
      <c r="F327" s="504" t="s">
        <v>109</v>
      </c>
      <c r="G327" s="512" t="s">
        <v>801</v>
      </c>
      <c r="H327" s="511" t="s">
        <v>792</v>
      </c>
      <c r="I327" s="510" t="s">
        <v>790</v>
      </c>
      <c r="J327" s="509" t="s">
        <v>650</v>
      </c>
      <c r="K327" s="516">
        <v>5</v>
      </c>
      <c r="L327" s="520" t="s">
        <v>791</v>
      </c>
      <c r="M327" s="685">
        <v>68</v>
      </c>
      <c r="N327" s="685">
        <v>10</v>
      </c>
      <c r="O327" s="682">
        <f t="shared" si="15"/>
        <v>0.14705882352941177</v>
      </c>
      <c r="P327" s="683">
        <f t="shared" si="16"/>
        <v>294.11764705882348</v>
      </c>
      <c r="Q327" s="684">
        <f t="shared" si="17"/>
        <v>2.9411764705882351</v>
      </c>
      <c r="R327" s="491"/>
    </row>
    <row r="328" spans="1:18" x14ac:dyDescent="0.2">
      <c r="A328" s="506" t="s">
        <v>276</v>
      </c>
      <c r="B328" s="502" t="s">
        <v>779</v>
      </c>
      <c r="C328" s="507" t="s">
        <v>282</v>
      </c>
      <c r="D328" s="503" t="s">
        <v>283</v>
      </c>
      <c r="E328" s="348"/>
      <c r="F328" s="504" t="s">
        <v>109</v>
      </c>
      <c r="G328" s="512" t="s">
        <v>801</v>
      </c>
      <c r="H328" s="511" t="s">
        <v>789</v>
      </c>
      <c r="I328" s="510" t="s">
        <v>790</v>
      </c>
      <c r="J328" s="509" t="s">
        <v>650</v>
      </c>
      <c r="K328" s="516">
        <v>26</v>
      </c>
      <c r="L328" s="520"/>
      <c r="M328" s="685">
        <v>19</v>
      </c>
      <c r="N328" s="685">
        <v>2</v>
      </c>
      <c r="O328" s="682">
        <f t="shared" si="15"/>
        <v>0.10526315789473684</v>
      </c>
      <c r="P328" s="683">
        <f t="shared" si="16"/>
        <v>40.48582995951417</v>
      </c>
      <c r="Q328" s="684">
        <f t="shared" si="17"/>
        <v>0.40485829959514169</v>
      </c>
      <c r="R328" s="490"/>
    </row>
    <row r="329" spans="1:18" x14ac:dyDescent="0.2">
      <c r="A329" s="506" t="s">
        <v>276</v>
      </c>
      <c r="B329" s="502" t="s">
        <v>779</v>
      </c>
      <c r="C329" s="507" t="s">
        <v>282</v>
      </c>
      <c r="D329" s="503" t="s">
        <v>284</v>
      </c>
      <c r="E329" s="348"/>
      <c r="F329" s="504" t="s">
        <v>109</v>
      </c>
      <c r="G329" s="512" t="s">
        <v>801</v>
      </c>
      <c r="H329" s="511" t="s">
        <v>789</v>
      </c>
      <c r="I329" s="510" t="s">
        <v>790</v>
      </c>
      <c r="J329" s="509" t="s">
        <v>650</v>
      </c>
      <c r="K329" s="516">
        <v>16</v>
      </c>
      <c r="L329" s="520"/>
      <c r="M329" s="685">
        <v>43</v>
      </c>
      <c r="N329" s="685">
        <v>7</v>
      </c>
      <c r="O329" s="682">
        <f t="shared" si="15"/>
        <v>0.16279069767441862</v>
      </c>
      <c r="P329" s="683">
        <f t="shared" si="16"/>
        <v>101.74418604651163</v>
      </c>
      <c r="Q329" s="684">
        <f t="shared" si="17"/>
        <v>1.0174418604651163</v>
      </c>
      <c r="R329" s="490"/>
    </row>
    <row r="330" spans="1:18" x14ac:dyDescent="0.2">
      <c r="A330" s="506" t="s">
        <v>276</v>
      </c>
      <c r="B330" s="502" t="s">
        <v>779</v>
      </c>
      <c r="C330" s="507" t="s">
        <v>282</v>
      </c>
      <c r="D330" s="503" t="s">
        <v>279</v>
      </c>
      <c r="E330" s="348"/>
      <c r="F330" s="504" t="s">
        <v>109</v>
      </c>
      <c r="G330" s="512" t="s">
        <v>801</v>
      </c>
      <c r="H330" s="511" t="s">
        <v>789</v>
      </c>
      <c r="I330" s="510" t="s">
        <v>790</v>
      </c>
      <c r="J330" s="509" t="s">
        <v>650</v>
      </c>
      <c r="K330" s="516">
        <v>6</v>
      </c>
      <c r="L330" s="520"/>
      <c r="M330" s="685">
        <v>65</v>
      </c>
      <c r="N330" s="685">
        <v>7</v>
      </c>
      <c r="O330" s="682">
        <f t="shared" si="15"/>
        <v>0.1076923076923077</v>
      </c>
      <c r="P330" s="683">
        <f t="shared" si="16"/>
        <v>179.4871794871795</v>
      </c>
      <c r="Q330" s="684">
        <f t="shared" si="17"/>
        <v>1.7948717948717949</v>
      </c>
      <c r="R330" s="490"/>
    </row>
    <row r="331" spans="1:18" x14ac:dyDescent="0.2">
      <c r="A331" s="506" t="s">
        <v>276</v>
      </c>
      <c r="B331" s="502" t="s">
        <v>779</v>
      </c>
      <c r="C331" s="507" t="s">
        <v>282</v>
      </c>
      <c r="D331" s="503" t="s">
        <v>281</v>
      </c>
      <c r="E331" s="348"/>
      <c r="F331" s="504" t="s">
        <v>109</v>
      </c>
      <c r="G331" s="512" t="s">
        <v>801</v>
      </c>
      <c r="H331" s="511" t="s">
        <v>789</v>
      </c>
      <c r="I331" s="510" t="s">
        <v>790</v>
      </c>
      <c r="J331" s="509" t="s">
        <v>650</v>
      </c>
      <c r="K331" s="516">
        <v>8</v>
      </c>
      <c r="L331" s="520"/>
      <c r="M331" s="685">
        <v>48</v>
      </c>
      <c r="N331" s="685">
        <v>12</v>
      </c>
      <c r="O331" s="682">
        <f t="shared" si="15"/>
        <v>0.25</v>
      </c>
      <c r="P331" s="683">
        <f t="shared" si="16"/>
        <v>312.5</v>
      </c>
      <c r="Q331" s="684">
        <f t="shared" si="17"/>
        <v>3.125</v>
      </c>
      <c r="R331" s="490"/>
    </row>
    <row r="332" spans="1:18" x14ac:dyDescent="0.2">
      <c r="A332" s="506" t="s">
        <v>276</v>
      </c>
      <c r="B332" s="502" t="s">
        <v>779</v>
      </c>
      <c r="C332" s="507" t="s">
        <v>288</v>
      </c>
      <c r="D332" s="503" t="s">
        <v>287</v>
      </c>
      <c r="E332" s="348"/>
      <c r="F332" s="504" t="s">
        <v>109</v>
      </c>
      <c r="G332" s="512" t="s">
        <v>801</v>
      </c>
      <c r="H332" s="511" t="s">
        <v>792</v>
      </c>
      <c r="I332" s="510" t="s">
        <v>790</v>
      </c>
      <c r="J332" s="509" t="s">
        <v>650</v>
      </c>
      <c r="K332" s="516">
        <v>28.999999999999996</v>
      </c>
      <c r="L332" s="520"/>
      <c r="M332" s="685">
        <v>299</v>
      </c>
      <c r="N332" s="685">
        <v>36</v>
      </c>
      <c r="O332" s="682">
        <f t="shared" si="15"/>
        <v>0.12040133779264214</v>
      </c>
      <c r="P332" s="683">
        <f t="shared" si="16"/>
        <v>41.517702687117982</v>
      </c>
      <c r="Q332" s="684">
        <f t="shared" si="17"/>
        <v>0.4151770268711798</v>
      </c>
      <c r="R332" s="490"/>
    </row>
    <row r="333" spans="1:18" x14ac:dyDescent="0.2">
      <c r="A333" s="506" t="s">
        <v>276</v>
      </c>
      <c r="B333" s="502" t="s">
        <v>779</v>
      </c>
      <c r="C333" s="507" t="s">
        <v>288</v>
      </c>
      <c r="D333" s="503" t="s">
        <v>283</v>
      </c>
      <c r="E333" s="348"/>
      <c r="F333" s="504" t="s">
        <v>109</v>
      </c>
      <c r="G333" s="512" t="s">
        <v>801</v>
      </c>
      <c r="H333" s="511" t="s">
        <v>789</v>
      </c>
      <c r="I333" s="510" t="s">
        <v>790</v>
      </c>
      <c r="J333" s="509" t="s">
        <v>650</v>
      </c>
      <c r="K333" s="516">
        <v>8</v>
      </c>
      <c r="L333" s="520"/>
      <c r="M333" s="685">
        <v>64</v>
      </c>
      <c r="N333" s="685">
        <v>6</v>
      </c>
      <c r="O333" s="682">
        <f t="shared" si="15"/>
        <v>9.375E-2</v>
      </c>
      <c r="P333" s="683">
        <f t="shared" si="16"/>
        <v>117.1875</v>
      </c>
      <c r="Q333" s="684">
        <f t="shared" si="17"/>
        <v>1.171875</v>
      </c>
      <c r="R333" s="490"/>
    </row>
    <row r="334" spans="1:18" x14ac:dyDescent="0.2">
      <c r="A334" s="506" t="s">
        <v>276</v>
      </c>
      <c r="B334" s="502" t="s">
        <v>779</v>
      </c>
      <c r="C334" s="507" t="s">
        <v>288</v>
      </c>
      <c r="D334" s="503" t="s">
        <v>284</v>
      </c>
      <c r="E334" s="348"/>
      <c r="F334" s="504" t="s">
        <v>109</v>
      </c>
      <c r="G334" s="512" t="s">
        <v>801</v>
      </c>
      <c r="H334" s="511" t="s">
        <v>789</v>
      </c>
      <c r="I334" s="510" t="s">
        <v>790</v>
      </c>
      <c r="J334" s="509" t="s">
        <v>650</v>
      </c>
      <c r="K334" s="516">
        <v>8</v>
      </c>
      <c r="L334" s="520" t="s">
        <v>791</v>
      </c>
      <c r="M334" s="685">
        <v>10</v>
      </c>
      <c r="N334" s="685">
        <v>0</v>
      </c>
      <c r="O334" s="682">
        <f t="shared" si="15"/>
        <v>0</v>
      </c>
      <c r="P334" s="683">
        <f t="shared" si="16"/>
        <v>0</v>
      </c>
      <c r="Q334" s="684">
        <f t="shared" si="17"/>
        <v>0</v>
      </c>
      <c r="R334" s="491"/>
    </row>
    <row r="335" spans="1:18" x14ac:dyDescent="0.2">
      <c r="A335" s="506" t="s">
        <v>276</v>
      </c>
      <c r="B335" s="502" t="s">
        <v>779</v>
      </c>
      <c r="C335" s="507" t="s">
        <v>288</v>
      </c>
      <c r="D335" s="503" t="s">
        <v>279</v>
      </c>
      <c r="E335" s="348"/>
      <c r="F335" s="504" t="s">
        <v>109</v>
      </c>
      <c r="G335" s="512" t="s">
        <v>801</v>
      </c>
      <c r="H335" s="511" t="s">
        <v>789</v>
      </c>
      <c r="I335" s="510" t="s">
        <v>790</v>
      </c>
      <c r="J335" s="509" t="s">
        <v>650</v>
      </c>
      <c r="K335" s="516">
        <v>0</v>
      </c>
      <c r="L335" s="520" t="s">
        <v>791</v>
      </c>
      <c r="M335" s="685">
        <v>2</v>
      </c>
      <c r="N335" s="685">
        <v>1</v>
      </c>
      <c r="O335" s="682">
        <f t="shared" si="15"/>
        <v>0.5</v>
      </c>
      <c r="P335" s="683" t="str">
        <f t="shared" si="16"/>
        <v>0</v>
      </c>
      <c r="Q335" s="684" t="str">
        <f t="shared" si="17"/>
        <v>0</v>
      </c>
      <c r="R335" s="491"/>
    </row>
    <row r="336" spans="1:18" x14ac:dyDescent="0.2">
      <c r="A336" s="506" t="s">
        <v>276</v>
      </c>
      <c r="B336" s="502" t="s">
        <v>779</v>
      </c>
      <c r="C336" s="507" t="s">
        <v>288</v>
      </c>
      <c r="D336" s="503" t="s">
        <v>281</v>
      </c>
      <c r="E336" s="348"/>
      <c r="F336" s="504" t="s">
        <v>109</v>
      </c>
      <c r="G336" s="512" t="s">
        <v>801</v>
      </c>
      <c r="H336" s="511" t="s">
        <v>789</v>
      </c>
      <c r="I336" s="510" t="s">
        <v>790</v>
      </c>
      <c r="J336" s="509" t="s">
        <v>650</v>
      </c>
      <c r="K336" s="516">
        <v>8</v>
      </c>
      <c r="L336" s="520" t="s">
        <v>791</v>
      </c>
      <c r="M336" s="685">
        <v>17</v>
      </c>
      <c r="N336" s="685">
        <v>3</v>
      </c>
      <c r="O336" s="682">
        <f t="shared" si="15"/>
        <v>0.17647058823529413</v>
      </c>
      <c r="P336" s="683">
        <f t="shared" si="16"/>
        <v>220.58823529411762</v>
      </c>
      <c r="Q336" s="684">
        <f t="shared" si="17"/>
        <v>2.2058823529411762</v>
      </c>
      <c r="R336" s="491"/>
    </row>
    <row r="337" spans="1:18" x14ac:dyDescent="0.2">
      <c r="A337" s="506" t="s">
        <v>276</v>
      </c>
      <c r="B337" s="502" t="s">
        <v>779</v>
      </c>
      <c r="C337" s="507" t="s">
        <v>99</v>
      </c>
      <c r="D337" s="503" t="s">
        <v>287</v>
      </c>
      <c r="E337" s="348"/>
      <c r="F337" s="504" t="s">
        <v>109</v>
      </c>
      <c r="G337" s="512" t="s">
        <v>801</v>
      </c>
      <c r="H337" s="511" t="s">
        <v>792</v>
      </c>
      <c r="I337" s="510" t="s">
        <v>790</v>
      </c>
      <c r="J337" s="509" t="s">
        <v>650</v>
      </c>
      <c r="K337" s="516">
        <v>17</v>
      </c>
      <c r="L337" s="520"/>
      <c r="M337" s="685">
        <v>326</v>
      </c>
      <c r="N337" s="685">
        <v>49</v>
      </c>
      <c r="O337" s="682">
        <f t="shared" si="15"/>
        <v>0.15030674846625766</v>
      </c>
      <c r="P337" s="683">
        <f t="shared" si="16"/>
        <v>88.415734391916274</v>
      </c>
      <c r="Q337" s="684">
        <f t="shared" si="17"/>
        <v>0.88415734391916267</v>
      </c>
      <c r="R337" s="490"/>
    </row>
    <row r="338" spans="1:18" x14ac:dyDescent="0.2">
      <c r="A338" s="506" t="s">
        <v>276</v>
      </c>
      <c r="B338" s="502" t="s">
        <v>779</v>
      </c>
      <c r="C338" s="507" t="s">
        <v>99</v>
      </c>
      <c r="D338" s="503" t="s">
        <v>283</v>
      </c>
      <c r="E338" s="348"/>
      <c r="F338" s="504" t="s">
        <v>109</v>
      </c>
      <c r="G338" s="512" t="s">
        <v>801</v>
      </c>
      <c r="H338" s="511" t="s">
        <v>789</v>
      </c>
      <c r="I338" s="510" t="s">
        <v>790</v>
      </c>
      <c r="J338" s="509" t="s">
        <v>650</v>
      </c>
      <c r="K338" s="516">
        <v>36</v>
      </c>
      <c r="L338" s="520"/>
      <c r="M338" s="685">
        <v>17</v>
      </c>
      <c r="N338" s="685">
        <v>4</v>
      </c>
      <c r="O338" s="682">
        <f t="shared" si="15"/>
        <v>0.23529411764705882</v>
      </c>
      <c r="P338" s="683">
        <f t="shared" si="16"/>
        <v>65.359477124183002</v>
      </c>
      <c r="Q338" s="684">
        <f t="shared" si="17"/>
        <v>0.65359477124183007</v>
      </c>
      <c r="R338" s="490"/>
    </row>
    <row r="339" spans="1:18" x14ac:dyDescent="0.2">
      <c r="A339" s="506" t="s">
        <v>276</v>
      </c>
      <c r="B339" s="502" t="s">
        <v>779</v>
      </c>
      <c r="C339" s="507" t="s">
        <v>99</v>
      </c>
      <c r="D339" s="503" t="s">
        <v>284</v>
      </c>
      <c r="E339" s="348"/>
      <c r="F339" s="504" t="s">
        <v>109</v>
      </c>
      <c r="G339" s="512" t="s">
        <v>801</v>
      </c>
      <c r="H339" s="511" t="s">
        <v>789</v>
      </c>
      <c r="I339" s="510" t="s">
        <v>790</v>
      </c>
      <c r="J339" s="509" t="s">
        <v>650</v>
      </c>
      <c r="K339" s="516">
        <v>80</v>
      </c>
      <c r="L339" s="520"/>
      <c r="M339" s="685">
        <v>8</v>
      </c>
      <c r="N339" s="685">
        <v>2</v>
      </c>
      <c r="O339" s="682">
        <f t="shared" si="15"/>
        <v>0.25</v>
      </c>
      <c r="P339" s="683">
        <f t="shared" si="16"/>
        <v>31.25</v>
      </c>
      <c r="Q339" s="684">
        <f t="shared" si="17"/>
        <v>0.3125</v>
      </c>
      <c r="R339" s="490"/>
    </row>
    <row r="340" spans="1:18" x14ac:dyDescent="0.2">
      <c r="A340" s="506" t="s">
        <v>276</v>
      </c>
      <c r="B340" s="502" t="s">
        <v>779</v>
      </c>
      <c r="C340" s="507" t="s">
        <v>99</v>
      </c>
      <c r="D340" s="503" t="s">
        <v>279</v>
      </c>
      <c r="E340" s="348"/>
      <c r="F340" s="504" t="s">
        <v>109</v>
      </c>
      <c r="G340" s="512" t="s">
        <v>801</v>
      </c>
      <c r="H340" s="511" t="s">
        <v>789</v>
      </c>
      <c r="I340" s="510" t="s">
        <v>790</v>
      </c>
      <c r="J340" s="509" t="s">
        <v>650</v>
      </c>
      <c r="K340" s="516">
        <v>0</v>
      </c>
      <c r="L340" s="520" t="s">
        <v>791</v>
      </c>
      <c r="M340" s="685">
        <v>5</v>
      </c>
      <c r="N340" s="685">
        <v>2</v>
      </c>
      <c r="O340" s="682">
        <f t="shared" si="15"/>
        <v>0.4</v>
      </c>
      <c r="P340" s="683" t="str">
        <f t="shared" si="16"/>
        <v>0</v>
      </c>
      <c r="Q340" s="684" t="str">
        <f t="shared" si="17"/>
        <v>0</v>
      </c>
      <c r="R340" s="491"/>
    </row>
    <row r="341" spans="1:18" x14ac:dyDescent="0.2">
      <c r="A341" s="506" t="s">
        <v>276</v>
      </c>
      <c r="B341" s="502" t="s">
        <v>779</v>
      </c>
      <c r="C341" s="507" t="s">
        <v>99</v>
      </c>
      <c r="D341" s="503" t="s">
        <v>281</v>
      </c>
      <c r="E341" s="348"/>
      <c r="F341" s="504" t="s">
        <v>109</v>
      </c>
      <c r="G341" s="512" t="s">
        <v>801</v>
      </c>
      <c r="H341" s="511" t="s">
        <v>789</v>
      </c>
      <c r="I341" s="510" t="s">
        <v>790</v>
      </c>
      <c r="J341" s="509" t="s">
        <v>650</v>
      </c>
      <c r="K341" s="516">
        <v>0</v>
      </c>
      <c r="L341" s="520" t="s">
        <v>791</v>
      </c>
      <c r="M341" s="685">
        <v>1</v>
      </c>
      <c r="N341" s="685">
        <v>0</v>
      </c>
      <c r="O341" s="682">
        <f t="shared" si="15"/>
        <v>0</v>
      </c>
      <c r="P341" s="683" t="str">
        <f t="shared" si="16"/>
        <v>0</v>
      </c>
      <c r="Q341" s="684" t="str">
        <f t="shared" si="17"/>
        <v>0</v>
      </c>
      <c r="R341" s="491"/>
    </row>
    <row r="342" spans="1:18" x14ac:dyDescent="0.2">
      <c r="A342" s="506" t="s">
        <v>276</v>
      </c>
      <c r="B342" s="502" t="s">
        <v>779</v>
      </c>
      <c r="C342" s="507" t="s">
        <v>285</v>
      </c>
      <c r="D342" s="503" t="s">
        <v>287</v>
      </c>
      <c r="E342" s="348"/>
      <c r="F342" s="504" t="s">
        <v>109</v>
      </c>
      <c r="G342" s="512" t="s">
        <v>801</v>
      </c>
      <c r="H342" s="511" t="s">
        <v>792</v>
      </c>
      <c r="I342" s="510" t="s">
        <v>790</v>
      </c>
      <c r="J342" s="509" t="s">
        <v>650</v>
      </c>
      <c r="K342" s="516">
        <v>13</v>
      </c>
      <c r="L342" s="520"/>
      <c r="M342" s="685">
        <v>0</v>
      </c>
      <c r="N342" s="685">
        <v>0</v>
      </c>
      <c r="O342" s="682">
        <f t="shared" si="15"/>
        <v>0</v>
      </c>
      <c r="P342" s="683" t="str">
        <f t="shared" si="16"/>
        <v>0</v>
      </c>
      <c r="Q342" s="684" t="str">
        <f t="shared" si="17"/>
        <v>0</v>
      </c>
      <c r="R342" s="491"/>
    </row>
    <row r="343" spans="1:18" x14ac:dyDescent="0.2">
      <c r="A343" s="506" t="s">
        <v>276</v>
      </c>
      <c r="B343" s="502" t="s">
        <v>779</v>
      </c>
      <c r="C343" s="507" t="s">
        <v>285</v>
      </c>
      <c r="D343" s="503" t="s">
        <v>283</v>
      </c>
      <c r="E343" s="348"/>
      <c r="F343" s="504" t="s">
        <v>109</v>
      </c>
      <c r="G343" s="512" t="s">
        <v>801</v>
      </c>
      <c r="H343" s="511" t="s">
        <v>789</v>
      </c>
      <c r="I343" s="510" t="s">
        <v>790</v>
      </c>
      <c r="J343" s="509" t="s">
        <v>650</v>
      </c>
      <c r="K343" s="516">
        <v>0</v>
      </c>
      <c r="L343" s="520" t="s">
        <v>791</v>
      </c>
      <c r="M343" s="685">
        <v>5</v>
      </c>
      <c r="N343" s="685">
        <v>1</v>
      </c>
      <c r="O343" s="682">
        <f t="shared" si="15"/>
        <v>0.2</v>
      </c>
      <c r="P343" s="683" t="str">
        <f t="shared" si="16"/>
        <v>0</v>
      </c>
      <c r="Q343" s="684" t="str">
        <f t="shared" si="17"/>
        <v>0</v>
      </c>
      <c r="R343" s="491"/>
    </row>
    <row r="344" spans="1:18" x14ac:dyDescent="0.2">
      <c r="A344" s="506" t="s">
        <v>276</v>
      </c>
      <c r="B344" s="502" t="s">
        <v>779</v>
      </c>
      <c r="C344" s="507" t="s">
        <v>285</v>
      </c>
      <c r="D344" s="503" t="s">
        <v>284</v>
      </c>
      <c r="E344" s="348"/>
      <c r="F344" s="504" t="s">
        <v>109</v>
      </c>
      <c r="G344" s="512" t="s">
        <v>801</v>
      </c>
      <c r="H344" s="511" t="s">
        <v>789</v>
      </c>
      <c r="I344" s="510" t="s">
        <v>790</v>
      </c>
      <c r="J344" s="509" t="s">
        <v>650</v>
      </c>
      <c r="K344" s="516">
        <v>0</v>
      </c>
      <c r="L344" s="520" t="s">
        <v>791</v>
      </c>
      <c r="M344" s="685">
        <v>4</v>
      </c>
      <c r="N344" s="685">
        <v>0</v>
      </c>
      <c r="O344" s="682">
        <f t="shared" si="15"/>
        <v>0</v>
      </c>
      <c r="P344" s="683" t="str">
        <f t="shared" si="16"/>
        <v>0</v>
      </c>
      <c r="Q344" s="684" t="str">
        <f t="shared" si="17"/>
        <v>0</v>
      </c>
      <c r="R344" s="491"/>
    </row>
    <row r="345" spans="1:18" x14ac:dyDescent="0.2">
      <c r="A345" s="506" t="s">
        <v>276</v>
      </c>
      <c r="B345" s="502" t="s">
        <v>779</v>
      </c>
      <c r="C345" s="507" t="s">
        <v>285</v>
      </c>
      <c r="D345" s="503" t="s">
        <v>279</v>
      </c>
      <c r="E345" s="348"/>
      <c r="F345" s="504" t="s">
        <v>109</v>
      </c>
      <c r="G345" s="512" t="s">
        <v>801</v>
      </c>
      <c r="H345" s="511" t="s">
        <v>789</v>
      </c>
      <c r="I345" s="510" t="s">
        <v>790</v>
      </c>
      <c r="J345" s="509" t="s">
        <v>650</v>
      </c>
      <c r="K345" s="516">
        <v>0</v>
      </c>
      <c r="L345" s="520" t="s">
        <v>791</v>
      </c>
      <c r="M345" s="685">
        <v>1</v>
      </c>
      <c r="N345" s="685">
        <v>0</v>
      </c>
      <c r="O345" s="682">
        <f t="shared" si="15"/>
        <v>0</v>
      </c>
      <c r="P345" s="683" t="str">
        <f t="shared" si="16"/>
        <v>0</v>
      </c>
      <c r="Q345" s="684" t="str">
        <f t="shared" si="17"/>
        <v>0</v>
      </c>
      <c r="R345" s="491"/>
    </row>
    <row r="346" spans="1:18" x14ac:dyDescent="0.2">
      <c r="A346" s="506" t="s">
        <v>276</v>
      </c>
      <c r="B346" s="502" t="s">
        <v>779</v>
      </c>
      <c r="C346" s="507" t="s">
        <v>285</v>
      </c>
      <c r="D346" s="503" t="s">
        <v>281</v>
      </c>
      <c r="E346" s="348"/>
      <c r="F346" s="504" t="s">
        <v>109</v>
      </c>
      <c r="G346" s="512" t="s">
        <v>801</v>
      </c>
      <c r="H346" s="511" t="s">
        <v>789</v>
      </c>
      <c r="I346" s="510" t="s">
        <v>790</v>
      </c>
      <c r="J346" s="509" t="s">
        <v>650</v>
      </c>
      <c r="K346" s="516">
        <v>25</v>
      </c>
      <c r="L346" s="520"/>
      <c r="M346" s="685">
        <v>12</v>
      </c>
      <c r="N346" s="685">
        <v>4</v>
      </c>
      <c r="O346" s="682">
        <f t="shared" si="15"/>
        <v>0.33333333333333331</v>
      </c>
      <c r="P346" s="683">
        <f t="shared" si="16"/>
        <v>133.33333333333331</v>
      </c>
      <c r="Q346" s="684">
        <f t="shared" si="17"/>
        <v>1.3333333333333333</v>
      </c>
      <c r="R346" s="490"/>
    </row>
    <row r="347" spans="1:18" x14ac:dyDescent="0.2">
      <c r="A347" s="506" t="s">
        <v>276</v>
      </c>
      <c r="B347" s="502" t="s">
        <v>779</v>
      </c>
      <c r="C347" s="507" t="s">
        <v>285</v>
      </c>
      <c r="D347" s="503" t="s">
        <v>286</v>
      </c>
      <c r="E347" s="348"/>
      <c r="F347" s="504" t="s">
        <v>109</v>
      </c>
      <c r="G347" s="512" t="s">
        <v>801</v>
      </c>
      <c r="H347" s="511" t="s">
        <v>789</v>
      </c>
      <c r="I347" s="510" t="s">
        <v>790</v>
      </c>
      <c r="J347" s="509" t="s">
        <v>650</v>
      </c>
      <c r="K347" s="516">
        <v>10</v>
      </c>
      <c r="L347" s="520"/>
      <c r="M347" s="685">
        <v>20</v>
      </c>
      <c r="N347" s="685">
        <v>0</v>
      </c>
      <c r="O347" s="682">
        <f t="shared" si="15"/>
        <v>0</v>
      </c>
      <c r="P347" s="683">
        <f t="shared" si="16"/>
        <v>0</v>
      </c>
      <c r="Q347" s="684">
        <f t="shared" si="17"/>
        <v>0</v>
      </c>
      <c r="R347" s="490"/>
    </row>
    <row r="348" spans="1:18" x14ac:dyDescent="0.2">
      <c r="A348" s="506" t="s">
        <v>276</v>
      </c>
      <c r="B348" s="502" t="s">
        <v>779</v>
      </c>
      <c r="C348" s="507" t="s">
        <v>291</v>
      </c>
      <c r="D348" s="503" t="s">
        <v>283</v>
      </c>
      <c r="E348" s="348"/>
      <c r="F348" s="504" t="s">
        <v>109</v>
      </c>
      <c r="G348" s="512" t="s">
        <v>801</v>
      </c>
      <c r="H348" s="511" t="s">
        <v>789</v>
      </c>
      <c r="I348" s="510" t="s">
        <v>790</v>
      </c>
      <c r="J348" s="509" t="s">
        <v>650</v>
      </c>
      <c r="K348" s="516">
        <v>0</v>
      </c>
      <c r="L348" s="520" t="s">
        <v>791</v>
      </c>
      <c r="M348" s="685">
        <v>0</v>
      </c>
      <c r="N348" s="685">
        <v>0</v>
      </c>
      <c r="O348" s="682">
        <f t="shared" si="15"/>
        <v>0</v>
      </c>
      <c r="P348" s="683" t="str">
        <f t="shared" si="16"/>
        <v>0</v>
      </c>
      <c r="Q348" s="684" t="str">
        <f t="shared" si="17"/>
        <v>0</v>
      </c>
      <c r="R348" s="491"/>
    </row>
    <row r="349" spans="1:18" x14ac:dyDescent="0.2">
      <c r="A349" s="506" t="s">
        <v>276</v>
      </c>
      <c r="B349" s="502" t="s">
        <v>779</v>
      </c>
      <c r="C349" s="507" t="s">
        <v>291</v>
      </c>
      <c r="D349" s="503" t="s">
        <v>284</v>
      </c>
      <c r="E349" s="348"/>
      <c r="F349" s="504" t="s">
        <v>109</v>
      </c>
      <c r="G349" s="512" t="s">
        <v>801</v>
      </c>
      <c r="H349" s="511" t="s">
        <v>789</v>
      </c>
      <c r="I349" s="510" t="s">
        <v>790</v>
      </c>
      <c r="J349" s="509" t="s">
        <v>650</v>
      </c>
      <c r="K349" s="516">
        <v>0</v>
      </c>
      <c r="L349" s="520" t="s">
        <v>791</v>
      </c>
      <c r="M349" s="685">
        <v>0</v>
      </c>
      <c r="N349" s="685">
        <v>0</v>
      </c>
      <c r="O349" s="682">
        <f t="shared" si="15"/>
        <v>0</v>
      </c>
      <c r="P349" s="683" t="str">
        <f t="shared" si="16"/>
        <v>0</v>
      </c>
      <c r="Q349" s="684" t="str">
        <f t="shared" si="17"/>
        <v>0</v>
      </c>
      <c r="R349" s="491"/>
    </row>
    <row r="350" spans="1:18" x14ac:dyDescent="0.2">
      <c r="A350" s="506" t="s">
        <v>276</v>
      </c>
      <c r="B350" s="502" t="s">
        <v>779</v>
      </c>
      <c r="C350" s="507" t="s">
        <v>290</v>
      </c>
      <c r="D350" s="503" t="s">
        <v>287</v>
      </c>
      <c r="E350" s="348"/>
      <c r="F350" s="504" t="s">
        <v>109</v>
      </c>
      <c r="G350" s="512" t="s">
        <v>801</v>
      </c>
      <c r="H350" s="511" t="s">
        <v>792</v>
      </c>
      <c r="I350" s="510" t="s">
        <v>790</v>
      </c>
      <c r="J350" s="509" t="s">
        <v>650</v>
      </c>
      <c r="K350" s="516">
        <v>38</v>
      </c>
      <c r="L350" s="520"/>
      <c r="M350" s="685">
        <v>65</v>
      </c>
      <c r="N350" s="685">
        <v>9</v>
      </c>
      <c r="O350" s="682">
        <f t="shared" si="15"/>
        <v>0.13846153846153847</v>
      </c>
      <c r="P350" s="683">
        <f t="shared" si="16"/>
        <v>36.43724696356275</v>
      </c>
      <c r="Q350" s="684">
        <f t="shared" si="17"/>
        <v>0.36437246963562753</v>
      </c>
      <c r="R350" s="490"/>
    </row>
    <row r="351" spans="1:18" x14ac:dyDescent="0.2">
      <c r="A351" s="506" t="s">
        <v>276</v>
      </c>
      <c r="B351" s="502" t="s">
        <v>779</v>
      </c>
      <c r="C351" s="507" t="s">
        <v>290</v>
      </c>
      <c r="D351" s="503" t="s">
        <v>283</v>
      </c>
      <c r="E351" s="348"/>
      <c r="F351" s="504" t="s">
        <v>109</v>
      </c>
      <c r="G351" s="512" t="s">
        <v>801</v>
      </c>
      <c r="H351" s="511" t="s">
        <v>789</v>
      </c>
      <c r="I351" s="510" t="s">
        <v>790</v>
      </c>
      <c r="J351" s="509" t="s">
        <v>650</v>
      </c>
      <c r="K351" s="516">
        <v>0</v>
      </c>
      <c r="L351" s="520" t="s">
        <v>791</v>
      </c>
      <c r="M351" s="685">
        <v>5</v>
      </c>
      <c r="N351" s="685">
        <v>0</v>
      </c>
      <c r="O351" s="682">
        <f t="shared" si="15"/>
        <v>0</v>
      </c>
      <c r="P351" s="683" t="str">
        <f t="shared" si="16"/>
        <v>0</v>
      </c>
      <c r="Q351" s="684" t="str">
        <f t="shared" si="17"/>
        <v>0</v>
      </c>
      <c r="R351" s="491"/>
    </row>
    <row r="352" spans="1:18" x14ac:dyDescent="0.2">
      <c r="A352" s="506" t="s">
        <v>276</v>
      </c>
      <c r="B352" s="502" t="s">
        <v>779</v>
      </c>
      <c r="C352" s="507" t="s">
        <v>290</v>
      </c>
      <c r="D352" s="503" t="s">
        <v>284</v>
      </c>
      <c r="E352" s="348"/>
      <c r="F352" s="504" t="s">
        <v>109</v>
      </c>
      <c r="G352" s="512" t="s">
        <v>801</v>
      </c>
      <c r="H352" s="511" t="s">
        <v>789</v>
      </c>
      <c r="I352" s="510" t="s">
        <v>790</v>
      </c>
      <c r="J352" s="509" t="s">
        <v>650</v>
      </c>
      <c r="K352" s="516">
        <v>0</v>
      </c>
      <c r="L352" s="520" t="s">
        <v>791</v>
      </c>
      <c r="M352" s="685">
        <v>0</v>
      </c>
      <c r="N352" s="685">
        <v>0</v>
      </c>
      <c r="O352" s="682">
        <f t="shared" si="15"/>
        <v>0</v>
      </c>
      <c r="P352" s="683" t="str">
        <f t="shared" si="16"/>
        <v>0</v>
      </c>
      <c r="Q352" s="684" t="str">
        <f t="shared" si="17"/>
        <v>0</v>
      </c>
      <c r="R352" s="491"/>
    </row>
    <row r="353" spans="1:18" x14ac:dyDescent="0.2">
      <c r="A353" s="506" t="s">
        <v>276</v>
      </c>
      <c r="B353" s="502" t="s">
        <v>779</v>
      </c>
      <c r="C353" s="507" t="s">
        <v>289</v>
      </c>
      <c r="D353" s="503" t="s">
        <v>287</v>
      </c>
      <c r="E353" s="348"/>
      <c r="F353" s="504" t="s">
        <v>109</v>
      </c>
      <c r="G353" s="512" t="s">
        <v>801</v>
      </c>
      <c r="H353" s="511" t="s">
        <v>792</v>
      </c>
      <c r="I353" s="510" t="s">
        <v>790</v>
      </c>
      <c r="J353" s="509" t="s">
        <v>650</v>
      </c>
      <c r="K353" s="516">
        <v>5</v>
      </c>
      <c r="L353" s="520"/>
      <c r="M353" s="685">
        <v>733</v>
      </c>
      <c r="N353" s="685">
        <v>90</v>
      </c>
      <c r="O353" s="682">
        <f t="shared" si="15"/>
        <v>0.12278308321964529</v>
      </c>
      <c r="P353" s="683">
        <f t="shared" si="16"/>
        <v>245.56616643929061</v>
      </c>
      <c r="Q353" s="684">
        <f t="shared" si="17"/>
        <v>2.4556616643929061</v>
      </c>
      <c r="R353" s="490"/>
    </row>
    <row r="354" spans="1:18" x14ac:dyDescent="0.2">
      <c r="A354" s="506" t="s">
        <v>276</v>
      </c>
      <c r="B354" s="502" t="s">
        <v>779</v>
      </c>
      <c r="C354" s="507" t="s">
        <v>289</v>
      </c>
      <c r="D354" s="503" t="s">
        <v>283</v>
      </c>
      <c r="E354" s="348"/>
      <c r="F354" s="504" t="s">
        <v>109</v>
      </c>
      <c r="G354" s="512" t="s">
        <v>801</v>
      </c>
      <c r="H354" s="511" t="s">
        <v>789</v>
      </c>
      <c r="I354" s="510" t="s">
        <v>790</v>
      </c>
      <c r="J354" s="509" t="s">
        <v>650</v>
      </c>
      <c r="K354" s="516">
        <v>32</v>
      </c>
      <c r="L354" s="520"/>
      <c r="M354" s="685">
        <v>134</v>
      </c>
      <c r="N354" s="685">
        <v>38</v>
      </c>
      <c r="O354" s="682">
        <f t="shared" si="15"/>
        <v>0.28358208955223879</v>
      </c>
      <c r="P354" s="683">
        <f t="shared" si="16"/>
        <v>88.619402985074629</v>
      </c>
      <c r="Q354" s="684">
        <f t="shared" si="17"/>
        <v>0.88619402985074625</v>
      </c>
      <c r="R354" s="490"/>
    </row>
    <row r="355" spans="1:18" x14ac:dyDescent="0.2">
      <c r="A355" s="506" t="s">
        <v>276</v>
      </c>
      <c r="B355" s="502" t="s">
        <v>779</v>
      </c>
      <c r="C355" s="507" t="s">
        <v>289</v>
      </c>
      <c r="D355" s="503" t="s">
        <v>284</v>
      </c>
      <c r="E355" s="348"/>
      <c r="F355" s="504" t="s">
        <v>109</v>
      </c>
      <c r="G355" s="512" t="s">
        <v>801</v>
      </c>
      <c r="H355" s="511" t="s">
        <v>789</v>
      </c>
      <c r="I355" s="510" t="s">
        <v>790</v>
      </c>
      <c r="J355" s="509" t="s">
        <v>650</v>
      </c>
      <c r="K355" s="516">
        <v>33</v>
      </c>
      <c r="L355" s="520"/>
      <c r="M355" s="685">
        <v>29</v>
      </c>
      <c r="N355" s="685">
        <v>13</v>
      </c>
      <c r="O355" s="682">
        <f t="shared" si="15"/>
        <v>0.44827586206896552</v>
      </c>
      <c r="P355" s="683">
        <f t="shared" si="16"/>
        <v>135.84117032392896</v>
      </c>
      <c r="Q355" s="684">
        <f t="shared" si="17"/>
        <v>1.3584117032392895</v>
      </c>
      <c r="R355" s="490"/>
    </row>
    <row r="356" spans="1:18" x14ac:dyDescent="0.2">
      <c r="A356" s="506" t="s">
        <v>276</v>
      </c>
      <c r="B356" s="502" t="s">
        <v>779</v>
      </c>
      <c r="C356" s="507" t="s">
        <v>289</v>
      </c>
      <c r="D356" s="503" t="s">
        <v>281</v>
      </c>
      <c r="E356" s="348"/>
      <c r="F356" s="504" t="s">
        <v>109</v>
      </c>
      <c r="G356" s="512" t="s">
        <v>801</v>
      </c>
      <c r="H356" s="511" t="s">
        <v>789</v>
      </c>
      <c r="I356" s="510" t="s">
        <v>790</v>
      </c>
      <c r="J356" s="509" t="s">
        <v>650</v>
      </c>
      <c r="K356" s="516">
        <v>0</v>
      </c>
      <c r="L356" s="520" t="s">
        <v>791</v>
      </c>
      <c r="M356" s="685">
        <v>2</v>
      </c>
      <c r="N356" s="685">
        <v>0</v>
      </c>
      <c r="O356" s="682">
        <f t="shared" si="15"/>
        <v>0</v>
      </c>
      <c r="P356" s="683" t="str">
        <f t="shared" si="16"/>
        <v>0</v>
      </c>
      <c r="Q356" s="684" t="str">
        <f t="shared" si="17"/>
        <v>0</v>
      </c>
      <c r="R356" s="491"/>
    </row>
    <row r="357" spans="1:18" x14ac:dyDescent="0.2">
      <c r="A357" s="506" t="s">
        <v>276</v>
      </c>
      <c r="B357" s="502" t="s">
        <v>779</v>
      </c>
      <c r="C357" s="507" t="s">
        <v>97</v>
      </c>
      <c r="D357" s="503" t="s">
        <v>279</v>
      </c>
      <c r="E357" s="348"/>
      <c r="F357" s="504" t="s">
        <v>109</v>
      </c>
      <c r="G357" s="512" t="s">
        <v>802</v>
      </c>
      <c r="H357" s="511" t="s">
        <v>789</v>
      </c>
      <c r="I357" s="510" t="s">
        <v>790</v>
      </c>
      <c r="J357" s="509" t="s">
        <v>650</v>
      </c>
      <c r="K357" s="516">
        <v>33</v>
      </c>
      <c r="L357" s="520"/>
      <c r="M357" s="685">
        <v>6</v>
      </c>
      <c r="N357" s="685">
        <v>4</v>
      </c>
      <c r="O357" s="682">
        <f t="shared" si="15"/>
        <v>0.66666666666666663</v>
      </c>
      <c r="P357" s="683">
        <f t="shared" si="16"/>
        <v>202.02020202020202</v>
      </c>
      <c r="Q357" s="684">
        <f t="shared" si="17"/>
        <v>2.0202020202020203</v>
      </c>
      <c r="R357" s="490"/>
    </row>
    <row r="358" spans="1:18" x14ac:dyDescent="0.2">
      <c r="A358" s="506" t="s">
        <v>276</v>
      </c>
      <c r="B358" s="502" t="s">
        <v>779</v>
      </c>
      <c r="C358" s="507" t="s">
        <v>97</v>
      </c>
      <c r="D358" s="503" t="s">
        <v>281</v>
      </c>
      <c r="E358" s="348"/>
      <c r="F358" s="504" t="s">
        <v>109</v>
      </c>
      <c r="G358" s="512" t="s">
        <v>802</v>
      </c>
      <c r="H358" s="511" t="s">
        <v>789</v>
      </c>
      <c r="I358" s="510" t="s">
        <v>790</v>
      </c>
      <c r="J358" s="509" t="s">
        <v>650</v>
      </c>
      <c r="K358" s="516">
        <v>33</v>
      </c>
      <c r="L358" s="520" t="s">
        <v>791</v>
      </c>
      <c r="M358" s="685">
        <v>9</v>
      </c>
      <c r="N358" s="685">
        <v>7</v>
      </c>
      <c r="O358" s="682">
        <f t="shared" si="15"/>
        <v>0.77777777777777779</v>
      </c>
      <c r="P358" s="683">
        <f t="shared" si="16"/>
        <v>235.69023569023568</v>
      </c>
      <c r="Q358" s="684">
        <f t="shared" si="17"/>
        <v>2.3569023569023568</v>
      </c>
      <c r="R358" s="491"/>
    </row>
    <row r="359" spans="1:18" x14ac:dyDescent="0.2">
      <c r="A359" s="506" t="s">
        <v>276</v>
      </c>
      <c r="B359" s="502" t="s">
        <v>779</v>
      </c>
      <c r="C359" s="507" t="s">
        <v>282</v>
      </c>
      <c r="D359" s="503" t="s">
        <v>287</v>
      </c>
      <c r="E359" s="348"/>
      <c r="F359" s="504" t="s">
        <v>109</v>
      </c>
      <c r="G359" s="512" t="s">
        <v>802</v>
      </c>
      <c r="H359" s="511" t="s">
        <v>792</v>
      </c>
      <c r="I359" s="510" t="s">
        <v>790</v>
      </c>
      <c r="J359" s="509" t="s">
        <v>650</v>
      </c>
      <c r="K359" s="516">
        <v>5</v>
      </c>
      <c r="L359" s="520" t="s">
        <v>791</v>
      </c>
      <c r="M359" s="685">
        <v>68</v>
      </c>
      <c r="N359" s="685">
        <v>10</v>
      </c>
      <c r="O359" s="682">
        <f t="shared" si="15"/>
        <v>0.14705882352941177</v>
      </c>
      <c r="P359" s="683">
        <f t="shared" si="16"/>
        <v>294.11764705882348</v>
      </c>
      <c r="Q359" s="684">
        <f t="shared" si="17"/>
        <v>2.9411764705882351</v>
      </c>
      <c r="R359" s="491"/>
    </row>
    <row r="360" spans="1:18" x14ac:dyDescent="0.2">
      <c r="A360" s="506" t="s">
        <v>276</v>
      </c>
      <c r="B360" s="502" t="s">
        <v>779</v>
      </c>
      <c r="C360" s="507" t="s">
        <v>282</v>
      </c>
      <c r="D360" s="503" t="s">
        <v>283</v>
      </c>
      <c r="E360" s="348"/>
      <c r="F360" s="504" t="s">
        <v>109</v>
      </c>
      <c r="G360" s="512" t="s">
        <v>802</v>
      </c>
      <c r="H360" s="511" t="s">
        <v>789</v>
      </c>
      <c r="I360" s="510" t="s">
        <v>790</v>
      </c>
      <c r="J360" s="509" t="s">
        <v>650</v>
      </c>
      <c r="K360" s="516">
        <v>26</v>
      </c>
      <c r="L360" s="520"/>
      <c r="M360" s="685">
        <v>19</v>
      </c>
      <c r="N360" s="685">
        <v>2</v>
      </c>
      <c r="O360" s="682">
        <f t="shared" si="15"/>
        <v>0.10526315789473684</v>
      </c>
      <c r="P360" s="683">
        <f t="shared" si="16"/>
        <v>40.48582995951417</v>
      </c>
      <c r="Q360" s="684">
        <f t="shared" si="17"/>
        <v>0.40485829959514169</v>
      </c>
      <c r="R360" s="490"/>
    </row>
    <row r="361" spans="1:18" x14ac:dyDescent="0.2">
      <c r="A361" s="506" t="s">
        <v>276</v>
      </c>
      <c r="B361" s="502" t="s">
        <v>779</v>
      </c>
      <c r="C361" s="507" t="s">
        <v>282</v>
      </c>
      <c r="D361" s="503" t="s">
        <v>284</v>
      </c>
      <c r="E361" s="348"/>
      <c r="F361" s="504" t="s">
        <v>109</v>
      </c>
      <c r="G361" s="512" t="s">
        <v>802</v>
      </c>
      <c r="H361" s="511" t="s">
        <v>789</v>
      </c>
      <c r="I361" s="510" t="s">
        <v>790</v>
      </c>
      <c r="J361" s="509" t="s">
        <v>650</v>
      </c>
      <c r="K361" s="516">
        <v>16</v>
      </c>
      <c r="L361" s="520"/>
      <c r="M361" s="685">
        <v>43</v>
      </c>
      <c r="N361" s="685">
        <v>7</v>
      </c>
      <c r="O361" s="682">
        <f t="shared" si="15"/>
        <v>0.16279069767441862</v>
      </c>
      <c r="P361" s="683">
        <f t="shared" si="16"/>
        <v>101.74418604651163</v>
      </c>
      <c r="Q361" s="684">
        <f t="shared" si="17"/>
        <v>1.0174418604651163</v>
      </c>
      <c r="R361" s="490"/>
    </row>
    <row r="362" spans="1:18" x14ac:dyDescent="0.2">
      <c r="A362" s="506" t="s">
        <v>276</v>
      </c>
      <c r="B362" s="502" t="s">
        <v>779</v>
      </c>
      <c r="C362" s="507" t="s">
        <v>282</v>
      </c>
      <c r="D362" s="503" t="s">
        <v>279</v>
      </c>
      <c r="E362" s="348"/>
      <c r="F362" s="504" t="s">
        <v>109</v>
      </c>
      <c r="G362" s="512" t="s">
        <v>802</v>
      </c>
      <c r="H362" s="511" t="s">
        <v>789</v>
      </c>
      <c r="I362" s="510" t="s">
        <v>790</v>
      </c>
      <c r="J362" s="509" t="s">
        <v>650</v>
      </c>
      <c r="K362" s="516">
        <v>6</v>
      </c>
      <c r="L362" s="520"/>
      <c r="M362" s="685">
        <v>65</v>
      </c>
      <c r="N362" s="685">
        <v>7</v>
      </c>
      <c r="O362" s="682">
        <f t="shared" si="15"/>
        <v>0.1076923076923077</v>
      </c>
      <c r="P362" s="683">
        <f t="shared" si="16"/>
        <v>179.4871794871795</v>
      </c>
      <c r="Q362" s="684">
        <f t="shared" si="17"/>
        <v>1.7948717948717949</v>
      </c>
      <c r="R362" s="490"/>
    </row>
    <row r="363" spans="1:18" x14ac:dyDescent="0.2">
      <c r="A363" s="506" t="s">
        <v>276</v>
      </c>
      <c r="B363" s="502" t="s">
        <v>779</v>
      </c>
      <c r="C363" s="507" t="s">
        <v>282</v>
      </c>
      <c r="D363" s="503" t="s">
        <v>281</v>
      </c>
      <c r="E363" s="348"/>
      <c r="F363" s="504" t="s">
        <v>109</v>
      </c>
      <c r="G363" s="512" t="s">
        <v>802</v>
      </c>
      <c r="H363" s="511" t="s">
        <v>789</v>
      </c>
      <c r="I363" s="510" t="s">
        <v>790</v>
      </c>
      <c r="J363" s="509" t="s">
        <v>650</v>
      </c>
      <c r="K363" s="516">
        <v>8</v>
      </c>
      <c r="L363" s="520"/>
      <c r="M363" s="685">
        <v>48</v>
      </c>
      <c r="N363" s="685">
        <v>12</v>
      </c>
      <c r="O363" s="682">
        <f t="shared" si="15"/>
        <v>0.25</v>
      </c>
      <c r="P363" s="683">
        <f t="shared" si="16"/>
        <v>312.5</v>
      </c>
      <c r="Q363" s="684">
        <f t="shared" si="17"/>
        <v>3.125</v>
      </c>
      <c r="R363" s="490"/>
    </row>
    <row r="364" spans="1:18" x14ac:dyDescent="0.2">
      <c r="A364" s="506" t="s">
        <v>276</v>
      </c>
      <c r="B364" s="502" t="s">
        <v>779</v>
      </c>
      <c r="C364" s="507" t="s">
        <v>288</v>
      </c>
      <c r="D364" s="503" t="s">
        <v>287</v>
      </c>
      <c r="E364" s="348"/>
      <c r="F364" s="504" t="s">
        <v>109</v>
      </c>
      <c r="G364" s="512" t="s">
        <v>802</v>
      </c>
      <c r="H364" s="511" t="s">
        <v>792</v>
      </c>
      <c r="I364" s="510" t="s">
        <v>790</v>
      </c>
      <c r="J364" s="509" t="s">
        <v>650</v>
      </c>
      <c r="K364" s="516">
        <v>28.999999999999996</v>
      </c>
      <c r="L364" s="520"/>
      <c r="M364" s="685">
        <v>299</v>
      </c>
      <c r="N364" s="685">
        <v>36</v>
      </c>
      <c r="O364" s="682">
        <f t="shared" si="15"/>
        <v>0.12040133779264214</v>
      </c>
      <c r="P364" s="683">
        <f t="shared" si="16"/>
        <v>41.517702687117982</v>
      </c>
      <c r="Q364" s="684">
        <f t="shared" si="17"/>
        <v>0.4151770268711798</v>
      </c>
      <c r="R364" s="490"/>
    </row>
    <row r="365" spans="1:18" x14ac:dyDescent="0.2">
      <c r="A365" s="506" t="s">
        <v>276</v>
      </c>
      <c r="B365" s="502" t="s">
        <v>779</v>
      </c>
      <c r="C365" s="507" t="s">
        <v>288</v>
      </c>
      <c r="D365" s="503" t="s">
        <v>283</v>
      </c>
      <c r="E365" s="348"/>
      <c r="F365" s="504" t="s">
        <v>109</v>
      </c>
      <c r="G365" s="512" t="s">
        <v>802</v>
      </c>
      <c r="H365" s="511" t="s">
        <v>789</v>
      </c>
      <c r="I365" s="510" t="s">
        <v>790</v>
      </c>
      <c r="J365" s="509" t="s">
        <v>650</v>
      </c>
      <c r="K365" s="516">
        <v>8</v>
      </c>
      <c r="L365" s="520"/>
      <c r="M365" s="685">
        <v>64</v>
      </c>
      <c r="N365" s="685">
        <v>6</v>
      </c>
      <c r="O365" s="682">
        <f t="shared" si="15"/>
        <v>9.375E-2</v>
      </c>
      <c r="P365" s="683">
        <f t="shared" si="16"/>
        <v>117.1875</v>
      </c>
      <c r="Q365" s="684">
        <f t="shared" si="17"/>
        <v>1.171875</v>
      </c>
      <c r="R365" s="490"/>
    </row>
    <row r="366" spans="1:18" x14ac:dyDescent="0.2">
      <c r="A366" s="506" t="s">
        <v>276</v>
      </c>
      <c r="B366" s="502" t="s">
        <v>779</v>
      </c>
      <c r="C366" s="507" t="s">
        <v>288</v>
      </c>
      <c r="D366" s="503" t="s">
        <v>284</v>
      </c>
      <c r="E366" s="348"/>
      <c r="F366" s="504" t="s">
        <v>109</v>
      </c>
      <c r="G366" s="512" t="s">
        <v>802</v>
      </c>
      <c r="H366" s="511" t="s">
        <v>789</v>
      </c>
      <c r="I366" s="510" t="s">
        <v>790</v>
      </c>
      <c r="J366" s="509" t="s">
        <v>650</v>
      </c>
      <c r="K366" s="516">
        <v>8</v>
      </c>
      <c r="L366" s="520" t="s">
        <v>791</v>
      </c>
      <c r="M366" s="685">
        <v>10</v>
      </c>
      <c r="N366" s="685">
        <v>0</v>
      </c>
      <c r="O366" s="682">
        <f t="shared" si="15"/>
        <v>0</v>
      </c>
      <c r="P366" s="683">
        <f t="shared" si="16"/>
        <v>0</v>
      </c>
      <c r="Q366" s="684">
        <f t="shared" si="17"/>
        <v>0</v>
      </c>
      <c r="R366" s="491"/>
    </row>
    <row r="367" spans="1:18" x14ac:dyDescent="0.2">
      <c r="A367" s="506" t="s">
        <v>276</v>
      </c>
      <c r="B367" s="502" t="s">
        <v>779</v>
      </c>
      <c r="C367" s="507" t="s">
        <v>288</v>
      </c>
      <c r="D367" s="503" t="s">
        <v>279</v>
      </c>
      <c r="E367" s="348"/>
      <c r="F367" s="504" t="s">
        <v>109</v>
      </c>
      <c r="G367" s="512" t="s">
        <v>802</v>
      </c>
      <c r="H367" s="511" t="s">
        <v>789</v>
      </c>
      <c r="I367" s="510" t="s">
        <v>790</v>
      </c>
      <c r="J367" s="509" t="s">
        <v>650</v>
      </c>
      <c r="K367" s="516">
        <v>0</v>
      </c>
      <c r="L367" s="520" t="s">
        <v>791</v>
      </c>
      <c r="M367" s="685">
        <v>2</v>
      </c>
      <c r="N367" s="685">
        <v>1</v>
      </c>
      <c r="O367" s="682">
        <f t="shared" si="15"/>
        <v>0.5</v>
      </c>
      <c r="P367" s="683" t="str">
        <f t="shared" si="16"/>
        <v>0</v>
      </c>
      <c r="Q367" s="684" t="str">
        <f t="shared" si="17"/>
        <v>0</v>
      </c>
      <c r="R367" s="491"/>
    </row>
    <row r="368" spans="1:18" x14ac:dyDescent="0.2">
      <c r="A368" s="506" t="s">
        <v>276</v>
      </c>
      <c r="B368" s="502" t="s">
        <v>779</v>
      </c>
      <c r="C368" s="507" t="s">
        <v>288</v>
      </c>
      <c r="D368" s="503" t="s">
        <v>281</v>
      </c>
      <c r="E368" s="348"/>
      <c r="F368" s="504" t="s">
        <v>109</v>
      </c>
      <c r="G368" s="512" t="s">
        <v>802</v>
      </c>
      <c r="H368" s="511" t="s">
        <v>789</v>
      </c>
      <c r="I368" s="510" t="s">
        <v>790</v>
      </c>
      <c r="J368" s="509" t="s">
        <v>650</v>
      </c>
      <c r="K368" s="516">
        <v>8</v>
      </c>
      <c r="L368" s="520" t="s">
        <v>791</v>
      </c>
      <c r="M368" s="685">
        <v>17</v>
      </c>
      <c r="N368" s="685">
        <v>3</v>
      </c>
      <c r="O368" s="682">
        <f t="shared" si="15"/>
        <v>0.17647058823529413</v>
      </c>
      <c r="P368" s="683">
        <f t="shared" si="16"/>
        <v>220.58823529411762</v>
      </c>
      <c r="Q368" s="684">
        <f t="shared" si="17"/>
        <v>2.2058823529411762</v>
      </c>
      <c r="R368" s="491"/>
    </row>
    <row r="369" spans="1:18" x14ac:dyDescent="0.2">
      <c r="A369" s="506" t="s">
        <v>276</v>
      </c>
      <c r="B369" s="502" t="s">
        <v>779</v>
      </c>
      <c r="C369" s="507" t="s">
        <v>99</v>
      </c>
      <c r="D369" s="503" t="s">
        <v>287</v>
      </c>
      <c r="E369" s="348"/>
      <c r="F369" s="504" t="s">
        <v>109</v>
      </c>
      <c r="G369" s="512" t="s">
        <v>802</v>
      </c>
      <c r="H369" s="511" t="s">
        <v>792</v>
      </c>
      <c r="I369" s="510" t="s">
        <v>790</v>
      </c>
      <c r="J369" s="509" t="s">
        <v>650</v>
      </c>
      <c r="K369" s="516">
        <v>17</v>
      </c>
      <c r="L369" s="520"/>
      <c r="M369" s="685">
        <v>326</v>
      </c>
      <c r="N369" s="685">
        <v>49</v>
      </c>
      <c r="O369" s="682">
        <f t="shared" si="15"/>
        <v>0.15030674846625766</v>
      </c>
      <c r="P369" s="683">
        <f t="shared" si="16"/>
        <v>88.415734391916274</v>
      </c>
      <c r="Q369" s="684">
        <f t="shared" si="17"/>
        <v>0.88415734391916267</v>
      </c>
      <c r="R369" s="490"/>
    </row>
    <row r="370" spans="1:18" x14ac:dyDescent="0.2">
      <c r="A370" s="506" t="s">
        <v>276</v>
      </c>
      <c r="B370" s="502" t="s">
        <v>779</v>
      </c>
      <c r="C370" s="507" t="s">
        <v>99</v>
      </c>
      <c r="D370" s="503" t="s">
        <v>283</v>
      </c>
      <c r="E370" s="348"/>
      <c r="F370" s="504" t="s">
        <v>109</v>
      </c>
      <c r="G370" s="512" t="s">
        <v>802</v>
      </c>
      <c r="H370" s="511" t="s">
        <v>789</v>
      </c>
      <c r="I370" s="510" t="s">
        <v>790</v>
      </c>
      <c r="J370" s="509" t="s">
        <v>650</v>
      </c>
      <c r="K370" s="516">
        <v>36</v>
      </c>
      <c r="L370" s="520"/>
      <c r="M370" s="685">
        <v>17</v>
      </c>
      <c r="N370" s="685">
        <v>4</v>
      </c>
      <c r="O370" s="682">
        <f t="shared" si="15"/>
        <v>0.23529411764705882</v>
      </c>
      <c r="P370" s="683">
        <f t="shared" si="16"/>
        <v>65.359477124183002</v>
      </c>
      <c r="Q370" s="684">
        <f t="shared" si="17"/>
        <v>0.65359477124183007</v>
      </c>
      <c r="R370" s="490"/>
    </row>
    <row r="371" spans="1:18" x14ac:dyDescent="0.2">
      <c r="A371" s="506" t="s">
        <v>276</v>
      </c>
      <c r="B371" s="502" t="s">
        <v>779</v>
      </c>
      <c r="C371" s="507" t="s">
        <v>99</v>
      </c>
      <c r="D371" s="503" t="s">
        <v>284</v>
      </c>
      <c r="E371" s="348"/>
      <c r="F371" s="504" t="s">
        <v>109</v>
      </c>
      <c r="G371" s="512" t="s">
        <v>802</v>
      </c>
      <c r="H371" s="511" t="s">
        <v>789</v>
      </c>
      <c r="I371" s="510" t="s">
        <v>790</v>
      </c>
      <c r="J371" s="509" t="s">
        <v>650</v>
      </c>
      <c r="K371" s="516">
        <v>80</v>
      </c>
      <c r="L371" s="520"/>
      <c r="M371" s="685">
        <v>8</v>
      </c>
      <c r="N371" s="685">
        <v>2</v>
      </c>
      <c r="O371" s="682">
        <f t="shared" si="15"/>
        <v>0.25</v>
      </c>
      <c r="P371" s="683">
        <f t="shared" si="16"/>
        <v>31.25</v>
      </c>
      <c r="Q371" s="684">
        <f t="shared" si="17"/>
        <v>0.3125</v>
      </c>
      <c r="R371" s="490"/>
    </row>
    <row r="372" spans="1:18" x14ac:dyDescent="0.2">
      <c r="A372" s="506" t="s">
        <v>276</v>
      </c>
      <c r="B372" s="502" t="s">
        <v>779</v>
      </c>
      <c r="C372" s="507" t="s">
        <v>99</v>
      </c>
      <c r="D372" s="503" t="s">
        <v>279</v>
      </c>
      <c r="E372" s="348"/>
      <c r="F372" s="504" t="s">
        <v>109</v>
      </c>
      <c r="G372" s="512" t="s">
        <v>802</v>
      </c>
      <c r="H372" s="511" t="s">
        <v>789</v>
      </c>
      <c r="I372" s="510" t="s">
        <v>790</v>
      </c>
      <c r="J372" s="509" t="s">
        <v>650</v>
      </c>
      <c r="K372" s="516">
        <v>0</v>
      </c>
      <c r="L372" s="520" t="s">
        <v>791</v>
      </c>
      <c r="M372" s="685">
        <v>5</v>
      </c>
      <c r="N372" s="685">
        <v>2</v>
      </c>
      <c r="O372" s="682">
        <f t="shared" si="15"/>
        <v>0.4</v>
      </c>
      <c r="P372" s="683" t="str">
        <f t="shared" si="16"/>
        <v>0</v>
      </c>
      <c r="Q372" s="684" t="str">
        <f t="shared" si="17"/>
        <v>0</v>
      </c>
      <c r="R372" s="491"/>
    </row>
    <row r="373" spans="1:18" x14ac:dyDescent="0.2">
      <c r="A373" s="506" t="s">
        <v>276</v>
      </c>
      <c r="B373" s="502" t="s">
        <v>779</v>
      </c>
      <c r="C373" s="507" t="s">
        <v>99</v>
      </c>
      <c r="D373" s="503" t="s">
        <v>281</v>
      </c>
      <c r="E373" s="348"/>
      <c r="F373" s="504" t="s">
        <v>109</v>
      </c>
      <c r="G373" s="512" t="s">
        <v>802</v>
      </c>
      <c r="H373" s="511" t="s">
        <v>789</v>
      </c>
      <c r="I373" s="510" t="s">
        <v>790</v>
      </c>
      <c r="J373" s="509" t="s">
        <v>650</v>
      </c>
      <c r="K373" s="516">
        <v>0</v>
      </c>
      <c r="L373" s="520" t="s">
        <v>791</v>
      </c>
      <c r="M373" s="685">
        <v>1</v>
      </c>
      <c r="N373" s="685">
        <v>0</v>
      </c>
      <c r="O373" s="682">
        <f t="shared" si="15"/>
        <v>0</v>
      </c>
      <c r="P373" s="683" t="str">
        <f t="shared" si="16"/>
        <v>0</v>
      </c>
      <c r="Q373" s="684" t="str">
        <f t="shared" si="17"/>
        <v>0</v>
      </c>
      <c r="R373" s="491"/>
    </row>
    <row r="374" spans="1:18" x14ac:dyDescent="0.2">
      <c r="A374" s="506" t="s">
        <v>276</v>
      </c>
      <c r="B374" s="502" t="s">
        <v>779</v>
      </c>
      <c r="C374" s="507" t="s">
        <v>285</v>
      </c>
      <c r="D374" s="503" t="s">
        <v>287</v>
      </c>
      <c r="E374" s="348"/>
      <c r="F374" s="504" t="s">
        <v>109</v>
      </c>
      <c r="G374" s="512" t="s">
        <v>802</v>
      </c>
      <c r="H374" s="511" t="s">
        <v>792</v>
      </c>
      <c r="I374" s="510" t="s">
        <v>790</v>
      </c>
      <c r="J374" s="509" t="s">
        <v>650</v>
      </c>
      <c r="K374" s="516">
        <v>13</v>
      </c>
      <c r="L374" s="520"/>
      <c r="M374" s="685">
        <v>0</v>
      </c>
      <c r="N374" s="685">
        <v>0</v>
      </c>
      <c r="O374" s="682">
        <f t="shared" si="15"/>
        <v>0</v>
      </c>
      <c r="P374" s="683" t="str">
        <f t="shared" si="16"/>
        <v>0</v>
      </c>
      <c r="Q374" s="684" t="str">
        <f t="shared" si="17"/>
        <v>0</v>
      </c>
      <c r="R374" s="491"/>
    </row>
    <row r="375" spans="1:18" x14ac:dyDescent="0.2">
      <c r="A375" s="506" t="s">
        <v>276</v>
      </c>
      <c r="B375" s="502" t="s">
        <v>779</v>
      </c>
      <c r="C375" s="507" t="s">
        <v>285</v>
      </c>
      <c r="D375" s="503" t="s">
        <v>283</v>
      </c>
      <c r="E375" s="348"/>
      <c r="F375" s="504" t="s">
        <v>109</v>
      </c>
      <c r="G375" s="512" t="s">
        <v>802</v>
      </c>
      <c r="H375" s="511" t="s">
        <v>789</v>
      </c>
      <c r="I375" s="510" t="s">
        <v>790</v>
      </c>
      <c r="J375" s="509" t="s">
        <v>650</v>
      </c>
      <c r="K375" s="516">
        <v>0</v>
      </c>
      <c r="L375" s="520" t="s">
        <v>791</v>
      </c>
      <c r="M375" s="685">
        <v>5</v>
      </c>
      <c r="N375" s="685">
        <v>1</v>
      </c>
      <c r="O375" s="682">
        <f t="shared" si="15"/>
        <v>0.2</v>
      </c>
      <c r="P375" s="683" t="str">
        <f t="shared" si="16"/>
        <v>0</v>
      </c>
      <c r="Q375" s="684" t="str">
        <f t="shared" si="17"/>
        <v>0</v>
      </c>
      <c r="R375" s="491"/>
    </row>
    <row r="376" spans="1:18" x14ac:dyDescent="0.2">
      <c r="A376" s="506" t="s">
        <v>276</v>
      </c>
      <c r="B376" s="502" t="s">
        <v>779</v>
      </c>
      <c r="C376" s="507" t="s">
        <v>285</v>
      </c>
      <c r="D376" s="503" t="s">
        <v>284</v>
      </c>
      <c r="E376" s="348"/>
      <c r="F376" s="504" t="s">
        <v>109</v>
      </c>
      <c r="G376" s="512" t="s">
        <v>802</v>
      </c>
      <c r="H376" s="511" t="s">
        <v>789</v>
      </c>
      <c r="I376" s="510" t="s">
        <v>790</v>
      </c>
      <c r="J376" s="509" t="s">
        <v>650</v>
      </c>
      <c r="K376" s="516">
        <v>0</v>
      </c>
      <c r="L376" s="520" t="s">
        <v>791</v>
      </c>
      <c r="M376" s="685">
        <v>4</v>
      </c>
      <c r="N376" s="685">
        <v>0</v>
      </c>
      <c r="O376" s="682">
        <f t="shared" si="15"/>
        <v>0</v>
      </c>
      <c r="P376" s="683" t="str">
        <f t="shared" si="16"/>
        <v>0</v>
      </c>
      <c r="Q376" s="684" t="str">
        <f t="shared" si="17"/>
        <v>0</v>
      </c>
      <c r="R376" s="491"/>
    </row>
    <row r="377" spans="1:18" x14ac:dyDescent="0.2">
      <c r="A377" s="506" t="s">
        <v>276</v>
      </c>
      <c r="B377" s="502" t="s">
        <v>779</v>
      </c>
      <c r="C377" s="507" t="s">
        <v>285</v>
      </c>
      <c r="D377" s="503" t="s">
        <v>279</v>
      </c>
      <c r="E377" s="348"/>
      <c r="F377" s="504" t="s">
        <v>109</v>
      </c>
      <c r="G377" s="512" t="s">
        <v>802</v>
      </c>
      <c r="H377" s="511" t="s">
        <v>789</v>
      </c>
      <c r="I377" s="510" t="s">
        <v>790</v>
      </c>
      <c r="J377" s="509" t="s">
        <v>650</v>
      </c>
      <c r="K377" s="516">
        <v>0</v>
      </c>
      <c r="L377" s="520" t="s">
        <v>791</v>
      </c>
      <c r="M377" s="685">
        <v>1</v>
      </c>
      <c r="N377" s="685">
        <v>0</v>
      </c>
      <c r="O377" s="682">
        <f t="shared" si="15"/>
        <v>0</v>
      </c>
      <c r="P377" s="683" t="str">
        <f t="shared" si="16"/>
        <v>0</v>
      </c>
      <c r="Q377" s="684" t="str">
        <f t="shared" si="17"/>
        <v>0</v>
      </c>
      <c r="R377" s="491"/>
    </row>
    <row r="378" spans="1:18" x14ac:dyDescent="0.2">
      <c r="A378" s="506" t="s">
        <v>276</v>
      </c>
      <c r="B378" s="502" t="s">
        <v>779</v>
      </c>
      <c r="C378" s="507" t="s">
        <v>285</v>
      </c>
      <c r="D378" s="503" t="s">
        <v>281</v>
      </c>
      <c r="E378" s="348"/>
      <c r="F378" s="504" t="s">
        <v>109</v>
      </c>
      <c r="G378" s="512" t="s">
        <v>802</v>
      </c>
      <c r="H378" s="511" t="s">
        <v>789</v>
      </c>
      <c r="I378" s="510" t="s">
        <v>790</v>
      </c>
      <c r="J378" s="509" t="s">
        <v>650</v>
      </c>
      <c r="K378" s="516">
        <v>25</v>
      </c>
      <c r="L378" s="520"/>
      <c r="M378" s="685">
        <v>12</v>
      </c>
      <c r="N378" s="685">
        <v>4</v>
      </c>
      <c r="O378" s="682">
        <f t="shared" si="15"/>
        <v>0.33333333333333331</v>
      </c>
      <c r="P378" s="683">
        <f t="shared" si="16"/>
        <v>133.33333333333331</v>
      </c>
      <c r="Q378" s="684">
        <f t="shared" si="17"/>
        <v>1.3333333333333333</v>
      </c>
      <c r="R378" s="490"/>
    </row>
    <row r="379" spans="1:18" x14ac:dyDescent="0.2">
      <c r="A379" s="506" t="s">
        <v>276</v>
      </c>
      <c r="B379" s="502" t="s">
        <v>779</v>
      </c>
      <c r="C379" s="507" t="s">
        <v>285</v>
      </c>
      <c r="D379" s="503" t="s">
        <v>286</v>
      </c>
      <c r="E379" s="348"/>
      <c r="F379" s="504" t="s">
        <v>109</v>
      </c>
      <c r="G379" s="512" t="s">
        <v>802</v>
      </c>
      <c r="H379" s="511" t="s">
        <v>789</v>
      </c>
      <c r="I379" s="510" t="s">
        <v>790</v>
      </c>
      <c r="J379" s="509" t="s">
        <v>650</v>
      </c>
      <c r="K379" s="516">
        <v>10</v>
      </c>
      <c r="L379" s="520"/>
      <c r="M379" s="685">
        <v>20</v>
      </c>
      <c r="N379" s="685">
        <v>0</v>
      </c>
      <c r="O379" s="682">
        <f t="shared" si="15"/>
        <v>0</v>
      </c>
      <c r="P379" s="683">
        <f t="shared" si="16"/>
        <v>0</v>
      </c>
      <c r="Q379" s="684">
        <f t="shared" si="17"/>
        <v>0</v>
      </c>
      <c r="R379" s="490"/>
    </row>
    <row r="380" spans="1:18" x14ac:dyDescent="0.2">
      <c r="A380" s="506" t="s">
        <v>276</v>
      </c>
      <c r="B380" s="502" t="s">
        <v>779</v>
      </c>
      <c r="C380" s="507" t="s">
        <v>291</v>
      </c>
      <c r="D380" s="503" t="s">
        <v>283</v>
      </c>
      <c r="E380" s="348"/>
      <c r="F380" s="504" t="s">
        <v>109</v>
      </c>
      <c r="G380" s="512" t="s">
        <v>802</v>
      </c>
      <c r="H380" s="511" t="s">
        <v>789</v>
      </c>
      <c r="I380" s="510" t="s">
        <v>790</v>
      </c>
      <c r="J380" s="509" t="s">
        <v>650</v>
      </c>
      <c r="K380" s="516">
        <v>0</v>
      </c>
      <c r="L380" s="520" t="s">
        <v>791</v>
      </c>
      <c r="M380" s="685">
        <v>0</v>
      </c>
      <c r="N380" s="685">
        <v>0</v>
      </c>
      <c r="O380" s="682">
        <f t="shared" si="15"/>
        <v>0</v>
      </c>
      <c r="P380" s="683" t="str">
        <f t="shared" si="16"/>
        <v>0</v>
      </c>
      <c r="Q380" s="684" t="str">
        <f t="shared" si="17"/>
        <v>0</v>
      </c>
      <c r="R380" s="491"/>
    </row>
    <row r="381" spans="1:18" x14ac:dyDescent="0.2">
      <c r="A381" s="506" t="s">
        <v>276</v>
      </c>
      <c r="B381" s="502" t="s">
        <v>779</v>
      </c>
      <c r="C381" s="507" t="s">
        <v>291</v>
      </c>
      <c r="D381" s="503" t="s">
        <v>284</v>
      </c>
      <c r="E381" s="348"/>
      <c r="F381" s="504" t="s">
        <v>109</v>
      </c>
      <c r="G381" s="512" t="s">
        <v>802</v>
      </c>
      <c r="H381" s="511" t="s">
        <v>789</v>
      </c>
      <c r="I381" s="510" t="s">
        <v>790</v>
      </c>
      <c r="J381" s="509" t="s">
        <v>650</v>
      </c>
      <c r="K381" s="516">
        <v>0</v>
      </c>
      <c r="L381" s="520" t="s">
        <v>791</v>
      </c>
      <c r="M381" s="685">
        <v>0</v>
      </c>
      <c r="N381" s="685">
        <v>0</v>
      </c>
      <c r="O381" s="682">
        <f t="shared" si="15"/>
        <v>0</v>
      </c>
      <c r="P381" s="683" t="str">
        <f t="shared" si="16"/>
        <v>0</v>
      </c>
      <c r="Q381" s="684" t="str">
        <f t="shared" si="17"/>
        <v>0</v>
      </c>
      <c r="R381" s="491"/>
    </row>
    <row r="382" spans="1:18" x14ac:dyDescent="0.2">
      <c r="A382" s="506" t="s">
        <v>276</v>
      </c>
      <c r="B382" s="502" t="s">
        <v>779</v>
      </c>
      <c r="C382" s="507" t="s">
        <v>290</v>
      </c>
      <c r="D382" s="503" t="s">
        <v>287</v>
      </c>
      <c r="E382" s="348"/>
      <c r="F382" s="504" t="s">
        <v>109</v>
      </c>
      <c r="G382" s="512" t="s">
        <v>802</v>
      </c>
      <c r="H382" s="511" t="s">
        <v>792</v>
      </c>
      <c r="I382" s="510" t="s">
        <v>790</v>
      </c>
      <c r="J382" s="509" t="s">
        <v>650</v>
      </c>
      <c r="K382" s="516">
        <v>38</v>
      </c>
      <c r="L382" s="520"/>
      <c r="M382" s="685">
        <v>65</v>
      </c>
      <c r="N382" s="685">
        <v>9</v>
      </c>
      <c r="O382" s="682">
        <f t="shared" si="15"/>
        <v>0.13846153846153847</v>
      </c>
      <c r="P382" s="683">
        <f t="shared" si="16"/>
        <v>36.43724696356275</v>
      </c>
      <c r="Q382" s="684">
        <f t="shared" si="17"/>
        <v>0.36437246963562753</v>
      </c>
      <c r="R382" s="490"/>
    </row>
    <row r="383" spans="1:18" x14ac:dyDescent="0.2">
      <c r="A383" s="506" t="s">
        <v>276</v>
      </c>
      <c r="B383" s="502" t="s">
        <v>779</v>
      </c>
      <c r="C383" s="507" t="s">
        <v>290</v>
      </c>
      <c r="D383" s="503" t="s">
        <v>283</v>
      </c>
      <c r="E383" s="348"/>
      <c r="F383" s="504" t="s">
        <v>109</v>
      </c>
      <c r="G383" s="512" t="s">
        <v>802</v>
      </c>
      <c r="H383" s="511" t="s">
        <v>789</v>
      </c>
      <c r="I383" s="510" t="s">
        <v>790</v>
      </c>
      <c r="J383" s="509" t="s">
        <v>650</v>
      </c>
      <c r="K383" s="516">
        <v>0</v>
      </c>
      <c r="L383" s="520" t="s">
        <v>791</v>
      </c>
      <c r="M383" s="685">
        <v>5</v>
      </c>
      <c r="N383" s="685">
        <v>0</v>
      </c>
      <c r="O383" s="682">
        <f t="shared" si="15"/>
        <v>0</v>
      </c>
      <c r="P383" s="683" t="str">
        <f t="shared" si="16"/>
        <v>0</v>
      </c>
      <c r="Q383" s="684" t="str">
        <f t="shared" si="17"/>
        <v>0</v>
      </c>
      <c r="R383" s="491"/>
    </row>
    <row r="384" spans="1:18" x14ac:dyDescent="0.2">
      <c r="A384" s="506" t="s">
        <v>276</v>
      </c>
      <c r="B384" s="502" t="s">
        <v>779</v>
      </c>
      <c r="C384" s="507" t="s">
        <v>290</v>
      </c>
      <c r="D384" s="503" t="s">
        <v>284</v>
      </c>
      <c r="E384" s="348"/>
      <c r="F384" s="504" t="s">
        <v>109</v>
      </c>
      <c r="G384" s="512" t="s">
        <v>802</v>
      </c>
      <c r="H384" s="511" t="s">
        <v>789</v>
      </c>
      <c r="I384" s="510" t="s">
        <v>790</v>
      </c>
      <c r="J384" s="509" t="s">
        <v>650</v>
      </c>
      <c r="K384" s="516">
        <v>0</v>
      </c>
      <c r="L384" s="520" t="s">
        <v>791</v>
      </c>
      <c r="M384" s="685">
        <v>0</v>
      </c>
      <c r="N384" s="685">
        <v>0</v>
      </c>
      <c r="O384" s="682">
        <f t="shared" si="15"/>
        <v>0</v>
      </c>
      <c r="P384" s="683" t="str">
        <f t="shared" si="16"/>
        <v>0</v>
      </c>
      <c r="Q384" s="684" t="str">
        <f t="shared" si="17"/>
        <v>0</v>
      </c>
      <c r="R384" s="491"/>
    </row>
    <row r="385" spans="1:18" x14ac:dyDescent="0.2">
      <c r="A385" s="506" t="s">
        <v>276</v>
      </c>
      <c r="B385" s="502" t="s">
        <v>779</v>
      </c>
      <c r="C385" s="507" t="s">
        <v>289</v>
      </c>
      <c r="D385" s="503" t="s">
        <v>287</v>
      </c>
      <c r="E385" s="348"/>
      <c r="F385" s="504" t="s">
        <v>109</v>
      </c>
      <c r="G385" s="512" t="s">
        <v>802</v>
      </c>
      <c r="H385" s="511" t="s">
        <v>792</v>
      </c>
      <c r="I385" s="510" t="s">
        <v>790</v>
      </c>
      <c r="J385" s="509" t="s">
        <v>650</v>
      </c>
      <c r="K385" s="516">
        <v>5</v>
      </c>
      <c r="L385" s="520"/>
      <c r="M385" s="685">
        <v>733</v>
      </c>
      <c r="N385" s="685">
        <v>90</v>
      </c>
      <c r="O385" s="682">
        <f t="shared" si="15"/>
        <v>0.12278308321964529</v>
      </c>
      <c r="P385" s="683">
        <f t="shared" si="16"/>
        <v>245.56616643929061</v>
      </c>
      <c r="Q385" s="684">
        <f t="shared" si="17"/>
        <v>2.4556616643929061</v>
      </c>
      <c r="R385" s="490"/>
    </row>
    <row r="386" spans="1:18" x14ac:dyDescent="0.2">
      <c r="A386" s="506" t="s">
        <v>276</v>
      </c>
      <c r="B386" s="502" t="s">
        <v>779</v>
      </c>
      <c r="C386" s="507" t="s">
        <v>289</v>
      </c>
      <c r="D386" s="503" t="s">
        <v>283</v>
      </c>
      <c r="E386" s="348"/>
      <c r="F386" s="504" t="s">
        <v>109</v>
      </c>
      <c r="G386" s="512" t="s">
        <v>802</v>
      </c>
      <c r="H386" s="511" t="s">
        <v>789</v>
      </c>
      <c r="I386" s="510" t="s">
        <v>790</v>
      </c>
      <c r="J386" s="509" t="s">
        <v>650</v>
      </c>
      <c r="K386" s="516">
        <v>32</v>
      </c>
      <c r="L386" s="520"/>
      <c r="M386" s="685">
        <v>134</v>
      </c>
      <c r="N386" s="685">
        <v>38</v>
      </c>
      <c r="O386" s="682">
        <f t="shared" si="15"/>
        <v>0.28358208955223879</v>
      </c>
      <c r="P386" s="683">
        <f t="shared" si="16"/>
        <v>88.619402985074629</v>
      </c>
      <c r="Q386" s="684">
        <f t="shared" si="17"/>
        <v>0.88619402985074625</v>
      </c>
      <c r="R386" s="490"/>
    </row>
    <row r="387" spans="1:18" x14ac:dyDescent="0.2">
      <c r="A387" s="506" t="s">
        <v>276</v>
      </c>
      <c r="B387" s="502" t="s">
        <v>779</v>
      </c>
      <c r="C387" s="507" t="s">
        <v>289</v>
      </c>
      <c r="D387" s="503" t="s">
        <v>284</v>
      </c>
      <c r="E387" s="348"/>
      <c r="F387" s="504" t="s">
        <v>109</v>
      </c>
      <c r="G387" s="512" t="s">
        <v>802</v>
      </c>
      <c r="H387" s="511" t="s">
        <v>789</v>
      </c>
      <c r="I387" s="510" t="s">
        <v>790</v>
      </c>
      <c r="J387" s="509" t="s">
        <v>650</v>
      </c>
      <c r="K387" s="516">
        <v>33</v>
      </c>
      <c r="L387" s="520"/>
      <c r="M387" s="685">
        <v>29</v>
      </c>
      <c r="N387" s="685">
        <v>13</v>
      </c>
      <c r="O387" s="682">
        <f t="shared" si="15"/>
        <v>0.44827586206896552</v>
      </c>
      <c r="P387" s="683">
        <f t="shared" si="16"/>
        <v>135.84117032392896</v>
      </c>
      <c r="Q387" s="684">
        <f t="shared" si="17"/>
        <v>1.3584117032392895</v>
      </c>
      <c r="R387" s="490"/>
    </row>
    <row r="388" spans="1:18" x14ac:dyDescent="0.2">
      <c r="A388" s="506" t="s">
        <v>276</v>
      </c>
      <c r="B388" s="502" t="s">
        <v>779</v>
      </c>
      <c r="C388" s="507" t="s">
        <v>289</v>
      </c>
      <c r="D388" s="503" t="s">
        <v>281</v>
      </c>
      <c r="E388" s="348"/>
      <c r="F388" s="504" t="s">
        <v>109</v>
      </c>
      <c r="G388" s="512" t="s">
        <v>802</v>
      </c>
      <c r="H388" s="511" t="s">
        <v>789</v>
      </c>
      <c r="I388" s="510" t="s">
        <v>790</v>
      </c>
      <c r="J388" s="509" t="s">
        <v>650</v>
      </c>
      <c r="K388" s="516">
        <v>0</v>
      </c>
      <c r="L388" s="520" t="s">
        <v>791</v>
      </c>
      <c r="M388" s="685">
        <v>2</v>
      </c>
      <c r="N388" s="685">
        <v>0</v>
      </c>
      <c r="O388" s="682">
        <f t="shared" si="15"/>
        <v>0</v>
      </c>
      <c r="P388" s="683" t="str">
        <f t="shared" si="16"/>
        <v>0</v>
      </c>
      <c r="Q388" s="684" t="str">
        <f t="shared" si="17"/>
        <v>0</v>
      </c>
      <c r="R388" s="491"/>
    </row>
    <row r="389" spans="1:18" x14ac:dyDescent="0.2">
      <c r="A389" s="506" t="s">
        <v>276</v>
      </c>
      <c r="B389" s="502" t="s">
        <v>779</v>
      </c>
      <c r="C389" s="507" t="s">
        <v>97</v>
      </c>
      <c r="D389" s="503" t="s">
        <v>279</v>
      </c>
      <c r="E389" s="348"/>
      <c r="F389" s="504" t="s">
        <v>109</v>
      </c>
      <c r="G389" s="512" t="s">
        <v>803</v>
      </c>
      <c r="H389" s="511" t="s">
        <v>789</v>
      </c>
      <c r="I389" s="510" t="s">
        <v>790</v>
      </c>
      <c r="J389" s="509" t="s">
        <v>650</v>
      </c>
      <c r="K389" s="516">
        <v>33</v>
      </c>
      <c r="L389" s="521" t="s">
        <v>787</v>
      </c>
      <c r="M389" s="685">
        <v>6</v>
      </c>
      <c r="N389" s="687">
        <v>4</v>
      </c>
      <c r="O389" s="682">
        <f t="shared" ref="O389:O452" si="18">IFERROR(N389/M389,0)</f>
        <v>0.66666666666666663</v>
      </c>
      <c r="P389" s="683">
        <f t="shared" ref="P389:P452" si="19">IFERROR(N389/(M389*(K389/100))*100,"0")</f>
        <v>202.02020202020202</v>
      </c>
      <c r="Q389" s="684">
        <f t="shared" ref="Q389:Q452" si="20">IFERROR(N389/(M389*(K389/100)),"0")</f>
        <v>2.0202020202020203</v>
      </c>
      <c r="R389" s="490"/>
    </row>
    <row r="390" spans="1:18" x14ac:dyDescent="0.2">
      <c r="A390" s="506" t="s">
        <v>276</v>
      </c>
      <c r="B390" s="502" t="s">
        <v>779</v>
      </c>
      <c r="C390" s="507" t="s">
        <v>97</v>
      </c>
      <c r="D390" s="503" t="s">
        <v>281</v>
      </c>
      <c r="E390" s="348"/>
      <c r="F390" s="504" t="s">
        <v>109</v>
      </c>
      <c r="G390" s="512" t="s">
        <v>803</v>
      </c>
      <c r="H390" s="511" t="s">
        <v>789</v>
      </c>
      <c r="I390" s="510" t="s">
        <v>790</v>
      </c>
      <c r="J390" s="509" t="s">
        <v>650</v>
      </c>
      <c r="K390" s="516">
        <v>33</v>
      </c>
      <c r="L390" s="520" t="s">
        <v>791</v>
      </c>
      <c r="M390" s="685">
        <v>9</v>
      </c>
      <c r="N390" s="687">
        <v>7</v>
      </c>
      <c r="O390" s="682">
        <f t="shared" si="18"/>
        <v>0.77777777777777779</v>
      </c>
      <c r="P390" s="683">
        <f t="shared" si="19"/>
        <v>235.69023569023568</v>
      </c>
      <c r="Q390" s="684">
        <f t="shared" si="20"/>
        <v>2.3569023569023568</v>
      </c>
      <c r="R390" s="491"/>
    </row>
    <row r="391" spans="1:18" x14ac:dyDescent="0.2">
      <c r="A391" s="506" t="s">
        <v>276</v>
      </c>
      <c r="B391" s="502" t="s">
        <v>779</v>
      </c>
      <c r="C391" s="507" t="s">
        <v>282</v>
      </c>
      <c r="D391" s="503" t="s">
        <v>287</v>
      </c>
      <c r="E391" s="348"/>
      <c r="F391" s="504" t="s">
        <v>109</v>
      </c>
      <c r="G391" s="512" t="s">
        <v>803</v>
      </c>
      <c r="H391" s="511" t="s">
        <v>792</v>
      </c>
      <c r="I391" s="510" t="s">
        <v>790</v>
      </c>
      <c r="J391" s="509" t="s">
        <v>650</v>
      </c>
      <c r="K391" s="516">
        <v>5</v>
      </c>
      <c r="L391" s="520" t="s">
        <v>791</v>
      </c>
      <c r="M391" s="685">
        <v>68</v>
      </c>
      <c r="N391" s="687">
        <v>10</v>
      </c>
      <c r="O391" s="682">
        <f t="shared" si="18"/>
        <v>0.14705882352941177</v>
      </c>
      <c r="P391" s="683">
        <f t="shared" si="19"/>
        <v>294.11764705882348</v>
      </c>
      <c r="Q391" s="684">
        <f t="shared" si="20"/>
        <v>2.9411764705882351</v>
      </c>
      <c r="R391" s="491"/>
    </row>
    <row r="392" spans="1:18" x14ac:dyDescent="0.2">
      <c r="A392" s="506" t="s">
        <v>276</v>
      </c>
      <c r="B392" s="502" t="s">
        <v>779</v>
      </c>
      <c r="C392" s="507" t="s">
        <v>282</v>
      </c>
      <c r="D392" s="503" t="s">
        <v>283</v>
      </c>
      <c r="E392" s="348"/>
      <c r="F392" s="504" t="s">
        <v>109</v>
      </c>
      <c r="G392" s="512" t="s">
        <v>803</v>
      </c>
      <c r="H392" s="511" t="s">
        <v>789</v>
      </c>
      <c r="I392" s="510" t="s">
        <v>790</v>
      </c>
      <c r="J392" s="509" t="s">
        <v>650</v>
      </c>
      <c r="K392" s="516">
        <v>26</v>
      </c>
      <c r="L392" s="521" t="s">
        <v>787</v>
      </c>
      <c r="M392" s="685">
        <v>19</v>
      </c>
      <c r="N392" s="687">
        <v>2</v>
      </c>
      <c r="O392" s="682">
        <f t="shared" si="18"/>
        <v>0.10526315789473684</v>
      </c>
      <c r="P392" s="683">
        <f t="shared" si="19"/>
        <v>40.48582995951417</v>
      </c>
      <c r="Q392" s="684">
        <f t="shared" si="20"/>
        <v>0.40485829959514169</v>
      </c>
      <c r="R392" s="490"/>
    </row>
    <row r="393" spans="1:18" x14ac:dyDescent="0.2">
      <c r="A393" s="506" t="s">
        <v>276</v>
      </c>
      <c r="B393" s="502" t="s">
        <v>779</v>
      </c>
      <c r="C393" s="507" t="s">
        <v>282</v>
      </c>
      <c r="D393" s="503" t="s">
        <v>284</v>
      </c>
      <c r="E393" s="348"/>
      <c r="F393" s="504" t="s">
        <v>109</v>
      </c>
      <c r="G393" s="512" t="s">
        <v>803</v>
      </c>
      <c r="H393" s="511" t="s">
        <v>789</v>
      </c>
      <c r="I393" s="510" t="s">
        <v>790</v>
      </c>
      <c r="J393" s="509" t="s">
        <v>650</v>
      </c>
      <c r="K393" s="516">
        <v>16</v>
      </c>
      <c r="L393" s="521" t="s">
        <v>787</v>
      </c>
      <c r="M393" s="685">
        <v>43</v>
      </c>
      <c r="N393" s="687">
        <v>7</v>
      </c>
      <c r="O393" s="682">
        <f t="shared" si="18"/>
        <v>0.16279069767441862</v>
      </c>
      <c r="P393" s="683">
        <f t="shared" si="19"/>
        <v>101.74418604651163</v>
      </c>
      <c r="Q393" s="684">
        <f t="shared" si="20"/>
        <v>1.0174418604651163</v>
      </c>
      <c r="R393" s="490"/>
    </row>
    <row r="394" spans="1:18" x14ac:dyDescent="0.2">
      <c r="A394" s="506" t="s">
        <v>276</v>
      </c>
      <c r="B394" s="502" t="s">
        <v>779</v>
      </c>
      <c r="C394" s="507" t="s">
        <v>282</v>
      </c>
      <c r="D394" s="503" t="s">
        <v>279</v>
      </c>
      <c r="E394" s="348"/>
      <c r="F394" s="504" t="s">
        <v>109</v>
      </c>
      <c r="G394" s="512" t="s">
        <v>803</v>
      </c>
      <c r="H394" s="511" t="s">
        <v>789</v>
      </c>
      <c r="I394" s="510" t="s">
        <v>790</v>
      </c>
      <c r="J394" s="509" t="s">
        <v>650</v>
      </c>
      <c r="K394" s="516">
        <v>6</v>
      </c>
      <c r="L394" s="521" t="s">
        <v>787</v>
      </c>
      <c r="M394" s="685">
        <v>65</v>
      </c>
      <c r="N394" s="687">
        <v>7</v>
      </c>
      <c r="O394" s="682">
        <f t="shared" si="18"/>
        <v>0.1076923076923077</v>
      </c>
      <c r="P394" s="683">
        <f t="shared" si="19"/>
        <v>179.4871794871795</v>
      </c>
      <c r="Q394" s="684">
        <f t="shared" si="20"/>
        <v>1.7948717948717949</v>
      </c>
      <c r="R394" s="490"/>
    </row>
    <row r="395" spans="1:18" x14ac:dyDescent="0.2">
      <c r="A395" s="506" t="s">
        <v>276</v>
      </c>
      <c r="B395" s="502" t="s">
        <v>779</v>
      </c>
      <c r="C395" s="507" t="s">
        <v>282</v>
      </c>
      <c r="D395" s="503" t="s">
        <v>281</v>
      </c>
      <c r="E395" s="348"/>
      <c r="F395" s="504" t="s">
        <v>109</v>
      </c>
      <c r="G395" s="512" t="s">
        <v>803</v>
      </c>
      <c r="H395" s="511" t="s">
        <v>789</v>
      </c>
      <c r="I395" s="510" t="s">
        <v>790</v>
      </c>
      <c r="J395" s="509" t="s">
        <v>650</v>
      </c>
      <c r="K395" s="516">
        <v>8</v>
      </c>
      <c r="L395" s="521" t="s">
        <v>787</v>
      </c>
      <c r="M395" s="685">
        <v>48</v>
      </c>
      <c r="N395" s="687">
        <v>12</v>
      </c>
      <c r="O395" s="682">
        <f t="shared" si="18"/>
        <v>0.25</v>
      </c>
      <c r="P395" s="683">
        <f t="shared" si="19"/>
        <v>312.5</v>
      </c>
      <c r="Q395" s="684">
        <f t="shared" si="20"/>
        <v>3.125</v>
      </c>
      <c r="R395" s="490"/>
    </row>
    <row r="396" spans="1:18" x14ac:dyDescent="0.2">
      <c r="A396" s="506" t="s">
        <v>276</v>
      </c>
      <c r="B396" s="502" t="s">
        <v>779</v>
      </c>
      <c r="C396" s="507" t="s">
        <v>288</v>
      </c>
      <c r="D396" s="503" t="s">
        <v>287</v>
      </c>
      <c r="E396" s="348"/>
      <c r="F396" s="504" t="s">
        <v>109</v>
      </c>
      <c r="G396" s="512" t="s">
        <v>803</v>
      </c>
      <c r="H396" s="511" t="s">
        <v>792</v>
      </c>
      <c r="I396" s="510" t="s">
        <v>790</v>
      </c>
      <c r="J396" s="509" t="s">
        <v>650</v>
      </c>
      <c r="K396" s="516">
        <v>28.999999999999996</v>
      </c>
      <c r="L396" s="521" t="s">
        <v>787</v>
      </c>
      <c r="M396" s="685">
        <v>299</v>
      </c>
      <c r="N396" s="687">
        <v>36</v>
      </c>
      <c r="O396" s="682">
        <f t="shared" si="18"/>
        <v>0.12040133779264214</v>
      </c>
      <c r="P396" s="683">
        <f t="shared" si="19"/>
        <v>41.517702687117982</v>
      </c>
      <c r="Q396" s="684">
        <f t="shared" si="20"/>
        <v>0.4151770268711798</v>
      </c>
      <c r="R396" s="490"/>
    </row>
    <row r="397" spans="1:18" x14ac:dyDescent="0.2">
      <c r="A397" s="506" t="s">
        <v>276</v>
      </c>
      <c r="B397" s="502" t="s">
        <v>779</v>
      </c>
      <c r="C397" s="507" t="s">
        <v>288</v>
      </c>
      <c r="D397" s="503" t="s">
        <v>283</v>
      </c>
      <c r="E397" s="348"/>
      <c r="F397" s="504" t="s">
        <v>109</v>
      </c>
      <c r="G397" s="512" t="s">
        <v>803</v>
      </c>
      <c r="H397" s="511" t="s">
        <v>789</v>
      </c>
      <c r="I397" s="510" t="s">
        <v>790</v>
      </c>
      <c r="J397" s="509" t="s">
        <v>650</v>
      </c>
      <c r="K397" s="516">
        <v>8</v>
      </c>
      <c r="L397" s="521" t="s">
        <v>787</v>
      </c>
      <c r="M397" s="685">
        <v>64</v>
      </c>
      <c r="N397" s="687">
        <v>6</v>
      </c>
      <c r="O397" s="682">
        <f t="shared" si="18"/>
        <v>9.375E-2</v>
      </c>
      <c r="P397" s="683">
        <f t="shared" si="19"/>
        <v>117.1875</v>
      </c>
      <c r="Q397" s="684">
        <f t="shared" si="20"/>
        <v>1.171875</v>
      </c>
      <c r="R397" s="490"/>
    </row>
    <row r="398" spans="1:18" x14ac:dyDescent="0.2">
      <c r="A398" s="506" t="s">
        <v>276</v>
      </c>
      <c r="B398" s="502" t="s">
        <v>779</v>
      </c>
      <c r="C398" s="507" t="s">
        <v>288</v>
      </c>
      <c r="D398" s="503" t="s">
        <v>284</v>
      </c>
      <c r="E398" s="348"/>
      <c r="F398" s="504" t="s">
        <v>109</v>
      </c>
      <c r="G398" s="512" t="s">
        <v>803</v>
      </c>
      <c r="H398" s="511" t="s">
        <v>789</v>
      </c>
      <c r="I398" s="510" t="s">
        <v>790</v>
      </c>
      <c r="J398" s="509" t="s">
        <v>650</v>
      </c>
      <c r="K398" s="516">
        <v>8</v>
      </c>
      <c r="L398" s="520" t="s">
        <v>791</v>
      </c>
      <c r="M398" s="685">
        <v>10</v>
      </c>
      <c r="N398" s="687">
        <v>0</v>
      </c>
      <c r="O398" s="682">
        <f t="shared" si="18"/>
        <v>0</v>
      </c>
      <c r="P398" s="683">
        <f t="shared" si="19"/>
        <v>0</v>
      </c>
      <c r="Q398" s="684">
        <f t="shared" si="20"/>
        <v>0</v>
      </c>
      <c r="R398" s="491"/>
    </row>
    <row r="399" spans="1:18" x14ac:dyDescent="0.2">
      <c r="A399" s="506" t="s">
        <v>276</v>
      </c>
      <c r="B399" s="502" t="s">
        <v>779</v>
      </c>
      <c r="C399" s="507" t="s">
        <v>288</v>
      </c>
      <c r="D399" s="503" t="s">
        <v>279</v>
      </c>
      <c r="E399" s="348"/>
      <c r="F399" s="504" t="s">
        <v>109</v>
      </c>
      <c r="G399" s="512" t="s">
        <v>803</v>
      </c>
      <c r="H399" s="511" t="s">
        <v>789</v>
      </c>
      <c r="I399" s="510" t="s">
        <v>790</v>
      </c>
      <c r="J399" s="509" t="s">
        <v>650</v>
      </c>
      <c r="K399" s="516">
        <v>0</v>
      </c>
      <c r="L399" s="520" t="s">
        <v>791</v>
      </c>
      <c r="M399" s="685">
        <v>2</v>
      </c>
      <c r="N399" s="687">
        <v>1</v>
      </c>
      <c r="O399" s="682">
        <f t="shared" si="18"/>
        <v>0.5</v>
      </c>
      <c r="P399" s="683" t="str">
        <f t="shared" si="19"/>
        <v>0</v>
      </c>
      <c r="Q399" s="684" t="str">
        <f t="shared" si="20"/>
        <v>0</v>
      </c>
      <c r="R399" s="491"/>
    </row>
    <row r="400" spans="1:18" x14ac:dyDescent="0.2">
      <c r="A400" s="506" t="s">
        <v>276</v>
      </c>
      <c r="B400" s="502" t="s">
        <v>779</v>
      </c>
      <c r="C400" s="507" t="s">
        <v>288</v>
      </c>
      <c r="D400" s="503" t="s">
        <v>281</v>
      </c>
      <c r="E400" s="348"/>
      <c r="F400" s="504" t="s">
        <v>109</v>
      </c>
      <c r="G400" s="512" t="s">
        <v>803</v>
      </c>
      <c r="H400" s="511" t="s">
        <v>789</v>
      </c>
      <c r="I400" s="510" t="s">
        <v>790</v>
      </c>
      <c r="J400" s="509" t="s">
        <v>650</v>
      </c>
      <c r="K400" s="516">
        <v>8</v>
      </c>
      <c r="L400" s="520" t="s">
        <v>791</v>
      </c>
      <c r="M400" s="685">
        <v>17</v>
      </c>
      <c r="N400" s="687">
        <v>3</v>
      </c>
      <c r="O400" s="682">
        <f t="shared" si="18"/>
        <v>0.17647058823529413</v>
      </c>
      <c r="P400" s="683">
        <f t="shared" si="19"/>
        <v>220.58823529411762</v>
      </c>
      <c r="Q400" s="684">
        <f t="shared" si="20"/>
        <v>2.2058823529411762</v>
      </c>
      <c r="R400" s="491"/>
    </row>
    <row r="401" spans="1:18" x14ac:dyDescent="0.2">
      <c r="A401" s="506" t="s">
        <v>276</v>
      </c>
      <c r="B401" s="502" t="s">
        <v>779</v>
      </c>
      <c r="C401" s="507" t="s">
        <v>99</v>
      </c>
      <c r="D401" s="503" t="s">
        <v>287</v>
      </c>
      <c r="E401" s="348"/>
      <c r="F401" s="504" t="s">
        <v>109</v>
      </c>
      <c r="G401" s="512" t="s">
        <v>803</v>
      </c>
      <c r="H401" s="511" t="s">
        <v>792</v>
      </c>
      <c r="I401" s="510" t="s">
        <v>790</v>
      </c>
      <c r="J401" s="509" t="s">
        <v>650</v>
      </c>
      <c r="K401" s="516">
        <v>17</v>
      </c>
      <c r="L401" s="521" t="s">
        <v>787</v>
      </c>
      <c r="M401" s="685">
        <v>326</v>
      </c>
      <c r="N401" s="687">
        <v>49</v>
      </c>
      <c r="O401" s="682">
        <f t="shared" si="18"/>
        <v>0.15030674846625766</v>
      </c>
      <c r="P401" s="683">
        <f t="shared" si="19"/>
        <v>88.415734391916274</v>
      </c>
      <c r="Q401" s="684">
        <f t="shared" si="20"/>
        <v>0.88415734391916267</v>
      </c>
      <c r="R401" s="490"/>
    </row>
    <row r="402" spans="1:18" x14ac:dyDescent="0.2">
      <c r="A402" s="506" t="s">
        <v>276</v>
      </c>
      <c r="B402" s="502" t="s">
        <v>779</v>
      </c>
      <c r="C402" s="507" t="s">
        <v>99</v>
      </c>
      <c r="D402" s="503" t="s">
        <v>283</v>
      </c>
      <c r="E402" s="348"/>
      <c r="F402" s="504" t="s">
        <v>109</v>
      </c>
      <c r="G402" s="512" t="s">
        <v>803</v>
      </c>
      <c r="H402" s="511" t="s">
        <v>789</v>
      </c>
      <c r="I402" s="510" t="s">
        <v>790</v>
      </c>
      <c r="J402" s="509" t="s">
        <v>650</v>
      </c>
      <c r="K402" s="516">
        <v>36</v>
      </c>
      <c r="L402" s="521" t="s">
        <v>787</v>
      </c>
      <c r="M402" s="685">
        <v>17</v>
      </c>
      <c r="N402" s="687">
        <v>4</v>
      </c>
      <c r="O402" s="682">
        <f t="shared" si="18"/>
        <v>0.23529411764705882</v>
      </c>
      <c r="P402" s="683">
        <f t="shared" si="19"/>
        <v>65.359477124183002</v>
      </c>
      <c r="Q402" s="684">
        <f t="shared" si="20"/>
        <v>0.65359477124183007</v>
      </c>
      <c r="R402" s="490"/>
    </row>
    <row r="403" spans="1:18" x14ac:dyDescent="0.2">
      <c r="A403" s="506" t="s">
        <v>276</v>
      </c>
      <c r="B403" s="502" t="s">
        <v>779</v>
      </c>
      <c r="C403" s="507" t="s">
        <v>99</v>
      </c>
      <c r="D403" s="503" t="s">
        <v>284</v>
      </c>
      <c r="E403" s="348"/>
      <c r="F403" s="504" t="s">
        <v>109</v>
      </c>
      <c r="G403" s="512" t="s">
        <v>803</v>
      </c>
      <c r="H403" s="511" t="s">
        <v>789</v>
      </c>
      <c r="I403" s="510" t="s">
        <v>790</v>
      </c>
      <c r="J403" s="509" t="s">
        <v>650</v>
      </c>
      <c r="K403" s="516">
        <v>80</v>
      </c>
      <c r="L403" s="521" t="s">
        <v>787</v>
      </c>
      <c r="M403" s="685">
        <v>8</v>
      </c>
      <c r="N403" s="687">
        <v>2</v>
      </c>
      <c r="O403" s="682">
        <f t="shared" si="18"/>
        <v>0.25</v>
      </c>
      <c r="P403" s="683">
        <f t="shared" si="19"/>
        <v>31.25</v>
      </c>
      <c r="Q403" s="684">
        <f t="shared" si="20"/>
        <v>0.3125</v>
      </c>
      <c r="R403" s="490"/>
    </row>
    <row r="404" spans="1:18" x14ac:dyDescent="0.2">
      <c r="A404" s="506" t="s">
        <v>276</v>
      </c>
      <c r="B404" s="502" t="s">
        <v>779</v>
      </c>
      <c r="C404" s="507" t="s">
        <v>99</v>
      </c>
      <c r="D404" s="503" t="s">
        <v>279</v>
      </c>
      <c r="E404" s="348"/>
      <c r="F404" s="504" t="s">
        <v>109</v>
      </c>
      <c r="G404" s="512" t="s">
        <v>803</v>
      </c>
      <c r="H404" s="511" t="s">
        <v>789</v>
      </c>
      <c r="I404" s="510" t="s">
        <v>790</v>
      </c>
      <c r="J404" s="509" t="s">
        <v>650</v>
      </c>
      <c r="K404" s="516">
        <v>0</v>
      </c>
      <c r="L404" s="520" t="s">
        <v>791</v>
      </c>
      <c r="M404" s="685">
        <v>5</v>
      </c>
      <c r="N404" s="687">
        <v>2</v>
      </c>
      <c r="O404" s="682">
        <f t="shared" si="18"/>
        <v>0.4</v>
      </c>
      <c r="P404" s="683" t="str">
        <f t="shared" si="19"/>
        <v>0</v>
      </c>
      <c r="Q404" s="684" t="str">
        <f t="shared" si="20"/>
        <v>0</v>
      </c>
      <c r="R404" s="491"/>
    </row>
    <row r="405" spans="1:18" x14ac:dyDescent="0.2">
      <c r="A405" s="506" t="s">
        <v>276</v>
      </c>
      <c r="B405" s="502" t="s">
        <v>779</v>
      </c>
      <c r="C405" s="507" t="s">
        <v>99</v>
      </c>
      <c r="D405" s="503" t="s">
        <v>281</v>
      </c>
      <c r="E405" s="348"/>
      <c r="F405" s="504" t="s">
        <v>109</v>
      </c>
      <c r="G405" s="512" t="s">
        <v>803</v>
      </c>
      <c r="H405" s="511" t="s">
        <v>789</v>
      </c>
      <c r="I405" s="510" t="s">
        <v>790</v>
      </c>
      <c r="J405" s="509" t="s">
        <v>650</v>
      </c>
      <c r="K405" s="516">
        <v>0</v>
      </c>
      <c r="L405" s="520" t="s">
        <v>791</v>
      </c>
      <c r="M405" s="685">
        <v>1</v>
      </c>
      <c r="N405" s="687">
        <v>0</v>
      </c>
      <c r="O405" s="682">
        <f t="shared" si="18"/>
        <v>0</v>
      </c>
      <c r="P405" s="683" t="str">
        <f t="shared" si="19"/>
        <v>0</v>
      </c>
      <c r="Q405" s="684" t="str">
        <f t="shared" si="20"/>
        <v>0</v>
      </c>
      <c r="R405" s="491"/>
    </row>
    <row r="406" spans="1:18" x14ac:dyDescent="0.2">
      <c r="A406" s="506" t="s">
        <v>276</v>
      </c>
      <c r="B406" s="502" t="s">
        <v>779</v>
      </c>
      <c r="C406" s="507" t="s">
        <v>285</v>
      </c>
      <c r="D406" s="503" t="s">
        <v>287</v>
      </c>
      <c r="E406" s="348"/>
      <c r="F406" s="504" t="s">
        <v>109</v>
      </c>
      <c r="G406" s="512" t="s">
        <v>803</v>
      </c>
      <c r="H406" s="511" t="s">
        <v>792</v>
      </c>
      <c r="I406" s="510" t="s">
        <v>790</v>
      </c>
      <c r="J406" s="509" t="s">
        <v>650</v>
      </c>
      <c r="K406" s="516">
        <v>13</v>
      </c>
      <c r="L406" s="521" t="s">
        <v>787</v>
      </c>
      <c r="M406" s="685">
        <v>0</v>
      </c>
      <c r="N406" s="687">
        <v>0</v>
      </c>
      <c r="O406" s="682">
        <f t="shared" si="18"/>
        <v>0</v>
      </c>
      <c r="P406" s="683" t="str">
        <f t="shared" si="19"/>
        <v>0</v>
      </c>
      <c r="Q406" s="684" t="str">
        <f t="shared" si="20"/>
        <v>0</v>
      </c>
      <c r="R406" s="491"/>
    </row>
    <row r="407" spans="1:18" x14ac:dyDescent="0.2">
      <c r="A407" s="506" t="s">
        <v>276</v>
      </c>
      <c r="B407" s="502" t="s">
        <v>779</v>
      </c>
      <c r="C407" s="507" t="s">
        <v>285</v>
      </c>
      <c r="D407" s="503" t="s">
        <v>283</v>
      </c>
      <c r="E407" s="348"/>
      <c r="F407" s="504" t="s">
        <v>109</v>
      </c>
      <c r="G407" s="512" t="s">
        <v>803</v>
      </c>
      <c r="H407" s="511" t="s">
        <v>789</v>
      </c>
      <c r="I407" s="510" t="s">
        <v>790</v>
      </c>
      <c r="J407" s="509" t="s">
        <v>650</v>
      </c>
      <c r="K407" s="516">
        <v>0</v>
      </c>
      <c r="L407" s="520" t="s">
        <v>791</v>
      </c>
      <c r="M407" s="685">
        <v>5</v>
      </c>
      <c r="N407" s="687">
        <v>1</v>
      </c>
      <c r="O407" s="682">
        <f t="shared" si="18"/>
        <v>0.2</v>
      </c>
      <c r="P407" s="683" t="str">
        <f t="shared" si="19"/>
        <v>0</v>
      </c>
      <c r="Q407" s="684" t="str">
        <f t="shared" si="20"/>
        <v>0</v>
      </c>
      <c r="R407" s="491"/>
    </row>
    <row r="408" spans="1:18" x14ac:dyDescent="0.2">
      <c r="A408" s="506" t="s">
        <v>276</v>
      </c>
      <c r="B408" s="502" t="s">
        <v>779</v>
      </c>
      <c r="C408" s="507" t="s">
        <v>285</v>
      </c>
      <c r="D408" s="503" t="s">
        <v>284</v>
      </c>
      <c r="E408" s="348"/>
      <c r="F408" s="504" t="s">
        <v>109</v>
      </c>
      <c r="G408" s="512" t="s">
        <v>803</v>
      </c>
      <c r="H408" s="511" t="s">
        <v>789</v>
      </c>
      <c r="I408" s="510" t="s">
        <v>790</v>
      </c>
      <c r="J408" s="509" t="s">
        <v>650</v>
      </c>
      <c r="K408" s="516">
        <v>0</v>
      </c>
      <c r="L408" s="520" t="s">
        <v>791</v>
      </c>
      <c r="M408" s="685">
        <v>4</v>
      </c>
      <c r="N408" s="687">
        <v>0</v>
      </c>
      <c r="O408" s="682">
        <f t="shared" si="18"/>
        <v>0</v>
      </c>
      <c r="P408" s="683" t="str">
        <f t="shared" si="19"/>
        <v>0</v>
      </c>
      <c r="Q408" s="684" t="str">
        <f t="shared" si="20"/>
        <v>0</v>
      </c>
      <c r="R408" s="491"/>
    </row>
    <row r="409" spans="1:18" x14ac:dyDescent="0.2">
      <c r="A409" s="506" t="s">
        <v>276</v>
      </c>
      <c r="B409" s="502" t="s">
        <v>779</v>
      </c>
      <c r="C409" s="507" t="s">
        <v>285</v>
      </c>
      <c r="D409" s="503" t="s">
        <v>279</v>
      </c>
      <c r="E409" s="348"/>
      <c r="F409" s="504" t="s">
        <v>109</v>
      </c>
      <c r="G409" s="512" t="s">
        <v>803</v>
      </c>
      <c r="H409" s="511" t="s">
        <v>789</v>
      </c>
      <c r="I409" s="510" t="s">
        <v>790</v>
      </c>
      <c r="J409" s="509" t="s">
        <v>650</v>
      </c>
      <c r="K409" s="516">
        <v>0</v>
      </c>
      <c r="L409" s="520" t="s">
        <v>791</v>
      </c>
      <c r="M409" s="685">
        <v>1</v>
      </c>
      <c r="N409" s="687">
        <v>0</v>
      </c>
      <c r="O409" s="682">
        <f t="shared" si="18"/>
        <v>0</v>
      </c>
      <c r="P409" s="683" t="str">
        <f t="shared" si="19"/>
        <v>0</v>
      </c>
      <c r="Q409" s="684" t="str">
        <f t="shared" si="20"/>
        <v>0</v>
      </c>
      <c r="R409" s="491"/>
    </row>
    <row r="410" spans="1:18" x14ac:dyDescent="0.2">
      <c r="A410" s="506" t="s">
        <v>276</v>
      </c>
      <c r="B410" s="502" t="s">
        <v>779</v>
      </c>
      <c r="C410" s="507" t="s">
        <v>285</v>
      </c>
      <c r="D410" s="503" t="s">
        <v>281</v>
      </c>
      <c r="E410" s="348"/>
      <c r="F410" s="504" t="s">
        <v>109</v>
      </c>
      <c r="G410" s="512" t="s">
        <v>803</v>
      </c>
      <c r="H410" s="511" t="s">
        <v>789</v>
      </c>
      <c r="I410" s="510" t="s">
        <v>790</v>
      </c>
      <c r="J410" s="509" t="s">
        <v>650</v>
      </c>
      <c r="K410" s="516">
        <v>25</v>
      </c>
      <c r="L410" s="521" t="s">
        <v>787</v>
      </c>
      <c r="M410" s="685">
        <v>12</v>
      </c>
      <c r="N410" s="687">
        <v>4</v>
      </c>
      <c r="O410" s="682">
        <f t="shared" si="18"/>
        <v>0.33333333333333331</v>
      </c>
      <c r="P410" s="683">
        <f t="shared" si="19"/>
        <v>133.33333333333331</v>
      </c>
      <c r="Q410" s="684">
        <f t="shared" si="20"/>
        <v>1.3333333333333333</v>
      </c>
      <c r="R410" s="490"/>
    </row>
    <row r="411" spans="1:18" x14ac:dyDescent="0.2">
      <c r="A411" s="506" t="s">
        <v>276</v>
      </c>
      <c r="B411" s="502" t="s">
        <v>779</v>
      </c>
      <c r="C411" s="507" t="s">
        <v>285</v>
      </c>
      <c r="D411" s="503" t="s">
        <v>286</v>
      </c>
      <c r="E411" s="348"/>
      <c r="F411" s="504" t="s">
        <v>109</v>
      </c>
      <c r="G411" s="512" t="s">
        <v>803</v>
      </c>
      <c r="H411" s="511" t="s">
        <v>789</v>
      </c>
      <c r="I411" s="510" t="s">
        <v>790</v>
      </c>
      <c r="J411" s="509" t="s">
        <v>650</v>
      </c>
      <c r="K411" s="516">
        <v>10</v>
      </c>
      <c r="L411" s="521" t="s">
        <v>787</v>
      </c>
      <c r="M411" s="685">
        <v>20</v>
      </c>
      <c r="N411" s="687">
        <v>0</v>
      </c>
      <c r="O411" s="682">
        <f t="shared" si="18"/>
        <v>0</v>
      </c>
      <c r="P411" s="683">
        <f t="shared" si="19"/>
        <v>0</v>
      </c>
      <c r="Q411" s="684">
        <f t="shared" si="20"/>
        <v>0</v>
      </c>
      <c r="R411" s="490"/>
    </row>
    <row r="412" spans="1:18" x14ac:dyDescent="0.2">
      <c r="A412" s="506" t="s">
        <v>276</v>
      </c>
      <c r="B412" s="502" t="s">
        <v>779</v>
      </c>
      <c r="C412" s="507" t="s">
        <v>291</v>
      </c>
      <c r="D412" s="503" t="s">
        <v>283</v>
      </c>
      <c r="E412" s="348"/>
      <c r="F412" s="504" t="s">
        <v>109</v>
      </c>
      <c r="G412" s="512" t="s">
        <v>803</v>
      </c>
      <c r="H412" s="511" t="s">
        <v>789</v>
      </c>
      <c r="I412" s="510" t="s">
        <v>790</v>
      </c>
      <c r="J412" s="509" t="s">
        <v>650</v>
      </c>
      <c r="K412" s="516">
        <v>0</v>
      </c>
      <c r="L412" s="520" t="s">
        <v>791</v>
      </c>
      <c r="M412" s="685">
        <v>0</v>
      </c>
      <c r="N412" s="687">
        <v>0</v>
      </c>
      <c r="O412" s="682">
        <f t="shared" si="18"/>
        <v>0</v>
      </c>
      <c r="P412" s="683" t="str">
        <f t="shared" si="19"/>
        <v>0</v>
      </c>
      <c r="Q412" s="684" t="str">
        <f t="shared" si="20"/>
        <v>0</v>
      </c>
      <c r="R412" s="491"/>
    </row>
    <row r="413" spans="1:18" x14ac:dyDescent="0.2">
      <c r="A413" s="506" t="s">
        <v>276</v>
      </c>
      <c r="B413" s="502" t="s">
        <v>779</v>
      </c>
      <c r="C413" s="507" t="s">
        <v>291</v>
      </c>
      <c r="D413" s="503" t="s">
        <v>284</v>
      </c>
      <c r="E413" s="348"/>
      <c r="F413" s="504" t="s">
        <v>109</v>
      </c>
      <c r="G413" s="512" t="s">
        <v>803</v>
      </c>
      <c r="H413" s="511" t="s">
        <v>789</v>
      </c>
      <c r="I413" s="510" t="s">
        <v>790</v>
      </c>
      <c r="J413" s="509" t="s">
        <v>650</v>
      </c>
      <c r="K413" s="516">
        <v>0</v>
      </c>
      <c r="L413" s="520" t="s">
        <v>791</v>
      </c>
      <c r="M413" s="685">
        <v>0</v>
      </c>
      <c r="N413" s="687">
        <v>0</v>
      </c>
      <c r="O413" s="682">
        <f t="shared" si="18"/>
        <v>0</v>
      </c>
      <c r="P413" s="683" t="str">
        <f t="shared" si="19"/>
        <v>0</v>
      </c>
      <c r="Q413" s="684" t="str">
        <f t="shared" si="20"/>
        <v>0</v>
      </c>
      <c r="R413" s="491"/>
    </row>
    <row r="414" spans="1:18" x14ac:dyDescent="0.2">
      <c r="A414" s="506" t="s">
        <v>276</v>
      </c>
      <c r="B414" s="502" t="s">
        <v>779</v>
      </c>
      <c r="C414" s="507" t="s">
        <v>290</v>
      </c>
      <c r="D414" s="503" t="s">
        <v>287</v>
      </c>
      <c r="E414" s="348"/>
      <c r="F414" s="504" t="s">
        <v>109</v>
      </c>
      <c r="G414" s="512" t="s">
        <v>803</v>
      </c>
      <c r="H414" s="511" t="s">
        <v>792</v>
      </c>
      <c r="I414" s="510" t="s">
        <v>790</v>
      </c>
      <c r="J414" s="509" t="s">
        <v>650</v>
      </c>
      <c r="K414" s="516">
        <v>38</v>
      </c>
      <c r="L414" s="521" t="s">
        <v>787</v>
      </c>
      <c r="M414" s="685">
        <v>65</v>
      </c>
      <c r="N414" s="687">
        <v>9</v>
      </c>
      <c r="O414" s="682">
        <f t="shared" si="18"/>
        <v>0.13846153846153847</v>
      </c>
      <c r="P414" s="683">
        <f t="shared" si="19"/>
        <v>36.43724696356275</v>
      </c>
      <c r="Q414" s="684">
        <f t="shared" si="20"/>
        <v>0.36437246963562753</v>
      </c>
      <c r="R414" s="490"/>
    </row>
    <row r="415" spans="1:18" x14ac:dyDescent="0.2">
      <c r="A415" s="506" t="s">
        <v>276</v>
      </c>
      <c r="B415" s="502" t="s">
        <v>779</v>
      </c>
      <c r="C415" s="507" t="s">
        <v>290</v>
      </c>
      <c r="D415" s="503" t="s">
        <v>283</v>
      </c>
      <c r="E415" s="348"/>
      <c r="F415" s="504" t="s">
        <v>109</v>
      </c>
      <c r="G415" s="512" t="s">
        <v>803</v>
      </c>
      <c r="H415" s="511" t="s">
        <v>789</v>
      </c>
      <c r="I415" s="510" t="s">
        <v>790</v>
      </c>
      <c r="J415" s="509" t="s">
        <v>650</v>
      </c>
      <c r="K415" s="516">
        <v>0</v>
      </c>
      <c r="L415" s="520" t="s">
        <v>791</v>
      </c>
      <c r="M415" s="685">
        <v>5</v>
      </c>
      <c r="N415" s="687">
        <v>0</v>
      </c>
      <c r="O415" s="682">
        <f t="shared" si="18"/>
        <v>0</v>
      </c>
      <c r="P415" s="683" t="str">
        <f t="shared" si="19"/>
        <v>0</v>
      </c>
      <c r="Q415" s="684" t="str">
        <f t="shared" si="20"/>
        <v>0</v>
      </c>
      <c r="R415" s="491"/>
    </row>
    <row r="416" spans="1:18" x14ac:dyDescent="0.2">
      <c r="A416" s="506" t="s">
        <v>276</v>
      </c>
      <c r="B416" s="502" t="s">
        <v>779</v>
      </c>
      <c r="C416" s="507" t="s">
        <v>290</v>
      </c>
      <c r="D416" s="503" t="s">
        <v>284</v>
      </c>
      <c r="E416" s="348"/>
      <c r="F416" s="504" t="s">
        <v>109</v>
      </c>
      <c r="G416" s="512" t="s">
        <v>803</v>
      </c>
      <c r="H416" s="511" t="s">
        <v>789</v>
      </c>
      <c r="I416" s="510" t="s">
        <v>790</v>
      </c>
      <c r="J416" s="509" t="s">
        <v>650</v>
      </c>
      <c r="K416" s="516">
        <v>0</v>
      </c>
      <c r="L416" s="520" t="s">
        <v>791</v>
      </c>
      <c r="M416" s="685">
        <v>0</v>
      </c>
      <c r="N416" s="687">
        <v>0</v>
      </c>
      <c r="O416" s="682">
        <f t="shared" si="18"/>
        <v>0</v>
      </c>
      <c r="P416" s="683" t="str">
        <f t="shared" si="19"/>
        <v>0</v>
      </c>
      <c r="Q416" s="684" t="str">
        <f t="shared" si="20"/>
        <v>0</v>
      </c>
      <c r="R416" s="491"/>
    </row>
    <row r="417" spans="1:18" x14ac:dyDescent="0.2">
      <c r="A417" s="506" t="s">
        <v>276</v>
      </c>
      <c r="B417" s="502" t="s">
        <v>779</v>
      </c>
      <c r="C417" s="507" t="s">
        <v>289</v>
      </c>
      <c r="D417" s="503" t="s">
        <v>287</v>
      </c>
      <c r="E417" s="348"/>
      <c r="F417" s="504" t="s">
        <v>109</v>
      </c>
      <c r="G417" s="512" t="s">
        <v>803</v>
      </c>
      <c r="H417" s="511" t="s">
        <v>792</v>
      </c>
      <c r="I417" s="510" t="s">
        <v>790</v>
      </c>
      <c r="J417" s="509" t="s">
        <v>650</v>
      </c>
      <c r="K417" s="516">
        <v>5</v>
      </c>
      <c r="L417" s="521" t="s">
        <v>787</v>
      </c>
      <c r="M417" s="685">
        <v>733</v>
      </c>
      <c r="N417" s="687">
        <v>90</v>
      </c>
      <c r="O417" s="682">
        <f t="shared" si="18"/>
        <v>0.12278308321964529</v>
      </c>
      <c r="P417" s="683">
        <f t="shared" si="19"/>
        <v>245.56616643929061</v>
      </c>
      <c r="Q417" s="684">
        <f t="shared" si="20"/>
        <v>2.4556616643929061</v>
      </c>
      <c r="R417" s="490"/>
    </row>
    <row r="418" spans="1:18" x14ac:dyDescent="0.2">
      <c r="A418" s="506" t="s">
        <v>276</v>
      </c>
      <c r="B418" s="502" t="s">
        <v>779</v>
      </c>
      <c r="C418" s="507" t="s">
        <v>289</v>
      </c>
      <c r="D418" s="503" t="s">
        <v>283</v>
      </c>
      <c r="E418" s="348"/>
      <c r="F418" s="504" t="s">
        <v>109</v>
      </c>
      <c r="G418" s="512" t="s">
        <v>803</v>
      </c>
      <c r="H418" s="511" t="s">
        <v>789</v>
      </c>
      <c r="I418" s="510" t="s">
        <v>790</v>
      </c>
      <c r="J418" s="509" t="s">
        <v>650</v>
      </c>
      <c r="K418" s="516">
        <v>32</v>
      </c>
      <c r="L418" s="521" t="s">
        <v>787</v>
      </c>
      <c r="M418" s="685">
        <v>134</v>
      </c>
      <c r="N418" s="687">
        <v>38</v>
      </c>
      <c r="O418" s="682">
        <f t="shared" si="18"/>
        <v>0.28358208955223879</v>
      </c>
      <c r="P418" s="683">
        <f t="shared" si="19"/>
        <v>88.619402985074629</v>
      </c>
      <c r="Q418" s="684">
        <f t="shared" si="20"/>
        <v>0.88619402985074625</v>
      </c>
      <c r="R418" s="490"/>
    </row>
    <row r="419" spans="1:18" x14ac:dyDescent="0.2">
      <c r="A419" s="506" t="s">
        <v>276</v>
      </c>
      <c r="B419" s="502" t="s">
        <v>779</v>
      </c>
      <c r="C419" s="507" t="s">
        <v>289</v>
      </c>
      <c r="D419" s="503" t="s">
        <v>284</v>
      </c>
      <c r="E419" s="348"/>
      <c r="F419" s="504" t="s">
        <v>109</v>
      </c>
      <c r="G419" s="512" t="s">
        <v>803</v>
      </c>
      <c r="H419" s="511" t="s">
        <v>789</v>
      </c>
      <c r="I419" s="510" t="s">
        <v>790</v>
      </c>
      <c r="J419" s="509" t="s">
        <v>650</v>
      </c>
      <c r="K419" s="516">
        <v>33</v>
      </c>
      <c r="L419" s="521" t="s">
        <v>787</v>
      </c>
      <c r="M419" s="685">
        <v>29</v>
      </c>
      <c r="N419" s="687">
        <v>13</v>
      </c>
      <c r="O419" s="682">
        <f t="shared" si="18"/>
        <v>0.44827586206896552</v>
      </c>
      <c r="P419" s="683">
        <f t="shared" si="19"/>
        <v>135.84117032392896</v>
      </c>
      <c r="Q419" s="684">
        <f t="shared" si="20"/>
        <v>1.3584117032392895</v>
      </c>
      <c r="R419" s="490"/>
    </row>
    <row r="420" spans="1:18" x14ac:dyDescent="0.2">
      <c r="A420" s="506" t="s">
        <v>276</v>
      </c>
      <c r="B420" s="502" t="s">
        <v>779</v>
      </c>
      <c r="C420" s="507" t="s">
        <v>289</v>
      </c>
      <c r="D420" s="503" t="s">
        <v>281</v>
      </c>
      <c r="E420" s="348"/>
      <c r="F420" s="504" t="s">
        <v>109</v>
      </c>
      <c r="G420" s="512" t="s">
        <v>803</v>
      </c>
      <c r="H420" s="511" t="s">
        <v>789</v>
      </c>
      <c r="I420" s="510" t="s">
        <v>790</v>
      </c>
      <c r="J420" s="509" t="s">
        <v>650</v>
      </c>
      <c r="K420" s="516">
        <v>0</v>
      </c>
      <c r="L420" s="520" t="s">
        <v>791</v>
      </c>
      <c r="M420" s="685">
        <v>2</v>
      </c>
      <c r="N420" s="687">
        <v>0</v>
      </c>
      <c r="O420" s="682">
        <f t="shared" si="18"/>
        <v>0</v>
      </c>
      <c r="P420" s="683" t="str">
        <f t="shared" si="19"/>
        <v>0</v>
      </c>
      <c r="Q420" s="684" t="str">
        <f t="shared" si="20"/>
        <v>0</v>
      </c>
      <c r="R420" s="491"/>
    </row>
    <row r="421" spans="1:18" x14ac:dyDescent="0.2">
      <c r="A421" s="506" t="s">
        <v>276</v>
      </c>
      <c r="B421" s="502" t="s">
        <v>779</v>
      </c>
      <c r="C421" s="507" t="s">
        <v>97</v>
      </c>
      <c r="D421" s="503" t="s">
        <v>279</v>
      </c>
      <c r="E421" s="348"/>
      <c r="F421" s="504" t="s">
        <v>109</v>
      </c>
      <c r="G421" s="512" t="s">
        <v>1598</v>
      </c>
      <c r="H421" s="511" t="s">
        <v>789</v>
      </c>
      <c r="I421" s="510" t="s">
        <v>790</v>
      </c>
      <c r="J421" s="509" t="s">
        <v>650</v>
      </c>
      <c r="K421" s="516">
        <v>33</v>
      </c>
      <c r="L421" s="520"/>
      <c r="M421" s="685">
        <v>6</v>
      </c>
      <c r="N421" s="685">
        <v>4</v>
      </c>
      <c r="O421" s="682">
        <f t="shared" si="18"/>
        <v>0.66666666666666663</v>
      </c>
      <c r="P421" s="683">
        <f t="shared" si="19"/>
        <v>202.02020202020202</v>
      </c>
      <c r="Q421" s="684">
        <f t="shared" si="20"/>
        <v>2.0202020202020203</v>
      </c>
      <c r="R421" s="490"/>
    </row>
    <row r="422" spans="1:18" x14ac:dyDescent="0.2">
      <c r="A422" s="506" t="s">
        <v>276</v>
      </c>
      <c r="B422" s="502" t="s">
        <v>779</v>
      </c>
      <c r="C422" s="507" t="s">
        <v>97</v>
      </c>
      <c r="D422" s="503" t="s">
        <v>281</v>
      </c>
      <c r="E422" s="348"/>
      <c r="F422" s="504" t="s">
        <v>109</v>
      </c>
      <c r="G422" s="512" t="s">
        <v>1598</v>
      </c>
      <c r="H422" s="511" t="s">
        <v>789</v>
      </c>
      <c r="I422" s="510" t="s">
        <v>790</v>
      </c>
      <c r="J422" s="509" t="s">
        <v>650</v>
      </c>
      <c r="K422" s="516">
        <v>33</v>
      </c>
      <c r="L422" s="520" t="s">
        <v>791</v>
      </c>
      <c r="M422" s="685">
        <v>9</v>
      </c>
      <c r="N422" s="685">
        <v>7</v>
      </c>
      <c r="O422" s="682">
        <f t="shared" si="18"/>
        <v>0.77777777777777779</v>
      </c>
      <c r="P422" s="683">
        <f t="shared" si="19"/>
        <v>235.69023569023568</v>
      </c>
      <c r="Q422" s="684">
        <f t="shared" si="20"/>
        <v>2.3569023569023568</v>
      </c>
      <c r="R422" s="491"/>
    </row>
    <row r="423" spans="1:18" x14ac:dyDescent="0.2">
      <c r="A423" s="506" t="s">
        <v>276</v>
      </c>
      <c r="B423" s="502" t="s">
        <v>779</v>
      </c>
      <c r="C423" s="507" t="s">
        <v>282</v>
      </c>
      <c r="D423" s="503" t="s">
        <v>287</v>
      </c>
      <c r="E423" s="348"/>
      <c r="F423" s="504" t="s">
        <v>109</v>
      </c>
      <c r="G423" s="512" t="s">
        <v>1598</v>
      </c>
      <c r="H423" s="511" t="s">
        <v>792</v>
      </c>
      <c r="I423" s="510" t="s">
        <v>790</v>
      </c>
      <c r="J423" s="509" t="s">
        <v>650</v>
      </c>
      <c r="K423" s="516">
        <v>5</v>
      </c>
      <c r="L423" s="520" t="s">
        <v>791</v>
      </c>
      <c r="M423" s="685">
        <v>68</v>
      </c>
      <c r="N423" s="685">
        <v>10</v>
      </c>
      <c r="O423" s="682">
        <f t="shared" si="18"/>
        <v>0.14705882352941177</v>
      </c>
      <c r="P423" s="683">
        <f t="shared" si="19"/>
        <v>294.11764705882348</v>
      </c>
      <c r="Q423" s="684">
        <f t="shared" si="20"/>
        <v>2.9411764705882351</v>
      </c>
      <c r="R423" s="491"/>
    </row>
    <row r="424" spans="1:18" x14ac:dyDescent="0.2">
      <c r="A424" s="506" t="s">
        <v>276</v>
      </c>
      <c r="B424" s="502" t="s">
        <v>779</v>
      </c>
      <c r="C424" s="507" t="s">
        <v>282</v>
      </c>
      <c r="D424" s="503" t="s">
        <v>283</v>
      </c>
      <c r="E424" s="348"/>
      <c r="F424" s="504" t="s">
        <v>109</v>
      </c>
      <c r="G424" s="512" t="s">
        <v>1598</v>
      </c>
      <c r="H424" s="511" t="s">
        <v>789</v>
      </c>
      <c r="I424" s="510" t="s">
        <v>790</v>
      </c>
      <c r="J424" s="509" t="s">
        <v>650</v>
      </c>
      <c r="K424" s="516">
        <v>26</v>
      </c>
      <c r="L424" s="520"/>
      <c r="M424" s="685">
        <v>19</v>
      </c>
      <c r="N424" s="685">
        <v>2</v>
      </c>
      <c r="O424" s="682">
        <f t="shared" si="18"/>
        <v>0.10526315789473684</v>
      </c>
      <c r="P424" s="683">
        <f t="shared" si="19"/>
        <v>40.48582995951417</v>
      </c>
      <c r="Q424" s="684">
        <f t="shared" si="20"/>
        <v>0.40485829959514169</v>
      </c>
      <c r="R424" s="490"/>
    </row>
    <row r="425" spans="1:18" x14ac:dyDescent="0.2">
      <c r="A425" s="506" t="s">
        <v>276</v>
      </c>
      <c r="B425" s="502" t="s">
        <v>779</v>
      </c>
      <c r="C425" s="507" t="s">
        <v>282</v>
      </c>
      <c r="D425" s="503" t="s">
        <v>284</v>
      </c>
      <c r="E425" s="348"/>
      <c r="F425" s="504" t="s">
        <v>109</v>
      </c>
      <c r="G425" s="512" t="s">
        <v>1598</v>
      </c>
      <c r="H425" s="511" t="s">
        <v>789</v>
      </c>
      <c r="I425" s="510" t="s">
        <v>790</v>
      </c>
      <c r="J425" s="509" t="s">
        <v>650</v>
      </c>
      <c r="K425" s="516">
        <v>16</v>
      </c>
      <c r="L425" s="520"/>
      <c r="M425" s="685">
        <v>43</v>
      </c>
      <c r="N425" s="685">
        <v>7</v>
      </c>
      <c r="O425" s="682">
        <f t="shared" si="18"/>
        <v>0.16279069767441862</v>
      </c>
      <c r="P425" s="683">
        <f t="shared" si="19"/>
        <v>101.74418604651163</v>
      </c>
      <c r="Q425" s="684">
        <f t="shared" si="20"/>
        <v>1.0174418604651163</v>
      </c>
      <c r="R425" s="490"/>
    </row>
    <row r="426" spans="1:18" x14ac:dyDescent="0.2">
      <c r="A426" s="506" t="s">
        <v>276</v>
      </c>
      <c r="B426" s="502" t="s">
        <v>779</v>
      </c>
      <c r="C426" s="507" t="s">
        <v>282</v>
      </c>
      <c r="D426" s="503" t="s">
        <v>279</v>
      </c>
      <c r="E426" s="348"/>
      <c r="F426" s="504" t="s">
        <v>109</v>
      </c>
      <c r="G426" s="512" t="s">
        <v>1598</v>
      </c>
      <c r="H426" s="511" t="s">
        <v>789</v>
      </c>
      <c r="I426" s="510" t="s">
        <v>790</v>
      </c>
      <c r="J426" s="509" t="s">
        <v>650</v>
      </c>
      <c r="K426" s="516">
        <v>6</v>
      </c>
      <c r="L426" s="520"/>
      <c r="M426" s="685">
        <v>65</v>
      </c>
      <c r="N426" s="685">
        <v>7</v>
      </c>
      <c r="O426" s="682">
        <f t="shared" si="18"/>
        <v>0.1076923076923077</v>
      </c>
      <c r="P426" s="683">
        <f t="shared" si="19"/>
        <v>179.4871794871795</v>
      </c>
      <c r="Q426" s="684">
        <f t="shared" si="20"/>
        <v>1.7948717948717949</v>
      </c>
      <c r="R426" s="490"/>
    </row>
    <row r="427" spans="1:18" x14ac:dyDescent="0.2">
      <c r="A427" s="506" t="s">
        <v>276</v>
      </c>
      <c r="B427" s="502" t="s">
        <v>779</v>
      </c>
      <c r="C427" s="507" t="s">
        <v>282</v>
      </c>
      <c r="D427" s="503" t="s">
        <v>281</v>
      </c>
      <c r="E427" s="348"/>
      <c r="F427" s="504" t="s">
        <v>109</v>
      </c>
      <c r="G427" s="512" t="s">
        <v>1598</v>
      </c>
      <c r="H427" s="511" t="s">
        <v>789</v>
      </c>
      <c r="I427" s="510" t="s">
        <v>790</v>
      </c>
      <c r="J427" s="509" t="s">
        <v>650</v>
      </c>
      <c r="K427" s="516">
        <v>8</v>
      </c>
      <c r="L427" s="520"/>
      <c r="M427" s="685">
        <v>48</v>
      </c>
      <c r="N427" s="685">
        <v>12</v>
      </c>
      <c r="O427" s="682">
        <f t="shared" si="18"/>
        <v>0.25</v>
      </c>
      <c r="P427" s="683">
        <f t="shared" si="19"/>
        <v>312.5</v>
      </c>
      <c r="Q427" s="684">
        <f t="shared" si="20"/>
        <v>3.125</v>
      </c>
      <c r="R427" s="490"/>
    </row>
    <row r="428" spans="1:18" x14ac:dyDescent="0.2">
      <c r="A428" s="506" t="s">
        <v>276</v>
      </c>
      <c r="B428" s="502" t="s">
        <v>779</v>
      </c>
      <c r="C428" s="507" t="s">
        <v>288</v>
      </c>
      <c r="D428" s="503" t="s">
        <v>287</v>
      </c>
      <c r="E428" s="348"/>
      <c r="F428" s="504" t="s">
        <v>109</v>
      </c>
      <c r="G428" s="512" t="s">
        <v>1598</v>
      </c>
      <c r="H428" s="511" t="s">
        <v>792</v>
      </c>
      <c r="I428" s="510" t="s">
        <v>790</v>
      </c>
      <c r="J428" s="509" t="s">
        <v>650</v>
      </c>
      <c r="K428" s="516">
        <v>28.999999999999996</v>
      </c>
      <c r="L428" s="520"/>
      <c r="M428" s="685">
        <v>299</v>
      </c>
      <c r="N428" s="685">
        <v>36</v>
      </c>
      <c r="O428" s="682">
        <f t="shared" si="18"/>
        <v>0.12040133779264214</v>
      </c>
      <c r="P428" s="683">
        <f t="shared" si="19"/>
        <v>41.517702687117982</v>
      </c>
      <c r="Q428" s="684">
        <f t="shared" si="20"/>
        <v>0.4151770268711798</v>
      </c>
      <c r="R428" s="490"/>
    </row>
    <row r="429" spans="1:18" x14ac:dyDescent="0.2">
      <c r="A429" s="506" t="s">
        <v>276</v>
      </c>
      <c r="B429" s="502" t="s">
        <v>779</v>
      </c>
      <c r="C429" s="507" t="s">
        <v>288</v>
      </c>
      <c r="D429" s="503" t="s">
        <v>283</v>
      </c>
      <c r="E429" s="348"/>
      <c r="F429" s="504" t="s">
        <v>109</v>
      </c>
      <c r="G429" s="512" t="s">
        <v>1598</v>
      </c>
      <c r="H429" s="511" t="s">
        <v>789</v>
      </c>
      <c r="I429" s="510" t="s">
        <v>790</v>
      </c>
      <c r="J429" s="509" t="s">
        <v>650</v>
      </c>
      <c r="K429" s="516">
        <v>8</v>
      </c>
      <c r="L429" s="520"/>
      <c r="M429" s="685">
        <v>64</v>
      </c>
      <c r="N429" s="685">
        <v>6</v>
      </c>
      <c r="O429" s="682">
        <f t="shared" si="18"/>
        <v>9.375E-2</v>
      </c>
      <c r="P429" s="683">
        <f t="shared" si="19"/>
        <v>117.1875</v>
      </c>
      <c r="Q429" s="684">
        <f t="shared" si="20"/>
        <v>1.171875</v>
      </c>
      <c r="R429" s="490"/>
    </row>
    <row r="430" spans="1:18" x14ac:dyDescent="0.2">
      <c r="A430" s="506" t="s">
        <v>276</v>
      </c>
      <c r="B430" s="502" t="s">
        <v>779</v>
      </c>
      <c r="C430" s="507" t="s">
        <v>288</v>
      </c>
      <c r="D430" s="503" t="s">
        <v>284</v>
      </c>
      <c r="E430" s="348"/>
      <c r="F430" s="504" t="s">
        <v>109</v>
      </c>
      <c r="G430" s="512" t="s">
        <v>1598</v>
      </c>
      <c r="H430" s="511" t="s">
        <v>789</v>
      </c>
      <c r="I430" s="510" t="s">
        <v>790</v>
      </c>
      <c r="J430" s="509" t="s">
        <v>650</v>
      </c>
      <c r="K430" s="516">
        <v>8</v>
      </c>
      <c r="L430" s="520" t="s">
        <v>791</v>
      </c>
      <c r="M430" s="685">
        <v>10</v>
      </c>
      <c r="N430" s="685">
        <v>0</v>
      </c>
      <c r="O430" s="682">
        <f t="shared" si="18"/>
        <v>0</v>
      </c>
      <c r="P430" s="683">
        <f t="shared" si="19"/>
        <v>0</v>
      </c>
      <c r="Q430" s="684">
        <f t="shared" si="20"/>
        <v>0</v>
      </c>
      <c r="R430" s="491"/>
    </row>
    <row r="431" spans="1:18" x14ac:dyDescent="0.2">
      <c r="A431" s="506" t="s">
        <v>276</v>
      </c>
      <c r="B431" s="502" t="s">
        <v>779</v>
      </c>
      <c r="C431" s="507" t="s">
        <v>288</v>
      </c>
      <c r="D431" s="503" t="s">
        <v>279</v>
      </c>
      <c r="E431" s="348"/>
      <c r="F431" s="504" t="s">
        <v>109</v>
      </c>
      <c r="G431" s="512" t="s">
        <v>1598</v>
      </c>
      <c r="H431" s="511" t="s">
        <v>789</v>
      </c>
      <c r="I431" s="510" t="s">
        <v>790</v>
      </c>
      <c r="J431" s="509" t="s">
        <v>650</v>
      </c>
      <c r="K431" s="516">
        <v>0</v>
      </c>
      <c r="L431" s="520" t="s">
        <v>791</v>
      </c>
      <c r="M431" s="685">
        <v>2</v>
      </c>
      <c r="N431" s="685">
        <v>1</v>
      </c>
      <c r="O431" s="682">
        <f t="shared" si="18"/>
        <v>0.5</v>
      </c>
      <c r="P431" s="683" t="str">
        <f t="shared" si="19"/>
        <v>0</v>
      </c>
      <c r="Q431" s="684" t="str">
        <f t="shared" si="20"/>
        <v>0</v>
      </c>
      <c r="R431" s="491"/>
    </row>
    <row r="432" spans="1:18" x14ac:dyDescent="0.2">
      <c r="A432" s="506" t="s">
        <v>276</v>
      </c>
      <c r="B432" s="502" t="s">
        <v>779</v>
      </c>
      <c r="C432" s="507" t="s">
        <v>288</v>
      </c>
      <c r="D432" s="503" t="s">
        <v>281</v>
      </c>
      <c r="E432" s="348"/>
      <c r="F432" s="504" t="s">
        <v>109</v>
      </c>
      <c r="G432" s="512" t="s">
        <v>1598</v>
      </c>
      <c r="H432" s="511" t="s">
        <v>789</v>
      </c>
      <c r="I432" s="510" t="s">
        <v>790</v>
      </c>
      <c r="J432" s="509" t="s">
        <v>650</v>
      </c>
      <c r="K432" s="516">
        <v>8</v>
      </c>
      <c r="L432" s="520" t="s">
        <v>791</v>
      </c>
      <c r="M432" s="685">
        <v>17</v>
      </c>
      <c r="N432" s="685">
        <v>3</v>
      </c>
      <c r="O432" s="682">
        <f t="shared" si="18"/>
        <v>0.17647058823529413</v>
      </c>
      <c r="P432" s="683">
        <f t="shared" si="19"/>
        <v>220.58823529411762</v>
      </c>
      <c r="Q432" s="684">
        <f t="shared" si="20"/>
        <v>2.2058823529411762</v>
      </c>
      <c r="R432" s="491"/>
    </row>
    <row r="433" spans="1:18" x14ac:dyDescent="0.2">
      <c r="A433" s="506" t="s">
        <v>276</v>
      </c>
      <c r="B433" s="502" t="s">
        <v>779</v>
      </c>
      <c r="C433" s="507" t="s">
        <v>99</v>
      </c>
      <c r="D433" s="503" t="s">
        <v>287</v>
      </c>
      <c r="E433" s="348"/>
      <c r="F433" s="504" t="s">
        <v>109</v>
      </c>
      <c r="G433" s="512" t="s">
        <v>1598</v>
      </c>
      <c r="H433" s="511" t="s">
        <v>792</v>
      </c>
      <c r="I433" s="510" t="s">
        <v>790</v>
      </c>
      <c r="J433" s="509" t="s">
        <v>650</v>
      </c>
      <c r="K433" s="516">
        <v>17</v>
      </c>
      <c r="L433" s="520"/>
      <c r="M433" s="685">
        <v>326</v>
      </c>
      <c r="N433" s="685">
        <v>49</v>
      </c>
      <c r="O433" s="682">
        <f t="shared" si="18"/>
        <v>0.15030674846625766</v>
      </c>
      <c r="P433" s="683">
        <f t="shared" si="19"/>
        <v>88.415734391916274</v>
      </c>
      <c r="Q433" s="684">
        <f t="shared" si="20"/>
        <v>0.88415734391916267</v>
      </c>
      <c r="R433" s="490"/>
    </row>
    <row r="434" spans="1:18" x14ac:dyDescent="0.2">
      <c r="A434" s="506" t="s">
        <v>276</v>
      </c>
      <c r="B434" s="502" t="s">
        <v>779</v>
      </c>
      <c r="C434" s="507" t="s">
        <v>99</v>
      </c>
      <c r="D434" s="503" t="s">
        <v>283</v>
      </c>
      <c r="E434" s="348"/>
      <c r="F434" s="504" t="s">
        <v>109</v>
      </c>
      <c r="G434" s="512" t="s">
        <v>1598</v>
      </c>
      <c r="H434" s="511" t="s">
        <v>789</v>
      </c>
      <c r="I434" s="510" t="s">
        <v>790</v>
      </c>
      <c r="J434" s="509" t="s">
        <v>650</v>
      </c>
      <c r="K434" s="516">
        <v>36</v>
      </c>
      <c r="L434" s="520"/>
      <c r="M434" s="685">
        <v>17</v>
      </c>
      <c r="N434" s="685">
        <v>4</v>
      </c>
      <c r="O434" s="682">
        <f t="shared" si="18"/>
        <v>0.23529411764705882</v>
      </c>
      <c r="P434" s="683">
        <f t="shared" si="19"/>
        <v>65.359477124183002</v>
      </c>
      <c r="Q434" s="684">
        <f t="shared" si="20"/>
        <v>0.65359477124183007</v>
      </c>
      <c r="R434" s="490"/>
    </row>
    <row r="435" spans="1:18" x14ac:dyDescent="0.2">
      <c r="A435" s="506" t="s">
        <v>276</v>
      </c>
      <c r="B435" s="502" t="s">
        <v>779</v>
      </c>
      <c r="C435" s="507" t="s">
        <v>99</v>
      </c>
      <c r="D435" s="503" t="s">
        <v>284</v>
      </c>
      <c r="E435" s="348"/>
      <c r="F435" s="504" t="s">
        <v>109</v>
      </c>
      <c r="G435" s="512" t="s">
        <v>1598</v>
      </c>
      <c r="H435" s="511" t="s">
        <v>789</v>
      </c>
      <c r="I435" s="510" t="s">
        <v>790</v>
      </c>
      <c r="J435" s="509" t="s">
        <v>650</v>
      </c>
      <c r="K435" s="516">
        <v>80</v>
      </c>
      <c r="L435" s="520"/>
      <c r="M435" s="685">
        <v>8</v>
      </c>
      <c r="N435" s="685">
        <v>2</v>
      </c>
      <c r="O435" s="682">
        <f t="shared" si="18"/>
        <v>0.25</v>
      </c>
      <c r="P435" s="683">
        <f t="shared" si="19"/>
        <v>31.25</v>
      </c>
      <c r="Q435" s="684">
        <f t="shared" si="20"/>
        <v>0.3125</v>
      </c>
      <c r="R435" s="490"/>
    </row>
    <row r="436" spans="1:18" x14ac:dyDescent="0.2">
      <c r="A436" s="506" t="s">
        <v>276</v>
      </c>
      <c r="B436" s="502" t="s">
        <v>779</v>
      </c>
      <c r="C436" s="507" t="s">
        <v>99</v>
      </c>
      <c r="D436" s="503" t="s">
        <v>279</v>
      </c>
      <c r="E436" s="348"/>
      <c r="F436" s="504" t="s">
        <v>109</v>
      </c>
      <c r="G436" s="512" t="s">
        <v>1598</v>
      </c>
      <c r="H436" s="511" t="s">
        <v>789</v>
      </c>
      <c r="I436" s="510" t="s">
        <v>790</v>
      </c>
      <c r="J436" s="509" t="s">
        <v>650</v>
      </c>
      <c r="K436" s="516">
        <v>0</v>
      </c>
      <c r="L436" s="520" t="s">
        <v>791</v>
      </c>
      <c r="M436" s="685">
        <v>5</v>
      </c>
      <c r="N436" s="685">
        <v>2</v>
      </c>
      <c r="O436" s="682">
        <f t="shared" si="18"/>
        <v>0.4</v>
      </c>
      <c r="P436" s="683" t="str">
        <f t="shared" si="19"/>
        <v>0</v>
      </c>
      <c r="Q436" s="684" t="str">
        <f t="shared" si="20"/>
        <v>0</v>
      </c>
      <c r="R436" s="491"/>
    </row>
    <row r="437" spans="1:18" x14ac:dyDescent="0.2">
      <c r="A437" s="506" t="s">
        <v>276</v>
      </c>
      <c r="B437" s="502" t="s">
        <v>779</v>
      </c>
      <c r="C437" s="507" t="s">
        <v>99</v>
      </c>
      <c r="D437" s="503" t="s">
        <v>281</v>
      </c>
      <c r="E437" s="348"/>
      <c r="F437" s="504" t="s">
        <v>109</v>
      </c>
      <c r="G437" s="512" t="s">
        <v>1598</v>
      </c>
      <c r="H437" s="511" t="s">
        <v>789</v>
      </c>
      <c r="I437" s="510" t="s">
        <v>790</v>
      </c>
      <c r="J437" s="509" t="s">
        <v>650</v>
      </c>
      <c r="K437" s="516">
        <v>0</v>
      </c>
      <c r="L437" s="520" t="s">
        <v>791</v>
      </c>
      <c r="M437" s="685">
        <v>1</v>
      </c>
      <c r="N437" s="685">
        <v>0</v>
      </c>
      <c r="O437" s="682">
        <f t="shared" si="18"/>
        <v>0</v>
      </c>
      <c r="P437" s="683" t="str">
        <f t="shared" si="19"/>
        <v>0</v>
      </c>
      <c r="Q437" s="684" t="str">
        <f t="shared" si="20"/>
        <v>0</v>
      </c>
      <c r="R437" s="491"/>
    </row>
    <row r="438" spans="1:18" x14ac:dyDescent="0.2">
      <c r="A438" s="506" t="s">
        <v>276</v>
      </c>
      <c r="B438" s="502" t="s">
        <v>779</v>
      </c>
      <c r="C438" s="507" t="s">
        <v>285</v>
      </c>
      <c r="D438" s="503" t="s">
        <v>287</v>
      </c>
      <c r="E438" s="348"/>
      <c r="F438" s="504" t="s">
        <v>109</v>
      </c>
      <c r="G438" s="512" t="s">
        <v>1598</v>
      </c>
      <c r="H438" s="511" t="s">
        <v>792</v>
      </c>
      <c r="I438" s="510" t="s">
        <v>790</v>
      </c>
      <c r="J438" s="509" t="s">
        <v>650</v>
      </c>
      <c r="K438" s="516">
        <v>13</v>
      </c>
      <c r="L438" s="520"/>
      <c r="M438" s="685">
        <v>0</v>
      </c>
      <c r="N438" s="685">
        <v>0</v>
      </c>
      <c r="O438" s="682">
        <f t="shared" si="18"/>
        <v>0</v>
      </c>
      <c r="P438" s="683" t="str">
        <f t="shared" si="19"/>
        <v>0</v>
      </c>
      <c r="Q438" s="684" t="str">
        <f t="shared" si="20"/>
        <v>0</v>
      </c>
      <c r="R438" s="491"/>
    </row>
    <row r="439" spans="1:18" x14ac:dyDescent="0.2">
      <c r="A439" s="506" t="s">
        <v>276</v>
      </c>
      <c r="B439" s="502" t="s">
        <v>779</v>
      </c>
      <c r="C439" s="507" t="s">
        <v>285</v>
      </c>
      <c r="D439" s="503" t="s">
        <v>283</v>
      </c>
      <c r="E439" s="348"/>
      <c r="F439" s="504" t="s">
        <v>109</v>
      </c>
      <c r="G439" s="512" t="s">
        <v>1598</v>
      </c>
      <c r="H439" s="511" t="s">
        <v>789</v>
      </c>
      <c r="I439" s="510" t="s">
        <v>790</v>
      </c>
      <c r="J439" s="509" t="s">
        <v>650</v>
      </c>
      <c r="K439" s="516">
        <v>0</v>
      </c>
      <c r="L439" s="520" t="s">
        <v>791</v>
      </c>
      <c r="M439" s="685">
        <v>5</v>
      </c>
      <c r="N439" s="685">
        <v>1</v>
      </c>
      <c r="O439" s="682">
        <f t="shared" si="18"/>
        <v>0.2</v>
      </c>
      <c r="P439" s="683" t="str">
        <f t="shared" si="19"/>
        <v>0</v>
      </c>
      <c r="Q439" s="684" t="str">
        <f t="shared" si="20"/>
        <v>0</v>
      </c>
      <c r="R439" s="491"/>
    </row>
    <row r="440" spans="1:18" x14ac:dyDescent="0.2">
      <c r="A440" s="506" t="s">
        <v>276</v>
      </c>
      <c r="B440" s="502" t="s">
        <v>779</v>
      </c>
      <c r="C440" s="507" t="s">
        <v>285</v>
      </c>
      <c r="D440" s="503" t="s">
        <v>284</v>
      </c>
      <c r="E440" s="348"/>
      <c r="F440" s="504" t="s">
        <v>109</v>
      </c>
      <c r="G440" s="512" t="s">
        <v>1598</v>
      </c>
      <c r="H440" s="511" t="s">
        <v>789</v>
      </c>
      <c r="I440" s="510" t="s">
        <v>790</v>
      </c>
      <c r="J440" s="509" t="s">
        <v>650</v>
      </c>
      <c r="K440" s="516">
        <v>0</v>
      </c>
      <c r="L440" s="520" t="s">
        <v>791</v>
      </c>
      <c r="M440" s="685">
        <v>4</v>
      </c>
      <c r="N440" s="685">
        <v>0</v>
      </c>
      <c r="O440" s="682">
        <f t="shared" si="18"/>
        <v>0</v>
      </c>
      <c r="P440" s="683" t="str">
        <f t="shared" si="19"/>
        <v>0</v>
      </c>
      <c r="Q440" s="684" t="str">
        <f t="shared" si="20"/>
        <v>0</v>
      </c>
      <c r="R440" s="491"/>
    </row>
    <row r="441" spans="1:18" x14ac:dyDescent="0.2">
      <c r="A441" s="506" t="s">
        <v>276</v>
      </c>
      <c r="B441" s="502" t="s">
        <v>779</v>
      </c>
      <c r="C441" s="507" t="s">
        <v>285</v>
      </c>
      <c r="D441" s="503" t="s">
        <v>279</v>
      </c>
      <c r="E441" s="348"/>
      <c r="F441" s="504" t="s">
        <v>109</v>
      </c>
      <c r="G441" s="512" t="s">
        <v>1598</v>
      </c>
      <c r="H441" s="511" t="s">
        <v>789</v>
      </c>
      <c r="I441" s="510" t="s">
        <v>790</v>
      </c>
      <c r="J441" s="509" t="s">
        <v>650</v>
      </c>
      <c r="K441" s="516">
        <v>0</v>
      </c>
      <c r="L441" s="520" t="s">
        <v>791</v>
      </c>
      <c r="M441" s="685">
        <v>1</v>
      </c>
      <c r="N441" s="685">
        <v>0</v>
      </c>
      <c r="O441" s="682">
        <f t="shared" si="18"/>
        <v>0</v>
      </c>
      <c r="P441" s="683" t="str">
        <f t="shared" si="19"/>
        <v>0</v>
      </c>
      <c r="Q441" s="684" t="str">
        <f t="shared" si="20"/>
        <v>0</v>
      </c>
      <c r="R441" s="491"/>
    </row>
    <row r="442" spans="1:18" x14ac:dyDescent="0.2">
      <c r="A442" s="506" t="s">
        <v>276</v>
      </c>
      <c r="B442" s="502" t="s">
        <v>779</v>
      </c>
      <c r="C442" s="507" t="s">
        <v>285</v>
      </c>
      <c r="D442" s="503" t="s">
        <v>281</v>
      </c>
      <c r="E442" s="348"/>
      <c r="F442" s="504" t="s">
        <v>109</v>
      </c>
      <c r="G442" s="512" t="s">
        <v>1598</v>
      </c>
      <c r="H442" s="511" t="s">
        <v>789</v>
      </c>
      <c r="I442" s="510" t="s">
        <v>790</v>
      </c>
      <c r="J442" s="509" t="s">
        <v>650</v>
      </c>
      <c r="K442" s="516">
        <v>25</v>
      </c>
      <c r="L442" s="520"/>
      <c r="M442" s="685">
        <v>12</v>
      </c>
      <c r="N442" s="685">
        <v>4</v>
      </c>
      <c r="O442" s="682">
        <f t="shared" si="18"/>
        <v>0.33333333333333331</v>
      </c>
      <c r="P442" s="683">
        <f t="shared" si="19"/>
        <v>133.33333333333331</v>
      </c>
      <c r="Q442" s="684">
        <f t="shared" si="20"/>
        <v>1.3333333333333333</v>
      </c>
      <c r="R442" s="490"/>
    </row>
    <row r="443" spans="1:18" x14ac:dyDescent="0.2">
      <c r="A443" s="506" t="s">
        <v>276</v>
      </c>
      <c r="B443" s="502" t="s">
        <v>779</v>
      </c>
      <c r="C443" s="507" t="s">
        <v>285</v>
      </c>
      <c r="D443" s="503" t="s">
        <v>286</v>
      </c>
      <c r="E443" s="348"/>
      <c r="F443" s="504" t="s">
        <v>109</v>
      </c>
      <c r="G443" s="512" t="s">
        <v>1598</v>
      </c>
      <c r="H443" s="511" t="s">
        <v>789</v>
      </c>
      <c r="I443" s="510" t="s">
        <v>790</v>
      </c>
      <c r="J443" s="509" t="s">
        <v>650</v>
      </c>
      <c r="K443" s="516">
        <v>10</v>
      </c>
      <c r="L443" s="520"/>
      <c r="M443" s="685">
        <v>20</v>
      </c>
      <c r="N443" s="685">
        <v>0</v>
      </c>
      <c r="O443" s="682">
        <f t="shared" si="18"/>
        <v>0</v>
      </c>
      <c r="P443" s="683">
        <f t="shared" si="19"/>
        <v>0</v>
      </c>
      <c r="Q443" s="684">
        <f t="shared" si="20"/>
        <v>0</v>
      </c>
      <c r="R443" s="490"/>
    </row>
    <row r="444" spans="1:18" x14ac:dyDescent="0.2">
      <c r="A444" s="506" t="s">
        <v>276</v>
      </c>
      <c r="B444" s="502" t="s">
        <v>779</v>
      </c>
      <c r="C444" s="507" t="s">
        <v>291</v>
      </c>
      <c r="D444" s="503" t="s">
        <v>283</v>
      </c>
      <c r="E444" s="348"/>
      <c r="F444" s="504" t="s">
        <v>109</v>
      </c>
      <c r="G444" s="512" t="s">
        <v>1598</v>
      </c>
      <c r="H444" s="511" t="s">
        <v>789</v>
      </c>
      <c r="I444" s="510" t="s">
        <v>790</v>
      </c>
      <c r="J444" s="509" t="s">
        <v>650</v>
      </c>
      <c r="K444" s="516">
        <v>0</v>
      </c>
      <c r="L444" s="520" t="s">
        <v>791</v>
      </c>
      <c r="M444" s="685">
        <v>0</v>
      </c>
      <c r="N444" s="685">
        <v>0</v>
      </c>
      <c r="O444" s="682">
        <f t="shared" si="18"/>
        <v>0</v>
      </c>
      <c r="P444" s="683" t="str">
        <f t="shared" si="19"/>
        <v>0</v>
      </c>
      <c r="Q444" s="684" t="str">
        <f t="shared" si="20"/>
        <v>0</v>
      </c>
      <c r="R444" s="491"/>
    </row>
    <row r="445" spans="1:18" x14ac:dyDescent="0.2">
      <c r="A445" s="506" t="s">
        <v>276</v>
      </c>
      <c r="B445" s="502" t="s">
        <v>779</v>
      </c>
      <c r="C445" s="507" t="s">
        <v>291</v>
      </c>
      <c r="D445" s="503" t="s">
        <v>284</v>
      </c>
      <c r="E445" s="348"/>
      <c r="F445" s="504" t="s">
        <v>109</v>
      </c>
      <c r="G445" s="512" t="s">
        <v>1598</v>
      </c>
      <c r="H445" s="511" t="s">
        <v>789</v>
      </c>
      <c r="I445" s="510" t="s">
        <v>790</v>
      </c>
      <c r="J445" s="509" t="s">
        <v>650</v>
      </c>
      <c r="K445" s="516">
        <v>0</v>
      </c>
      <c r="L445" s="520" t="s">
        <v>791</v>
      </c>
      <c r="M445" s="685">
        <v>0</v>
      </c>
      <c r="N445" s="685">
        <v>0</v>
      </c>
      <c r="O445" s="682">
        <f t="shared" si="18"/>
        <v>0</v>
      </c>
      <c r="P445" s="683" t="str">
        <f t="shared" si="19"/>
        <v>0</v>
      </c>
      <c r="Q445" s="684" t="str">
        <f t="shared" si="20"/>
        <v>0</v>
      </c>
      <c r="R445" s="491"/>
    </row>
    <row r="446" spans="1:18" x14ac:dyDescent="0.2">
      <c r="A446" s="506" t="s">
        <v>276</v>
      </c>
      <c r="B446" s="502" t="s">
        <v>779</v>
      </c>
      <c r="C446" s="507" t="s">
        <v>290</v>
      </c>
      <c r="D446" s="503" t="s">
        <v>287</v>
      </c>
      <c r="E446" s="348"/>
      <c r="F446" s="504" t="s">
        <v>109</v>
      </c>
      <c r="G446" s="512" t="s">
        <v>1598</v>
      </c>
      <c r="H446" s="511" t="s">
        <v>792</v>
      </c>
      <c r="I446" s="510" t="s">
        <v>790</v>
      </c>
      <c r="J446" s="509" t="s">
        <v>650</v>
      </c>
      <c r="K446" s="516">
        <v>38</v>
      </c>
      <c r="L446" s="520"/>
      <c r="M446" s="685">
        <v>65</v>
      </c>
      <c r="N446" s="685">
        <v>9</v>
      </c>
      <c r="O446" s="682">
        <f t="shared" si="18"/>
        <v>0.13846153846153847</v>
      </c>
      <c r="P446" s="683">
        <f t="shared" si="19"/>
        <v>36.43724696356275</v>
      </c>
      <c r="Q446" s="684">
        <f t="shared" si="20"/>
        <v>0.36437246963562753</v>
      </c>
      <c r="R446" s="490"/>
    </row>
    <row r="447" spans="1:18" x14ac:dyDescent="0.2">
      <c r="A447" s="506" t="s">
        <v>276</v>
      </c>
      <c r="B447" s="502" t="s">
        <v>779</v>
      </c>
      <c r="C447" s="507" t="s">
        <v>290</v>
      </c>
      <c r="D447" s="503" t="s">
        <v>283</v>
      </c>
      <c r="E447" s="348"/>
      <c r="F447" s="504" t="s">
        <v>109</v>
      </c>
      <c r="G447" s="512" t="s">
        <v>1598</v>
      </c>
      <c r="H447" s="511" t="s">
        <v>789</v>
      </c>
      <c r="I447" s="510" t="s">
        <v>790</v>
      </c>
      <c r="J447" s="509" t="s">
        <v>650</v>
      </c>
      <c r="K447" s="516">
        <v>0</v>
      </c>
      <c r="L447" s="520" t="s">
        <v>791</v>
      </c>
      <c r="M447" s="685">
        <v>5</v>
      </c>
      <c r="N447" s="685">
        <v>0</v>
      </c>
      <c r="O447" s="682">
        <f t="shared" si="18"/>
        <v>0</v>
      </c>
      <c r="P447" s="683" t="str">
        <f t="shared" si="19"/>
        <v>0</v>
      </c>
      <c r="Q447" s="684" t="str">
        <f t="shared" si="20"/>
        <v>0</v>
      </c>
      <c r="R447" s="491"/>
    </row>
    <row r="448" spans="1:18" x14ac:dyDescent="0.2">
      <c r="A448" s="506" t="s">
        <v>276</v>
      </c>
      <c r="B448" s="502" t="s">
        <v>779</v>
      </c>
      <c r="C448" s="507" t="s">
        <v>290</v>
      </c>
      <c r="D448" s="503" t="s">
        <v>284</v>
      </c>
      <c r="E448" s="348"/>
      <c r="F448" s="504" t="s">
        <v>109</v>
      </c>
      <c r="G448" s="512" t="s">
        <v>1598</v>
      </c>
      <c r="H448" s="511" t="s">
        <v>789</v>
      </c>
      <c r="I448" s="510" t="s">
        <v>790</v>
      </c>
      <c r="J448" s="509" t="s">
        <v>650</v>
      </c>
      <c r="K448" s="516">
        <v>0</v>
      </c>
      <c r="L448" s="520" t="s">
        <v>791</v>
      </c>
      <c r="M448" s="685">
        <v>0</v>
      </c>
      <c r="N448" s="685">
        <v>0</v>
      </c>
      <c r="O448" s="682">
        <f t="shared" si="18"/>
        <v>0</v>
      </c>
      <c r="P448" s="683" t="str">
        <f t="shared" si="19"/>
        <v>0</v>
      </c>
      <c r="Q448" s="684" t="str">
        <f t="shared" si="20"/>
        <v>0</v>
      </c>
      <c r="R448" s="491"/>
    </row>
    <row r="449" spans="1:18" x14ac:dyDescent="0.2">
      <c r="A449" s="506" t="s">
        <v>276</v>
      </c>
      <c r="B449" s="502" t="s">
        <v>779</v>
      </c>
      <c r="C449" s="507" t="s">
        <v>289</v>
      </c>
      <c r="D449" s="503" t="s">
        <v>287</v>
      </c>
      <c r="E449" s="348"/>
      <c r="F449" s="504" t="s">
        <v>109</v>
      </c>
      <c r="G449" s="512" t="s">
        <v>1598</v>
      </c>
      <c r="H449" s="511" t="s">
        <v>792</v>
      </c>
      <c r="I449" s="510" t="s">
        <v>790</v>
      </c>
      <c r="J449" s="509" t="s">
        <v>650</v>
      </c>
      <c r="K449" s="516">
        <v>5</v>
      </c>
      <c r="L449" s="520"/>
      <c r="M449" s="685">
        <v>733</v>
      </c>
      <c r="N449" s="685">
        <v>90</v>
      </c>
      <c r="O449" s="682">
        <f t="shared" si="18"/>
        <v>0.12278308321964529</v>
      </c>
      <c r="P449" s="683">
        <f t="shared" si="19"/>
        <v>245.56616643929061</v>
      </c>
      <c r="Q449" s="684">
        <f t="shared" si="20"/>
        <v>2.4556616643929061</v>
      </c>
      <c r="R449" s="490"/>
    </row>
    <row r="450" spans="1:18" x14ac:dyDescent="0.2">
      <c r="A450" s="506" t="s">
        <v>276</v>
      </c>
      <c r="B450" s="502" t="s">
        <v>779</v>
      </c>
      <c r="C450" s="507" t="s">
        <v>289</v>
      </c>
      <c r="D450" s="503" t="s">
        <v>283</v>
      </c>
      <c r="E450" s="348"/>
      <c r="F450" s="504" t="s">
        <v>109</v>
      </c>
      <c r="G450" s="512" t="s">
        <v>1598</v>
      </c>
      <c r="H450" s="511" t="s">
        <v>789</v>
      </c>
      <c r="I450" s="510" t="s">
        <v>790</v>
      </c>
      <c r="J450" s="509" t="s">
        <v>650</v>
      </c>
      <c r="K450" s="516">
        <v>32</v>
      </c>
      <c r="L450" s="520"/>
      <c r="M450" s="685">
        <v>134</v>
      </c>
      <c r="N450" s="685">
        <v>38</v>
      </c>
      <c r="O450" s="682">
        <f t="shared" si="18"/>
        <v>0.28358208955223879</v>
      </c>
      <c r="P450" s="683">
        <f t="shared" si="19"/>
        <v>88.619402985074629</v>
      </c>
      <c r="Q450" s="684">
        <f t="shared" si="20"/>
        <v>0.88619402985074625</v>
      </c>
      <c r="R450" s="490"/>
    </row>
    <row r="451" spans="1:18" x14ac:dyDescent="0.2">
      <c r="A451" s="506" t="s">
        <v>276</v>
      </c>
      <c r="B451" s="502" t="s">
        <v>779</v>
      </c>
      <c r="C451" s="507" t="s">
        <v>289</v>
      </c>
      <c r="D451" s="503" t="s">
        <v>284</v>
      </c>
      <c r="E451" s="348"/>
      <c r="F451" s="504" t="s">
        <v>109</v>
      </c>
      <c r="G451" s="512" t="s">
        <v>1598</v>
      </c>
      <c r="H451" s="511" t="s">
        <v>789</v>
      </c>
      <c r="I451" s="510" t="s">
        <v>790</v>
      </c>
      <c r="J451" s="509" t="s">
        <v>650</v>
      </c>
      <c r="K451" s="516">
        <v>33</v>
      </c>
      <c r="L451" s="520"/>
      <c r="M451" s="685">
        <v>29</v>
      </c>
      <c r="N451" s="685">
        <v>13</v>
      </c>
      <c r="O451" s="682">
        <f t="shared" si="18"/>
        <v>0.44827586206896552</v>
      </c>
      <c r="P451" s="683">
        <f t="shared" si="19"/>
        <v>135.84117032392896</v>
      </c>
      <c r="Q451" s="684">
        <f t="shared" si="20"/>
        <v>1.3584117032392895</v>
      </c>
      <c r="R451" s="490"/>
    </row>
    <row r="452" spans="1:18" x14ac:dyDescent="0.2">
      <c r="A452" s="506" t="s">
        <v>276</v>
      </c>
      <c r="B452" s="502" t="s">
        <v>779</v>
      </c>
      <c r="C452" s="507" t="s">
        <v>289</v>
      </c>
      <c r="D452" s="503" t="s">
        <v>281</v>
      </c>
      <c r="E452" s="348"/>
      <c r="F452" s="504" t="s">
        <v>109</v>
      </c>
      <c r="G452" s="512" t="s">
        <v>1598</v>
      </c>
      <c r="H452" s="511" t="s">
        <v>789</v>
      </c>
      <c r="I452" s="510" t="s">
        <v>790</v>
      </c>
      <c r="J452" s="509" t="s">
        <v>650</v>
      </c>
      <c r="K452" s="516">
        <v>0</v>
      </c>
      <c r="L452" s="520" t="s">
        <v>791</v>
      </c>
      <c r="M452" s="685">
        <v>2</v>
      </c>
      <c r="N452" s="685">
        <v>0</v>
      </c>
      <c r="O452" s="682">
        <f t="shared" si="18"/>
        <v>0</v>
      </c>
      <c r="P452" s="683" t="str">
        <f t="shared" si="19"/>
        <v>0</v>
      </c>
      <c r="Q452" s="684" t="str">
        <f t="shared" si="20"/>
        <v>0</v>
      </c>
      <c r="R452" s="491"/>
    </row>
    <row r="453" spans="1:18" x14ac:dyDescent="0.2">
      <c r="A453" s="506" t="s">
        <v>276</v>
      </c>
      <c r="B453" s="502" t="s">
        <v>779</v>
      </c>
      <c r="C453" s="507" t="s">
        <v>97</v>
      </c>
      <c r="D453" s="503" t="s">
        <v>279</v>
      </c>
      <c r="E453" s="348"/>
      <c r="F453" s="504" t="s">
        <v>109</v>
      </c>
      <c r="G453" s="512" t="s">
        <v>804</v>
      </c>
      <c r="H453" s="511" t="s">
        <v>789</v>
      </c>
      <c r="I453" s="510" t="s">
        <v>790</v>
      </c>
      <c r="J453" s="509" t="s">
        <v>650</v>
      </c>
      <c r="K453" s="516">
        <v>33</v>
      </c>
      <c r="L453" s="520"/>
      <c r="M453" s="685">
        <v>6</v>
      </c>
      <c r="N453" s="687">
        <v>4</v>
      </c>
      <c r="O453" s="682">
        <f t="shared" ref="O453:O516" si="21">IFERROR(N453/M453,0)</f>
        <v>0.66666666666666663</v>
      </c>
      <c r="P453" s="683">
        <f t="shared" ref="P453:P516" si="22">IFERROR(N453/(M453*(K453/100))*100,"0")</f>
        <v>202.02020202020202</v>
      </c>
      <c r="Q453" s="684">
        <f t="shared" ref="Q453:Q516" si="23">IFERROR(N453/(M453*(K453/100)),"0")</f>
        <v>2.0202020202020203</v>
      </c>
      <c r="R453" s="491"/>
    </row>
    <row r="454" spans="1:18" x14ac:dyDescent="0.2">
      <c r="A454" s="506" t="s">
        <v>276</v>
      </c>
      <c r="B454" s="502" t="s">
        <v>779</v>
      </c>
      <c r="C454" s="507" t="s">
        <v>97</v>
      </c>
      <c r="D454" s="503" t="s">
        <v>281</v>
      </c>
      <c r="E454" s="348"/>
      <c r="F454" s="504" t="s">
        <v>109</v>
      </c>
      <c r="G454" s="512" t="s">
        <v>804</v>
      </c>
      <c r="H454" s="511" t="s">
        <v>789</v>
      </c>
      <c r="I454" s="510" t="s">
        <v>790</v>
      </c>
      <c r="J454" s="509" t="s">
        <v>650</v>
      </c>
      <c r="K454" s="516">
        <v>33</v>
      </c>
      <c r="L454" s="520" t="s">
        <v>791</v>
      </c>
      <c r="M454" s="685">
        <v>9</v>
      </c>
      <c r="N454" s="687">
        <v>7</v>
      </c>
      <c r="O454" s="682">
        <f t="shared" si="21"/>
        <v>0.77777777777777779</v>
      </c>
      <c r="P454" s="683">
        <f t="shared" si="22"/>
        <v>235.69023569023568</v>
      </c>
      <c r="Q454" s="684">
        <f t="shared" si="23"/>
        <v>2.3569023569023568</v>
      </c>
      <c r="R454" s="491"/>
    </row>
    <row r="455" spans="1:18" x14ac:dyDescent="0.2">
      <c r="A455" s="506" t="s">
        <v>276</v>
      </c>
      <c r="B455" s="502" t="s">
        <v>779</v>
      </c>
      <c r="C455" s="507" t="s">
        <v>282</v>
      </c>
      <c r="D455" s="503" t="s">
        <v>287</v>
      </c>
      <c r="E455" s="348"/>
      <c r="F455" s="504" t="s">
        <v>109</v>
      </c>
      <c r="G455" s="512" t="s">
        <v>804</v>
      </c>
      <c r="H455" s="511" t="s">
        <v>792</v>
      </c>
      <c r="I455" s="510" t="s">
        <v>790</v>
      </c>
      <c r="J455" s="509" t="s">
        <v>650</v>
      </c>
      <c r="K455" s="516">
        <v>5</v>
      </c>
      <c r="L455" s="520" t="s">
        <v>791</v>
      </c>
      <c r="M455" s="685">
        <v>68</v>
      </c>
      <c r="N455" s="687">
        <v>10</v>
      </c>
      <c r="O455" s="682">
        <f t="shared" si="21"/>
        <v>0.14705882352941177</v>
      </c>
      <c r="P455" s="683">
        <f t="shared" si="22"/>
        <v>294.11764705882348</v>
      </c>
      <c r="Q455" s="684">
        <f t="shared" si="23"/>
        <v>2.9411764705882351</v>
      </c>
      <c r="R455" s="491"/>
    </row>
    <row r="456" spans="1:18" x14ac:dyDescent="0.2">
      <c r="A456" s="506" t="s">
        <v>276</v>
      </c>
      <c r="B456" s="502" t="s">
        <v>779</v>
      </c>
      <c r="C456" s="507" t="s">
        <v>282</v>
      </c>
      <c r="D456" s="503" t="s">
        <v>283</v>
      </c>
      <c r="E456" s="348"/>
      <c r="F456" s="504" t="s">
        <v>109</v>
      </c>
      <c r="G456" s="512" t="s">
        <v>804</v>
      </c>
      <c r="H456" s="511" t="s">
        <v>789</v>
      </c>
      <c r="I456" s="510" t="s">
        <v>790</v>
      </c>
      <c r="J456" s="509" t="s">
        <v>650</v>
      </c>
      <c r="K456" s="516">
        <v>26</v>
      </c>
      <c r="L456" s="520"/>
      <c r="M456" s="685">
        <v>19</v>
      </c>
      <c r="N456" s="687">
        <v>2</v>
      </c>
      <c r="O456" s="682">
        <f t="shared" si="21"/>
        <v>0.10526315789473684</v>
      </c>
      <c r="P456" s="683">
        <f t="shared" si="22"/>
        <v>40.48582995951417</v>
      </c>
      <c r="Q456" s="684">
        <f t="shared" si="23"/>
        <v>0.40485829959514169</v>
      </c>
      <c r="R456" s="490"/>
    </row>
    <row r="457" spans="1:18" x14ac:dyDescent="0.2">
      <c r="A457" s="506" t="s">
        <v>276</v>
      </c>
      <c r="B457" s="502" t="s">
        <v>779</v>
      </c>
      <c r="C457" s="507" t="s">
        <v>282</v>
      </c>
      <c r="D457" s="503" t="s">
        <v>284</v>
      </c>
      <c r="E457" s="348"/>
      <c r="F457" s="504" t="s">
        <v>109</v>
      </c>
      <c r="G457" s="512" t="s">
        <v>804</v>
      </c>
      <c r="H457" s="511" t="s">
        <v>789</v>
      </c>
      <c r="I457" s="510" t="s">
        <v>790</v>
      </c>
      <c r="J457" s="509" t="s">
        <v>650</v>
      </c>
      <c r="K457" s="516">
        <v>16</v>
      </c>
      <c r="L457" s="520"/>
      <c r="M457" s="685">
        <v>43</v>
      </c>
      <c r="N457" s="687">
        <v>7</v>
      </c>
      <c r="O457" s="682">
        <f t="shared" si="21"/>
        <v>0.16279069767441862</v>
      </c>
      <c r="P457" s="683">
        <f t="shared" si="22"/>
        <v>101.74418604651163</v>
      </c>
      <c r="Q457" s="684">
        <f t="shared" si="23"/>
        <v>1.0174418604651163</v>
      </c>
      <c r="R457" s="490"/>
    </row>
    <row r="458" spans="1:18" x14ac:dyDescent="0.2">
      <c r="A458" s="506" t="s">
        <v>276</v>
      </c>
      <c r="B458" s="502" t="s">
        <v>779</v>
      </c>
      <c r="C458" s="507" t="s">
        <v>282</v>
      </c>
      <c r="D458" s="503" t="s">
        <v>279</v>
      </c>
      <c r="E458" s="348"/>
      <c r="F458" s="504" t="s">
        <v>109</v>
      </c>
      <c r="G458" s="512" t="s">
        <v>804</v>
      </c>
      <c r="H458" s="511" t="s">
        <v>789</v>
      </c>
      <c r="I458" s="510" t="s">
        <v>790</v>
      </c>
      <c r="J458" s="509" t="s">
        <v>650</v>
      </c>
      <c r="K458" s="516">
        <v>6</v>
      </c>
      <c r="L458" s="520"/>
      <c r="M458" s="685">
        <v>65</v>
      </c>
      <c r="N458" s="687">
        <v>7</v>
      </c>
      <c r="O458" s="682">
        <f t="shared" si="21"/>
        <v>0.1076923076923077</v>
      </c>
      <c r="P458" s="683">
        <f t="shared" si="22"/>
        <v>179.4871794871795</v>
      </c>
      <c r="Q458" s="684">
        <f t="shared" si="23"/>
        <v>1.7948717948717949</v>
      </c>
      <c r="R458" s="490"/>
    </row>
    <row r="459" spans="1:18" x14ac:dyDescent="0.2">
      <c r="A459" s="506" t="s">
        <v>276</v>
      </c>
      <c r="B459" s="502" t="s">
        <v>779</v>
      </c>
      <c r="C459" s="507" t="s">
        <v>282</v>
      </c>
      <c r="D459" s="503" t="s">
        <v>281</v>
      </c>
      <c r="E459" s="348"/>
      <c r="F459" s="504" t="s">
        <v>109</v>
      </c>
      <c r="G459" s="512" t="s">
        <v>804</v>
      </c>
      <c r="H459" s="511" t="s">
        <v>789</v>
      </c>
      <c r="I459" s="510" t="s">
        <v>790</v>
      </c>
      <c r="J459" s="509" t="s">
        <v>650</v>
      </c>
      <c r="K459" s="516">
        <v>8</v>
      </c>
      <c r="L459" s="520"/>
      <c r="M459" s="685">
        <v>48</v>
      </c>
      <c r="N459" s="687">
        <v>12</v>
      </c>
      <c r="O459" s="682">
        <f t="shared" si="21"/>
        <v>0.25</v>
      </c>
      <c r="P459" s="683">
        <f t="shared" si="22"/>
        <v>312.5</v>
      </c>
      <c r="Q459" s="684">
        <f t="shared" si="23"/>
        <v>3.125</v>
      </c>
      <c r="R459" s="490"/>
    </row>
    <row r="460" spans="1:18" x14ac:dyDescent="0.2">
      <c r="A460" s="506" t="s">
        <v>276</v>
      </c>
      <c r="B460" s="502" t="s">
        <v>779</v>
      </c>
      <c r="C460" s="507" t="s">
        <v>288</v>
      </c>
      <c r="D460" s="503" t="s">
        <v>287</v>
      </c>
      <c r="E460" s="348"/>
      <c r="F460" s="504" t="s">
        <v>109</v>
      </c>
      <c r="G460" s="512" t="s">
        <v>804</v>
      </c>
      <c r="H460" s="511" t="s">
        <v>792</v>
      </c>
      <c r="I460" s="510" t="s">
        <v>790</v>
      </c>
      <c r="J460" s="509" t="s">
        <v>650</v>
      </c>
      <c r="K460" s="516">
        <v>28.999999999999996</v>
      </c>
      <c r="L460" s="520"/>
      <c r="M460" s="685">
        <v>299</v>
      </c>
      <c r="N460" s="687">
        <v>36</v>
      </c>
      <c r="O460" s="682">
        <f t="shared" si="21"/>
        <v>0.12040133779264214</v>
      </c>
      <c r="P460" s="683">
        <f t="shared" si="22"/>
        <v>41.517702687117982</v>
      </c>
      <c r="Q460" s="684">
        <f t="shared" si="23"/>
        <v>0.4151770268711798</v>
      </c>
      <c r="R460" s="490"/>
    </row>
    <row r="461" spans="1:18" x14ac:dyDescent="0.2">
      <c r="A461" s="506" t="s">
        <v>276</v>
      </c>
      <c r="B461" s="502" t="s">
        <v>779</v>
      </c>
      <c r="C461" s="507" t="s">
        <v>288</v>
      </c>
      <c r="D461" s="503" t="s">
        <v>283</v>
      </c>
      <c r="E461" s="348"/>
      <c r="F461" s="504" t="s">
        <v>109</v>
      </c>
      <c r="G461" s="512" t="s">
        <v>804</v>
      </c>
      <c r="H461" s="511" t="s">
        <v>789</v>
      </c>
      <c r="I461" s="510" t="s">
        <v>790</v>
      </c>
      <c r="J461" s="509" t="s">
        <v>650</v>
      </c>
      <c r="K461" s="516">
        <v>8</v>
      </c>
      <c r="L461" s="520"/>
      <c r="M461" s="685">
        <v>64</v>
      </c>
      <c r="N461" s="687">
        <v>6</v>
      </c>
      <c r="O461" s="682">
        <f t="shared" si="21"/>
        <v>9.375E-2</v>
      </c>
      <c r="P461" s="683">
        <f t="shared" si="22"/>
        <v>117.1875</v>
      </c>
      <c r="Q461" s="684">
        <f t="shared" si="23"/>
        <v>1.171875</v>
      </c>
      <c r="R461" s="490"/>
    </row>
    <row r="462" spans="1:18" x14ac:dyDescent="0.2">
      <c r="A462" s="506" t="s">
        <v>276</v>
      </c>
      <c r="B462" s="502" t="s">
        <v>779</v>
      </c>
      <c r="C462" s="507" t="s">
        <v>288</v>
      </c>
      <c r="D462" s="503" t="s">
        <v>284</v>
      </c>
      <c r="E462" s="348"/>
      <c r="F462" s="504" t="s">
        <v>109</v>
      </c>
      <c r="G462" s="512" t="s">
        <v>804</v>
      </c>
      <c r="H462" s="511" t="s">
        <v>789</v>
      </c>
      <c r="I462" s="510" t="s">
        <v>790</v>
      </c>
      <c r="J462" s="509" t="s">
        <v>650</v>
      </c>
      <c r="K462" s="516">
        <v>8</v>
      </c>
      <c r="L462" s="520" t="s">
        <v>791</v>
      </c>
      <c r="M462" s="685">
        <v>10</v>
      </c>
      <c r="N462" s="687">
        <v>0</v>
      </c>
      <c r="O462" s="682">
        <f t="shared" si="21"/>
        <v>0</v>
      </c>
      <c r="P462" s="683">
        <f t="shared" si="22"/>
        <v>0</v>
      </c>
      <c r="Q462" s="684">
        <f t="shared" si="23"/>
        <v>0</v>
      </c>
      <c r="R462" s="491"/>
    </row>
    <row r="463" spans="1:18" x14ac:dyDescent="0.2">
      <c r="A463" s="506" t="s">
        <v>276</v>
      </c>
      <c r="B463" s="502" t="s">
        <v>779</v>
      </c>
      <c r="C463" s="507" t="s">
        <v>288</v>
      </c>
      <c r="D463" s="503" t="s">
        <v>279</v>
      </c>
      <c r="E463" s="348"/>
      <c r="F463" s="504" t="s">
        <v>109</v>
      </c>
      <c r="G463" s="512" t="s">
        <v>804</v>
      </c>
      <c r="H463" s="511" t="s">
        <v>789</v>
      </c>
      <c r="I463" s="510" t="s">
        <v>790</v>
      </c>
      <c r="J463" s="509" t="s">
        <v>650</v>
      </c>
      <c r="K463" s="516">
        <v>0</v>
      </c>
      <c r="L463" s="520" t="s">
        <v>791</v>
      </c>
      <c r="M463" s="685">
        <v>2</v>
      </c>
      <c r="N463" s="687">
        <v>1</v>
      </c>
      <c r="O463" s="682">
        <f t="shared" si="21"/>
        <v>0.5</v>
      </c>
      <c r="P463" s="683" t="str">
        <f t="shared" si="22"/>
        <v>0</v>
      </c>
      <c r="Q463" s="684" t="str">
        <f t="shared" si="23"/>
        <v>0</v>
      </c>
      <c r="R463" s="491"/>
    </row>
    <row r="464" spans="1:18" x14ac:dyDescent="0.2">
      <c r="A464" s="506" t="s">
        <v>276</v>
      </c>
      <c r="B464" s="502" t="s">
        <v>779</v>
      </c>
      <c r="C464" s="507" t="s">
        <v>288</v>
      </c>
      <c r="D464" s="503" t="s">
        <v>281</v>
      </c>
      <c r="E464" s="348"/>
      <c r="F464" s="504" t="s">
        <v>109</v>
      </c>
      <c r="G464" s="512" t="s">
        <v>804</v>
      </c>
      <c r="H464" s="511" t="s">
        <v>789</v>
      </c>
      <c r="I464" s="510" t="s">
        <v>790</v>
      </c>
      <c r="J464" s="509" t="s">
        <v>650</v>
      </c>
      <c r="K464" s="516">
        <v>8</v>
      </c>
      <c r="L464" s="520" t="s">
        <v>791</v>
      </c>
      <c r="M464" s="685">
        <v>17</v>
      </c>
      <c r="N464" s="687">
        <v>3</v>
      </c>
      <c r="O464" s="682">
        <f t="shared" si="21"/>
        <v>0.17647058823529413</v>
      </c>
      <c r="P464" s="683">
        <f t="shared" si="22"/>
        <v>220.58823529411762</v>
      </c>
      <c r="Q464" s="684">
        <f t="shared" si="23"/>
        <v>2.2058823529411762</v>
      </c>
      <c r="R464" s="491"/>
    </row>
    <row r="465" spans="1:18" x14ac:dyDescent="0.2">
      <c r="A465" s="506" t="s">
        <v>276</v>
      </c>
      <c r="B465" s="502" t="s">
        <v>779</v>
      </c>
      <c r="C465" s="507" t="s">
        <v>99</v>
      </c>
      <c r="D465" s="503" t="s">
        <v>287</v>
      </c>
      <c r="E465" s="348"/>
      <c r="F465" s="504" t="s">
        <v>109</v>
      </c>
      <c r="G465" s="512" t="s">
        <v>804</v>
      </c>
      <c r="H465" s="511" t="s">
        <v>792</v>
      </c>
      <c r="I465" s="510" t="s">
        <v>790</v>
      </c>
      <c r="J465" s="509" t="s">
        <v>650</v>
      </c>
      <c r="K465" s="516">
        <v>17</v>
      </c>
      <c r="L465" s="520"/>
      <c r="M465" s="685">
        <v>326</v>
      </c>
      <c r="N465" s="687">
        <v>49</v>
      </c>
      <c r="O465" s="682">
        <f t="shared" si="21"/>
        <v>0.15030674846625766</v>
      </c>
      <c r="P465" s="683">
        <f t="shared" si="22"/>
        <v>88.415734391916274</v>
      </c>
      <c r="Q465" s="684">
        <f t="shared" si="23"/>
        <v>0.88415734391916267</v>
      </c>
      <c r="R465" s="490"/>
    </row>
    <row r="466" spans="1:18" x14ac:dyDescent="0.2">
      <c r="A466" s="506" t="s">
        <v>276</v>
      </c>
      <c r="B466" s="502" t="s">
        <v>779</v>
      </c>
      <c r="C466" s="507" t="s">
        <v>99</v>
      </c>
      <c r="D466" s="503" t="s">
        <v>283</v>
      </c>
      <c r="E466" s="348"/>
      <c r="F466" s="504" t="s">
        <v>109</v>
      </c>
      <c r="G466" s="512" t="s">
        <v>804</v>
      </c>
      <c r="H466" s="511" t="s">
        <v>789</v>
      </c>
      <c r="I466" s="510" t="s">
        <v>790</v>
      </c>
      <c r="J466" s="509" t="s">
        <v>650</v>
      </c>
      <c r="K466" s="516">
        <v>36</v>
      </c>
      <c r="L466" s="520"/>
      <c r="M466" s="685">
        <v>17</v>
      </c>
      <c r="N466" s="687">
        <v>4</v>
      </c>
      <c r="O466" s="682">
        <f t="shared" si="21"/>
        <v>0.23529411764705882</v>
      </c>
      <c r="P466" s="683">
        <f t="shared" si="22"/>
        <v>65.359477124183002</v>
      </c>
      <c r="Q466" s="684">
        <f t="shared" si="23"/>
        <v>0.65359477124183007</v>
      </c>
      <c r="R466" s="490"/>
    </row>
    <row r="467" spans="1:18" x14ac:dyDescent="0.2">
      <c r="A467" s="506" t="s">
        <v>276</v>
      </c>
      <c r="B467" s="502" t="s">
        <v>779</v>
      </c>
      <c r="C467" s="507" t="s">
        <v>99</v>
      </c>
      <c r="D467" s="503" t="s">
        <v>284</v>
      </c>
      <c r="E467" s="348"/>
      <c r="F467" s="504" t="s">
        <v>109</v>
      </c>
      <c r="G467" s="512" t="s">
        <v>804</v>
      </c>
      <c r="H467" s="511" t="s">
        <v>789</v>
      </c>
      <c r="I467" s="510" t="s">
        <v>790</v>
      </c>
      <c r="J467" s="509" t="s">
        <v>650</v>
      </c>
      <c r="K467" s="516">
        <v>80</v>
      </c>
      <c r="L467" s="520"/>
      <c r="M467" s="685">
        <v>8</v>
      </c>
      <c r="N467" s="687">
        <v>2</v>
      </c>
      <c r="O467" s="682">
        <f t="shared" si="21"/>
        <v>0.25</v>
      </c>
      <c r="P467" s="683">
        <f t="shared" si="22"/>
        <v>31.25</v>
      </c>
      <c r="Q467" s="684">
        <f t="shared" si="23"/>
        <v>0.3125</v>
      </c>
      <c r="R467" s="490"/>
    </row>
    <row r="468" spans="1:18" x14ac:dyDescent="0.2">
      <c r="A468" s="506" t="s">
        <v>276</v>
      </c>
      <c r="B468" s="502" t="s">
        <v>779</v>
      </c>
      <c r="C468" s="507" t="s">
        <v>99</v>
      </c>
      <c r="D468" s="503" t="s">
        <v>279</v>
      </c>
      <c r="E468" s="348"/>
      <c r="F468" s="504" t="s">
        <v>109</v>
      </c>
      <c r="G468" s="512" t="s">
        <v>804</v>
      </c>
      <c r="H468" s="511" t="s">
        <v>789</v>
      </c>
      <c r="I468" s="510" t="s">
        <v>790</v>
      </c>
      <c r="J468" s="509" t="s">
        <v>650</v>
      </c>
      <c r="K468" s="516">
        <v>0</v>
      </c>
      <c r="L468" s="520" t="s">
        <v>791</v>
      </c>
      <c r="M468" s="685">
        <v>5</v>
      </c>
      <c r="N468" s="687">
        <v>2</v>
      </c>
      <c r="O468" s="682">
        <f t="shared" si="21"/>
        <v>0.4</v>
      </c>
      <c r="P468" s="683" t="str">
        <f t="shared" si="22"/>
        <v>0</v>
      </c>
      <c r="Q468" s="684" t="str">
        <f t="shared" si="23"/>
        <v>0</v>
      </c>
      <c r="R468" s="491"/>
    </row>
    <row r="469" spans="1:18" x14ac:dyDescent="0.2">
      <c r="A469" s="506" t="s">
        <v>276</v>
      </c>
      <c r="B469" s="502" t="s">
        <v>779</v>
      </c>
      <c r="C469" s="507" t="s">
        <v>99</v>
      </c>
      <c r="D469" s="503" t="s">
        <v>281</v>
      </c>
      <c r="E469" s="348"/>
      <c r="F469" s="504" t="s">
        <v>109</v>
      </c>
      <c r="G469" s="512" t="s">
        <v>804</v>
      </c>
      <c r="H469" s="511" t="s">
        <v>789</v>
      </c>
      <c r="I469" s="510" t="s">
        <v>790</v>
      </c>
      <c r="J469" s="509" t="s">
        <v>650</v>
      </c>
      <c r="K469" s="516">
        <v>0</v>
      </c>
      <c r="L469" s="520" t="s">
        <v>791</v>
      </c>
      <c r="M469" s="685">
        <v>1</v>
      </c>
      <c r="N469" s="687">
        <v>0</v>
      </c>
      <c r="O469" s="682">
        <f t="shared" si="21"/>
        <v>0</v>
      </c>
      <c r="P469" s="683" t="str">
        <f t="shared" si="22"/>
        <v>0</v>
      </c>
      <c r="Q469" s="684" t="str">
        <f t="shared" si="23"/>
        <v>0</v>
      </c>
      <c r="R469" s="491"/>
    </row>
    <row r="470" spans="1:18" x14ac:dyDescent="0.2">
      <c r="A470" s="506" t="s">
        <v>276</v>
      </c>
      <c r="B470" s="502" t="s">
        <v>779</v>
      </c>
      <c r="C470" s="507" t="s">
        <v>285</v>
      </c>
      <c r="D470" s="503" t="s">
        <v>287</v>
      </c>
      <c r="E470" s="348"/>
      <c r="F470" s="504" t="s">
        <v>109</v>
      </c>
      <c r="G470" s="512" t="s">
        <v>804</v>
      </c>
      <c r="H470" s="511" t="s">
        <v>792</v>
      </c>
      <c r="I470" s="510" t="s">
        <v>790</v>
      </c>
      <c r="J470" s="509" t="s">
        <v>650</v>
      </c>
      <c r="K470" s="516">
        <v>13</v>
      </c>
      <c r="L470" s="520"/>
      <c r="M470" s="685">
        <v>0</v>
      </c>
      <c r="N470" s="687">
        <v>0</v>
      </c>
      <c r="O470" s="682">
        <f t="shared" si="21"/>
        <v>0</v>
      </c>
      <c r="P470" s="683" t="str">
        <f t="shared" si="22"/>
        <v>0</v>
      </c>
      <c r="Q470" s="684" t="str">
        <f t="shared" si="23"/>
        <v>0</v>
      </c>
      <c r="R470" s="491"/>
    </row>
    <row r="471" spans="1:18" x14ac:dyDescent="0.2">
      <c r="A471" s="506" t="s">
        <v>276</v>
      </c>
      <c r="B471" s="502" t="s">
        <v>779</v>
      </c>
      <c r="C471" s="507" t="s">
        <v>285</v>
      </c>
      <c r="D471" s="503" t="s">
        <v>283</v>
      </c>
      <c r="E471" s="348"/>
      <c r="F471" s="504" t="s">
        <v>109</v>
      </c>
      <c r="G471" s="512" t="s">
        <v>804</v>
      </c>
      <c r="H471" s="511" t="s">
        <v>789</v>
      </c>
      <c r="I471" s="510" t="s">
        <v>790</v>
      </c>
      <c r="J471" s="509" t="s">
        <v>650</v>
      </c>
      <c r="K471" s="516">
        <v>0</v>
      </c>
      <c r="L471" s="520" t="s">
        <v>791</v>
      </c>
      <c r="M471" s="685">
        <v>5</v>
      </c>
      <c r="N471" s="687">
        <v>1</v>
      </c>
      <c r="O471" s="682">
        <f t="shared" si="21"/>
        <v>0.2</v>
      </c>
      <c r="P471" s="683" t="str">
        <f t="shared" si="22"/>
        <v>0</v>
      </c>
      <c r="Q471" s="684" t="str">
        <f t="shared" si="23"/>
        <v>0</v>
      </c>
      <c r="R471" s="491"/>
    </row>
    <row r="472" spans="1:18" x14ac:dyDescent="0.2">
      <c r="A472" s="506" t="s">
        <v>276</v>
      </c>
      <c r="B472" s="502" t="s">
        <v>779</v>
      </c>
      <c r="C472" s="507" t="s">
        <v>285</v>
      </c>
      <c r="D472" s="503" t="s">
        <v>284</v>
      </c>
      <c r="E472" s="348"/>
      <c r="F472" s="504" t="s">
        <v>109</v>
      </c>
      <c r="G472" s="512" t="s">
        <v>804</v>
      </c>
      <c r="H472" s="511" t="s">
        <v>789</v>
      </c>
      <c r="I472" s="510" t="s">
        <v>790</v>
      </c>
      <c r="J472" s="509" t="s">
        <v>650</v>
      </c>
      <c r="K472" s="516">
        <v>0</v>
      </c>
      <c r="L472" s="520" t="s">
        <v>791</v>
      </c>
      <c r="M472" s="685">
        <v>4</v>
      </c>
      <c r="N472" s="687">
        <v>0</v>
      </c>
      <c r="O472" s="682">
        <f t="shared" si="21"/>
        <v>0</v>
      </c>
      <c r="P472" s="683" t="str">
        <f t="shared" si="22"/>
        <v>0</v>
      </c>
      <c r="Q472" s="684" t="str">
        <f t="shared" si="23"/>
        <v>0</v>
      </c>
      <c r="R472" s="491"/>
    </row>
    <row r="473" spans="1:18" x14ac:dyDescent="0.2">
      <c r="A473" s="506" t="s">
        <v>276</v>
      </c>
      <c r="B473" s="502" t="s">
        <v>779</v>
      </c>
      <c r="C473" s="507" t="s">
        <v>285</v>
      </c>
      <c r="D473" s="503" t="s">
        <v>279</v>
      </c>
      <c r="E473" s="348"/>
      <c r="F473" s="504" t="s">
        <v>109</v>
      </c>
      <c r="G473" s="512" t="s">
        <v>804</v>
      </c>
      <c r="H473" s="511" t="s">
        <v>789</v>
      </c>
      <c r="I473" s="510" t="s">
        <v>790</v>
      </c>
      <c r="J473" s="509" t="s">
        <v>650</v>
      </c>
      <c r="K473" s="516">
        <v>0</v>
      </c>
      <c r="L473" s="520" t="s">
        <v>791</v>
      </c>
      <c r="M473" s="685">
        <v>1</v>
      </c>
      <c r="N473" s="687">
        <v>0</v>
      </c>
      <c r="O473" s="682">
        <f t="shared" si="21"/>
        <v>0</v>
      </c>
      <c r="P473" s="683" t="str">
        <f t="shared" si="22"/>
        <v>0</v>
      </c>
      <c r="Q473" s="684" t="str">
        <f t="shared" si="23"/>
        <v>0</v>
      </c>
      <c r="R473" s="491"/>
    </row>
    <row r="474" spans="1:18" x14ac:dyDescent="0.2">
      <c r="A474" s="506" t="s">
        <v>276</v>
      </c>
      <c r="B474" s="502" t="s">
        <v>779</v>
      </c>
      <c r="C474" s="507" t="s">
        <v>285</v>
      </c>
      <c r="D474" s="503" t="s">
        <v>281</v>
      </c>
      <c r="E474" s="348"/>
      <c r="F474" s="504" t="s">
        <v>109</v>
      </c>
      <c r="G474" s="512" t="s">
        <v>804</v>
      </c>
      <c r="H474" s="511" t="s">
        <v>789</v>
      </c>
      <c r="I474" s="510" t="s">
        <v>790</v>
      </c>
      <c r="J474" s="509" t="s">
        <v>650</v>
      </c>
      <c r="K474" s="516">
        <v>25</v>
      </c>
      <c r="L474" s="520"/>
      <c r="M474" s="685">
        <v>12</v>
      </c>
      <c r="N474" s="687">
        <v>4</v>
      </c>
      <c r="O474" s="682">
        <f t="shared" si="21"/>
        <v>0.33333333333333331</v>
      </c>
      <c r="P474" s="683">
        <f t="shared" si="22"/>
        <v>133.33333333333331</v>
      </c>
      <c r="Q474" s="684">
        <f t="shared" si="23"/>
        <v>1.3333333333333333</v>
      </c>
      <c r="R474" s="490"/>
    </row>
    <row r="475" spans="1:18" x14ac:dyDescent="0.2">
      <c r="A475" s="506" t="s">
        <v>276</v>
      </c>
      <c r="B475" s="502" t="s">
        <v>779</v>
      </c>
      <c r="C475" s="507" t="s">
        <v>285</v>
      </c>
      <c r="D475" s="503" t="s">
        <v>286</v>
      </c>
      <c r="E475" s="348"/>
      <c r="F475" s="504" t="s">
        <v>109</v>
      </c>
      <c r="G475" s="512" t="s">
        <v>804</v>
      </c>
      <c r="H475" s="511" t="s">
        <v>789</v>
      </c>
      <c r="I475" s="510" t="s">
        <v>790</v>
      </c>
      <c r="J475" s="509" t="s">
        <v>650</v>
      </c>
      <c r="K475" s="516">
        <v>10</v>
      </c>
      <c r="L475" s="520"/>
      <c r="M475" s="685">
        <v>20</v>
      </c>
      <c r="N475" s="687">
        <v>0</v>
      </c>
      <c r="O475" s="682">
        <f t="shared" si="21"/>
        <v>0</v>
      </c>
      <c r="P475" s="683">
        <f t="shared" si="22"/>
        <v>0</v>
      </c>
      <c r="Q475" s="684">
        <f t="shared" si="23"/>
        <v>0</v>
      </c>
      <c r="R475" s="490"/>
    </row>
    <row r="476" spans="1:18" x14ac:dyDescent="0.2">
      <c r="A476" s="506" t="s">
        <v>276</v>
      </c>
      <c r="B476" s="502" t="s">
        <v>779</v>
      </c>
      <c r="C476" s="507" t="s">
        <v>291</v>
      </c>
      <c r="D476" s="503" t="s">
        <v>283</v>
      </c>
      <c r="E476" s="348"/>
      <c r="F476" s="504" t="s">
        <v>109</v>
      </c>
      <c r="G476" s="512" t="s">
        <v>804</v>
      </c>
      <c r="H476" s="511" t="s">
        <v>789</v>
      </c>
      <c r="I476" s="510" t="s">
        <v>790</v>
      </c>
      <c r="J476" s="509" t="s">
        <v>650</v>
      </c>
      <c r="K476" s="516">
        <v>0</v>
      </c>
      <c r="L476" s="520" t="s">
        <v>791</v>
      </c>
      <c r="M476" s="685">
        <v>0</v>
      </c>
      <c r="N476" s="687">
        <v>0</v>
      </c>
      <c r="O476" s="682">
        <f t="shared" si="21"/>
        <v>0</v>
      </c>
      <c r="P476" s="683" t="str">
        <f t="shared" si="22"/>
        <v>0</v>
      </c>
      <c r="Q476" s="684" t="str">
        <f t="shared" si="23"/>
        <v>0</v>
      </c>
      <c r="R476" s="491"/>
    </row>
    <row r="477" spans="1:18" x14ac:dyDescent="0.2">
      <c r="A477" s="506" t="s">
        <v>276</v>
      </c>
      <c r="B477" s="502" t="s">
        <v>779</v>
      </c>
      <c r="C477" s="507" t="s">
        <v>291</v>
      </c>
      <c r="D477" s="503" t="s">
        <v>284</v>
      </c>
      <c r="E477" s="348"/>
      <c r="F477" s="504" t="s">
        <v>109</v>
      </c>
      <c r="G477" s="512" t="s">
        <v>804</v>
      </c>
      <c r="H477" s="511" t="s">
        <v>789</v>
      </c>
      <c r="I477" s="510" t="s">
        <v>790</v>
      </c>
      <c r="J477" s="509" t="s">
        <v>650</v>
      </c>
      <c r="K477" s="516">
        <v>0</v>
      </c>
      <c r="L477" s="520" t="s">
        <v>791</v>
      </c>
      <c r="M477" s="685">
        <v>0</v>
      </c>
      <c r="N477" s="687">
        <v>0</v>
      </c>
      <c r="O477" s="682">
        <f t="shared" si="21"/>
        <v>0</v>
      </c>
      <c r="P477" s="683" t="str">
        <f t="shared" si="22"/>
        <v>0</v>
      </c>
      <c r="Q477" s="684" t="str">
        <f t="shared" si="23"/>
        <v>0</v>
      </c>
      <c r="R477" s="491"/>
    </row>
    <row r="478" spans="1:18" x14ac:dyDescent="0.2">
      <c r="A478" s="506" t="s">
        <v>276</v>
      </c>
      <c r="B478" s="502" t="s">
        <v>779</v>
      </c>
      <c r="C478" s="507" t="s">
        <v>290</v>
      </c>
      <c r="D478" s="503" t="s">
        <v>287</v>
      </c>
      <c r="E478" s="348"/>
      <c r="F478" s="504" t="s">
        <v>109</v>
      </c>
      <c r="G478" s="512" t="s">
        <v>804</v>
      </c>
      <c r="H478" s="511" t="s">
        <v>792</v>
      </c>
      <c r="I478" s="510" t="s">
        <v>790</v>
      </c>
      <c r="J478" s="509" t="s">
        <v>650</v>
      </c>
      <c r="K478" s="516">
        <v>38</v>
      </c>
      <c r="L478" s="520"/>
      <c r="M478" s="685">
        <v>65</v>
      </c>
      <c r="N478" s="687">
        <v>9</v>
      </c>
      <c r="O478" s="682">
        <f t="shared" si="21"/>
        <v>0.13846153846153847</v>
      </c>
      <c r="P478" s="683">
        <f t="shared" si="22"/>
        <v>36.43724696356275</v>
      </c>
      <c r="Q478" s="684">
        <f t="shared" si="23"/>
        <v>0.36437246963562753</v>
      </c>
      <c r="R478" s="490"/>
    </row>
    <row r="479" spans="1:18" x14ac:dyDescent="0.2">
      <c r="A479" s="506" t="s">
        <v>276</v>
      </c>
      <c r="B479" s="502" t="s">
        <v>779</v>
      </c>
      <c r="C479" s="507" t="s">
        <v>290</v>
      </c>
      <c r="D479" s="503" t="s">
        <v>283</v>
      </c>
      <c r="E479" s="348"/>
      <c r="F479" s="504" t="s">
        <v>109</v>
      </c>
      <c r="G479" s="512" t="s">
        <v>804</v>
      </c>
      <c r="H479" s="511" t="s">
        <v>789</v>
      </c>
      <c r="I479" s="510" t="s">
        <v>790</v>
      </c>
      <c r="J479" s="509" t="s">
        <v>650</v>
      </c>
      <c r="K479" s="516">
        <v>0</v>
      </c>
      <c r="L479" s="520" t="s">
        <v>791</v>
      </c>
      <c r="M479" s="685">
        <v>5</v>
      </c>
      <c r="N479" s="687">
        <v>0</v>
      </c>
      <c r="O479" s="682">
        <f t="shared" si="21"/>
        <v>0</v>
      </c>
      <c r="P479" s="683" t="str">
        <f t="shared" si="22"/>
        <v>0</v>
      </c>
      <c r="Q479" s="684" t="str">
        <f t="shared" si="23"/>
        <v>0</v>
      </c>
      <c r="R479" s="491"/>
    </row>
    <row r="480" spans="1:18" x14ac:dyDescent="0.2">
      <c r="A480" s="506" t="s">
        <v>276</v>
      </c>
      <c r="B480" s="502" t="s">
        <v>779</v>
      </c>
      <c r="C480" s="507" t="s">
        <v>290</v>
      </c>
      <c r="D480" s="503" t="s">
        <v>284</v>
      </c>
      <c r="E480" s="348"/>
      <c r="F480" s="504" t="s">
        <v>109</v>
      </c>
      <c r="G480" s="512" t="s">
        <v>804</v>
      </c>
      <c r="H480" s="511" t="s">
        <v>789</v>
      </c>
      <c r="I480" s="510" t="s">
        <v>790</v>
      </c>
      <c r="J480" s="509" t="s">
        <v>650</v>
      </c>
      <c r="K480" s="516">
        <v>0</v>
      </c>
      <c r="L480" s="520" t="s">
        <v>791</v>
      </c>
      <c r="M480" s="685">
        <v>0</v>
      </c>
      <c r="N480" s="687">
        <v>0</v>
      </c>
      <c r="O480" s="682">
        <f t="shared" si="21"/>
        <v>0</v>
      </c>
      <c r="P480" s="683" t="str">
        <f t="shared" si="22"/>
        <v>0</v>
      </c>
      <c r="Q480" s="684" t="str">
        <f t="shared" si="23"/>
        <v>0</v>
      </c>
      <c r="R480" s="491"/>
    </row>
    <row r="481" spans="1:18" x14ac:dyDescent="0.2">
      <c r="A481" s="506" t="s">
        <v>276</v>
      </c>
      <c r="B481" s="502" t="s">
        <v>779</v>
      </c>
      <c r="C481" s="507" t="s">
        <v>289</v>
      </c>
      <c r="D481" s="503" t="s">
        <v>287</v>
      </c>
      <c r="E481" s="348"/>
      <c r="F481" s="504" t="s">
        <v>109</v>
      </c>
      <c r="G481" s="512" t="s">
        <v>804</v>
      </c>
      <c r="H481" s="511" t="s">
        <v>792</v>
      </c>
      <c r="I481" s="510" t="s">
        <v>790</v>
      </c>
      <c r="J481" s="509" t="s">
        <v>650</v>
      </c>
      <c r="K481" s="516">
        <v>5</v>
      </c>
      <c r="L481" s="520"/>
      <c r="M481" s="685">
        <v>733</v>
      </c>
      <c r="N481" s="687">
        <v>90</v>
      </c>
      <c r="O481" s="682">
        <f t="shared" si="21"/>
        <v>0.12278308321964529</v>
      </c>
      <c r="P481" s="683">
        <f t="shared" si="22"/>
        <v>245.56616643929061</v>
      </c>
      <c r="Q481" s="684">
        <f t="shared" si="23"/>
        <v>2.4556616643929061</v>
      </c>
      <c r="R481" s="490"/>
    </row>
    <row r="482" spans="1:18" x14ac:dyDescent="0.2">
      <c r="A482" s="506" t="s">
        <v>276</v>
      </c>
      <c r="B482" s="502" t="s">
        <v>779</v>
      </c>
      <c r="C482" s="507" t="s">
        <v>289</v>
      </c>
      <c r="D482" s="503" t="s">
        <v>283</v>
      </c>
      <c r="E482" s="348"/>
      <c r="F482" s="504" t="s">
        <v>109</v>
      </c>
      <c r="G482" s="512" t="s">
        <v>804</v>
      </c>
      <c r="H482" s="511" t="s">
        <v>789</v>
      </c>
      <c r="I482" s="510" t="s">
        <v>790</v>
      </c>
      <c r="J482" s="509" t="s">
        <v>650</v>
      </c>
      <c r="K482" s="516">
        <v>32</v>
      </c>
      <c r="L482" s="520"/>
      <c r="M482" s="685">
        <v>134</v>
      </c>
      <c r="N482" s="687">
        <v>38</v>
      </c>
      <c r="O482" s="682">
        <f t="shared" si="21"/>
        <v>0.28358208955223879</v>
      </c>
      <c r="P482" s="683">
        <f t="shared" si="22"/>
        <v>88.619402985074629</v>
      </c>
      <c r="Q482" s="684">
        <f t="shared" si="23"/>
        <v>0.88619402985074625</v>
      </c>
      <c r="R482" s="490"/>
    </row>
    <row r="483" spans="1:18" x14ac:dyDescent="0.2">
      <c r="A483" s="506" t="s">
        <v>276</v>
      </c>
      <c r="B483" s="502" t="s">
        <v>779</v>
      </c>
      <c r="C483" s="507" t="s">
        <v>289</v>
      </c>
      <c r="D483" s="503" t="s">
        <v>284</v>
      </c>
      <c r="E483" s="348"/>
      <c r="F483" s="504" t="s">
        <v>109</v>
      </c>
      <c r="G483" s="512" t="s">
        <v>804</v>
      </c>
      <c r="H483" s="511" t="s">
        <v>789</v>
      </c>
      <c r="I483" s="510" t="s">
        <v>790</v>
      </c>
      <c r="J483" s="509" t="s">
        <v>650</v>
      </c>
      <c r="K483" s="516">
        <v>33</v>
      </c>
      <c r="L483" s="520"/>
      <c r="M483" s="685">
        <v>29</v>
      </c>
      <c r="N483" s="687">
        <v>13</v>
      </c>
      <c r="O483" s="682">
        <f t="shared" si="21"/>
        <v>0.44827586206896552</v>
      </c>
      <c r="P483" s="683">
        <f t="shared" si="22"/>
        <v>135.84117032392896</v>
      </c>
      <c r="Q483" s="684">
        <f t="shared" si="23"/>
        <v>1.3584117032392895</v>
      </c>
      <c r="R483" s="490"/>
    </row>
    <row r="484" spans="1:18" x14ac:dyDescent="0.2">
      <c r="A484" s="506" t="s">
        <v>276</v>
      </c>
      <c r="B484" s="502" t="s">
        <v>779</v>
      </c>
      <c r="C484" s="507" t="s">
        <v>289</v>
      </c>
      <c r="D484" s="503" t="s">
        <v>281</v>
      </c>
      <c r="E484" s="348"/>
      <c r="F484" s="504" t="s">
        <v>109</v>
      </c>
      <c r="G484" s="512" t="s">
        <v>804</v>
      </c>
      <c r="H484" s="511" t="s">
        <v>789</v>
      </c>
      <c r="I484" s="510" t="s">
        <v>790</v>
      </c>
      <c r="J484" s="509" t="s">
        <v>650</v>
      </c>
      <c r="K484" s="516">
        <v>0</v>
      </c>
      <c r="L484" s="520" t="s">
        <v>791</v>
      </c>
      <c r="M484" s="685">
        <v>2</v>
      </c>
      <c r="N484" s="687">
        <v>0</v>
      </c>
      <c r="O484" s="682">
        <f t="shared" si="21"/>
        <v>0</v>
      </c>
      <c r="P484" s="683" t="str">
        <f t="shared" si="22"/>
        <v>0</v>
      </c>
      <c r="Q484" s="684" t="str">
        <f t="shared" si="23"/>
        <v>0</v>
      </c>
      <c r="R484" s="491"/>
    </row>
    <row r="485" spans="1:18" x14ac:dyDescent="0.2">
      <c r="A485" s="506" t="s">
        <v>276</v>
      </c>
      <c r="B485" s="502" t="s">
        <v>779</v>
      </c>
      <c r="C485" s="507" t="s">
        <v>97</v>
      </c>
      <c r="D485" s="503" t="s">
        <v>279</v>
      </c>
      <c r="E485" s="348"/>
      <c r="F485" s="504" t="s">
        <v>109</v>
      </c>
      <c r="G485" s="512" t="s">
        <v>805</v>
      </c>
      <c r="H485" s="511" t="s">
        <v>789</v>
      </c>
      <c r="I485" s="510" t="s">
        <v>790</v>
      </c>
      <c r="J485" s="509" t="s">
        <v>650</v>
      </c>
      <c r="K485" s="516">
        <v>33</v>
      </c>
      <c r="L485" s="520"/>
      <c r="M485" s="685">
        <v>6</v>
      </c>
      <c r="N485" s="687">
        <v>4</v>
      </c>
      <c r="O485" s="682">
        <f t="shared" si="21"/>
        <v>0.66666666666666663</v>
      </c>
      <c r="P485" s="683">
        <f t="shared" si="22"/>
        <v>202.02020202020202</v>
      </c>
      <c r="Q485" s="684">
        <f t="shared" si="23"/>
        <v>2.0202020202020203</v>
      </c>
      <c r="R485" s="491"/>
    </row>
    <row r="486" spans="1:18" x14ac:dyDescent="0.2">
      <c r="A486" s="506" t="s">
        <v>276</v>
      </c>
      <c r="B486" s="502" t="s">
        <v>779</v>
      </c>
      <c r="C486" s="507" t="s">
        <v>97</v>
      </c>
      <c r="D486" s="503" t="s">
        <v>281</v>
      </c>
      <c r="E486" s="348"/>
      <c r="F486" s="504" t="s">
        <v>109</v>
      </c>
      <c r="G486" s="512" t="s">
        <v>805</v>
      </c>
      <c r="H486" s="511" t="s">
        <v>789</v>
      </c>
      <c r="I486" s="510" t="s">
        <v>790</v>
      </c>
      <c r="J486" s="509" t="s">
        <v>650</v>
      </c>
      <c r="K486" s="516">
        <v>33</v>
      </c>
      <c r="L486" s="520" t="s">
        <v>791</v>
      </c>
      <c r="M486" s="685">
        <v>9</v>
      </c>
      <c r="N486" s="687">
        <v>7</v>
      </c>
      <c r="O486" s="682">
        <f t="shared" si="21"/>
        <v>0.77777777777777779</v>
      </c>
      <c r="P486" s="683">
        <f t="shared" si="22"/>
        <v>235.69023569023568</v>
      </c>
      <c r="Q486" s="684">
        <f t="shared" si="23"/>
        <v>2.3569023569023568</v>
      </c>
      <c r="R486" s="491"/>
    </row>
    <row r="487" spans="1:18" x14ac:dyDescent="0.2">
      <c r="A487" s="506" t="s">
        <v>276</v>
      </c>
      <c r="B487" s="502" t="s">
        <v>779</v>
      </c>
      <c r="C487" s="507" t="s">
        <v>282</v>
      </c>
      <c r="D487" s="503" t="s">
        <v>287</v>
      </c>
      <c r="E487" s="348"/>
      <c r="F487" s="504" t="s">
        <v>109</v>
      </c>
      <c r="G487" s="512" t="s">
        <v>805</v>
      </c>
      <c r="H487" s="511" t="s">
        <v>792</v>
      </c>
      <c r="I487" s="510" t="s">
        <v>790</v>
      </c>
      <c r="J487" s="509" t="s">
        <v>650</v>
      </c>
      <c r="K487" s="516">
        <v>5</v>
      </c>
      <c r="L487" s="520" t="s">
        <v>791</v>
      </c>
      <c r="M487" s="685">
        <v>68</v>
      </c>
      <c r="N487" s="687">
        <v>10</v>
      </c>
      <c r="O487" s="682">
        <f t="shared" si="21"/>
        <v>0.14705882352941177</v>
      </c>
      <c r="P487" s="683">
        <f t="shared" si="22"/>
        <v>294.11764705882348</v>
      </c>
      <c r="Q487" s="684">
        <f t="shared" si="23"/>
        <v>2.9411764705882351</v>
      </c>
      <c r="R487" s="491"/>
    </row>
    <row r="488" spans="1:18" x14ac:dyDescent="0.2">
      <c r="A488" s="506" t="s">
        <v>276</v>
      </c>
      <c r="B488" s="502" t="s">
        <v>779</v>
      </c>
      <c r="C488" s="507" t="s">
        <v>282</v>
      </c>
      <c r="D488" s="503" t="s">
        <v>283</v>
      </c>
      <c r="E488" s="348"/>
      <c r="F488" s="504" t="s">
        <v>109</v>
      </c>
      <c r="G488" s="512" t="s">
        <v>805</v>
      </c>
      <c r="H488" s="511" t="s">
        <v>789</v>
      </c>
      <c r="I488" s="510" t="s">
        <v>790</v>
      </c>
      <c r="J488" s="509" t="s">
        <v>650</v>
      </c>
      <c r="K488" s="516">
        <v>26</v>
      </c>
      <c r="L488" s="520"/>
      <c r="M488" s="685">
        <v>19</v>
      </c>
      <c r="N488" s="687">
        <v>2</v>
      </c>
      <c r="O488" s="682">
        <f t="shared" si="21"/>
        <v>0.10526315789473684</v>
      </c>
      <c r="P488" s="683">
        <f t="shared" si="22"/>
        <v>40.48582995951417</v>
      </c>
      <c r="Q488" s="684">
        <f t="shared" si="23"/>
        <v>0.40485829959514169</v>
      </c>
      <c r="R488" s="490"/>
    </row>
    <row r="489" spans="1:18" x14ac:dyDescent="0.2">
      <c r="A489" s="506" t="s">
        <v>276</v>
      </c>
      <c r="B489" s="502" t="s">
        <v>779</v>
      </c>
      <c r="C489" s="507" t="s">
        <v>282</v>
      </c>
      <c r="D489" s="503" t="s">
        <v>284</v>
      </c>
      <c r="E489" s="348"/>
      <c r="F489" s="504" t="s">
        <v>109</v>
      </c>
      <c r="G489" s="512" t="s">
        <v>805</v>
      </c>
      <c r="H489" s="511" t="s">
        <v>789</v>
      </c>
      <c r="I489" s="510" t="s">
        <v>790</v>
      </c>
      <c r="J489" s="509" t="s">
        <v>650</v>
      </c>
      <c r="K489" s="516">
        <v>16</v>
      </c>
      <c r="L489" s="520"/>
      <c r="M489" s="685">
        <v>43</v>
      </c>
      <c r="N489" s="687">
        <v>7</v>
      </c>
      <c r="O489" s="682">
        <f t="shared" si="21"/>
        <v>0.16279069767441862</v>
      </c>
      <c r="P489" s="683">
        <f t="shared" si="22"/>
        <v>101.74418604651163</v>
      </c>
      <c r="Q489" s="684">
        <f t="shared" si="23"/>
        <v>1.0174418604651163</v>
      </c>
      <c r="R489" s="490"/>
    </row>
    <row r="490" spans="1:18" x14ac:dyDescent="0.2">
      <c r="A490" s="506" t="s">
        <v>276</v>
      </c>
      <c r="B490" s="502" t="s">
        <v>779</v>
      </c>
      <c r="C490" s="507" t="s">
        <v>282</v>
      </c>
      <c r="D490" s="503" t="s">
        <v>279</v>
      </c>
      <c r="E490" s="348"/>
      <c r="F490" s="504" t="s">
        <v>109</v>
      </c>
      <c r="G490" s="512" t="s">
        <v>805</v>
      </c>
      <c r="H490" s="511" t="s">
        <v>789</v>
      </c>
      <c r="I490" s="510" t="s">
        <v>790</v>
      </c>
      <c r="J490" s="509" t="s">
        <v>650</v>
      </c>
      <c r="K490" s="516">
        <v>6</v>
      </c>
      <c r="L490" s="520"/>
      <c r="M490" s="685">
        <v>65</v>
      </c>
      <c r="N490" s="687">
        <v>7</v>
      </c>
      <c r="O490" s="682">
        <f t="shared" si="21"/>
        <v>0.1076923076923077</v>
      </c>
      <c r="P490" s="683">
        <f t="shared" si="22"/>
        <v>179.4871794871795</v>
      </c>
      <c r="Q490" s="684">
        <f t="shared" si="23"/>
        <v>1.7948717948717949</v>
      </c>
      <c r="R490" s="490"/>
    </row>
    <row r="491" spans="1:18" x14ac:dyDescent="0.2">
      <c r="A491" s="506" t="s">
        <v>276</v>
      </c>
      <c r="B491" s="502" t="s">
        <v>779</v>
      </c>
      <c r="C491" s="507" t="s">
        <v>282</v>
      </c>
      <c r="D491" s="503" t="s">
        <v>281</v>
      </c>
      <c r="E491" s="348"/>
      <c r="F491" s="504" t="s">
        <v>109</v>
      </c>
      <c r="G491" s="512" t="s">
        <v>805</v>
      </c>
      <c r="H491" s="511" t="s">
        <v>789</v>
      </c>
      <c r="I491" s="510" t="s">
        <v>790</v>
      </c>
      <c r="J491" s="509" t="s">
        <v>650</v>
      </c>
      <c r="K491" s="516">
        <v>8</v>
      </c>
      <c r="L491" s="520"/>
      <c r="M491" s="685">
        <v>48</v>
      </c>
      <c r="N491" s="687">
        <v>12</v>
      </c>
      <c r="O491" s="682">
        <f t="shared" si="21"/>
        <v>0.25</v>
      </c>
      <c r="P491" s="683">
        <f t="shared" si="22"/>
        <v>312.5</v>
      </c>
      <c r="Q491" s="684">
        <f t="shared" si="23"/>
        <v>3.125</v>
      </c>
      <c r="R491" s="490"/>
    </row>
    <row r="492" spans="1:18" x14ac:dyDescent="0.2">
      <c r="A492" s="506" t="s">
        <v>276</v>
      </c>
      <c r="B492" s="502" t="s">
        <v>779</v>
      </c>
      <c r="C492" s="507" t="s">
        <v>288</v>
      </c>
      <c r="D492" s="503" t="s">
        <v>287</v>
      </c>
      <c r="E492" s="348"/>
      <c r="F492" s="504" t="s">
        <v>109</v>
      </c>
      <c r="G492" s="512" t="s">
        <v>805</v>
      </c>
      <c r="H492" s="511" t="s">
        <v>792</v>
      </c>
      <c r="I492" s="510" t="s">
        <v>790</v>
      </c>
      <c r="J492" s="509" t="s">
        <v>650</v>
      </c>
      <c r="K492" s="516">
        <v>28.999999999999996</v>
      </c>
      <c r="L492" s="520"/>
      <c r="M492" s="685">
        <v>299</v>
      </c>
      <c r="N492" s="687">
        <v>36</v>
      </c>
      <c r="O492" s="682">
        <f t="shared" si="21"/>
        <v>0.12040133779264214</v>
      </c>
      <c r="P492" s="683">
        <f t="shared" si="22"/>
        <v>41.517702687117982</v>
      </c>
      <c r="Q492" s="684">
        <f t="shared" si="23"/>
        <v>0.4151770268711798</v>
      </c>
      <c r="R492" s="490"/>
    </row>
    <row r="493" spans="1:18" x14ac:dyDescent="0.2">
      <c r="A493" s="506" t="s">
        <v>276</v>
      </c>
      <c r="B493" s="502" t="s">
        <v>779</v>
      </c>
      <c r="C493" s="507" t="s">
        <v>288</v>
      </c>
      <c r="D493" s="503" t="s">
        <v>283</v>
      </c>
      <c r="E493" s="348"/>
      <c r="F493" s="504" t="s">
        <v>109</v>
      </c>
      <c r="G493" s="512" t="s">
        <v>805</v>
      </c>
      <c r="H493" s="511" t="s">
        <v>789</v>
      </c>
      <c r="I493" s="510" t="s">
        <v>790</v>
      </c>
      <c r="J493" s="509" t="s">
        <v>650</v>
      </c>
      <c r="K493" s="516">
        <v>8</v>
      </c>
      <c r="L493" s="520"/>
      <c r="M493" s="685">
        <v>64</v>
      </c>
      <c r="N493" s="687">
        <v>6</v>
      </c>
      <c r="O493" s="682">
        <f t="shared" si="21"/>
        <v>9.375E-2</v>
      </c>
      <c r="P493" s="683">
        <f t="shared" si="22"/>
        <v>117.1875</v>
      </c>
      <c r="Q493" s="684">
        <f t="shared" si="23"/>
        <v>1.171875</v>
      </c>
      <c r="R493" s="490"/>
    </row>
    <row r="494" spans="1:18" x14ac:dyDescent="0.2">
      <c r="A494" s="506" t="s">
        <v>276</v>
      </c>
      <c r="B494" s="502" t="s">
        <v>779</v>
      </c>
      <c r="C494" s="507" t="s">
        <v>288</v>
      </c>
      <c r="D494" s="503" t="s">
        <v>284</v>
      </c>
      <c r="E494" s="348"/>
      <c r="F494" s="504" t="s">
        <v>109</v>
      </c>
      <c r="G494" s="512" t="s">
        <v>805</v>
      </c>
      <c r="H494" s="511" t="s">
        <v>789</v>
      </c>
      <c r="I494" s="510" t="s">
        <v>790</v>
      </c>
      <c r="J494" s="509" t="s">
        <v>650</v>
      </c>
      <c r="K494" s="516">
        <v>8</v>
      </c>
      <c r="L494" s="520" t="s">
        <v>791</v>
      </c>
      <c r="M494" s="685">
        <v>10</v>
      </c>
      <c r="N494" s="687">
        <v>0</v>
      </c>
      <c r="O494" s="682">
        <f t="shared" si="21"/>
        <v>0</v>
      </c>
      <c r="P494" s="683">
        <f t="shared" si="22"/>
        <v>0</v>
      </c>
      <c r="Q494" s="684">
        <f t="shared" si="23"/>
        <v>0</v>
      </c>
      <c r="R494" s="491"/>
    </row>
    <row r="495" spans="1:18" x14ac:dyDescent="0.2">
      <c r="A495" s="506" t="s">
        <v>276</v>
      </c>
      <c r="B495" s="502" t="s">
        <v>779</v>
      </c>
      <c r="C495" s="507" t="s">
        <v>288</v>
      </c>
      <c r="D495" s="503" t="s">
        <v>279</v>
      </c>
      <c r="E495" s="348"/>
      <c r="F495" s="504" t="s">
        <v>109</v>
      </c>
      <c r="G495" s="512" t="s">
        <v>805</v>
      </c>
      <c r="H495" s="511" t="s">
        <v>789</v>
      </c>
      <c r="I495" s="510" t="s">
        <v>790</v>
      </c>
      <c r="J495" s="509" t="s">
        <v>650</v>
      </c>
      <c r="K495" s="516">
        <v>0</v>
      </c>
      <c r="L495" s="520" t="s">
        <v>791</v>
      </c>
      <c r="M495" s="685">
        <v>2</v>
      </c>
      <c r="N495" s="687">
        <v>1</v>
      </c>
      <c r="O495" s="682">
        <f t="shared" si="21"/>
        <v>0.5</v>
      </c>
      <c r="P495" s="683" t="str">
        <f t="shared" si="22"/>
        <v>0</v>
      </c>
      <c r="Q495" s="684" t="str">
        <f t="shared" si="23"/>
        <v>0</v>
      </c>
      <c r="R495" s="491"/>
    </row>
    <row r="496" spans="1:18" x14ac:dyDescent="0.2">
      <c r="A496" s="506" t="s">
        <v>276</v>
      </c>
      <c r="B496" s="502" t="s">
        <v>779</v>
      </c>
      <c r="C496" s="507" t="s">
        <v>288</v>
      </c>
      <c r="D496" s="503" t="s">
        <v>281</v>
      </c>
      <c r="E496" s="348"/>
      <c r="F496" s="504" t="s">
        <v>109</v>
      </c>
      <c r="G496" s="512" t="s">
        <v>805</v>
      </c>
      <c r="H496" s="511" t="s">
        <v>789</v>
      </c>
      <c r="I496" s="510" t="s">
        <v>790</v>
      </c>
      <c r="J496" s="509" t="s">
        <v>650</v>
      </c>
      <c r="K496" s="516">
        <v>8</v>
      </c>
      <c r="L496" s="520" t="s">
        <v>791</v>
      </c>
      <c r="M496" s="685">
        <v>17</v>
      </c>
      <c r="N496" s="687">
        <v>3</v>
      </c>
      <c r="O496" s="682">
        <f t="shared" si="21"/>
        <v>0.17647058823529413</v>
      </c>
      <c r="P496" s="683">
        <f t="shared" si="22"/>
        <v>220.58823529411762</v>
      </c>
      <c r="Q496" s="684">
        <f t="shared" si="23"/>
        <v>2.2058823529411762</v>
      </c>
      <c r="R496" s="491"/>
    </row>
    <row r="497" spans="1:18" x14ac:dyDescent="0.2">
      <c r="A497" s="506" t="s">
        <v>276</v>
      </c>
      <c r="B497" s="502" t="s">
        <v>779</v>
      </c>
      <c r="C497" s="507" t="s">
        <v>99</v>
      </c>
      <c r="D497" s="503" t="s">
        <v>287</v>
      </c>
      <c r="E497" s="348"/>
      <c r="F497" s="504" t="s">
        <v>109</v>
      </c>
      <c r="G497" s="512" t="s">
        <v>805</v>
      </c>
      <c r="H497" s="511" t="s">
        <v>792</v>
      </c>
      <c r="I497" s="510" t="s">
        <v>790</v>
      </c>
      <c r="J497" s="509" t="s">
        <v>650</v>
      </c>
      <c r="K497" s="516">
        <v>17</v>
      </c>
      <c r="L497" s="520"/>
      <c r="M497" s="685">
        <v>326</v>
      </c>
      <c r="N497" s="687">
        <v>49</v>
      </c>
      <c r="O497" s="682">
        <f t="shared" si="21"/>
        <v>0.15030674846625766</v>
      </c>
      <c r="P497" s="683">
        <f t="shared" si="22"/>
        <v>88.415734391916274</v>
      </c>
      <c r="Q497" s="684">
        <f t="shared" si="23"/>
        <v>0.88415734391916267</v>
      </c>
      <c r="R497" s="490"/>
    </row>
    <row r="498" spans="1:18" x14ac:dyDescent="0.2">
      <c r="A498" s="506" t="s">
        <v>276</v>
      </c>
      <c r="B498" s="502" t="s">
        <v>779</v>
      </c>
      <c r="C498" s="507" t="s">
        <v>99</v>
      </c>
      <c r="D498" s="503" t="s">
        <v>283</v>
      </c>
      <c r="E498" s="348"/>
      <c r="F498" s="504" t="s">
        <v>109</v>
      </c>
      <c r="G498" s="512" t="s">
        <v>805</v>
      </c>
      <c r="H498" s="511" t="s">
        <v>789</v>
      </c>
      <c r="I498" s="510" t="s">
        <v>790</v>
      </c>
      <c r="J498" s="509" t="s">
        <v>650</v>
      </c>
      <c r="K498" s="516">
        <v>36</v>
      </c>
      <c r="L498" s="520"/>
      <c r="M498" s="685">
        <v>17</v>
      </c>
      <c r="N498" s="687">
        <v>4</v>
      </c>
      <c r="O498" s="682">
        <f t="shared" si="21"/>
        <v>0.23529411764705882</v>
      </c>
      <c r="P498" s="683">
        <f t="shared" si="22"/>
        <v>65.359477124183002</v>
      </c>
      <c r="Q498" s="684">
        <f t="shared" si="23"/>
        <v>0.65359477124183007</v>
      </c>
      <c r="R498" s="490"/>
    </row>
    <row r="499" spans="1:18" x14ac:dyDescent="0.2">
      <c r="A499" s="506" t="s">
        <v>276</v>
      </c>
      <c r="B499" s="502" t="s">
        <v>779</v>
      </c>
      <c r="C499" s="507" t="s">
        <v>99</v>
      </c>
      <c r="D499" s="503" t="s">
        <v>284</v>
      </c>
      <c r="E499" s="348"/>
      <c r="F499" s="504" t="s">
        <v>109</v>
      </c>
      <c r="G499" s="512" t="s">
        <v>805</v>
      </c>
      <c r="H499" s="511" t="s">
        <v>789</v>
      </c>
      <c r="I499" s="510" t="s">
        <v>790</v>
      </c>
      <c r="J499" s="509" t="s">
        <v>650</v>
      </c>
      <c r="K499" s="516">
        <v>80</v>
      </c>
      <c r="L499" s="520"/>
      <c r="M499" s="685">
        <v>8</v>
      </c>
      <c r="N499" s="687">
        <v>2</v>
      </c>
      <c r="O499" s="682">
        <f t="shared" si="21"/>
        <v>0.25</v>
      </c>
      <c r="P499" s="683">
        <f t="shared" si="22"/>
        <v>31.25</v>
      </c>
      <c r="Q499" s="684">
        <f t="shared" si="23"/>
        <v>0.3125</v>
      </c>
      <c r="R499" s="490"/>
    </row>
    <row r="500" spans="1:18" x14ac:dyDescent="0.2">
      <c r="A500" s="506" t="s">
        <v>276</v>
      </c>
      <c r="B500" s="502" t="s">
        <v>779</v>
      </c>
      <c r="C500" s="507" t="s">
        <v>99</v>
      </c>
      <c r="D500" s="503" t="s">
        <v>279</v>
      </c>
      <c r="E500" s="348"/>
      <c r="F500" s="504" t="s">
        <v>109</v>
      </c>
      <c r="G500" s="512" t="s">
        <v>805</v>
      </c>
      <c r="H500" s="511" t="s">
        <v>789</v>
      </c>
      <c r="I500" s="510" t="s">
        <v>790</v>
      </c>
      <c r="J500" s="509" t="s">
        <v>650</v>
      </c>
      <c r="K500" s="516">
        <v>0</v>
      </c>
      <c r="L500" s="520" t="s">
        <v>791</v>
      </c>
      <c r="M500" s="685">
        <v>5</v>
      </c>
      <c r="N500" s="687">
        <v>2</v>
      </c>
      <c r="O500" s="682">
        <f t="shared" si="21"/>
        <v>0.4</v>
      </c>
      <c r="P500" s="683" t="str">
        <f t="shared" si="22"/>
        <v>0</v>
      </c>
      <c r="Q500" s="684" t="str">
        <f t="shared" si="23"/>
        <v>0</v>
      </c>
      <c r="R500" s="491"/>
    </row>
    <row r="501" spans="1:18" x14ac:dyDescent="0.2">
      <c r="A501" s="506" t="s">
        <v>276</v>
      </c>
      <c r="B501" s="502" t="s">
        <v>779</v>
      </c>
      <c r="C501" s="507" t="s">
        <v>99</v>
      </c>
      <c r="D501" s="503" t="s">
        <v>281</v>
      </c>
      <c r="E501" s="348"/>
      <c r="F501" s="504" t="s">
        <v>109</v>
      </c>
      <c r="G501" s="512" t="s">
        <v>805</v>
      </c>
      <c r="H501" s="511" t="s">
        <v>789</v>
      </c>
      <c r="I501" s="510" t="s">
        <v>790</v>
      </c>
      <c r="J501" s="509" t="s">
        <v>650</v>
      </c>
      <c r="K501" s="516">
        <v>0</v>
      </c>
      <c r="L501" s="520" t="s">
        <v>791</v>
      </c>
      <c r="M501" s="685">
        <v>1</v>
      </c>
      <c r="N501" s="687">
        <v>0</v>
      </c>
      <c r="O501" s="682">
        <f t="shared" si="21"/>
        <v>0</v>
      </c>
      <c r="P501" s="683" t="str">
        <f t="shared" si="22"/>
        <v>0</v>
      </c>
      <c r="Q501" s="684" t="str">
        <f t="shared" si="23"/>
        <v>0</v>
      </c>
      <c r="R501" s="491"/>
    </row>
    <row r="502" spans="1:18" x14ac:dyDescent="0.2">
      <c r="A502" s="506" t="s">
        <v>276</v>
      </c>
      <c r="B502" s="502" t="s">
        <v>779</v>
      </c>
      <c r="C502" s="507" t="s">
        <v>285</v>
      </c>
      <c r="D502" s="503" t="s">
        <v>287</v>
      </c>
      <c r="E502" s="348"/>
      <c r="F502" s="504" t="s">
        <v>109</v>
      </c>
      <c r="G502" s="512" t="s">
        <v>805</v>
      </c>
      <c r="H502" s="511" t="s">
        <v>792</v>
      </c>
      <c r="I502" s="510" t="s">
        <v>790</v>
      </c>
      <c r="J502" s="509" t="s">
        <v>650</v>
      </c>
      <c r="K502" s="516">
        <v>13</v>
      </c>
      <c r="L502" s="520"/>
      <c r="M502" s="685">
        <v>0</v>
      </c>
      <c r="N502" s="687">
        <v>0</v>
      </c>
      <c r="O502" s="682">
        <f t="shared" si="21"/>
        <v>0</v>
      </c>
      <c r="P502" s="683" t="str">
        <f t="shared" si="22"/>
        <v>0</v>
      </c>
      <c r="Q502" s="684" t="str">
        <f t="shared" si="23"/>
        <v>0</v>
      </c>
      <c r="R502" s="491"/>
    </row>
    <row r="503" spans="1:18" x14ac:dyDescent="0.2">
      <c r="A503" s="506" t="s">
        <v>276</v>
      </c>
      <c r="B503" s="502" t="s">
        <v>779</v>
      </c>
      <c r="C503" s="507" t="s">
        <v>285</v>
      </c>
      <c r="D503" s="503" t="s">
        <v>283</v>
      </c>
      <c r="E503" s="348"/>
      <c r="F503" s="504" t="s">
        <v>109</v>
      </c>
      <c r="G503" s="512" t="s">
        <v>805</v>
      </c>
      <c r="H503" s="511" t="s">
        <v>789</v>
      </c>
      <c r="I503" s="510" t="s">
        <v>790</v>
      </c>
      <c r="J503" s="509" t="s">
        <v>650</v>
      </c>
      <c r="K503" s="516">
        <v>0</v>
      </c>
      <c r="L503" s="520" t="s">
        <v>791</v>
      </c>
      <c r="M503" s="685">
        <v>5</v>
      </c>
      <c r="N503" s="687">
        <v>1</v>
      </c>
      <c r="O503" s="682">
        <f t="shared" si="21"/>
        <v>0.2</v>
      </c>
      <c r="P503" s="683" t="str">
        <f t="shared" si="22"/>
        <v>0</v>
      </c>
      <c r="Q503" s="684" t="str">
        <f t="shared" si="23"/>
        <v>0</v>
      </c>
      <c r="R503" s="491"/>
    </row>
    <row r="504" spans="1:18" x14ac:dyDescent="0.2">
      <c r="A504" s="506" t="s">
        <v>276</v>
      </c>
      <c r="B504" s="502" t="s">
        <v>779</v>
      </c>
      <c r="C504" s="507" t="s">
        <v>285</v>
      </c>
      <c r="D504" s="503" t="s">
        <v>284</v>
      </c>
      <c r="E504" s="348"/>
      <c r="F504" s="504" t="s">
        <v>109</v>
      </c>
      <c r="G504" s="512" t="s">
        <v>805</v>
      </c>
      <c r="H504" s="511" t="s">
        <v>789</v>
      </c>
      <c r="I504" s="510" t="s">
        <v>790</v>
      </c>
      <c r="J504" s="509" t="s">
        <v>650</v>
      </c>
      <c r="K504" s="516">
        <v>0</v>
      </c>
      <c r="L504" s="520" t="s">
        <v>791</v>
      </c>
      <c r="M504" s="685">
        <v>4</v>
      </c>
      <c r="N504" s="687">
        <v>0</v>
      </c>
      <c r="O504" s="682">
        <f t="shared" si="21"/>
        <v>0</v>
      </c>
      <c r="P504" s="683" t="str">
        <f t="shared" si="22"/>
        <v>0</v>
      </c>
      <c r="Q504" s="684" t="str">
        <f t="shared" si="23"/>
        <v>0</v>
      </c>
      <c r="R504" s="491"/>
    </row>
    <row r="505" spans="1:18" x14ac:dyDescent="0.2">
      <c r="A505" s="506" t="s">
        <v>276</v>
      </c>
      <c r="B505" s="502" t="s">
        <v>779</v>
      </c>
      <c r="C505" s="507" t="s">
        <v>285</v>
      </c>
      <c r="D505" s="503" t="s">
        <v>279</v>
      </c>
      <c r="E505" s="348"/>
      <c r="F505" s="504" t="s">
        <v>109</v>
      </c>
      <c r="G505" s="512" t="s">
        <v>805</v>
      </c>
      <c r="H505" s="511" t="s">
        <v>789</v>
      </c>
      <c r="I505" s="510" t="s">
        <v>790</v>
      </c>
      <c r="J505" s="509" t="s">
        <v>650</v>
      </c>
      <c r="K505" s="516">
        <v>0</v>
      </c>
      <c r="L505" s="520" t="s">
        <v>791</v>
      </c>
      <c r="M505" s="685">
        <v>1</v>
      </c>
      <c r="N505" s="687">
        <v>0</v>
      </c>
      <c r="O505" s="682">
        <f t="shared" si="21"/>
        <v>0</v>
      </c>
      <c r="P505" s="683" t="str">
        <f t="shared" si="22"/>
        <v>0</v>
      </c>
      <c r="Q505" s="684" t="str">
        <f t="shared" si="23"/>
        <v>0</v>
      </c>
      <c r="R505" s="491"/>
    </row>
    <row r="506" spans="1:18" x14ac:dyDescent="0.2">
      <c r="A506" s="506" t="s">
        <v>276</v>
      </c>
      <c r="B506" s="502" t="s">
        <v>779</v>
      </c>
      <c r="C506" s="507" t="s">
        <v>285</v>
      </c>
      <c r="D506" s="503" t="s">
        <v>281</v>
      </c>
      <c r="E506" s="348"/>
      <c r="F506" s="504" t="s">
        <v>109</v>
      </c>
      <c r="G506" s="512" t="s">
        <v>805</v>
      </c>
      <c r="H506" s="511" t="s">
        <v>789</v>
      </c>
      <c r="I506" s="510" t="s">
        <v>790</v>
      </c>
      <c r="J506" s="509" t="s">
        <v>650</v>
      </c>
      <c r="K506" s="516">
        <v>25</v>
      </c>
      <c r="L506" s="520"/>
      <c r="M506" s="685">
        <v>12</v>
      </c>
      <c r="N506" s="687">
        <v>4</v>
      </c>
      <c r="O506" s="682">
        <f t="shared" si="21"/>
        <v>0.33333333333333331</v>
      </c>
      <c r="P506" s="683">
        <f t="shared" si="22"/>
        <v>133.33333333333331</v>
      </c>
      <c r="Q506" s="684">
        <f t="shared" si="23"/>
        <v>1.3333333333333333</v>
      </c>
      <c r="R506" s="490"/>
    </row>
    <row r="507" spans="1:18" x14ac:dyDescent="0.2">
      <c r="A507" s="506" t="s">
        <v>276</v>
      </c>
      <c r="B507" s="502" t="s">
        <v>779</v>
      </c>
      <c r="C507" s="507" t="s">
        <v>285</v>
      </c>
      <c r="D507" s="503" t="s">
        <v>286</v>
      </c>
      <c r="E507" s="348"/>
      <c r="F507" s="504" t="s">
        <v>109</v>
      </c>
      <c r="G507" s="512" t="s">
        <v>805</v>
      </c>
      <c r="H507" s="511" t="s">
        <v>789</v>
      </c>
      <c r="I507" s="510" t="s">
        <v>790</v>
      </c>
      <c r="J507" s="509" t="s">
        <v>650</v>
      </c>
      <c r="K507" s="516">
        <v>10</v>
      </c>
      <c r="L507" s="520"/>
      <c r="M507" s="685">
        <v>20</v>
      </c>
      <c r="N507" s="687">
        <v>0</v>
      </c>
      <c r="O507" s="682">
        <f t="shared" si="21"/>
        <v>0</v>
      </c>
      <c r="P507" s="683">
        <f t="shared" si="22"/>
        <v>0</v>
      </c>
      <c r="Q507" s="684">
        <f t="shared" si="23"/>
        <v>0</v>
      </c>
      <c r="R507" s="490"/>
    </row>
    <row r="508" spans="1:18" x14ac:dyDescent="0.2">
      <c r="A508" s="506" t="s">
        <v>276</v>
      </c>
      <c r="B508" s="502" t="s">
        <v>779</v>
      </c>
      <c r="C508" s="507" t="s">
        <v>291</v>
      </c>
      <c r="D508" s="503" t="s">
        <v>283</v>
      </c>
      <c r="E508" s="348"/>
      <c r="F508" s="504" t="s">
        <v>109</v>
      </c>
      <c r="G508" s="512" t="s">
        <v>805</v>
      </c>
      <c r="H508" s="511" t="s">
        <v>789</v>
      </c>
      <c r="I508" s="510" t="s">
        <v>790</v>
      </c>
      <c r="J508" s="509" t="s">
        <v>650</v>
      </c>
      <c r="K508" s="516">
        <v>0</v>
      </c>
      <c r="L508" s="520" t="s">
        <v>791</v>
      </c>
      <c r="M508" s="685">
        <v>0</v>
      </c>
      <c r="N508" s="687">
        <v>0</v>
      </c>
      <c r="O508" s="682">
        <f t="shared" si="21"/>
        <v>0</v>
      </c>
      <c r="P508" s="683" t="str">
        <f t="shared" si="22"/>
        <v>0</v>
      </c>
      <c r="Q508" s="684" t="str">
        <f t="shared" si="23"/>
        <v>0</v>
      </c>
      <c r="R508" s="491"/>
    </row>
    <row r="509" spans="1:18" x14ac:dyDescent="0.2">
      <c r="A509" s="506" t="s">
        <v>276</v>
      </c>
      <c r="B509" s="502" t="s">
        <v>779</v>
      </c>
      <c r="C509" s="507" t="s">
        <v>291</v>
      </c>
      <c r="D509" s="503" t="s">
        <v>284</v>
      </c>
      <c r="E509" s="348"/>
      <c r="F509" s="504" t="s">
        <v>109</v>
      </c>
      <c r="G509" s="512" t="s">
        <v>805</v>
      </c>
      <c r="H509" s="511" t="s">
        <v>789</v>
      </c>
      <c r="I509" s="510" t="s">
        <v>790</v>
      </c>
      <c r="J509" s="509" t="s">
        <v>650</v>
      </c>
      <c r="K509" s="516">
        <v>0</v>
      </c>
      <c r="L509" s="520" t="s">
        <v>791</v>
      </c>
      <c r="M509" s="685">
        <v>0</v>
      </c>
      <c r="N509" s="687">
        <v>0</v>
      </c>
      <c r="O509" s="682">
        <f t="shared" si="21"/>
        <v>0</v>
      </c>
      <c r="P509" s="683" t="str">
        <f t="shared" si="22"/>
        <v>0</v>
      </c>
      <c r="Q509" s="684" t="str">
        <f t="shared" si="23"/>
        <v>0</v>
      </c>
      <c r="R509" s="491"/>
    </row>
    <row r="510" spans="1:18" x14ac:dyDescent="0.2">
      <c r="A510" s="506" t="s">
        <v>276</v>
      </c>
      <c r="B510" s="502" t="s">
        <v>779</v>
      </c>
      <c r="C510" s="507" t="s">
        <v>290</v>
      </c>
      <c r="D510" s="503" t="s">
        <v>287</v>
      </c>
      <c r="E510" s="348"/>
      <c r="F510" s="504" t="s">
        <v>109</v>
      </c>
      <c r="G510" s="512" t="s">
        <v>805</v>
      </c>
      <c r="H510" s="511" t="s">
        <v>792</v>
      </c>
      <c r="I510" s="510" t="s">
        <v>790</v>
      </c>
      <c r="J510" s="509" t="s">
        <v>650</v>
      </c>
      <c r="K510" s="516">
        <v>38</v>
      </c>
      <c r="L510" s="520"/>
      <c r="M510" s="685">
        <v>65</v>
      </c>
      <c r="N510" s="687">
        <v>9</v>
      </c>
      <c r="O510" s="682">
        <f t="shared" si="21"/>
        <v>0.13846153846153847</v>
      </c>
      <c r="P510" s="683">
        <f t="shared" si="22"/>
        <v>36.43724696356275</v>
      </c>
      <c r="Q510" s="684">
        <f t="shared" si="23"/>
        <v>0.36437246963562753</v>
      </c>
      <c r="R510" s="490"/>
    </row>
    <row r="511" spans="1:18" x14ac:dyDescent="0.2">
      <c r="A511" s="506" t="s">
        <v>276</v>
      </c>
      <c r="B511" s="502" t="s">
        <v>779</v>
      </c>
      <c r="C511" s="507" t="s">
        <v>290</v>
      </c>
      <c r="D511" s="503" t="s">
        <v>283</v>
      </c>
      <c r="E511" s="348"/>
      <c r="F511" s="504" t="s">
        <v>109</v>
      </c>
      <c r="G511" s="512" t="s">
        <v>805</v>
      </c>
      <c r="H511" s="511" t="s">
        <v>789</v>
      </c>
      <c r="I511" s="510" t="s">
        <v>790</v>
      </c>
      <c r="J511" s="509" t="s">
        <v>650</v>
      </c>
      <c r="K511" s="516">
        <v>0</v>
      </c>
      <c r="L511" s="520" t="s">
        <v>791</v>
      </c>
      <c r="M511" s="685">
        <v>5</v>
      </c>
      <c r="N511" s="687">
        <v>0</v>
      </c>
      <c r="O511" s="682">
        <f t="shared" si="21"/>
        <v>0</v>
      </c>
      <c r="P511" s="683" t="str">
        <f t="shared" si="22"/>
        <v>0</v>
      </c>
      <c r="Q511" s="684" t="str">
        <f t="shared" si="23"/>
        <v>0</v>
      </c>
      <c r="R511" s="491"/>
    </row>
    <row r="512" spans="1:18" x14ac:dyDescent="0.2">
      <c r="A512" s="506" t="s">
        <v>276</v>
      </c>
      <c r="B512" s="502" t="s">
        <v>779</v>
      </c>
      <c r="C512" s="507" t="s">
        <v>290</v>
      </c>
      <c r="D512" s="503" t="s">
        <v>284</v>
      </c>
      <c r="E512" s="348"/>
      <c r="F512" s="504" t="s">
        <v>109</v>
      </c>
      <c r="G512" s="512" t="s">
        <v>805</v>
      </c>
      <c r="H512" s="511" t="s">
        <v>789</v>
      </c>
      <c r="I512" s="510" t="s">
        <v>790</v>
      </c>
      <c r="J512" s="509" t="s">
        <v>650</v>
      </c>
      <c r="K512" s="516">
        <v>0</v>
      </c>
      <c r="L512" s="520" t="s">
        <v>791</v>
      </c>
      <c r="M512" s="685">
        <v>0</v>
      </c>
      <c r="N512" s="687">
        <v>0</v>
      </c>
      <c r="O512" s="682">
        <f t="shared" si="21"/>
        <v>0</v>
      </c>
      <c r="P512" s="683" t="str">
        <f t="shared" si="22"/>
        <v>0</v>
      </c>
      <c r="Q512" s="684" t="str">
        <f t="shared" si="23"/>
        <v>0</v>
      </c>
      <c r="R512" s="491"/>
    </row>
    <row r="513" spans="1:18" x14ac:dyDescent="0.2">
      <c r="A513" s="506" t="s">
        <v>276</v>
      </c>
      <c r="B513" s="502" t="s">
        <v>779</v>
      </c>
      <c r="C513" s="507" t="s">
        <v>289</v>
      </c>
      <c r="D513" s="503" t="s">
        <v>287</v>
      </c>
      <c r="E513" s="348"/>
      <c r="F513" s="504" t="s">
        <v>109</v>
      </c>
      <c r="G513" s="512" t="s">
        <v>805</v>
      </c>
      <c r="H513" s="511" t="s">
        <v>792</v>
      </c>
      <c r="I513" s="510" t="s">
        <v>790</v>
      </c>
      <c r="J513" s="509" t="s">
        <v>650</v>
      </c>
      <c r="K513" s="516">
        <v>5</v>
      </c>
      <c r="L513" s="520"/>
      <c r="M513" s="685">
        <v>733</v>
      </c>
      <c r="N513" s="687">
        <v>90</v>
      </c>
      <c r="O513" s="682">
        <f t="shared" si="21"/>
        <v>0.12278308321964529</v>
      </c>
      <c r="P513" s="683">
        <f t="shared" si="22"/>
        <v>245.56616643929061</v>
      </c>
      <c r="Q513" s="684">
        <f t="shared" si="23"/>
        <v>2.4556616643929061</v>
      </c>
      <c r="R513" s="490"/>
    </row>
    <row r="514" spans="1:18" x14ac:dyDescent="0.2">
      <c r="A514" s="506" t="s">
        <v>276</v>
      </c>
      <c r="B514" s="502" t="s">
        <v>779</v>
      </c>
      <c r="C514" s="507" t="s">
        <v>289</v>
      </c>
      <c r="D514" s="503" t="s">
        <v>283</v>
      </c>
      <c r="E514" s="348"/>
      <c r="F514" s="504" t="s">
        <v>109</v>
      </c>
      <c r="G514" s="512" t="s">
        <v>805</v>
      </c>
      <c r="H514" s="511" t="s">
        <v>789</v>
      </c>
      <c r="I514" s="510" t="s">
        <v>790</v>
      </c>
      <c r="J514" s="509" t="s">
        <v>650</v>
      </c>
      <c r="K514" s="516">
        <v>32</v>
      </c>
      <c r="L514" s="520"/>
      <c r="M514" s="685">
        <v>134</v>
      </c>
      <c r="N514" s="687">
        <v>38</v>
      </c>
      <c r="O514" s="682">
        <f t="shared" si="21"/>
        <v>0.28358208955223879</v>
      </c>
      <c r="P514" s="683">
        <f t="shared" si="22"/>
        <v>88.619402985074629</v>
      </c>
      <c r="Q514" s="684">
        <f t="shared" si="23"/>
        <v>0.88619402985074625</v>
      </c>
      <c r="R514" s="490"/>
    </row>
    <row r="515" spans="1:18" x14ac:dyDescent="0.2">
      <c r="A515" s="506" t="s">
        <v>276</v>
      </c>
      <c r="B515" s="502" t="s">
        <v>779</v>
      </c>
      <c r="C515" s="507" t="s">
        <v>289</v>
      </c>
      <c r="D515" s="503" t="s">
        <v>284</v>
      </c>
      <c r="E515" s="348"/>
      <c r="F515" s="504" t="s">
        <v>109</v>
      </c>
      <c r="G515" s="512" t="s">
        <v>805</v>
      </c>
      <c r="H515" s="511" t="s">
        <v>789</v>
      </c>
      <c r="I515" s="510" t="s">
        <v>790</v>
      </c>
      <c r="J515" s="509" t="s">
        <v>650</v>
      </c>
      <c r="K515" s="516">
        <v>33</v>
      </c>
      <c r="L515" s="520"/>
      <c r="M515" s="685">
        <v>29</v>
      </c>
      <c r="N515" s="687">
        <v>13</v>
      </c>
      <c r="O515" s="682">
        <f t="shared" si="21"/>
        <v>0.44827586206896552</v>
      </c>
      <c r="P515" s="683">
        <f t="shared" si="22"/>
        <v>135.84117032392896</v>
      </c>
      <c r="Q515" s="684">
        <f t="shared" si="23"/>
        <v>1.3584117032392895</v>
      </c>
      <c r="R515" s="490"/>
    </row>
    <row r="516" spans="1:18" x14ac:dyDescent="0.2">
      <c r="A516" s="506" t="s">
        <v>276</v>
      </c>
      <c r="B516" s="502" t="s">
        <v>779</v>
      </c>
      <c r="C516" s="507" t="s">
        <v>289</v>
      </c>
      <c r="D516" s="503" t="s">
        <v>281</v>
      </c>
      <c r="E516" s="348"/>
      <c r="F516" s="504" t="s">
        <v>109</v>
      </c>
      <c r="G516" s="512" t="s">
        <v>805</v>
      </c>
      <c r="H516" s="511" t="s">
        <v>789</v>
      </c>
      <c r="I516" s="510" t="s">
        <v>790</v>
      </c>
      <c r="J516" s="509" t="s">
        <v>650</v>
      </c>
      <c r="K516" s="516">
        <v>0</v>
      </c>
      <c r="L516" s="520" t="s">
        <v>791</v>
      </c>
      <c r="M516" s="685">
        <v>2</v>
      </c>
      <c r="N516" s="687">
        <v>0</v>
      </c>
      <c r="O516" s="682">
        <f t="shared" si="21"/>
        <v>0</v>
      </c>
      <c r="P516" s="683" t="str">
        <f t="shared" si="22"/>
        <v>0</v>
      </c>
      <c r="Q516" s="684" t="str">
        <f t="shared" si="23"/>
        <v>0</v>
      </c>
      <c r="R516" s="491"/>
    </row>
    <row r="517" spans="1:18" x14ac:dyDescent="0.2">
      <c r="A517" s="506" t="s">
        <v>276</v>
      </c>
      <c r="B517" s="502" t="s">
        <v>779</v>
      </c>
      <c r="C517" s="507" t="s">
        <v>97</v>
      </c>
      <c r="D517" s="503" t="s">
        <v>279</v>
      </c>
      <c r="E517" s="348"/>
      <c r="F517" s="504" t="s">
        <v>109</v>
      </c>
      <c r="G517" s="512" t="s">
        <v>1599</v>
      </c>
      <c r="H517" s="511" t="s">
        <v>789</v>
      </c>
      <c r="I517" s="510" t="s">
        <v>790</v>
      </c>
      <c r="J517" s="509" t="s">
        <v>650</v>
      </c>
      <c r="K517" s="516">
        <v>33</v>
      </c>
      <c r="L517" s="520"/>
      <c r="M517" s="685">
        <v>6</v>
      </c>
      <c r="N517" s="687">
        <v>4</v>
      </c>
      <c r="O517" s="682">
        <f t="shared" ref="O517:O580" si="24">IFERROR(N517/M517,0)</f>
        <v>0.66666666666666663</v>
      </c>
      <c r="P517" s="683">
        <f t="shared" ref="P517:P580" si="25">IFERROR(N517/(M517*(K517/100))*100,"0")</f>
        <v>202.02020202020202</v>
      </c>
      <c r="Q517" s="684">
        <f t="shared" ref="Q517:Q580" si="26">IFERROR(N517/(M517*(K517/100)),"0")</f>
        <v>2.0202020202020203</v>
      </c>
      <c r="R517" s="491"/>
    </row>
    <row r="518" spans="1:18" x14ac:dyDescent="0.2">
      <c r="A518" s="506" t="s">
        <v>276</v>
      </c>
      <c r="B518" s="502" t="s">
        <v>779</v>
      </c>
      <c r="C518" s="507" t="s">
        <v>97</v>
      </c>
      <c r="D518" s="503" t="s">
        <v>281</v>
      </c>
      <c r="E518" s="348"/>
      <c r="F518" s="504" t="s">
        <v>109</v>
      </c>
      <c r="G518" s="512" t="s">
        <v>1599</v>
      </c>
      <c r="H518" s="511" t="s">
        <v>789</v>
      </c>
      <c r="I518" s="510" t="s">
        <v>790</v>
      </c>
      <c r="J518" s="509" t="s">
        <v>650</v>
      </c>
      <c r="K518" s="516">
        <v>33</v>
      </c>
      <c r="L518" s="520" t="s">
        <v>791</v>
      </c>
      <c r="M518" s="685">
        <v>9</v>
      </c>
      <c r="N518" s="687">
        <v>7</v>
      </c>
      <c r="O518" s="682">
        <f t="shared" si="24"/>
        <v>0.77777777777777779</v>
      </c>
      <c r="P518" s="683">
        <f t="shared" si="25"/>
        <v>235.69023569023568</v>
      </c>
      <c r="Q518" s="684">
        <f t="shared" si="26"/>
        <v>2.3569023569023568</v>
      </c>
      <c r="R518" s="491"/>
    </row>
    <row r="519" spans="1:18" x14ac:dyDescent="0.2">
      <c r="A519" s="506" t="s">
        <v>276</v>
      </c>
      <c r="B519" s="502" t="s">
        <v>779</v>
      </c>
      <c r="C519" s="507" t="s">
        <v>282</v>
      </c>
      <c r="D519" s="503" t="s">
        <v>287</v>
      </c>
      <c r="E519" s="348"/>
      <c r="F519" s="504" t="s">
        <v>109</v>
      </c>
      <c r="G519" s="512" t="s">
        <v>1599</v>
      </c>
      <c r="H519" s="511" t="s">
        <v>792</v>
      </c>
      <c r="I519" s="510" t="s">
        <v>790</v>
      </c>
      <c r="J519" s="509" t="s">
        <v>650</v>
      </c>
      <c r="K519" s="516">
        <v>5</v>
      </c>
      <c r="L519" s="520" t="s">
        <v>791</v>
      </c>
      <c r="M519" s="685">
        <v>68</v>
      </c>
      <c r="N519" s="687">
        <v>10</v>
      </c>
      <c r="O519" s="682">
        <f t="shared" si="24"/>
        <v>0.14705882352941177</v>
      </c>
      <c r="P519" s="683">
        <f t="shared" si="25"/>
        <v>294.11764705882348</v>
      </c>
      <c r="Q519" s="684">
        <f t="shared" si="26"/>
        <v>2.9411764705882351</v>
      </c>
      <c r="R519" s="491"/>
    </row>
    <row r="520" spans="1:18" x14ac:dyDescent="0.2">
      <c r="A520" s="506" t="s">
        <v>276</v>
      </c>
      <c r="B520" s="502" t="s">
        <v>779</v>
      </c>
      <c r="C520" s="507" t="s">
        <v>282</v>
      </c>
      <c r="D520" s="503" t="s">
        <v>283</v>
      </c>
      <c r="E520" s="348"/>
      <c r="F520" s="504" t="s">
        <v>109</v>
      </c>
      <c r="G520" s="512" t="s">
        <v>1599</v>
      </c>
      <c r="H520" s="511" t="s">
        <v>789</v>
      </c>
      <c r="I520" s="510" t="s">
        <v>790</v>
      </c>
      <c r="J520" s="509" t="s">
        <v>650</v>
      </c>
      <c r="K520" s="516">
        <v>26</v>
      </c>
      <c r="L520" s="520"/>
      <c r="M520" s="685">
        <v>19</v>
      </c>
      <c r="N520" s="687">
        <v>2</v>
      </c>
      <c r="O520" s="682">
        <f t="shared" si="24"/>
        <v>0.10526315789473684</v>
      </c>
      <c r="P520" s="683">
        <f t="shared" si="25"/>
        <v>40.48582995951417</v>
      </c>
      <c r="Q520" s="684">
        <f t="shared" si="26"/>
        <v>0.40485829959514169</v>
      </c>
      <c r="R520" s="490"/>
    </row>
    <row r="521" spans="1:18" x14ac:dyDescent="0.2">
      <c r="A521" s="506" t="s">
        <v>276</v>
      </c>
      <c r="B521" s="502" t="s">
        <v>779</v>
      </c>
      <c r="C521" s="507" t="s">
        <v>282</v>
      </c>
      <c r="D521" s="503" t="s">
        <v>284</v>
      </c>
      <c r="E521" s="348"/>
      <c r="F521" s="504" t="s">
        <v>109</v>
      </c>
      <c r="G521" s="512" t="s">
        <v>1599</v>
      </c>
      <c r="H521" s="511" t="s">
        <v>789</v>
      </c>
      <c r="I521" s="510" t="s">
        <v>790</v>
      </c>
      <c r="J521" s="509" t="s">
        <v>650</v>
      </c>
      <c r="K521" s="516">
        <v>16</v>
      </c>
      <c r="L521" s="520"/>
      <c r="M521" s="685">
        <v>43</v>
      </c>
      <c r="N521" s="687">
        <v>7</v>
      </c>
      <c r="O521" s="682">
        <f t="shared" si="24"/>
        <v>0.16279069767441862</v>
      </c>
      <c r="P521" s="683">
        <f t="shared" si="25"/>
        <v>101.74418604651163</v>
      </c>
      <c r="Q521" s="684">
        <f t="shared" si="26"/>
        <v>1.0174418604651163</v>
      </c>
      <c r="R521" s="490"/>
    </row>
    <row r="522" spans="1:18" x14ac:dyDescent="0.2">
      <c r="A522" s="506" t="s">
        <v>276</v>
      </c>
      <c r="B522" s="502" t="s">
        <v>779</v>
      </c>
      <c r="C522" s="507" t="s">
        <v>282</v>
      </c>
      <c r="D522" s="503" t="s">
        <v>279</v>
      </c>
      <c r="E522" s="348"/>
      <c r="F522" s="504" t="s">
        <v>109</v>
      </c>
      <c r="G522" s="512" t="s">
        <v>1599</v>
      </c>
      <c r="H522" s="511" t="s">
        <v>789</v>
      </c>
      <c r="I522" s="510" t="s">
        <v>790</v>
      </c>
      <c r="J522" s="509" t="s">
        <v>650</v>
      </c>
      <c r="K522" s="516">
        <v>6</v>
      </c>
      <c r="L522" s="520"/>
      <c r="M522" s="685">
        <v>65</v>
      </c>
      <c r="N522" s="687">
        <v>7</v>
      </c>
      <c r="O522" s="682">
        <f t="shared" si="24"/>
        <v>0.1076923076923077</v>
      </c>
      <c r="P522" s="683">
        <f t="shared" si="25"/>
        <v>179.4871794871795</v>
      </c>
      <c r="Q522" s="684">
        <f t="shared" si="26"/>
        <v>1.7948717948717949</v>
      </c>
      <c r="R522" s="490"/>
    </row>
    <row r="523" spans="1:18" x14ac:dyDescent="0.2">
      <c r="A523" s="506" t="s">
        <v>276</v>
      </c>
      <c r="B523" s="502" t="s">
        <v>779</v>
      </c>
      <c r="C523" s="507" t="s">
        <v>282</v>
      </c>
      <c r="D523" s="503" t="s">
        <v>281</v>
      </c>
      <c r="E523" s="348"/>
      <c r="F523" s="504" t="s">
        <v>109</v>
      </c>
      <c r="G523" s="512" t="s">
        <v>1599</v>
      </c>
      <c r="H523" s="511" t="s">
        <v>789</v>
      </c>
      <c r="I523" s="510" t="s">
        <v>790</v>
      </c>
      <c r="J523" s="509" t="s">
        <v>650</v>
      </c>
      <c r="K523" s="516">
        <v>8</v>
      </c>
      <c r="L523" s="520"/>
      <c r="M523" s="685">
        <v>48</v>
      </c>
      <c r="N523" s="687">
        <v>12</v>
      </c>
      <c r="O523" s="682">
        <f t="shared" si="24"/>
        <v>0.25</v>
      </c>
      <c r="P523" s="683">
        <f t="shared" si="25"/>
        <v>312.5</v>
      </c>
      <c r="Q523" s="684">
        <f t="shared" si="26"/>
        <v>3.125</v>
      </c>
      <c r="R523" s="490"/>
    </row>
    <row r="524" spans="1:18" x14ac:dyDescent="0.2">
      <c r="A524" s="506" t="s">
        <v>276</v>
      </c>
      <c r="B524" s="502" t="s">
        <v>779</v>
      </c>
      <c r="C524" s="507" t="s">
        <v>288</v>
      </c>
      <c r="D524" s="503" t="s">
        <v>287</v>
      </c>
      <c r="E524" s="348"/>
      <c r="F524" s="504" t="s">
        <v>109</v>
      </c>
      <c r="G524" s="512" t="s">
        <v>1599</v>
      </c>
      <c r="H524" s="511" t="s">
        <v>792</v>
      </c>
      <c r="I524" s="510" t="s">
        <v>790</v>
      </c>
      <c r="J524" s="509" t="s">
        <v>650</v>
      </c>
      <c r="K524" s="516">
        <v>28.999999999999996</v>
      </c>
      <c r="L524" s="520"/>
      <c r="M524" s="685">
        <v>299</v>
      </c>
      <c r="N524" s="687">
        <v>36</v>
      </c>
      <c r="O524" s="682">
        <f t="shared" si="24"/>
        <v>0.12040133779264214</v>
      </c>
      <c r="P524" s="683">
        <f t="shared" si="25"/>
        <v>41.517702687117982</v>
      </c>
      <c r="Q524" s="684">
        <f t="shared" si="26"/>
        <v>0.4151770268711798</v>
      </c>
      <c r="R524" s="490"/>
    </row>
    <row r="525" spans="1:18" x14ac:dyDescent="0.2">
      <c r="A525" s="506" t="s">
        <v>276</v>
      </c>
      <c r="B525" s="502" t="s">
        <v>779</v>
      </c>
      <c r="C525" s="507" t="s">
        <v>288</v>
      </c>
      <c r="D525" s="503" t="s">
        <v>283</v>
      </c>
      <c r="E525" s="348"/>
      <c r="F525" s="504" t="s">
        <v>109</v>
      </c>
      <c r="G525" s="512" t="s">
        <v>1599</v>
      </c>
      <c r="H525" s="511" t="s">
        <v>789</v>
      </c>
      <c r="I525" s="510" t="s">
        <v>790</v>
      </c>
      <c r="J525" s="509" t="s">
        <v>650</v>
      </c>
      <c r="K525" s="516">
        <v>8</v>
      </c>
      <c r="L525" s="520"/>
      <c r="M525" s="685">
        <v>64</v>
      </c>
      <c r="N525" s="687">
        <v>6</v>
      </c>
      <c r="O525" s="682">
        <f t="shared" si="24"/>
        <v>9.375E-2</v>
      </c>
      <c r="P525" s="683">
        <f t="shared" si="25"/>
        <v>117.1875</v>
      </c>
      <c r="Q525" s="684">
        <f t="shared" si="26"/>
        <v>1.171875</v>
      </c>
      <c r="R525" s="490"/>
    </row>
    <row r="526" spans="1:18" x14ac:dyDescent="0.2">
      <c r="A526" s="506" t="s">
        <v>276</v>
      </c>
      <c r="B526" s="502" t="s">
        <v>779</v>
      </c>
      <c r="C526" s="507" t="s">
        <v>288</v>
      </c>
      <c r="D526" s="503" t="s">
        <v>284</v>
      </c>
      <c r="E526" s="348"/>
      <c r="F526" s="504" t="s">
        <v>109</v>
      </c>
      <c r="G526" s="512" t="s">
        <v>1599</v>
      </c>
      <c r="H526" s="511" t="s">
        <v>789</v>
      </c>
      <c r="I526" s="510" t="s">
        <v>790</v>
      </c>
      <c r="J526" s="509" t="s">
        <v>650</v>
      </c>
      <c r="K526" s="516">
        <v>8</v>
      </c>
      <c r="L526" s="520" t="s">
        <v>791</v>
      </c>
      <c r="M526" s="685">
        <v>10</v>
      </c>
      <c r="N526" s="687">
        <v>0</v>
      </c>
      <c r="O526" s="682">
        <f t="shared" si="24"/>
        <v>0</v>
      </c>
      <c r="P526" s="683">
        <f t="shared" si="25"/>
        <v>0</v>
      </c>
      <c r="Q526" s="684">
        <f t="shared" si="26"/>
        <v>0</v>
      </c>
      <c r="R526" s="491"/>
    </row>
    <row r="527" spans="1:18" x14ac:dyDescent="0.2">
      <c r="A527" s="506" t="s">
        <v>276</v>
      </c>
      <c r="B527" s="502" t="s">
        <v>779</v>
      </c>
      <c r="C527" s="507" t="s">
        <v>288</v>
      </c>
      <c r="D527" s="503" t="s">
        <v>279</v>
      </c>
      <c r="E527" s="348"/>
      <c r="F527" s="504" t="s">
        <v>109</v>
      </c>
      <c r="G527" s="512" t="s">
        <v>1599</v>
      </c>
      <c r="H527" s="511" t="s">
        <v>789</v>
      </c>
      <c r="I527" s="510" t="s">
        <v>790</v>
      </c>
      <c r="J527" s="509" t="s">
        <v>650</v>
      </c>
      <c r="K527" s="516">
        <v>0</v>
      </c>
      <c r="L527" s="520" t="s">
        <v>791</v>
      </c>
      <c r="M527" s="685">
        <v>2</v>
      </c>
      <c r="N527" s="687">
        <v>1</v>
      </c>
      <c r="O527" s="682">
        <f t="shared" si="24"/>
        <v>0.5</v>
      </c>
      <c r="P527" s="683" t="str">
        <f t="shared" si="25"/>
        <v>0</v>
      </c>
      <c r="Q527" s="684" t="str">
        <f t="shared" si="26"/>
        <v>0</v>
      </c>
      <c r="R527" s="491"/>
    </row>
    <row r="528" spans="1:18" x14ac:dyDescent="0.2">
      <c r="A528" s="506" t="s">
        <v>276</v>
      </c>
      <c r="B528" s="502" t="s">
        <v>779</v>
      </c>
      <c r="C528" s="507" t="s">
        <v>288</v>
      </c>
      <c r="D528" s="503" t="s">
        <v>281</v>
      </c>
      <c r="E528" s="348"/>
      <c r="F528" s="504" t="s">
        <v>109</v>
      </c>
      <c r="G528" s="512" t="s">
        <v>1599</v>
      </c>
      <c r="H528" s="511" t="s">
        <v>789</v>
      </c>
      <c r="I528" s="510" t="s">
        <v>790</v>
      </c>
      <c r="J528" s="509" t="s">
        <v>650</v>
      </c>
      <c r="K528" s="516">
        <v>8</v>
      </c>
      <c r="L528" s="520" t="s">
        <v>791</v>
      </c>
      <c r="M528" s="685">
        <v>17</v>
      </c>
      <c r="N528" s="687">
        <v>3</v>
      </c>
      <c r="O528" s="682">
        <f t="shared" si="24"/>
        <v>0.17647058823529413</v>
      </c>
      <c r="P528" s="683">
        <f t="shared" si="25"/>
        <v>220.58823529411762</v>
      </c>
      <c r="Q528" s="684">
        <f t="shared" si="26"/>
        <v>2.2058823529411762</v>
      </c>
      <c r="R528" s="491"/>
    </row>
    <row r="529" spans="1:18" x14ac:dyDescent="0.2">
      <c r="A529" s="506" t="s">
        <v>276</v>
      </c>
      <c r="B529" s="502" t="s">
        <v>779</v>
      </c>
      <c r="C529" s="507" t="s">
        <v>99</v>
      </c>
      <c r="D529" s="503" t="s">
        <v>287</v>
      </c>
      <c r="E529" s="348"/>
      <c r="F529" s="504" t="s">
        <v>109</v>
      </c>
      <c r="G529" s="512" t="s">
        <v>1599</v>
      </c>
      <c r="H529" s="511" t="s">
        <v>792</v>
      </c>
      <c r="I529" s="510" t="s">
        <v>790</v>
      </c>
      <c r="J529" s="509" t="s">
        <v>650</v>
      </c>
      <c r="K529" s="516">
        <v>17</v>
      </c>
      <c r="L529" s="520"/>
      <c r="M529" s="685">
        <v>326</v>
      </c>
      <c r="N529" s="687">
        <v>49</v>
      </c>
      <c r="O529" s="682">
        <f t="shared" si="24"/>
        <v>0.15030674846625766</v>
      </c>
      <c r="P529" s="683">
        <f t="shared" si="25"/>
        <v>88.415734391916274</v>
      </c>
      <c r="Q529" s="684">
        <f t="shared" si="26"/>
        <v>0.88415734391916267</v>
      </c>
      <c r="R529" s="490"/>
    </row>
    <row r="530" spans="1:18" x14ac:dyDescent="0.2">
      <c r="A530" s="506" t="s">
        <v>276</v>
      </c>
      <c r="B530" s="502" t="s">
        <v>779</v>
      </c>
      <c r="C530" s="507" t="s">
        <v>99</v>
      </c>
      <c r="D530" s="503" t="s">
        <v>283</v>
      </c>
      <c r="E530" s="348"/>
      <c r="F530" s="504" t="s">
        <v>109</v>
      </c>
      <c r="G530" s="512" t="s">
        <v>1599</v>
      </c>
      <c r="H530" s="511" t="s">
        <v>789</v>
      </c>
      <c r="I530" s="510" t="s">
        <v>790</v>
      </c>
      <c r="J530" s="509" t="s">
        <v>650</v>
      </c>
      <c r="K530" s="516">
        <v>36</v>
      </c>
      <c r="L530" s="520"/>
      <c r="M530" s="685">
        <v>17</v>
      </c>
      <c r="N530" s="687">
        <v>4</v>
      </c>
      <c r="O530" s="682">
        <f t="shared" si="24"/>
        <v>0.23529411764705882</v>
      </c>
      <c r="P530" s="683">
        <f t="shared" si="25"/>
        <v>65.359477124183002</v>
      </c>
      <c r="Q530" s="684">
        <f t="shared" si="26"/>
        <v>0.65359477124183007</v>
      </c>
      <c r="R530" s="490"/>
    </row>
    <row r="531" spans="1:18" x14ac:dyDescent="0.2">
      <c r="A531" s="506" t="s">
        <v>276</v>
      </c>
      <c r="B531" s="502" t="s">
        <v>779</v>
      </c>
      <c r="C531" s="507" t="s">
        <v>99</v>
      </c>
      <c r="D531" s="503" t="s">
        <v>284</v>
      </c>
      <c r="E531" s="348"/>
      <c r="F531" s="504" t="s">
        <v>109</v>
      </c>
      <c r="G531" s="512" t="s">
        <v>1599</v>
      </c>
      <c r="H531" s="511" t="s">
        <v>789</v>
      </c>
      <c r="I531" s="510" t="s">
        <v>790</v>
      </c>
      <c r="J531" s="509" t="s">
        <v>650</v>
      </c>
      <c r="K531" s="516">
        <v>80</v>
      </c>
      <c r="L531" s="520"/>
      <c r="M531" s="685">
        <v>8</v>
      </c>
      <c r="N531" s="687">
        <v>2</v>
      </c>
      <c r="O531" s="682">
        <f t="shared" si="24"/>
        <v>0.25</v>
      </c>
      <c r="P531" s="683">
        <f t="shared" si="25"/>
        <v>31.25</v>
      </c>
      <c r="Q531" s="684">
        <f t="shared" si="26"/>
        <v>0.3125</v>
      </c>
      <c r="R531" s="490"/>
    </row>
    <row r="532" spans="1:18" x14ac:dyDescent="0.2">
      <c r="A532" s="506" t="s">
        <v>276</v>
      </c>
      <c r="B532" s="502" t="s">
        <v>779</v>
      </c>
      <c r="C532" s="507" t="s">
        <v>99</v>
      </c>
      <c r="D532" s="503" t="s">
        <v>279</v>
      </c>
      <c r="E532" s="348"/>
      <c r="F532" s="504" t="s">
        <v>109</v>
      </c>
      <c r="G532" s="512" t="s">
        <v>1599</v>
      </c>
      <c r="H532" s="511" t="s">
        <v>789</v>
      </c>
      <c r="I532" s="510" t="s">
        <v>790</v>
      </c>
      <c r="J532" s="509" t="s">
        <v>650</v>
      </c>
      <c r="K532" s="516">
        <v>17</v>
      </c>
      <c r="L532" s="520" t="s">
        <v>791</v>
      </c>
      <c r="M532" s="685">
        <v>5</v>
      </c>
      <c r="N532" s="687">
        <v>2</v>
      </c>
      <c r="O532" s="682">
        <f t="shared" si="24"/>
        <v>0.4</v>
      </c>
      <c r="P532" s="683">
        <f t="shared" si="25"/>
        <v>235.29411764705878</v>
      </c>
      <c r="Q532" s="684">
        <f t="shared" si="26"/>
        <v>2.3529411764705879</v>
      </c>
      <c r="R532" s="491"/>
    </row>
    <row r="533" spans="1:18" x14ac:dyDescent="0.2">
      <c r="A533" s="506" t="s">
        <v>276</v>
      </c>
      <c r="B533" s="502" t="s">
        <v>779</v>
      </c>
      <c r="C533" s="507" t="s">
        <v>99</v>
      </c>
      <c r="D533" s="503" t="s">
        <v>281</v>
      </c>
      <c r="E533" s="348"/>
      <c r="F533" s="504" t="s">
        <v>109</v>
      </c>
      <c r="G533" s="512" t="s">
        <v>1599</v>
      </c>
      <c r="H533" s="511" t="s">
        <v>789</v>
      </c>
      <c r="I533" s="510" t="s">
        <v>790</v>
      </c>
      <c r="J533" s="509" t="s">
        <v>650</v>
      </c>
      <c r="K533" s="516">
        <v>0</v>
      </c>
      <c r="L533" s="520" t="s">
        <v>791</v>
      </c>
      <c r="M533" s="685">
        <v>1</v>
      </c>
      <c r="N533" s="687">
        <v>0</v>
      </c>
      <c r="O533" s="682">
        <f t="shared" si="24"/>
        <v>0</v>
      </c>
      <c r="P533" s="683" t="str">
        <f t="shared" si="25"/>
        <v>0</v>
      </c>
      <c r="Q533" s="684" t="str">
        <f t="shared" si="26"/>
        <v>0</v>
      </c>
      <c r="R533" s="491"/>
    </row>
    <row r="534" spans="1:18" x14ac:dyDescent="0.2">
      <c r="A534" s="506" t="s">
        <v>276</v>
      </c>
      <c r="B534" s="502" t="s">
        <v>779</v>
      </c>
      <c r="C534" s="507" t="s">
        <v>285</v>
      </c>
      <c r="D534" s="503" t="s">
        <v>287</v>
      </c>
      <c r="E534" s="348"/>
      <c r="F534" s="504" t="s">
        <v>109</v>
      </c>
      <c r="G534" s="512" t="s">
        <v>1599</v>
      </c>
      <c r="H534" s="511" t="s">
        <v>792</v>
      </c>
      <c r="I534" s="510" t="s">
        <v>790</v>
      </c>
      <c r="J534" s="509" t="s">
        <v>650</v>
      </c>
      <c r="K534" s="516">
        <v>13</v>
      </c>
      <c r="L534" s="520"/>
      <c r="M534" s="685">
        <v>0</v>
      </c>
      <c r="N534" s="687">
        <v>0</v>
      </c>
      <c r="O534" s="682">
        <f t="shared" si="24"/>
        <v>0</v>
      </c>
      <c r="P534" s="683" t="str">
        <f t="shared" si="25"/>
        <v>0</v>
      </c>
      <c r="Q534" s="684" t="str">
        <f t="shared" si="26"/>
        <v>0</v>
      </c>
      <c r="R534" s="491"/>
    </row>
    <row r="535" spans="1:18" x14ac:dyDescent="0.2">
      <c r="A535" s="506" t="s">
        <v>276</v>
      </c>
      <c r="B535" s="502" t="s">
        <v>779</v>
      </c>
      <c r="C535" s="507" t="s">
        <v>285</v>
      </c>
      <c r="D535" s="503" t="s">
        <v>283</v>
      </c>
      <c r="E535" s="348"/>
      <c r="F535" s="504" t="s">
        <v>109</v>
      </c>
      <c r="G535" s="512" t="s">
        <v>1599</v>
      </c>
      <c r="H535" s="511" t="s">
        <v>789</v>
      </c>
      <c r="I535" s="510" t="s">
        <v>790</v>
      </c>
      <c r="J535" s="509" t="s">
        <v>650</v>
      </c>
      <c r="K535" s="516">
        <v>50</v>
      </c>
      <c r="L535" s="520" t="s">
        <v>791</v>
      </c>
      <c r="M535" s="685">
        <v>5</v>
      </c>
      <c r="N535" s="687">
        <v>1</v>
      </c>
      <c r="O535" s="682">
        <f t="shared" si="24"/>
        <v>0.2</v>
      </c>
      <c r="P535" s="683">
        <f t="shared" si="25"/>
        <v>40</v>
      </c>
      <c r="Q535" s="684">
        <f t="shared" si="26"/>
        <v>0.4</v>
      </c>
      <c r="R535" s="491"/>
    </row>
    <row r="536" spans="1:18" x14ac:dyDescent="0.2">
      <c r="A536" s="506" t="s">
        <v>276</v>
      </c>
      <c r="B536" s="502" t="s">
        <v>779</v>
      </c>
      <c r="C536" s="507" t="s">
        <v>285</v>
      </c>
      <c r="D536" s="503" t="s">
        <v>284</v>
      </c>
      <c r="E536" s="348"/>
      <c r="F536" s="504" t="s">
        <v>109</v>
      </c>
      <c r="G536" s="512" t="s">
        <v>1599</v>
      </c>
      <c r="H536" s="511" t="s">
        <v>789</v>
      </c>
      <c r="I536" s="510" t="s">
        <v>790</v>
      </c>
      <c r="J536" s="509" t="s">
        <v>650</v>
      </c>
      <c r="K536" s="516">
        <v>0</v>
      </c>
      <c r="L536" s="520" t="s">
        <v>791</v>
      </c>
      <c r="M536" s="685">
        <v>4</v>
      </c>
      <c r="N536" s="687">
        <v>0</v>
      </c>
      <c r="O536" s="682">
        <f t="shared" si="24"/>
        <v>0</v>
      </c>
      <c r="P536" s="683" t="str">
        <f t="shared" si="25"/>
        <v>0</v>
      </c>
      <c r="Q536" s="684" t="str">
        <f t="shared" si="26"/>
        <v>0</v>
      </c>
      <c r="R536" s="491"/>
    </row>
    <row r="537" spans="1:18" x14ac:dyDescent="0.2">
      <c r="A537" s="506" t="s">
        <v>276</v>
      </c>
      <c r="B537" s="502" t="s">
        <v>779</v>
      </c>
      <c r="C537" s="507" t="s">
        <v>285</v>
      </c>
      <c r="D537" s="503" t="s">
        <v>279</v>
      </c>
      <c r="E537" s="348"/>
      <c r="F537" s="504" t="s">
        <v>109</v>
      </c>
      <c r="G537" s="512" t="s">
        <v>1599</v>
      </c>
      <c r="H537" s="511" t="s">
        <v>789</v>
      </c>
      <c r="I537" s="510" t="s">
        <v>790</v>
      </c>
      <c r="J537" s="509" t="s">
        <v>650</v>
      </c>
      <c r="K537" s="516">
        <v>0</v>
      </c>
      <c r="L537" s="520" t="s">
        <v>791</v>
      </c>
      <c r="M537" s="685">
        <v>1</v>
      </c>
      <c r="N537" s="687">
        <v>0</v>
      </c>
      <c r="O537" s="682">
        <f t="shared" si="24"/>
        <v>0</v>
      </c>
      <c r="P537" s="683" t="str">
        <f t="shared" si="25"/>
        <v>0</v>
      </c>
      <c r="Q537" s="684" t="str">
        <f t="shared" si="26"/>
        <v>0</v>
      </c>
      <c r="R537" s="491"/>
    </row>
    <row r="538" spans="1:18" x14ac:dyDescent="0.2">
      <c r="A538" s="506" t="s">
        <v>276</v>
      </c>
      <c r="B538" s="502" t="s">
        <v>779</v>
      </c>
      <c r="C538" s="507" t="s">
        <v>285</v>
      </c>
      <c r="D538" s="503" t="s">
        <v>281</v>
      </c>
      <c r="E538" s="348"/>
      <c r="F538" s="504" t="s">
        <v>109</v>
      </c>
      <c r="G538" s="512" t="s">
        <v>1599</v>
      </c>
      <c r="H538" s="511" t="s">
        <v>789</v>
      </c>
      <c r="I538" s="510" t="s">
        <v>790</v>
      </c>
      <c r="J538" s="509" t="s">
        <v>650</v>
      </c>
      <c r="K538" s="516">
        <v>25</v>
      </c>
      <c r="L538" s="520"/>
      <c r="M538" s="685">
        <v>12</v>
      </c>
      <c r="N538" s="687">
        <v>4</v>
      </c>
      <c r="O538" s="682">
        <f t="shared" si="24"/>
        <v>0.33333333333333331</v>
      </c>
      <c r="P538" s="683">
        <f t="shared" si="25"/>
        <v>133.33333333333331</v>
      </c>
      <c r="Q538" s="684">
        <f t="shared" si="26"/>
        <v>1.3333333333333333</v>
      </c>
      <c r="R538" s="490"/>
    </row>
    <row r="539" spans="1:18" x14ac:dyDescent="0.2">
      <c r="A539" s="506" t="s">
        <v>276</v>
      </c>
      <c r="B539" s="502" t="s">
        <v>779</v>
      </c>
      <c r="C539" s="507" t="s">
        <v>285</v>
      </c>
      <c r="D539" s="503" t="s">
        <v>286</v>
      </c>
      <c r="E539" s="348"/>
      <c r="F539" s="504" t="s">
        <v>109</v>
      </c>
      <c r="G539" s="512" t="s">
        <v>1599</v>
      </c>
      <c r="H539" s="511" t="s">
        <v>789</v>
      </c>
      <c r="I539" s="510" t="s">
        <v>790</v>
      </c>
      <c r="J539" s="509" t="s">
        <v>650</v>
      </c>
      <c r="K539" s="516">
        <v>10</v>
      </c>
      <c r="L539" s="520"/>
      <c r="M539" s="685">
        <v>20</v>
      </c>
      <c r="N539" s="687">
        <v>0</v>
      </c>
      <c r="O539" s="682">
        <f t="shared" si="24"/>
        <v>0</v>
      </c>
      <c r="P539" s="683">
        <f t="shared" si="25"/>
        <v>0</v>
      </c>
      <c r="Q539" s="684">
        <f t="shared" si="26"/>
        <v>0</v>
      </c>
      <c r="R539" s="490"/>
    </row>
    <row r="540" spans="1:18" x14ac:dyDescent="0.2">
      <c r="A540" s="506" t="s">
        <v>276</v>
      </c>
      <c r="B540" s="502" t="s">
        <v>779</v>
      </c>
      <c r="C540" s="507" t="s">
        <v>291</v>
      </c>
      <c r="D540" s="503" t="s">
        <v>283</v>
      </c>
      <c r="E540" s="348"/>
      <c r="F540" s="504" t="s">
        <v>109</v>
      </c>
      <c r="G540" s="512" t="s">
        <v>1599</v>
      </c>
      <c r="H540" s="511" t="s">
        <v>789</v>
      </c>
      <c r="I540" s="510" t="s">
        <v>790</v>
      </c>
      <c r="J540" s="509" t="s">
        <v>650</v>
      </c>
      <c r="K540" s="516">
        <v>0</v>
      </c>
      <c r="L540" s="520" t="s">
        <v>791</v>
      </c>
      <c r="M540" s="685">
        <v>0</v>
      </c>
      <c r="N540" s="687">
        <v>0</v>
      </c>
      <c r="O540" s="682">
        <f t="shared" si="24"/>
        <v>0</v>
      </c>
      <c r="P540" s="683" t="str">
        <f t="shared" si="25"/>
        <v>0</v>
      </c>
      <c r="Q540" s="684" t="str">
        <f t="shared" si="26"/>
        <v>0</v>
      </c>
      <c r="R540" s="491"/>
    </row>
    <row r="541" spans="1:18" x14ac:dyDescent="0.2">
      <c r="A541" s="506" t="s">
        <v>276</v>
      </c>
      <c r="B541" s="502" t="s">
        <v>779</v>
      </c>
      <c r="C541" s="507" t="s">
        <v>291</v>
      </c>
      <c r="D541" s="503" t="s">
        <v>284</v>
      </c>
      <c r="E541" s="348"/>
      <c r="F541" s="504" t="s">
        <v>109</v>
      </c>
      <c r="G541" s="512" t="s">
        <v>1599</v>
      </c>
      <c r="H541" s="511" t="s">
        <v>789</v>
      </c>
      <c r="I541" s="510" t="s">
        <v>790</v>
      </c>
      <c r="J541" s="509" t="s">
        <v>650</v>
      </c>
      <c r="K541" s="516">
        <v>0</v>
      </c>
      <c r="L541" s="520" t="s">
        <v>791</v>
      </c>
      <c r="M541" s="685">
        <v>0</v>
      </c>
      <c r="N541" s="687">
        <v>0</v>
      </c>
      <c r="O541" s="682">
        <f t="shared" si="24"/>
        <v>0</v>
      </c>
      <c r="P541" s="683" t="str">
        <f t="shared" si="25"/>
        <v>0</v>
      </c>
      <c r="Q541" s="684" t="str">
        <f t="shared" si="26"/>
        <v>0</v>
      </c>
      <c r="R541" s="491"/>
    </row>
    <row r="542" spans="1:18" x14ac:dyDescent="0.2">
      <c r="A542" s="506" t="s">
        <v>276</v>
      </c>
      <c r="B542" s="502" t="s">
        <v>779</v>
      </c>
      <c r="C542" s="507" t="s">
        <v>290</v>
      </c>
      <c r="D542" s="503" t="s">
        <v>287</v>
      </c>
      <c r="E542" s="348"/>
      <c r="F542" s="504" t="s">
        <v>109</v>
      </c>
      <c r="G542" s="512" t="s">
        <v>1599</v>
      </c>
      <c r="H542" s="511" t="s">
        <v>792</v>
      </c>
      <c r="I542" s="510" t="s">
        <v>790</v>
      </c>
      <c r="J542" s="509" t="s">
        <v>650</v>
      </c>
      <c r="K542" s="516">
        <v>38</v>
      </c>
      <c r="L542" s="520"/>
      <c r="M542" s="685">
        <v>65</v>
      </c>
      <c r="N542" s="687">
        <v>9</v>
      </c>
      <c r="O542" s="682">
        <f t="shared" si="24"/>
        <v>0.13846153846153847</v>
      </c>
      <c r="P542" s="683">
        <f t="shared" si="25"/>
        <v>36.43724696356275</v>
      </c>
      <c r="Q542" s="684">
        <f t="shared" si="26"/>
        <v>0.36437246963562753</v>
      </c>
      <c r="R542" s="490"/>
    </row>
    <row r="543" spans="1:18" x14ac:dyDescent="0.2">
      <c r="A543" s="506" t="s">
        <v>276</v>
      </c>
      <c r="B543" s="502" t="s">
        <v>779</v>
      </c>
      <c r="C543" s="507" t="s">
        <v>290</v>
      </c>
      <c r="D543" s="503" t="s">
        <v>283</v>
      </c>
      <c r="E543" s="348"/>
      <c r="F543" s="504" t="s">
        <v>109</v>
      </c>
      <c r="G543" s="512" t="s">
        <v>1599</v>
      </c>
      <c r="H543" s="511" t="s">
        <v>789</v>
      </c>
      <c r="I543" s="510" t="s">
        <v>790</v>
      </c>
      <c r="J543" s="509" t="s">
        <v>650</v>
      </c>
      <c r="K543" s="516">
        <v>0</v>
      </c>
      <c r="L543" s="520" t="s">
        <v>791</v>
      </c>
      <c r="M543" s="685">
        <v>5</v>
      </c>
      <c r="N543" s="687">
        <v>0</v>
      </c>
      <c r="O543" s="682">
        <f t="shared" si="24"/>
        <v>0</v>
      </c>
      <c r="P543" s="683" t="str">
        <f t="shared" si="25"/>
        <v>0</v>
      </c>
      <c r="Q543" s="684" t="str">
        <f t="shared" si="26"/>
        <v>0</v>
      </c>
      <c r="R543" s="491"/>
    </row>
    <row r="544" spans="1:18" x14ac:dyDescent="0.2">
      <c r="A544" s="506" t="s">
        <v>276</v>
      </c>
      <c r="B544" s="502" t="s">
        <v>779</v>
      </c>
      <c r="C544" s="507" t="s">
        <v>290</v>
      </c>
      <c r="D544" s="503" t="s">
        <v>284</v>
      </c>
      <c r="E544" s="348"/>
      <c r="F544" s="504" t="s">
        <v>109</v>
      </c>
      <c r="G544" s="512" t="s">
        <v>1599</v>
      </c>
      <c r="H544" s="511" t="s">
        <v>789</v>
      </c>
      <c r="I544" s="510" t="s">
        <v>790</v>
      </c>
      <c r="J544" s="509" t="s">
        <v>650</v>
      </c>
      <c r="K544" s="516">
        <v>0</v>
      </c>
      <c r="L544" s="520" t="s">
        <v>791</v>
      </c>
      <c r="M544" s="685">
        <v>0</v>
      </c>
      <c r="N544" s="687">
        <v>0</v>
      </c>
      <c r="O544" s="682">
        <f t="shared" si="24"/>
        <v>0</v>
      </c>
      <c r="P544" s="683" t="str">
        <f t="shared" si="25"/>
        <v>0</v>
      </c>
      <c r="Q544" s="684" t="str">
        <f t="shared" si="26"/>
        <v>0</v>
      </c>
      <c r="R544" s="491"/>
    </row>
    <row r="545" spans="1:18" x14ac:dyDescent="0.2">
      <c r="A545" s="506" t="s">
        <v>276</v>
      </c>
      <c r="B545" s="502" t="s">
        <v>779</v>
      </c>
      <c r="C545" s="507" t="s">
        <v>289</v>
      </c>
      <c r="D545" s="503" t="s">
        <v>287</v>
      </c>
      <c r="E545" s="348"/>
      <c r="F545" s="504" t="s">
        <v>109</v>
      </c>
      <c r="G545" s="512" t="s">
        <v>1599</v>
      </c>
      <c r="H545" s="511" t="s">
        <v>792</v>
      </c>
      <c r="I545" s="510" t="s">
        <v>790</v>
      </c>
      <c r="J545" s="509" t="s">
        <v>650</v>
      </c>
      <c r="K545" s="516">
        <v>5</v>
      </c>
      <c r="L545" s="520"/>
      <c r="M545" s="685">
        <v>733</v>
      </c>
      <c r="N545" s="687">
        <v>90</v>
      </c>
      <c r="O545" s="682">
        <f t="shared" si="24"/>
        <v>0.12278308321964529</v>
      </c>
      <c r="P545" s="683">
        <f t="shared" si="25"/>
        <v>245.56616643929061</v>
      </c>
      <c r="Q545" s="684">
        <f t="shared" si="26"/>
        <v>2.4556616643929061</v>
      </c>
      <c r="R545" s="490"/>
    </row>
    <row r="546" spans="1:18" x14ac:dyDescent="0.2">
      <c r="A546" s="506" t="s">
        <v>276</v>
      </c>
      <c r="B546" s="502" t="s">
        <v>779</v>
      </c>
      <c r="C546" s="507" t="s">
        <v>289</v>
      </c>
      <c r="D546" s="503" t="s">
        <v>283</v>
      </c>
      <c r="E546" s="348"/>
      <c r="F546" s="504" t="s">
        <v>109</v>
      </c>
      <c r="G546" s="512" t="s">
        <v>1599</v>
      </c>
      <c r="H546" s="511" t="s">
        <v>789</v>
      </c>
      <c r="I546" s="510" t="s">
        <v>790</v>
      </c>
      <c r="J546" s="509" t="s">
        <v>650</v>
      </c>
      <c r="K546" s="516">
        <v>32</v>
      </c>
      <c r="L546" s="520"/>
      <c r="M546" s="685">
        <v>134</v>
      </c>
      <c r="N546" s="687">
        <v>38</v>
      </c>
      <c r="O546" s="682">
        <f t="shared" si="24"/>
        <v>0.28358208955223879</v>
      </c>
      <c r="P546" s="683">
        <f t="shared" si="25"/>
        <v>88.619402985074629</v>
      </c>
      <c r="Q546" s="684">
        <f t="shared" si="26"/>
        <v>0.88619402985074625</v>
      </c>
      <c r="R546" s="490"/>
    </row>
    <row r="547" spans="1:18" x14ac:dyDescent="0.2">
      <c r="A547" s="506" t="s">
        <v>276</v>
      </c>
      <c r="B547" s="502" t="s">
        <v>779</v>
      </c>
      <c r="C547" s="507" t="s">
        <v>289</v>
      </c>
      <c r="D547" s="503" t="s">
        <v>284</v>
      </c>
      <c r="E547" s="348"/>
      <c r="F547" s="504" t="s">
        <v>109</v>
      </c>
      <c r="G547" s="512" t="s">
        <v>1599</v>
      </c>
      <c r="H547" s="511" t="s">
        <v>789</v>
      </c>
      <c r="I547" s="510" t="s">
        <v>790</v>
      </c>
      <c r="J547" s="509" t="s">
        <v>650</v>
      </c>
      <c r="K547" s="516">
        <v>33</v>
      </c>
      <c r="L547" s="520"/>
      <c r="M547" s="685">
        <v>29</v>
      </c>
      <c r="N547" s="687">
        <v>13</v>
      </c>
      <c r="O547" s="682">
        <f t="shared" si="24"/>
        <v>0.44827586206896552</v>
      </c>
      <c r="P547" s="683">
        <f t="shared" si="25"/>
        <v>135.84117032392896</v>
      </c>
      <c r="Q547" s="684">
        <f t="shared" si="26"/>
        <v>1.3584117032392895</v>
      </c>
      <c r="R547" s="490"/>
    </row>
    <row r="548" spans="1:18" x14ac:dyDescent="0.2">
      <c r="A548" s="506" t="s">
        <v>276</v>
      </c>
      <c r="B548" s="502" t="s">
        <v>779</v>
      </c>
      <c r="C548" s="507" t="s">
        <v>289</v>
      </c>
      <c r="D548" s="503" t="s">
        <v>281</v>
      </c>
      <c r="E548" s="348"/>
      <c r="F548" s="504" t="s">
        <v>109</v>
      </c>
      <c r="G548" s="512" t="s">
        <v>1599</v>
      </c>
      <c r="H548" s="511" t="s">
        <v>789</v>
      </c>
      <c r="I548" s="510" t="s">
        <v>790</v>
      </c>
      <c r="J548" s="509" t="s">
        <v>650</v>
      </c>
      <c r="K548" s="516">
        <v>0</v>
      </c>
      <c r="L548" s="520" t="s">
        <v>791</v>
      </c>
      <c r="M548" s="685">
        <v>2</v>
      </c>
      <c r="N548" s="687">
        <v>0</v>
      </c>
      <c r="O548" s="682">
        <f t="shared" si="24"/>
        <v>0</v>
      </c>
      <c r="P548" s="683" t="str">
        <f t="shared" si="25"/>
        <v>0</v>
      </c>
      <c r="Q548" s="684" t="str">
        <f t="shared" si="26"/>
        <v>0</v>
      </c>
      <c r="R548" s="491"/>
    </row>
    <row r="549" spans="1:18" x14ac:dyDescent="0.2">
      <c r="A549" s="506" t="s">
        <v>276</v>
      </c>
      <c r="B549" s="502" t="s">
        <v>779</v>
      </c>
      <c r="C549" s="507" t="s">
        <v>97</v>
      </c>
      <c r="D549" s="503" t="s">
        <v>279</v>
      </c>
      <c r="E549" s="348"/>
      <c r="F549" s="504" t="s">
        <v>109</v>
      </c>
      <c r="G549" s="512" t="s">
        <v>806</v>
      </c>
      <c r="H549" s="511" t="s">
        <v>789</v>
      </c>
      <c r="I549" s="510" t="s">
        <v>790</v>
      </c>
      <c r="J549" s="509" t="s">
        <v>650</v>
      </c>
      <c r="K549" s="516">
        <v>33</v>
      </c>
      <c r="L549" s="520"/>
      <c r="M549" s="685">
        <v>6</v>
      </c>
      <c r="N549" s="685">
        <v>4</v>
      </c>
      <c r="O549" s="682">
        <f t="shared" si="24"/>
        <v>0.66666666666666663</v>
      </c>
      <c r="P549" s="683">
        <f t="shared" si="25"/>
        <v>202.02020202020202</v>
      </c>
      <c r="Q549" s="684">
        <f t="shared" si="26"/>
        <v>2.0202020202020203</v>
      </c>
      <c r="R549" s="490"/>
    </row>
    <row r="550" spans="1:18" x14ac:dyDescent="0.2">
      <c r="A550" s="506" t="s">
        <v>276</v>
      </c>
      <c r="B550" s="502" t="s">
        <v>779</v>
      </c>
      <c r="C550" s="507" t="s">
        <v>97</v>
      </c>
      <c r="D550" s="503" t="s">
        <v>281</v>
      </c>
      <c r="E550" s="348"/>
      <c r="F550" s="504" t="s">
        <v>109</v>
      </c>
      <c r="G550" s="512" t="s">
        <v>806</v>
      </c>
      <c r="H550" s="511" t="s">
        <v>789</v>
      </c>
      <c r="I550" s="510" t="s">
        <v>790</v>
      </c>
      <c r="J550" s="509" t="s">
        <v>650</v>
      </c>
      <c r="K550" s="516">
        <v>33</v>
      </c>
      <c r="L550" s="520" t="s">
        <v>791</v>
      </c>
      <c r="M550" s="685">
        <v>9</v>
      </c>
      <c r="N550" s="685">
        <v>7</v>
      </c>
      <c r="O550" s="682">
        <f t="shared" si="24"/>
        <v>0.77777777777777779</v>
      </c>
      <c r="P550" s="683">
        <f t="shared" si="25"/>
        <v>235.69023569023568</v>
      </c>
      <c r="Q550" s="684">
        <f t="shared" si="26"/>
        <v>2.3569023569023568</v>
      </c>
      <c r="R550" s="491"/>
    </row>
    <row r="551" spans="1:18" x14ac:dyDescent="0.2">
      <c r="A551" s="506" t="s">
        <v>276</v>
      </c>
      <c r="B551" s="502" t="s">
        <v>779</v>
      </c>
      <c r="C551" s="507" t="s">
        <v>282</v>
      </c>
      <c r="D551" s="503" t="s">
        <v>287</v>
      </c>
      <c r="E551" s="348"/>
      <c r="F551" s="504" t="s">
        <v>109</v>
      </c>
      <c r="G551" s="512" t="s">
        <v>806</v>
      </c>
      <c r="H551" s="511" t="s">
        <v>792</v>
      </c>
      <c r="I551" s="510" t="s">
        <v>790</v>
      </c>
      <c r="J551" s="509" t="s">
        <v>650</v>
      </c>
      <c r="K551" s="516">
        <v>5</v>
      </c>
      <c r="L551" s="520" t="s">
        <v>791</v>
      </c>
      <c r="M551" s="685">
        <v>68</v>
      </c>
      <c r="N551" s="685">
        <v>10</v>
      </c>
      <c r="O551" s="682">
        <f t="shared" si="24"/>
        <v>0.14705882352941177</v>
      </c>
      <c r="P551" s="683">
        <f t="shared" si="25"/>
        <v>294.11764705882348</v>
      </c>
      <c r="Q551" s="684">
        <f t="shared" si="26"/>
        <v>2.9411764705882351</v>
      </c>
      <c r="R551" s="491"/>
    </row>
    <row r="552" spans="1:18" x14ac:dyDescent="0.2">
      <c r="A552" s="506" t="s">
        <v>276</v>
      </c>
      <c r="B552" s="502" t="s">
        <v>779</v>
      </c>
      <c r="C552" s="507" t="s">
        <v>282</v>
      </c>
      <c r="D552" s="503" t="s">
        <v>283</v>
      </c>
      <c r="E552" s="348"/>
      <c r="F552" s="504" t="s">
        <v>109</v>
      </c>
      <c r="G552" s="512" t="s">
        <v>806</v>
      </c>
      <c r="H552" s="511" t="s">
        <v>789</v>
      </c>
      <c r="I552" s="510" t="s">
        <v>790</v>
      </c>
      <c r="J552" s="509" t="s">
        <v>650</v>
      </c>
      <c r="K552" s="516">
        <v>26</v>
      </c>
      <c r="L552" s="520"/>
      <c r="M552" s="685">
        <v>19</v>
      </c>
      <c r="N552" s="685">
        <v>2</v>
      </c>
      <c r="O552" s="682">
        <f t="shared" si="24"/>
        <v>0.10526315789473684</v>
      </c>
      <c r="P552" s="683">
        <f t="shared" si="25"/>
        <v>40.48582995951417</v>
      </c>
      <c r="Q552" s="684">
        <f t="shared" si="26"/>
        <v>0.40485829959514169</v>
      </c>
      <c r="R552" s="490"/>
    </row>
    <row r="553" spans="1:18" x14ac:dyDescent="0.2">
      <c r="A553" s="506" t="s">
        <v>276</v>
      </c>
      <c r="B553" s="502" t="s">
        <v>779</v>
      </c>
      <c r="C553" s="507" t="s">
        <v>282</v>
      </c>
      <c r="D553" s="503" t="s">
        <v>284</v>
      </c>
      <c r="E553" s="348"/>
      <c r="F553" s="504" t="s">
        <v>109</v>
      </c>
      <c r="G553" s="512" t="s">
        <v>806</v>
      </c>
      <c r="H553" s="511" t="s">
        <v>789</v>
      </c>
      <c r="I553" s="510" t="s">
        <v>790</v>
      </c>
      <c r="J553" s="509" t="s">
        <v>650</v>
      </c>
      <c r="K553" s="516">
        <v>16</v>
      </c>
      <c r="L553" s="520"/>
      <c r="M553" s="685">
        <v>43</v>
      </c>
      <c r="N553" s="685">
        <v>7</v>
      </c>
      <c r="O553" s="682">
        <f t="shared" si="24"/>
        <v>0.16279069767441862</v>
      </c>
      <c r="P553" s="683">
        <f t="shared" si="25"/>
        <v>101.74418604651163</v>
      </c>
      <c r="Q553" s="684">
        <f t="shared" si="26"/>
        <v>1.0174418604651163</v>
      </c>
      <c r="R553" s="490"/>
    </row>
    <row r="554" spans="1:18" x14ac:dyDescent="0.2">
      <c r="A554" s="506" t="s">
        <v>276</v>
      </c>
      <c r="B554" s="502" t="s">
        <v>779</v>
      </c>
      <c r="C554" s="507" t="s">
        <v>282</v>
      </c>
      <c r="D554" s="503" t="s">
        <v>279</v>
      </c>
      <c r="E554" s="348"/>
      <c r="F554" s="504" t="s">
        <v>109</v>
      </c>
      <c r="G554" s="512" t="s">
        <v>806</v>
      </c>
      <c r="H554" s="511" t="s">
        <v>789</v>
      </c>
      <c r="I554" s="510" t="s">
        <v>790</v>
      </c>
      <c r="J554" s="509" t="s">
        <v>650</v>
      </c>
      <c r="K554" s="516">
        <v>6</v>
      </c>
      <c r="L554" s="520"/>
      <c r="M554" s="685">
        <v>65</v>
      </c>
      <c r="N554" s="685">
        <v>7</v>
      </c>
      <c r="O554" s="682">
        <f t="shared" si="24"/>
        <v>0.1076923076923077</v>
      </c>
      <c r="P554" s="683">
        <f t="shared" si="25"/>
        <v>179.4871794871795</v>
      </c>
      <c r="Q554" s="684">
        <f t="shared" si="26"/>
        <v>1.7948717948717949</v>
      </c>
      <c r="R554" s="490"/>
    </row>
    <row r="555" spans="1:18" x14ac:dyDescent="0.2">
      <c r="A555" s="506" t="s">
        <v>276</v>
      </c>
      <c r="B555" s="502" t="s">
        <v>779</v>
      </c>
      <c r="C555" s="507" t="s">
        <v>282</v>
      </c>
      <c r="D555" s="503" t="s">
        <v>281</v>
      </c>
      <c r="E555" s="348"/>
      <c r="F555" s="504" t="s">
        <v>109</v>
      </c>
      <c r="G555" s="512" t="s">
        <v>806</v>
      </c>
      <c r="H555" s="511" t="s">
        <v>789</v>
      </c>
      <c r="I555" s="510" t="s">
        <v>790</v>
      </c>
      <c r="J555" s="509" t="s">
        <v>650</v>
      </c>
      <c r="K555" s="516">
        <v>8</v>
      </c>
      <c r="L555" s="520"/>
      <c r="M555" s="685">
        <v>48</v>
      </c>
      <c r="N555" s="685">
        <v>12</v>
      </c>
      <c r="O555" s="682">
        <f t="shared" si="24"/>
        <v>0.25</v>
      </c>
      <c r="P555" s="683">
        <f t="shared" si="25"/>
        <v>312.5</v>
      </c>
      <c r="Q555" s="684">
        <f t="shared" si="26"/>
        <v>3.125</v>
      </c>
      <c r="R555" s="490"/>
    </row>
    <row r="556" spans="1:18" x14ac:dyDescent="0.2">
      <c r="A556" s="506" t="s">
        <v>276</v>
      </c>
      <c r="B556" s="502" t="s">
        <v>779</v>
      </c>
      <c r="C556" s="507" t="s">
        <v>288</v>
      </c>
      <c r="D556" s="503" t="s">
        <v>287</v>
      </c>
      <c r="E556" s="348"/>
      <c r="F556" s="504" t="s">
        <v>109</v>
      </c>
      <c r="G556" s="512" t="s">
        <v>806</v>
      </c>
      <c r="H556" s="511" t="s">
        <v>792</v>
      </c>
      <c r="I556" s="510" t="s">
        <v>790</v>
      </c>
      <c r="J556" s="509" t="s">
        <v>650</v>
      </c>
      <c r="K556" s="516">
        <v>28.999999999999996</v>
      </c>
      <c r="L556" s="520"/>
      <c r="M556" s="685">
        <v>299</v>
      </c>
      <c r="N556" s="685">
        <v>36</v>
      </c>
      <c r="O556" s="682">
        <f t="shared" si="24"/>
        <v>0.12040133779264214</v>
      </c>
      <c r="P556" s="683">
        <f t="shared" si="25"/>
        <v>41.517702687117982</v>
      </c>
      <c r="Q556" s="684">
        <f t="shared" si="26"/>
        <v>0.4151770268711798</v>
      </c>
      <c r="R556" s="490"/>
    </row>
    <row r="557" spans="1:18" x14ac:dyDescent="0.2">
      <c r="A557" s="506" t="s">
        <v>276</v>
      </c>
      <c r="B557" s="502" t="s">
        <v>779</v>
      </c>
      <c r="C557" s="507" t="s">
        <v>288</v>
      </c>
      <c r="D557" s="503" t="s">
        <v>283</v>
      </c>
      <c r="E557" s="348"/>
      <c r="F557" s="504" t="s">
        <v>109</v>
      </c>
      <c r="G557" s="512" t="s">
        <v>806</v>
      </c>
      <c r="H557" s="511" t="s">
        <v>789</v>
      </c>
      <c r="I557" s="510" t="s">
        <v>790</v>
      </c>
      <c r="J557" s="509" t="s">
        <v>650</v>
      </c>
      <c r="K557" s="516">
        <v>8</v>
      </c>
      <c r="L557" s="520"/>
      <c r="M557" s="685">
        <v>64</v>
      </c>
      <c r="N557" s="685">
        <v>6</v>
      </c>
      <c r="O557" s="682">
        <f t="shared" si="24"/>
        <v>9.375E-2</v>
      </c>
      <c r="P557" s="683">
        <f t="shared" si="25"/>
        <v>117.1875</v>
      </c>
      <c r="Q557" s="684">
        <f t="shared" si="26"/>
        <v>1.171875</v>
      </c>
      <c r="R557" s="490"/>
    </row>
    <row r="558" spans="1:18" x14ac:dyDescent="0.2">
      <c r="A558" s="506" t="s">
        <v>276</v>
      </c>
      <c r="B558" s="502" t="s">
        <v>779</v>
      </c>
      <c r="C558" s="507" t="s">
        <v>288</v>
      </c>
      <c r="D558" s="503" t="s">
        <v>284</v>
      </c>
      <c r="E558" s="348"/>
      <c r="F558" s="504" t="s">
        <v>109</v>
      </c>
      <c r="G558" s="512" t="s">
        <v>806</v>
      </c>
      <c r="H558" s="511" t="s">
        <v>789</v>
      </c>
      <c r="I558" s="510" t="s">
        <v>790</v>
      </c>
      <c r="J558" s="509" t="s">
        <v>650</v>
      </c>
      <c r="K558" s="516">
        <v>8</v>
      </c>
      <c r="L558" s="520" t="s">
        <v>791</v>
      </c>
      <c r="M558" s="685">
        <v>10</v>
      </c>
      <c r="N558" s="685">
        <v>0</v>
      </c>
      <c r="O558" s="682">
        <f t="shared" si="24"/>
        <v>0</v>
      </c>
      <c r="P558" s="683">
        <f t="shared" si="25"/>
        <v>0</v>
      </c>
      <c r="Q558" s="684">
        <f t="shared" si="26"/>
        <v>0</v>
      </c>
      <c r="R558" s="491"/>
    </row>
    <row r="559" spans="1:18" x14ac:dyDescent="0.2">
      <c r="A559" s="506" t="s">
        <v>276</v>
      </c>
      <c r="B559" s="502" t="s">
        <v>779</v>
      </c>
      <c r="C559" s="507" t="s">
        <v>288</v>
      </c>
      <c r="D559" s="503" t="s">
        <v>279</v>
      </c>
      <c r="E559" s="348"/>
      <c r="F559" s="504" t="s">
        <v>109</v>
      </c>
      <c r="G559" s="512" t="s">
        <v>806</v>
      </c>
      <c r="H559" s="511" t="s">
        <v>789</v>
      </c>
      <c r="I559" s="510" t="s">
        <v>790</v>
      </c>
      <c r="J559" s="509" t="s">
        <v>650</v>
      </c>
      <c r="K559" s="516">
        <v>0</v>
      </c>
      <c r="L559" s="520" t="s">
        <v>791</v>
      </c>
      <c r="M559" s="685">
        <v>2</v>
      </c>
      <c r="N559" s="685">
        <v>1</v>
      </c>
      <c r="O559" s="682">
        <f t="shared" si="24"/>
        <v>0.5</v>
      </c>
      <c r="P559" s="683" t="str">
        <f t="shared" si="25"/>
        <v>0</v>
      </c>
      <c r="Q559" s="684" t="str">
        <f t="shared" si="26"/>
        <v>0</v>
      </c>
      <c r="R559" s="491"/>
    </row>
    <row r="560" spans="1:18" x14ac:dyDescent="0.2">
      <c r="A560" s="506" t="s">
        <v>276</v>
      </c>
      <c r="B560" s="502" t="s">
        <v>779</v>
      </c>
      <c r="C560" s="507" t="s">
        <v>288</v>
      </c>
      <c r="D560" s="503" t="s">
        <v>281</v>
      </c>
      <c r="E560" s="348"/>
      <c r="F560" s="504" t="s">
        <v>109</v>
      </c>
      <c r="G560" s="512" t="s">
        <v>806</v>
      </c>
      <c r="H560" s="511" t="s">
        <v>789</v>
      </c>
      <c r="I560" s="510" t="s">
        <v>790</v>
      </c>
      <c r="J560" s="509" t="s">
        <v>650</v>
      </c>
      <c r="K560" s="516">
        <v>8</v>
      </c>
      <c r="L560" s="520" t="s">
        <v>791</v>
      </c>
      <c r="M560" s="685">
        <v>17</v>
      </c>
      <c r="N560" s="685">
        <v>3</v>
      </c>
      <c r="O560" s="682">
        <f t="shared" si="24"/>
        <v>0.17647058823529413</v>
      </c>
      <c r="P560" s="683">
        <f t="shared" si="25"/>
        <v>220.58823529411762</v>
      </c>
      <c r="Q560" s="684">
        <f t="shared" si="26"/>
        <v>2.2058823529411762</v>
      </c>
      <c r="R560" s="491"/>
    </row>
    <row r="561" spans="1:18" x14ac:dyDescent="0.2">
      <c r="A561" s="506" t="s">
        <v>276</v>
      </c>
      <c r="B561" s="502" t="s">
        <v>779</v>
      </c>
      <c r="C561" s="507" t="s">
        <v>99</v>
      </c>
      <c r="D561" s="503" t="s">
        <v>287</v>
      </c>
      <c r="E561" s="348"/>
      <c r="F561" s="504" t="s">
        <v>109</v>
      </c>
      <c r="G561" s="512" t="s">
        <v>806</v>
      </c>
      <c r="H561" s="511" t="s">
        <v>792</v>
      </c>
      <c r="I561" s="510" t="s">
        <v>790</v>
      </c>
      <c r="J561" s="509" t="s">
        <v>650</v>
      </c>
      <c r="K561" s="516">
        <v>17</v>
      </c>
      <c r="L561" s="520"/>
      <c r="M561" s="685">
        <v>326</v>
      </c>
      <c r="N561" s="685">
        <v>49</v>
      </c>
      <c r="O561" s="682">
        <f t="shared" si="24"/>
        <v>0.15030674846625766</v>
      </c>
      <c r="P561" s="683">
        <f t="shared" si="25"/>
        <v>88.415734391916274</v>
      </c>
      <c r="Q561" s="684">
        <f t="shared" si="26"/>
        <v>0.88415734391916267</v>
      </c>
      <c r="R561" s="490"/>
    </row>
    <row r="562" spans="1:18" x14ac:dyDescent="0.2">
      <c r="A562" s="506" t="s">
        <v>276</v>
      </c>
      <c r="B562" s="502" t="s">
        <v>779</v>
      </c>
      <c r="C562" s="507" t="s">
        <v>99</v>
      </c>
      <c r="D562" s="503" t="s">
        <v>283</v>
      </c>
      <c r="E562" s="348"/>
      <c r="F562" s="504" t="s">
        <v>109</v>
      </c>
      <c r="G562" s="512" t="s">
        <v>806</v>
      </c>
      <c r="H562" s="511" t="s">
        <v>789</v>
      </c>
      <c r="I562" s="510" t="s">
        <v>790</v>
      </c>
      <c r="J562" s="509" t="s">
        <v>650</v>
      </c>
      <c r="K562" s="516">
        <v>36</v>
      </c>
      <c r="L562" s="520"/>
      <c r="M562" s="685">
        <v>17</v>
      </c>
      <c r="N562" s="685">
        <v>4</v>
      </c>
      <c r="O562" s="682">
        <f t="shared" si="24"/>
        <v>0.23529411764705882</v>
      </c>
      <c r="P562" s="683">
        <f t="shared" si="25"/>
        <v>65.359477124183002</v>
      </c>
      <c r="Q562" s="684">
        <f t="shared" si="26"/>
        <v>0.65359477124183007</v>
      </c>
      <c r="R562" s="490"/>
    </row>
    <row r="563" spans="1:18" x14ac:dyDescent="0.2">
      <c r="A563" s="506" t="s">
        <v>276</v>
      </c>
      <c r="B563" s="502" t="s">
        <v>779</v>
      </c>
      <c r="C563" s="507" t="s">
        <v>99</v>
      </c>
      <c r="D563" s="503" t="s">
        <v>284</v>
      </c>
      <c r="E563" s="348"/>
      <c r="F563" s="504" t="s">
        <v>109</v>
      </c>
      <c r="G563" s="512" t="s">
        <v>806</v>
      </c>
      <c r="H563" s="511" t="s">
        <v>789</v>
      </c>
      <c r="I563" s="510" t="s">
        <v>790</v>
      </c>
      <c r="J563" s="509" t="s">
        <v>650</v>
      </c>
      <c r="K563" s="516">
        <v>80</v>
      </c>
      <c r="L563" s="520"/>
      <c r="M563" s="685">
        <v>8</v>
      </c>
      <c r="N563" s="685">
        <v>2</v>
      </c>
      <c r="O563" s="682">
        <f t="shared" si="24"/>
        <v>0.25</v>
      </c>
      <c r="P563" s="683">
        <f t="shared" si="25"/>
        <v>31.25</v>
      </c>
      <c r="Q563" s="684">
        <f t="shared" si="26"/>
        <v>0.3125</v>
      </c>
      <c r="R563" s="490"/>
    </row>
    <row r="564" spans="1:18" x14ac:dyDescent="0.2">
      <c r="A564" s="506" t="s">
        <v>276</v>
      </c>
      <c r="B564" s="502" t="s">
        <v>779</v>
      </c>
      <c r="C564" s="507" t="s">
        <v>99</v>
      </c>
      <c r="D564" s="503" t="s">
        <v>279</v>
      </c>
      <c r="E564" s="348"/>
      <c r="F564" s="504" t="s">
        <v>109</v>
      </c>
      <c r="G564" s="512" t="s">
        <v>806</v>
      </c>
      <c r="H564" s="511" t="s">
        <v>789</v>
      </c>
      <c r="I564" s="510" t="s">
        <v>790</v>
      </c>
      <c r="J564" s="509" t="s">
        <v>650</v>
      </c>
      <c r="K564" s="516">
        <v>17</v>
      </c>
      <c r="L564" s="520" t="s">
        <v>791</v>
      </c>
      <c r="M564" s="685">
        <v>5</v>
      </c>
      <c r="N564" s="685">
        <v>2</v>
      </c>
      <c r="O564" s="682">
        <f t="shared" si="24"/>
        <v>0.4</v>
      </c>
      <c r="P564" s="683">
        <f t="shared" si="25"/>
        <v>235.29411764705878</v>
      </c>
      <c r="Q564" s="684">
        <f t="shared" si="26"/>
        <v>2.3529411764705879</v>
      </c>
      <c r="R564" s="491"/>
    </row>
    <row r="565" spans="1:18" x14ac:dyDescent="0.2">
      <c r="A565" s="506" t="s">
        <v>276</v>
      </c>
      <c r="B565" s="502" t="s">
        <v>779</v>
      </c>
      <c r="C565" s="507" t="s">
        <v>99</v>
      </c>
      <c r="D565" s="503" t="s">
        <v>281</v>
      </c>
      <c r="E565" s="348"/>
      <c r="F565" s="504" t="s">
        <v>109</v>
      </c>
      <c r="G565" s="512" t="s">
        <v>806</v>
      </c>
      <c r="H565" s="511" t="s">
        <v>789</v>
      </c>
      <c r="I565" s="510" t="s">
        <v>790</v>
      </c>
      <c r="J565" s="509" t="s">
        <v>650</v>
      </c>
      <c r="K565" s="516">
        <v>0</v>
      </c>
      <c r="L565" s="520" t="s">
        <v>791</v>
      </c>
      <c r="M565" s="685">
        <v>1</v>
      </c>
      <c r="N565" s="685">
        <v>0</v>
      </c>
      <c r="O565" s="682">
        <f t="shared" si="24"/>
        <v>0</v>
      </c>
      <c r="P565" s="683" t="str">
        <f t="shared" si="25"/>
        <v>0</v>
      </c>
      <c r="Q565" s="684" t="str">
        <f t="shared" si="26"/>
        <v>0</v>
      </c>
      <c r="R565" s="491"/>
    </row>
    <row r="566" spans="1:18" x14ac:dyDescent="0.2">
      <c r="A566" s="506" t="s">
        <v>276</v>
      </c>
      <c r="B566" s="502" t="s">
        <v>779</v>
      </c>
      <c r="C566" s="507" t="s">
        <v>285</v>
      </c>
      <c r="D566" s="503" t="s">
        <v>287</v>
      </c>
      <c r="E566" s="348"/>
      <c r="F566" s="504" t="s">
        <v>109</v>
      </c>
      <c r="G566" s="512" t="s">
        <v>806</v>
      </c>
      <c r="H566" s="511" t="s">
        <v>792</v>
      </c>
      <c r="I566" s="510" t="s">
        <v>790</v>
      </c>
      <c r="J566" s="509" t="s">
        <v>650</v>
      </c>
      <c r="K566" s="516">
        <v>13</v>
      </c>
      <c r="L566" s="520"/>
      <c r="M566" s="685">
        <v>0</v>
      </c>
      <c r="N566" s="685">
        <v>0</v>
      </c>
      <c r="O566" s="682">
        <f t="shared" si="24"/>
        <v>0</v>
      </c>
      <c r="P566" s="683" t="str">
        <f t="shared" si="25"/>
        <v>0</v>
      </c>
      <c r="Q566" s="684" t="str">
        <f t="shared" si="26"/>
        <v>0</v>
      </c>
      <c r="R566" s="491"/>
    </row>
    <row r="567" spans="1:18" x14ac:dyDescent="0.2">
      <c r="A567" s="506" t="s">
        <v>276</v>
      </c>
      <c r="B567" s="502" t="s">
        <v>779</v>
      </c>
      <c r="C567" s="507" t="s">
        <v>285</v>
      </c>
      <c r="D567" s="503" t="s">
        <v>283</v>
      </c>
      <c r="E567" s="348"/>
      <c r="F567" s="504" t="s">
        <v>109</v>
      </c>
      <c r="G567" s="512" t="s">
        <v>806</v>
      </c>
      <c r="H567" s="511" t="s">
        <v>789</v>
      </c>
      <c r="I567" s="510" t="s">
        <v>790</v>
      </c>
      <c r="J567" s="509" t="s">
        <v>650</v>
      </c>
      <c r="K567" s="516">
        <v>50</v>
      </c>
      <c r="L567" s="520" t="s">
        <v>791</v>
      </c>
      <c r="M567" s="685">
        <v>5</v>
      </c>
      <c r="N567" s="685">
        <v>1</v>
      </c>
      <c r="O567" s="682">
        <f t="shared" si="24"/>
        <v>0.2</v>
      </c>
      <c r="P567" s="683">
        <f t="shared" si="25"/>
        <v>40</v>
      </c>
      <c r="Q567" s="684">
        <f t="shared" si="26"/>
        <v>0.4</v>
      </c>
      <c r="R567" s="491"/>
    </row>
    <row r="568" spans="1:18" x14ac:dyDescent="0.2">
      <c r="A568" s="506" t="s">
        <v>276</v>
      </c>
      <c r="B568" s="502" t="s">
        <v>779</v>
      </c>
      <c r="C568" s="507" t="s">
        <v>285</v>
      </c>
      <c r="D568" s="503" t="s">
        <v>284</v>
      </c>
      <c r="E568" s="348"/>
      <c r="F568" s="504" t="s">
        <v>109</v>
      </c>
      <c r="G568" s="512" t="s">
        <v>806</v>
      </c>
      <c r="H568" s="511" t="s">
        <v>789</v>
      </c>
      <c r="I568" s="510" t="s">
        <v>790</v>
      </c>
      <c r="J568" s="509" t="s">
        <v>650</v>
      </c>
      <c r="K568" s="516">
        <v>0</v>
      </c>
      <c r="L568" s="520" t="s">
        <v>791</v>
      </c>
      <c r="M568" s="685">
        <v>4</v>
      </c>
      <c r="N568" s="685">
        <v>0</v>
      </c>
      <c r="O568" s="682">
        <f t="shared" si="24"/>
        <v>0</v>
      </c>
      <c r="P568" s="683" t="str">
        <f t="shared" si="25"/>
        <v>0</v>
      </c>
      <c r="Q568" s="684" t="str">
        <f t="shared" si="26"/>
        <v>0</v>
      </c>
      <c r="R568" s="491"/>
    </row>
    <row r="569" spans="1:18" x14ac:dyDescent="0.2">
      <c r="A569" s="506" t="s">
        <v>276</v>
      </c>
      <c r="B569" s="502" t="s">
        <v>779</v>
      </c>
      <c r="C569" s="507" t="s">
        <v>285</v>
      </c>
      <c r="D569" s="503" t="s">
        <v>279</v>
      </c>
      <c r="E569" s="348"/>
      <c r="F569" s="504" t="s">
        <v>109</v>
      </c>
      <c r="G569" s="512" t="s">
        <v>806</v>
      </c>
      <c r="H569" s="511" t="s">
        <v>789</v>
      </c>
      <c r="I569" s="510" t="s">
        <v>790</v>
      </c>
      <c r="J569" s="509" t="s">
        <v>650</v>
      </c>
      <c r="K569" s="516">
        <v>0</v>
      </c>
      <c r="L569" s="520" t="s">
        <v>791</v>
      </c>
      <c r="M569" s="685">
        <v>1</v>
      </c>
      <c r="N569" s="685">
        <v>0</v>
      </c>
      <c r="O569" s="682">
        <f t="shared" si="24"/>
        <v>0</v>
      </c>
      <c r="P569" s="683" t="str">
        <f t="shared" si="25"/>
        <v>0</v>
      </c>
      <c r="Q569" s="684" t="str">
        <f t="shared" si="26"/>
        <v>0</v>
      </c>
      <c r="R569" s="491"/>
    </row>
    <row r="570" spans="1:18" x14ac:dyDescent="0.2">
      <c r="A570" s="506" t="s">
        <v>276</v>
      </c>
      <c r="B570" s="502" t="s">
        <v>779</v>
      </c>
      <c r="C570" s="507" t="s">
        <v>285</v>
      </c>
      <c r="D570" s="503" t="s">
        <v>281</v>
      </c>
      <c r="E570" s="348"/>
      <c r="F570" s="504" t="s">
        <v>109</v>
      </c>
      <c r="G570" s="512" t="s">
        <v>806</v>
      </c>
      <c r="H570" s="511" t="s">
        <v>789</v>
      </c>
      <c r="I570" s="510" t="s">
        <v>790</v>
      </c>
      <c r="J570" s="509" t="s">
        <v>650</v>
      </c>
      <c r="K570" s="516">
        <v>25</v>
      </c>
      <c r="L570" s="520"/>
      <c r="M570" s="685">
        <v>12</v>
      </c>
      <c r="N570" s="685">
        <v>4</v>
      </c>
      <c r="O570" s="682">
        <f t="shared" si="24"/>
        <v>0.33333333333333331</v>
      </c>
      <c r="P570" s="683">
        <f t="shared" si="25"/>
        <v>133.33333333333331</v>
      </c>
      <c r="Q570" s="684">
        <f t="shared" si="26"/>
        <v>1.3333333333333333</v>
      </c>
      <c r="R570" s="490"/>
    </row>
    <row r="571" spans="1:18" x14ac:dyDescent="0.2">
      <c r="A571" s="506" t="s">
        <v>276</v>
      </c>
      <c r="B571" s="502" t="s">
        <v>779</v>
      </c>
      <c r="C571" s="507" t="s">
        <v>285</v>
      </c>
      <c r="D571" s="503" t="s">
        <v>286</v>
      </c>
      <c r="E571" s="348"/>
      <c r="F571" s="504" t="s">
        <v>109</v>
      </c>
      <c r="G571" s="512" t="s">
        <v>806</v>
      </c>
      <c r="H571" s="511" t="s">
        <v>789</v>
      </c>
      <c r="I571" s="510" t="s">
        <v>790</v>
      </c>
      <c r="J571" s="509" t="s">
        <v>650</v>
      </c>
      <c r="K571" s="516">
        <v>10</v>
      </c>
      <c r="L571" s="520"/>
      <c r="M571" s="685">
        <v>20</v>
      </c>
      <c r="N571" s="685">
        <v>0</v>
      </c>
      <c r="O571" s="682">
        <f t="shared" si="24"/>
        <v>0</v>
      </c>
      <c r="P571" s="683">
        <f t="shared" si="25"/>
        <v>0</v>
      </c>
      <c r="Q571" s="684">
        <f t="shared" si="26"/>
        <v>0</v>
      </c>
      <c r="R571" s="490"/>
    </row>
    <row r="572" spans="1:18" x14ac:dyDescent="0.2">
      <c r="A572" s="506" t="s">
        <v>276</v>
      </c>
      <c r="B572" s="502" t="s">
        <v>779</v>
      </c>
      <c r="C572" s="507" t="s">
        <v>291</v>
      </c>
      <c r="D572" s="503" t="s">
        <v>283</v>
      </c>
      <c r="E572" s="348"/>
      <c r="F572" s="504" t="s">
        <v>109</v>
      </c>
      <c r="G572" s="512" t="s">
        <v>806</v>
      </c>
      <c r="H572" s="511" t="s">
        <v>789</v>
      </c>
      <c r="I572" s="510" t="s">
        <v>790</v>
      </c>
      <c r="J572" s="509" t="s">
        <v>650</v>
      </c>
      <c r="K572" s="516">
        <v>0</v>
      </c>
      <c r="L572" s="520" t="s">
        <v>791</v>
      </c>
      <c r="M572" s="685">
        <v>0</v>
      </c>
      <c r="N572" s="685">
        <v>0</v>
      </c>
      <c r="O572" s="682">
        <f t="shared" si="24"/>
        <v>0</v>
      </c>
      <c r="P572" s="683" t="str">
        <f t="shared" si="25"/>
        <v>0</v>
      </c>
      <c r="Q572" s="684" t="str">
        <f t="shared" si="26"/>
        <v>0</v>
      </c>
      <c r="R572" s="491"/>
    </row>
    <row r="573" spans="1:18" x14ac:dyDescent="0.2">
      <c r="A573" s="506" t="s">
        <v>276</v>
      </c>
      <c r="B573" s="502" t="s">
        <v>779</v>
      </c>
      <c r="C573" s="507" t="s">
        <v>291</v>
      </c>
      <c r="D573" s="503" t="s">
        <v>284</v>
      </c>
      <c r="E573" s="348"/>
      <c r="F573" s="504" t="s">
        <v>109</v>
      </c>
      <c r="G573" s="512" t="s">
        <v>806</v>
      </c>
      <c r="H573" s="511" t="s">
        <v>789</v>
      </c>
      <c r="I573" s="510" t="s">
        <v>790</v>
      </c>
      <c r="J573" s="509" t="s">
        <v>650</v>
      </c>
      <c r="K573" s="516">
        <v>0</v>
      </c>
      <c r="L573" s="520" t="s">
        <v>791</v>
      </c>
      <c r="M573" s="685">
        <v>0</v>
      </c>
      <c r="N573" s="685">
        <v>0</v>
      </c>
      <c r="O573" s="682">
        <f t="shared" si="24"/>
        <v>0</v>
      </c>
      <c r="P573" s="683" t="str">
        <f t="shared" si="25"/>
        <v>0</v>
      </c>
      <c r="Q573" s="684" t="str">
        <f t="shared" si="26"/>
        <v>0</v>
      </c>
      <c r="R573" s="491"/>
    </row>
    <row r="574" spans="1:18" x14ac:dyDescent="0.2">
      <c r="A574" s="506" t="s">
        <v>276</v>
      </c>
      <c r="B574" s="502" t="s">
        <v>779</v>
      </c>
      <c r="C574" s="507" t="s">
        <v>290</v>
      </c>
      <c r="D574" s="503" t="s">
        <v>287</v>
      </c>
      <c r="E574" s="348"/>
      <c r="F574" s="504" t="s">
        <v>109</v>
      </c>
      <c r="G574" s="512" t="s">
        <v>806</v>
      </c>
      <c r="H574" s="511" t="s">
        <v>792</v>
      </c>
      <c r="I574" s="510" t="s">
        <v>790</v>
      </c>
      <c r="J574" s="509" t="s">
        <v>650</v>
      </c>
      <c r="K574" s="516">
        <v>38</v>
      </c>
      <c r="L574" s="520"/>
      <c r="M574" s="685">
        <v>65</v>
      </c>
      <c r="N574" s="685">
        <v>9</v>
      </c>
      <c r="O574" s="682">
        <f t="shared" si="24"/>
        <v>0.13846153846153847</v>
      </c>
      <c r="P574" s="683">
        <f t="shared" si="25"/>
        <v>36.43724696356275</v>
      </c>
      <c r="Q574" s="684">
        <f t="shared" si="26"/>
        <v>0.36437246963562753</v>
      </c>
      <c r="R574" s="490"/>
    </row>
    <row r="575" spans="1:18" x14ac:dyDescent="0.2">
      <c r="A575" s="506" t="s">
        <v>276</v>
      </c>
      <c r="B575" s="502" t="s">
        <v>779</v>
      </c>
      <c r="C575" s="507" t="s">
        <v>290</v>
      </c>
      <c r="D575" s="503" t="s">
        <v>283</v>
      </c>
      <c r="E575" s="348"/>
      <c r="F575" s="504" t="s">
        <v>109</v>
      </c>
      <c r="G575" s="512" t="s">
        <v>806</v>
      </c>
      <c r="H575" s="511" t="s">
        <v>789</v>
      </c>
      <c r="I575" s="510" t="s">
        <v>790</v>
      </c>
      <c r="J575" s="509" t="s">
        <v>650</v>
      </c>
      <c r="K575" s="516">
        <v>0</v>
      </c>
      <c r="L575" s="520" t="s">
        <v>791</v>
      </c>
      <c r="M575" s="685">
        <v>5</v>
      </c>
      <c r="N575" s="685">
        <v>0</v>
      </c>
      <c r="O575" s="682">
        <f t="shared" si="24"/>
        <v>0</v>
      </c>
      <c r="P575" s="683" t="str">
        <f t="shared" si="25"/>
        <v>0</v>
      </c>
      <c r="Q575" s="684" t="str">
        <f t="shared" si="26"/>
        <v>0</v>
      </c>
      <c r="R575" s="491"/>
    </row>
    <row r="576" spans="1:18" x14ac:dyDescent="0.2">
      <c r="A576" s="506" t="s">
        <v>276</v>
      </c>
      <c r="B576" s="502" t="s">
        <v>779</v>
      </c>
      <c r="C576" s="507" t="s">
        <v>290</v>
      </c>
      <c r="D576" s="503" t="s">
        <v>284</v>
      </c>
      <c r="E576" s="348"/>
      <c r="F576" s="504" t="s">
        <v>109</v>
      </c>
      <c r="G576" s="512" t="s">
        <v>806</v>
      </c>
      <c r="H576" s="511" t="s">
        <v>789</v>
      </c>
      <c r="I576" s="510" t="s">
        <v>790</v>
      </c>
      <c r="J576" s="509" t="s">
        <v>650</v>
      </c>
      <c r="K576" s="516">
        <v>0</v>
      </c>
      <c r="L576" s="520" t="s">
        <v>791</v>
      </c>
      <c r="M576" s="685">
        <v>0</v>
      </c>
      <c r="N576" s="685">
        <v>0</v>
      </c>
      <c r="O576" s="682">
        <f t="shared" si="24"/>
        <v>0</v>
      </c>
      <c r="P576" s="683" t="str">
        <f t="shared" si="25"/>
        <v>0</v>
      </c>
      <c r="Q576" s="684" t="str">
        <f t="shared" si="26"/>
        <v>0</v>
      </c>
      <c r="R576" s="491"/>
    </row>
    <row r="577" spans="1:18" x14ac:dyDescent="0.2">
      <c r="A577" s="506" t="s">
        <v>276</v>
      </c>
      <c r="B577" s="502" t="s">
        <v>779</v>
      </c>
      <c r="C577" s="507" t="s">
        <v>289</v>
      </c>
      <c r="D577" s="503" t="s">
        <v>287</v>
      </c>
      <c r="E577" s="348"/>
      <c r="F577" s="504" t="s">
        <v>109</v>
      </c>
      <c r="G577" s="512" t="s">
        <v>806</v>
      </c>
      <c r="H577" s="511" t="s">
        <v>792</v>
      </c>
      <c r="I577" s="510" t="s">
        <v>790</v>
      </c>
      <c r="J577" s="509" t="s">
        <v>650</v>
      </c>
      <c r="K577" s="516">
        <v>5</v>
      </c>
      <c r="L577" s="520"/>
      <c r="M577" s="685">
        <v>733</v>
      </c>
      <c r="N577" s="685">
        <v>90</v>
      </c>
      <c r="O577" s="682">
        <f t="shared" si="24"/>
        <v>0.12278308321964529</v>
      </c>
      <c r="P577" s="683">
        <f t="shared" si="25"/>
        <v>245.56616643929061</v>
      </c>
      <c r="Q577" s="684">
        <f t="shared" si="26"/>
        <v>2.4556616643929061</v>
      </c>
      <c r="R577" s="490"/>
    </row>
    <row r="578" spans="1:18" x14ac:dyDescent="0.2">
      <c r="A578" s="506" t="s">
        <v>276</v>
      </c>
      <c r="B578" s="502" t="s">
        <v>779</v>
      </c>
      <c r="C578" s="507" t="s">
        <v>289</v>
      </c>
      <c r="D578" s="503" t="s">
        <v>283</v>
      </c>
      <c r="E578" s="348"/>
      <c r="F578" s="504" t="s">
        <v>109</v>
      </c>
      <c r="G578" s="512" t="s">
        <v>806</v>
      </c>
      <c r="H578" s="511" t="s">
        <v>789</v>
      </c>
      <c r="I578" s="510" t="s">
        <v>790</v>
      </c>
      <c r="J578" s="509" t="s">
        <v>650</v>
      </c>
      <c r="K578" s="516">
        <v>32</v>
      </c>
      <c r="L578" s="520"/>
      <c r="M578" s="685">
        <v>134</v>
      </c>
      <c r="N578" s="685">
        <v>38</v>
      </c>
      <c r="O578" s="682">
        <f t="shared" si="24"/>
        <v>0.28358208955223879</v>
      </c>
      <c r="P578" s="683">
        <f t="shared" si="25"/>
        <v>88.619402985074629</v>
      </c>
      <c r="Q578" s="684">
        <f t="shared" si="26"/>
        <v>0.88619402985074625</v>
      </c>
      <c r="R578" s="490"/>
    </row>
    <row r="579" spans="1:18" x14ac:dyDescent="0.2">
      <c r="A579" s="506" t="s">
        <v>276</v>
      </c>
      <c r="B579" s="502" t="s">
        <v>779</v>
      </c>
      <c r="C579" s="507" t="s">
        <v>289</v>
      </c>
      <c r="D579" s="503" t="s">
        <v>284</v>
      </c>
      <c r="E579" s="348"/>
      <c r="F579" s="504" t="s">
        <v>109</v>
      </c>
      <c r="G579" s="512" t="s">
        <v>806</v>
      </c>
      <c r="H579" s="511" t="s">
        <v>789</v>
      </c>
      <c r="I579" s="510" t="s">
        <v>790</v>
      </c>
      <c r="J579" s="509" t="s">
        <v>650</v>
      </c>
      <c r="K579" s="516">
        <v>33</v>
      </c>
      <c r="L579" s="520"/>
      <c r="M579" s="685">
        <v>29</v>
      </c>
      <c r="N579" s="685">
        <v>13</v>
      </c>
      <c r="O579" s="682">
        <f t="shared" si="24"/>
        <v>0.44827586206896552</v>
      </c>
      <c r="P579" s="683">
        <f t="shared" si="25"/>
        <v>135.84117032392896</v>
      </c>
      <c r="Q579" s="684">
        <f t="shared" si="26"/>
        <v>1.3584117032392895</v>
      </c>
      <c r="R579" s="490"/>
    </row>
    <row r="580" spans="1:18" x14ac:dyDescent="0.2">
      <c r="A580" s="506" t="s">
        <v>276</v>
      </c>
      <c r="B580" s="502" t="s">
        <v>779</v>
      </c>
      <c r="C580" s="507" t="s">
        <v>289</v>
      </c>
      <c r="D580" s="503" t="s">
        <v>281</v>
      </c>
      <c r="E580" s="348"/>
      <c r="F580" s="504" t="s">
        <v>109</v>
      </c>
      <c r="G580" s="512" t="s">
        <v>806</v>
      </c>
      <c r="H580" s="511" t="s">
        <v>789</v>
      </c>
      <c r="I580" s="510" t="s">
        <v>790</v>
      </c>
      <c r="J580" s="509" t="s">
        <v>650</v>
      </c>
      <c r="K580" s="516">
        <v>0</v>
      </c>
      <c r="L580" s="520" t="s">
        <v>791</v>
      </c>
      <c r="M580" s="685">
        <v>2</v>
      </c>
      <c r="N580" s="685">
        <v>0</v>
      </c>
      <c r="O580" s="682">
        <f t="shared" si="24"/>
        <v>0</v>
      </c>
      <c r="P580" s="683" t="str">
        <f t="shared" si="25"/>
        <v>0</v>
      </c>
      <c r="Q580" s="684" t="str">
        <f t="shared" si="26"/>
        <v>0</v>
      </c>
      <c r="R580" s="491"/>
    </row>
    <row r="581" spans="1:18" x14ac:dyDescent="0.2">
      <c r="A581" s="506" t="s">
        <v>276</v>
      </c>
      <c r="B581" s="502" t="s">
        <v>779</v>
      </c>
      <c r="C581" s="507" t="s">
        <v>97</v>
      </c>
      <c r="D581" s="503" t="s">
        <v>279</v>
      </c>
      <c r="E581" s="348"/>
      <c r="F581" s="504" t="s">
        <v>109</v>
      </c>
      <c r="G581" s="512" t="s">
        <v>1600</v>
      </c>
      <c r="H581" s="511" t="s">
        <v>807</v>
      </c>
      <c r="I581" s="510" t="s">
        <v>790</v>
      </c>
      <c r="J581" s="509" t="s">
        <v>650</v>
      </c>
      <c r="K581" s="516">
        <v>33</v>
      </c>
      <c r="L581" s="520"/>
      <c r="M581" s="360">
        <v>6</v>
      </c>
      <c r="N581" s="360">
        <v>6</v>
      </c>
      <c r="O581" s="682">
        <f t="shared" ref="O581:O644" si="27">IFERROR(N581/M581,0)</f>
        <v>1</v>
      </c>
      <c r="P581" s="683">
        <f t="shared" ref="P581:P644" si="28">IFERROR(N581/(M581*(K581/100))*100,"0")</f>
        <v>303.030303030303</v>
      </c>
      <c r="Q581" s="684">
        <f t="shared" ref="Q581:Q644" si="29">IFERROR(N581/(M581*(K581/100)),"0")</f>
        <v>3.0303030303030303</v>
      </c>
      <c r="R581" s="491"/>
    </row>
    <row r="582" spans="1:18" x14ac:dyDescent="0.2">
      <c r="A582" s="506" t="s">
        <v>276</v>
      </c>
      <c r="B582" s="502" t="s">
        <v>779</v>
      </c>
      <c r="C582" s="507" t="s">
        <v>97</v>
      </c>
      <c r="D582" s="503" t="s">
        <v>281</v>
      </c>
      <c r="E582" s="348"/>
      <c r="F582" s="504" t="s">
        <v>109</v>
      </c>
      <c r="G582" s="512" t="s">
        <v>1600</v>
      </c>
      <c r="H582" s="511" t="s">
        <v>807</v>
      </c>
      <c r="I582" s="510" t="s">
        <v>790</v>
      </c>
      <c r="J582" s="509" t="s">
        <v>650</v>
      </c>
      <c r="K582" s="516">
        <v>100</v>
      </c>
      <c r="L582" s="520" t="s">
        <v>791</v>
      </c>
      <c r="M582" s="685">
        <v>9</v>
      </c>
      <c r="N582" s="685">
        <v>9</v>
      </c>
      <c r="O582" s="682">
        <f t="shared" si="27"/>
        <v>1</v>
      </c>
      <c r="P582" s="683">
        <f t="shared" si="28"/>
        <v>100</v>
      </c>
      <c r="Q582" s="684">
        <f t="shared" si="29"/>
        <v>1</v>
      </c>
      <c r="R582" s="491"/>
    </row>
    <row r="583" spans="1:18" x14ac:dyDescent="0.2">
      <c r="A583" s="506" t="s">
        <v>276</v>
      </c>
      <c r="B583" s="502" t="s">
        <v>779</v>
      </c>
      <c r="C583" s="507" t="s">
        <v>282</v>
      </c>
      <c r="D583" s="503" t="s">
        <v>287</v>
      </c>
      <c r="E583" s="348"/>
      <c r="F583" s="504" t="s">
        <v>109</v>
      </c>
      <c r="G583" s="512" t="s">
        <v>1600</v>
      </c>
      <c r="H583" s="511" t="s">
        <v>807</v>
      </c>
      <c r="I583" s="729" t="s">
        <v>784</v>
      </c>
      <c r="J583" s="509" t="s">
        <v>650</v>
      </c>
      <c r="K583" s="516">
        <v>5</v>
      </c>
      <c r="L583" s="520" t="s">
        <v>791</v>
      </c>
      <c r="M583" s="685">
        <v>68</v>
      </c>
      <c r="N583" s="685">
        <v>68</v>
      </c>
      <c r="O583" s="682">
        <f t="shared" si="27"/>
        <v>1</v>
      </c>
      <c r="P583" s="683">
        <f t="shared" si="28"/>
        <v>1999.9999999999995</v>
      </c>
      <c r="Q583" s="684">
        <f t="shared" si="29"/>
        <v>19.999999999999996</v>
      </c>
      <c r="R583" s="491"/>
    </row>
    <row r="584" spans="1:18" x14ac:dyDescent="0.2">
      <c r="A584" s="506" t="s">
        <v>276</v>
      </c>
      <c r="B584" s="502" t="s">
        <v>779</v>
      </c>
      <c r="C584" s="507" t="s">
        <v>282</v>
      </c>
      <c r="D584" s="503" t="s">
        <v>283</v>
      </c>
      <c r="E584" s="348"/>
      <c r="F584" s="504" t="s">
        <v>109</v>
      </c>
      <c r="G584" s="512" t="s">
        <v>1600</v>
      </c>
      <c r="H584" s="511" t="s">
        <v>807</v>
      </c>
      <c r="I584" s="510" t="s">
        <v>790</v>
      </c>
      <c r="J584" s="509" t="s">
        <v>650</v>
      </c>
      <c r="K584" s="516">
        <v>26</v>
      </c>
      <c r="L584" s="520"/>
      <c r="M584" s="685">
        <v>19</v>
      </c>
      <c r="N584" s="685">
        <v>19</v>
      </c>
      <c r="O584" s="682">
        <f t="shared" si="27"/>
        <v>1</v>
      </c>
      <c r="P584" s="683">
        <f t="shared" si="28"/>
        <v>384.61538461538458</v>
      </c>
      <c r="Q584" s="684">
        <f t="shared" si="29"/>
        <v>3.8461538461538458</v>
      </c>
      <c r="R584" s="491"/>
    </row>
    <row r="585" spans="1:18" x14ac:dyDescent="0.2">
      <c r="A585" s="506" t="s">
        <v>276</v>
      </c>
      <c r="B585" s="502" t="s">
        <v>779</v>
      </c>
      <c r="C585" s="507" t="s">
        <v>282</v>
      </c>
      <c r="D585" s="503" t="s">
        <v>284</v>
      </c>
      <c r="E585" s="348"/>
      <c r="F585" s="504" t="s">
        <v>109</v>
      </c>
      <c r="G585" s="512" t="s">
        <v>1600</v>
      </c>
      <c r="H585" s="511" t="s">
        <v>807</v>
      </c>
      <c r="I585" s="510" t="s">
        <v>790</v>
      </c>
      <c r="J585" s="509" t="s">
        <v>650</v>
      </c>
      <c r="K585" s="516">
        <v>16</v>
      </c>
      <c r="L585" s="520"/>
      <c r="M585" s="685">
        <v>43</v>
      </c>
      <c r="N585" s="685">
        <v>43</v>
      </c>
      <c r="O585" s="682">
        <f t="shared" si="27"/>
        <v>1</v>
      </c>
      <c r="P585" s="683">
        <f t="shared" si="28"/>
        <v>625</v>
      </c>
      <c r="Q585" s="684">
        <f t="shared" si="29"/>
        <v>6.25</v>
      </c>
      <c r="R585" s="491"/>
    </row>
    <row r="586" spans="1:18" x14ac:dyDescent="0.2">
      <c r="A586" s="506" t="s">
        <v>276</v>
      </c>
      <c r="B586" s="502" t="s">
        <v>779</v>
      </c>
      <c r="C586" s="507" t="s">
        <v>282</v>
      </c>
      <c r="D586" s="503" t="s">
        <v>279</v>
      </c>
      <c r="E586" s="348"/>
      <c r="F586" s="504" t="s">
        <v>109</v>
      </c>
      <c r="G586" s="512" t="s">
        <v>1600</v>
      </c>
      <c r="H586" s="511" t="s">
        <v>807</v>
      </c>
      <c r="I586" s="510" t="s">
        <v>790</v>
      </c>
      <c r="J586" s="509" t="s">
        <v>650</v>
      </c>
      <c r="K586" s="516">
        <v>6</v>
      </c>
      <c r="L586" s="520"/>
      <c r="M586" s="685">
        <v>65</v>
      </c>
      <c r="N586" s="685">
        <v>65</v>
      </c>
      <c r="O586" s="682">
        <f t="shared" si="27"/>
        <v>1</v>
      </c>
      <c r="P586" s="683">
        <f t="shared" si="28"/>
        <v>1666.6666666666667</v>
      </c>
      <c r="Q586" s="684">
        <f t="shared" si="29"/>
        <v>16.666666666666668</v>
      </c>
      <c r="R586" s="491"/>
    </row>
    <row r="587" spans="1:18" x14ac:dyDescent="0.2">
      <c r="A587" s="506" t="s">
        <v>276</v>
      </c>
      <c r="B587" s="502" t="s">
        <v>779</v>
      </c>
      <c r="C587" s="507" t="s">
        <v>282</v>
      </c>
      <c r="D587" s="503" t="s">
        <v>281</v>
      </c>
      <c r="E587" s="348"/>
      <c r="F587" s="504" t="s">
        <v>109</v>
      </c>
      <c r="G587" s="512" t="s">
        <v>1600</v>
      </c>
      <c r="H587" s="511" t="s">
        <v>807</v>
      </c>
      <c r="I587" s="510" t="s">
        <v>790</v>
      </c>
      <c r="J587" s="509" t="s">
        <v>650</v>
      </c>
      <c r="K587" s="516">
        <v>8</v>
      </c>
      <c r="L587" s="520"/>
      <c r="M587" s="685">
        <v>48</v>
      </c>
      <c r="N587" s="685">
        <v>48</v>
      </c>
      <c r="O587" s="682">
        <f t="shared" si="27"/>
        <v>1</v>
      </c>
      <c r="P587" s="683">
        <f t="shared" si="28"/>
        <v>1250</v>
      </c>
      <c r="Q587" s="684">
        <f t="shared" si="29"/>
        <v>12.5</v>
      </c>
      <c r="R587" s="491"/>
    </row>
    <row r="588" spans="1:18" x14ac:dyDescent="0.2">
      <c r="A588" s="506" t="s">
        <v>276</v>
      </c>
      <c r="B588" s="502" t="s">
        <v>779</v>
      </c>
      <c r="C588" s="507" t="s">
        <v>288</v>
      </c>
      <c r="D588" s="503" t="s">
        <v>287</v>
      </c>
      <c r="E588" s="348"/>
      <c r="F588" s="504" t="s">
        <v>109</v>
      </c>
      <c r="G588" s="512" t="s">
        <v>1600</v>
      </c>
      <c r="H588" s="511" t="s">
        <v>807</v>
      </c>
      <c r="I588" s="510" t="s">
        <v>790</v>
      </c>
      <c r="J588" s="509" t="s">
        <v>650</v>
      </c>
      <c r="K588" s="516">
        <v>28.999999999999996</v>
      </c>
      <c r="L588" s="520"/>
      <c r="M588" s="685">
        <v>299</v>
      </c>
      <c r="N588" s="685">
        <v>299</v>
      </c>
      <c r="O588" s="682">
        <f t="shared" si="27"/>
        <v>1</v>
      </c>
      <c r="P588" s="683">
        <f t="shared" si="28"/>
        <v>344.82758620689657</v>
      </c>
      <c r="Q588" s="684">
        <f t="shared" si="29"/>
        <v>3.4482758620689657</v>
      </c>
      <c r="R588" s="491"/>
    </row>
    <row r="589" spans="1:18" x14ac:dyDescent="0.2">
      <c r="A589" s="506" t="s">
        <v>276</v>
      </c>
      <c r="B589" s="502" t="s">
        <v>779</v>
      </c>
      <c r="C589" s="507" t="s">
        <v>288</v>
      </c>
      <c r="D589" s="503" t="s">
        <v>283</v>
      </c>
      <c r="E589" s="348"/>
      <c r="F589" s="504" t="s">
        <v>109</v>
      </c>
      <c r="G589" s="512" t="s">
        <v>1600</v>
      </c>
      <c r="H589" s="511" t="s">
        <v>807</v>
      </c>
      <c r="I589" s="510" t="s">
        <v>790</v>
      </c>
      <c r="J589" s="509" t="s">
        <v>650</v>
      </c>
      <c r="K589" s="516">
        <v>8</v>
      </c>
      <c r="L589" s="520"/>
      <c r="M589" s="685">
        <v>64</v>
      </c>
      <c r="N589" s="685">
        <v>64</v>
      </c>
      <c r="O589" s="682">
        <f t="shared" si="27"/>
        <v>1</v>
      </c>
      <c r="P589" s="683">
        <f t="shared" si="28"/>
        <v>1250</v>
      </c>
      <c r="Q589" s="684">
        <f t="shared" si="29"/>
        <v>12.5</v>
      </c>
      <c r="R589" s="491"/>
    </row>
    <row r="590" spans="1:18" x14ac:dyDescent="0.2">
      <c r="A590" s="506" t="s">
        <v>276</v>
      </c>
      <c r="B590" s="502" t="s">
        <v>779</v>
      </c>
      <c r="C590" s="507" t="s">
        <v>288</v>
      </c>
      <c r="D590" s="503" t="s">
        <v>284</v>
      </c>
      <c r="E590" s="348"/>
      <c r="F590" s="504" t="s">
        <v>109</v>
      </c>
      <c r="G590" s="512" t="s">
        <v>1600</v>
      </c>
      <c r="H590" s="511" t="s">
        <v>807</v>
      </c>
      <c r="I590" s="510" t="s">
        <v>790</v>
      </c>
      <c r="J590" s="509" t="s">
        <v>650</v>
      </c>
      <c r="K590" s="516">
        <v>0</v>
      </c>
      <c r="L590" s="520" t="s">
        <v>791</v>
      </c>
      <c r="M590" s="685">
        <v>10</v>
      </c>
      <c r="N590" s="685">
        <v>10</v>
      </c>
      <c r="O590" s="682">
        <f t="shared" si="27"/>
        <v>1</v>
      </c>
      <c r="P590" s="683" t="str">
        <f t="shared" si="28"/>
        <v>0</v>
      </c>
      <c r="Q590" s="684" t="str">
        <f t="shared" si="29"/>
        <v>0</v>
      </c>
      <c r="R590" s="491"/>
    </row>
    <row r="591" spans="1:18" x14ac:dyDescent="0.2">
      <c r="A591" s="506" t="s">
        <v>276</v>
      </c>
      <c r="B591" s="502" t="s">
        <v>779</v>
      </c>
      <c r="C591" s="507" t="s">
        <v>288</v>
      </c>
      <c r="D591" s="503" t="s">
        <v>279</v>
      </c>
      <c r="E591" s="348"/>
      <c r="F591" s="504" t="s">
        <v>109</v>
      </c>
      <c r="G591" s="512" t="s">
        <v>1600</v>
      </c>
      <c r="H591" s="511" t="s">
        <v>807</v>
      </c>
      <c r="I591" s="510" t="s">
        <v>790</v>
      </c>
      <c r="J591" s="509" t="s">
        <v>650</v>
      </c>
      <c r="K591" s="516">
        <v>0</v>
      </c>
      <c r="L591" s="520" t="s">
        <v>791</v>
      </c>
      <c r="M591" s="685">
        <v>2</v>
      </c>
      <c r="N591" s="685">
        <v>2</v>
      </c>
      <c r="O591" s="682">
        <f t="shared" si="27"/>
        <v>1</v>
      </c>
      <c r="P591" s="683" t="str">
        <f t="shared" si="28"/>
        <v>0</v>
      </c>
      <c r="Q591" s="684" t="str">
        <f t="shared" si="29"/>
        <v>0</v>
      </c>
      <c r="R591" s="491"/>
    </row>
    <row r="592" spans="1:18" x14ac:dyDescent="0.2">
      <c r="A592" s="506" t="s">
        <v>276</v>
      </c>
      <c r="B592" s="502" t="s">
        <v>779</v>
      </c>
      <c r="C592" s="507" t="s">
        <v>288</v>
      </c>
      <c r="D592" s="503" t="s">
        <v>281</v>
      </c>
      <c r="E592" s="348"/>
      <c r="F592" s="504" t="s">
        <v>109</v>
      </c>
      <c r="G592" s="512" t="s">
        <v>1600</v>
      </c>
      <c r="H592" s="511" t="s">
        <v>807</v>
      </c>
      <c r="I592" s="510" t="s">
        <v>790</v>
      </c>
      <c r="J592" s="509" t="s">
        <v>650</v>
      </c>
      <c r="K592" s="516">
        <v>0</v>
      </c>
      <c r="L592" s="520" t="s">
        <v>791</v>
      </c>
      <c r="M592" s="685">
        <v>17</v>
      </c>
      <c r="N592" s="685">
        <v>17</v>
      </c>
      <c r="O592" s="682">
        <f t="shared" si="27"/>
        <v>1</v>
      </c>
      <c r="P592" s="683" t="str">
        <f t="shared" si="28"/>
        <v>0</v>
      </c>
      <c r="Q592" s="684" t="str">
        <f t="shared" si="29"/>
        <v>0</v>
      </c>
      <c r="R592" s="491"/>
    </row>
    <row r="593" spans="1:18" x14ac:dyDescent="0.2">
      <c r="A593" s="506" t="s">
        <v>276</v>
      </c>
      <c r="B593" s="502" t="s">
        <v>779</v>
      </c>
      <c r="C593" s="507" t="s">
        <v>99</v>
      </c>
      <c r="D593" s="503" t="s">
        <v>287</v>
      </c>
      <c r="E593" s="348"/>
      <c r="F593" s="504" t="s">
        <v>109</v>
      </c>
      <c r="G593" s="512" t="s">
        <v>1600</v>
      </c>
      <c r="H593" s="511" t="s">
        <v>807</v>
      </c>
      <c r="I593" s="510" t="s">
        <v>790</v>
      </c>
      <c r="J593" s="509" t="s">
        <v>650</v>
      </c>
      <c r="K593" s="516">
        <v>17</v>
      </c>
      <c r="L593" s="520"/>
      <c r="M593" s="685">
        <v>326</v>
      </c>
      <c r="N593" s="685">
        <v>326</v>
      </c>
      <c r="O593" s="682">
        <f t="shared" si="27"/>
        <v>1</v>
      </c>
      <c r="P593" s="683">
        <f t="shared" si="28"/>
        <v>588.23529411764696</v>
      </c>
      <c r="Q593" s="684">
        <f t="shared" si="29"/>
        <v>5.8823529411764701</v>
      </c>
      <c r="R593" s="491"/>
    </row>
    <row r="594" spans="1:18" x14ac:dyDescent="0.2">
      <c r="A594" s="506" t="s">
        <v>276</v>
      </c>
      <c r="B594" s="502" t="s">
        <v>779</v>
      </c>
      <c r="C594" s="507" t="s">
        <v>99</v>
      </c>
      <c r="D594" s="503" t="s">
        <v>283</v>
      </c>
      <c r="E594" s="348"/>
      <c r="F594" s="504" t="s">
        <v>109</v>
      </c>
      <c r="G594" s="512" t="s">
        <v>1600</v>
      </c>
      <c r="H594" s="511" t="s">
        <v>807</v>
      </c>
      <c r="I594" s="510" t="s">
        <v>790</v>
      </c>
      <c r="J594" s="509" t="s">
        <v>650</v>
      </c>
      <c r="K594" s="516">
        <v>36</v>
      </c>
      <c r="L594" s="520"/>
      <c r="M594" s="685">
        <v>17</v>
      </c>
      <c r="N594" s="685">
        <v>17</v>
      </c>
      <c r="O594" s="682">
        <f t="shared" si="27"/>
        <v>1</v>
      </c>
      <c r="P594" s="683">
        <f t="shared" si="28"/>
        <v>277.77777777777777</v>
      </c>
      <c r="Q594" s="684">
        <f t="shared" si="29"/>
        <v>2.7777777777777777</v>
      </c>
      <c r="R594" s="491"/>
    </row>
    <row r="595" spans="1:18" x14ac:dyDescent="0.2">
      <c r="A595" s="506" t="s">
        <v>276</v>
      </c>
      <c r="B595" s="502" t="s">
        <v>779</v>
      </c>
      <c r="C595" s="507" t="s">
        <v>99</v>
      </c>
      <c r="D595" s="503" t="s">
        <v>284</v>
      </c>
      <c r="E595" s="348"/>
      <c r="F595" s="504" t="s">
        <v>109</v>
      </c>
      <c r="G595" s="512" t="s">
        <v>1600</v>
      </c>
      <c r="H595" s="511" t="s">
        <v>807</v>
      </c>
      <c r="I595" s="510" t="s">
        <v>790</v>
      </c>
      <c r="J595" s="509" t="s">
        <v>650</v>
      </c>
      <c r="K595" s="516">
        <v>80</v>
      </c>
      <c r="L595" s="520"/>
      <c r="M595" s="685">
        <v>8</v>
      </c>
      <c r="N595" s="685">
        <v>8</v>
      </c>
      <c r="O595" s="682">
        <f t="shared" si="27"/>
        <v>1</v>
      </c>
      <c r="P595" s="683">
        <f t="shared" si="28"/>
        <v>125</v>
      </c>
      <c r="Q595" s="684">
        <f t="shared" si="29"/>
        <v>1.25</v>
      </c>
      <c r="R595" s="491"/>
    </row>
    <row r="596" spans="1:18" x14ac:dyDescent="0.2">
      <c r="A596" s="506" t="s">
        <v>276</v>
      </c>
      <c r="B596" s="502" t="s">
        <v>779</v>
      </c>
      <c r="C596" s="507" t="s">
        <v>99</v>
      </c>
      <c r="D596" s="503" t="s">
        <v>279</v>
      </c>
      <c r="E596" s="348"/>
      <c r="F596" s="504" t="s">
        <v>109</v>
      </c>
      <c r="G596" s="512" t="s">
        <v>1600</v>
      </c>
      <c r="H596" s="511" t="s">
        <v>807</v>
      </c>
      <c r="I596" s="510" t="s">
        <v>790</v>
      </c>
      <c r="J596" s="509" t="s">
        <v>650</v>
      </c>
      <c r="K596" s="516">
        <v>0</v>
      </c>
      <c r="L596" s="520" t="s">
        <v>791</v>
      </c>
      <c r="M596" s="685">
        <v>5</v>
      </c>
      <c r="N596" s="685">
        <v>5</v>
      </c>
      <c r="O596" s="682">
        <f t="shared" si="27"/>
        <v>1</v>
      </c>
      <c r="P596" s="683" t="str">
        <f t="shared" si="28"/>
        <v>0</v>
      </c>
      <c r="Q596" s="684" t="str">
        <f t="shared" si="29"/>
        <v>0</v>
      </c>
      <c r="R596" s="491"/>
    </row>
    <row r="597" spans="1:18" x14ac:dyDescent="0.2">
      <c r="A597" s="506" t="s">
        <v>276</v>
      </c>
      <c r="B597" s="502" t="s">
        <v>779</v>
      </c>
      <c r="C597" s="507" t="s">
        <v>99</v>
      </c>
      <c r="D597" s="503" t="s">
        <v>281</v>
      </c>
      <c r="E597" s="348"/>
      <c r="F597" s="504" t="s">
        <v>109</v>
      </c>
      <c r="G597" s="512" t="s">
        <v>1600</v>
      </c>
      <c r="H597" s="511" t="s">
        <v>807</v>
      </c>
      <c r="I597" s="510" t="s">
        <v>790</v>
      </c>
      <c r="J597" s="509" t="s">
        <v>650</v>
      </c>
      <c r="K597" s="516">
        <v>0</v>
      </c>
      <c r="L597" s="520" t="s">
        <v>791</v>
      </c>
      <c r="M597" s="685">
        <v>1</v>
      </c>
      <c r="N597" s="685">
        <v>1</v>
      </c>
      <c r="O597" s="682">
        <f t="shared" si="27"/>
        <v>1</v>
      </c>
      <c r="P597" s="683" t="str">
        <f t="shared" si="28"/>
        <v>0</v>
      </c>
      <c r="Q597" s="684" t="str">
        <f t="shared" si="29"/>
        <v>0</v>
      </c>
      <c r="R597" s="491"/>
    </row>
    <row r="598" spans="1:18" x14ac:dyDescent="0.2">
      <c r="A598" s="506" t="s">
        <v>276</v>
      </c>
      <c r="B598" s="502" t="s">
        <v>779</v>
      </c>
      <c r="C598" s="507" t="s">
        <v>285</v>
      </c>
      <c r="D598" s="503" t="s">
        <v>287</v>
      </c>
      <c r="E598" s="348"/>
      <c r="F598" s="504" t="s">
        <v>109</v>
      </c>
      <c r="G598" s="512" t="s">
        <v>1600</v>
      </c>
      <c r="H598" s="511" t="s">
        <v>807</v>
      </c>
      <c r="I598" s="510" t="s">
        <v>790</v>
      </c>
      <c r="J598" s="509" t="s">
        <v>650</v>
      </c>
      <c r="K598" s="516">
        <v>13</v>
      </c>
      <c r="L598" s="520"/>
      <c r="M598" s="685">
        <v>0</v>
      </c>
      <c r="N598" s="685">
        <v>0</v>
      </c>
      <c r="O598" s="682">
        <f t="shared" si="27"/>
        <v>0</v>
      </c>
      <c r="P598" s="683" t="str">
        <f t="shared" si="28"/>
        <v>0</v>
      </c>
      <c r="Q598" s="684" t="str">
        <f t="shared" si="29"/>
        <v>0</v>
      </c>
      <c r="R598" s="491"/>
    </row>
    <row r="599" spans="1:18" x14ac:dyDescent="0.2">
      <c r="A599" s="506" t="s">
        <v>276</v>
      </c>
      <c r="B599" s="502" t="s">
        <v>779</v>
      </c>
      <c r="C599" s="507" t="s">
        <v>285</v>
      </c>
      <c r="D599" s="503" t="s">
        <v>283</v>
      </c>
      <c r="E599" s="348"/>
      <c r="F599" s="504" t="s">
        <v>109</v>
      </c>
      <c r="G599" s="512" t="s">
        <v>1600</v>
      </c>
      <c r="H599" s="511" t="s">
        <v>807</v>
      </c>
      <c r="I599" s="510" t="s">
        <v>790</v>
      </c>
      <c r="J599" s="509" t="s">
        <v>650</v>
      </c>
      <c r="K599" s="516">
        <v>0</v>
      </c>
      <c r="L599" s="520" t="s">
        <v>791</v>
      </c>
      <c r="M599" s="685">
        <v>5</v>
      </c>
      <c r="N599" s="685">
        <v>5</v>
      </c>
      <c r="O599" s="682">
        <f t="shared" si="27"/>
        <v>1</v>
      </c>
      <c r="P599" s="683" t="str">
        <f t="shared" si="28"/>
        <v>0</v>
      </c>
      <c r="Q599" s="684" t="str">
        <f t="shared" si="29"/>
        <v>0</v>
      </c>
      <c r="R599" s="491"/>
    </row>
    <row r="600" spans="1:18" x14ac:dyDescent="0.2">
      <c r="A600" s="506" t="s">
        <v>276</v>
      </c>
      <c r="B600" s="502" t="s">
        <v>779</v>
      </c>
      <c r="C600" s="507" t="s">
        <v>285</v>
      </c>
      <c r="D600" s="503" t="s">
        <v>284</v>
      </c>
      <c r="E600" s="348"/>
      <c r="F600" s="504" t="s">
        <v>109</v>
      </c>
      <c r="G600" s="512" t="s">
        <v>1600</v>
      </c>
      <c r="H600" s="511" t="s">
        <v>807</v>
      </c>
      <c r="I600" s="510" t="s">
        <v>790</v>
      </c>
      <c r="J600" s="509" t="s">
        <v>650</v>
      </c>
      <c r="K600" s="516">
        <v>0</v>
      </c>
      <c r="L600" s="520" t="s">
        <v>791</v>
      </c>
      <c r="M600" s="685">
        <v>4</v>
      </c>
      <c r="N600" s="685">
        <v>4</v>
      </c>
      <c r="O600" s="682">
        <f t="shared" si="27"/>
        <v>1</v>
      </c>
      <c r="P600" s="683" t="str">
        <f t="shared" si="28"/>
        <v>0</v>
      </c>
      <c r="Q600" s="684" t="str">
        <f t="shared" si="29"/>
        <v>0</v>
      </c>
      <c r="R600" s="491"/>
    </row>
    <row r="601" spans="1:18" x14ac:dyDescent="0.2">
      <c r="A601" s="506" t="s">
        <v>276</v>
      </c>
      <c r="B601" s="502" t="s">
        <v>779</v>
      </c>
      <c r="C601" s="507" t="s">
        <v>285</v>
      </c>
      <c r="D601" s="503" t="s">
        <v>279</v>
      </c>
      <c r="E601" s="348"/>
      <c r="F601" s="504" t="s">
        <v>109</v>
      </c>
      <c r="G601" s="512" t="s">
        <v>1600</v>
      </c>
      <c r="H601" s="511" t="s">
        <v>807</v>
      </c>
      <c r="I601" s="510" t="s">
        <v>790</v>
      </c>
      <c r="J601" s="509" t="s">
        <v>650</v>
      </c>
      <c r="K601" s="516">
        <v>0</v>
      </c>
      <c r="L601" s="520" t="s">
        <v>791</v>
      </c>
      <c r="M601" s="685">
        <v>1</v>
      </c>
      <c r="N601" s="685">
        <v>1</v>
      </c>
      <c r="O601" s="682">
        <f t="shared" si="27"/>
        <v>1</v>
      </c>
      <c r="P601" s="683" t="str">
        <f t="shared" si="28"/>
        <v>0</v>
      </c>
      <c r="Q601" s="684" t="str">
        <f t="shared" si="29"/>
        <v>0</v>
      </c>
      <c r="R601" s="491"/>
    </row>
    <row r="602" spans="1:18" x14ac:dyDescent="0.2">
      <c r="A602" s="506" t="s">
        <v>276</v>
      </c>
      <c r="B602" s="502" t="s">
        <v>779</v>
      </c>
      <c r="C602" s="507" t="s">
        <v>285</v>
      </c>
      <c r="D602" s="503" t="s">
        <v>281</v>
      </c>
      <c r="E602" s="348"/>
      <c r="F602" s="504" t="s">
        <v>109</v>
      </c>
      <c r="G602" s="512" t="s">
        <v>1600</v>
      </c>
      <c r="H602" s="511" t="s">
        <v>807</v>
      </c>
      <c r="I602" s="510" t="s">
        <v>790</v>
      </c>
      <c r="J602" s="509" t="s">
        <v>650</v>
      </c>
      <c r="K602" s="516">
        <v>25</v>
      </c>
      <c r="L602" s="520"/>
      <c r="M602" s="685">
        <v>12</v>
      </c>
      <c r="N602" s="685">
        <v>12</v>
      </c>
      <c r="O602" s="682">
        <f t="shared" si="27"/>
        <v>1</v>
      </c>
      <c r="P602" s="683">
        <f t="shared" si="28"/>
        <v>400</v>
      </c>
      <c r="Q602" s="684">
        <f t="shared" si="29"/>
        <v>4</v>
      </c>
      <c r="R602" s="491"/>
    </row>
    <row r="603" spans="1:18" x14ac:dyDescent="0.2">
      <c r="A603" s="506" t="s">
        <v>276</v>
      </c>
      <c r="B603" s="502" t="s">
        <v>779</v>
      </c>
      <c r="C603" s="507" t="s">
        <v>285</v>
      </c>
      <c r="D603" s="503" t="s">
        <v>286</v>
      </c>
      <c r="E603" s="348"/>
      <c r="F603" s="504" t="s">
        <v>109</v>
      </c>
      <c r="G603" s="512" t="s">
        <v>1600</v>
      </c>
      <c r="H603" s="511" t="s">
        <v>807</v>
      </c>
      <c r="I603" s="510" t="s">
        <v>790</v>
      </c>
      <c r="J603" s="509" t="s">
        <v>650</v>
      </c>
      <c r="K603" s="516">
        <v>10</v>
      </c>
      <c r="L603" s="520"/>
      <c r="M603" s="685">
        <v>20</v>
      </c>
      <c r="N603" s="685">
        <v>20</v>
      </c>
      <c r="O603" s="682">
        <f t="shared" si="27"/>
        <v>1</v>
      </c>
      <c r="P603" s="683">
        <f t="shared" si="28"/>
        <v>1000</v>
      </c>
      <c r="Q603" s="684">
        <f t="shared" si="29"/>
        <v>10</v>
      </c>
      <c r="R603" s="491"/>
    </row>
    <row r="604" spans="1:18" x14ac:dyDescent="0.2">
      <c r="A604" s="506" t="s">
        <v>276</v>
      </c>
      <c r="B604" s="502" t="s">
        <v>779</v>
      </c>
      <c r="C604" s="507" t="s">
        <v>291</v>
      </c>
      <c r="D604" s="503" t="s">
        <v>283</v>
      </c>
      <c r="E604" s="348"/>
      <c r="F604" s="504" t="s">
        <v>109</v>
      </c>
      <c r="G604" s="512" t="s">
        <v>1600</v>
      </c>
      <c r="H604" s="511" t="s">
        <v>807</v>
      </c>
      <c r="I604" s="510" t="s">
        <v>790</v>
      </c>
      <c r="J604" s="509" t="s">
        <v>650</v>
      </c>
      <c r="K604" s="516">
        <v>0</v>
      </c>
      <c r="L604" s="520" t="s">
        <v>791</v>
      </c>
      <c r="M604" s="685">
        <v>0</v>
      </c>
      <c r="N604" s="685">
        <v>0</v>
      </c>
      <c r="O604" s="682">
        <f t="shared" si="27"/>
        <v>0</v>
      </c>
      <c r="P604" s="683" t="str">
        <f t="shared" si="28"/>
        <v>0</v>
      </c>
      <c r="Q604" s="684" t="str">
        <f t="shared" si="29"/>
        <v>0</v>
      </c>
      <c r="R604" s="491"/>
    </row>
    <row r="605" spans="1:18" x14ac:dyDescent="0.2">
      <c r="A605" s="506" t="s">
        <v>276</v>
      </c>
      <c r="B605" s="502" t="s">
        <v>779</v>
      </c>
      <c r="C605" s="507" t="s">
        <v>291</v>
      </c>
      <c r="D605" s="503" t="s">
        <v>284</v>
      </c>
      <c r="E605" s="348"/>
      <c r="F605" s="504" t="s">
        <v>109</v>
      </c>
      <c r="G605" s="512" t="s">
        <v>1600</v>
      </c>
      <c r="H605" s="511" t="s">
        <v>807</v>
      </c>
      <c r="I605" s="510" t="s">
        <v>790</v>
      </c>
      <c r="J605" s="509" t="s">
        <v>650</v>
      </c>
      <c r="K605" s="516">
        <v>0</v>
      </c>
      <c r="L605" s="520" t="s">
        <v>791</v>
      </c>
      <c r="M605" s="685">
        <v>0</v>
      </c>
      <c r="N605" s="685">
        <v>0</v>
      </c>
      <c r="O605" s="682">
        <f t="shared" si="27"/>
        <v>0</v>
      </c>
      <c r="P605" s="683" t="str">
        <f t="shared" si="28"/>
        <v>0</v>
      </c>
      <c r="Q605" s="684" t="str">
        <f t="shared" si="29"/>
        <v>0</v>
      </c>
      <c r="R605" s="491"/>
    </row>
    <row r="606" spans="1:18" x14ac:dyDescent="0.2">
      <c r="A606" s="506" t="s">
        <v>276</v>
      </c>
      <c r="B606" s="502" t="s">
        <v>779</v>
      </c>
      <c r="C606" s="507" t="s">
        <v>290</v>
      </c>
      <c r="D606" s="503" t="s">
        <v>287</v>
      </c>
      <c r="E606" s="348"/>
      <c r="F606" s="504" t="s">
        <v>109</v>
      </c>
      <c r="G606" s="512" t="s">
        <v>1600</v>
      </c>
      <c r="H606" s="511" t="s">
        <v>807</v>
      </c>
      <c r="I606" s="510" t="s">
        <v>790</v>
      </c>
      <c r="J606" s="509" t="s">
        <v>650</v>
      </c>
      <c r="K606" s="516">
        <v>38</v>
      </c>
      <c r="L606" s="520"/>
      <c r="M606" s="685">
        <v>65</v>
      </c>
      <c r="N606" s="685">
        <v>65</v>
      </c>
      <c r="O606" s="682">
        <f t="shared" si="27"/>
        <v>1</v>
      </c>
      <c r="P606" s="683">
        <f t="shared" si="28"/>
        <v>263.15789473684214</v>
      </c>
      <c r="Q606" s="684">
        <f t="shared" si="29"/>
        <v>2.6315789473684212</v>
      </c>
      <c r="R606" s="491"/>
    </row>
    <row r="607" spans="1:18" x14ac:dyDescent="0.2">
      <c r="A607" s="506" t="s">
        <v>276</v>
      </c>
      <c r="B607" s="502" t="s">
        <v>779</v>
      </c>
      <c r="C607" s="507" t="s">
        <v>290</v>
      </c>
      <c r="D607" s="503" t="s">
        <v>283</v>
      </c>
      <c r="E607" s="348"/>
      <c r="F607" s="504" t="s">
        <v>109</v>
      </c>
      <c r="G607" s="512" t="s">
        <v>1600</v>
      </c>
      <c r="H607" s="511" t="s">
        <v>807</v>
      </c>
      <c r="I607" s="510" t="s">
        <v>790</v>
      </c>
      <c r="J607" s="509" t="s">
        <v>650</v>
      </c>
      <c r="K607" s="516">
        <v>0</v>
      </c>
      <c r="L607" s="520" t="s">
        <v>791</v>
      </c>
      <c r="M607" s="685">
        <v>5</v>
      </c>
      <c r="N607" s="685">
        <v>5</v>
      </c>
      <c r="O607" s="682">
        <f t="shared" si="27"/>
        <v>1</v>
      </c>
      <c r="P607" s="683" t="str">
        <f t="shared" si="28"/>
        <v>0</v>
      </c>
      <c r="Q607" s="684" t="str">
        <f t="shared" si="29"/>
        <v>0</v>
      </c>
      <c r="R607" s="491"/>
    </row>
    <row r="608" spans="1:18" x14ac:dyDescent="0.2">
      <c r="A608" s="506" t="s">
        <v>276</v>
      </c>
      <c r="B608" s="502" t="s">
        <v>779</v>
      </c>
      <c r="C608" s="507" t="s">
        <v>290</v>
      </c>
      <c r="D608" s="503" t="s">
        <v>284</v>
      </c>
      <c r="E608" s="348"/>
      <c r="F608" s="504" t="s">
        <v>109</v>
      </c>
      <c r="G608" s="512" t="s">
        <v>1600</v>
      </c>
      <c r="H608" s="511" t="s">
        <v>807</v>
      </c>
      <c r="I608" s="510" t="s">
        <v>790</v>
      </c>
      <c r="J608" s="509" t="s">
        <v>650</v>
      </c>
      <c r="K608" s="516">
        <v>0</v>
      </c>
      <c r="L608" s="520" t="s">
        <v>791</v>
      </c>
      <c r="M608" s="685">
        <v>0</v>
      </c>
      <c r="N608" s="685">
        <v>0</v>
      </c>
      <c r="O608" s="682">
        <f t="shared" si="27"/>
        <v>0</v>
      </c>
      <c r="P608" s="683" t="str">
        <f t="shared" si="28"/>
        <v>0</v>
      </c>
      <c r="Q608" s="684" t="str">
        <f t="shared" si="29"/>
        <v>0</v>
      </c>
      <c r="R608" s="491"/>
    </row>
    <row r="609" spans="1:18" x14ac:dyDescent="0.2">
      <c r="A609" s="506" t="s">
        <v>276</v>
      </c>
      <c r="B609" s="502" t="s">
        <v>779</v>
      </c>
      <c r="C609" s="507" t="s">
        <v>289</v>
      </c>
      <c r="D609" s="503" t="s">
        <v>287</v>
      </c>
      <c r="E609" s="348"/>
      <c r="F609" s="504" t="s">
        <v>109</v>
      </c>
      <c r="G609" s="512" t="s">
        <v>1600</v>
      </c>
      <c r="H609" s="511" t="s">
        <v>807</v>
      </c>
      <c r="I609" s="510" t="s">
        <v>790</v>
      </c>
      <c r="J609" s="509" t="s">
        <v>650</v>
      </c>
      <c r="K609" s="516">
        <v>5</v>
      </c>
      <c r="L609" s="520"/>
      <c r="M609" s="685">
        <v>733</v>
      </c>
      <c r="N609" s="685">
        <v>733</v>
      </c>
      <c r="O609" s="682">
        <f t="shared" si="27"/>
        <v>1</v>
      </c>
      <c r="P609" s="683">
        <f t="shared" si="28"/>
        <v>2000</v>
      </c>
      <c r="Q609" s="684">
        <f t="shared" si="29"/>
        <v>20</v>
      </c>
      <c r="R609" s="491"/>
    </row>
    <row r="610" spans="1:18" x14ac:dyDescent="0.2">
      <c r="A610" s="506" t="s">
        <v>276</v>
      </c>
      <c r="B610" s="502" t="s">
        <v>779</v>
      </c>
      <c r="C610" s="507" t="s">
        <v>289</v>
      </c>
      <c r="D610" s="503" t="s">
        <v>283</v>
      </c>
      <c r="E610" s="348"/>
      <c r="F610" s="504" t="s">
        <v>109</v>
      </c>
      <c r="G610" s="512" t="s">
        <v>1600</v>
      </c>
      <c r="H610" s="511" t="s">
        <v>807</v>
      </c>
      <c r="I610" s="510" t="s">
        <v>790</v>
      </c>
      <c r="J610" s="509" t="s">
        <v>650</v>
      </c>
      <c r="K610" s="516">
        <v>32</v>
      </c>
      <c r="L610" s="520"/>
      <c r="M610" s="685">
        <v>134</v>
      </c>
      <c r="N610" s="685">
        <v>134</v>
      </c>
      <c r="O610" s="682">
        <f t="shared" si="27"/>
        <v>1</v>
      </c>
      <c r="P610" s="683">
        <f t="shared" si="28"/>
        <v>312.5</v>
      </c>
      <c r="Q610" s="684">
        <f t="shared" si="29"/>
        <v>3.125</v>
      </c>
      <c r="R610" s="491"/>
    </row>
    <row r="611" spans="1:18" x14ac:dyDescent="0.2">
      <c r="A611" s="506" t="s">
        <v>276</v>
      </c>
      <c r="B611" s="502" t="s">
        <v>779</v>
      </c>
      <c r="C611" s="507" t="s">
        <v>289</v>
      </c>
      <c r="D611" s="503" t="s">
        <v>284</v>
      </c>
      <c r="E611" s="348"/>
      <c r="F611" s="504" t="s">
        <v>109</v>
      </c>
      <c r="G611" s="512" t="s">
        <v>1600</v>
      </c>
      <c r="H611" s="511" t="s">
        <v>807</v>
      </c>
      <c r="I611" s="510" t="s">
        <v>790</v>
      </c>
      <c r="J611" s="509" t="s">
        <v>650</v>
      </c>
      <c r="K611" s="516">
        <v>33</v>
      </c>
      <c r="L611" s="520"/>
      <c r="M611" s="685">
        <v>29</v>
      </c>
      <c r="N611" s="685">
        <v>29</v>
      </c>
      <c r="O611" s="682">
        <f t="shared" si="27"/>
        <v>1</v>
      </c>
      <c r="P611" s="683">
        <f t="shared" si="28"/>
        <v>303.030303030303</v>
      </c>
      <c r="Q611" s="684">
        <f t="shared" si="29"/>
        <v>3.0303030303030303</v>
      </c>
      <c r="R611" s="491"/>
    </row>
    <row r="612" spans="1:18" x14ac:dyDescent="0.2">
      <c r="A612" s="506" t="s">
        <v>276</v>
      </c>
      <c r="B612" s="502" t="s">
        <v>779</v>
      </c>
      <c r="C612" s="507" t="s">
        <v>289</v>
      </c>
      <c r="D612" s="503" t="s">
        <v>281</v>
      </c>
      <c r="E612" s="348"/>
      <c r="F612" s="504" t="s">
        <v>109</v>
      </c>
      <c r="G612" s="512" t="s">
        <v>1600</v>
      </c>
      <c r="H612" s="511" t="s">
        <v>807</v>
      </c>
      <c r="I612" s="510" t="s">
        <v>790</v>
      </c>
      <c r="J612" s="509" t="s">
        <v>650</v>
      </c>
      <c r="K612" s="516">
        <v>0</v>
      </c>
      <c r="L612" s="520" t="s">
        <v>791</v>
      </c>
      <c r="M612" s="685">
        <v>2</v>
      </c>
      <c r="N612" s="685">
        <v>2</v>
      </c>
      <c r="O612" s="682">
        <f t="shared" si="27"/>
        <v>1</v>
      </c>
      <c r="P612" s="683" t="str">
        <f t="shared" si="28"/>
        <v>0</v>
      </c>
      <c r="Q612" s="684" t="str">
        <f t="shared" si="29"/>
        <v>0</v>
      </c>
      <c r="R612" s="491"/>
    </row>
    <row r="613" spans="1:18" x14ac:dyDescent="0.2">
      <c r="A613" s="506" t="s">
        <v>276</v>
      </c>
      <c r="B613" s="502" t="s">
        <v>779</v>
      </c>
      <c r="C613" s="507" t="s">
        <v>97</v>
      </c>
      <c r="D613" s="503" t="s">
        <v>279</v>
      </c>
      <c r="E613" s="348"/>
      <c r="F613" s="504" t="s">
        <v>109</v>
      </c>
      <c r="G613" s="512" t="s">
        <v>809</v>
      </c>
      <c r="H613" s="511" t="s">
        <v>789</v>
      </c>
      <c r="I613" s="510" t="s">
        <v>790</v>
      </c>
      <c r="J613" s="509" t="s">
        <v>650</v>
      </c>
      <c r="K613" s="516">
        <v>33</v>
      </c>
      <c r="L613" s="520"/>
      <c r="M613" s="685">
        <v>6</v>
      </c>
      <c r="N613" s="687">
        <v>4</v>
      </c>
      <c r="O613" s="682">
        <f t="shared" si="27"/>
        <v>0.66666666666666663</v>
      </c>
      <c r="P613" s="683">
        <f t="shared" si="28"/>
        <v>202.02020202020202</v>
      </c>
      <c r="Q613" s="684">
        <f t="shared" si="29"/>
        <v>2.0202020202020203</v>
      </c>
      <c r="R613" s="491"/>
    </row>
    <row r="614" spans="1:18" x14ac:dyDescent="0.2">
      <c r="A614" s="506" t="s">
        <v>276</v>
      </c>
      <c r="B614" s="502" t="s">
        <v>779</v>
      </c>
      <c r="C614" s="507" t="s">
        <v>97</v>
      </c>
      <c r="D614" s="503" t="s">
        <v>281</v>
      </c>
      <c r="E614" s="348"/>
      <c r="F614" s="504" t="s">
        <v>109</v>
      </c>
      <c r="G614" s="512" t="s">
        <v>809</v>
      </c>
      <c r="H614" s="511" t="s">
        <v>789</v>
      </c>
      <c r="I614" s="510" t="s">
        <v>790</v>
      </c>
      <c r="J614" s="509" t="s">
        <v>650</v>
      </c>
      <c r="K614" s="516">
        <v>33</v>
      </c>
      <c r="L614" s="520" t="s">
        <v>791</v>
      </c>
      <c r="M614" s="685">
        <v>9</v>
      </c>
      <c r="N614" s="687">
        <v>7</v>
      </c>
      <c r="O614" s="682">
        <f t="shared" si="27"/>
        <v>0.77777777777777779</v>
      </c>
      <c r="P614" s="683">
        <f t="shared" si="28"/>
        <v>235.69023569023568</v>
      </c>
      <c r="Q614" s="684">
        <f t="shared" si="29"/>
        <v>2.3569023569023568</v>
      </c>
      <c r="R614" s="491"/>
    </row>
    <row r="615" spans="1:18" x14ac:dyDescent="0.2">
      <c r="A615" s="506" t="s">
        <v>276</v>
      </c>
      <c r="B615" s="502" t="s">
        <v>779</v>
      </c>
      <c r="C615" s="507" t="s">
        <v>282</v>
      </c>
      <c r="D615" s="503" t="s">
        <v>287</v>
      </c>
      <c r="E615" s="348"/>
      <c r="F615" s="504" t="s">
        <v>109</v>
      </c>
      <c r="G615" s="512" t="s">
        <v>809</v>
      </c>
      <c r="H615" s="511" t="s">
        <v>792</v>
      </c>
      <c r="I615" s="510" t="s">
        <v>790</v>
      </c>
      <c r="J615" s="509" t="s">
        <v>650</v>
      </c>
      <c r="K615" s="516">
        <v>5</v>
      </c>
      <c r="L615" s="520" t="s">
        <v>791</v>
      </c>
      <c r="M615" s="685">
        <v>68</v>
      </c>
      <c r="N615" s="687">
        <v>10</v>
      </c>
      <c r="O615" s="682">
        <f t="shared" si="27"/>
        <v>0.14705882352941177</v>
      </c>
      <c r="P615" s="683">
        <f t="shared" si="28"/>
        <v>294.11764705882348</v>
      </c>
      <c r="Q615" s="684">
        <f t="shared" si="29"/>
        <v>2.9411764705882351</v>
      </c>
      <c r="R615" s="491"/>
    </row>
    <row r="616" spans="1:18" x14ac:dyDescent="0.2">
      <c r="A616" s="506" t="s">
        <v>276</v>
      </c>
      <c r="B616" s="502" t="s">
        <v>779</v>
      </c>
      <c r="C616" s="507" t="s">
        <v>282</v>
      </c>
      <c r="D616" s="503" t="s">
        <v>283</v>
      </c>
      <c r="E616" s="348"/>
      <c r="F616" s="504" t="s">
        <v>109</v>
      </c>
      <c r="G616" s="512" t="s">
        <v>809</v>
      </c>
      <c r="H616" s="511" t="s">
        <v>789</v>
      </c>
      <c r="I616" s="510" t="s">
        <v>790</v>
      </c>
      <c r="J616" s="509" t="s">
        <v>650</v>
      </c>
      <c r="K616" s="516">
        <v>26</v>
      </c>
      <c r="L616" s="520"/>
      <c r="M616" s="685">
        <v>19</v>
      </c>
      <c r="N616" s="687">
        <v>2</v>
      </c>
      <c r="O616" s="682">
        <f t="shared" si="27"/>
        <v>0.10526315789473684</v>
      </c>
      <c r="P616" s="683">
        <f t="shared" si="28"/>
        <v>40.48582995951417</v>
      </c>
      <c r="Q616" s="684">
        <f t="shared" si="29"/>
        <v>0.40485829959514169</v>
      </c>
      <c r="R616" s="490"/>
    </row>
    <row r="617" spans="1:18" x14ac:dyDescent="0.2">
      <c r="A617" s="506" t="s">
        <v>276</v>
      </c>
      <c r="B617" s="502" t="s">
        <v>779</v>
      </c>
      <c r="C617" s="507" t="s">
        <v>282</v>
      </c>
      <c r="D617" s="503" t="s">
        <v>284</v>
      </c>
      <c r="E617" s="348"/>
      <c r="F617" s="504" t="s">
        <v>109</v>
      </c>
      <c r="G617" s="512" t="s">
        <v>809</v>
      </c>
      <c r="H617" s="511" t="s">
        <v>789</v>
      </c>
      <c r="I617" s="510" t="s">
        <v>790</v>
      </c>
      <c r="J617" s="509" t="s">
        <v>650</v>
      </c>
      <c r="K617" s="516">
        <v>16</v>
      </c>
      <c r="L617" s="520"/>
      <c r="M617" s="685">
        <v>43</v>
      </c>
      <c r="N617" s="687">
        <v>7</v>
      </c>
      <c r="O617" s="682">
        <f t="shared" si="27"/>
        <v>0.16279069767441862</v>
      </c>
      <c r="P617" s="683">
        <f t="shared" si="28"/>
        <v>101.74418604651163</v>
      </c>
      <c r="Q617" s="684">
        <f t="shared" si="29"/>
        <v>1.0174418604651163</v>
      </c>
      <c r="R617" s="490"/>
    </row>
    <row r="618" spans="1:18" x14ac:dyDescent="0.2">
      <c r="A618" s="506" t="s">
        <v>276</v>
      </c>
      <c r="B618" s="502" t="s">
        <v>779</v>
      </c>
      <c r="C618" s="507" t="s">
        <v>282</v>
      </c>
      <c r="D618" s="503" t="s">
        <v>279</v>
      </c>
      <c r="E618" s="348"/>
      <c r="F618" s="504" t="s">
        <v>109</v>
      </c>
      <c r="G618" s="512" t="s">
        <v>809</v>
      </c>
      <c r="H618" s="511" t="s">
        <v>789</v>
      </c>
      <c r="I618" s="510" t="s">
        <v>790</v>
      </c>
      <c r="J618" s="509" t="s">
        <v>650</v>
      </c>
      <c r="K618" s="516">
        <v>6</v>
      </c>
      <c r="L618" s="520"/>
      <c r="M618" s="685">
        <v>65</v>
      </c>
      <c r="N618" s="687">
        <v>7</v>
      </c>
      <c r="O618" s="682">
        <f t="shared" si="27"/>
        <v>0.1076923076923077</v>
      </c>
      <c r="P618" s="683">
        <f t="shared" si="28"/>
        <v>179.4871794871795</v>
      </c>
      <c r="Q618" s="684">
        <f t="shared" si="29"/>
        <v>1.7948717948717949</v>
      </c>
      <c r="R618" s="490"/>
    </row>
    <row r="619" spans="1:18" x14ac:dyDescent="0.2">
      <c r="A619" s="506" t="s">
        <v>276</v>
      </c>
      <c r="B619" s="502" t="s">
        <v>779</v>
      </c>
      <c r="C619" s="507" t="s">
        <v>282</v>
      </c>
      <c r="D619" s="503" t="s">
        <v>281</v>
      </c>
      <c r="E619" s="348"/>
      <c r="F619" s="504" t="s">
        <v>109</v>
      </c>
      <c r="G619" s="512" t="s">
        <v>809</v>
      </c>
      <c r="H619" s="511" t="s">
        <v>789</v>
      </c>
      <c r="I619" s="510" t="s">
        <v>790</v>
      </c>
      <c r="J619" s="509" t="s">
        <v>650</v>
      </c>
      <c r="K619" s="516">
        <v>8</v>
      </c>
      <c r="L619" s="520"/>
      <c r="M619" s="685">
        <v>48</v>
      </c>
      <c r="N619" s="687">
        <v>12</v>
      </c>
      <c r="O619" s="682">
        <f t="shared" si="27"/>
        <v>0.25</v>
      </c>
      <c r="P619" s="683">
        <f t="shared" si="28"/>
        <v>312.5</v>
      </c>
      <c r="Q619" s="684">
        <f t="shared" si="29"/>
        <v>3.125</v>
      </c>
      <c r="R619" s="490"/>
    </row>
    <row r="620" spans="1:18" x14ac:dyDescent="0.2">
      <c r="A620" s="506" t="s">
        <v>276</v>
      </c>
      <c r="B620" s="502" t="s">
        <v>779</v>
      </c>
      <c r="C620" s="507" t="s">
        <v>288</v>
      </c>
      <c r="D620" s="503" t="s">
        <v>287</v>
      </c>
      <c r="E620" s="348"/>
      <c r="F620" s="504" t="s">
        <v>109</v>
      </c>
      <c r="G620" s="512" t="s">
        <v>809</v>
      </c>
      <c r="H620" s="511" t="s">
        <v>792</v>
      </c>
      <c r="I620" s="510" t="s">
        <v>790</v>
      </c>
      <c r="J620" s="509" t="s">
        <v>650</v>
      </c>
      <c r="K620" s="516">
        <v>28.999999999999996</v>
      </c>
      <c r="L620" s="520"/>
      <c r="M620" s="685">
        <v>299</v>
      </c>
      <c r="N620" s="687">
        <v>36</v>
      </c>
      <c r="O620" s="682">
        <f t="shared" si="27"/>
        <v>0.12040133779264214</v>
      </c>
      <c r="P620" s="683">
        <f t="shared" si="28"/>
        <v>41.517702687117982</v>
      </c>
      <c r="Q620" s="684">
        <f t="shared" si="29"/>
        <v>0.4151770268711798</v>
      </c>
      <c r="R620" s="490"/>
    </row>
    <row r="621" spans="1:18" x14ac:dyDescent="0.2">
      <c r="A621" s="506" t="s">
        <v>276</v>
      </c>
      <c r="B621" s="502" t="s">
        <v>779</v>
      </c>
      <c r="C621" s="507" t="s">
        <v>288</v>
      </c>
      <c r="D621" s="503" t="s">
        <v>283</v>
      </c>
      <c r="E621" s="348"/>
      <c r="F621" s="504" t="s">
        <v>109</v>
      </c>
      <c r="G621" s="512" t="s">
        <v>809</v>
      </c>
      <c r="H621" s="511" t="s">
        <v>789</v>
      </c>
      <c r="I621" s="510" t="s">
        <v>790</v>
      </c>
      <c r="J621" s="509" t="s">
        <v>650</v>
      </c>
      <c r="K621" s="516">
        <v>8</v>
      </c>
      <c r="L621" s="520"/>
      <c r="M621" s="685">
        <v>64</v>
      </c>
      <c r="N621" s="687">
        <v>6</v>
      </c>
      <c r="O621" s="682">
        <f t="shared" si="27"/>
        <v>9.375E-2</v>
      </c>
      <c r="P621" s="683">
        <f t="shared" si="28"/>
        <v>117.1875</v>
      </c>
      <c r="Q621" s="684">
        <f t="shared" si="29"/>
        <v>1.171875</v>
      </c>
      <c r="R621" s="490"/>
    </row>
    <row r="622" spans="1:18" x14ac:dyDescent="0.2">
      <c r="A622" s="506" t="s">
        <v>276</v>
      </c>
      <c r="B622" s="502" t="s">
        <v>779</v>
      </c>
      <c r="C622" s="507" t="s">
        <v>288</v>
      </c>
      <c r="D622" s="503" t="s">
        <v>284</v>
      </c>
      <c r="E622" s="348"/>
      <c r="F622" s="504" t="s">
        <v>109</v>
      </c>
      <c r="G622" s="512" t="s">
        <v>809</v>
      </c>
      <c r="H622" s="511" t="s">
        <v>789</v>
      </c>
      <c r="I622" s="510" t="s">
        <v>790</v>
      </c>
      <c r="J622" s="509" t="s">
        <v>650</v>
      </c>
      <c r="K622" s="516">
        <v>8</v>
      </c>
      <c r="L622" s="520" t="s">
        <v>791</v>
      </c>
      <c r="M622" s="685">
        <v>10</v>
      </c>
      <c r="N622" s="687">
        <v>0</v>
      </c>
      <c r="O622" s="682">
        <f t="shared" si="27"/>
        <v>0</v>
      </c>
      <c r="P622" s="683">
        <f t="shared" si="28"/>
        <v>0</v>
      </c>
      <c r="Q622" s="684">
        <f t="shared" si="29"/>
        <v>0</v>
      </c>
      <c r="R622" s="491"/>
    </row>
    <row r="623" spans="1:18" x14ac:dyDescent="0.2">
      <c r="A623" s="506" t="s">
        <v>276</v>
      </c>
      <c r="B623" s="502" t="s">
        <v>779</v>
      </c>
      <c r="C623" s="507" t="s">
        <v>288</v>
      </c>
      <c r="D623" s="503" t="s">
        <v>279</v>
      </c>
      <c r="E623" s="348"/>
      <c r="F623" s="504" t="s">
        <v>109</v>
      </c>
      <c r="G623" s="512" t="s">
        <v>809</v>
      </c>
      <c r="H623" s="511" t="s">
        <v>789</v>
      </c>
      <c r="I623" s="510" t="s">
        <v>790</v>
      </c>
      <c r="J623" s="509" t="s">
        <v>650</v>
      </c>
      <c r="K623" s="516">
        <v>0</v>
      </c>
      <c r="L623" s="520" t="s">
        <v>791</v>
      </c>
      <c r="M623" s="685">
        <v>2</v>
      </c>
      <c r="N623" s="687">
        <v>1</v>
      </c>
      <c r="O623" s="682">
        <f t="shared" si="27"/>
        <v>0.5</v>
      </c>
      <c r="P623" s="683" t="str">
        <f t="shared" si="28"/>
        <v>0</v>
      </c>
      <c r="Q623" s="684" t="str">
        <f t="shared" si="29"/>
        <v>0</v>
      </c>
      <c r="R623" s="491"/>
    </row>
    <row r="624" spans="1:18" x14ac:dyDescent="0.2">
      <c r="A624" s="506" t="s">
        <v>276</v>
      </c>
      <c r="B624" s="502" t="s">
        <v>779</v>
      </c>
      <c r="C624" s="507" t="s">
        <v>288</v>
      </c>
      <c r="D624" s="503" t="s">
        <v>281</v>
      </c>
      <c r="E624" s="348"/>
      <c r="F624" s="504" t="s">
        <v>109</v>
      </c>
      <c r="G624" s="512" t="s">
        <v>809</v>
      </c>
      <c r="H624" s="511" t="s">
        <v>789</v>
      </c>
      <c r="I624" s="510" t="s">
        <v>790</v>
      </c>
      <c r="J624" s="509" t="s">
        <v>650</v>
      </c>
      <c r="K624" s="516">
        <v>8</v>
      </c>
      <c r="L624" s="520" t="s">
        <v>791</v>
      </c>
      <c r="M624" s="685">
        <v>17</v>
      </c>
      <c r="N624" s="687">
        <v>3</v>
      </c>
      <c r="O624" s="682">
        <f t="shared" si="27"/>
        <v>0.17647058823529413</v>
      </c>
      <c r="P624" s="683">
        <f t="shared" si="28"/>
        <v>220.58823529411762</v>
      </c>
      <c r="Q624" s="684">
        <f t="shared" si="29"/>
        <v>2.2058823529411762</v>
      </c>
      <c r="R624" s="491"/>
    </row>
    <row r="625" spans="1:18" x14ac:dyDescent="0.2">
      <c r="A625" s="506" t="s">
        <v>276</v>
      </c>
      <c r="B625" s="502" t="s">
        <v>779</v>
      </c>
      <c r="C625" s="507" t="s">
        <v>99</v>
      </c>
      <c r="D625" s="503" t="s">
        <v>287</v>
      </c>
      <c r="E625" s="348"/>
      <c r="F625" s="504" t="s">
        <v>109</v>
      </c>
      <c r="G625" s="512" t="s">
        <v>809</v>
      </c>
      <c r="H625" s="511" t="s">
        <v>792</v>
      </c>
      <c r="I625" s="510" t="s">
        <v>790</v>
      </c>
      <c r="J625" s="509" t="s">
        <v>650</v>
      </c>
      <c r="K625" s="516">
        <v>17</v>
      </c>
      <c r="L625" s="520"/>
      <c r="M625" s="685">
        <v>326</v>
      </c>
      <c r="N625" s="687">
        <v>49</v>
      </c>
      <c r="O625" s="682">
        <f t="shared" si="27"/>
        <v>0.15030674846625766</v>
      </c>
      <c r="P625" s="683">
        <f t="shared" si="28"/>
        <v>88.415734391916274</v>
      </c>
      <c r="Q625" s="684">
        <f t="shared" si="29"/>
        <v>0.88415734391916267</v>
      </c>
      <c r="R625" s="490"/>
    </row>
    <row r="626" spans="1:18" x14ac:dyDescent="0.2">
      <c r="A626" s="506" t="s">
        <v>276</v>
      </c>
      <c r="B626" s="502" t="s">
        <v>779</v>
      </c>
      <c r="C626" s="507" t="s">
        <v>99</v>
      </c>
      <c r="D626" s="503" t="s">
        <v>283</v>
      </c>
      <c r="E626" s="348"/>
      <c r="F626" s="504" t="s">
        <v>109</v>
      </c>
      <c r="G626" s="512" t="s">
        <v>809</v>
      </c>
      <c r="H626" s="511" t="s">
        <v>789</v>
      </c>
      <c r="I626" s="510" t="s">
        <v>790</v>
      </c>
      <c r="J626" s="509" t="s">
        <v>650</v>
      </c>
      <c r="K626" s="516">
        <v>36</v>
      </c>
      <c r="L626" s="520"/>
      <c r="M626" s="685">
        <v>17</v>
      </c>
      <c r="N626" s="687">
        <v>4</v>
      </c>
      <c r="O626" s="682">
        <f t="shared" si="27"/>
        <v>0.23529411764705882</v>
      </c>
      <c r="P626" s="683">
        <f t="shared" si="28"/>
        <v>65.359477124183002</v>
      </c>
      <c r="Q626" s="684">
        <f t="shared" si="29"/>
        <v>0.65359477124183007</v>
      </c>
      <c r="R626" s="490"/>
    </row>
    <row r="627" spans="1:18" x14ac:dyDescent="0.2">
      <c r="A627" s="506" t="s">
        <v>276</v>
      </c>
      <c r="B627" s="502" t="s">
        <v>779</v>
      </c>
      <c r="C627" s="507" t="s">
        <v>99</v>
      </c>
      <c r="D627" s="503" t="s">
        <v>284</v>
      </c>
      <c r="E627" s="348"/>
      <c r="F627" s="504" t="s">
        <v>109</v>
      </c>
      <c r="G627" s="512" t="s">
        <v>809</v>
      </c>
      <c r="H627" s="511" t="s">
        <v>789</v>
      </c>
      <c r="I627" s="510" t="s">
        <v>790</v>
      </c>
      <c r="J627" s="509" t="s">
        <v>650</v>
      </c>
      <c r="K627" s="516">
        <v>80</v>
      </c>
      <c r="L627" s="520"/>
      <c r="M627" s="685">
        <v>8</v>
      </c>
      <c r="N627" s="687">
        <v>2</v>
      </c>
      <c r="O627" s="682">
        <f t="shared" si="27"/>
        <v>0.25</v>
      </c>
      <c r="P627" s="683">
        <f t="shared" si="28"/>
        <v>31.25</v>
      </c>
      <c r="Q627" s="684">
        <f t="shared" si="29"/>
        <v>0.3125</v>
      </c>
      <c r="R627" s="490"/>
    </row>
    <row r="628" spans="1:18" x14ac:dyDescent="0.2">
      <c r="A628" s="506" t="s">
        <v>276</v>
      </c>
      <c r="B628" s="502" t="s">
        <v>779</v>
      </c>
      <c r="C628" s="507" t="s">
        <v>99</v>
      </c>
      <c r="D628" s="503" t="s">
        <v>279</v>
      </c>
      <c r="E628" s="348"/>
      <c r="F628" s="504" t="s">
        <v>109</v>
      </c>
      <c r="G628" s="512" t="s">
        <v>809</v>
      </c>
      <c r="H628" s="511" t="s">
        <v>789</v>
      </c>
      <c r="I628" s="510" t="s">
        <v>790</v>
      </c>
      <c r="J628" s="509" t="s">
        <v>650</v>
      </c>
      <c r="K628" s="516">
        <v>17</v>
      </c>
      <c r="L628" s="520" t="s">
        <v>791</v>
      </c>
      <c r="M628" s="685">
        <v>5</v>
      </c>
      <c r="N628" s="687">
        <v>2</v>
      </c>
      <c r="O628" s="682">
        <f t="shared" si="27"/>
        <v>0.4</v>
      </c>
      <c r="P628" s="683">
        <f t="shared" si="28"/>
        <v>235.29411764705878</v>
      </c>
      <c r="Q628" s="684">
        <f t="shared" si="29"/>
        <v>2.3529411764705879</v>
      </c>
      <c r="R628" s="491"/>
    </row>
    <row r="629" spans="1:18" x14ac:dyDescent="0.2">
      <c r="A629" s="506" t="s">
        <v>276</v>
      </c>
      <c r="B629" s="502" t="s">
        <v>779</v>
      </c>
      <c r="C629" s="507" t="s">
        <v>99</v>
      </c>
      <c r="D629" s="503" t="s">
        <v>281</v>
      </c>
      <c r="E629" s="348"/>
      <c r="F629" s="504" t="s">
        <v>109</v>
      </c>
      <c r="G629" s="512" t="s">
        <v>809</v>
      </c>
      <c r="H629" s="511" t="s">
        <v>789</v>
      </c>
      <c r="I629" s="510" t="s">
        <v>790</v>
      </c>
      <c r="J629" s="509" t="s">
        <v>650</v>
      </c>
      <c r="K629" s="516">
        <v>0</v>
      </c>
      <c r="L629" s="520" t="s">
        <v>791</v>
      </c>
      <c r="M629" s="685">
        <v>1</v>
      </c>
      <c r="N629" s="687">
        <v>0</v>
      </c>
      <c r="O629" s="682">
        <f t="shared" si="27"/>
        <v>0</v>
      </c>
      <c r="P629" s="683" t="str">
        <f t="shared" si="28"/>
        <v>0</v>
      </c>
      <c r="Q629" s="684" t="str">
        <f t="shared" si="29"/>
        <v>0</v>
      </c>
      <c r="R629" s="491"/>
    </row>
    <row r="630" spans="1:18" x14ac:dyDescent="0.2">
      <c r="A630" s="506" t="s">
        <v>276</v>
      </c>
      <c r="B630" s="502" t="s">
        <v>779</v>
      </c>
      <c r="C630" s="507" t="s">
        <v>285</v>
      </c>
      <c r="D630" s="503" t="s">
        <v>287</v>
      </c>
      <c r="E630" s="348"/>
      <c r="F630" s="504" t="s">
        <v>109</v>
      </c>
      <c r="G630" s="512" t="s">
        <v>809</v>
      </c>
      <c r="H630" s="511" t="s">
        <v>792</v>
      </c>
      <c r="I630" s="510" t="s">
        <v>790</v>
      </c>
      <c r="J630" s="509" t="s">
        <v>650</v>
      </c>
      <c r="K630" s="516">
        <v>13</v>
      </c>
      <c r="L630" s="520"/>
      <c r="M630" s="685">
        <v>0</v>
      </c>
      <c r="N630" s="687">
        <v>0</v>
      </c>
      <c r="O630" s="682">
        <f t="shared" si="27"/>
        <v>0</v>
      </c>
      <c r="P630" s="683" t="str">
        <f t="shared" si="28"/>
        <v>0</v>
      </c>
      <c r="Q630" s="684" t="str">
        <f t="shared" si="29"/>
        <v>0</v>
      </c>
      <c r="R630" s="491"/>
    </row>
    <row r="631" spans="1:18" x14ac:dyDescent="0.2">
      <c r="A631" s="506" t="s">
        <v>276</v>
      </c>
      <c r="B631" s="502" t="s">
        <v>779</v>
      </c>
      <c r="C631" s="507" t="s">
        <v>285</v>
      </c>
      <c r="D631" s="503" t="s">
        <v>283</v>
      </c>
      <c r="E631" s="348"/>
      <c r="F631" s="504" t="s">
        <v>109</v>
      </c>
      <c r="G631" s="512" t="s">
        <v>809</v>
      </c>
      <c r="H631" s="511" t="s">
        <v>789</v>
      </c>
      <c r="I631" s="510" t="s">
        <v>790</v>
      </c>
      <c r="J631" s="509" t="s">
        <v>650</v>
      </c>
      <c r="K631" s="516">
        <v>50</v>
      </c>
      <c r="L631" s="520" t="s">
        <v>791</v>
      </c>
      <c r="M631" s="685">
        <v>5</v>
      </c>
      <c r="N631" s="687">
        <v>1</v>
      </c>
      <c r="O631" s="682">
        <f t="shared" si="27"/>
        <v>0.2</v>
      </c>
      <c r="P631" s="683">
        <f t="shared" si="28"/>
        <v>40</v>
      </c>
      <c r="Q631" s="684">
        <f t="shared" si="29"/>
        <v>0.4</v>
      </c>
      <c r="R631" s="491"/>
    </row>
    <row r="632" spans="1:18" x14ac:dyDescent="0.2">
      <c r="A632" s="506" t="s">
        <v>276</v>
      </c>
      <c r="B632" s="502" t="s">
        <v>779</v>
      </c>
      <c r="C632" s="507" t="s">
        <v>285</v>
      </c>
      <c r="D632" s="503" t="s">
        <v>284</v>
      </c>
      <c r="E632" s="348"/>
      <c r="F632" s="504" t="s">
        <v>109</v>
      </c>
      <c r="G632" s="512" t="s">
        <v>809</v>
      </c>
      <c r="H632" s="511" t="s">
        <v>789</v>
      </c>
      <c r="I632" s="510" t="s">
        <v>790</v>
      </c>
      <c r="J632" s="509" t="s">
        <v>650</v>
      </c>
      <c r="K632" s="516">
        <v>0</v>
      </c>
      <c r="L632" s="520" t="s">
        <v>791</v>
      </c>
      <c r="M632" s="685">
        <v>4</v>
      </c>
      <c r="N632" s="687">
        <v>0</v>
      </c>
      <c r="O632" s="682">
        <f t="shared" si="27"/>
        <v>0</v>
      </c>
      <c r="P632" s="683" t="str">
        <f t="shared" si="28"/>
        <v>0</v>
      </c>
      <c r="Q632" s="684" t="str">
        <f t="shared" si="29"/>
        <v>0</v>
      </c>
      <c r="R632" s="491"/>
    </row>
    <row r="633" spans="1:18" x14ac:dyDescent="0.2">
      <c r="A633" s="506" t="s">
        <v>276</v>
      </c>
      <c r="B633" s="502" t="s">
        <v>779</v>
      </c>
      <c r="C633" s="507" t="s">
        <v>285</v>
      </c>
      <c r="D633" s="503" t="s">
        <v>279</v>
      </c>
      <c r="E633" s="348"/>
      <c r="F633" s="504" t="s">
        <v>109</v>
      </c>
      <c r="G633" s="512" t="s">
        <v>809</v>
      </c>
      <c r="H633" s="511" t="s">
        <v>789</v>
      </c>
      <c r="I633" s="510" t="s">
        <v>790</v>
      </c>
      <c r="J633" s="509" t="s">
        <v>650</v>
      </c>
      <c r="K633" s="516">
        <v>0</v>
      </c>
      <c r="L633" s="520" t="s">
        <v>791</v>
      </c>
      <c r="M633" s="685">
        <v>1</v>
      </c>
      <c r="N633" s="687">
        <v>0</v>
      </c>
      <c r="O633" s="682">
        <f t="shared" si="27"/>
        <v>0</v>
      </c>
      <c r="P633" s="683" t="str">
        <f t="shared" si="28"/>
        <v>0</v>
      </c>
      <c r="Q633" s="684" t="str">
        <f t="shared" si="29"/>
        <v>0</v>
      </c>
      <c r="R633" s="491"/>
    </row>
    <row r="634" spans="1:18" x14ac:dyDescent="0.2">
      <c r="A634" s="506" t="s">
        <v>276</v>
      </c>
      <c r="B634" s="502" t="s">
        <v>779</v>
      </c>
      <c r="C634" s="507" t="s">
        <v>285</v>
      </c>
      <c r="D634" s="503" t="s">
        <v>281</v>
      </c>
      <c r="E634" s="348"/>
      <c r="F634" s="504" t="s">
        <v>109</v>
      </c>
      <c r="G634" s="512" t="s">
        <v>809</v>
      </c>
      <c r="H634" s="511" t="s">
        <v>789</v>
      </c>
      <c r="I634" s="510" t="s">
        <v>790</v>
      </c>
      <c r="J634" s="509" t="s">
        <v>650</v>
      </c>
      <c r="K634" s="516">
        <v>25</v>
      </c>
      <c r="L634" s="520"/>
      <c r="M634" s="685">
        <v>12</v>
      </c>
      <c r="N634" s="687">
        <v>4</v>
      </c>
      <c r="O634" s="682">
        <f t="shared" si="27"/>
        <v>0.33333333333333331</v>
      </c>
      <c r="P634" s="683">
        <f t="shared" si="28"/>
        <v>133.33333333333331</v>
      </c>
      <c r="Q634" s="684">
        <f t="shared" si="29"/>
        <v>1.3333333333333333</v>
      </c>
      <c r="R634" s="490"/>
    </row>
    <row r="635" spans="1:18" x14ac:dyDescent="0.2">
      <c r="A635" s="506" t="s">
        <v>276</v>
      </c>
      <c r="B635" s="502" t="s">
        <v>779</v>
      </c>
      <c r="C635" s="507" t="s">
        <v>285</v>
      </c>
      <c r="D635" s="503" t="s">
        <v>286</v>
      </c>
      <c r="E635" s="348"/>
      <c r="F635" s="504" t="s">
        <v>109</v>
      </c>
      <c r="G635" s="512" t="s">
        <v>809</v>
      </c>
      <c r="H635" s="511" t="s">
        <v>789</v>
      </c>
      <c r="I635" s="510" t="s">
        <v>790</v>
      </c>
      <c r="J635" s="509" t="s">
        <v>650</v>
      </c>
      <c r="K635" s="516">
        <v>10</v>
      </c>
      <c r="L635" s="520"/>
      <c r="M635" s="685">
        <v>20</v>
      </c>
      <c r="N635" s="687">
        <v>0</v>
      </c>
      <c r="O635" s="682">
        <f t="shared" si="27"/>
        <v>0</v>
      </c>
      <c r="P635" s="683">
        <f t="shared" si="28"/>
        <v>0</v>
      </c>
      <c r="Q635" s="684">
        <f t="shared" si="29"/>
        <v>0</v>
      </c>
      <c r="R635" s="490"/>
    </row>
    <row r="636" spans="1:18" x14ac:dyDescent="0.2">
      <c r="A636" s="506" t="s">
        <v>276</v>
      </c>
      <c r="B636" s="502" t="s">
        <v>779</v>
      </c>
      <c r="C636" s="507" t="s">
        <v>291</v>
      </c>
      <c r="D636" s="503" t="s">
        <v>283</v>
      </c>
      <c r="E636" s="348"/>
      <c r="F636" s="504" t="s">
        <v>109</v>
      </c>
      <c r="G636" s="512" t="s">
        <v>809</v>
      </c>
      <c r="H636" s="511" t="s">
        <v>789</v>
      </c>
      <c r="I636" s="510" t="s">
        <v>790</v>
      </c>
      <c r="J636" s="509" t="s">
        <v>650</v>
      </c>
      <c r="K636" s="516">
        <v>0</v>
      </c>
      <c r="L636" s="520" t="s">
        <v>791</v>
      </c>
      <c r="M636" s="685">
        <v>0</v>
      </c>
      <c r="N636" s="687">
        <v>0</v>
      </c>
      <c r="O636" s="682">
        <f t="shared" si="27"/>
        <v>0</v>
      </c>
      <c r="P636" s="683" t="str">
        <f t="shared" si="28"/>
        <v>0</v>
      </c>
      <c r="Q636" s="684" t="str">
        <f t="shared" si="29"/>
        <v>0</v>
      </c>
      <c r="R636" s="491"/>
    </row>
    <row r="637" spans="1:18" x14ac:dyDescent="0.2">
      <c r="A637" s="506" t="s">
        <v>276</v>
      </c>
      <c r="B637" s="502" t="s">
        <v>779</v>
      </c>
      <c r="C637" s="507" t="s">
        <v>291</v>
      </c>
      <c r="D637" s="503" t="s">
        <v>284</v>
      </c>
      <c r="E637" s="348"/>
      <c r="F637" s="504" t="s">
        <v>109</v>
      </c>
      <c r="G637" s="512" t="s">
        <v>809</v>
      </c>
      <c r="H637" s="511" t="s">
        <v>789</v>
      </c>
      <c r="I637" s="510" t="s">
        <v>790</v>
      </c>
      <c r="J637" s="509" t="s">
        <v>650</v>
      </c>
      <c r="K637" s="516">
        <v>0</v>
      </c>
      <c r="L637" s="520" t="s">
        <v>791</v>
      </c>
      <c r="M637" s="685">
        <v>0</v>
      </c>
      <c r="N637" s="687">
        <v>0</v>
      </c>
      <c r="O637" s="682">
        <f t="shared" si="27"/>
        <v>0</v>
      </c>
      <c r="P637" s="683" t="str">
        <f t="shared" si="28"/>
        <v>0</v>
      </c>
      <c r="Q637" s="684" t="str">
        <f t="shared" si="29"/>
        <v>0</v>
      </c>
      <c r="R637" s="491"/>
    </row>
    <row r="638" spans="1:18" x14ac:dyDescent="0.2">
      <c r="A638" s="506" t="s">
        <v>276</v>
      </c>
      <c r="B638" s="502" t="s">
        <v>779</v>
      </c>
      <c r="C638" s="507" t="s">
        <v>290</v>
      </c>
      <c r="D638" s="503" t="s">
        <v>287</v>
      </c>
      <c r="E638" s="348"/>
      <c r="F638" s="504" t="s">
        <v>109</v>
      </c>
      <c r="G638" s="512" t="s">
        <v>809</v>
      </c>
      <c r="H638" s="511" t="s">
        <v>792</v>
      </c>
      <c r="I638" s="510" t="s">
        <v>790</v>
      </c>
      <c r="J638" s="509" t="s">
        <v>650</v>
      </c>
      <c r="K638" s="516">
        <v>38</v>
      </c>
      <c r="L638" s="520"/>
      <c r="M638" s="685">
        <v>65</v>
      </c>
      <c r="N638" s="687">
        <v>9</v>
      </c>
      <c r="O638" s="682">
        <f t="shared" si="27"/>
        <v>0.13846153846153847</v>
      </c>
      <c r="P638" s="683">
        <f t="shared" si="28"/>
        <v>36.43724696356275</v>
      </c>
      <c r="Q638" s="684">
        <f t="shared" si="29"/>
        <v>0.36437246963562753</v>
      </c>
      <c r="R638" s="490"/>
    </row>
    <row r="639" spans="1:18" x14ac:dyDescent="0.2">
      <c r="A639" s="506" t="s">
        <v>276</v>
      </c>
      <c r="B639" s="502" t="s">
        <v>779</v>
      </c>
      <c r="C639" s="507" t="s">
        <v>290</v>
      </c>
      <c r="D639" s="503" t="s">
        <v>283</v>
      </c>
      <c r="E639" s="348"/>
      <c r="F639" s="504" t="s">
        <v>109</v>
      </c>
      <c r="G639" s="512" t="s">
        <v>809</v>
      </c>
      <c r="H639" s="511" t="s">
        <v>789</v>
      </c>
      <c r="I639" s="510" t="s">
        <v>790</v>
      </c>
      <c r="J639" s="509" t="s">
        <v>650</v>
      </c>
      <c r="K639" s="516">
        <v>0</v>
      </c>
      <c r="L639" s="520" t="s">
        <v>791</v>
      </c>
      <c r="M639" s="685">
        <v>5</v>
      </c>
      <c r="N639" s="687">
        <v>0</v>
      </c>
      <c r="O639" s="682">
        <f t="shared" si="27"/>
        <v>0</v>
      </c>
      <c r="P639" s="683" t="str">
        <f t="shared" si="28"/>
        <v>0</v>
      </c>
      <c r="Q639" s="684" t="str">
        <f t="shared" si="29"/>
        <v>0</v>
      </c>
      <c r="R639" s="491"/>
    </row>
    <row r="640" spans="1:18" x14ac:dyDescent="0.2">
      <c r="A640" s="506" t="s">
        <v>276</v>
      </c>
      <c r="B640" s="502" t="s">
        <v>779</v>
      </c>
      <c r="C640" s="507" t="s">
        <v>290</v>
      </c>
      <c r="D640" s="503" t="s">
        <v>284</v>
      </c>
      <c r="E640" s="348"/>
      <c r="F640" s="504" t="s">
        <v>109</v>
      </c>
      <c r="G640" s="512" t="s">
        <v>809</v>
      </c>
      <c r="H640" s="511" t="s">
        <v>789</v>
      </c>
      <c r="I640" s="510" t="s">
        <v>790</v>
      </c>
      <c r="J640" s="509" t="s">
        <v>650</v>
      </c>
      <c r="K640" s="516">
        <v>0</v>
      </c>
      <c r="L640" s="520" t="s">
        <v>791</v>
      </c>
      <c r="M640" s="685">
        <v>0</v>
      </c>
      <c r="N640" s="687">
        <v>0</v>
      </c>
      <c r="O640" s="682">
        <f t="shared" si="27"/>
        <v>0</v>
      </c>
      <c r="P640" s="683" t="str">
        <f t="shared" si="28"/>
        <v>0</v>
      </c>
      <c r="Q640" s="684" t="str">
        <f t="shared" si="29"/>
        <v>0</v>
      </c>
      <c r="R640" s="491"/>
    </row>
    <row r="641" spans="1:18" x14ac:dyDescent="0.2">
      <c r="A641" s="506" t="s">
        <v>276</v>
      </c>
      <c r="B641" s="502" t="s">
        <v>779</v>
      </c>
      <c r="C641" s="507" t="s">
        <v>289</v>
      </c>
      <c r="D641" s="503" t="s">
        <v>287</v>
      </c>
      <c r="E641" s="348"/>
      <c r="F641" s="504" t="s">
        <v>109</v>
      </c>
      <c r="G641" s="512" t="s">
        <v>809</v>
      </c>
      <c r="H641" s="511" t="s">
        <v>792</v>
      </c>
      <c r="I641" s="510" t="s">
        <v>790</v>
      </c>
      <c r="J641" s="509" t="s">
        <v>650</v>
      </c>
      <c r="K641" s="516">
        <v>5</v>
      </c>
      <c r="L641" s="520"/>
      <c r="M641" s="685">
        <v>733</v>
      </c>
      <c r="N641" s="687">
        <v>90</v>
      </c>
      <c r="O641" s="682">
        <f t="shared" si="27"/>
        <v>0.12278308321964529</v>
      </c>
      <c r="P641" s="683">
        <f t="shared" si="28"/>
        <v>245.56616643929061</v>
      </c>
      <c r="Q641" s="684">
        <f t="shared" si="29"/>
        <v>2.4556616643929061</v>
      </c>
      <c r="R641" s="490"/>
    </row>
    <row r="642" spans="1:18" x14ac:dyDescent="0.2">
      <c r="A642" s="506" t="s">
        <v>276</v>
      </c>
      <c r="B642" s="502" t="s">
        <v>779</v>
      </c>
      <c r="C642" s="507" t="s">
        <v>289</v>
      </c>
      <c r="D642" s="503" t="s">
        <v>283</v>
      </c>
      <c r="E642" s="348"/>
      <c r="F642" s="504" t="s">
        <v>109</v>
      </c>
      <c r="G642" s="512" t="s">
        <v>809</v>
      </c>
      <c r="H642" s="511" t="s">
        <v>789</v>
      </c>
      <c r="I642" s="510" t="s">
        <v>790</v>
      </c>
      <c r="J642" s="509" t="s">
        <v>650</v>
      </c>
      <c r="K642" s="516">
        <v>32</v>
      </c>
      <c r="L642" s="520"/>
      <c r="M642" s="685">
        <v>134</v>
      </c>
      <c r="N642" s="687">
        <v>38</v>
      </c>
      <c r="O642" s="682">
        <f t="shared" si="27"/>
        <v>0.28358208955223879</v>
      </c>
      <c r="P642" s="683">
        <f t="shared" si="28"/>
        <v>88.619402985074629</v>
      </c>
      <c r="Q642" s="684">
        <f t="shared" si="29"/>
        <v>0.88619402985074625</v>
      </c>
      <c r="R642" s="490"/>
    </row>
    <row r="643" spans="1:18" x14ac:dyDescent="0.2">
      <c r="A643" s="506" t="s">
        <v>276</v>
      </c>
      <c r="B643" s="502" t="s">
        <v>779</v>
      </c>
      <c r="C643" s="507" t="s">
        <v>289</v>
      </c>
      <c r="D643" s="503" t="s">
        <v>284</v>
      </c>
      <c r="E643" s="348"/>
      <c r="F643" s="504" t="s">
        <v>109</v>
      </c>
      <c r="G643" s="512" t="s">
        <v>809</v>
      </c>
      <c r="H643" s="511" t="s">
        <v>789</v>
      </c>
      <c r="I643" s="510" t="s">
        <v>790</v>
      </c>
      <c r="J643" s="509" t="s">
        <v>650</v>
      </c>
      <c r="K643" s="516">
        <v>33</v>
      </c>
      <c r="L643" s="520"/>
      <c r="M643" s="685">
        <v>29</v>
      </c>
      <c r="N643" s="687">
        <v>13</v>
      </c>
      <c r="O643" s="682">
        <f t="shared" si="27"/>
        <v>0.44827586206896552</v>
      </c>
      <c r="P643" s="683">
        <f t="shared" si="28"/>
        <v>135.84117032392896</v>
      </c>
      <c r="Q643" s="684">
        <f t="shared" si="29"/>
        <v>1.3584117032392895</v>
      </c>
      <c r="R643" s="490"/>
    </row>
    <row r="644" spans="1:18" x14ac:dyDescent="0.2">
      <c r="A644" s="506" t="s">
        <v>276</v>
      </c>
      <c r="B644" s="502" t="s">
        <v>779</v>
      </c>
      <c r="C644" s="507" t="s">
        <v>289</v>
      </c>
      <c r="D644" s="503" t="s">
        <v>281</v>
      </c>
      <c r="E644" s="348"/>
      <c r="F644" s="504" t="s">
        <v>109</v>
      </c>
      <c r="G644" s="512" t="s">
        <v>809</v>
      </c>
      <c r="H644" s="511" t="s">
        <v>789</v>
      </c>
      <c r="I644" s="510" t="s">
        <v>790</v>
      </c>
      <c r="J644" s="509" t="s">
        <v>650</v>
      </c>
      <c r="K644" s="516">
        <v>0</v>
      </c>
      <c r="L644" s="520" t="s">
        <v>791</v>
      </c>
      <c r="M644" s="685">
        <v>2</v>
      </c>
      <c r="N644" s="687">
        <v>0</v>
      </c>
      <c r="O644" s="682">
        <f t="shared" si="27"/>
        <v>0</v>
      </c>
      <c r="P644" s="683" t="str">
        <f t="shared" si="28"/>
        <v>0</v>
      </c>
      <c r="Q644" s="684" t="str">
        <f t="shared" si="29"/>
        <v>0</v>
      </c>
      <c r="R644" s="491"/>
    </row>
    <row r="645" spans="1:18" x14ac:dyDescent="0.2">
      <c r="A645" s="506" t="s">
        <v>276</v>
      </c>
      <c r="B645" s="502" t="s">
        <v>779</v>
      </c>
      <c r="C645" s="507" t="s">
        <v>97</v>
      </c>
      <c r="D645" s="503" t="s">
        <v>279</v>
      </c>
      <c r="E645" s="348"/>
      <c r="F645" s="504" t="s">
        <v>109</v>
      </c>
      <c r="G645" s="512" t="s">
        <v>810</v>
      </c>
      <c r="H645" s="511" t="s">
        <v>789</v>
      </c>
      <c r="I645" s="510" t="s">
        <v>790</v>
      </c>
      <c r="J645" s="509" t="s">
        <v>650</v>
      </c>
      <c r="K645" s="516">
        <v>33</v>
      </c>
      <c r="L645" s="520"/>
      <c r="M645" s="685">
        <v>6</v>
      </c>
      <c r="N645" s="687">
        <v>4</v>
      </c>
      <c r="O645" s="682">
        <f t="shared" ref="O645:O708" si="30">IFERROR(N645/M645,0)</f>
        <v>0.66666666666666663</v>
      </c>
      <c r="P645" s="683">
        <f t="shared" ref="P645:P708" si="31">IFERROR(N645/(M645*(K645/100))*100,"0")</f>
        <v>202.02020202020202</v>
      </c>
      <c r="Q645" s="684">
        <f t="shared" ref="Q645:Q708" si="32">IFERROR(N645/(M645*(K645/100)),"0")</f>
        <v>2.0202020202020203</v>
      </c>
      <c r="R645" s="491"/>
    </row>
    <row r="646" spans="1:18" x14ac:dyDescent="0.2">
      <c r="A646" s="506" t="s">
        <v>276</v>
      </c>
      <c r="B646" s="502" t="s">
        <v>779</v>
      </c>
      <c r="C646" s="507" t="s">
        <v>97</v>
      </c>
      <c r="D646" s="503" t="s">
        <v>281</v>
      </c>
      <c r="E646" s="348"/>
      <c r="F646" s="504" t="s">
        <v>109</v>
      </c>
      <c r="G646" s="512" t="s">
        <v>810</v>
      </c>
      <c r="H646" s="511" t="s">
        <v>789</v>
      </c>
      <c r="I646" s="510" t="s">
        <v>790</v>
      </c>
      <c r="J646" s="509" t="s">
        <v>650</v>
      </c>
      <c r="K646" s="516">
        <v>33</v>
      </c>
      <c r="L646" s="520" t="s">
        <v>791</v>
      </c>
      <c r="M646" s="685">
        <v>9</v>
      </c>
      <c r="N646" s="687">
        <v>7</v>
      </c>
      <c r="O646" s="682">
        <f t="shared" si="30"/>
        <v>0.77777777777777779</v>
      </c>
      <c r="P646" s="683">
        <f t="shared" si="31"/>
        <v>235.69023569023568</v>
      </c>
      <c r="Q646" s="684">
        <f t="shared" si="32"/>
        <v>2.3569023569023568</v>
      </c>
      <c r="R646" s="491"/>
    </row>
    <row r="647" spans="1:18" x14ac:dyDescent="0.2">
      <c r="A647" s="506" t="s">
        <v>276</v>
      </c>
      <c r="B647" s="502" t="s">
        <v>779</v>
      </c>
      <c r="C647" s="507" t="s">
        <v>282</v>
      </c>
      <c r="D647" s="503" t="s">
        <v>287</v>
      </c>
      <c r="E647" s="348"/>
      <c r="F647" s="504" t="s">
        <v>109</v>
      </c>
      <c r="G647" s="512" t="s">
        <v>810</v>
      </c>
      <c r="H647" s="511" t="s">
        <v>792</v>
      </c>
      <c r="I647" s="510" t="s">
        <v>790</v>
      </c>
      <c r="J647" s="509" t="s">
        <v>650</v>
      </c>
      <c r="K647" s="516">
        <v>5</v>
      </c>
      <c r="L647" s="520" t="s">
        <v>791</v>
      </c>
      <c r="M647" s="685">
        <v>68</v>
      </c>
      <c r="N647" s="687">
        <v>10</v>
      </c>
      <c r="O647" s="682">
        <f t="shared" si="30"/>
        <v>0.14705882352941177</v>
      </c>
      <c r="P647" s="683">
        <f t="shared" si="31"/>
        <v>294.11764705882348</v>
      </c>
      <c r="Q647" s="684">
        <f t="shared" si="32"/>
        <v>2.9411764705882351</v>
      </c>
      <c r="R647" s="491"/>
    </row>
    <row r="648" spans="1:18" x14ac:dyDescent="0.2">
      <c r="A648" s="506" t="s">
        <v>276</v>
      </c>
      <c r="B648" s="502" t="s">
        <v>779</v>
      </c>
      <c r="C648" s="507" t="s">
        <v>282</v>
      </c>
      <c r="D648" s="503" t="s">
        <v>283</v>
      </c>
      <c r="E648" s="348"/>
      <c r="F648" s="504" t="s">
        <v>109</v>
      </c>
      <c r="G648" s="512" t="s">
        <v>810</v>
      </c>
      <c r="H648" s="511" t="s">
        <v>789</v>
      </c>
      <c r="I648" s="510" t="s">
        <v>790</v>
      </c>
      <c r="J648" s="509" t="s">
        <v>650</v>
      </c>
      <c r="K648" s="516">
        <v>26</v>
      </c>
      <c r="L648" s="520"/>
      <c r="M648" s="685">
        <v>19</v>
      </c>
      <c r="N648" s="687">
        <v>2</v>
      </c>
      <c r="O648" s="682">
        <f t="shared" si="30"/>
        <v>0.10526315789473684</v>
      </c>
      <c r="P648" s="683">
        <f t="shared" si="31"/>
        <v>40.48582995951417</v>
      </c>
      <c r="Q648" s="684">
        <f t="shared" si="32"/>
        <v>0.40485829959514169</v>
      </c>
      <c r="R648" s="490"/>
    </row>
    <row r="649" spans="1:18" x14ac:dyDescent="0.2">
      <c r="A649" s="506" t="s">
        <v>276</v>
      </c>
      <c r="B649" s="502" t="s">
        <v>779</v>
      </c>
      <c r="C649" s="507" t="s">
        <v>282</v>
      </c>
      <c r="D649" s="503" t="s">
        <v>284</v>
      </c>
      <c r="E649" s="348"/>
      <c r="F649" s="504" t="s">
        <v>109</v>
      </c>
      <c r="G649" s="512" t="s">
        <v>810</v>
      </c>
      <c r="H649" s="511" t="s">
        <v>789</v>
      </c>
      <c r="I649" s="510" t="s">
        <v>790</v>
      </c>
      <c r="J649" s="509" t="s">
        <v>650</v>
      </c>
      <c r="K649" s="516">
        <v>16</v>
      </c>
      <c r="L649" s="520"/>
      <c r="M649" s="685">
        <v>43</v>
      </c>
      <c r="N649" s="687">
        <v>7</v>
      </c>
      <c r="O649" s="682">
        <f t="shared" si="30"/>
        <v>0.16279069767441862</v>
      </c>
      <c r="P649" s="683">
        <f t="shared" si="31"/>
        <v>101.74418604651163</v>
      </c>
      <c r="Q649" s="684">
        <f t="shared" si="32"/>
        <v>1.0174418604651163</v>
      </c>
      <c r="R649" s="490"/>
    </row>
    <row r="650" spans="1:18" x14ac:dyDescent="0.2">
      <c r="A650" s="506" t="s">
        <v>276</v>
      </c>
      <c r="B650" s="502" t="s">
        <v>779</v>
      </c>
      <c r="C650" s="507" t="s">
        <v>282</v>
      </c>
      <c r="D650" s="503" t="s">
        <v>279</v>
      </c>
      <c r="E650" s="348"/>
      <c r="F650" s="504" t="s">
        <v>109</v>
      </c>
      <c r="G650" s="512" t="s">
        <v>810</v>
      </c>
      <c r="H650" s="511" t="s">
        <v>789</v>
      </c>
      <c r="I650" s="510" t="s">
        <v>790</v>
      </c>
      <c r="J650" s="509" t="s">
        <v>650</v>
      </c>
      <c r="K650" s="516">
        <v>6</v>
      </c>
      <c r="L650" s="520"/>
      <c r="M650" s="685">
        <v>65</v>
      </c>
      <c r="N650" s="687">
        <v>7</v>
      </c>
      <c r="O650" s="682">
        <f t="shared" si="30"/>
        <v>0.1076923076923077</v>
      </c>
      <c r="P650" s="683">
        <f t="shared" si="31"/>
        <v>179.4871794871795</v>
      </c>
      <c r="Q650" s="684">
        <f t="shared" si="32"/>
        <v>1.7948717948717949</v>
      </c>
      <c r="R650" s="490"/>
    </row>
    <row r="651" spans="1:18" x14ac:dyDescent="0.2">
      <c r="A651" s="506" t="s">
        <v>276</v>
      </c>
      <c r="B651" s="502" t="s">
        <v>779</v>
      </c>
      <c r="C651" s="507" t="s">
        <v>282</v>
      </c>
      <c r="D651" s="503" t="s">
        <v>281</v>
      </c>
      <c r="E651" s="348"/>
      <c r="F651" s="504" t="s">
        <v>109</v>
      </c>
      <c r="G651" s="512" t="s">
        <v>810</v>
      </c>
      <c r="H651" s="511" t="s">
        <v>789</v>
      </c>
      <c r="I651" s="510" t="s">
        <v>790</v>
      </c>
      <c r="J651" s="509" t="s">
        <v>650</v>
      </c>
      <c r="K651" s="516">
        <v>8</v>
      </c>
      <c r="L651" s="520"/>
      <c r="M651" s="685">
        <v>48</v>
      </c>
      <c r="N651" s="687">
        <v>12</v>
      </c>
      <c r="O651" s="682">
        <f t="shared" si="30"/>
        <v>0.25</v>
      </c>
      <c r="P651" s="683">
        <f t="shared" si="31"/>
        <v>312.5</v>
      </c>
      <c r="Q651" s="684">
        <f t="shared" si="32"/>
        <v>3.125</v>
      </c>
      <c r="R651" s="490"/>
    </row>
    <row r="652" spans="1:18" x14ac:dyDescent="0.2">
      <c r="A652" s="506" t="s">
        <v>276</v>
      </c>
      <c r="B652" s="502" t="s">
        <v>779</v>
      </c>
      <c r="C652" s="507" t="s">
        <v>288</v>
      </c>
      <c r="D652" s="503" t="s">
        <v>287</v>
      </c>
      <c r="E652" s="348"/>
      <c r="F652" s="504" t="s">
        <v>109</v>
      </c>
      <c r="G652" s="512" t="s">
        <v>810</v>
      </c>
      <c r="H652" s="511" t="s">
        <v>792</v>
      </c>
      <c r="I652" s="510" t="s">
        <v>790</v>
      </c>
      <c r="J652" s="509" t="s">
        <v>650</v>
      </c>
      <c r="K652" s="516">
        <v>28.999999999999996</v>
      </c>
      <c r="L652" s="520"/>
      <c r="M652" s="685">
        <v>299</v>
      </c>
      <c r="N652" s="687">
        <v>36</v>
      </c>
      <c r="O652" s="682">
        <f t="shared" si="30"/>
        <v>0.12040133779264214</v>
      </c>
      <c r="P652" s="683">
        <f t="shared" si="31"/>
        <v>41.517702687117982</v>
      </c>
      <c r="Q652" s="684">
        <f t="shared" si="32"/>
        <v>0.4151770268711798</v>
      </c>
      <c r="R652" s="490"/>
    </row>
    <row r="653" spans="1:18" x14ac:dyDescent="0.2">
      <c r="A653" s="506" t="s">
        <v>276</v>
      </c>
      <c r="B653" s="502" t="s">
        <v>779</v>
      </c>
      <c r="C653" s="507" t="s">
        <v>288</v>
      </c>
      <c r="D653" s="503" t="s">
        <v>283</v>
      </c>
      <c r="E653" s="348"/>
      <c r="F653" s="504" t="s">
        <v>109</v>
      </c>
      <c r="G653" s="512" t="s">
        <v>810</v>
      </c>
      <c r="H653" s="511" t="s">
        <v>789</v>
      </c>
      <c r="I653" s="510" t="s">
        <v>790</v>
      </c>
      <c r="J653" s="509" t="s">
        <v>650</v>
      </c>
      <c r="K653" s="516">
        <v>8</v>
      </c>
      <c r="L653" s="520"/>
      <c r="M653" s="685">
        <v>64</v>
      </c>
      <c r="N653" s="687">
        <v>6</v>
      </c>
      <c r="O653" s="682">
        <f t="shared" si="30"/>
        <v>9.375E-2</v>
      </c>
      <c r="P653" s="683">
        <f t="shared" si="31"/>
        <v>117.1875</v>
      </c>
      <c r="Q653" s="684">
        <f t="shared" si="32"/>
        <v>1.171875</v>
      </c>
      <c r="R653" s="490"/>
    </row>
    <row r="654" spans="1:18" x14ac:dyDescent="0.2">
      <c r="A654" s="506" t="s">
        <v>276</v>
      </c>
      <c r="B654" s="502" t="s">
        <v>779</v>
      </c>
      <c r="C654" s="507" t="s">
        <v>288</v>
      </c>
      <c r="D654" s="503" t="s">
        <v>284</v>
      </c>
      <c r="E654" s="348"/>
      <c r="F654" s="504" t="s">
        <v>109</v>
      </c>
      <c r="G654" s="512" t="s">
        <v>810</v>
      </c>
      <c r="H654" s="511" t="s">
        <v>789</v>
      </c>
      <c r="I654" s="510" t="s">
        <v>790</v>
      </c>
      <c r="J654" s="509" t="s">
        <v>650</v>
      </c>
      <c r="K654" s="516">
        <v>8</v>
      </c>
      <c r="L654" s="520" t="s">
        <v>791</v>
      </c>
      <c r="M654" s="685">
        <v>10</v>
      </c>
      <c r="N654" s="687">
        <v>0</v>
      </c>
      <c r="O654" s="682">
        <f t="shared" si="30"/>
        <v>0</v>
      </c>
      <c r="P654" s="683">
        <f t="shared" si="31"/>
        <v>0</v>
      </c>
      <c r="Q654" s="684">
        <f t="shared" si="32"/>
        <v>0</v>
      </c>
      <c r="R654" s="491"/>
    </row>
    <row r="655" spans="1:18" x14ac:dyDescent="0.2">
      <c r="A655" s="506" t="s">
        <v>276</v>
      </c>
      <c r="B655" s="502" t="s">
        <v>779</v>
      </c>
      <c r="C655" s="507" t="s">
        <v>288</v>
      </c>
      <c r="D655" s="503" t="s">
        <v>279</v>
      </c>
      <c r="E655" s="348"/>
      <c r="F655" s="504" t="s">
        <v>109</v>
      </c>
      <c r="G655" s="512" t="s">
        <v>810</v>
      </c>
      <c r="H655" s="511" t="s">
        <v>789</v>
      </c>
      <c r="I655" s="510" t="s">
        <v>790</v>
      </c>
      <c r="J655" s="509" t="s">
        <v>650</v>
      </c>
      <c r="K655" s="516">
        <v>0</v>
      </c>
      <c r="L655" s="520" t="s">
        <v>791</v>
      </c>
      <c r="M655" s="685">
        <v>2</v>
      </c>
      <c r="N655" s="687">
        <v>1</v>
      </c>
      <c r="O655" s="682">
        <f t="shared" si="30"/>
        <v>0.5</v>
      </c>
      <c r="P655" s="683" t="str">
        <f t="shared" si="31"/>
        <v>0</v>
      </c>
      <c r="Q655" s="684" t="str">
        <f t="shared" si="32"/>
        <v>0</v>
      </c>
      <c r="R655" s="491"/>
    </row>
    <row r="656" spans="1:18" x14ac:dyDescent="0.2">
      <c r="A656" s="506" t="s">
        <v>276</v>
      </c>
      <c r="B656" s="502" t="s">
        <v>779</v>
      </c>
      <c r="C656" s="507" t="s">
        <v>288</v>
      </c>
      <c r="D656" s="503" t="s">
        <v>281</v>
      </c>
      <c r="E656" s="348"/>
      <c r="F656" s="504" t="s">
        <v>109</v>
      </c>
      <c r="G656" s="512" t="s">
        <v>810</v>
      </c>
      <c r="H656" s="511" t="s">
        <v>789</v>
      </c>
      <c r="I656" s="510" t="s">
        <v>790</v>
      </c>
      <c r="J656" s="509" t="s">
        <v>650</v>
      </c>
      <c r="K656" s="516">
        <v>8</v>
      </c>
      <c r="L656" s="520" t="s">
        <v>791</v>
      </c>
      <c r="M656" s="685">
        <v>17</v>
      </c>
      <c r="N656" s="687">
        <v>3</v>
      </c>
      <c r="O656" s="682">
        <f t="shared" si="30"/>
        <v>0.17647058823529413</v>
      </c>
      <c r="P656" s="683">
        <f t="shared" si="31"/>
        <v>220.58823529411762</v>
      </c>
      <c r="Q656" s="684">
        <f t="shared" si="32"/>
        <v>2.2058823529411762</v>
      </c>
      <c r="R656" s="491"/>
    </row>
    <row r="657" spans="1:18" x14ac:dyDescent="0.2">
      <c r="A657" s="506" t="s">
        <v>276</v>
      </c>
      <c r="B657" s="502" t="s">
        <v>779</v>
      </c>
      <c r="C657" s="507" t="s">
        <v>99</v>
      </c>
      <c r="D657" s="503" t="s">
        <v>287</v>
      </c>
      <c r="E657" s="348"/>
      <c r="F657" s="504" t="s">
        <v>109</v>
      </c>
      <c r="G657" s="512" t="s">
        <v>810</v>
      </c>
      <c r="H657" s="511" t="s">
        <v>792</v>
      </c>
      <c r="I657" s="510" t="s">
        <v>790</v>
      </c>
      <c r="J657" s="509" t="s">
        <v>650</v>
      </c>
      <c r="K657" s="516">
        <v>17</v>
      </c>
      <c r="L657" s="520"/>
      <c r="M657" s="685">
        <v>326</v>
      </c>
      <c r="N657" s="687">
        <v>49</v>
      </c>
      <c r="O657" s="682">
        <f t="shared" si="30"/>
        <v>0.15030674846625766</v>
      </c>
      <c r="P657" s="683">
        <f t="shared" si="31"/>
        <v>88.415734391916274</v>
      </c>
      <c r="Q657" s="684">
        <f t="shared" si="32"/>
        <v>0.88415734391916267</v>
      </c>
      <c r="R657" s="490"/>
    </row>
    <row r="658" spans="1:18" x14ac:dyDescent="0.2">
      <c r="A658" s="506" t="s">
        <v>276</v>
      </c>
      <c r="B658" s="502" t="s">
        <v>779</v>
      </c>
      <c r="C658" s="507" t="s">
        <v>99</v>
      </c>
      <c r="D658" s="503" t="s">
        <v>283</v>
      </c>
      <c r="E658" s="348"/>
      <c r="F658" s="504" t="s">
        <v>109</v>
      </c>
      <c r="G658" s="512" t="s">
        <v>810</v>
      </c>
      <c r="H658" s="511" t="s">
        <v>789</v>
      </c>
      <c r="I658" s="510" t="s">
        <v>790</v>
      </c>
      <c r="J658" s="509" t="s">
        <v>650</v>
      </c>
      <c r="K658" s="516">
        <v>36</v>
      </c>
      <c r="L658" s="520"/>
      <c r="M658" s="685">
        <v>17</v>
      </c>
      <c r="N658" s="687">
        <v>4</v>
      </c>
      <c r="O658" s="682">
        <f t="shared" si="30"/>
        <v>0.23529411764705882</v>
      </c>
      <c r="P658" s="683">
        <f t="shared" si="31"/>
        <v>65.359477124183002</v>
      </c>
      <c r="Q658" s="684">
        <f t="shared" si="32"/>
        <v>0.65359477124183007</v>
      </c>
      <c r="R658" s="490"/>
    </row>
    <row r="659" spans="1:18" x14ac:dyDescent="0.2">
      <c r="A659" s="506" t="s">
        <v>276</v>
      </c>
      <c r="B659" s="502" t="s">
        <v>779</v>
      </c>
      <c r="C659" s="507" t="s">
        <v>99</v>
      </c>
      <c r="D659" s="503" t="s">
        <v>284</v>
      </c>
      <c r="E659" s="348"/>
      <c r="F659" s="504" t="s">
        <v>109</v>
      </c>
      <c r="G659" s="512" t="s">
        <v>810</v>
      </c>
      <c r="H659" s="511" t="s">
        <v>789</v>
      </c>
      <c r="I659" s="510" t="s">
        <v>790</v>
      </c>
      <c r="J659" s="509" t="s">
        <v>650</v>
      </c>
      <c r="K659" s="516">
        <v>80</v>
      </c>
      <c r="L659" s="520"/>
      <c r="M659" s="685">
        <v>8</v>
      </c>
      <c r="N659" s="687">
        <v>2</v>
      </c>
      <c r="O659" s="682">
        <f t="shared" si="30"/>
        <v>0.25</v>
      </c>
      <c r="P659" s="683">
        <f t="shared" si="31"/>
        <v>31.25</v>
      </c>
      <c r="Q659" s="684">
        <f t="shared" si="32"/>
        <v>0.3125</v>
      </c>
      <c r="R659" s="490"/>
    </row>
    <row r="660" spans="1:18" x14ac:dyDescent="0.2">
      <c r="A660" s="506" t="s">
        <v>276</v>
      </c>
      <c r="B660" s="502" t="s">
        <v>779</v>
      </c>
      <c r="C660" s="507" t="s">
        <v>99</v>
      </c>
      <c r="D660" s="503" t="s">
        <v>279</v>
      </c>
      <c r="E660" s="348"/>
      <c r="F660" s="504" t="s">
        <v>109</v>
      </c>
      <c r="G660" s="512" t="s">
        <v>810</v>
      </c>
      <c r="H660" s="511" t="s">
        <v>789</v>
      </c>
      <c r="I660" s="510" t="s">
        <v>790</v>
      </c>
      <c r="J660" s="509" t="s">
        <v>650</v>
      </c>
      <c r="K660" s="516">
        <v>17</v>
      </c>
      <c r="L660" s="520" t="s">
        <v>791</v>
      </c>
      <c r="M660" s="685">
        <v>5</v>
      </c>
      <c r="N660" s="687">
        <v>2</v>
      </c>
      <c r="O660" s="682">
        <f t="shared" si="30"/>
        <v>0.4</v>
      </c>
      <c r="P660" s="683">
        <f t="shared" si="31"/>
        <v>235.29411764705878</v>
      </c>
      <c r="Q660" s="684">
        <f t="shared" si="32"/>
        <v>2.3529411764705879</v>
      </c>
      <c r="R660" s="491"/>
    </row>
    <row r="661" spans="1:18" x14ac:dyDescent="0.2">
      <c r="A661" s="506" t="s">
        <v>276</v>
      </c>
      <c r="B661" s="502" t="s">
        <v>779</v>
      </c>
      <c r="C661" s="507" t="s">
        <v>99</v>
      </c>
      <c r="D661" s="503" t="s">
        <v>281</v>
      </c>
      <c r="E661" s="348"/>
      <c r="F661" s="504" t="s">
        <v>109</v>
      </c>
      <c r="G661" s="512" t="s">
        <v>810</v>
      </c>
      <c r="H661" s="511" t="s">
        <v>789</v>
      </c>
      <c r="I661" s="510" t="s">
        <v>790</v>
      </c>
      <c r="J661" s="509" t="s">
        <v>650</v>
      </c>
      <c r="K661" s="516">
        <v>0</v>
      </c>
      <c r="L661" s="520" t="s">
        <v>791</v>
      </c>
      <c r="M661" s="685">
        <v>1</v>
      </c>
      <c r="N661" s="687">
        <v>0</v>
      </c>
      <c r="O661" s="682">
        <f t="shared" si="30"/>
        <v>0</v>
      </c>
      <c r="P661" s="683" t="str">
        <f t="shared" si="31"/>
        <v>0</v>
      </c>
      <c r="Q661" s="684" t="str">
        <f t="shared" si="32"/>
        <v>0</v>
      </c>
      <c r="R661" s="491"/>
    </row>
    <row r="662" spans="1:18" x14ac:dyDescent="0.2">
      <c r="A662" s="506" t="s">
        <v>276</v>
      </c>
      <c r="B662" s="502" t="s">
        <v>779</v>
      </c>
      <c r="C662" s="507" t="s">
        <v>285</v>
      </c>
      <c r="D662" s="503" t="s">
        <v>287</v>
      </c>
      <c r="E662" s="348"/>
      <c r="F662" s="504" t="s">
        <v>109</v>
      </c>
      <c r="G662" s="512" t="s">
        <v>810</v>
      </c>
      <c r="H662" s="511" t="s">
        <v>792</v>
      </c>
      <c r="I662" s="510" t="s">
        <v>790</v>
      </c>
      <c r="J662" s="509" t="s">
        <v>650</v>
      </c>
      <c r="K662" s="516">
        <v>13</v>
      </c>
      <c r="L662" s="520"/>
      <c r="M662" s="685">
        <v>0</v>
      </c>
      <c r="N662" s="687">
        <v>0</v>
      </c>
      <c r="O662" s="682">
        <f t="shared" si="30"/>
        <v>0</v>
      </c>
      <c r="P662" s="683" t="str">
        <f t="shared" si="31"/>
        <v>0</v>
      </c>
      <c r="Q662" s="684" t="str">
        <f t="shared" si="32"/>
        <v>0</v>
      </c>
      <c r="R662" s="491"/>
    </row>
    <row r="663" spans="1:18" x14ac:dyDescent="0.2">
      <c r="A663" s="506" t="s">
        <v>276</v>
      </c>
      <c r="B663" s="502" t="s">
        <v>779</v>
      </c>
      <c r="C663" s="507" t="s">
        <v>285</v>
      </c>
      <c r="D663" s="503" t="s">
        <v>283</v>
      </c>
      <c r="E663" s="348"/>
      <c r="F663" s="504" t="s">
        <v>109</v>
      </c>
      <c r="G663" s="512" t="s">
        <v>810</v>
      </c>
      <c r="H663" s="511" t="s">
        <v>789</v>
      </c>
      <c r="I663" s="510" t="s">
        <v>790</v>
      </c>
      <c r="J663" s="509" t="s">
        <v>650</v>
      </c>
      <c r="K663" s="516">
        <v>50</v>
      </c>
      <c r="L663" s="520" t="s">
        <v>791</v>
      </c>
      <c r="M663" s="685">
        <v>5</v>
      </c>
      <c r="N663" s="687">
        <v>1</v>
      </c>
      <c r="O663" s="682">
        <f t="shared" si="30"/>
        <v>0.2</v>
      </c>
      <c r="P663" s="683">
        <f t="shared" si="31"/>
        <v>40</v>
      </c>
      <c r="Q663" s="684">
        <f t="shared" si="32"/>
        <v>0.4</v>
      </c>
      <c r="R663" s="491"/>
    </row>
    <row r="664" spans="1:18" x14ac:dyDescent="0.2">
      <c r="A664" s="506" t="s">
        <v>276</v>
      </c>
      <c r="B664" s="502" t="s">
        <v>779</v>
      </c>
      <c r="C664" s="507" t="s">
        <v>285</v>
      </c>
      <c r="D664" s="503" t="s">
        <v>284</v>
      </c>
      <c r="E664" s="348"/>
      <c r="F664" s="504" t="s">
        <v>109</v>
      </c>
      <c r="G664" s="512" t="s">
        <v>810</v>
      </c>
      <c r="H664" s="511" t="s">
        <v>789</v>
      </c>
      <c r="I664" s="510" t="s">
        <v>790</v>
      </c>
      <c r="J664" s="509" t="s">
        <v>650</v>
      </c>
      <c r="K664" s="516">
        <v>0</v>
      </c>
      <c r="L664" s="520" t="s">
        <v>791</v>
      </c>
      <c r="M664" s="685">
        <v>4</v>
      </c>
      <c r="N664" s="687">
        <v>0</v>
      </c>
      <c r="O664" s="682">
        <f t="shared" si="30"/>
        <v>0</v>
      </c>
      <c r="P664" s="683" t="str">
        <f t="shared" si="31"/>
        <v>0</v>
      </c>
      <c r="Q664" s="684" t="str">
        <f t="shared" si="32"/>
        <v>0</v>
      </c>
      <c r="R664" s="491"/>
    </row>
    <row r="665" spans="1:18" x14ac:dyDescent="0.2">
      <c r="A665" s="506" t="s">
        <v>276</v>
      </c>
      <c r="B665" s="502" t="s">
        <v>779</v>
      </c>
      <c r="C665" s="507" t="s">
        <v>285</v>
      </c>
      <c r="D665" s="503" t="s">
        <v>279</v>
      </c>
      <c r="E665" s="348"/>
      <c r="F665" s="504" t="s">
        <v>109</v>
      </c>
      <c r="G665" s="512" t="s">
        <v>810</v>
      </c>
      <c r="H665" s="511" t="s">
        <v>789</v>
      </c>
      <c r="I665" s="510" t="s">
        <v>790</v>
      </c>
      <c r="J665" s="509" t="s">
        <v>650</v>
      </c>
      <c r="K665" s="516">
        <v>0</v>
      </c>
      <c r="L665" s="520" t="s">
        <v>791</v>
      </c>
      <c r="M665" s="685">
        <v>1</v>
      </c>
      <c r="N665" s="687">
        <v>0</v>
      </c>
      <c r="O665" s="682">
        <f t="shared" si="30"/>
        <v>0</v>
      </c>
      <c r="P665" s="683" t="str">
        <f t="shared" si="31"/>
        <v>0</v>
      </c>
      <c r="Q665" s="684" t="str">
        <f t="shared" si="32"/>
        <v>0</v>
      </c>
      <c r="R665" s="491"/>
    </row>
    <row r="666" spans="1:18" x14ac:dyDescent="0.2">
      <c r="A666" s="506" t="s">
        <v>276</v>
      </c>
      <c r="B666" s="502" t="s">
        <v>779</v>
      </c>
      <c r="C666" s="507" t="s">
        <v>285</v>
      </c>
      <c r="D666" s="503" t="s">
        <v>281</v>
      </c>
      <c r="E666" s="348"/>
      <c r="F666" s="504" t="s">
        <v>109</v>
      </c>
      <c r="G666" s="512" t="s">
        <v>810</v>
      </c>
      <c r="H666" s="511" t="s">
        <v>789</v>
      </c>
      <c r="I666" s="510" t="s">
        <v>790</v>
      </c>
      <c r="J666" s="509" t="s">
        <v>650</v>
      </c>
      <c r="K666" s="516">
        <v>25</v>
      </c>
      <c r="L666" s="520"/>
      <c r="M666" s="685">
        <v>12</v>
      </c>
      <c r="N666" s="687">
        <v>4</v>
      </c>
      <c r="O666" s="682">
        <f t="shared" si="30"/>
        <v>0.33333333333333331</v>
      </c>
      <c r="P666" s="683">
        <f t="shared" si="31"/>
        <v>133.33333333333331</v>
      </c>
      <c r="Q666" s="684">
        <f t="shared" si="32"/>
        <v>1.3333333333333333</v>
      </c>
      <c r="R666" s="490"/>
    </row>
    <row r="667" spans="1:18" x14ac:dyDescent="0.2">
      <c r="A667" s="506" t="s">
        <v>276</v>
      </c>
      <c r="B667" s="502" t="s">
        <v>779</v>
      </c>
      <c r="C667" s="507" t="s">
        <v>285</v>
      </c>
      <c r="D667" s="503" t="s">
        <v>286</v>
      </c>
      <c r="E667" s="348"/>
      <c r="F667" s="504" t="s">
        <v>109</v>
      </c>
      <c r="G667" s="512" t="s">
        <v>810</v>
      </c>
      <c r="H667" s="511" t="s">
        <v>789</v>
      </c>
      <c r="I667" s="510" t="s">
        <v>790</v>
      </c>
      <c r="J667" s="509" t="s">
        <v>650</v>
      </c>
      <c r="K667" s="516">
        <v>10</v>
      </c>
      <c r="L667" s="520"/>
      <c r="M667" s="685">
        <v>20</v>
      </c>
      <c r="N667" s="687">
        <v>0</v>
      </c>
      <c r="O667" s="682">
        <f t="shared" si="30"/>
        <v>0</v>
      </c>
      <c r="P667" s="683">
        <f t="shared" si="31"/>
        <v>0</v>
      </c>
      <c r="Q667" s="684">
        <f t="shared" si="32"/>
        <v>0</v>
      </c>
      <c r="R667" s="490"/>
    </row>
    <row r="668" spans="1:18" x14ac:dyDescent="0.2">
      <c r="A668" s="506" t="s">
        <v>276</v>
      </c>
      <c r="B668" s="502" t="s">
        <v>779</v>
      </c>
      <c r="C668" s="507" t="s">
        <v>291</v>
      </c>
      <c r="D668" s="503" t="s">
        <v>283</v>
      </c>
      <c r="E668" s="348"/>
      <c r="F668" s="504" t="s">
        <v>109</v>
      </c>
      <c r="G668" s="512" t="s">
        <v>810</v>
      </c>
      <c r="H668" s="511" t="s">
        <v>789</v>
      </c>
      <c r="I668" s="510" t="s">
        <v>790</v>
      </c>
      <c r="J668" s="509" t="s">
        <v>650</v>
      </c>
      <c r="K668" s="516">
        <v>0</v>
      </c>
      <c r="L668" s="520" t="s">
        <v>791</v>
      </c>
      <c r="M668" s="685">
        <v>0</v>
      </c>
      <c r="N668" s="687">
        <v>0</v>
      </c>
      <c r="O668" s="682">
        <f t="shared" si="30"/>
        <v>0</v>
      </c>
      <c r="P668" s="683" t="str">
        <f t="shared" si="31"/>
        <v>0</v>
      </c>
      <c r="Q668" s="684" t="str">
        <f t="shared" si="32"/>
        <v>0</v>
      </c>
      <c r="R668" s="491"/>
    </row>
    <row r="669" spans="1:18" x14ac:dyDescent="0.2">
      <c r="A669" s="506" t="s">
        <v>276</v>
      </c>
      <c r="B669" s="502" t="s">
        <v>779</v>
      </c>
      <c r="C669" s="507" t="s">
        <v>291</v>
      </c>
      <c r="D669" s="503" t="s">
        <v>284</v>
      </c>
      <c r="E669" s="348"/>
      <c r="F669" s="504" t="s">
        <v>109</v>
      </c>
      <c r="G669" s="512" t="s">
        <v>810</v>
      </c>
      <c r="H669" s="511" t="s">
        <v>789</v>
      </c>
      <c r="I669" s="510" t="s">
        <v>790</v>
      </c>
      <c r="J669" s="509" t="s">
        <v>650</v>
      </c>
      <c r="K669" s="516">
        <v>0</v>
      </c>
      <c r="L669" s="520" t="s">
        <v>791</v>
      </c>
      <c r="M669" s="685">
        <v>0</v>
      </c>
      <c r="N669" s="687">
        <v>0</v>
      </c>
      <c r="O669" s="682">
        <f t="shared" si="30"/>
        <v>0</v>
      </c>
      <c r="P669" s="683" t="str">
        <f t="shared" si="31"/>
        <v>0</v>
      </c>
      <c r="Q669" s="684" t="str">
        <f t="shared" si="32"/>
        <v>0</v>
      </c>
      <c r="R669" s="491"/>
    </row>
    <row r="670" spans="1:18" x14ac:dyDescent="0.2">
      <c r="A670" s="506" t="s">
        <v>276</v>
      </c>
      <c r="B670" s="502" t="s">
        <v>779</v>
      </c>
      <c r="C670" s="507" t="s">
        <v>290</v>
      </c>
      <c r="D670" s="503" t="s">
        <v>287</v>
      </c>
      <c r="E670" s="348"/>
      <c r="F670" s="504" t="s">
        <v>109</v>
      </c>
      <c r="G670" s="512" t="s">
        <v>810</v>
      </c>
      <c r="H670" s="511" t="s">
        <v>792</v>
      </c>
      <c r="I670" s="510" t="s">
        <v>790</v>
      </c>
      <c r="J670" s="509" t="s">
        <v>650</v>
      </c>
      <c r="K670" s="516">
        <v>38</v>
      </c>
      <c r="L670" s="520"/>
      <c r="M670" s="685">
        <v>65</v>
      </c>
      <c r="N670" s="687">
        <v>9</v>
      </c>
      <c r="O670" s="682">
        <f t="shared" si="30"/>
        <v>0.13846153846153847</v>
      </c>
      <c r="P670" s="683">
        <f t="shared" si="31"/>
        <v>36.43724696356275</v>
      </c>
      <c r="Q670" s="684">
        <f t="shared" si="32"/>
        <v>0.36437246963562753</v>
      </c>
      <c r="R670" s="490"/>
    </row>
    <row r="671" spans="1:18" x14ac:dyDescent="0.2">
      <c r="A671" s="506" t="s">
        <v>276</v>
      </c>
      <c r="B671" s="502" t="s">
        <v>779</v>
      </c>
      <c r="C671" s="507" t="s">
        <v>290</v>
      </c>
      <c r="D671" s="503" t="s">
        <v>283</v>
      </c>
      <c r="E671" s="348"/>
      <c r="F671" s="504" t="s">
        <v>109</v>
      </c>
      <c r="G671" s="512" t="s">
        <v>810</v>
      </c>
      <c r="H671" s="511" t="s">
        <v>789</v>
      </c>
      <c r="I671" s="510" t="s">
        <v>790</v>
      </c>
      <c r="J671" s="509" t="s">
        <v>650</v>
      </c>
      <c r="K671" s="516">
        <v>0</v>
      </c>
      <c r="L671" s="520" t="s">
        <v>791</v>
      </c>
      <c r="M671" s="685">
        <v>5</v>
      </c>
      <c r="N671" s="687">
        <v>0</v>
      </c>
      <c r="O671" s="682">
        <f t="shared" si="30"/>
        <v>0</v>
      </c>
      <c r="P671" s="683" t="str">
        <f t="shared" si="31"/>
        <v>0</v>
      </c>
      <c r="Q671" s="684" t="str">
        <f t="shared" si="32"/>
        <v>0</v>
      </c>
      <c r="R671" s="491"/>
    </row>
    <row r="672" spans="1:18" x14ac:dyDescent="0.2">
      <c r="A672" s="506" t="s">
        <v>276</v>
      </c>
      <c r="B672" s="502" t="s">
        <v>779</v>
      </c>
      <c r="C672" s="507" t="s">
        <v>290</v>
      </c>
      <c r="D672" s="503" t="s">
        <v>284</v>
      </c>
      <c r="E672" s="348"/>
      <c r="F672" s="504" t="s">
        <v>109</v>
      </c>
      <c r="G672" s="512" t="s">
        <v>810</v>
      </c>
      <c r="H672" s="511" t="s">
        <v>789</v>
      </c>
      <c r="I672" s="510" t="s">
        <v>790</v>
      </c>
      <c r="J672" s="509" t="s">
        <v>650</v>
      </c>
      <c r="K672" s="516">
        <v>0</v>
      </c>
      <c r="L672" s="520" t="s">
        <v>791</v>
      </c>
      <c r="M672" s="685">
        <v>0</v>
      </c>
      <c r="N672" s="687">
        <v>0</v>
      </c>
      <c r="O672" s="682">
        <f t="shared" si="30"/>
        <v>0</v>
      </c>
      <c r="P672" s="683" t="str">
        <f t="shared" si="31"/>
        <v>0</v>
      </c>
      <c r="Q672" s="684" t="str">
        <f t="shared" si="32"/>
        <v>0</v>
      </c>
      <c r="R672" s="491"/>
    </row>
    <row r="673" spans="1:18" x14ac:dyDescent="0.2">
      <c r="A673" s="506" t="s">
        <v>276</v>
      </c>
      <c r="B673" s="502" t="s">
        <v>779</v>
      </c>
      <c r="C673" s="507" t="s">
        <v>289</v>
      </c>
      <c r="D673" s="503" t="s">
        <v>287</v>
      </c>
      <c r="E673" s="348"/>
      <c r="F673" s="504" t="s">
        <v>109</v>
      </c>
      <c r="G673" s="512" t="s">
        <v>810</v>
      </c>
      <c r="H673" s="511" t="s">
        <v>792</v>
      </c>
      <c r="I673" s="510" t="s">
        <v>790</v>
      </c>
      <c r="J673" s="509" t="s">
        <v>650</v>
      </c>
      <c r="K673" s="516">
        <v>5</v>
      </c>
      <c r="L673" s="520"/>
      <c r="M673" s="685">
        <v>733</v>
      </c>
      <c r="N673" s="687">
        <v>90</v>
      </c>
      <c r="O673" s="682">
        <f t="shared" si="30"/>
        <v>0.12278308321964529</v>
      </c>
      <c r="P673" s="683">
        <f t="shared" si="31"/>
        <v>245.56616643929061</v>
      </c>
      <c r="Q673" s="684">
        <f t="shared" si="32"/>
        <v>2.4556616643929061</v>
      </c>
      <c r="R673" s="490"/>
    </row>
    <row r="674" spans="1:18" x14ac:dyDescent="0.2">
      <c r="A674" s="506" t="s">
        <v>276</v>
      </c>
      <c r="B674" s="502" t="s">
        <v>779</v>
      </c>
      <c r="C674" s="507" t="s">
        <v>289</v>
      </c>
      <c r="D674" s="503" t="s">
        <v>283</v>
      </c>
      <c r="E674" s="348"/>
      <c r="F674" s="504" t="s">
        <v>109</v>
      </c>
      <c r="G674" s="512" t="s">
        <v>810</v>
      </c>
      <c r="H674" s="511" t="s">
        <v>789</v>
      </c>
      <c r="I674" s="510" t="s">
        <v>790</v>
      </c>
      <c r="J674" s="509" t="s">
        <v>650</v>
      </c>
      <c r="K674" s="516">
        <v>32</v>
      </c>
      <c r="L674" s="520"/>
      <c r="M674" s="685">
        <v>134</v>
      </c>
      <c r="N674" s="687">
        <v>38</v>
      </c>
      <c r="O674" s="682">
        <f t="shared" si="30"/>
        <v>0.28358208955223879</v>
      </c>
      <c r="P674" s="683">
        <f t="shared" si="31"/>
        <v>88.619402985074629</v>
      </c>
      <c r="Q674" s="684">
        <f t="shared" si="32"/>
        <v>0.88619402985074625</v>
      </c>
      <c r="R674" s="490"/>
    </row>
    <row r="675" spans="1:18" x14ac:dyDescent="0.2">
      <c r="A675" s="506" t="s">
        <v>276</v>
      </c>
      <c r="B675" s="502" t="s">
        <v>779</v>
      </c>
      <c r="C675" s="507" t="s">
        <v>289</v>
      </c>
      <c r="D675" s="503" t="s">
        <v>284</v>
      </c>
      <c r="E675" s="348"/>
      <c r="F675" s="504" t="s">
        <v>109</v>
      </c>
      <c r="G675" s="512" t="s">
        <v>810</v>
      </c>
      <c r="H675" s="511" t="s">
        <v>789</v>
      </c>
      <c r="I675" s="510" t="s">
        <v>790</v>
      </c>
      <c r="J675" s="509" t="s">
        <v>650</v>
      </c>
      <c r="K675" s="516">
        <v>33</v>
      </c>
      <c r="L675" s="520"/>
      <c r="M675" s="685">
        <v>29</v>
      </c>
      <c r="N675" s="687">
        <v>13</v>
      </c>
      <c r="O675" s="682">
        <f t="shared" si="30"/>
        <v>0.44827586206896552</v>
      </c>
      <c r="P675" s="683">
        <f t="shared" si="31"/>
        <v>135.84117032392896</v>
      </c>
      <c r="Q675" s="684">
        <f t="shared" si="32"/>
        <v>1.3584117032392895</v>
      </c>
      <c r="R675" s="490"/>
    </row>
    <row r="676" spans="1:18" x14ac:dyDescent="0.2">
      <c r="A676" s="506" t="s">
        <v>276</v>
      </c>
      <c r="B676" s="502" t="s">
        <v>779</v>
      </c>
      <c r="C676" s="507" t="s">
        <v>289</v>
      </c>
      <c r="D676" s="503" t="s">
        <v>281</v>
      </c>
      <c r="E676" s="348"/>
      <c r="F676" s="504" t="s">
        <v>109</v>
      </c>
      <c r="G676" s="512" t="s">
        <v>810</v>
      </c>
      <c r="H676" s="511" t="s">
        <v>789</v>
      </c>
      <c r="I676" s="510" t="s">
        <v>790</v>
      </c>
      <c r="J676" s="509" t="s">
        <v>650</v>
      </c>
      <c r="K676" s="516">
        <v>0</v>
      </c>
      <c r="L676" s="520" t="s">
        <v>791</v>
      </c>
      <c r="M676" s="685">
        <v>2</v>
      </c>
      <c r="N676" s="687">
        <v>0</v>
      </c>
      <c r="O676" s="682">
        <f t="shared" si="30"/>
        <v>0</v>
      </c>
      <c r="P676" s="683" t="str">
        <f t="shared" si="31"/>
        <v>0</v>
      </c>
      <c r="Q676" s="684" t="str">
        <f t="shared" si="32"/>
        <v>0</v>
      </c>
      <c r="R676" s="491"/>
    </row>
    <row r="677" spans="1:18" x14ac:dyDescent="0.2">
      <c r="A677" s="506" t="s">
        <v>276</v>
      </c>
      <c r="B677" s="502" t="s">
        <v>779</v>
      </c>
      <c r="C677" s="507" t="s">
        <v>97</v>
      </c>
      <c r="D677" s="503" t="s">
        <v>279</v>
      </c>
      <c r="E677" s="348"/>
      <c r="F677" s="504" t="s">
        <v>109</v>
      </c>
      <c r="G677" s="512" t="s">
        <v>811</v>
      </c>
      <c r="H677" s="511" t="s">
        <v>789</v>
      </c>
      <c r="I677" s="510" t="s">
        <v>790</v>
      </c>
      <c r="J677" s="509" t="s">
        <v>650</v>
      </c>
      <c r="K677" s="516">
        <v>33</v>
      </c>
      <c r="L677" s="520"/>
      <c r="M677" s="685">
        <v>6</v>
      </c>
      <c r="N677" s="687">
        <v>4</v>
      </c>
      <c r="O677" s="682">
        <f t="shared" si="30"/>
        <v>0.66666666666666663</v>
      </c>
      <c r="P677" s="683">
        <f t="shared" si="31"/>
        <v>202.02020202020202</v>
      </c>
      <c r="Q677" s="684">
        <f t="shared" si="32"/>
        <v>2.0202020202020203</v>
      </c>
      <c r="R677" s="491"/>
    </row>
    <row r="678" spans="1:18" x14ac:dyDescent="0.2">
      <c r="A678" s="506" t="s">
        <v>276</v>
      </c>
      <c r="B678" s="502" t="s">
        <v>779</v>
      </c>
      <c r="C678" s="507" t="s">
        <v>97</v>
      </c>
      <c r="D678" s="503" t="s">
        <v>281</v>
      </c>
      <c r="E678" s="348"/>
      <c r="F678" s="504" t="s">
        <v>109</v>
      </c>
      <c r="G678" s="512" t="s">
        <v>811</v>
      </c>
      <c r="H678" s="511" t="s">
        <v>789</v>
      </c>
      <c r="I678" s="510" t="s">
        <v>790</v>
      </c>
      <c r="J678" s="509" t="s">
        <v>650</v>
      </c>
      <c r="K678" s="516">
        <v>33</v>
      </c>
      <c r="L678" s="520" t="s">
        <v>791</v>
      </c>
      <c r="M678" s="685">
        <v>9</v>
      </c>
      <c r="N678" s="687">
        <v>7</v>
      </c>
      <c r="O678" s="682">
        <f t="shared" si="30"/>
        <v>0.77777777777777779</v>
      </c>
      <c r="P678" s="683">
        <f t="shared" si="31"/>
        <v>235.69023569023568</v>
      </c>
      <c r="Q678" s="684">
        <f t="shared" si="32"/>
        <v>2.3569023569023568</v>
      </c>
      <c r="R678" s="491"/>
    </row>
    <row r="679" spans="1:18" x14ac:dyDescent="0.2">
      <c r="A679" s="506" t="s">
        <v>276</v>
      </c>
      <c r="B679" s="502" t="s">
        <v>779</v>
      </c>
      <c r="C679" s="507" t="s">
        <v>282</v>
      </c>
      <c r="D679" s="503" t="s">
        <v>287</v>
      </c>
      <c r="E679" s="348"/>
      <c r="F679" s="504" t="s">
        <v>109</v>
      </c>
      <c r="G679" s="512" t="s">
        <v>811</v>
      </c>
      <c r="H679" s="511" t="s">
        <v>792</v>
      </c>
      <c r="I679" s="510" t="s">
        <v>790</v>
      </c>
      <c r="J679" s="509" t="s">
        <v>650</v>
      </c>
      <c r="K679" s="516">
        <v>5</v>
      </c>
      <c r="L679" s="520" t="s">
        <v>791</v>
      </c>
      <c r="M679" s="685">
        <v>68</v>
      </c>
      <c r="N679" s="687">
        <v>10</v>
      </c>
      <c r="O679" s="682">
        <f t="shared" si="30"/>
        <v>0.14705882352941177</v>
      </c>
      <c r="P679" s="683">
        <f t="shared" si="31"/>
        <v>294.11764705882348</v>
      </c>
      <c r="Q679" s="684">
        <f t="shared" si="32"/>
        <v>2.9411764705882351</v>
      </c>
      <c r="R679" s="491"/>
    </row>
    <row r="680" spans="1:18" x14ac:dyDescent="0.2">
      <c r="A680" s="506" t="s">
        <v>276</v>
      </c>
      <c r="B680" s="502" t="s">
        <v>779</v>
      </c>
      <c r="C680" s="507" t="s">
        <v>282</v>
      </c>
      <c r="D680" s="503" t="s">
        <v>283</v>
      </c>
      <c r="E680" s="348"/>
      <c r="F680" s="504" t="s">
        <v>109</v>
      </c>
      <c r="G680" s="512" t="s">
        <v>811</v>
      </c>
      <c r="H680" s="511" t="s">
        <v>789</v>
      </c>
      <c r="I680" s="510" t="s">
        <v>790</v>
      </c>
      <c r="J680" s="509" t="s">
        <v>650</v>
      </c>
      <c r="K680" s="516">
        <v>26</v>
      </c>
      <c r="L680" s="520"/>
      <c r="M680" s="685">
        <v>19</v>
      </c>
      <c r="N680" s="687">
        <v>2</v>
      </c>
      <c r="O680" s="682">
        <f t="shared" si="30"/>
        <v>0.10526315789473684</v>
      </c>
      <c r="P680" s="683">
        <f t="shared" si="31"/>
        <v>40.48582995951417</v>
      </c>
      <c r="Q680" s="684">
        <f t="shared" si="32"/>
        <v>0.40485829959514169</v>
      </c>
      <c r="R680" s="490"/>
    </row>
    <row r="681" spans="1:18" x14ac:dyDescent="0.2">
      <c r="A681" s="506" t="s">
        <v>276</v>
      </c>
      <c r="B681" s="502" t="s">
        <v>779</v>
      </c>
      <c r="C681" s="507" t="s">
        <v>282</v>
      </c>
      <c r="D681" s="503" t="s">
        <v>284</v>
      </c>
      <c r="E681" s="348"/>
      <c r="F681" s="504" t="s">
        <v>109</v>
      </c>
      <c r="G681" s="512" t="s">
        <v>811</v>
      </c>
      <c r="H681" s="511" t="s">
        <v>789</v>
      </c>
      <c r="I681" s="510" t="s">
        <v>790</v>
      </c>
      <c r="J681" s="509" t="s">
        <v>650</v>
      </c>
      <c r="K681" s="516">
        <v>16</v>
      </c>
      <c r="L681" s="520"/>
      <c r="M681" s="685">
        <v>43</v>
      </c>
      <c r="N681" s="687">
        <v>7</v>
      </c>
      <c r="O681" s="682">
        <f t="shared" si="30"/>
        <v>0.16279069767441862</v>
      </c>
      <c r="P681" s="683">
        <f t="shared" si="31"/>
        <v>101.74418604651163</v>
      </c>
      <c r="Q681" s="684">
        <f t="shared" si="32"/>
        <v>1.0174418604651163</v>
      </c>
      <c r="R681" s="490"/>
    </row>
    <row r="682" spans="1:18" x14ac:dyDescent="0.2">
      <c r="A682" s="506" t="s">
        <v>276</v>
      </c>
      <c r="B682" s="502" t="s">
        <v>779</v>
      </c>
      <c r="C682" s="507" t="s">
        <v>282</v>
      </c>
      <c r="D682" s="503" t="s">
        <v>279</v>
      </c>
      <c r="E682" s="348"/>
      <c r="F682" s="504" t="s">
        <v>109</v>
      </c>
      <c r="G682" s="512" t="s">
        <v>811</v>
      </c>
      <c r="H682" s="511" t="s">
        <v>789</v>
      </c>
      <c r="I682" s="510" t="s">
        <v>790</v>
      </c>
      <c r="J682" s="509" t="s">
        <v>650</v>
      </c>
      <c r="K682" s="516">
        <v>6</v>
      </c>
      <c r="L682" s="520"/>
      <c r="M682" s="685">
        <v>65</v>
      </c>
      <c r="N682" s="687">
        <v>7</v>
      </c>
      <c r="O682" s="682">
        <f t="shared" si="30"/>
        <v>0.1076923076923077</v>
      </c>
      <c r="P682" s="683">
        <f t="shared" si="31"/>
        <v>179.4871794871795</v>
      </c>
      <c r="Q682" s="684">
        <f t="shared" si="32"/>
        <v>1.7948717948717949</v>
      </c>
      <c r="R682" s="490"/>
    </row>
    <row r="683" spans="1:18" x14ac:dyDescent="0.2">
      <c r="A683" s="506" t="s">
        <v>276</v>
      </c>
      <c r="B683" s="502" t="s">
        <v>779</v>
      </c>
      <c r="C683" s="507" t="s">
        <v>282</v>
      </c>
      <c r="D683" s="503" t="s">
        <v>281</v>
      </c>
      <c r="E683" s="348"/>
      <c r="F683" s="504" t="s">
        <v>109</v>
      </c>
      <c r="G683" s="512" t="s">
        <v>811</v>
      </c>
      <c r="H683" s="511" t="s">
        <v>789</v>
      </c>
      <c r="I683" s="510" t="s">
        <v>790</v>
      </c>
      <c r="J683" s="509" t="s">
        <v>650</v>
      </c>
      <c r="K683" s="516">
        <v>8</v>
      </c>
      <c r="L683" s="520"/>
      <c r="M683" s="685">
        <v>48</v>
      </c>
      <c r="N683" s="687">
        <v>12</v>
      </c>
      <c r="O683" s="682">
        <f t="shared" si="30"/>
        <v>0.25</v>
      </c>
      <c r="P683" s="683">
        <f t="shared" si="31"/>
        <v>312.5</v>
      </c>
      <c r="Q683" s="684">
        <f t="shared" si="32"/>
        <v>3.125</v>
      </c>
      <c r="R683" s="490"/>
    </row>
    <row r="684" spans="1:18" x14ac:dyDescent="0.2">
      <c r="A684" s="506" t="s">
        <v>276</v>
      </c>
      <c r="B684" s="502" t="s">
        <v>779</v>
      </c>
      <c r="C684" s="507" t="s">
        <v>288</v>
      </c>
      <c r="D684" s="503" t="s">
        <v>287</v>
      </c>
      <c r="E684" s="348"/>
      <c r="F684" s="504" t="s">
        <v>109</v>
      </c>
      <c r="G684" s="512" t="s">
        <v>811</v>
      </c>
      <c r="H684" s="511" t="s">
        <v>792</v>
      </c>
      <c r="I684" s="510" t="s">
        <v>790</v>
      </c>
      <c r="J684" s="509" t="s">
        <v>650</v>
      </c>
      <c r="K684" s="516">
        <v>28.999999999999996</v>
      </c>
      <c r="L684" s="520"/>
      <c r="M684" s="685">
        <v>299</v>
      </c>
      <c r="N684" s="687">
        <v>36</v>
      </c>
      <c r="O684" s="682">
        <f t="shared" si="30"/>
        <v>0.12040133779264214</v>
      </c>
      <c r="P684" s="683">
        <f t="shared" si="31"/>
        <v>41.517702687117982</v>
      </c>
      <c r="Q684" s="684">
        <f t="shared" si="32"/>
        <v>0.4151770268711798</v>
      </c>
      <c r="R684" s="490"/>
    </row>
    <row r="685" spans="1:18" x14ac:dyDescent="0.2">
      <c r="A685" s="506" t="s">
        <v>276</v>
      </c>
      <c r="B685" s="502" t="s">
        <v>779</v>
      </c>
      <c r="C685" s="507" t="s">
        <v>288</v>
      </c>
      <c r="D685" s="503" t="s">
        <v>283</v>
      </c>
      <c r="E685" s="348"/>
      <c r="F685" s="504" t="s">
        <v>109</v>
      </c>
      <c r="G685" s="512" t="s">
        <v>811</v>
      </c>
      <c r="H685" s="511" t="s">
        <v>789</v>
      </c>
      <c r="I685" s="510" t="s">
        <v>790</v>
      </c>
      <c r="J685" s="509" t="s">
        <v>650</v>
      </c>
      <c r="K685" s="516">
        <v>8</v>
      </c>
      <c r="L685" s="520"/>
      <c r="M685" s="685">
        <v>64</v>
      </c>
      <c r="N685" s="687">
        <v>6</v>
      </c>
      <c r="O685" s="682">
        <f t="shared" si="30"/>
        <v>9.375E-2</v>
      </c>
      <c r="P685" s="683">
        <f t="shared" si="31"/>
        <v>117.1875</v>
      </c>
      <c r="Q685" s="684">
        <f t="shared" si="32"/>
        <v>1.171875</v>
      </c>
      <c r="R685" s="490"/>
    </row>
    <row r="686" spans="1:18" x14ac:dyDescent="0.2">
      <c r="A686" s="506" t="s">
        <v>276</v>
      </c>
      <c r="B686" s="502" t="s">
        <v>779</v>
      </c>
      <c r="C686" s="507" t="s">
        <v>288</v>
      </c>
      <c r="D686" s="503" t="s">
        <v>284</v>
      </c>
      <c r="E686" s="348"/>
      <c r="F686" s="504" t="s">
        <v>109</v>
      </c>
      <c r="G686" s="512" t="s">
        <v>811</v>
      </c>
      <c r="H686" s="511" t="s">
        <v>789</v>
      </c>
      <c r="I686" s="510" t="s">
        <v>790</v>
      </c>
      <c r="J686" s="509" t="s">
        <v>650</v>
      </c>
      <c r="K686" s="516">
        <v>8</v>
      </c>
      <c r="L686" s="520" t="s">
        <v>791</v>
      </c>
      <c r="M686" s="685">
        <v>10</v>
      </c>
      <c r="N686" s="687">
        <v>0</v>
      </c>
      <c r="O686" s="682">
        <f t="shared" si="30"/>
        <v>0</v>
      </c>
      <c r="P686" s="683">
        <f t="shared" si="31"/>
        <v>0</v>
      </c>
      <c r="Q686" s="684">
        <f t="shared" si="32"/>
        <v>0</v>
      </c>
      <c r="R686" s="491"/>
    </row>
    <row r="687" spans="1:18" x14ac:dyDescent="0.2">
      <c r="A687" s="506" t="s">
        <v>276</v>
      </c>
      <c r="B687" s="502" t="s">
        <v>779</v>
      </c>
      <c r="C687" s="507" t="s">
        <v>288</v>
      </c>
      <c r="D687" s="503" t="s">
        <v>279</v>
      </c>
      <c r="E687" s="348"/>
      <c r="F687" s="504" t="s">
        <v>109</v>
      </c>
      <c r="G687" s="512" t="s">
        <v>811</v>
      </c>
      <c r="H687" s="511" t="s">
        <v>789</v>
      </c>
      <c r="I687" s="510" t="s">
        <v>790</v>
      </c>
      <c r="J687" s="509" t="s">
        <v>650</v>
      </c>
      <c r="K687" s="516">
        <v>0</v>
      </c>
      <c r="L687" s="520" t="s">
        <v>791</v>
      </c>
      <c r="M687" s="685">
        <v>2</v>
      </c>
      <c r="N687" s="687">
        <v>1</v>
      </c>
      <c r="O687" s="682">
        <f t="shared" si="30"/>
        <v>0.5</v>
      </c>
      <c r="P687" s="683" t="str">
        <f t="shared" si="31"/>
        <v>0</v>
      </c>
      <c r="Q687" s="684" t="str">
        <f t="shared" si="32"/>
        <v>0</v>
      </c>
      <c r="R687" s="491"/>
    </row>
    <row r="688" spans="1:18" x14ac:dyDescent="0.2">
      <c r="A688" s="506" t="s">
        <v>276</v>
      </c>
      <c r="B688" s="502" t="s">
        <v>779</v>
      </c>
      <c r="C688" s="507" t="s">
        <v>288</v>
      </c>
      <c r="D688" s="503" t="s">
        <v>281</v>
      </c>
      <c r="E688" s="348"/>
      <c r="F688" s="504" t="s">
        <v>109</v>
      </c>
      <c r="G688" s="512" t="s">
        <v>811</v>
      </c>
      <c r="H688" s="511" t="s">
        <v>789</v>
      </c>
      <c r="I688" s="510" t="s">
        <v>790</v>
      </c>
      <c r="J688" s="509" t="s">
        <v>650</v>
      </c>
      <c r="K688" s="516">
        <v>8</v>
      </c>
      <c r="L688" s="520" t="s">
        <v>791</v>
      </c>
      <c r="M688" s="685">
        <v>17</v>
      </c>
      <c r="N688" s="687">
        <v>3</v>
      </c>
      <c r="O688" s="682">
        <f t="shared" si="30"/>
        <v>0.17647058823529413</v>
      </c>
      <c r="P688" s="683">
        <f t="shared" si="31"/>
        <v>220.58823529411762</v>
      </c>
      <c r="Q688" s="684">
        <f t="shared" si="32"/>
        <v>2.2058823529411762</v>
      </c>
      <c r="R688" s="491"/>
    </row>
    <row r="689" spans="1:18" x14ac:dyDescent="0.2">
      <c r="A689" s="506" t="s">
        <v>276</v>
      </c>
      <c r="B689" s="502" t="s">
        <v>779</v>
      </c>
      <c r="C689" s="507" t="s">
        <v>99</v>
      </c>
      <c r="D689" s="503" t="s">
        <v>287</v>
      </c>
      <c r="E689" s="348"/>
      <c r="F689" s="504" t="s">
        <v>109</v>
      </c>
      <c r="G689" s="512" t="s">
        <v>811</v>
      </c>
      <c r="H689" s="511" t="s">
        <v>792</v>
      </c>
      <c r="I689" s="510" t="s">
        <v>790</v>
      </c>
      <c r="J689" s="509" t="s">
        <v>650</v>
      </c>
      <c r="K689" s="516">
        <v>17</v>
      </c>
      <c r="L689" s="520"/>
      <c r="M689" s="685">
        <v>326</v>
      </c>
      <c r="N689" s="687">
        <v>49</v>
      </c>
      <c r="O689" s="682">
        <f t="shared" si="30"/>
        <v>0.15030674846625766</v>
      </c>
      <c r="P689" s="683">
        <f t="shared" si="31"/>
        <v>88.415734391916274</v>
      </c>
      <c r="Q689" s="684">
        <f t="shared" si="32"/>
        <v>0.88415734391916267</v>
      </c>
      <c r="R689" s="490"/>
    </row>
    <row r="690" spans="1:18" x14ac:dyDescent="0.2">
      <c r="A690" s="506" t="s">
        <v>276</v>
      </c>
      <c r="B690" s="502" t="s">
        <v>779</v>
      </c>
      <c r="C690" s="507" t="s">
        <v>99</v>
      </c>
      <c r="D690" s="503" t="s">
        <v>283</v>
      </c>
      <c r="E690" s="348"/>
      <c r="F690" s="504" t="s">
        <v>109</v>
      </c>
      <c r="G690" s="512" t="s">
        <v>811</v>
      </c>
      <c r="H690" s="511" t="s">
        <v>789</v>
      </c>
      <c r="I690" s="510" t="s">
        <v>790</v>
      </c>
      <c r="J690" s="509" t="s">
        <v>650</v>
      </c>
      <c r="K690" s="516">
        <v>36</v>
      </c>
      <c r="L690" s="520"/>
      <c r="M690" s="685">
        <v>17</v>
      </c>
      <c r="N690" s="687">
        <v>4</v>
      </c>
      <c r="O690" s="682">
        <f t="shared" si="30"/>
        <v>0.23529411764705882</v>
      </c>
      <c r="P690" s="683">
        <f t="shared" si="31"/>
        <v>65.359477124183002</v>
      </c>
      <c r="Q690" s="684">
        <f t="shared" si="32"/>
        <v>0.65359477124183007</v>
      </c>
      <c r="R690" s="490"/>
    </row>
    <row r="691" spans="1:18" x14ac:dyDescent="0.2">
      <c r="A691" s="506" t="s">
        <v>276</v>
      </c>
      <c r="B691" s="502" t="s">
        <v>779</v>
      </c>
      <c r="C691" s="507" t="s">
        <v>99</v>
      </c>
      <c r="D691" s="503" t="s">
        <v>284</v>
      </c>
      <c r="E691" s="348"/>
      <c r="F691" s="504" t="s">
        <v>109</v>
      </c>
      <c r="G691" s="512" t="s">
        <v>811</v>
      </c>
      <c r="H691" s="511" t="s">
        <v>789</v>
      </c>
      <c r="I691" s="510" t="s">
        <v>790</v>
      </c>
      <c r="J691" s="509" t="s">
        <v>650</v>
      </c>
      <c r="K691" s="516">
        <v>80</v>
      </c>
      <c r="L691" s="520"/>
      <c r="M691" s="685">
        <v>8</v>
      </c>
      <c r="N691" s="687">
        <v>2</v>
      </c>
      <c r="O691" s="682">
        <f t="shared" si="30"/>
        <v>0.25</v>
      </c>
      <c r="P691" s="683">
        <f t="shared" si="31"/>
        <v>31.25</v>
      </c>
      <c r="Q691" s="684">
        <f t="shared" si="32"/>
        <v>0.3125</v>
      </c>
      <c r="R691" s="490"/>
    </row>
    <row r="692" spans="1:18" x14ac:dyDescent="0.2">
      <c r="A692" s="506" t="s">
        <v>276</v>
      </c>
      <c r="B692" s="502" t="s">
        <v>779</v>
      </c>
      <c r="C692" s="507" t="s">
        <v>99</v>
      </c>
      <c r="D692" s="503" t="s">
        <v>279</v>
      </c>
      <c r="E692" s="348"/>
      <c r="F692" s="504" t="s">
        <v>109</v>
      </c>
      <c r="G692" s="512" t="s">
        <v>811</v>
      </c>
      <c r="H692" s="511" t="s">
        <v>789</v>
      </c>
      <c r="I692" s="510" t="s">
        <v>790</v>
      </c>
      <c r="J692" s="509" t="s">
        <v>650</v>
      </c>
      <c r="K692" s="516">
        <v>17</v>
      </c>
      <c r="L692" s="520" t="s">
        <v>791</v>
      </c>
      <c r="M692" s="685">
        <v>5</v>
      </c>
      <c r="N692" s="687">
        <v>2</v>
      </c>
      <c r="O692" s="682">
        <f t="shared" si="30"/>
        <v>0.4</v>
      </c>
      <c r="P692" s="683">
        <f t="shared" si="31"/>
        <v>235.29411764705878</v>
      </c>
      <c r="Q692" s="684">
        <f t="shared" si="32"/>
        <v>2.3529411764705879</v>
      </c>
      <c r="R692" s="491"/>
    </row>
    <row r="693" spans="1:18" x14ac:dyDescent="0.2">
      <c r="A693" s="506" t="s">
        <v>276</v>
      </c>
      <c r="B693" s="502" t="s">
        <v>779</v>
      </c>
      <c r="C693" s="507" t="s">
        <v>99</v>
      </c>
      <c r="D693" s="503" t="s">
        <v>281</v>
      </c>
      <c r="E693" s="348"/>
      <c r="F693" s="504" t="s">
        <v>109</v>
      </c>
      <c r="G693" s="512" t="s">
        <v>811</v>
      </c>
      <c r="H693" s="511" t="s">
        <v>789</v>
      </c>
      <c r="I693" s="510" t="s">
        <v>790</v>
      </c>
      <c r="J693" s="509" t="s">
        <v>650</v>
      </c>
      <c r="K693" s="516">
        <v>0</v>
      </c>
      <c r="L693" s="520" t="s">
        <v>791</v>
      </c>
      <c r="M693" s="685">
        <v>1</v>
      </c>
      <c r="N693" s="687">
        <v>0</v>
      </c>
      <c r="O693" s="682">
        <f t="shared" si="30"/>
        <v>0</v>
      </c>
      <c r="P693" s="683" t="str">
        <f t="shared" si="31"/>
        <v>0</v>
      </c>
      <c r="Q693" s="684" t="str">
        <f t="shared" si="32"/>
        <v>0</v>
      </c>
      <c r="R693" s="491"/>
    </row>
    <row r="694" spans="1:18" x14ac:dyDescent="0.2">
      <c r="A694" s="506" t="s">
        <v>276</v>
      </c>
      <c r="B694" s="502" t="s">
        <v>779</v>
      </c>
      <c r="C694" s="507" t="s">
        <v>285</v>
      </c>
      <c r="D694" s="503" t="s">
        <v>287</v>
      </c>
      <c r="E694" s="348"/>
      <c r="F694" s="504" t="s">
        <v>109</v>
      </c>
      <c r="G694" s="512" t="s">
        <v>811</v>
      </c>
      <c r="H694" s="511" t="s">
        <v>792</v>
      </c>
      <c r="I694" s="510" t="s">
        <v>790</v>
      </c>
      <c r="J694" s="509" t="s">
        <v>650</v>
      </c>
      <c r="K694" s="516">
        <v>13</v>
      </c>
      <c r="L694" s="520"/>
      <c r="M694" s="685">
        <v>0</v>
      </c>
      <c r="N694" s="687">
        <v>0</v>
      </c>
      <c r="O694" s="682">
        <f t="shared" si="30"/>
        <v>0</v>
      </c>
      <c r="P694" s="683" t="str">
        <f t="shared" si="31"/>
        <v>0</v>
      </c>
      <c r="Q694" s="684" t="str">
        <f t="shared" si="32"/>
        <v>0</v>
      </c>
      <c r="R694" s="491"/>
    </row>
    <row r="695" spans="1:18" x14ac:dyDescent="0.2">
      <c r="A695" s="506" t="s">
        <v>276</v>
      </c>
      <c r="B695" s="502" t="s">
        <v>779</v>
      </c>
      <c r="C695" s="507" t="s">
        <v>285</v>
      </c>
      <c r="D695" s="503" t="s">
        <v>283</v>
      </c>
      <c r="E695" s="348"/>
      <c r="F695" s="504" t="s">
        <v>109</v>
      </c>
      <c r="G695" s="512" t="s">
        <v>811</v>
      </c>
      <c r="H695" s="511" t="s">
        <v>789</v>
      </c>
      <c r="I695" s="510" t="s">
        <v>790</v>
      </c>
      <c r="J695" s="509" t="s">
        <v>650</v>
      </c>
      <c r="K695" s="516">
        <v>50</v>
      </c>
      <c r="L695" s="520" t="s">
        <v>791</v>
      </c>
      <c r="M695" s="685">
        <v>5</v>
      </c>
      <c r="N695" s="687">
        <v>1</v>
      </c>
      <c r="O695" s="682">
        <f t="shared" si="30"/>
        <v>0.2</v>
      </c>
      <c r="P695" s="683">
        <f t="shared" si="31"/>
        <v>40</v>
      </c>
      <c r="Q695" s="684">
        <f t="shared" si="32"/>
        <v>0.4</v>
      </c>
      <c r="R695" s="491"/>
    </row>
    <row r="696" spans="1:18" x14ac:dyDescent="0.2">
      <c r="A696" s="506" t="s">
        <v>276</v>
      </c>
      <c r="B696" s="502" t="s">
        <v>779</v>
      </c>
      <c r="C696" s="507" t="s">
        <v>285</v>
      </c>
      <c r="D696" s="503" t="s">
        <v>284</v>
      </c>
      <c r="E696" s="348"/>
      <c r="F696" s="504" t="s">
        <v>109</v>
      </c>
      <c r="G696" s="512" t="s">
        <v>811</v>
      </c>
      <c r="H696" s="511" t="s">
        <v>789</v>
      </c>
      <c r="I696" s="510" t="s">
        <v>790</v>
      </c>
      <c r="J696" s="509" t="s">
        <v>650</v>
      </c>
      <c r="K696" s="516">
        <v>0</v>
      </c>
      <c r="L696" s="520" t="s">
        <v>791</v>
      </c>
      <c r="M696" s="685">
        <v>4</v>
      </c>
      <c r="N696" s="687">
        <v>0</v>
      </c>
      <c r="O696" s="682">
        <f t="shared" si="30"/>
        <v>0</v>
      </c>
      <c r="P696" s="683" t="str">
        <f t="shared" si="31"/>
        <v>0</v>
      </c>
      <c r="Q696" s="684" t="str">
        <f t="shared" si="32"/>
        <v>0</v>
      </c>
      <c r="R696" s="491"/>
    </row>
    <row r="697" spans="1:18" x14ac:dyDescent="0.2">
      <c r="A697" s="506" t="s">
        <v>276</v>
      </c>
      <c r="B697" s="502" t="s">
        <v>779</v>
      </c>
      <c r="C697" s="507" t="s">
        <v>285</v>
      </c>
      <c r="D697" s="503" t="s">
        <v>279</v>
      </c>
      <c r="E697" s="348"/>
      <c r="F697" s="504" t="s">
        <v>109</v>
      </c>
      <c r="G697" s="512" t="s">
        <v>811</v>
      </c>
      <c r="H697" s="511" t="s">
        <v>789</v>
      </c>
      <c r="I697" s="510" t="s">
        <v>790</v>
      </c>
      <c r="J697" s="509" t="s">
        <v>650</v>
      </c>
      <c r="K697" s="516">
        <v>0</v>
      </c>
      <c r="L697" s="520" t="s">
        <v>791</v>
      </c>
      <c r="M697" s="685">
        <v>1</v>
      </c>
      <c r="N697" s="687">
        <v>0</v>
      </c>
      <c r="O697" s="682">
        <f t="shared" si="30"/>
        <v>0</v>
      </c>
      <c r="P697" s="683" t="str">
        <f t="shared" si="31"/>
        <v>0</v>
      </c>
      <c r="Q697" s="684" t="str">
        <f t="shared" si="32"/>
        <v>0</v>
      </c>
      <c r="R697" s="491"/>
    </row>
    <row r="698" spans="1:18" x14ac:dyDescent="0.2">
      <c r="A698" s="506" t="s">
        <v>276</v>
      </c>
      <c r="B698" s="502" t="s">
        <v>779</v>
      </c>
      <c r="C698" s="507" t="s">
        <v>285</v>
      </c>
      <c r="D698" s="503" t="s">
        <v>281</v>
      </c>
      <c r="E698" s="348"/>
      <c r="F698" s="504" t="s">
        <v>109</v>
      </c>
      <c r="G698" s="512" t="s">
        <v>811</v>
      </c>
      <c r="H698" s="511" t="s">
        <v>789</v>
      </c>
      <c r="I698" s="510" t="s">
        <v>790</v>
      </c>
      <c r="J698" s="509" t="s">
        <v>650</v>
      </c>
      <c r="K698" s="516">
        <v>25</v>
      </c>
      <c r="L698" s="520"/>
      <c r="M698" s="685">
        <v>12</v>
      </c>
      <c r="N698" s="687">
        <v>4</v>
      </c>
      <c r="O698" s="682">
        <f t="shared" si="30"/>
        <v>0.33333333333333331</v>
      </c>
      <c r="P698" s="683">
        <f t="shared" si="31"/>
        <v>133.33333333333331</v>
      </c>
      <c r="Q698" s="684">
        <f t="shared" si="32"/>
        <v>1.3333333333333333</v>
      </c>
      <c r="R698" s="490"/>
    </row>
    <row r="699" spans="1:18" x14ac:dyDescent="0.2">
      <c r="A699" s="506" t="s">
        <v>276</v>
      </c>
      <c r="B699" s="502" t="s">
        <v>779</v>
      </c>
      <c r="C699" s="507" t="s">
        <v>285</v>
      </c>
      <c r="D699" s="503" t="s">
        <v>286</v>
      </c>
      <c r="E699" s="348"/>
      <c r="F699" s="504" t="s">
        <v>109</v>
      </c>
      <c r="G699" s="512" t="s">
        <v>811</v>
      </c>
      <c r="H699" s="511" t="s">
        <v>789</v>
      </c>
      <c r="I699" s="510" t="s">
        <v>790</v>
      </c>
      <c r="J699" s="509" t="s">
        <v>650</v>
      </c>
      <c r="K699" s="516">
        <v>10</v>
      </c>
      <c r="L699" s="520"/>
      <c r="M699" s="685">
        <v>20</v>
      </c>
      <c r="N699" s="687">
        <v>0</v>
      </c>
      <c r="O699" s="682">
        <f t="shared" si="30"/>
        <v>0</v>
      </c>
      <c r="P699" s="683">
        <f t="shared" si="31"/>
        <v>0</v>
      </c>
      <c r="Q699" s="684">
        <f t="shared" si="32"/>
        <v>0</v>
      </c>
      <c r="R699" s="490"/>
    </row>
    <row r="700" spans="1:18" x14ac:dyDescent="0.2">
      <c r="A700" s="506" t="s">
        <v>276</v>
      </c>
      <c r="B700" s="502" t="s">
        <v>779</v>
      </c>
      <c r="C700" s="507" t="s">
        <v>291</v>
      </c>
      <c r="D700" s="503" t="s">
        <v>283</v>
      </c>
      <c r="E700" s="348"/>
      <c r="F700" s="504" t="s">
        <v>109</v>
      </c>
      <c r="G700" s="512" t="s">
        <v>811</v>
      </c>
      <c r="H700" s="511" t="s">
        <v>789</v>
      </c>
      <c r="I700" s="510" t="s">
        <v>790</v>
      </c>
      <c r="J700" s="509" t="s">
        <v>650</v>
      </c>
      <c r="K700" s="516">
        <v>0</v>
      </c>
      <c r="L700" s="520" t="s">
        <v>791</v>
      </c>
      <c r="M700" s="685">
        <v>0</v>
      </c>
      <c r="N700" s="687">
        <v>0</v>
      </c>
      <c r="O700" s="682">
        <f t="shared" si="30"/>
        <v>0</v>
      </c>
      <c r="P700" s="683" t="str">
        <f t="shared" si="31"/>
        <v>0</v>
      </c>
      <c r="Q700" s="684" t="str">
        <f t="shared" si="32"/>
        <v>0</v>
      </c>
      <c r="R700" s="491"/>
    </row>
    <row r="701" spans="1:18" x14ac:dyDescent="0.2">
      <c r="A701" s="506" t="s">
        <v>276</v>
      </c>
      <c r="B701" s="502" t="s">
        <v>779</v>
      </c>
      <c r="C701" s="507" t="s">
        <v>291</v>
      </c>
      <c r="D701" s="503" t="s">
        <v>284</v>
      </c>
      <c r="E701" s="348"/>
      <c r="F701" s="504" t="s">
        <v>109</v>
      </c>
      <c r="G701" s="512" t="s">
        <v>811</v>
      </c>
      <c r="H701" s="511" t="s">
        <v>789</v>
      </c>
      <c r="I701" s="510" t="s">
        <v>790</v>
      </c>
      <c r="J701" s="509" t="s">
        <v>650</v>
      </c>
      <c r="K701" s="516">
        <v>0</v>
      </c>
      <c r="L701" s="520" t="s">
        <v>791</v>
      </c>
      <c r="M701" s="685">
        <v>0</v>
      </c>
      <c r="N701" s="687">
        <v>0</v>
      </c>
      <c r="O701" s="682">
        <f t="shared" si="30"/>
        <v>0</v>
      </c>
      <c r="P701" s="683" t="str">
        <f t="shared" si="31"/>
        <v>0</v>
      </c>
      <c r="Q701" s="684" t="str">
        <f t="shared" si="32"/>
        <v>0</v>
      </c>
      <c r="R701" s="491"/>
    </row>
    <row r="702" spans="1:18" x14ac:dyDescent="0.2">
      <c r="A702" s="506" t="s">
        <v>276</v>
      </c>
      <c r="B702" s="502" t="s">
        <v>779</v>
      </c>
      <c r="C702" s="507" t="s">
        <v>290</v>
      </c>
      <c r="D702" s="503" t="s">
        <v>287</v>
      </c>
      <c r="E702" s="348"/>
      <c r="F702" s="504" t="s">
        <v>109</v>
      </c>
      <c r="G702" s="512" t="s">
        <v>811</v>
      </c>
      <c r="H702" s="511" t="s">
        <v>792</v>
      </c>
      <c r="I702" s="510" t="s">
        <v>790</v>
      </c>
      <c r="J702" s="509" t="s">
        <v>650</v>
      </c>
      <c r="K702" s="516">
        <v>38</v>
      </c>
      <c r="L702" s="520"/>
      <c r="M702" s="685">
        <v>65</v>
      </c>
      <c r="N702" s="687">
        <v>9</v>
      </c>
      <c r="O702" s="682">
        <f t="shared" si="30"/>
        <v>0.13846153846153847</v>
      </c>
      <c r="P702" s="683">
        <f t="shared" si="31"/>
        <v>36.43724696356275</v>
      </c>
      <c r="Q702" s="684">
        <f t="shared" si="32"/>
        <v>0.36437246963562753</v>
      </c>
      <c r="R702" s="490"/>
    </row>
    <row r="703" spans="1:18" x14ac:dyDescent="0.2">
      <c r="A703" s="506" t="s">
        <v>276</v>
      </c>
      <c r="B703" s="502" t="s">
        <v>779</v>
      </c>
      <c r="C703" s="507" t="s">
        <v>290</v>
      </c>
      <c r="D703" s="503" t="s">
        <v>283</v>
      </c>
      <c r="E703" s="348"/>
      <c r="F703" s="504" t="s">
        <v>109</v>
      </c>
      <c r="G703" s="512" t="s">
        <v>811</v>
      </c>
      <c r="H703" s="511" t="s">
        <v>789</v>
      </c>
      <c r="I703" s="510" t="s">
        <v>790</v>
      </c>
      <c r="J703" s="509" t="s">
        <v>650</v>
      </c>
      <c r="K703" s="516">
        <v>0</v>
      </c>
      <c r="L703" s="520" t="s">
        <v>791</v>
      </c>
      <c r="M703" s="685">
        <v>5</v>
      </c>
      <c r="N703" s="687">
        <v>0</v>
      </c>
      <c r="O703" s="682">
        <f t="shared" si="30"/>
        <v>0</v>
      </c>
      <c r="P703" s="683" t="str">
        <f t="shared" si="31"/>
        <v>0</v>
      </c>
      <c r="Q703" s="684" t="str">
        <f t="shared" si="32"/>
        <v>0</v>
      </c>
      <c r="R703" s="491"/>
    </row>
    <row r="704" spans="1:18" x14ac:dyDescent="0.2">
      <c r="A704" s="506" t="s">
        <v>276</v>
      </c>
      <c r="B704" s="502" t="s">
        <v>779</v>
      </c>
      <c r="C704" s="507" t="s">
        <v>290</v>
      </c>
      <c r="D704" s="503" t="s">
        <v>284</v>
      </c>
      <c r="E704" s="348"/>
      <c r="F704" s="504" t="s">
        <v>109</v>
      </c>
      <c r="G704" s="512" t="s">
        <v>811</v>
      </c>
      <c r="H704" s="511" t="s">
        <v>789</v>
      </c>
      <c r="I704" s="510" t="s">
        <v>790</v>
      </c>
      <c r="J704" s="509" t="s">
        <v>650</v>
      </c>
      <c r="K704" s="516">
        <v>0</v>
      </c>
      <c r="L704" s="520" t="s">
        <v>791</v>
      </c>
      <c r="M704" s="685">
        <v>0</v>
      </c>
      <c r="N704" s="687">
        <v>0</v>
      </c>
      <c r="O704" s="682">
        <f t="shared" si="30"/>
        <v>0</v>
      </c>
      <c r="P704" s="683" t="str">
        <f t="shared" si="31"/>
        <v>0</v>
      </c>
      <c r="Q704" s="684" t="str">
        <f t="shared" si="32"/>
        <v>0</v>
      </c>
      <c r="R704" s="491"/>
    </row>
    <row r="705" spans="1:18" x14ac:dyDescent="0.2">
      <c r="A705" s="506" t="s">
        <v>276</v>
      </c>
      <c r="B705" s="502" t="s">
        <v>779</v>
      </c>
      <c r="C705" s="507" t="s">
        <v>289</v>
      </c>
      <c r="D705" s="503" t="s">
        <v>287</v>
      </c>
      <c r="E705" s="348"/>
      <c r="F705" s="504" t="s">
        <v>109</v>
      </c>
      <c r="G705" s="512" t="s">
        <v>811</v>
      </c>
      <c r="H705" s="511" t="s">
        <v>792</v>
      </c>
      <c r="I705" s="510" t="s">
        <v>790</v>
      </c>
      <c r="J705" s="509" t="s">
        <v>650</v>
      </c>
      <c r="K705" s="516">
        <v>5</v>
      </c>
      <c r="L705" s="520"/>
      <c r="M705" s="685">
        <v>733</v>
      </c>
      <c r="N705" s="687">
        <v>90</v>
      </c>
      <c r="O705" s="682">
        <f t="shared" si="30"/>
        <v>0.12278308321964529</v>
      </c>
      <c r="P705" s="683">
        <f t="shared" si="31"/>
        <v>245.56616643929061</v>
      </c>
      <c r="Q705" s="684">
        <f t="shared" si="32"/>
        <v>2.4556616643929061</v>
      </c>
      <c r="R705" s="490"/>
    </row>
    <row r="706" spans="1:18" x14ac:dyDescent="0.2">
      <c r="A706" s="506" t="s">
        <v>276</v>
      </c>
      <c r="B706" s="502" t="s">
        <v>779</v>
      </c>
      <c r="C706" s="507" t="s">
        <v>289</v>
      </c>
      <c r="D706" s="503" t="s">
        <v>283</v>
      </c>
      <c r="E706" s="348"/>
      <c r="F706" s="504" t="s">
        <v>109</v>
      </c>
      <c r="G706" s="512" t="s">
        <v>811</v>
      </c>
      <c r="H706" s="511" t="s">
        <v>789</v>
      </c>
      <c r="I706" s="510" t="s">
        <v>790</v>
      </c>
      <c r="J706" s="509" t="s">
        <v>650</v>
      </c>
      <c r="K706" s="516">
        <v>32</v>
      </c>
      <c r="L706" s="520"/>
      <c r="M706" s="685">
        <v>134</v>
      </c>
      <c r="N706" s="687">
        <v>38</v>
      </c>
      <c r="O706" s="682">
        <f t="shared" si="30"/>
        <v>0.28358208955223879</v>
      </c>
      <c r="P706" s="683">
        <f t="shared" si="31"/>
        <v>88.619402985074629</v>
      </c>
      <c r="Q706" s="684">
        <f t="shared" si="32"/>
        <v>0.88619402985074625</v>
      </c>
      <c r="R706" s="490"/>
    </row>
    <row r="707" spans="1:18" x14ac:dyDescent="0.2">
      <c r="A707" s="506" t="s">
        <v>276</v>
      </c>
      <c r="B707" s="502" t="s">
        <v>779</v>
      </c>
      <c r="C707" s="507" t="s">
        <v>289</v>
      </c>
      <c r="D707" s="503" t="s">
        <v>284</v>
      </c>
      <c r="E707" s="348"/>
      <c r="F707" s="504" t="s">
        <v>109</v>
      </c>
      <c r="G707" s="512" t="s">
        <v>811</v>
      </c>
      <c r="H707" s="511" t="s">
        <v>789</v>
      </c>
      <c r="I707" s="510" t="s">
        <v>790</v>
      </c>
      <c r="J707" s="509" t="s">
        <v>650</v>
      </c>
      <c r="K707" s="516">
        <v>33</v>
      </c>
      <c r="L707" s="520"/>
      <c r="M707" s="685">
        <v>29</v>
      </c>
      <c r="N707" s="687">
        <v>13</v>
      </c>
      <c r="O707" s="682">
        <f t="shared" si="30"/>
        <v>0.44827586206896552</v>
      </c>
      <c r="P707" s="683">
        <f t="shared" si="31"/>
        <v>135.84117032392896</v>
      </c>
      <c r="Q707" s="684">
        <f t="shared" si="32"/>
        <v>1.3584117032392895</v>
      </c>
      <c r="R707" s="490"/>
    </row>
    <row r="708" spans="1:18" x14ac:dyDescent="0.2">
      <c r="A708" s="506" t="s">
        <v>276</v>
      </c>
      <c r="B708" s="502" t="s">
        <v>779</v>
      </c>
      <c r="C708" s="507" t="s">
        <v>289</v>
      </c>
      <c r="D708" s="503" t="s">
        <v>281</v>
      </c>
      <c r="E708" s="348"/>
      <c r="F708" s="504" t="s">
        <v>109</v>
      </c>
      <c r="G708" s="512" t="s">
        <v>811</v>
      </c>
      <c r="H708" s="511" t="s">
        <v>789</v>
      </c>
      <c r="I708" s="510" t="s">
        <v>790</v>
      </c>
      <c r="J708" s="509" t="s">
        <v>650</v>
      </c>
      <c r="K708" s="516">
        <v>0</v>
      </c>
      <c r="L708" s="520" t="s">
        <v>791</v>
      </c>
      <c r="M708" s="685">
        <v>2</v>
      </c>
      <c r="N708" s="687">
        <v>0</v>
      </c>
      <c r="O708" s="682">
        <f t="shared" si="30"/>
        <v>0</v>
      </c>
      <c r="P708" s="683" t="str">
        <f t="shared" si="31"/>
        <v>0</v>
      </c>
      <c r="Q708" s="684" t="str">
        <f t="shared" si="32"/>
        <v>0</v>
      </c>
      <c r="R708" s="491"/>
    </row>
    <row r="709" spans="1:18" x14ac:dyDescent="0.2">
      <c r="A709" s="506" t="s">
        <v>276</v>
      </c>
      <c r="B709" s="502" t="s">
        <v>779</v>
      </c>
      <c r="C709" s="507" t="s">
        <v>97</v>
      </c>
      <c r="D709" s="503" t="s">
        <v>279</v>
      </c>
      <c r="E709" s="348"/>
      <c r="F709" s="504" t="s">
        <v>109</v>
      </c>
      <c r="G709" s="512" t="s">
        <v>812</v>
      </c>
      <c r="H709" s="511" t="s">
        <v>789</v>
      </c>
      <c r="I709" s="510" t="s">
        <v>790</v>
      </c>
      <c r="J709" s="509" t="s">
        <v>650</v>
      </c>
      <c r="K709" s="516">
        <v>33</v>
      </c>
      <c r="L709" s="520"/>
      <c r="M709" s="685">
        <v>6</v>
      </c>
      <c r="N709" s="687">
        <v>4</v>
      </c>
      <c r="O709" s="682">
        <f t="shared" ref="O709:O772" si="33">IFERROR(N709/M709,0)</f>
        <v>0.66666666666666663</v>
      </c>
      <c r="P709" s="683">
        <f t="shared" ref="P709:P772" si="34">IFERROR(N709/(M709*(K709/100))*100,"0")</f>
        <v>202.02020202020202</v>
      </c>
      <c r="Q709" s="684">
        <f t="shared" ref="Q709:Q772" si="35">IFERROR(N709/(M709*(K709/100)),"0")</f>
        <v>2.0202020202020203</v>
      </c>
      <c r="R709" s="491"/>
    </row>
    <row r="710" spans="1:18" x14ac:dyDescent="0.2">
      <c r="A710" s="506" t="s">
        <v>276</v>
      </c>
      <c r="B710" s="502" t="s">
        <v>779</v>
      </c>
      <c r="C710" s="507" t="s">
        <v>97</v>
      </c>
      <c r="D710" s="503" t="s">
        <v>281</v>
      </c>
      <c r="E710" s="348"/>
      <c r="F710" s="504" t="s">
        <v>109</v>
      </c>
      <c r="G710" s="512" t="s">
        <v>812</v>
      </c>
      <c r="H710" s="511" t="s">
        <v>789</v>
      </c>
      <c r="I710" s="510" t="s">
        <v>790</v>
      </c>
      <c r="J710" s="509" t="s">
        <v>650</v>
      </c>
      <c r="K710" s="516">
        <v>33</v>
      </c>
      <c r="L710" s="520" t="s">
        <v>791</v>
      </c>
      <c r="M710" s="685">
        <v>9</v>
      </c>
      <c r="N710" s="687">
        <v>7</v>
      </c>
      <c r="O710" s="682">
        <f t="shared" si="33"/>
        <v>0.77777777777777779</v>
      </c>
      <c r="P710" s="683">
        <f t="shared" si="34"/>
        <v>235.69023569023568</v>
      </c>
      <c r="Q710" s="684">
        <f t="shared" si="35"/>
        <v>2.3569023569023568</v>
      </c>
      <c r="R710" s="491"/>
    </row>
    <row r="711" spans="1:18" x14ac:dyDescent="0.2">
      <c r="A711" s="506" t="s">
        <v>276</v>
      </c>
      <c r="B711" s="502" t="s">
        <v>779</v>
      </c>
      <c r="C711" s="507" t="s">
        <v>282</v>
      </c>
      <c r="D711" s="503" t="s">
        <v>287</v>
      </c>
      <c r="E711" s="348"/>
      <c r="F711" s="504" t="s">
        <v>109</v>
      </c>
      <c r="G711" s="512" t="s">
        <v>812</v>
      </c>
      <c r="H711" s="511" t="s">
        <v>792</v>
      </c>
      <c r="I711" s="510" t="s">
        <v>790</v>
      </c>
      <c r="J711" s="509" t="s">
        <v>650</v>
      </c>
      <c r="K711" s="516">
        <v>5</v>
      </c>
      <c r="L711" s="520" t="s">
        <v>791</v>
      </c>
      <c r="M711" s="685">
        <v>68</v>
      </c>
      <c r="N711" s="687">
        <v>10</v>
      </c>
      <c r="O711" s="682">
        <f t="shared" si="33"/>
        <v>0.14705882352941177</v>
      </c>
      <c r="P711" s="683">
        <f t="shared" si="34"/>
        <v>294.11764705882348</v>
      </c>
      <c r="Q711" s="684">
        <f t="shared" si="35"/>
        <v>2.9411764705882351</v>
      </c>
      <c r="R711" s="491"/>
    </row>
    <row r="712" spans="1:18" x14ac:dyDescent="0.2">
      <c r="A712" s="506" t="s">
        <v>276</v>
      </c>
      <c r="B712" s="502" t="s">
        <v>779</v>
      </c>
      <c r="C712" s="507" t="s">
        <v>282</v>
      </c>
      <c r="D712" s="503" t="s">
        <v>283</v>
      </c>
      <c r="E712" s="348"/>
      <c r="F712" s="504" t="s">
        <v>109</v>
      </c>
      <c r="G712" s="512" t="s">
        <v>812</v>
      </c>
      <c r="H712" s="511" t="s">
        <v>789</v>
      </c>
      <c r="I712" s="510" t="s">
        <v>790</v>
      </c>
      <c r="J712" s="509" t="s">
        <v>650</v>
      </c>
      <c r="K712" s="516">
        <v>26</v>
      </c>
      <c r="L712" s="520"/>
      <c r="M712" s="685">
        <v>19</v>
      </c>
      <c r="N712" s="687">
        <v>2</v>
      </c>
      <c r="O712" s="682">
        <f t="shared" si="33"/>
        <v>0.10526315789473684</v>
      </c>
      <c r="P712" s="683">
        <f t="shared" si="34"/>
        <v>40.48582995951417</v>
      </c>
      <c r="Q712" s="684">
        <f t="shared" si="35"/>
        <v>0.40485829959514169</v>
      </c>
      <c r="R712" s="490"/>
    </row>
    <row r="713" spans="1:18" x14ac:dyDescent="0.2">
      <c r="A713" s="506" t="s">
        <v>276</v>
      </c>
      <c r="B713" s="502" t="s">
        <v>779</v>
      </c>
      <c r="C713" s="507" t="s">
        <v>282</v>
      </c>
      <c r="D713" s="503" t="s">
        <v>284</v>
      </c>
      <c r="E713" s="348"/>
      <c r="F713" s="504" t="s">
        <v>109</v>
      </c>
      <c r="G713" s="512" t="s">
        <v>812</v>
      </c>
      <c r="H713" s="511" t="s">
        <v>789</v>
      </c>
      <c r="I713" s="510" t="s">
        <v>790</v>
      </c>
      <c r="J713" s="509" t="s">
        <v>650</v>
      </c>
      <c r="K713" s="516">
        <v>16</v>
      </c>
      <c r="L713" s="520"/>
      <c r="M713" s="685">
        <v>43</v>
      </c>
      <c r="N713" s="687">
        <v>7</v>
      </c>
      <c r="O713" s="682">
        <f t="shared" si="33"/>
        <v>0.16279069767441862</v>
      </c>
      <c r="P713" s="683">
        <f t="shared" si="34"/>
        <v>101.74418604651163</v>
      </c>
      <c r="Q713" s="684">
        <f t="shared" si="35"/>
        <v>1.0174418604651163</v>
      </c>
      <c r="R713" s="490"/>
    </row>
    <row r="714" spans="1:18" x14ac:dyDescent="0.2">
      <c r="A714" s="506" t="s">
        <v>276</v>
      </c>
      <c r="B714" s="502" t="s">
        <v>779</v>
      </c>
      <c r="C714" s="507" t="s">
        <v>282</v>
      </c>
      <c r="D714" s="503" t="s">
        <v>279</v>
      </c>
      <c r="E714" s="348"/>
      <c r="F714" s="504" t="s">
        <v>109</v>
      </c>
      <c r="G714" s="512" t="s">
        <v>812</v>
      </c>
      <c r="H714" s="511" t="s">
        <v>789</v>
      </c>
      <c r="I714" s="510" t="s">
        <v>790</v>
      </c>
      <c r="J714" s="509" t="s">
        <v>650</v>
      </c>
      <c r="K714" s="516">
        <v>6</v>
      </c>
      <c r="L714" s="520"/>
      <c r="M714" s="685">
        <v>65</v>
      </c>
      <c r="N714" s="687">
        <v>7</v>
      </c>
      <c r="O714" s="682">
        <f t="shared" si="33"/>
        <v>0.1076923076923077</v>
      </c>
      <c r="P714" s="683">
        <f t="shared" si="34"/>
        <v>179.4871794871795</v>
      </c>
      <c r="Q714" s="684">
        <f t="shared" si="35"/>
        <v>1.7948717948717949</v>
      </c>
      <c r="R714" s="490"/>
    </row>
    <row r="715" spans="1:18" x14ac:dyDescent="0.2">
      <c r="A715" s="506" t="s">
        <v>276</v>
      </c>
      <c r="B715" s="502" t="s">
        <v>779</v>
      </c>
      <c r="C715" s="507" t="s">
        <v>282</v>
      </c>
      <c r="D715" s="503" t="s">
        <v>281</v>
      </c>
      <c r="E715" s="348"/>
      <c r="F715" s="504" t="s">
        <v>109</v>
      </c>
      <c r="G715" s="512" t="s">
        <v>812</v>
      </c>
      <c r="H715" s="511" t="s">
        <v>789</v>
      </c>
      <c r="I715" s="510" t="s">
        <v>790</v>
      </c>
      <c r="J715" s="509" t="s">
        <v>650</v>
      </c>
      <c r="K715" s="516">
        <v>8</v>
      </c>
      <c r="L715" s="520"/>
      <c r="M715" s="685">
        <v>48</v>
      </c>
      <c r="N715" s="687">
        <v>12</v>
      </c>
      <c r="O715" s="682">
        <f t="shared" si="33"/>
        <v>0.25</v>
      </c>
      <c r="P715" s="683">
        <f t="shared" si="34"/>
        <v>312.5</v>
      </c>
      <c r="Q715" s="684">
        <f t="shared" si="35"/>
        <v>3.125</v>
      </c>
      <c r="R715" s="490"/>
    </row>
    <row r="716" spans="1:18" x14ac:dyDescent="0.2">
      <c r="A716" s="506" t="s">
        <v>276</v>
      </c>
      <c r="B716" s="502" t="s">
        <v>779</v>
      </c>
      <c r="C716" s="507" t="s">
        <v>288</v>
      </c>
      <c r="D716" s="503" t="s">
        <v>287</v>
      </c>
      <c r="E716" s="348"/>
      <c r="F716" s="504" t="s">
        <v>109</v>
      </c>
      <c r="G716" s="512" t="s">
        <v>812</v>
      </c>
      <c r="H716" s="511" t="s">
        <v>792</v>
      </c>
      <c r="I716" s="510" t="s">
        <v>790</v>
      </c>
      <c r="J716" s="509" t="s">
        <v>650</v>
      </c>
      <c r="K716" s="516">
        <v>28.999999999999996</v>
      </c>
      <c r="L716" s="520"/>
      <c r="M716" s="685">
        <v>299</v>
      </c>
      <c r="N716" s="687">
        <v>36</v>
      </c>
      <c r="O716" s="682">
        <f t="shared" si="33"/>
        <v>0.12040133779264214</v>
      </c>
      <c r="P716" s="683">
        <f t="shared" si="34"/>
        <v>41.517702687117982</v>
      </c>
      <c r="Q716" s="684">
        <f t="shared" si="35"/>
        <v>0.4151770268711798</v>
      </c>
      <c r="R716" s="490"/>
    </row>
    <row r="717" spans="1:18" x14ac:dyDescent="0.2">
      <c r="A717" s="506" t="s">
        <v>276</v>
      </c>
      <c r="B717" s="502" t="s">
        <v>779</v>
      </c>
      <c r="C717" s="507" t="s">
        <v>288</v>
      </c>
      <c r="D717" s="503" t="s">
        <v>283</v>
      </c>
      <c r="E717" s="348"/>
      <c r="F717" s="504" t="s">
        <v>109</v>
      </c>
      <c r="G717" s="512" t="s">
        <v>812</v>
      </c>
      <c r="H717" s="511" t="s">
        <v>789</v>
      </c>
      <c r="I717" s="510" t="s">
        <v>790</v>
      </c>
      <c r="J717" s="509" t="s">
        <v>650</v>
      </c>
      <c r="K717" s="516">
        <v>8</v>
      </c>
      <c r="L717" s="520"/>
      <c r="M717" s="685">
        <v>64</v>
      </c>
      <c r="N717" s="687">
        <v>6</v>
      </c>
      <c r="O717" s="682">
        <f t="shared" si="33"/>
        <v>9.375E-2</v>
      </c>
      <c r="P717" s="683">
        <f t="shared" si="34"/>
        <v>117.1875</v>
      </c>
      <c r="Q717" s="684">
        <f t="shared" si="35"/>
        <v>1.171875</v>
      </c>
      <c r="R717" s="490"/>
    </row>
    <row r="718" spans="1:18" x14ac:dyDescent="0.2">
      <c r="A718" s="506" t="s">
        <v>276</v>
      </c>
      <c r="B718" s="502" t="s">
        <v>779</v>
      </c>
      <c r="C718" s="507" t="s">
        <v>288</v>
      </c>
      <c r="D718" s="503" t="s">
        <v>284</v>
      </c>
      <c r="E718" s="348"/>
      <c r="F718" s="504" t="s">
        <v>109</v>
      </c>
      <c r="G718" s="512" t="s">
        <v>812</v>
      </c>
      <c r="H718" s="511" t="s">
        <v>789</v>
      </c>
      <c r="I718" s="510" t="s">
        <v>790</v>
      </c>
      <c r="J718" s="509" t="s">
        <v>650</v>
      </c>
      <c r="K718" s="516">
        <v>8</v>
      </c>
      <c r="L718" s="520" t="s">
        <v>791</v>
      </c>
      <c r="M718" s="685">
        <v>10</v>
      </c>
      <c r="N718" s="687">
        <v>0</v>
      </c>
      <c r="O718" s="682">
        <f t="shared" si="33"/>
        <v>0</v>
      </c>
      <c r="P718" s="683">
        <f t="shared" si="34"/>
        <v>0</v>
      </c>
      <c r="Q718" s="684">
        <f t="shared" si="35"/>
        <v>0</v>
      </c>
      <c r="R718" s="491"/>
    </row>
    <row r="719" spans="1:18" x14ac:dyDescent="0.2">
      <c r="A719" s="506" t="s">
        <v>276</v>
      </c>
      <c r="B719" s="502" t="s">
        <v>779</v>
      </c>
      <c r="C719" s="507" t="s">
        <v>288</v>
      </c>
      <c r="D719" s="503" t="s">
        <v>279</v>
      </c>
      <c r="E719" s="348"/>
      <c r="F719" s="504" t="s">
        <v>109</v>
      </c>
      <c r="G719" s="512" t="s">
        <v>812</v>
      </c>
      <c r="H719" s="511" t="s">
        <v>789</v>
      </c>
      <c r="I719" s="510" t="s">
        <v>790</v>
      </c>
      <c r="J719" s="509" t="s">
        <v>650</v>
      </c>
      <c r="K719" s="516">
        <v>0</v>
      </c>
      <c r="L719" s="520" t="s">
        <v>791</v>
      </c>
      <c r="M719" s="685">
        <v>2</v>
      </c>
      <c r="N719" s="687">
        <v>1</v>
      </c>
      <c r="O719" s="682">
        <f t="shared" si="33"/>
        <v>0.5</v>
      </c>
      <c r="P719" s="683" t="str">
        <f t="shared" si="34"/>
        <v>0</v>
      </c>
      <c r="Q719" s="684" t="str">
        <f t="shared" si="35"/>
        <v>0</v>
      </c>
      <c r="R719" s="491"/>
    </row>
    <row r="720" spans="1:18" x14ac:dyDescent="0.2">
      <c r="A720" s="506" t="s">
        <v>276</v>
      </c>
      <c r="B720" s="502" t="s">
        <v>779</v>
      </c>
      <c r="C720" s="507" t="s">
        <v>288</v>
      </c>
      <c r="D720" s="503" t="s">
        <v>281</v>
      </c>
      <c r="E720" s="348"/>
      <c r="F720" s="504" t="s">
        <v>109</v>
      </c>
      <c r="G720" s="512" t="s">
        <v>812</v>
      </c>
      <c r="H720" s="511" t="s">
        <v>789</v>
      </c>
      <c r="I720" s="510" t="s">
        <v>790</v>
      </c>
      <c r="J720" s="509" t="s">
        <v>650</v>
      </c>
      <c r="K720" s="516">
        <v>8</v>
      </c>
      <c r="L720" s="520" t="s">
        <v>791</v>
      </c>
      <c r="M720" s="685">
        <v>17</v>
      </c>
      <c r="N720" s="687">
        <v>3</v>
      </c>
      <c r="O720" s="682">
        <f t="shared" si="33"/>
        <v>0.17647058823529413</v>
      </c>
      <c r="P720" s="683">
        <f t="shared" si="34"/>
        <v>220.58823529411762</v>
      </c>
      <c r="Q720" s="684">
        <f t="shared" si="35"/>
        <v>2.2058823529411762</v>
      </c>
      <c r="R720" s="491"/>
    </row>
    <row r="721" spans="1:18" x14ac:dyDescent="0.2">
      <c r="A721" s="506" t="s">
        <v>276</v>
      </c>
      <c r="B721" s="502" t="s">
        <v>779</v>
      </c>
      <c r="C721" s="507" t="s">
        <v>99</v>
      </c>
      <c r="D721" s="503" t="s">
        <v>287</v>
      </c>
      <c r="E721" s="348"/>
      <c r="F721" s="504" t="s">
        <v>109</v>
      </c>
      <c r="G721" s="512" t="s">
        <v>812</v>
      </c>
      <c r="H721" s="511" t="s">
        <v>792</v>
      </c>
      <c r="I721" s="510" t="s">
        <v>790</v>
      </c>
      <c r="J721" s="509" t="s">
        <v>650</v>
      </c>
      <c r="K721" s="516">
        <v>17</v>
      </c>
      <c r="L721" s="520"/>
      <c r="M721" s="685">
        <v>326</v>
      </c>
      <c r="N721" s="687">
        <v>49</v>
      </c>
      <c r="O721" s="682">
        <f t="shared" si="33"/>
        <v>0.15030674846625766</v>
      </c>
      <c r="P721" s="683">
        <f t="shared" si="34"/>
        <v>88.415734391916274</v>
      </c>
      <c r="Q721" s="684">
        <f t="shared" si="35"/>
        <v>0.88415734391916267</v>
      </c>
      <c r="R721" s="490"/>
    </row>
    <row r="722" spans="1:18" x14ac:dyDescent="0.2">
      <c r="A722" s="506" t="s">
        <v>276</v>
      </c>
      <c r="B722" s="502" t="s">
        <v>779</v>
      </c>
      <c r="C722" s="507" t="s">
        <v>99</v>
      </c>
      <c r="D722" s="503" t="s">
        <v>283</v>
      </c>
      <c r="E722" s="348"/>
      <c r="F722" s="504" t="s">
        <v>109</v>
      </c>
      <c r="G722" s="512" t="s">
        <v>812</v>
      </c>
      <c r="H722" s="511" t="s">
        <v>789</v>
      </c>
      <c r="I722" s="510" t="s">
        <v>790</v>
      </c>
      <c r="J722" s="509" t="s">
        <v>650</v>
      </c>
      <c r="K722" s="516">
        <v>36</v>
      </c>
      <c r="L722" s="520"/>
      <c r="M722" s="685">
        <v>17</v>
      </c>
      <c r="N722" s="687">
        <v>4</v>
      </c>
      <c r="O722" s="682">
        <f t="shared" si="33"/>
        <v>0.23529411764705882</v>
      </c>
      <c r="P722" s="683">
        <f t="shared" si="34"/>
        <v>65.359477124183002</v>
      </c>
      <c r="Q722" s="684">
        <f t="shared" si="35"/>
        <v>0.65359477124183007</v>
      </c>
      <c r="R722" s="490"/>
    </row>
    <row r="723" spans="1:18" x14ac:dyDescent="0.2">
      <c r="A723" s="506" t="s">
        <v>276</v>
      </c>
      <c r="B723" s="502" t="s">
        <v>779</v>
      </c>
      <c r="C723" s="507" t="s">
        <v>99</v>
      </c>
      <c r="D723" s="503" t="s">
        <v>284</v>
      </c>
      <c r="E723" s="348"/>
      <c r="F723" s="504" t="s">
        <v>109</v>
      </c>
      <c r="G723" s="512" t="s">
        <v>812</v>
      </c>
      <c r="H723" s="511" t="s">
        <v>789</v>
      </c>
      <c r="I723" s="510" t="s">
        <v>790</v>
      </c>
      <c r="J723" s="509" t="s">
        <v>650</v>
      </c>
      <c r="K723" s="516">
        <v>80</v>
      </c>
      <c r="L723" s="520"/>
      <c r="M723" s="685">
        <v>8</v>
      </c>
      <c r="N723" s="687">
        <v>2</v>
      </c>
      <c r="O723" s="682">
        <f t="shared" si="33"/>
        <v>0.25</v>
      </c>
      <c r="P723" s="683">
        <f t="shared" si="34"/>
        <v>31.25</v>
      </c>
      <c r="Q723" s="684">
        <f t="shared" si="35"/>
        <v>0.3125</v>
      </c>
      <c r="R723" s="490"/>
    </row>
    <row r="724" spans="1:18" x14ac:dyDescent="0.2">
      <c r="A724" s="506" t="s">
        <v>276</v>
      </c>
      <c r="B724" s="502" t="s">
        <v>779</v>
      </c>
      <c r="C724" s="507" t="s">
        <v>99</v>
      </c>
      <c r="D724" s="503" t="s">
        <v>279</v>
      </c>
      <c r="E724" s="348"/>
      <c r="F724" s="504" t="s">
        <v>109</v>
      </c>
      <c r="G724" s="512" t="s">
        <v>812</v>
      </c>
      <c r="H724" s="511" t="s">
        <v>789</v>
      </c>
      <c r="I724" s="510" t="s">
        <v>790</v>
      </c>
      <c r="J724" s="509" t="s">
        <v>650</v>
      </c>
      <c r="K724" s="516">
        <v>17</v>
      </c>
      <c r="L724" s="520" t="s">
        <v>791</v>
      </c>
      <c r="M724" s="685">
        <v>5</v>
      </c>
      <c r="N724" s="687">
        <v>2</v>
      </c>
      <c r="O724" s="682">
        <f t="shared" si="33"/>
        <v>0.4</v>
      </c>
      <c r="P724" s="683">
        <f t="shared" si="34"/>
        <v>235.29411764705878</v>
      </c>
      <c r="Q724" s="684">
        <f t="shared" si="35"/>
        <v>2.3529411764705879</v>
      </c>
      <c r="R724" s="491"/>
    </row>
    <row r="725" spans="1:18" x14ac:dyDescent="0.2">
      <c r="A725" s="506" t="s">
        <v>276</v>
      </c>
      <c r="B725" s="502" t="s">
        <v>779</v>
      </c>
      <c r="C725" s="507" t="s">
        <v>99</v>
      </c>
      <c r="D725" s="503" t="s">
        <v>281</v>
      </c>
      <c r="E725" s="348"/>
      <c r="F725" s="504" t="s">
        <v>109</v>
      </c>
      <c r="G725" s="512" t="s">
        <v>812</v>
      </c>
      <c r="H725" s="511" t="s">
        <v>789</v>
      </c>
      <c r="I725" s="510" t="s">
        <v>790</v>
      </c>
      <c r="J725" s="509" t="s">
        <v>650</v>
      </c>
      <c r="K725" s="516">
        <v>0</v>
      </c>
      <c r="L725" s="520" t="s">
        <v>791</v>
      </c>
      <c r="M725" s="685">
        <v>1</v>
      </c>
      <c r="N725" s="687">
        <v>0</v>
      </c>
      <c r="O725" s="682">
        <f t="shared" si="33"/>
        <v>0</v>
      </c>
      <c r="P725" s="683" t="str">
        <f t="shared" si="34"/>
        <v>0</v>
      </c>
      <c r="Q725" s="684" t="str">
        <f t="shared" si="35"/>
        <v>0</v>
      </c>
      <c r="R725" s="491"/>
    </row>
    <row r="726" spans="1:18" x14ac:dyDescent="0.2">
      <c r="A726" s="506" t="s">
        <v>276</v>
      </c>
      <c r="B726" s="502" t="s">
        <v>779</v>
      </c>
      <c r="C726" s="507" t="s">
        <v>285</v>
      </c>
      <c r="D726" s="503" t="s">
        <v>287</v>
      </c>
      <c r="E726" s="348"/>
      <c r="F726" s="504" t="s">
        <v>109</v>
      </c>
      <c r="G726" s="512" t="s">
        <v>812</v>
      </c>
      <c r="H726" s="511" t="s">
        <v>792</v>
      </c>
      <c r="I726" s="510" t="s">
        <v>790</v>
      </c>
      <c r="J726" s="509" t="s">
        <v>650</v>
      </c>
      <c r="K726" s="516">
        <v>13</v>
      </c>
      <c r="L726" s="520"/>
      <c r="M726" s="685">
        <v>0</v>
      </c>
      <c r="N726" s="687">
        <v>0</v>
      </c>
      <c r="O726" s="682">
        <f t="shared" si="33"/>
        <v>0</v>
      </c>
      <c r="P726" s="683" t="str">
        <f t="shared" si="34"/>
        <v>0</v>
      </c>
      <c r="Q726" s="684" t="str">
        <f t="shared" si="35"/>
        <v>0</v>
      </c>
      <c r="R726" s="491"/>
    </row>
    <row r="727" spans="1:18" x14ac:dyDescent="0.2">
      <c r="A727" s="506" t="s">
        <v>276</v>
      </c>
      <c r="B727" s="502" t="s">
        <v>779</v>
      </c>
      <c r="C727" s="507" t="s">
        <v>285</v>
      </c>
      <c r="D727" s="503" t="s">
        <v>283</v>
      </c>
      <c r="E727" s="348"/>
      <c r="F727" s="504" t="s">
        <v>109</v>
      </c>
      <c r="G727" s="512" t="s">
        <v>812</v>
      </c>
      <c r="H727" s="511" t="s">
        <v>789</v>
      </c>
      <c r="I727" s="510" t="s">
        <v>790</v>
      </c>
      <c r="J727" s="509" t="s">
        <v>650</v>
      </c>
      <c r="K727" s="516">
        <v>50</v>
      </c>
      <c r="L727" s="520" t="s">
        <v>791</v>
      </c>
      <c r="M727" s="685">
        <v>5</v>
      </c>
      <c r="N727" s="687">
        <v>1</v>
      </c>
      <c r="O727" s="682">
        <f t="shared" si="33"/>
        <v>0.2</v>
      </c>
      <c r="P727" s="683">
        <f t="shared" si="34"/>
        <v>40</v>
      </c>
      <c r="Q727" s="684">
        <f t="shared" si="35"/>
        <v>0.4</v>
      </c>
      <c r="R727" s="491"/>
    </row>
    <row r="728" spans="1:18" x14ac:dyDescent="0.2">
      <c r="A728" s="506" t="s">
        <v>276</v>
      </c>
      <c r="B728" s="502" t="s">
        <v>779</v>
      </c>
      <c r="C728" s="507" t="s">
        <v>285</v>
      </c>
      <c r="D728" s="503" t="s">
        <v>284</v>
      </c>
      <c r="E728" s="348"/>
      <c r="F728" s="504" t="s">
        <v>109</v>
      </c>
      <c r="G728" s="512" t="s">
        <v>812</v>
      </c>
      <c r="H728" s="511" t="s">
        <v>789</v>
      </c>
      <c r="I728" s="510" t="s">
        <v>790</v>
      </c>
      <c r="J728" s="509" t="s">
        <v>650</v>
      </c>
      <c r="K728" s="516">
        <v>0</v>
      </c>
      <c r="L728" s="520" t="s">
        <v>791</v>
      </c>
      <c r="M728" s="685">
        <v>4</v>
      </c>
      <c r="N728" s="687">
        <v>0</v>
      </c>
      <c r="O728" s="682">
        <f t="shared" si="33"/>
        <v>0</v>
      </c>
      <c r="P728" s="683" t="str">
        <f t="shared" si="34"/>
        <v>0</v>
      </c>
      <c r="Q728" s="684" t="str">
        <f t="shared" si="35"/>
        <v>0</v>
      </c>
      <c r="R728" s="491"/>
    </row>
    <row r="729" spans="1:18" x14ac:dyDescent="0.2">
      <c r="A729" s="506" t="s">
        <v>276</v>
      </c>
      <c r="B729" s="502" t="s">
        <v>779</v>
      </c>
      <c r="C729" s="507" t="s">
        <v>285</v>
      </c>
      <c r="D729" s="503" t="s">
        <v>279</v>
      </c>
      <c r="E729" s="348"/>
      <c r="F729" s="504" t="s">
        <v>109</v>
      </c>
      <c r="G729" s="512" t="s">
        <v>812</v>
      </c>
      <c r="H729" s="511" t="s">
        <v>789</v>
      </c>
      <c r="I729" s="510" t="s">
        <v>790</v>
      </c>
      <c r="J729" s="509" t="s">
        <v>650</v>
      </c>
      <c r="K729" s="516">
        <v>0</v>
      </c>
      <c r="L729" s="520" t="s">
        <v>791</v>
      </c>
      <c r="M729" s="685">
        <v>1</v>
      </c>
      <c r="N729" s="687">
        <v>0</v>
      </c>
      <c r="O729" s="682">
        <f t="shared" si="33"/>
        <v>0</v>
      </c>
      <c r="P729" s="683" t="str">
        <f t="shared" si="34"/>
        <v>0</v>
      </c>
      <c r="Q729" s="684" t="str">
        <f t="shared" si="35"/>
        <v>0</v>
      </c>
      <c r="R729" s="491"/>
    </row>
    <row r="730" spans="1:18" x14ac:dyDescent="0.2">
      <c r="A730" s="506" t="s">
        <v>276</v>
      </c>
      <c r="B730" s="502" t="s">
        <v>779</v>
      </c>
      <c r="C730" s="507" t="s">
        <v>285</v>
      </c>
      <c r="D730" s="503" t="s">
        <v>281</v>
      </c>
      <c r="E730" s="348"/>
      <c r="F730" s="504" t="s">
        <v>109</v>
      </c>
      <c r="G730" s="512" t="s">
        <v>812</v>
      </c>
      <c r="H730" s="511" t="s">
        <v>789</v>
      </c>
      <c r="I730" s="510" t="s">
        <v>790</v>
      </c>
      <c r="J730" s="509" t="s">
        <v>650</v>
      </c>
      <c r="K730" s="516">
        <v>25</v>
      </c>
      <c r="L730" s="520"/>
      <c r="M730" s="685">
        <v>12</v>
      </c>
      <c r="N730" s="687">
        <v>4</v>
      </c>
      <c r="O730" s="682">
        <f t="shared" si="33"/>
        <v>0.33333333333333331</v>
      </c>
      <c r="P730" s="683">
        <f t="shared" si="34"/>
        <v>133.33333333333331</v>
      </c>
      <c r="Q730" s="684">
        <f t="shared" si="35"/>
        <v>1.3333333333333333</v>
      </c>
      <c r="R730" s="490"/>
    </row>
    <row r="731" spans="1:18" x14ac:dyDescent="0.2">
      <c r="A731" s="506" t="s">
        <v>276</v>
      </c>
      <c r="B731" s="502" t="s">
        <v>779</v>
      </c>
      <c r="C731" s="507" t="s">
        <v>285</v>
      </c>
      <c r="D731" s="503" t="s">
        <v>286</v>
      </c>
      <c r="E731" s="348"/>
      <c r="F731" s="504" t="s">
        <v>109</v>
      </c>
      <c r="G731" s="512" t="s">
        <v>812</v>
      </c>
      <c r="H731" s="511" t="s">
        <v>789</v>
      </c>
      <c r="I731" s="510" t="s">
        <v>790</v>
      </c>
      <c r="J731" s="509" t="s">
        <v>650</v>
      </c>
      <c r="K731" s="516">
        <v>10</v>
      </c>
      <c r="L731" s="520"/>
      <c r="M731" s="685">
        <v>20</v>
      </c>
      <c r="N731" s="687">
        <v>0</v>
      </c>
      <c r="O731" s="682">
        <f t="shared" si="33"/>
        <v>0</v>
      </c>
      <c r="P731" s="683">
        <f t="shared" si="34"/>
        <v>0</v>
      </c>
      <c r="Q731" s="684">
        <f t="shared" si="35"/>
        <v>0</v>
      </c>
      <c r="R731" s="490"/>
    </row>
    <row r="732" spans="1:18" x14ac:dyDescent="0.2">
      <c r="A732" s="506" t="s">
        <v>276</v>
      </c>
      <c r="B732" s="502" t="s">
        <v>779</v>
      </c>
      <c r="C732" s="507" t="s">
        <v>291</v>
      </c>
      <c r="D732" s="503" t="s">
        <v>283</v>
      </c>
      <c r="E732" s="348"/>
      <c r="F732" s="504" t="s">
        <v>109</v>
      </c>
      <c r="G732" s="512" t="s">
        <v>812</v>
      </c>
      <c r="H732" s="511" t="s">
        <v>789</v>
      </c>
      <c r="I732" s="510" t="s">
        <v>790</v>
      </c>
      <c r="J732" s="509" t="s">
        <v>650</v>
      </c>
      <c r="K732" s="516">
        <v>0</v>
      </c>
      <c r="L732" s="520" t="s">
        <v>791</v>
      </c>
      <c r="M732" s="685">
        <v>0</v>
      </c>
      <c r="N732" s="687">
        <v>0</v>
      </c>
      <c r="O732" s="682">
        <f t="shared" si="33"/>
        <v>0</v>
      </c>
      <c r="P732" s="683" t="str">
        <f t="shared" si="34"/>
        <v>0</v>
      </c>
      <c r="Q732" s="684" t="str">
        <f t="shared" si="35"/>
        <v>0</v>
      </c>
      <c r="R732" s="491"/>
    </row>
    <row r="733" spans="1:18" x14ac:dyDescent="0.2">
      <c r="A733" s="506" t="s">
        <v>276</v>
      </c>
      <c r="B733" s="502" t="s">
        <v>779</v>
      </c>
      <c r="C733" s="507" t="s">
        <v>291</v>
      </c>
      <c r="D733" s="503" t="s">
        <v>284</v>
      </c>
      <c r="E733" s="348"/>
      <c r="F733" s="504" t="s">
        <v>109</v>
      </c>
      <c r="G733" s="512" t="s">
        <v>812</v>
      </c>
      <c r="H733" s="511" t="s">
        <v>789</v>
      </c>
      <c r="I733" s="510" t="s">
        <v>790</v>
      </c>
      <c r="J733" s="509" t="s">
        <v>650</v>
      </c>
      <c r="K733" s="516">
        <v>0</v>
      </c>
      <c r="L733" s="520" t="s">
        <v>791</v>
      </c>
      <c r="M733" s="685">
        <v>0</v>
      </c>
      <c r="N733" s="687">
        <v>0</v>
      </c>
      <c r="O733" s="682">
        <f t="shared" si="33"/>
        <v>0</v>
      </c>
      <c r="P733" s="683" t="str">
        <f t="shared" si="34"/>
        <v>0</v>
      </c>
      <c r="Q733" s="684" t="str">
        <f t="shared" si="35"/>
        <v>0</v>
      </c>
      <c r="R733" s="491"/>
    </row>
    <row r="734" spans="1:18" x14ac:dyDescent="0.2">
      <c r="A734" s="506" t="s">
        <v>276</v>
      </c>
      <c r="B734" s="502" t="s">
        <v>779</v>
      </c>
      <c r="C734" s="507" t="s">
        <v>290</v>
      </c>
      <c r="D734" s="503" t="s">
        <v>287</v>
      </c>
      <c r="E734" s="348"/>
      <c r="F734" s="504" t="s">
        <v>109</v>
      </c>
      <c r="G734" s="512" t="s">
        <v>812</v>
      </c>
      <c r="H734" s="511" t="s">
        <v>792</v>
      </c>
      <c r="I734" s="510" t="s">
        <v>790</v>
      </c>
      <c r="J734" s="509" t="s">
        <v>650</v>
      </c>
      <c r="K734" s="516">
        <v>38</v>
      </c>
      <c r="L734" s="520"/>
      <c r="M734" s="685">
        <v>65</v>
      </c>
      <c r="N734" s="687">
        <v>9</v>
      </c>
      <c r="O734" s="682">
        <f t="shared" si="33"/>
        <v>0.13846153846153847</v>
      </c>
      <c r="P734" s="683">
        <f t="shared" si="34"/>
        <v>36.43724696356275</v>
      </c>
      <c r="Q734" s="684">
        <f t="shared" si="35"/>
        <v>0.36437246963562753</v>
      </c>
      <c r="R734" s="490"/>
    </row>
    <row r="735" spans="1:18" x14ac:dyDescent="0.2">
      <c r="A735" s="506" t="s">
        <v>276</v>
      </c>
      <c r="B735" s="502" t="s">
        <v>779</v>
      </c>
      <c r="C735" s="507" t="s">
        <v>290</v>
      </c>
      <c r="D735" s="503" t="s">
        <v>283</v>
      </c>
      <c r="E735" s="348"/>
      <c r="F735" s="504" t="s">
        <v>109</v>
      </c>
      <c r="G735" s="512" t="s">
        <v>812</v>
      </c>
      <c r="H735" s="511" t="s">
        <v>789</v>
      </c>
      <c r="I735" s="510" t="s">
        <v>790</v>
      </c>
      <c r="J735" s="509" t="s">
        <v>650</v>
      </c>
      <c r="K735" s="516">
        <v>0</v>
      </c>
      <c r="L735" s="520" t="s">
        <v>791</v>
      </c>
      <c r="M735" s="685">
        <v>5</v>
      </c>
      <c r="N735" s="687">
        <v>0</v>
      </c>
      <c r="O735" s="682">
        <f t="shared" si="33"/>
        <v>0</v>
      </c>
      <c r="P735" s="683" t="str">
        <f t="shared" si="34"/>
        <v>0</v>
      </c>
      <c r="Q735" s="684" t="str">
        <f t="shared" si="35"/>
        <v>0</v>
      </c>
      <c r="R735" s="491"/>
    </row>
    <row r="736" spans="1:18" x14ac:dyDescent="0.2">
      <c r="A736" s="506" t="s">
        <v>276</v>
      </c>
      <c r="B736" s="502" t="s">
        <v>779</v>
      </c>
      <c r="C736" s="507" t="s">
        <v>290</v>
      </c>
      <c r="D736" s="503" t="s">
        <v>284</v>
      </c>
      <c r="E736" s="348"/>
      <c r="F736" s="504" t="s">
        <v>109</v>
      </c>
      <c r="G736" s="512" t="s">
        <v>812</v>
      </c>
      <c r="H736" s="511" t="s">
        <v>789</v>
      </c>
      <c r="I736" s="510" t="s">
        <v>790</v>
      </c>
      <c r="J736" s="509" t="s">
        <v>650</v>
      </c>
      <c r="K736" s="516">
        <v>0</v>
      </c>
      <c r="L736" s="520" t="s">
        <v>791</v>
      </c>
      <c r="M736" s="685">
        <v>0</v>
      </c>
      <c r="N736" s="687">
        <v>0</v>
      </c>
      <c r="O736" s="682">
        <f t="shared" si="33"/>
        <v>0</v>
      </c>
      <c r="P736" s="683" t="str">
        <f t="shared" si="34"/>
        <v>0</v>
      </c>
      <c r="Q736" s="684" t="str">
        <f t="shared" si="35"/>
        <v>0</v>
      </c>
      <c r="R736" s="491"/>
    </row>
    <row r="737" spans="1:18" x14ac:dyDescent="0.2">
      <c r="A737" s="506" t="s">
        <v>276</v>
      </c>
      <c r="B737" s="502" t="s">
        <v>779</v>
      </c>
      <c r="C737" s="507" t="s">
        <v>289</v>
      </c>
      <c r="D737" s="503" t="s">
        <v>287</v>
      </c>
      <c r="E737" s="348"/>
      <c r="F737" s="504" t="s">
        <v>109</v>
      </c>
      <c r="G737" s="512" t="s">
        <v>812</v>
      </c>
      <c r="H737" s="511" t="s">
        <v>792</v>
      </c>
      <c r="I737" s="510" t="s">
        <v>790</v>
      </c>
      <c r="J737" s="509" t="s">
        <v>650</v>
      </c>
      <c r="K737" s="516">
        <v>5</v>
      </c>
      <c r="L737" s="520"/>
      <c r="M737" s="685">
        <v>733</v>
      </c>
      <c r="N737" s="687">
        <v>90</v>
      </c>
      <c r="O737" s="682">
        <f t="shared" si="33"/>
        <v>0.12278308321964529</v>
      </c>
      <c r="P737" s="683">
        <f t="shared" si="34"/>
        <v>245.56616643929061</v>
      </c>
      <c r="Q737" s="684">
        <f t="shared" si="35"/>
        <v>2.4556616643929061</v>
      </c>
      <c r="R737" s="490"/>
    </row>
    <row r="738" spans="1:18" x14ac:dyDescent="0.2">
      <c r="A738" s="506" t="s">
        <v>276</v>
      </c>
      <c r="B738" s="502" t="s">
        <v>779</v>
      </c>
      <c r="C738" s="507" t="s">
        <v>289</v>
      </c>
      <c r="D738" s="503" t="s">
        <v>283</v>
      </c>
      <c r="E738" s="348"/>
      <c r="F738" s="504" t="s">
        <v>109</v>
      </c>
      <c r="G738" s="512" t="s">
        <v>812</v>
      </c>
      <c r="H738" s="511" t="s">
        <v>789</v>
      </c>
      <c r="I738" s="510" t="s">
        <v>790</v>
      </c>
      <c r="J738" s="509" t="s">
        <v>650</v>
      </c>
      <c r="K738" s="516">
        <v>32</v>
      </c>
      <c r="L738" s="520"/>
      <c r="M738" s="685">
        <v>134</v>
      </c>
      <c r="N738" s="687">
        <v>38</v>
      </c>
      <c r="O738" s="682">
        <f t="shared" si="33"/>
        <v>0.28358208955223879</v>
      </c>
      <c r="P738" s="683">
        <f t="shared" si="34"/>
        <v>88.619402985074629</v>
      </c>
      <c r="Q738" s="684">
        <f t="shared" si="35"/>
        <v>0.88619402985074625</v>
      </c>
      <c r="R738" s="490"/>
    </row>
    <row r="739" spans="1:18" x14ac:dyDescent="0.2">
      <c r="A739" s="506" t="s">
        <v>276</v>
      </c>
      <c r="B739" s="502" t="s">
        <v>779</v>
      </c>
      <c r="C739" s="507" t="s">
        <v>289</v>
      </c>
      <c r="D739" s="503" t="s">
        <v>284</v>
      </c>
      <c r="E739" s="348"/>
      <c r="F739" s="504" t="s">
        <v>109</v>
      </c>
      <c r="G739" s="512" t="s">
        <v>812</v>
      </c>
      <c r="H739" s="511" t="s">
        <v>789</v>
      </c>
      <c r="I739" s="510" t="s">
        <v>790</v>
      </c>
      <c r="J739" s="509" t="s">
        <v>650</v>
      </c>
      <c r="K739" s="516">
        <v>33</v>
      </c>
      <c r="L739" s="520"/>
      <c r="M739" s="685">
        <v>29</v>
      </c>
      <c r="N739" s="687">
        <v>13</v>
      </c>
      <c r="O739" s="682">
        <f t="shared" si="33"/>
        <v>0.44827586206896552</v>
      </c>
      <c r="P739" s="683">
        <f t="shared" si="34"/>
        <v>135.84117032392896</v>
      </c>
      <c r="Q739" s="684">
        <f t="shared" si="35"/>
        <v>1.3584117032392895</v>
      </c>
      <c r="R739" s="490"/>
    </row>
    <row r="740" spans="1:18" x14ac:dyDescent="0.2">
      <c r="A740" s="506" t="s">
        <v>276</v>
      </c>
      <c r="B740" s="502" t="s">
        <v>779</v>
      </c>
      <c r="C740" s="507" t="s">
        <v>289</v>
      </c>
      <c r="D740" s="503" t="s">
        <v>281</v>
      </c>
      <c r="E740" s="348"/>
      <c r="F740" s="504" t="s">
        <v>109</v>
      </c>
      <c r="G740" s="512" t="s">
        <v>812</v>
      </c>
      <c r="H740" s="511" t="s">
        <v>789</v>
      </c>
      <c r="I740" s="510" t="s">
        <v>790</v>
      </c>
      <c r="J740" s="509" t="s">
        <v>650</v>
      </c>
      <c r="K740" s="516">
        <v>0</v>
      </c>
      <c r="L740" s="520" t="s">
        <v>791</v>
      </c>
      <c r="M740" s="685">
        <v>2</v>
      </c>
      <c r="N740" s="687">
        <v>0</v>
      </c>
      <c r="O740" s="682">
        <f t="shared" si="33"/>
        <v>0</v>
      </c>
      <c r="P740" s="683" t="str">
        <f t="shared" si="34"/>
        <v>0</v>
      </c>
      <c r="Q740" s="684" t="str">
        <f t="shared" si="35"/>
        <v>0</v>
      </c>
      <c r="R740" s="491"/>
    </row>
    <row r="741" spans="1:18" x14ac:dyDescent="0.2">
      <c r="A741" s="506" t="s">
        <v>276</v>
      </c>
      <c r="B741" s="502" t="s">
        <v>779</v>
      </c>
      <c r="C741" s="507" t="s">
        <v>97</v>
      </c>
      <c r="D741" s="503" t="s">
        <v>279</v>
      </c>
      <c r="E741" s="348"/>
      <c r="F741" s="504" t="s">
        <v>109</v>
      </c>
      <c r="G741" s="512" t="s">
        <v>1601</v>
      </c>
      <c r="H741" s="511" t="s">
        <v>813</v>
      </c>
      <c r="I741" s="510" t="s">
        <v>790</v>
      </c>
      <c r="J741" s="509" t="s">
        <v>650</v>
      </c>
      <c r="K741" s="516">
        <v>33</v>
      </c>
      <c r="L741" s="520"/>
      <c r="M741" s="685">
        <v>6</v>
      </c>
      <c r="N741" s="687">
        <v>4</v>
      </c>
      <c r="O741" s="682">
        <f t="shared" si="33"/>
        <v>0.66666666666666663</v>
      </c>
      <c r="P741" s="683">
        <f t="shared" si="34"/>
        <v>202.02020202020202</v>
      </c>
      <c r="Q741" s="684">
        <f t="shared" si="35"/>
        <v>2.0202020202020203</v>
      </c>
      <c r="R741" s="491"/>
    </row>
    <row r="742" spans="1:18" x14ac:dyDescent="0.2">
      <c r="A742" s="506" t="s">
        <v>276</v>
      </c>
      <c r="B742" s="502" t="s">
        <v>779</v>
      </c>
      <c r="C742" s="507" t="s">
        <v>97</v>
      </c>
      <c r="D742" s="503" t="s">
        <v>281</v>
      </c>
      <c r="E742" s="348"/>
      <c r="F742" s="504" t="s">
        <v>109</v>
      </c>
      <c r="G742" s="512" t="s">
        <v>1601</v>
      </c>
      <c r="H742" s="511" t="s">
        <v>813</v>
      </c>
      <c r="I742" s="510" t="s">
        <v>790</v>
      </c>
      <c r="J742" s="509" t="s">
        <v>650</v>
      </c>
      <c r="K742" s="516">
        <v>33</v>
      </c>
      <c r="L742" s="520" t="s">
        <v>791</v>
      </c>
      <c r="M742" s="685">
        <v>9</v>
      </c>
      <c r="N742" s="687">
        <v>7</v>
      </c>
      <c r="O742" s="682">
        <f t="shared" si="33"/>
        <v>0.77777777777777779</v>
      </c>
      <c r="P742" s="683">
        <f t="shared" si="34"/>
        <v>235.69023569023568</v>
      </c>
      <c r="Q742" s="684">
        <f t="shared" si="35"/>
        <v>2.3569023569023568</v>
      </c>
      <c r="R742" s="491"/>
    </row>
    <row r="743" spans="1:18" x14ac:dyDescent="0.2">
      <c r="A743" s="506" t="s">
        <v>276</v>
      </c>
      <c r="B743" s="502" t="s">
        <v>779</v>
      </c>
      <c r="C743" s="507" t="s">
        <v>282</v>
      </c>
      <c r="D743" s="503" t="s">
        <v>287</v>
      </c>
      <c r="E743" s="348"/>
      <c r="F743" s="504" t="s">
        <v>109</v>
      </c>
      <c r="G743" s="512" t="s">
        <v>1601</v>
      </c>
      <c r="H743" s="511" t="s">
        <v>813</v>
      </c>
      <c r="I743" s="510" t="s">
        <v>790</v>
      </c>
      <c r="J743" s="509" t="s">
        <v>650</v>
      </c>
      <c r="K743" s="516">
        <v>5</v>
      </c>
      <c r="L743" s="520" t="s">
        <v>791</v>
      </c>
      <c r="M743" s="685">
        <v>68</v>
      </c>
      <c r="N743" s="687">
        <v>10</v>
      </c>
      <c r="O743" s="682">
        <f t="shared" si="33"/>
        <v>0.14705882352941177</v>
      </c>
      <c r="P743" s="683">
        <f t="shared" si="34"/>
        <v>294.11764705882348</v>
      </c>
      <c r="Q743" s="684">
        <f t="shared" si="35"/>
        <v>2.9411764705882351</v>
      </c>
      <c r="R743" s="491"/>
    </row>
    <row r="744" spans="1:18" x14ac:dyDescent="0.2">
      <c r="A744" s="506" t="s">
        <v>276</v>
      </c>
      <c r="B744" s="502" t="s">
        <v>779</v>
      </c>
      <c r="C744" s="507" t="s">
        <v>282</v>
      </c>
      <c r="D744" s="503" t="s">
        <v>283</v>
      </c>
      <c r="E744" s="348"/>
      <c r="F744" s="504" t="s">
        <v>109</v>
      </c>
      <c r="G744" s="512" t="s">
        <v>1601</v>
      </c>
      <c r="H744" s="511" t="s">
        <v>813</v>
      </c>
      <c r="I744" s="510" t="s">
        <v>790</v>
      </c>
      <c r="J744" s="509" t="s">
        <v>650</v>
      </c>
      <c r="K744" s="516">
        <v>26</v>
      </c>
      <c r="L744" s="520"/>
      <c r="M744" s="685">
        <v>19</v>
      </c>
      <c r="N744" s="687">
        <v>2</v>
      </c>
      <c r="O744" s="682">
        <f t="shared" si="33"/>
        <v>0.10526315789473684</v>
      </c>
      <c r="P744" s="683">
        <f t="shared" si="34"/>
        <v>40.48582995951417</v>
      </c>
      <c r="Q744" s="684">
        <f t="shared" si="35"/>
        <v>0.40485829959514169</v>
      </c>
      <c r="R744" s="490"/>
    </row>
    <row r="745" spans="1:18" x14ac:dyDescent="0.2">
      <c r="A745" s="506" t="s">
        <v>276</v>
      </c>
      <c r="B745" s="502" t="s">
        <v>779</v>
      </c>
      <c r="C745" s="507" t="s">
        <v>282</v>
      </c>
      <c r="D745" s="503" t="s">
        <v>284</v>
      </c>
      <c r="E745" s="348"/>
      <c r="F745" s="504" t="s">
        <v>109</v>
      </c>
      <c r="G745" s="512" t="s">
        <v>1601</v>
      </c>
      <c r="H745" s="511" t="s">
        <v>813</v>
      </c>
      <c r="I745" s="510" t="s">
        <v>790</v>
      </c>
      <c r="J745" s="509" t="s">
        <v>650</v>
      </c>
      <c r="K745" s="516">
        <v>16</v>
      </c>
      <c r="L745" s="520"/>
      <c r="M745" s="685">
        <v>43</v>
      </c>
      <c r="N745" s="687">
        <v>7</v>
      </c>
      <c r="O745" s="682">
        <f t="shared" si="33"/>
        <v>0.16279069767441862</v>
      </c>
      <c r="P745" s="683">
        <f t="shared" si="34"/>
        <v>101.74418604651163</v>
      </c>
      <c r="Q745" s="684">
        <f t="shared" si="35"/>
        <v>1.0174418604651163</v>
      </c>
      <c r="R745" s="490"/>
    </row>
    <row r="746" spans="1:18" x14ac:dyDescent="0.2">
      <c r="A746" s="506" t="s">
        <v>276</v>
      </c>
      <c r="B746" s="502" t="s">
        <v>779</v>
      </c>
      <c r="C746" s="507" t="s">
        <v>282</v>
      </c>
      <c r="D746" s="503" t="s">
        <v>279</v>
      </c>
      <c r="E746" s="348"/>
      <c r="F746" s="504" t="s">
        <v>109</v>
      </c>
      <c r="G746" s="512" t="s">
        <v>1601</v>
      </c>
      <c r="H746" s="511" t="s">
        <v>813</v>
      </c>
      <c r="I746" s="510" t="s">
        <v>790</v>
      </c>
      <c r="J746" s="509" t="s">
        <v>650</v>
      </c>
      <c r="K746" s="516">
        <v>6</v>
      </c>
      <c r="L746" s="520"/>
      <c r="M746" s="685">
        <v>65</v>
      </c>
      <c r="N746" s="687">
        <v>7</v>
      </c>
      <c r="O746" s="682">
        <f t="shared" si="33"/>
        <v>0.1076923076923077</v>
      </c>
      <c r="P746" s="683">
        <f t="shared" si="34"/>
        <v>179.4871794871795</v>
      </c>
      <c r="Q746" s="684">
        <f t="shared" si="35"/>
        <v>1.7948717948717949</v>
      </c>
      <c r="R746" s="490"/>
    </row>
    <row r="747" spans="1:18" x14ac:dyDescent="0.2">
      <c r="A747" s="506" t="s">
        <v>276</v>
      </c>
      <c r="B747" s="502" t="s">
        <v>779</v>
      </c>
      <c r="C747" s="507" t="s">
        <v>282</v>
      </c>
      <c r="D747" s="503" t="s">
        <v>281</v>
      </c>
      <c r="E747" s="348"/>
      <c r="F747" s="504" t="s">
        <v>109</v>
      </c>
      <c r="G747" s="512" t="s">
        <v>1601</v>
      </c>
      <c r="H747" s="511" t="s">
        <v>813</v>
      </c>
      <c r="I747" s="510" t="s">
        <v>790</v>
      </c>
      <c r="J747" s="509" t="s">
        <v>650</v>
      </c>
      <c r="K747" s="516">
        <v>8</v>
      </c>
      <c r="L747" s="520"/>
      <c r="M747" s="685">
        <v>48</v>
      </c>
      <c r="N747" s="687">
        <v>12</v>
      </c>
      <c r="O747" s="682">
        <f t="shared" si="33"/>
        <v>0.25</v>
      </c>
      <c r="P747" s="683">
        <f t="shared" si="34"/>
        <v>312.5</v>
      </c>
      <c r="Q747" s="684">
        <f t="shared" si="35"/>
        <v>3.125</v>
      </c>
      <c r="R747" s="490"/>
    </row>
    <row r="748" spans="1:18" x14ac:dyDescent="0.2">
      <c r="A748" s="506" t="s">
        <v>276</v>
      </c>
      <c r="B748" s="502" t="s">
        <v>779</v>
      </c>
      <c r="C748" s="507" t="s">
        <v>288</v>
      </c>
      <c r="D748" s="503" t="s">
        <v>287</v>
      </c>
      <c r="E748" s="348"/>
      <c r="F748" s="504" t="s">
        <v>109</v>
      </c>
      <c r="G748" s="512" t="s">
        <v>1601</v>
      </c>
      <c r="H748" s="511" t="s">
        <v>813</v>
      </c>
      <c r="I748" s="510" t="s">
        <v>790</v>
      </c>
      <c r="J748" s="509" t="s">
        <v>650</v>
      </c>
      <c r="K748" s="516">
        <v>28.999999999999996</v>
      </c>
      <c r="L748" s="520"/>
      <c r="M748" s="685">
        <v>299</v>
      </c>
      <c r="N748" s="687">
        <v>36</v>
      </c>
      <c r="O748" s="682">
        <f t="shared" si="33"/>
        <v>0.12040133779264214</v>
      </c>
      <c r="P748" s="683">
        <f t="shared" si="34"/>
        <v>41.517702687117982</v>
      </c>
      <c r="Q748" s="684">
        <f t="shared" si="35"/>
        <v>0.4151770268711798</v>
      </c>
      <c r="R748" s="490"/>
    </row>
    <row r="749" spans="1:18" x14ac:dyDescent="0.2">
      <c r="A749" s="506" t="s">
        <v>276</v>
      </c>
      <c r="B749" s="502" t="s">
        <v>779</v>
      </c>
      <c r="C749" s="507" t="s">
        <v>288</v>
      </c>
      <c r="D749" s="503" t="s">
        <v>283</v>
      </c>
      <c r="E749" s="348"/>
      <c r="F749" s="504" t="s">
        <v>109</v>
      </c>
      <c r="G749" s="512" t="s">
        <v>1601</v>
      </c>
      <c r="H749" s="511" t="s">
        <v>813</v>
      </c>
      <c r="I749" s="510" t="s">
        <v>790</v>
      </c>
      <c r="J749" s="509" t="s">
        <v>650</v>
      </c>
      <c r="K749" s="516">
        <v>8</v>
      </c>
      <c r="L749" s="520"/>
      <c r="M749" s="685">
        <v>64</v>
      </c>
      <c r="N749" s="687">
        <v>6</v>
      </c>
      <c r="O749" s="682">
        <f t="shared" si="33"/>
        <v>9.375E-2</v>
      </c>
      <c r="P749" s="683">
        <f t="shared" si="34"/>
        <v>117.1875</v>
      </c>
      <c r="Q749" s="684">
        <f t="shared" si="35"/>
        <v>1.171875</v>
      </c>
      <c r="R749" s="490"/>
    </row>
    <row r="750" spans="1:18" x14ac:dyDescent="0.2">
      <c r="A750" s="506" t="s">
        <v>276</v>
      </c>
      <c r="B750" s="502" t="s">
        <v>779</v>
      </c>
      <c r="C750" s="507" t="s">
        <v>288</v>
      </c>
      <c r="D750" s="503" t="s">
        <v>284</v>
      </c>
      <c r="E750" s="348"/>
      <c r="F750" s="504" t="s">
        <v>109</v>
      </c>
      <c r="G750" s="512" t="s">
        <v>1601</v>
      </c>
      <c r="H750" s="511" t="s">
        <v>813</v>
      </c>
      <c r="I750" s="510" t="s">
        <v>790</v>
      </c>
      <c r="J750" s="509" t="s">
        <v>650</v>
      </c>
      <c r="K750" s="516">
        <v>8</v>
      </c>
      <c r="L750" s="520" t="s">
        <v>791</v>
      </c>
      <c r="M750" s="685">
        <v>10</v>
      </c>
      <c r="N750" s="687">
        <v>0</v>
      </c>
      <c r="O750" s="682">
        <f t="shared" si="33"/>
        <v>0</v>
      </c>
      <c r="P750" s="683">
        <f t="shared" si="34"/>
        <v>0</v>
      </c>
      <c r="Q750" s="684">
        <f t="shared" si="35"/>
        <v>0</v>
      </c>
      <c r="R750" s="491"/>
    </row>
    <row r="751" spans="1:18" x14ac:dyDescent="0.2">
      <c r="A751" s="506" t="s">
        <v>276</v>
      </c>
      <c r="B751" s="502" t="s">
        <v>779</v>
      </c>
      <c r="C751" s="507" t="s">
        <v>288</v>
      </c>
      <c r="D751" s="503" t="s">
        <v>279</v>
      </c>
      <c r="E751" s="348"/>
      <c r="F751" s="504" t="s">
        <v>109</v>
      </c>
      <c r="G751" s="512" t="s">
        <v>1601</v>
      </c>
      <c r="H751" s="511" t="s">
        <v>813</v>
      </c>
      <c r="I751" s="510" t="s">
        <v>790</v>
      </c>
      <c r="J751" s="509" t="s">
        <v>650</v>
      </c>
      <c r="K751" s="516">
        <v>0</v>
      </c>
      <c r="L751" s="520" t="s">
        <v>791</v>
      </c>
      <c r="M751" s="685">
        <v>2</v>
      </c>
      <c r="N751" s="687">
        <v>1</v>
      </c>
      <c r="O751" s="682">
        <f t="shared" si="33"/>
        <v>0.5</v>
      </c>
      <c r="P751" s="683" t="str">
        <f t="shared" si="34"/>
        <v>0</v>
      </c>
      <c r="Q751" s="684" t="str">
        <f t="shared" si="35"/>
        <v>0</v>
      </c>
      <c r="R751" s="491"/>
    </row>
    <row r="752" spans="1:18" x14ac:dyDescent="0.2">
      <c r="A752" s="506" t="s">
        <v>276</v>
      </c>
      <c r="B752" s="502" t="s">
        <v>779</v>
      </c>
      <c r="C752" s="507" t="s">
        <v>288</v>
      </c>
      <c r="D752" s="503" t="s">
        <v>281</v>
      </c>
      <c r="E752" s="348"/>
      <c r="F752" s="504" t="s">
        <v>109</v>
      </c>
      <c r="G752" s="512" t="s">
        <v>1601</v>
      </c>
      <c r="H752" s="511" t="s">
        <v>813</v>
      </c>
      <c r="I752" s="510" t="s">
        <v>790</v>
      </c>
      <c r="J752" s="509" t="s">
        <v>650</v>
      </c>
      <c r="K752" s="516">
        <v>8</v>
      </c>
      <c r="L752" s="520" t="s">
        <v>791</v>
      </c>
      <c r="M752" s="685">
        <v>17</v>
      </c>
      <c r="N752" s="687">
        <v>3</v>
      </c>
      <c r="O752" s="682">
        <f t="shared" si="33"/>
        <v>0.17647058823529413</v>
      </c>
      <c r="P752" s="683">
        <f t="shared" si="34"/>
        <v>220.58823529411762</v>
      </c>
      <c r="Q752" s="684">
        <f t="shared" si="35"/>
        <v>2.2058823529411762</v>
      </c>
      <c r="R752" s="491"/>
    </row>
    <row r="753" spans="1:18" x14ac:dyDescent="0.2">
      <c r="A753" s="506" t="s">
        <v>276</v>
      </c>
      <c r="B753" s="502" t="s">
        <v>779</v>
      </c>
      <c r="C753" s="507" t="s">
        <v>99</v>
      </c>
      <c r="D753" s="503" t="s">
        <v>287</v>
      </c>
      <c r="E753" s="348"/>
      <c r="F753" s="504" t="s">
        <v>109</v>
      </c>
      <c r="G753" s="512" t="s">
        <v>1601</v>
      </c>
      <c r="H753" s="511" t="s">
        <v>813</v>
      </c>
      <c r="I753" s="510" t="s">
        <v>790</v>
      </c>
      <c r="J753" s="509" t="s">
        <v>650</v>
      </c>
      <c r="K753" s="516">
        <v>17</v>
      </c>
      <c r="L753" s="520"/>
      <c r="M753" s="685">
        <v>326</v>
      </c>
      <c r="N753" s="687">
        <v>49</v>
      </c>
      <c r="O753" s="682">
        <f t="shared" si="33"/>
        <v>0.15030674846625766</v>
      </c>
      <c r="P753" s="683">
        <f t="shared" si="34"/>
        <v>88.415734391916274</v>
      </c>
      <c r="Q753" s="684">
        <f t="shared" si="35"/>
        <v>0.88415734391916267</v>
      </c>
      <c r="R753" s="490"/>
    </row>
    <row r="754" spans="1:18" x14ac:dyDescent="0.2">
      <c r="A754" s="506" t="s">
        <v>276</v>
      </c>
      <c r="B754" s="502" t="s">
        <v>779</v>
      </c>
      <c r="C754" s="507" t="s">
        <v>99</v>
      </c>
      <c r="D754" s="503" t="s">
        <v>283</v>
      </c>
      <c r="E754" s="348"/>
      <c r="F754" s="504" t="s">
        <v>109</v>
      </c>
      <c r="G754" s="512" t="s">
        <v>1601</v>
      </c>
      <c r="H754" s="511" t="s">
        <v>813</v>
      </c>
      <c r="I754" s="510" t="s">
        <v>790</v>
      </c>
      <c r="J754" s="509" t="s">
        <v>650</v>
      </c>
      <c r="K754" s="516">
        <v>36</v>
      </c>
      <c r="L754" s="520"/>
      <c r="M754" s="685">
        <v>17</v>
      </c>
      <c r="N754" s="687">
        <v>4</v>
      </c>
      <c r="O754" s="682">
        <f t="shared" si="33"/>
        <v>0.23529411764705882</v>
      </c>
      <c r="P754" s="683">
        <f t="shared" si="34"/>
        <v>65.359477124183002</v>
      </c>
      <c r="Q754" s="684">
        <f t="shared" si="35"/>
        <v>0.65359477124183007</v>
      </c>
      <c r="R754" s="490"/>
    </row>
    <row r="755" spans="1:18" x14ac:dyDescent="0.2">
      <c r="A755" s="506" t="s">
        <v>276</v>
      </c>
      <c r="B755" s="502" t="s">
        <v>779</v>
      </c>
      <c r="C755" s="507" t="s">
        <v>99</v>
      </c>
      <c r="D755" s="503" t="s">
        <v>284</v>
      </c>
      <c r="E755" s="348"/>
      <c r="F755" s="504" t="s">
        <v>109</v>
      </c>
      <c r="G755" s="512" t="s">
        <v>1601</v>
      </c>
      <c r="H755" s="511" t="s">
        <v>813</v>
      </c>
      <c r="I755" s="510" t="s">
        <v>790</v>
      </c>
      <c r="J755" s="509" t="s">
        <v>650</v>
      </c>
      <c r="K755" s="516">
        <v>80</v>
      </c>
      <c r="L755" s="520"/>
      <c r="M755" s="685">
        <v>8</v>
      </c>
      <c r="N755" s="687">
        <v>2</v>
      </c>
      <c r="O755" s="682">
        <f t="shared" si="33"/>
        <v>0.25</v>
      </c>
      <c r="P755" s="683">
        <f t="shared" si="34"/>
        <v>31.25</v>
      </c>
      <c r="Q755" s="684">
        <f t="shared" si="35"/>
        <v>0.3125</v>
      </c>
      <c r="R755" s="490"/>
    </row>
    <row r="756" spans="1:18" x14ac:dyDescent="0.2">
      <c r="A756" s="506" t="s">
        <v>276</v>
      </c>
      <c r="B756" s="502" t="s">
        <v>779</v>
      </c>
      <c r="C756" s="507" t="s">
        <v>99</v>
      </c>
      <c r="D756" s="503" t="s">
        <v>279</v>
      </c>
      <c r="E756" s="348"/>
      <c r="F756" s="504" t="s">
        <v>109</v>
      </c>
      <c r="G756" s="512" t="s">
        <v>1601</v>
      </c>
      <c r="H756" s="511" t="s">
        <v>813</v>
      </c>
      <c r="I756" s="510" t="s">
        <v>790</v>
      </c>
      <c r="J756" s="509" t="s">
        <v>650</v>
      </c>
      <c r="K756" s="516">
        <v>17</v>
      </c>
      <c r="L756" s="520" t="s">
        <v>791</v>
      </c>
      <c r="M756" s="685">
        <v>5</v>
      </c>
      <c r="N756" s="687">
        <v>2</v>
      </c>
      <c r="O756" s="682">
        <f t="shared" si="33"/>
        <v>0.4</v>
      </c>
      <c r="P756" s="683">
        <f t="shared" si="34"/>
        <v>235.29411764705878</v>
      </c>
      <c r="Q756" s="684">
        <f t="shared" si="35"/>
        <v>2.3529411764705879</v>
      </c>
      <c r="R756" s="491"/>
    </row>
    <row r="757" spans="1:18" x14ac:dyDescent="0.2">
      <c r="A757" s="506" t="s">
        <v>276</v>
      </c>
      <c r="B757" s="502" t="s">
        <v>779</v>
      </c>
      <c r="C757" s="507" t="s">
        <v>99</v>
      </c>
      <c r="D757" s="503" t="s">
        <v>281</v>
      </c>
      <c r="E757" s="348"/>
      <c r="F757" s="504" t="s">
        <v>109</v>
      </c>
      <c r="G757" s="512" t="s">
        <v>1601</v>
      </c>
      <c r="H757" s="511" t="s">
        <v>813</v>
      </c>
      <c r="I757" s="510" t="s">
        <v>790</v>
      </c>
      <c r="J757" s="509" t="s">
        <v>650</v>
      </c>
      <c r="K757" s="516">
        <v>0</v>
      </c>
      <c r="L757" s="520" t="s">
        <v>791</v>
      </c>
      <c r="M757" s="685">
        <v>1</v>
      </c>
      <c r="N757" s="687">
        <v>0</v>
      </c>
      <c r="O757" s="682">
        <f t="shared" si="33"/>
        <v>0</v>
      </c>
      <c r="P757" s="683" t="str">
        <f t="shared" si="34"/>
        <v>0</v>
      </c>
      <c r="Q757" s="684" t="str">
        <f t="shared" si="35"/>
        <v>0</v>
      </c>
      <c r="R757" s="491"/>
    </row>
    <row r="758" spans="1:18" x14ac:dyDescent="0.2">
      <c r="A758" s="506" t="s">
        <v>276</v>
      </c>
      <c r="B758" s="502" t="s">
        <v>779</v>
      </c>
      <c r="C758" s="507" t="s">
        <v>285</v>
      </c>
      <c r="D758" s="503" t="s">
        <v>287</v>
      </c>
      <c r="E758" s="348"/>
      <c r="F758" s="504" t="s">
        <v>109</v>
      </c>
      <c r="G758" s="512" t="s">
        <v>1601</v>
      </c>
      <c r="H758" s="511" t="s">
        <v>813</v>
      </c>
      <c r="I758" s="510" t="s">
        <v>790</v>
      </c>
      <c r="J758" s="509" t="s">
        <v>650</v>
      </c>
      <c r="K758" s="516">
        <v>13</v>
      </c>
      <c r="L758" s="520"/>
      <c r="M758" s="685">
        <v>0</v>
      </c>
      <c r="N758" s="687">
        <v>0</v>
      </c>
      <c r="O758" s="682">
        <f t="shared" si="33"/>
        <v>0</v>
      </c>
      <c r="P758" s="683" t="str">
        <f t="shared" si="34"/>
        <v>0</v>
      </c>
      <c r="Q758" s="684" t="str">
        <f t="shared" si="35"/>
        <v>0</v>
      </c>
      <c r="R758" s="491"/>
    </row>
    <row r="759" spans="1:18" x14ac:dyDescent="0.2">
      <c r="A759" s="506" t="s">
        <v>276</v>
      </c>
      <c r="B759" s="502" t="s">
        <v>779</v>
      </c>
      <c r="C759" s="507" t="s">
        <v>285</v>
      </c>
      <c r="D759" s="503" t="s">
        <v>283</v>
      </c>
      <c r="E759" s="348"/>
      <c r="F759" s="504" t="s">
        <v>109</v>
      </c>
      <c r="G759" s="512" t="s">
        <v>1601</v>
      </c>
      <c r="H759" s="511" t="s">
        <v>813</v>
      </c>
      <c r="I759" s="510" t="s">
        <v>790</v>
      </c>
      <c r="J759" s="509" t="s">
        <v>650</v>
      </c>
      <c r="K759" s="516">
        <v>50</v>
      </c>
      <c r="L759" s="520" t="s">
        <v>791</v>
      </c>
      <c r="M759" s="685">
        <v>5</v>
      </c>
      <c r="N759" s="687">
        <v>1</v>
      </c>
      <c r="O759" s="682">
        <f t="shared" si="33"/>
        <v>0.2</v>
      </c>
      <c r="P759" s="683">
        <f t="shared" si="34"/>
        <v>40</v>
      </c>
      <c r="Q759" s="684">
        <f t="shared" si="35"/>
        <v>0.4</v>
      </c>
      <c r="R759" s="491"/>
    </row>
    <row r="760" spans="1:18" x14ac:dyDescent="0.2">
      <c r="A760" s="506" t="s">
        <v>276</v>
      </c>
      <c r="B760" s="502" t="s">
        <v>779</v>
      </c>
      <c r="C760" s="507" t="s">
        <v>285</v>
      </c>
      <c r="D760" s="503" t="s">
        <v>284</v>
      </c>
      <c r="E760" s="348"/>
      <c r="F760" s="504" t="s">
        <v>109</v>
      </c>
      <c r="G760" s="512" t="s">
        <v>1601</v>
      </c>
      <c r="H760" s="511" t="s">
        <v>813</v>
      </c>
      <c r="I760" s="510" t="s">
        <v>790</v>
      </c>
      <c r="J760" s="509" t="s">
        <v>650</v>
      </c>
      <c r="K760" s="516">
        <v>0</v>
      </c>
      <c r="L760" s="520" t="s">
        <v>791</v>
      </c>
      <c r="M760" s="685">
        <v>4</v>
      </c>
      <c r="N760" s="687">
        <v>0</v>
      </c>
      <c r="O760" s="682">
        <f t="shared" si="33"/>
        <v>0</v>
      </c>
      <c r="P760" s="683" t="str">
        <f t="shared" si="34"/>
        <v>0</v>
      </c>
      <c r="Q760" s="684" t="str">
        <f t="shared" si="35"/>
        <v>0</v>
      </c>
      <c r="R760" s="491"/>
    </row>
    <row r="761" spans="1:18" x14ac:dyDescent="0.2">
      <c r="A761" s="506" t="s">
        <v>276</v>
      </c>
      <c r="B761" s="502" t="s">
        <v>779</v>
      </c>
      <c r="C761" s="507" t="s">
        <v>285</v>
      </c>
      <c r="D761" s="503" t="s">
        <v>279</v>
      </c>
      <c r="E761" s="348"/>
      <c r="F761" s="504" t="s">
        <v>109</v>
      </c>
      <c r="G761" s="512" t="s">
        <v>1601</v>
      </c>
      <c r="H761" s="511" t="s">
        <v>813</v>
      </c>
      <c r="I761" s="510" t="s">
        <v>790</v>
      </c>
      <c r="J761" s="509" t="s">
        <v>650</v>
      </c>
      <c r="K761" s="516">
        <v>0</v>
      </c>
      <c r="L761" s="520" t="s">
        <v>791</v>
      </c>
      <c r="M761" s="685">
        <v>1</v>
      </c>
      <c r="N761" s="687">
        <v>0</v>
      </c>
      <c r="O761" s="682">
        <f t="shared" si="33"/>
        <v>0</v>
      </c>
      <c r="P761" s="683" t="str">
        <f t="shared" si="34"/>
        <v>0</v>
      </c>
      <c r="Q761" s="684" t="str">
        <f t="shared" si="35"/>
        <v>0</v>
      </c>
      <c r="R761" s="491"/>
    </row>
    <row r="762" spans="1:18" x14ac:dyDescent="0.2">
      <c r="A762" s="506" t="s">
        <v>276</v>
      </c>
      <c r="B762" s="502" t="s">
        <v>779</v>
      </c>
      <c r="C762" s="507" t="s">
        <v>285</v>
      </c>
      <c r="D762" s="503" t="s">
        <v>281</v>
      </c>
      <c r="E762" s="348"/>
      <c r="F762" s="504" t="s">
        <v>109</v>
      </c>
      <c r="G762" s="512" t="s">
        <v>1601</v>
      </c>
      <c r="H762" s="511" t="s">
        <v>813</v>
      </c>
      <c r="I762" s="510" t="s">
        <v>790</v>
      </c>
      <c r="J762" s="509" t="s">
        <v>650</v>
      </c>
      <c r="K762" s="516">
        <v>25</v>
      </c>
      <c r="L762" s="520"/>
      <c r="M762" s="685">
        <v>12</v>
      </c>
      <c r="N762" s="687">
        <v>4</v>
      </c>
      <c r="O762" s="682">
        <f t="shared" si="33"/>
        <v>0.33333333333333331</v>
      </c>
      <c r="P762" s="683">
        <f t="shared" si="34"/>
        <v>133.33333333333331</v>
      </c>
      <c r="Q762" s="684">
        <f t="shared" si="35"/>
        <v>1.3333333333333333</v>
      </c>
      <c r="R762" s="490"/>
    </row>
    <row r="763" spans="1:18" x14ac:dyDescent="0.2">
      <c r="A763" s="506" t="s">
        <v>276</v>
      </c>
      <c r="B763" s="502" t="s">
        <v>779</v>
      </c>
      <c r="C763" s="507" t="s">
        <v>285</v>
      </c>
      <c r="D763" s="503" t="s">
        <v>286</v>
      </c>
      <c r="E763" s="348"/>
      <c r="F763" s="504" t="s">
        <v>109</v>
      </c>
      <c r="G763" s="512" t="s">
        <v>1601</v>
      </c>
      <c r="H763" s="511" t="s">
        <v>813</v>
      </c>
      <c r="I763" s="510" t="s">
        <v>790</v>
      </c>
      <c r="J763" s="509" t="s">
        <v>650</v>
      </c>
      <c r="K763" s="516">
        <v>10</v>
      </c>
      <c r="L763" s="520"/>
      <c r="M763" s="685">
        <v>20</v>
      </c>
      <c r="N763" s="687">
        <v>0</v>
      </c>
      <c r="O763" s="682">
        <f t="shared" si="33"/>
        <v>0</v>
      </c>
      <c r="P763" s="683">
        <f t="shared" si="34"/>
        <v>0</v>
      </c>
      <c r="Q763" s="684">
        <f t="shared" si="35"/>
        <v>0</v>
      </c>
      <c r="R763" s="490"/>
    </row>
    <row r="764" spans="1:18" x14ac:dyDescent="0.2">
      <c r="A764" s="506" t="s">
        <v>276</v>
      </c>
      <c r="B764" s="502" t="s">
        <v>779</v>
      </c>
      <c r="C764" s="507" t="s">
        <v>291</v>
      </c>
      <c r="D764" s="503" t="s">
        <v>283</v>
      </c>
      <c r="E764" s="348"/>
      <c r="F764" s="504" t="s">
        <v>109</v>
      </c>
      <c r="G764" s="512" t="s">
        <v>1601</v>
      </c>
      <c r="H764" s="511" t="s">
        <v>813</v>
      </c>
      <c r="I764" s="510" t="s">
        <v>790</v>
      </c>
      <c r="J764" s="509" t="s">
        <v>650</v>
      </c>
      <c r="K764" s="516">
        <v>0</v>
      </c>
      <c r="L764" s="520" t="s">
        <v>791</v>
      </c>
      <c r="M764" s="685">
        <v>0</v>
      </c>
      <c r="N764" s="687">
        <v>0</v>
      </c>
      <c r="O764" s="682">
        <f t="shared" si="33"/>
        <v>0</v>
      </c>
      <c r="P764" s="683" t="str">
        <f t="shared" si="34"/>
        <v>0</v>
      </c>
      <c r="Q764" s="684" t="str">
        <f t="shared" si="35"/>
        <v>0</v>
      </c>
      <c r="R764" s="491"/>
    </row>
    <row r="765" spans="1:18" x14ac:dyDescent="0.2">
      <c r="A765" s="506" t="s">
        <v>276</v>
      </c>
      <c r="B765" s="502" t="s">
        <v>779</v>
      </c>
      <c r="C765" s="507" t="s">
        <v>291</v>
      </c>
      <c r="D765" s="503" t="s">
        <v>284</v>
      </c>
      <c r="E765" s="348"/>
      <c r="F765" s="504" t="s">
        <v>109</v>
      </c>
      <c r="G765" s="512" t="s">
        <v>1601</v>
      </c>
      <c r="H765" s="511" t="s">
        <v>813</v>
      </c>
      <c r="I765" s="510" t="s">
        <v>790</v>
      </c>
      <c r="J765" s="509" t="s">
        <v>650</v>
      </c>
      <c r="K765" s="516">
        <v>0</v>
      </c>
      <c r="L765" s="520" t="s">
        <v>791</v>
      </c>
      <c r="M765" s="685">
        <v>0</v>
      </c>
      <c r="N765" s="687">
        <v>0</v>
      </c>
      <c r="O765" s="682">
        <f t="shared" si="33"/>
        <v>0</v>
      </c>
      <c r="P765" s="683" t="str">
        <f t="shared" si="34"/>
        <v>0</v>
      </c>
      <c r="Q765" s="684" t="str">
        <f t="shared" si="35"/>
        <v>0</v>
      </c>
      <c r="R765" s="491"/>
    </row>
    <row r="766" spans="1:18" x14ac:dyDescent="0.2">
      <c r="A766" s="506" t="s">
        <v>276</v>
      </c>
      <c r="B766" s="502" t="s">
        <v>779</v>
      </c>
      <c r="C766" s="507" t="s">
        <v>290</v>
      </c>
      <c r="D766" s="503" t="s">
        <v>287</v>
      </c>
      <c r="E766" s="348"/>
      <c r="F766" s="504" t="s">
        <v>109</v>
      </c>
      <c r="G766" s="512" t="s">
        <v>1601</v>
      </c>
      <c r="H766" s="511" t="s">
        <v>813</v>
      </c>
      <c r="I766" s="510" t="s">
        <v>790</v>
      </c>
      <c r="J766" s="509" t="s">
        <v>650</v>
      </c>
      <c r="K766" s="516">
        <v>38</v>
      </c>
      <c r="L766" s="520"/>
      <c r="M766" s="685">
        <v>65</v>
      </c>
      <c r="N766" s="687">
        <v>9</v>
      </c>
      <c r="O766" s="682">
        <f t="shared" si="33"/>
        <v>0.13846153846153847</v>
      </c>
      <c r="P766" s="683">
        <f t="shared" si="34"/>
        <v>36.43724696356275</v>
      </c>
      <c r="Q766" s="684">
        <f t="shared" si="35"/>
        <v>0.36437246963562753</v>
      </c>
      <c r="R766" s="490"/>
    </row>
    <row r="767" spans="1:18" x14ac:dyDescent="0.2">
      <c r="A767" s="506" t="s">
        <v>276</v>
      </c>
      <c r="B767" s="502" t="s">
        <v>779</v>
      </c>
      <c r="C767" s="507" t="s">
        <v>290</v>
      </c>
      <c r="D767" s="503" t="s">
        <v>283</v>
      </c>
      <c r="E767" s="348"/>
      <c r="F767" s="504" t="s">
        <v>109</v>
      </c>
      <c r="G767" s="512" t="s">
        <v>1601</v>
      </c>
      <c r="H767" s="511" t="s">
        <v>813</v>
      </c>
      <c r="I767" s="510" t="s">
        <v>790</v>
      </c>
      <c r="J767" s="509" t="s">
        <v>650</v>
      </c>
      <c r="K767" s="516">
        <v>0</v>
      </c>
      <c r="L767" s="520" t="s">
        <v>791</v>
      </c>
      <c r="M767" s="685">
        <v>5</v>
      </c>
      <c r="N767" s="687">
        <v>0</v>
      </c>
      <c r="O767" s="682">
        <f t="shared" si="33"/>
        <v>0</v>
      </c>
      <c r="P767" s="683" t="str">
        <f t="shared" si="34"/>
        <v>0</v>
      </c>
      <c r="Q767" s="684" t="str">
        <f t="shared" si="35"/>
        <v>0</v>
      </c>
      <c r="R767" s="491"/>
    </row>
    <row r="768" spans="1:18" x14ac:dyDescent="0.2">
      <c r="A768" s="506" t="s">
        <v>276</v>
      </c>
      <c r="B768" s="502" t="s">
        <v>779</v>
      </c>
      <c r="C768" s="507" t="s">
        <v>290</v>
      </c>
      <c r="D768" s="503" t="s">
        <v>284</v>
      </c>
      <c r="E768" s="348"/>
      <c r="F768" s="504" t="s">
        <v>109</v>
      </c>
      <c r="G768" s="512" t="s">
        <v>1601</v>
      </c>
      <c r="H768" s="511" t="s">
        <v>813</v>
      </c>
      <c r="I768" s="510" t="s">
        <v>790</v>
      </c>
      <c r="J768" s="509" t="s">
        <v>650</v>
      </c>
      <c r="K768" s="516">
        <v>0</v>
      </c>
      <c r="L768" s="520" t="s">
        <v>791</v>
      </c>
      <c r="M768" s="685">
        <v>0</v>
      </c>
      <c r="N768" s="687">
        <v>0</v>
      </c>
      <c r="O768" s="682">
        <f t="shared" si="33"/>
        <v>0</v>
      </c>
      <c r="P768" s="683" t="str">
        <f t="shared" si="34"/>
        <v>0</v>
      </c>
      <c r="Q768" s="684" t="str">
        <f t="shared" si="35"/>
        <v>0</v>
      </c>
      <c r="R768" s="491"/>
    </row>
    <row r="769" spans="1:18" x14ac:dyDescent="0.2">
      <c r="A769" s="506" t="s">
        <v>276</v>
      </c>
      <c r="B769" s="502" t="s">
        <v>779</v>
      </c>
      <c r="C769" s="507" t="s">
        <v>289</v>
      </c>
      <c r="D769" s="503" t="s">
        <v>287</v>
      </c>
      <c r="E769" s="348"/>
      <c r="F769" s="504" t="s">
        <v>109</v>
      </c>
      <c r="G769" s="512" t="s">
        <v>1601</v>
      </c>
      <c r="H769" s="511" t="s">
        <v>813</v>
      </c>
      <c r="I769" s="510" t="s">
        <v>790</v>
      </c>
      <c r="J769" s="509" t="s">
        <v>650</v>
      </c>
      <c r="K769" s="516">
        <v>5</v>
      </c>
      <c r="L769" s="520"/>
      <c r="M769" s="685">
        <v>733</v>
      </c>
      <c r="N769" s="687">
        <v>90</v>
      </c>
      <c r="O769" s="682">
        <f t="shared" si="33"/>
        <v>0.12278308321964529</v>
      </c>
      <c r="P769" s="683">
        <f t="shared" si="34"/>
        <v>245.56616643929061</v>
      </c>
      <c r="Q769" s="684">
        <f t="shared" si="35"/>
        <v>2.4556616643929061</v>
      </c>
      <c r="R769" s="490"/>
    </row>
    <row r="770" spans="1:18" x14ac:dyDescent="0.2">
      <c r="A770" s="506" t="s">
        <v>276</v>
      </c>
      <c r="B770" s="502" t="s">
        <v>779</v>
      </c>
      <c r="C770" s="507" t="s">
        <v>289</v>
      </c>
      <c r="D770" s="503" t="s">
        <v>283</v>
      </c>
      <c r="E770" s="348"/>
      <c r="F770" s="504" t="s">
        <v>109</v>
      </c>
      <c r="G770" s="512" t="s">
        <v>1601</v>
      </c>
      <c r="H770" s="511" t="s">
        <v>813</v>
      </c>
      <c r="I770" s="510" t="s">
        <v>790</v>
      </c>
      <c r="J770" s="509" t="s">
        <v>650</v>
      </c>
      <c r="K770" s="516">
        <v>32</v>
      </c>
      <c r="L770" s="520"/>
      <c r="M770" s="685">
        <v>134</v>
      </c>
      <c r="N770" s="687">
        <v>38</v>
      </c>
      <c r="O770" s="682">
        <f t="shared" si="33"/>
        <v>0.28358208955223879</v>
      </c>
      <c r="P770" s="683">
        <f t="shared" si="34"/>
        <v>88.619402985074629</v>
      </c>
      <c r="Q770" s="684">
        <f t="shared" si="35"/>
        <v>0.88619402985074625</v>
      </c>
      <c r="R770" s="490"/>
    </row>
    <row r="771" spans="1:18" x14ac:dyDescent="0.2">
      <c r="A771" s="506" t="s">
        <v>276</v>
      </c>
      <c r="B771" s="502" t="s">
        <v>779</v>
      </c>
      <c r="C771" s="507" t="s">
        <v>289</v>
      </c>
      <c r="D771" s="503" t="s">
        <v>284</v>
      </c>
      <c r="E771" s="348"/>
      <c r="F771" s="504" t="s">
        <v>109</v>
      </c>
      <c r="G771" s="512" t="s">
        <v>1601</v>
      </c>
      <c r="H771" s="511" t="s">
        <v>813</v>
      </c>
      <c r="I771" s="510" t="s">
        <v>790</v>
      </c>
      <c r="J771" s="509" t="s">
        <v>650</v>
      </c>
      <c r="K771" s="516">
        <v>33</v>
      </c>
      <c r="L771" s="520"/>
      <c r="M771" s="685">
        <v>29</v>
      </c>
      <c r="N771" s="687">
        <v>13</v>
      </c>
      <c r="O771" s="682">
        <f t="shared" si="33"/>
        <v>0.44827586206896552</v>
      </c>
      <c r="P771" s="683">
        <f t="shared" si="34"/>
        <v>135.84117032392896</v>
      </c>
      <c r="Q771" s="684">
        <f t="shared" si="35"/>
        <v>1.3584117032392895</v>
      </c>
      <c r="R771" s="490"/>
    </row>
    <row r="772" spans="1:18" x14ac:dyDescent="0.2">
      <c r="A772" s="506" t="s">
        <v>276</v>
      </c>
      <c r="B772" s="502" t="s">
        <v>779</v>
      </c>
      <c r="C772" s="507" t="s">
        <v>289</v>
      </c>
      <c r="D772" s="503" t="s">
        <v>281</v>
      </c>
      <c r="E772" s="348"/>
      <c r="F772" s="504" t="s">
        <v>109</v>
      </c>
      <c r="G772" s="512" t="s">
        <v>1601</v>
      </c>
      <c r="H772" s="511" t="s">
        <v>813</v>
      </c>
      <c r="I772" s="510" t="s">
        <v>790</v>
      </c>
      <c r="J772" s="509" t="s">
        <v>650</v>
      </c>
      <c r="K772" s="516">
        <v>0</v>
      </c>
      <c r="L772" s="520" t="s">
        <v>791</v>
      </c>
      <c r="M772" s="685">
        <v>2</v>
      </c>
      <c r="N772" s="687">
        <v>0</v>
      </c>
      <c r="O772" s="682">
        <f t="shared" si="33"/>
        <v>0</v>
      </c>
      <c r="P772" s="683" t="str">
        <f t="shared" si="34"/>
        <v>0</v>
      </c>
      <c r="Q772" s="684" t="str">
        <f t="shared" si="35"/>
        <v>0</v>
      </c>
      <c r="R772" s="491"/>
    </row>
    <row r="773" spans="1:18" x14ac:dyDescent="0.2">
      <c r="A773" s="506" t="s">
        <v>276</v>
      </c>
      <c r="B773" s="502" t="s">
        <v>779</v>
      </c>
      <c r="C773" s="507" t="s">
        <v>97</v>
      </c>
      <c r="D773" s="503" t="s">
        <v>279</v>
      </c>
      <c r="E773" s="348"/>
      <c r="F773" s="504" t="s">
        <v>109</v>
      </c>
      <c r="G773" s="512" t="s">
        <v>814</v>
      </c>
      <c r="H773" s="511" t="s">
        <v>789</v>
      </c>
      <c r="I773" s="510" t="s">
        <v>790</v>
      </c>
      <c r="J773" s="509" t="s">
        <v>650</v>
      </c>
      <c r="K773" s="516">
        <v>33</v>
      </c>
      <c r="L773" s="520"/>
      <c r="M773" s="685">
        <v>6</v>
      </c>
      <c r="N773" s="687">
        <v>4</v>
      </c>
      <c r="O773" s="682">
        <f t="shared" ref="O773:O836" si="36">IFERROR(N773/M773,0)</f>
        <v>0.66666666666666663</v>
      </c>
      <c r="P773" s="683">
        <f t="shared" ref="P773:P836" si="37">IFERROR(N773/(M773*(K773/100))*100,"0")</f>
        <v>202.02020202020202</v>
      </c>
      <c r="Q773" s="684">
        <f t="shared" ref="Q773:Q836" si="38">IFERROR(N773/(M773*(K773/100)),"0")</f>
        <v>2.0202020202020203</v>
      </c>
      <c r="R773" s="491"/>
    </row>
    <row r="774" spans="1:18" x14ac:dyDescent="0.2">
      <c r="A774" s="506" t="s">
        <v>276</v>
      </c>
      <c r="B774" s="502" t="s">
        <v>779</v>
      </c>
      <c r="C774" s="507" t="s">
        <v>97</v>
      </c>
      <c r="D774" s="503" t="s">
        <v>281</v>
      </c>
      <c r="E774" s="348"/>
      <c r="F774" s="504" t="s">
        <v>109</v>
      </c>
      <c r="G774" s="512" t="s">
        <v>814</v>
      </c>
      <c r="H774" s="511" t="s">
        <v>789</v>
      </c>
      <c r="I774" s="510" t="s">
        <v>790</v>
      </c>
      <c r="J774" s="509" t="s">
        <v>650</v>
      </c>
      <c r="K774" s="516">
        <v>33</v>
      </c>
      <c r="L774" s="520" t="s">
        <v>791</v>
      </c>
      <c r="M774" s="685">
        <v>9</v>
      </c>
      <c r="N774" s="687">
        <v>7</v>
      </c>
      <c r="O774" s="682">
        <f t="shared" si="36"/>
        <v>0.77777777777777779</v>
      </c>
      <c r="P774" s="683">
        <f t="shared" si="37"/>
        <v>235.69023569023568</v>
      </c>
      <c r="Q774" s="684">
        <f t="shared" si="38"/>
        <v>2.3569023569023568</v>
      </c>
      <c r="R774" s="491"/>
    </row>
    <row r="775" spans="1:18" x14ac:dyDescent="0.2">
      <c r="A775" s="506" t="s">
        <v>276</v>
      </c>
      <c r="B775" s="502" t="s">
        <v>779</v>
      </c>
      <c r="C775" s="507" t="s">
        <v>282</v>
      </c>
      <c r="D775" s="503" t="s">
        <v>287</v>
      </c>
      <c r="E775" s="348"/>
      <c r="F775" s="504" t="s">
        <v>109</v>
      </c>
      <c r="G775" s="512" t="s">
        <v>814</v>
      </c>
      <c r="H775" s="511" t="s">
        <v>792</v>
      </c>
      <c r="I775" s="510" t="s">
        <v>790</v>
      </c>
      <c r="J775" s="509" t="s">
        <v>650</v>
      </c>
      <c r="K775" s="516">
        <v>5</v>
      </c>
      <c r="L775" s="520" t="s">
        <v>791</v>
      </c>
      <c r="M775" s="685">
        <v>68</v>
      </c>
      <c r="N775" s="687">
        <v>10</v>
      </c>
      <c r="O775" s="682">
        <f t="shared" si="36"/>
        <v>0.14705882352941177</v>
      </c>
      <c r="P775" s="683">
        <f t="shared" si="37"/>
        <v>294.11764705882348</v>
      </c>
      <c r="Q775" s="684">
        <f t="shared" si="38"/>
        <v>2.9411764705882351</v>
      </c>
      <c r="R775" s="491"/>
    </row>
    <row r="776" spans="1:18" x14ac:dyDescent="0.2">
      <c r="A776" s="506" t="s">
        <v>276</v>
      </c>
      <c r="B776" s="502" t="s">
        <v>779</v>
      </c>
      <c r="C776" s="507" t="s">
        <v>282</v>
      </c>
      <c r="D776" s="503" t="s">
        <v>283</v>
      </c>
      <c r="E776" s="348"/>
      <c r="F776" s="504" t="s">
        <v>109</v>
      </c>
      <c r="G776" s="512" t="s">
        <v>814</v>
      </c>
      <c r="H776" s="511" t="s">
        <v>789</v>
      </c>
      <c r="I776" s="510" t="s">
        <v>790</v>
      </c>
      <c r="J776" s="509" t="s">
        <v>650</v>
      </c>
      <c r="K776" s="516">
        <v>26</v>
      </c>
      <c r="L776" s="520"/>
      <c r="M776" s="685">
        <v>19</v>
      </c>
      <c r="N776" s="687">
        <v>2</v>
      </c>
      <c r="O776" s="682">
        <f t="shared" si="36"/>
        <v>0.10526315789473684</v>
      </c>
      <c r="P776" s="683">
        <f t="shared" si="37"/>
        <v>40.48582995951417</v>
      </c>
      <c r="Q776" s="684">
        <f t="shared" si="38"/>
        <v>0.40485829959514169</v>
      </c>
      <c r="R776" s="490"/>
    </row>
    <row r="777" spans="1:18" x14ac:dyDescent="0.2">
      <c r="A777" s="506" t="s">
        <v>276</v>
      </c>
      <c r="B777" s="502" t="s">
        <v>779</v>
      </c>
      <c r="C777" s="507" t="s">
        <v>282</v>
      </c>
      <c r="D777" s="503" t="s">
        <v>284</v>
      </c>
      <c r="E777" s="348"/>
      <c r="F777" s="504" t="s">
        <v>109</v>
      </c>
      <c r="G777" s="512" t="s">
        <v>814</v>
      </c>
      <c r="H777" s="511" t="s">
        <v>789</v>
      </c>
      <c r="I777" s="510" t="s">
        <v>790</v>
      </c>
      <c r="J777" s="509" t="s">
        <v>650</v>
      </c>
      <c r="K777" s="516">
        <v>16</v>
      </c>
      <c r="L777" s="520"/>
      <c r="M777" s="685">
        <v>43</v>
      </c>
      <c r="N777" s="687">
        <v>7</v>
      </c>
      <c r="O777" s="682">
        <f t="shared" si="36"/>
        <v>0.16279069767441862</v>
      </c>
      <c r="P777" s="683">
        <f t="shared" si="37"/>
        <v>101.74418604651163</v>
      </c>
      <c r="Q777" s="684">
        <f t="shared" si="38"/>
        <v>1.0174418604651163</v>
      </c>
      <c r="R777" s="490"/>
    </row>
    <row r="778" spans="1:18" x14ac:dyDescent="0.2">
      <c r="A778" s="506" t="s">
        <v>276</v>
      </c>
      <c r="B778" s="502" t="s">
        <v>779</v>
      </c>
      <c r="C778" s="507" t="s">
        <v>282</v>
      </c>
      <c r="D778" s="503" t="s">
        <v>279</v>
      </c>
      <c r="E778" s="348"/>
      <c r="F778" s="504" t="s">
        <v>109</v>
      </c>
      <c r="G778" s="512" t="s">
        <v>814</v>
      </c>
      <c r="H778" s="511" t="s">
        <v>789</v>
      </c>
      <c r="I778" s="510" t="s">
        <v>790</v>
      </c>
      <c r="J778" s="509" t="s">
        <v>650</v>
      </c>
      <c r="K778" s="516">
        <v>6</v>
      </c>
      <c r="L778" s="520"/>
      <c r="M778" s="685">
        <v>65</v>
      </c>
      <c r="N778" s="687">
        <v>7</v>
      </c>
      <c r="O778" s="682">
        <f t="shared" si="36"/>
        <v>0.1076923076923077</v>
      </c>
      <c r="P778" s="683">
        <f t="shared" si="37"/>
        <v>179.4871794871795</v>
      </c>
      <c r="Q778" s="684">
        <f t="shared" si="38"/>
        <v>1.7948717948717949</v>
      </c>
      <c r="R778" s="490"/>
    </row>
    <row r="779" spans="1:18" x14ac:dyDescent="0.2">
      <c r="A779" s="506" t="s">
        <v>276</v>
      </c>
      <c r="B779" s="502" t="s">
        <v>779</v>
      </c>
      <c r="C779" s="507" t="s">
        <v>282</v>
      </c>
      <c r="D779" s="503" t="s">
        <v>281</v>
      </c>
      <c r="E779" s="348"/>
      <c r="F779" s="504" t="s">
        <v>109</v>
      </c>
      <c r="G779" s="512" t="s">
        <v>814</v>
      </c>
      <c r="H779" s="511" t="s">
        <v>789</v>
      </c>
      <c r="I779" s="510" t="s">
        <v>790</v>
      </c>
      <c r="J779" s="509" t="s">
        <v>650</v>
      </c>
      <c r="K779" s="516">
        <v>8</v>
      </c>
      <c r="L779" s="520"/>
      <c r="M779" s="685">
        <v>48</v>
      </c>
      <c r="N779" s="687">
        <v>12</v>
      </c>
      <c r="O779" s="682">
        <f t="shared" si="36"/>
        <v>0.25</v>
      </c>
      <c r="P779" s="683">
        <f t="shared" si="37"/>
        <v>312.5</v>
      </c>
      <c r="Q779" s="684">
        <f t="shared" si="38"/>
        <v>3.125</v>
      </c>
      <c r="R779" s="490"/>
    </row>
    <row r="780" spans="1:18" x14ac:dyDescent="0.2">
      <c r="A780" s="506" t="s">
        <v>276</v>
      </c>
      <c r="B780" s="502" t="s">
        <v>779</v>
      </c>
      <c r="C780" s="507" t="s">
        <v>288</v>
      </c>
      <c r="D780" s="503" t="s">
        <v>287</v>
      </c>
      <c r="E780" s="348"/>
      <c r="F780" s="504" t="s">
        <v>109</v>
      </c>
      <c r="G780" s="512" t="s">
        <v>814</v>
      </c>
      <c r="H780" s="511" t="s">
        <v>792</v>
      </c>
      <c r="I780" s="510" t="s">
        <v>790</v>
      </c>
      <c r="J780" s="509" t="s">
        <v>650</v>
      </c>
      <c r="K780" s="516">
        <v>28.999999999999996</v>
      </c>
      <c r="L780" s="520"/>
      <c r="M780" s="685">
        <v>299</v>
      </c>
      <c r="N780" s="687">
        <v>36</v>
      </c>
      <c r="O780" s="682">
        <f t="shared" si="36"/>
        <v>0.12040133779264214</v>
      </c>
      <c r="P780" s="683">
        <f t="shared" si="37"/>
        <v>41.517702687117982</v>
      </c>
      <c r="Q780" s="684">
        <f t="shared" si="38"/>
        <v>0.4151770268711798</v>
      </c>
      <c r="R780" s="490"/>
    </row>
    <row r="781" spans="1:18" x14ac:dyDescent="0.2">
      <c r="A781" s="506" t="s">
        <v>276</v>
      </c>
      <c r="B781" s="502" t="s">
        <v>779</v>
      </c>
      <c r="C781" s="507" t="s">
        <v>288</v>
      </c>
      <c r="D781" s="503" t="s">
        <v>283</v>
      </c>
      <c r="E781" s="348"/>
      <c r="F781" s="504" t="s">
        <v>109</v>
      </c>
      <c r="G781" s="512" t="s">
        <v>814</v>
      </c>
      <c r="H781" s="511" t="s">
        <v>789</v>
      </c>
      <c r="I781" s="510" t="s">
        <v>790</v>
      </c>
      <c r="J781" s="509" t="s">
        <v>650</v>
      </c>
      <c r="K781" s="516">
        <v>8</v>
      </c>
      <c r="L781" s="520"/>
      <c r="M781" s="685">
        <v>64</v>
      </c>
      <c r="N781" s="687">
        <v>6</v>
      </c>
      <c r="O781" s="682">
        <f t="shared" si="36"/>
        <v>9.375E-2</v>
      </c>
      <c r="P781" s="683">
        <f t="shared" si="37"/>
        <v>117.1875</v>
      </c>
      <c r="Q781" s="684">
        <f t="shared" si="38"/>
        <v>1.171875</v>
      </c>
      <c r="R781" s="490"/>
    </row>
    <row r="782" spans="1:18" x14ac:dyDescent="0.2">
      <c r="A782" s="506" t="s">
        <v>276</v>
      </c>
      <c r="B782" s="502" t="s">
        <v>779</v>
      </c>
      <c r="C782" s="507" t="s">
        <v>288</v>
      </c>
      <c r="D782" s="503" t="s">
        <v>284</v>
      </c>
      <c r="E782" s="348"/>
      <c r="F782" s="504" t="s">
        <v>109</v>
      </c>
      <c r="G782" s="512" t="s">
        <v>814</v>
      </c>
      <c r="H782" s="511" t="s">
        <v>789</v>
      </c>
      <c r="I782" s="510" t="s">
        <v>790</v>
      </c>
      <c r="J782" s="509" t="s">
        <v>650</v>
      </c>
      <c r="K782" s="516">
        <v>8</v>
      </c>
      <c r="L782" s="520" t="s">
        <v>791</v>
      </c>
      <c r="M782" s="685">
        <v>10</v>
      </c>
      <c r="N782" s="687">
        <v>0</v>
      </c>
      <c r="O782" s="682">
        <f t="shared" si="36"/>
        <v>0</v>
      </c>
      <c r="P782" s="683">
        <f t="shared" si="37"/>
        <v>0</v>
      </c>
      <c r="Q782" s="684">
        <f t="shared" si="38"/>
        <v>0</v>
      </c>
      <c r="R782" s="491"/>
    </row>
    <row r="783" spans="1:18" x14ac:dyDescent="0.2">
      <c r="A783" s="506" t="s">
        <v>276</v>
      </c>
      <c r="B783" s="502" t="s">
        <v>779</v>
      </c>
      <c r="C783" s="507" t="s">
        <v>288</v>
      </c>
      <c r="D783" s="503" t="s">
        <v>279</v>
      </c>
      <c r="E783" s="348"/>
      <c r="F783" s="504" t="s">
        <v>109</v>
      </c>
      <c r="G783" s="512" t="s">
        <v>814</v>
      </c>
      <c r="H783" s="511" t="s">
        <v>789</v>
      </c>
      <c r="I783" s="510" t="s">
        <v>790</v>
      </c>
      <c r="J783" s="509" t="s">
        <v>650</v>
      </c>
      <c r="K783" s="516">
        <v>0</v>
      </c>
      <c r="L783" s="520" t="s">
        <v>791</v>
      </c>
      <c r="M783" s="685">
        <v>2</v>
      </c>
      <c r="N783" s="687">
        <v>1</v>
      </c>
      <c r="O783" s="682">
        <f t="shared" si="36"/>
        <v>0.5</v>
      </c>
      <c r="P783" s="683" t="str">
        <f t="shared" si="37"/>
        <v>0</v>
      </c>
      <c r="Q783" s="684" t="str">
        <f t="shared" si="38"/>
        <v>0</v>
      </c>
      <c r="R783" s="491"/>
    </row>
    <row r="784" spans="1:18" x14ac:dyDescent="0.2">
      <c r="A784" s="506" t="s">
        <v>276</v>
      </c>
      <c r="B784" s="502" t="s">
        <v>779</v>
      </c>
      <c r="C784" s="507" t="s">
        <v>288</v>
      </c>
      <c r="D784" s="503" t="s">
        <v>281</v>
      </c>
      <c r="E784" s="348"/>
      <c r="F784" s="504" t="s">
        <v>109</v>
      </c>
      <c r="G784" s="512" t="s">
        <v>814</v>
      </c>
      <c r="H784" s="511" t="s">
        <v>789</v>
      </c>
      <c r="I784" s="510" t="s">
        <v>790</v>
      </c>
      <c r="J784" s="509" t="s">
        <v>650</v>
      </c>
      <c r="K784" s="516">
        <v>8</v>
      </c>
      <c r="L784" s="520" t="s">
        <v>791</v>
      </c>
      <c r="M784" s="685">
        <v>17</v>
      </c>
      <c r="N784" s="687">
        <v>3</v>
      </c>
      <c r="O784" s="682">
        <f t="shared" si="36"/>
        <v>0.17647058823529413</v>
      </c>
      <c r="P784" s="683">
        <f t="shared" si="37"/>
        <v>220.58823529411762</v>
      </c>
      <c r="Q784" s="684">
        <f t="shared" si="38"/>
        <v>2.2058823529411762</v>
      </c>
      <c r="R784" s="491"/>
    </row>
    <row r="785" spans="1:18" x14ac:dyDescent="0.2">
      <c r="A785" s="506" t="s">
        <v>276</v>
      </c>
      <c r="B785" s="502" t="s">
        <v>779</v>
      </c>
      <c r="C785" s="507" t="s">
        <v>99</v>
      </c>
      <c r="D785" s="503" t="s">
        <v>287</v>
      </c>
      <c r="E785" s="348"/>
      <c r="F785" s="504" t="s">
        <v>109</v>
      </c>
      <c r="G785" s="512" t="s">
        <v>814</v>
      </c>
      <c r="H785" s="511" t="s">
        <v>792</v>
      </c>
      <c r="I785" s="510" t="s">
        <v>790</v>
      </c>
      <c r="J785" s="509" t="s">
        <v>650</v>
      </c>
      <c r="K785" s="516">
        <v>17</v>
      </c>
      <c r="L785" s="520"/>
      <c r="M785" s="685">
        <v>326</v>
      </c>
      <c r="N785" s="687">
        <v>49</v>
      </c>
      <c r="O785" s="682">
        <f t="shared" si="36"/>
        <v>0.15030674846625766</v>
      </c>
      <c r="P785" s="683">
        <f t="shared" si="37"/>
        <v>88.415734391916274</v>
      </c>
      <c r="Q785" s="684">
        <f t="shared" si="38"/>
        <v>0.88415734391916267</v>
      </c>
      <c r="R785" s="490"/>
    </row>
    <row r="786" spans="1:18" x14ac:dyDescent="0.2">
      <c r="A786" s="506" t="s">
        <v>276</v>
      </c>
      <c r="B786" s="502" t="s">
        <v>779</v>
      </c>
      <c r="C786" s="507" t="s">
        <v>99</v>
      </c>
      <c r="D786" s="503" t="s">
        <v>283</v>
      </c>
      <c r="E786" s="348"/>
      <c r="F786" s="504" t="s">
        <v>109</v>
      </c>
      <c r="G786" s="512" t="s">
        <v>814</v>
      </c>
      <c r="H786" s="511" t="s">
        <v>789</v>
      </c>
      <c r="I786" s="510" t="s">
        <v>790</v>
      </c>
      <c r="J786" s="509" t="s">
        <v>650</v>
      </c>
      <c r="K786" s="516">
        <v>36</v>
      </c>
      <c r="L786" s="520"/>
      <c r="M786" s="685">
        <v>17</v>
      </c>
      <c r="N786" s="687">
        <v>4</v>
      </c>
      <c r="O786" s="682">
        <f t="shared" si="36"/>
        <v>0.23529411764705882</v>
      </c>
      <c r="P786" s="683">
        <f t="shared" si="37"/>
        <v>65.359477124183002</v>
      </c>
      <c r="Q786" s="684">
        <f t="shared" si="38"/>
        <v>0.65359477124183007</v>
      </c>
      <c r="R786" s="490"/>
    </row>
    <row r="787" spans="1:18" x14ac:dyDescent="0.2">
      <c r="A787" s="506" t="s">
        <v>276</v>
      </c>
      <c r="B787" s="502" t="s">
        <v>779</v>
      </c>
      <c r="C787" s="507" t="s">
        <v>99</v>
      </c>
      <c r="D787" s="503" t="s">
        <v>284</v>
      </c>
      <c r="E787" s="348"/>
      <c r="F787" s="504" t="s">
        <v>109</v>
      </c>
      <c r="G787" s="512" t="s">
        <v>814</v>
      </c>
      <c r="H787" s="511" t="s">
        <v>789</v>
      </c>
      <c r="I787" s="510" t="s">
        <v>790</v>
      </c>
      <c r="J787" s="509" t="s">
        <v>650</v>
      </c>
      <c r="K787" s="516">
        <v>80</v>
      </c>
      <c r="L787" s="520"/>
      <c r="M787" s="685">
        <v>8</v>
      </c>
      <c r="N787" s="687">
        <v>2</v>
      </c>
      <c r="O787" s="682">
        <f t="shared" si="36"/>
        <v>0.25</v>
      </c>
      <c r="P787" s="683">
        <f t="shared" si="37"/>
        <v>31.25</v>
      </c>
      <c r="Q787" s="684">
        <f t="shared" si="38"/>
        <v>0.3125</v>
      </c>
      <c r="R787" s="490"/>
    </row>
    <row r="788" spans="1:18" x14ac:dyDescent="0.2">
      <c r="A788" s="506" t="s">
        <v>276</v>
      </c>
      <c r="B788" s="502" t="s">
        <v>779</v>
      </c>
      <c r="C788" s="507" t="s">
        <v>99</v>
      </c>
      <c r="D788" s="503" t="s">
        <v>279</v>
      </c>
      <c r="E788" s="348"/>
      <c r="F788" s="504" t="s">
        <v>109</v>
      </c>
      <c r="G788" s="512" t="s">
        <v>814</v>
      </c>
      <c r="H788" s="511" t="s">
        <v>789</v>
      </c>
      <c r="I788" s="510" t="s">
        <v>790</v>
      </c>
      <c r="J788" s="509" t="s">
        <v>650</v>
      </c>
      <c r="K788" s="516">
        <v>17</v>
      </c>
      <c r="L788" s="520" t="s">
        <v>791</v>
      </c>
      <c r="M788" s="685">
        <v>5</v>
      </c>
      <c r="N788" s="687">
        <v>2</v>
      </c>
      <c r="O788" s="682">
        <f t="shared" si="36"/>
        <v>0.4</v>
      </c>
      <c r="P788" s="683">
        <f t="shared" si="37"/>
        <v>235.29411764705878</v>
      </c>
      <c r="Q788" s="684">
        <f t="shared" si="38"/>
        <v>2.3529411764705879</v>
      </c>
      <c r="R788" s="491"/>
    </row>
    <row r="789" spans="1:18" x14ac:dyDescent="0.2">
      <c r="A789" s="506" t="s">
        <v>276</v>
      </c>
      <c r="B789" s="502" t="s">
        <v>779</v>
      </c>
      <c r="C789" s="507" t="s">
        <v>99</v>
      </c>
      <c r="D789" s="503" t="s">
        <v>281</v>
      </c>
      <c r="E789" s="348"/>
      <c r="F789" s="504" t="s">
        <v>109</v>
      </c>
      <c r="G789" s="512" t="s">
        <v>814</v>
      </c>
      <c r="H789" s="511" t="s">
        <v>789</v>
      </c>
      <c r="I789" s="510" t="s">
        <v>790</v>
      </c>
      <c r="J789" s="509" t="s">
        <v>650</v>
      </c>
      <c r="K789" s="516">
        <v>0</v>
      </c>
      <c r="L789" s="520" t="s">
        <v>791</v>
      </c>
      <c r="M789" s="685">
        <v>1</v>
      </c>
      <c r="N789" s="687">
        <v>0</v>
      </c>
      <c r="O789" s="682">
        <f t="shared" si="36"/>
        <v>0</v>
      </c>
      <c r="P789" s="683" t="str">
        <f t="shared" si="37"/>
        <v>0</v>
      </c>
      <c r="Q789" s="684" t="str">
        <f t="shared" si="38"/>
        <v>0</v>
      </c>
      <c r="R789" s="491"/>
    </row>
    <row r="790" spans="1:18" x14ac:dyDescent="0.2">
      <c r="A790" s="506" t="s">
        <v>276</v>
      </c>
      <c r="B790" s="502" t="s">
        <v>779</v>
      </c>
      <c r="C790" s="507" t="s">
        <v>285</v>
      </c>
      <c r="D790" s="503" t="s">
        <v>287</v>
      </c>
      <c r="E790" s="348"/>
      <c r="F790" s="504" t="s">
        <v>109</v>
      </c>
      <c r="G790" s="512" t="s">
        <v>814</v>
      </c>
      <c r="H790" s="511" t="s">
        <v>792</v>
      </c>
      <c r="I790" s="510" t="s">
        <v>790</v>
      </c>
      <c r="J790" s="509" t="s">
        <v>650</v>
      </c>
      <c r="K790" s="516">
        <v>13</v>
      </c>
      <c r="L790" s="520"/>
      <c r="M790" s="685">
        <v>0</v>
      </c>
      <c r="N790" s="687">
        <v>0</v>
      </c>
      <c r="O790" s="682">
        <f t="shared" si="36"/>
        <v>0</v>
      </c>
      <c r="P790" s="683" t="str">
        <f t="shared" si="37"/>
        <v>0</v>
      </c>
      <c r="Q790" s="684" t="str">
        <f t="shared" si="38"/>
        <v>0</v>
      </c>
      <c r="R790" s="491"/>
    </row>
    <row r="791" spans="1:18" x14ac:dyDescent="0.2">
      <c r="A791" s="506" t="s">
        <v>276</v>
      </c>
      <c r="B791" s="502" t="s">
        <v>779</v>
      </c>
      <c r="C791" s="507" t="s">
        <v>285</v>
      </c>
      <c r="D791" s="503" t="s">
        <v>283</v>
      </c>
      <c r="E791" s="348"/>
      <c r="F791" s="504" t="s">
        <v>109</v>
      </c>
      <c r="G791" s="512" t="s">
        <v>814</v>
      </c>
      <c r="H791" s="511" t="s">
        <v>789</v>
      </c>
      <c r="I791" s="510" t="s">
        <v>790</v>
      </c>
      <c r="J791" s="509" t="s">
        <v>650</v>
      </c>
      <c r="K791" s="516">
        <v>50</v>
      </c>
      <c r="L791" s="520" t="s">
        <v>791</v>
      </c>
      <c r="M791" s="685">
        <v>5</v>
      </c>
      <c r="N791" s="687">
        <v>1</v>
      </c>
      <c r="O791" s="682">
        <f t="shared" si="36"/>
        <v>0.2</v>
      </c>
      <c r="P791" s="683">
        <f t="shared" si="37"/>
        <v>40</v>
      </c>
      <c r="Q791" s="684">
        <f t="shared" si="38"/>
        <v>0.4</v>
      </c>
      <c r="R791" s="491"/>
    </row>
    <row r="792" spans="1:18" x14ac:dyDescent="0.2">
      <c r="A792" s="506" t="s">
        <v>276</v>
      </c>
      <c r="B792" s="502" t="s">
        <v>779</v>
      </c>
      <c r="C792" s="507" t="s">
        <v>285</v>
      </c>
      <c r="D792" s="503" t="s">
        <v>284</v>
      </c>
      <c r="E792" s="348"/>
      <c r="F792" s="504" t="s">
        <v>109</v>
      </c>
      <c r="G792" s="512" t="s">
        <v>814</v>
      </c>
      <c r="H792" s="511" t="s">
        <v>789</v>
      </c>
      <c r="I792" s="510" t="s">
        <v>790</v>
      </c>
      <c r="J792" s="509" t="s">
        <v>650</v>
      </c>
      <c r="K792" s="516">
        <v>0</v>
      </c>
      <c r="L792" s="520" t="s">
        <v>791</v>
      </c>
      <c r="M792" s="685">
        <v>4</v>
      </c>
      <c r="N792" s="687">
        <v>0</v>
      </c>
      <c r="O792" s="682">
        <f t="shared" si="36"/>
        <v>0</v>
      </c>
      <c r="P792" s="683" t="str">
        <f t="shared" si="37"/>
        <v>0</v>
      </c>
      <c r="Q792" s="684" t="str">
        <f t="shared" si="38"/>
        <v>0</v>
      </c>
      <c r="R792" s="491"/>
    </row>
    <row r="793" spans="1:18" x14ac:dyDescent="0.2">
      <c r="A793" s="506" t="s">
        <v>276</v>
      </c>
      <c r="B793" s="502" t="s">
        <v>779</v>
      </c>
      <c r="C793" s="507" t="s">
        <v>285</v>
      </c>
      <c r="D793" s="503" t="s">
        <v>279</v>
      </c>
      <c r="E793" s="348"/>
      <c r="F793" s="504" t="s">
        <v>109</v>
      </c>
      <c r="G793" s="512" t="s">
        <v>814</v>
      </c>
      <c r="H793" s="511" t="s">
        <v>789</v>
      </c>
      <c r="I793" s="510" t="s">
        <v>790</v>
      </c>
      <c r="J793" s="509" t="s">
        <v>650</v>
      </c>
      <c r="K793" s="516">
        <v>0</v>
      </c>
      <c r="L793" s="520" t="s">
        <v>791</v>
      </c>
      <c r="M793" s="685">
        <v>1</v>
      </c>
      <c r="N793" s="687">
        <v>0</v>
      </c>
      <c r="O793" s="682">
        <f t="shared" si="36"/>
        <v>0</v>
      </c>
      <c r="P793" s="683" t="str">
        <f t="shared" si="37"/>
        <v>0</v>
      </c>
      <c r="Q793" s="684" t="str">
        <f t="shared" si="38"/>
        <v>0</v>
      </c>
      <c r="R793" s="491"/>
    </row>
    <row r="794" spans="1:18" x14ac:dyDescent="0.2">
      <c r="A794" s="506" t="s">
        <v>276</v>
      </c>
      <c r="B794" s="502" t="s">
        <v>779</v>
      </c>
      <c r="C794" s="507" t="s">
        <v>285</v>
      </c>
      <c r="D794" s="503" t="s">
        <v>281</v>
      </c>
      <c r="E794" s="348"/>
      <c r="F794" s="504" t="s">
        <v>109</v>
      </c>
      <c r="G794" s="512" t="s">
        <v>814</v>
      </c>
      <c r="H794" s="511" t="s">
        <v>789</v>
      </c>
      <c r="I794" s="510" t="s">
        <v>790</v>
      </c>
      <c r="J794" s="509" t="s">
        <v>650</v>
      </c>
      <c r="K794" s="516">
        <v>25</v>
      </c>
      <c r="L794" s="520"/>
      <c r="M794" s="685">
        <v>12</v>
      </c>
      <c r="N794" s="687">
        <v>4</v>
      </c>
      <c r="O794" s="682">
        <f t="shared" si="36"/>
        <v>0.33333333333333331</v>
      </c>
      <c r="P794" s="683">
        <f t="shared" si="37"/>
        <v>133.33333333333331</v>
      </c>
      <c r="Q794" s="684">
        <f t="shared" si="38"/>
        <v>1.3333333333333333</v>
      </c>
      <c r="R794" s="490"/>
    </row>
    <row r="795" spans="1:18" x14ac:dyDescent="0.2">
      <c r="A795" s="506" t="s">
        <v>276</v>
      </c>
      <c r="B795" s="502" t="s">
        <v>779</v>
      </c>
      <c r="C795" s="507" t="s">
        <v>285</v>
      </c>
      <c r="D795" s="503" t="s">
        <v>286</v>
      </c>
      <c r="E795" s="348"/>
      <c r="F795" s="504" t="s">
        <v>109</v>
      </c>
      <c r="G795" s="512" t="s">
        <v>814</v>
      </c>
      <c r="H795" s="511" t="s">
        <v>789</v>
      </c>
      <c r="I795" s="510" t="s">
        <v>790</v>
      </c>
      <c r="J795" s="509" t="s">
        <v>650</v>
      </c>
      <c r="K795" s="516">
        <v>10</v>
      </c>
      <c r="L795" s="520"/>
      <c r="M795" s="685">
        <v>20</v>
      </c>
      <c r="N795" s="687">
        <v>0</v>
      </c>
      <c r="O795" s="682">
        <f t="shared" si="36"/>
        <v>0</v>
      </c>
      <c r="P795" s="683">
        <f t="shared" si="37"/>
        <v>0</v>
      </c>
      <c r="Q795" s="684">
        <f t="shared" si="38"/>
        <v>0</v>
      </c>
      <c r="R795" s="490"/>
    </row>
    <row r="796" spans="1:18" x14ac:dyDescent="0.2">
      <c r="A796" s="506" t="s">
        <v>276</v>
      </c>
      <c r="B796" s="502" t="s">
        <v>779</v>
      </c>
      <c r="C796" s="507" t="s">
        <v>291</v>
      </c>
      <c r="D796" s="503" t="s">
        <v>283</v>
      </c>
      <c r="E796" s="348"/>
      <c r="F796" s="504" t="s">
        <v>109</v>
      </c>
      <c r="G796" s="512" t="s">
        <v>814</v>
      </c>
      <c r="H796" s="511" t="s">
        <v>789</v>
      </c>
      <c r="I796" s="510" t="s">
        <v>790</v>
      </c>
      <c r="J796" s="509" t="s">
        <v>650</v>
      </c>
      <c r="K796" s="516">
        <v>0</v>
      </c>
      <c r="L796" s="520" t="s">
        <v>791</v>
      </c>
      <c r="M796" s="685">
        <v>0</v>
      </c>
      <c r="N796" s="687">
        <v>0</v>
      </c>
      <c r="O796" s="682">
        <f t="shared" si="36"/>
        <v>0</v>
      </c>
      <c r="P796" s="683" t="str">
        <f t="shared" si="37"/>
        <v>0</v>
      </c>
      <c r="Q796" s="684" t="str">
        <f t="shared" si="38"/>
        <v>0</v>
      </c>
      <c r="R796" s="491"/>
    </row>
    <row r="797" spans="1:18" x14ac:dyDescent="0.2">
      <c r="A797" s="506" t="s">
        <v>276</v>
      </c>
      <c r="B797" s="502" t="s">
        <v>779</v>
      </c>
      <c r="C797" s="507" t="s">
        <v>291</v>
      </c>
      <c r="D797" s="503" t="s">
        <v>284</v>
      </c>
      <c r="E797" s="348"/>
      <c r="F797" s="504" t="s">
        <v>109</v>
      </c>
      <c r="G797" s="512" t="s">
        <v>814</v>
      </c>
      <c r="H797" s="511" t="s">
        <v>789</v>
      </c>
      <c r="I797" s="510" t="s">
        <v>790</v>
      </c>
      <c r="J797" s="509" t="s">
        <v>650</v>
      </c>
      <c r="K797" s="516">
        <v>0</v>
      </c>
      <c r="L797" s="520" t="s">
        <v>791</v>
      </c>
      <c r="M797" s="685">
        <v>0</v>
      </c>
      <c r="N797" s="687">
        <v>0</v>
      </c>
      <c r="O797" s="682">
        <f t="shared" si="36"/>
        <v>0</v>
      </c>
      <c r="P797" s="683" t="str">
        <f t="shared" si="37"/>
        <v>0</v>
      </c>
      <c r="Q797" s="684" t="str">
        <f t="shared" si="38"/>
        <v>0</v>
      </c>
      <c r="R797" s="491"/>
    </row>
    <row r="798" spans="1:18" x14ac:dyDescent="0.2">
      <c r="A798" s="506" t="s">
        <v>276</v>
      </c>
      <c r="B798" s="502" t="s">
        <v>779</v>
      </c>
      <c r="C798" s="507" t="s">
        <v>290</v>
      </c>
      <c r="D798" s="503" t="s">
        <v>287</v>
      </c>
      <c r="E798" s="348"/>
      <c r="F798" s="504" t="s">
        <v>109</v>
      </c>
      <c r="G798" s="512" t="s">
        <v>814</v>
      </c>
      <c r="H798" s="511" t="s">
        <v>792</v>
      </c>
      <c r="I798" s="510" t="s">
        <v>790</v>
      </c>
      <c r="J798" s="509" t="s">
        <v>650</v>
      </c>
      <c r="K798" s="516">
        <v>38</v>
      </c>
      <c r="L798" s="520"/>
      <c r="M798" s="685">
        <v>65</v>
      </c>
      <c r="N798" s="687">
        <v>9</v>
      </c>
      <c r="O798" s="682">
        <f t="shared" si="36"/>
        <v>0.13846153846153847</v>
      </c>
      <c r="P798" s="683">
        <f t="shared" si="37"/>
        <v>36.43724696356275</v>
      </c>
      <c r="Q798" s="684">
        <f t="shared" si="38"/>
        <v>0.36437246963562753</v>
      </c>
      <c r="R798" s="490"/>
    </row>
    <row r="799" spans="1:18" x14ac:dyDescent="0.2">
      <c r="A799" s="506" t="s">
        <v>276</v>
      </c>
      <c r="B799" s="502" t="s">
        <v>779</v>
      </c>
      <c r="C799" s="507" t="s">
        <v>290</v>
      </c>
      <c r="D799" s="503" t="s">
        <v>283</v>
      </c>
      <c r="E799" s="348"/>
      <c r="F799" s="504" t="s">
        <v>109</v>
      </c>
      <c r="G799" s="512" t="s">
        <v>814</v>
      </c>
      <c r="H799" s="511" t="s">
        <v>789</v>
      </c>
      <c r="I799" s="510" t="s">
        <v>790</v>
      </c>
      <c r="J799" s="509" t="s">
        <v>650</v>
      </c>
      <c r="K799" s="516">
        <v>0</v>
      </c>
      <c r="L799" s="520" t="s">
        <v>791</v>
      </c>
      <c r="M799" s="685">
        <v>5</v>
      </c>
      <c r="N799" s="687">
        <v>0</v>
      </c>
      <c r="O799" s="682">
        <f t="shared" si="36"/>
        <v>0</v>
      </c>
      <c r="P799" s="683" t="str">
        <f t="shared" si="37"/>
        <v>0</v>
      </c>
      <c r="Q799" s="684" t="str">
        <f t="shared" si="38"/>
        <v>0</v>
      </c>
      <c r="R799" s="491"/>
    </row>
    <row r="800" spans="1:18" x14ac:dyDescent="0.2">
      <c r="A800" s="506" t="s">
        <v>276</v>
      </c>
      <c r="B800" s="502" t="s">
        <v>779</v>
      </c>
      <c r="C800" s="507" t="s">
        <v>290</v>
      </c>
      <c r="D800" s="503" t="s">
        <v>284</v>
      </c>
      <c r="E800" s="348"/>
      <c r="F800" s="504" t="s">
        <v>109</v>
      </c>
      <c r="G800" s="512" t="s">
        <v>814</v>
      </c>
      <c r="H800" s="511" t="s">
        <v>789</v>
      </c>
      <c r="I800" s="510" t="s">
        <v>790</v>
      </c>
      <c r="J800" s="509" t="s">
        <v>650</v>
      </c>
      <c r="K800" s="516">
        <v>0</v>
      </c>
      <c r="L800" s="520" t="s">
        <v>791</v>
      </c>
      <c r="M800" s="685">
        <v>0</v>
      </c>
      <c r="N800" s="687">
        <v>0</v>
      </c>
      <c r="O800" s="682">
        <f t="shared" si="36"/>
        <v>0</v>
      </c>
      <c r="P800" s="683" t="str">
        <f t="shared" si="37"/>
        <v>0</v>
      </c>
      <c r="Q800" s="684" t="str">
        <f t="shared" si="38"/>
        <v>0</v>
      </c>
      <c r="R800" s="491"/>
    </row>
    <row r="801" spans="1:18" x14ac:dyDescent="0.2">
      <c r="A801" s="506" t="s">
        <v>276</v>
      </c>
      <c r="B801" s="502" t="s">
        <v>779</v>
      </c>
      <c r="C801" s="507" t="s">
        <v>289</v>
      </c>
      <c r="D801" s="503" t="s">
        <v>287</v>
      </c>
      <c r="E801" s="348"/>
      <c r="F801" s="504" t="s">
        <v>109</v>
      </c>
      <c r="G801" s="512" t="s">
        <v>814</v>
      </c>
      <c r="H801" s="511" t="s">
        <v>792</v>
      </c>
      <c r="I801" s="510" t="s">
        <v>790</v>
      </c>
      <c r="J801" s="509" t="s">
        <v>650</v>
      </c>
      <c r="K801" s="516">
        <v>5</v>
      </c>
      <c r="L801" s="520"/>
      <c r="M801" s="685">
        <v>733</v>
      </c>
      <c r="N801" s="687">
        <v>90</v>
      </c>
      <c r="O801" s="682">
        <f t="shared" si="36"/>
        <v>0.12278308321964529</v>
      </c>
      <c r="P801" s="683">
        <f t="shared" si="37"/>
        <v>245.56616643929061</v>
      </c>
      <c r="Q801" s="684">
        <f t="shared" si="38"/>
        <v>2.4556616643929061</v>
      </c>
      <c r="R801" s="490"/>
    </row>
    <row r="802" spans="1:18" x14ac:dyDescent="0.2">
      <c r="A802" s="506" t="s">
        <v>276</v>
      </c>
      <c r="B802" s="502" t="s">
        <v>779</v>
      </c>
      <c r="C802" s="507" t="s">
        <v>289</v>
      </c>
      <c r="D802" s="503" t="s">
        <v>283</v>
      </c>
      <c r="E802" s="348"/>
      <c r="F802" s="504" t="s">
        <v>109</v>
      </c>
      <c r="G802" s="512" t="s">
        <v>814</v>
      </c>
      <c r="H802" s="511" t="s">
        <v>789</v>
      </c>
      <c r="I802" s="510" t="s">
        <v>790</v>
      </c>
      <c r="J802" s="509" t="s">
        <v>650</v>
      </c>
      <c r="K802" s="516">
        <v>32</v>
      </c>
      <c r="L802" s="520"/>
      <c r="M802" s="685">
        <v>134</v>
      </c>
      <c r="N802" s="687">
        <v>38</v>
      </c>
      <c r="O802" s="682">
        <f t="shared" si="36"/>
        <v>0.28358208955223879</v>
      </c>
      <c r="P802" s="683">
        <f t="shared" si="37"/>
        <v>88.619402985074629</v>
      </c>
      <c r="Q802" s="684">
        <f t="shared" si="38"/>
        <v>0.88619402985074625</v>
      </c>
      <c r="R802" s="490"/>
    </row>
    <row r="803" spans="1:18" x14ac:dyDescent="0.2">
      <c r="A803" s="506" t="s">
        <v>276</v>
      </c>
      <c r="B803" s="502" t="s">
        <v>779</v>
      </c>
      <c r="C803" s="507" t="s">
        <v>289</v>
      </c>
      <c r="D803" s="503" t="s">
        <v>284</v>
      </c>
      <c r="E803" s="348"/>
      <c r="F803" s="504" t="s">
        <v>109</v>
      </c>
      <c r="G803" s="512" t="s">
        <v>814</v>
      </c>
      <c r="H803" s="511" t="s">
        <v>789</v>
      </c>
      <c r="I803" s="510" t="s">
        <v>790</v>
      </c>
      <c r="J803" s="509" t="s">
        <v>650</v>
      </c>
      <c r="K803" s="516">
        <v>33</v>
      </c>
      <c r="L803" s="520"/>
      <c r="M803" s="685">
        <v>29</v>
      </c>
      <c r="N803" s="687">
        <v>13</v>
      </c>
      <c r="O803" s="682">
        <f t="shared" si="36"/>
        <v>0.44827586206896552</v>
      </c>
      <c r="P803" s="683">
        <f t="shared" si="37"/>
        <v>135.84117032392896</v>
      </c>
      <c r="Q803" s="684">
        <f t="shared" si="38"/>
        <v>1.3584117032392895</v>
      </c>
      <c r="R803" s="490"/>
    </row>
    <row r="804" spans="1:18" x14ac:dyDescent="0.2">
      <c r="A804" s="506" t="s">
        <v>276</v>
      </c>
      <c r="B804" s="502" t="s">
        <v>779</v>
      </c>
      <c r="C804" s="507" t="s">
        <v>289</v>
      </c>
      <c r="D804" s="503" t="s">
        <v>281</v>
      </c>
      <c r="E804" s="348"/>
      <c r="F804" s="504" t="s">
        <v>109</v>
      </c>
      <c r="G804" s="512" t="s">
        <v>814</v>
      </c>
      <c r="H804" s="511" t="s">
        <v>789</v>
      </c>
      <c r="I804" s="510" t="s">
        <v>790</v>
      </c>
      <c r="J804" s="509" t="s">
        <v>650</v>
      </c>
      <c r="K804" s="516">
        <v>0</v>
      </c>
      <c r="L804" s="520" t="s">
        <v>791</v>
      </c>
      <c r="M804" s="685">
        <v>2</v>
      </c>
      <c r="N804" s="687">
        <v>0</v>
      </c>
      <c r="O804" s="682">
        <f t="shared" si="36"/>
        <v>0</v>
      </c>
      <c r="P804" s="683" t="str">
        <f t="shared" si="37"/>
        <v>0</v>
      </c>
      <c r="Q804" s="684" t="str">
        <f t="shared" si="38"/>
        <v>0</v>
      </c>
      <c r="R804" s="491"/>
    </row>
    <row r="805" spans="1:18" x14ac:dyDescent="0.2">
      <c r="A805" s="506" t="s">
        <v>276</v>
      </c>
      <c r="B805" s="502" t="s">
        <v>779</v>
      </c>
      <c r="C805" s="507" t="s">
        <v>97</v>
      </c>
      <c r="D805" s="503" t="s">
        <v>279</v>
      </c>
      <c r="E805" s="348"/>
      <c r="F805" s="504" t="s">
        <v>109</v>
      </c>
      <c r="G805" s="512" t="s">
        <v>815</v>
      </c>
      <c r="H805" s="511" t="s">
        <v>789</v>
      </c>
      <c r="I805" s="510" t="s">
        <v>790</v>
      </c>
      <c r="J805" s="509" t="s">
        <v>650</v>
      </c>
      <c r="K805" s="516">
        <v>33</v>
      </c>
      <c r="L805" s="520"/>
      <c r="M805" s="685">
        <v>6</v>
      </c>
      <c r="N805" s="687">
        <v>4</v>
      </c>
      <c r="O805" s="682">
        <f t="shared" si="36"/>
        <v>0.66666666666666663</v>
      </c>
      <c r="P805" s="683">
        <f t="shared" si="37"/>
        <v>202.02020202020202</v>
      </c>
      <c r="Q805" s="684">
        <f t="shared" si="38"/>
        <v>2.0202020202020203</v>
      </c>
      <c r="R805" s="491"/>
    </row>
    <row r="806" spans="1:18" x14ac:dyDescent="0.2">
      <c r="A806" s="506" t="s">
        <v>276</v>
      </c>
      <c r="B806" s="502" t="s">
        <v>779</v>
      </c>
      <c r="C806" s="507" t="s">
        <v>97</v>
      </c>
      <c r="D806" s="503" t="s">
        <v>281</v>
      </c>
      <c r="E806" s="348"/>
      <c r="F806" s="504" t="s">
        <v>109</v>
      </c>
      <c r="G806" s="512" t="s">
        <v>815</v>
      </c>
      <c r="H806" s="511" t="s">
        <v>789</v>
      </c>
      <c r="I806" s="510" t="s">
        <v>790</v>
      </c>
      <c r="J806" s="509" t="s">
        <v>650</v>
      </c>
      <c r="K806" s="516">
        <v>33</v>
      </c>
      <c r="L806" s="520" t="s">
        <v>791</v>
      </c>
      <c r="M806" s="685">
        <v>9</v>
      </c>
      <c r="N806" s="687">
        <v>7</v>
      </c>
      <c r="O806" s="682">
        <f t="shared" si="36"/>
        <v>0.77777777777777779</v>
      </c>
      <c r="P806" s="683">
        <f t="shared" si="37"/>
        <v>235.69023569023568</v>
      </c>
      <c r="Q806" s="684">
        <f t="shared" si="38"/>
        <v>2.3569023569023568</v>
      </c>
      <c r="R806" s="491"/>
    </row>
    <row r="807" spans="1:18" x14ac:dyDescent="0.2">
      <c r="A807" s="506" t="s">
        <v>276</v>
      </c>
      <c r="B807" s="502" t="s">
        <v>779</v>
      </c>
      <c r="C807" s="507" t="s">
        <v>282</v>
      </c>
      <c r="D807" s="503" t="s">
        <v>287</v>
      </c>
      <c r="E807" s="348"/>
      <c r="F807" s="504" t="s">
        <v>109</v>
      </c>
      <c r="G807" s="512" t="s">
        <v>815</v>
      </c>
      <c r="H807" s="511" t="s">
        <v>792</v>
      </c>
      <c r="I807" s="510" t="s">
        <v>790</v>
      </c>
      <c r="J807" s="509" t="s">
        <v>650</v>
      </c>
      <c r="K807" s="516">
        <v>5</v>
      </c>
      <c r="L807" s="520" t="s">
        <v>791</v>
      </c>
      <c r="M807" s="685">
        <v>68</v>
      </c>
      <c r="N807" s="687">
        <v>10</v>
      </c>
      <c r="O807" s="682">
        <f t="shared" si="36"/>
        <v>0.14705882352941177</v>
      </c>
      <c r="P807" s="683">
        <f t="shared" si="37"/>
        <v>294.11764705882348</v>
      </c>
      <c r="Q807" s="684">
        <f t="shared" si="38"/>
        <v>2.9411764705882351</v>
      </c>
      <c r="R807" s="491"/>
    </row>
    <row r="808" spans="1:18" x14ac:dyDescent="0.2">
      <c r="A808" s="506" t="s">
        <v>276</v>
      </c>
      <c r="B808" s="502" t="s">
        <v>779</v>
      </c>
      <c r="C808" s="507" t="s">
        <v>282</v>
      </c>
      <c r="D808" s="503" t="s">
        <v>283</v>
      </c>
      <c r="E808" s="348"/>
      <c r="F808" s="504" t="s">
        <v>109</v>
      </c>
      <c r="G808" s="512" t="s">
        <v>815</v>
      </c>
      <c r="H808" s="511" t="s">
        <v>789</v>
      </c>
      <c r="I808" s="510" t="s">
        <v>790</v>
      </c>
      <c r="J808" s="509" t="s">
        <v>650</v>
      </c>
      <c r="K808" s="516">
        <v>26</v>
      </c>
      <c r="L808" s="520"/>
      <c r="M808" s="685">
        <v>19</v>
      </c>
      <c r="N808" s="687">
        <v>2</v>
      </c>
      <c r="O808" s="682">
        <f t="shared" si="36"/>
        <v>0.10526315789473684</v>
      </c>
      <c r="P808" s="683">
        <f t="shared" si="37"/>
        <v>40.48582995951417</v>
      </c>
      <c r="Q808" s="684">
        <f t="shared" si="38"/>
        <v>0.40485829959514169</v>
      </c>
      <c r="R808" s="490"/>
    </row>
    <row r="809" spans="1:18" x14ac:dyDescent="0.2">
      <c r="A809" s="506" t="s">
        <v>276</v>
      </c>
      <c r="B809" s="502" t="s">
        <v>779</v>
      </c>
      <c r="C809" s="507" t="s">
        <v>282</v>
      </c>
      <c r="D809" s="503" t="s">
        <v>284</v>
      </c>
      <c r="E809" s="348"/>
      <c r="F809" s="504" t="s">
        <v>109</v>
      </c>
      <c r="G809" s="512" t="s">
        <v>815</v>
      </c>
      <c r="H809" s="511" t="s">
        <v>789</v>
      </c>
      <c r="I809" s="510" t="s">
        <v>790</v>
      </c>
      <c r="J809" s="509" t="s">
        <v>650</v>
      </c>
      <c r="K809" s="516">
        <v>16</v>
      </c>
      <c r="L809" s="520"/>
      <c r="M809" s="685">
        <v>43</v>
      </c>
      <c r="N809" s="687">
        <v>7</v>
      </c>
      <c r="O809" s="682">
        <f t="shared" si="36"/>
        <v>0.16279069767441862</v>
      </c>
      <c r="P809" s="683">
        <f t="shared" si="37"/>
        <v>101.74418604651163</v>
      </c>
      <c r="Q809" s="684">
        <f t="shared" si="38"/>
        <v>1.0174418604651163</v>
      </c>
      <c r="R809" s="490"/>
    </row>
    <row r="810" spans="1:18" x14ac:dyDescent="0.2">
      <c r="A810" s="506" t="s">
        <v>276</v>
      </c>
      <c r="B810" s="502" t="s">
        <v>779</v>
      </c>
      <c r="C810" s="507" t="s">
        <v>282</v>
      </c>
      <c r="D810" s="503" t="s">
        <v>279</v>
      </c>
      <c r="E810" s="348"/>
      <c r="F810" s="504" t="s">
        <v>109</v>
      </c>
      <c r="G810" s="512" t="s">
        <v>815</v>
      </c>
      <c r="H810" s="511" t="s">
        <v>789</v>
      </c>
      <c r="I810" s="510" t="s">
        <v>790</v>
      </c>
      <c r="J810" s="509" t="s">
        <v>650</v>
      </c>
      <c r="K810" s="516">
        <v>6</v>
      </c>
      <c r="L810" s="520"/>
      <c r="M810" s="685">
        <v>65</v>
      </c>
      <c r="N810" s="687">
        <v>7</v>
      </c>
      <c r="O810" s="682">
        <f t="shared" si="36"/>
        <v>0.1076923076923077</v>
      </c>
      <c r="P810" s="683">
        <f t="shared" si="37"/>
        <v>179.4871794871795</v>
      </c>
      <c r="Q810" s="684">
        <f t="shared" si="38"/>
        <v>1.7948717948717949</v>
      </c>
      <c r="R810" s="490"/>
    </row>
    <row r="811" spans="1:18" x14ac:dyDescent="0.2">
      <c r="A811" s="506" t="s">
        <v>276</v>
      </c>
      <c r="B811" s="502" t="s">
        <v>779</v>
      </c>
      <c r="C811" s="507" t="s">
        <v>282</v>
      </c>
      <c r="D811" s="503" t="s">
        <v>281</v>
      </c>
      <c r="E811" s="348"/>
      <c r="F811" s="504" t="s">
        <v>109</v>
      </c>
      <c r="G811" s="512" t="s">
        <v>815</v>
      </c>
      <c r="H811" s="511" t="s">
        <v>789</v>
      </c>
      <c r="I811" s="510" t="s">
        <v>790</v>
      </c>
      <c r="J811" s="509" t="s">
        <v>650</v>
      </c>
      <c r="K811" s="516">
        <v>8</v>
      </c>
      <c r="L811" s="520"/>
      <c r="M811" s="685">
        <v>48</v>
      </c>
      <c r="N811" s="687">
        <v>12</v>
      </c>
      <c r="O811" s="682">
        <f t="shared" si="36"/>
        <v>0.25</v>
      </c>
      <c r="P811" s="683">
        <f t="shared" si="37"/>
        <v>312.5</v>
      </c>
      <c r="Q811" s="684">
        <f t="shared" si="38"/>
        <v>3.125</v>
      </c>
      <c r="R811" s="490"/>
    </row>
    <row r="812" spans="1:18" x14ac:dyDescent="0.2">
      <c r="A812" s="506" t="s">
        <v>276</v>
      </c>
      <c r="B812" s="502" t="s">
        <v>779</v>
      </c>
      <c r="C812" s="507" t="s">
        <v>288</v>
      </c>
      <c r="D812" s="503" t="s">
        <v>287</v>
      </c>
      <c r="E812" s="348"/>
      <c r="F812" s="504" t="s">
        <v>109</v>
      </c>
      <c r="G812" s="512" t="s">
        <v>815</v>
      </c>
      <c r="H812" s="511" t="s">
        <v>792</v>
      </c>
      <c r="I812" s="510" t="s">
        <v>790</v>
      </c>
      <c r="J812" s="509" t="s">
        <v>650</v>
      </c>
      <c r="K812" s="516">
        <v>28.999999999999996</v>
      </c>
      <c r="L812" s="520"/>
      <c r="M812" s="685">
        <v>299</v>
      </c>
      <c r="N812" s="687">
        <v>36</v>
      </c>
      <c r="O812" s="682">
        <f t="shared" si="36"/>
        <v>0.12040133779264214</v>
      </c>
      <c r="P812" s="683">
        <f t="shared" si="37"/>
        <v>41.517702687117982</v>
      </c>
      <c r="Q812" s="684">
        <f t="shared" si="38"/>
        <v>0.4151770268711798</v>
      </c>
      <c r="R812" s="490"/>
    </row>
    <row r="813" spans="1:18" x14ac:dyDescent="0.2">
      <c r="A813" s="506" t="s">
        <v>276</v>
      </c>
      <c r="B813" s="502" t="s">
        <v>779</v>
      </c>
      <c r="C813" s="507" t="s">
        <v>288</v>
      </c>
      <c r="D813" s="503" t="s">
        <v>283</v>
      </c>
      <c r="E813" s="348"/>
      <c r="F813" s="504" t="s">
        <v>109</v>
      </c>
      <c r="G813" s="512" t="s">
        <v>815</v>
      </c>
      <c r="H813" s="511" t="s">
        <v>789</v>
      </c>
      <c r="I813" s="510" t="s">
        <v>790</v>
      </c>
      <c r="J813" s="509" t="s">
        <v>650</v>
      </c>
      <c r="K813" s="516">
        <v>8</v>
      </c>
      <c r="L813" s="520"/>
      <c r="M813" s="685">
        <v>64</v>
      </c>
      <c r="N813" s="687">
        <v>6</v>
      </c>
      <c r="O813" s="682">
        <f t="shared" si="36"/>
        <v>9.375E-2</v>
      </c>
      <c r="P813" s="683">
        <f t="shared" si="37"/>
        <v>117.1875</v>
      </c>
      <c r="Q813" s="684">
        <f t="shared" si="38"/>
        <v>1.171875</v>
      </c>
      <c r="R813" s="490"/>
    </row>
    <row r="814" spans="1:18" x14ac:dyDescent="0.2">
      <c r="A814" s="506" t="s">
        <v>276</v>
      </c>
      <c r="B814" s="502" t="s">
        <v>779</v>
      </c>
      <c r="C814" s="507" t="s">
        <v>288</v>
      </c>
      <c r="D814" s="503" t="s">
        <v>284</v>
      </c>
      <c r="E814" s="348"/>
      <c r="F814" s="504" t="s">
        <v>109</v>
      </c>
      <c r="G814" s="512" t="s">
        <v>815</v>
      </c>
      <c r="H814" s="511" t="s">
        <v>789</v>
      </c>
      <c r="I814" s="510" t="s">
        <v>790</v>
      </c>
      <c r="J814" s="509" t="s">
        <v>650</v>
      </c>
      <c r="K814" s="516">
        <v>8</v>
      </c>
      <c r="L814" s="520" t="s">
        <v>791</v>
      </c>
      <c r="M814" s="685">
        <v>10</v>
      </c>
      <c r="N814" s="687">
        <v>0</v>
      </c>
      <c r="O814" s="682">
        <f t="shared" si="36"/>
        <v>0</v>
      </c>
      <c r="P814" s="683">
        <f t="shared" si="37"/>
        <v>0</v>
      </c>
      <c r="Q814" s="684">
        <f t="shared" si="38"/>
        <v>0</v>
      </c>
      <c r="R814" s="491"/>
    </row>
    <row r="815" spans="1:18" x14ac:dyDescent="0.2">
      <c r="A815" s="506" t="s">
        <v>276</v>
      </c>
      <c r="B815" s="502" t="s">
        <v>779</v>
      </c>
      <c r="C815" s="507" t="s">
        <v>288</v>
      </c>
      <c r="D815" s="503" t="s">
        <v>279</v>
      </c>
      <c r="E815" s="348"/>
      <c r="F815" s="504" t="s">
        <v>109</v>
      </c>
      <c r="G815" s="512" t="s">
        <v>815</v>
      </c>
      <c r="H815" s="511" t="s">
        <v>789</v>
      </c>
      <c r="I815" s="510" t="s">
        <v>790</v>
      </c>
      <c r="J815" s="509" t="s">
        <v>650</v>
      </c>
      <c r="K815" s="516">
        <v>0</v>
      </c>
      <c r="L815" s="520" t="s">
        <v>791</v>
      </c>
      <c r="M815" s="685">
        <v>2</v>
      </c>
      <c r="N815" s="687">
        <v>1</v>
      </c>
      <c r="O815" s="682">
        <f t="shared" si="36"/>
        <v>0.5</v>
      </c>
      <c r="P815" s="683" t="str">
        <f t="shared" si="37"/>
        <v>0</v>
      </c>
      <c r="Q815" s="684" t="str">
        <f t="shared" si="38"/>
        <v>0</v>
      </c>
      <c r="R815" s="491"/>
    </row>
    <row r="816" spans="1:18" x14ac:dyDescent="0.2">
      <c r="A816" s="506" t="s">
        <v>276</v>
      </c>
      <c r="B816" s="502" t="s">
        <v>779</v>
      </c>
      <c r="C816" s="507" t="s">
        <v>288</v>
      </c>
      <c r="D816" s="503" t="s">
        <v>281</v>
      </c>
      <c r="E816" s="348"/>
      <c r="F816" s="504" t="s">
        <v>109</v>
      </c>
      <c r="G816" s="512" t="s">
        <v>815</v>
      </c>
      <c r="H816" s="511" t="s">
        <v>789</v>
      </c>
      <c r="I816" s="510" t="s">
        <v>790</v>
      </c>
      <c r="J816" s="509" t="s">
        <v>650</v>
      </c>
      <c r="K816" s="516">
        <v>8</v>
      </c>
      <c r="L816" s="520" t="s">
        <v>791</v>
      </c>
      <c r="M816" s="685">
        <v>17</v>
      </c>
      <c r="N816" s="687">
        <v>3</v>
      </c>
      <c r="O816" s="682">
        <f t="shared" si="36"/>
        <v>0.17647058823529413</v>
      </c>
      <c r="P816" s="683">
        <f t="shared" si="37"/>
        <v>220.58823529411762</v>
      </c>
      <c r="Q816" s="684">
        <f t="shared" si="38"/>
        <v>2.2058823529411762</v>
      </c>
      <c r="R816" s="491"/>
    </row>
    <row r="817" spans="1:18" x14ac:dyDescent="0.2">
      <c r="A817" s="506" t="s">
        <v>276</v>
      </c>
      <c r="B817" s="502" t="s">
        <v>779</v>
      </c>
      <c r="C817" s="507" t="s">
        <v>99</v>
      </c>
      <c r="D817" s="503" t="s">
        <v>287</v>
      </c>
      <c r="E817" s="348"/>
      <c r="F817" s="504" t="s">
        <v>109</v>
      </c>
      <c r="G817" s="512" t="s">
        <v>815</v>
      </c>
      <c r="H817" s="511" t="s">
        <v>792</v>
      </c>
      <c r="I817" s="510" t="s">
        <v>790</v>
      </c>
      <c r="J817" s="509" t="s">
        <v>650</v>
      </c>
      <c r="K817" s="516">
        <v>17</v>
      </c>
      <c r="L817" s="520"/>
      <c r="M817" s="685">
        <v>326</v>
      </c>
      <c r="N817" s="687">
        <v>49</v>
      </c>
      <c r="O817" s="682">
        <f t="shared" si="36"/>
        <v>0.15030674846625766</v>
      </c>
      <c r="P817" s="683">
        <f t="shared" si="37"/>
        <v>88.415734391916274</v>
      </c>
      <c r="Q817" s="684">
        <f t="shared" si="38"/>
        <v>0.88415734391916267</v>
      </c>
      <c r="R817" s="490"/>
    </row>
    <row r="818" spans="1:18" x14ac:dyDescent="0.2">
      <c r="A818" s="506" t="s">
        <v>276</v>
      </c>
      <c r="B818" s="502" t="s">
        <v>779</v>
      </c>
      <c r="C818" s="507" t="s">
        <v>99</v>
      </c>
      <c r="D818" s="503" t="s">
        <v>283</v>
      </c>
      <c r="E818" s="348"/>
      <c r="F818" s="504" t="s">
        <v>109</v>
      </c>
      <c r="G818" s="512" t="s">
        <v>815</v>
      </c>
      <c r="H818" s="511" t="s">
        <v>789</v>
      </c>
      <c r="I818" s="510" t="s">
        <v>790</v>
      </c>
      <c r="J818" s="509" t="s">
        <v>650</v>
      </c>
      <c r="K818" s="516">
        <v>36</v>
      </c>
      <c r="L818" s="520"/>
      <c r="M818" s="685">
        <v>17</v>
      </c>
      <c r="N818" s="687">
        <v>4</v>
      </c>
      <c r="O818" s="682">
        <f t="shared" si="36"/>
        <v>0.23529411764705882</v>
      </c>
      <c r="P818" s="683">
        <f t="shared" si="37"/>
        <v>65.359477124183002</v>
      </c>
      <c r="Q818" s="684">
        <f t="shared" si="38"/>
        <v>0.65359477124183007</v>
      </c>
      <c r="R818" s="490"/>
    </row>
    <row r="819" spans="1:18" x14ac:dyDescent="0.2">
      <c r="A819" s="506" t="s">
        <v>276</v>
      </c>
      <c r="B819" s="502" t="s">
        <v>779</v>
      </c>
      <c r="C819" s="507" t="s">
        <v>99</v>
      </c>
      <c r="D819" s="503" t="s">
        <v>284</v>
      </c>
      <c r="E819" s="348"/>
      <c r="F819" s="504" t="s">
        <v>109</v>
      </c>
      <c r="G819" s="512" t="s">
        <v>815</v>
      </c>
      <c r="H819" s="511" t="s">
        <v>789</v>
      </c>
      <c r="I819" s="510" t="s">
        <v>790</v>
      </c>
      <c r="J819" s="509" t="s">
        <v>650</v>
      </c>
      <c r="K819" s="516">
        <v>80</v>
      </c>
      <c r="L819" s="520"/>
      <c r="M819" s="685">
        <v>8</v>
      </c>
      <c r="N819" s="687">
        <v>2</v>
      </c>
      <c r="O819" s="682">
        <f t="shared" si="36"/>
        <v>0.25</v>
      </c>
      <c r="P819" s="683">
        <f t="shared" si="37"/>
        <v>31.25</v>
      </c>
      <c r="Q819" s="684">
        <f t="shared" si="38"/>
        <v>0.3125</v>
      </c>
      <c r="R819" s="490"/>
    </row>
    <row r="820" spans="1:18" x14ac:dyDescent="0.2">
      <c r="A820" s="506" t="s">
        <v>276</v>
      </c>
      <c r="B820" s="502" t="s">
        <v>779</v>
      </c>
      <c r="C820" s="507" t="s">
        <v>99</v>
      </c>
      <c r="D820" s="503" t="s">
        <v>279</v>
      </c>
      <c r="E820" s="348"/>
      <c r="F820" s="504" t="s">
        <v>109</v>
      </c>
      <c r="G820" s="512" t="s">
        <v>815</v>
      </c>
      <c r="H820" s="511" t="s">
        <v>789</v>
      </c>
      <c r="I820" s="510" t="s">
        <v>790</v>
      </c>
      <c r="J820" s="509" t="s">
        <v>650</v>
      </c>
      <c r="K820" s="516">
        <v>17</v>
      </c>
      <c r="L820" s="520" t="s">
        <v>791</v>
      </c>
      <c r="M820" s="685">
        <v>5</v>
      </c>
      <c r="N820" s="687">
        <v>2</v>
      </c>
      <c r="O820" s="682">
        <f t="shared" si="36"/>
        <v>0.4</v>
      </c>
      <c r="P820" s="683">
        <f t="shared" si="37"/>
        <v>235.29411764705878</v>
      </c>
      <c r="Q820" s="684">
        <f t="shared" si="38"/>
        <v>2.3529411764705879</v>
      </c>
      <c r="R820" s="491"/>
    </row>
    <row r="821" spans="1:18" x14ac:dyDescent="0.2">
      <c r="A821" s="506" t="s">
        <v>276</v>
      </c>
      <c r="B821" s="502" t="s">
        <v>779</v>
      </c>
      <c r="C821" s="507" t="s">
        <v>99</v>
      </c>
      <c r="D821" s="503" t="s">
        <v>281</v>
      </c>
      <c r="E821" s="348"/>
      <c r="F821" s="504" t="s">
        <v>109</v>
      </c>
      <c r="G821" s="512" t="s">
        <v>815</v>
      </c>
      <c r="H821" s="511" t="s">
        <v>789</v>
      </c>
      <c r="I821" s="510" t="s">
        <v>790</v>
      </c>
      <c r="J821" s="509" t="s">
        <v>650</v>
      </c>
      <c r="K821" s="516">
        <v>0</v>
      </c>
      <c r="L821" s="520" t="s">
        <v>791</v>
      </c>
      <c r="M821" s="685">
        <v>1</v>
      </c>
      <c r="N821" s="687">
        <v>0</v>
      </c>
      <c r="O821" s="682">
        <f t="shared" si="36"/>
        <v>0</v>
      </c>
      <c r="P821" s="683" t="str">
        <f t="shared" si="37"/>
        <v>0</v>
      </c>
      <c r="Q821" s="684" t="str">
        <f t="shared" si="38"/>
        <v>0</v>
      </c>
      <c r="R821" s="491"/>
    </row>
    <row r="822" spans="1:18" x14ac:dyDescent="0.2">
      <c r="A822" s="506" t="s">
        <v>276</v>
      </c>
      <c r="B822" s="502" t="s">
        <v>779</v>
      </c>
      <c r="C822" s="507" t="s">
        <v>285</v>
      </c>
      <c r="D822" s="503" t="s">
        <v>287</v>
      </c>
      <c r="E822" s="348"/>
      <c r="F822" s="504" t="s">
        <v>109</v>
      </c>
      <c r="G822" s="512" t="s">
        <v>815</v>
      </c>
      <c r="H822" s="511" t="s">
        <v>792</v>
      </c>
      <c r="I822" s="510" t="s">
        <v>790</v>
      </c>
      <c r="J822" s="509" t="s">
        <v>650</v>
      </c>
      <c r="K822" s="516">
        <v>13</v>
      </c>
      <c r="L822" s="520"/>
      <c r="M822" s="685">
        <v>0</v>
      </c>
      <c r="N822" s="687">
        <v>0</v>
      </c>
      <c r="O822" s="682">
        <f t="shared" si="36"/>
        <v>0</v>
      </c>
      <c r="P822" s="683" t="str">
        <f t="shared" si="37"/>
        <v>0</v>
      </c>
      <c r="Q822" s="684" t="str">
        <f t="shared" si="38"/>
        <v>0</v>
      </c>
      <c r="R822" s="491"/>
    </row>
    <row r="823" spans="1:18" x14ac:dyDescent="0.2">
      <c r="A823" s="506" t="s">
        <v>276</v>
      </c>
      <c r="B823" s="502" t="s">
        <v>779</v>
      </c>
      <c r="C823" s="507" t="s">
        <v>285</v>
      </c>
      <c r="D823" s="503" t="s">
        <v>283</v>
      </c>
      <c r="E823" s="348"/>
      <c r="F823" s="504" t="s">
        <v>109</v>
      </c>
      <c r="G823" s="512" t="s">
        <v>815</v>
      </c>
      <c r="H823" s="511" t="s">
        <v>789</v>
      </c>
      <c r="I823" s="510" t="s">
        <v>790</v>
      </c>
      <c r="J823" s="509" t="s">
        <v>650</v>
      </c>
      <c r="K823" s="516">
        <v>50</v>
      </c>
      <c r="L823" s="520" t="s">
        <v>791</v>
      </c>
      <c r="M823" s="685">
        <v>5</v>
      </c>
      <c r="N823" s="687">
        <v>1</v>
      </c>
      <c r="O823" s="682">
        <f t="shared" si="36"/>
        <v>0.2</v>
      </c>
      <c r="P823" s="683">
        <f t="shared" si="37"/>
        <v>40</v>
      </c>
      <c r="Q823" s="684">
        <f t="shared" si="38"/>
        <v>0.4</v>
      </c>
      <c r="R823" s="491"/>
    </row>
    <row r="824" spans="1:18" x14ac:dyDescent="0.2">
      <c r="A824" s="506" t="s">
        <v>276</v>
      </c>
      <c r="B824" s="502" t="s">
        <v>779</v>
      </c>
      <c r="C824" s="507" t="s">
        <v>285</v>
      </c>
      <c r="D824" s="503" t="s">
        <v>284</v>
      </c>
      <c r="E824" s="348"/>
      <c r="F824" s="504" t="s">
        <v>109</v>
      </c>
      <c r="G824" s="512" t="s">
        <v>815</v>
      </c>
      <c r="H824" s="511" t="s">
        <v>789</v>
      </c>
      <c r="I824" s="510" t="s">
        <v>790</v>
      </c>
      <c r="J824" s="509" t="s">
        <v>650</v>
      </c>
      <c r="K824" s="516">
        <v>0</v>
      </c>
      <c r="L824" s="520" t="s">
        <v>791</v>
      </c>
      <c r="M824" s="685">
        <v>4</v>
      </c>
      <c r="N824" s="687">
        <v>0</v>
      </c>
      <c r="O824" s="682">
        <f t="shared" si="36"/>
        <v>0</v>
      </c>
      <c r="P824" s="683" t="str">
        <f t="shared" si="37"/>
        <v>0</v>
      </c>
      <c r="Q824" s="684" t="str">
        <f t="shared" si="38"/>
        <v>0</v>
      </c>
      <c r="R824" s="491"/>
    </row>
    <row r="825" spans="1:18" x14ac:dyDescent="0.2">
      <c r="A825" s="506" t="s">
        <v>276</v>
      </c>
      <c r="B825" s="502" t="s">
        <v>779</v>
      </c>
      <c r="C825" s="507" t="s">
        <v>285</v>
      </c>
      <c r="D825" s="503" t="s">
        <v>279</v>
      </c>
      <c r="E825" s="348"/>
      <c r="F825" s="504" t="s">
        <v>109</v>
      </c>
      <c r="G825" s="512" t="s">
        <v>815</v>
      </c>
      <c r="H825" s="511" t="s">
        <v>789</v>
      </c>
      <c r="I825" s="510" t="s">
        <v>790</v>
      </c>
      <c r="J825" s="509" t="s">
        <v>650</v>
      </c>
      <c r="K825" s="516">
        <v>0</v>
      </c>
      <c r="L825" s="520" t="s">
        <v>791</v>
      </c>
      <c r="M825" s="685">
        <v>1</v>
      </c>
      <c r="N825" s="687">
        <v>0</v>
      </c>
      <c r="O825" s="682">
        <f t="shared" si="36"/>
        <v>0</v>
      </c>
      <c r="P825" s="683" t="str">
        <f t="shared" si="37"/>
        <v>0</v>
      </c>
      <c r="Q825" s="684" t="str">
        <f t="shared" si="38"/>
        <v>0</v>
      </c>
      <c r="R825" s="491"/>
    </row>
    <row r="826" spans="1:18" x14ac:dyDescent="0.2">
      <c r="A826" s="506" t="s">
        <v>276</v>
      </c>
      <c r="B826" s="502" t="s">
        <v>779</v>
      </c>
      <c r="C826" s="507" t="s">
        <v>285</v>
      </c>
      <c r="D826" s="503" t="s">
        <v>281</v>
      </c>
      <c r="E826" s="348"/>
      <c r="F826" s="504" t="s">
        <v>109</v>
      </c>
      <c r="G826" s="512" t="s">
        <v>815</v>
      </c>
      <c r="H826" s="511" t="s">
        <v>789</v>
      </c>
      <c r="I826" s="510" t="s">
        <v>790</v>
      </c>
      <c r="J826" s="509" t="s">
        <v>650</v>
      </c>
      <c r="K826" s="516">
        <v>25</v>
      </c>
      <c r="L826" s="520"/>
      <c r="M826" s="685">
        <v>12</v>
      </c>
      <c r="N826" s="687">
        <v>4</v>
      </c>
      <c r="O826" s="682">
        <f t="shared" si="36"/>
        <v>0.33333333333333331</v>
      </c>
      <c r="P826" s="683">
        <f t="shared" si="37"/>
        <v>133.33333333333331</v>
      </c>
      <c r="Q826" s="684">
        <f t="shared" si="38"/>
        <v>1.3333333333333333</v>
      </c>
      <c r="R826" s="490"/>
    </row>
    <row r="827" spans="1:18" x14ac:dyDescent="0.2">
      <c r="A827" s="506" t="s">
        <v>276</v>
      </c>
      <c r="B827" s="502" t="s">
        <v>779</v>
      </c>
      <c r="C827" s="507" t="s">
        <v>285</v>
      </c>
      <c r="D827" s="503" t="s">
        <v>286</v>
      </c>
      <c r="E827" s="348"/>
      <c r="F827" s="504" t="s">
        <v>109</v>
      </c>
      <c r="G827" s="512" t="s">
        <v>815</v>
      </c>
      <c r="H827" s="511" t="s">
        <v>789</v>
      </c>
      <c r="I827" s="510" t="s">
        <v>790</v>
      </c>
      <c r="J827" s="509" t="s">
        <v>650</v>
      </c>
      <c r="K827" s="516">
        <v>10</v>
      </c>
      <c r="L827" s="520"/>
      <c r="M827" s="685">
        <v>20</v>
      </c>
      <c r="N827" s="687">
        <v>0</v>
      </c>
      <c r="O827" s="682">
        <f t="shared" si="36"/>
        <v>0</v>
      </c>
      <c r="P827" s="683">
        <f t="shared" si="37"/>
        <v>0</v>
      </c>
      <c r="Q827" s="684">
        <f t="shared" si="38"/>
        <v>0</v>
      </c>
      <c r="R827" s="490"/>
    </row>
    <row r="828" spans="1:18" x14ac:dyDescent="0.2">
      <c r="A828" s="506" t="s">
        <v>276</v>
      </c>
      <c r="B828" s="502" t="s">
        <v>779</v>
      </c>
      <c r="C828" s="507" t="s">
        <v>291</v>
      </c>
      <c r="D828" s="503" t="s">
        <v>283</v>
      </c>
      <c r="E828" s="348"/>
      <c r="F828" s="504" t="s">
        <v>109</v>
      </c>
      <c r="G828" s="512" t="s">
        <v>815</v>
      </c>
      <c r="H828" s="511" t="s">
        <v>789</v>
      </c>
      <c r="I828" s="510" t="s">
        <v>790</v>
      </c>
      <c r="J828" s="509" t="s">
        <v>650</v>
      </c>
      <c r="K828" s="516">
        <v>0</v>
      </c>
      <c r="L828" s="520" t="s">
        <v>791</v>
      </c>
      <c r="M828" s="685">
        <v>0</v>
      </c>
      <c r="N828" s="687">
        <v>0</v>
      </c>
      <c r="O828" s="682">
        <f t="shared" si="36"/>
        <v>0</v>
      </c>
      <c r="P828" s="683" t="str">
        <f t="shared" si="37"/>
        <v>0</v>
      </c>
      <c r="Q828" s="684" t="str">
        <f t="shared" si="38"/>
        <v>0</v>
      </c>
      <c r="R828" s="491"/>
    </row>
    <row r="829" spans="1:18" x14ac:dyDescent="0.2">
      <c r="A829" s="506" t="s">
        <v>276</v>
      </c>
      <c r="B829" s="502" t="s">
        <v>779</v>
      </c>
      <c r="C829" s="507" t="s">
        <v>291</v>
      </c>
      <c r="D829" s="503" t="s">
        <v>284</v>
      </c>
      <c r="E829" s="348"/>
      <c r="F829" s="504" t="s">
        <v>109</v>
      </c>
      <c r="G829" s="512" t="s">
        <v>815</v>
      </c>
      <c r="H829" s="511" t="s">
        <v>789</v>
      </c>
      <c r="I829" s="510" t="s">
        <v>790</v>
      </c>
      <c r="J829" s="509" t="s">
        <v>650</v>
      </c>
      <c r="K829" s="516">
        <v>0</v>
      </c>
      <c r="L829" s="520" t="s">
        <v>791</v>
      </c>
      <c r="M829" s="685">
        <v>0</v>
      </c>
      <c r="N829" s="687">
        <v>0</v>
      </c>
      <c r="O829" s="682">
        <f t="shared" si="36"/>
        <v>0</v>
      </c>
      <c r="P829" s="683" t="str">
        <f t="shared" si="37"/>
        <v>0</v>
      </c>
      <c r="Q829" s="684" t="str">
        <f t="shared" si="38"/>
        <v>0</v>
      </c>
      <c r="R829" s="491"/>
    </row>
    <row r="830" spans="1:18" x14ac:dyDescent="0.2">
      <c r="A830" s="506" t="s">
        <v>276</v>
      </c>
      <c r="B830" s="502" t="s">
        <v>779</v>
      </c>
      <c r="C830" s="507" t="s">
        <v>290</v>
      </c>
      <c r="D830" s="503" t="s">
        <v>287</v>
      </c>
      <c r="E830" s="348"/>
      <c r="F830" s="504" t="s">
        <v>109</v>
      </c>
      <c r="G830" s="512" t="s">
        <v>815</v>
      </c>
      <c r="H830" s="511" t="s">
        <v>792</v>
      </c>
      <c r="I830" s="510" t="s">
        <v>790</v>
      </c>
      <c r="J830" s="509" t="s">
        <v>650</v>
      </c>
      <c r="K830" s="516">
        <v>38</v>
      </c>
      <c r="L830" s="520"/>
      <c r="M830" s="685">
        <v>65</v>
      </c>
      <c r="N830" s="687">
        <v>9</v>
      </c>
      <c r="O830" s="682">
        <f t="shared" si="36"/>
        <v>0.13846153846153847</v>
      </c>
      <c r="P830" s="683">
        <f t="shared" si="37"/>
        <v>36.43724696356275</v>
      </c>
      <c r="Q830" s="684">
        <f t="shared" si="38"/>
        <v>0.36437246963562753</v>
      </c>
      <c r="R830" s="490"/>
    </row>
    <row r="831" spans="1:18" x14ac:dyDescent="0.2">
      <c r="A831" s="506" t="s">
        <v>276</v>
      </c>
      <c r="B831" s="502" t="s">
        <v>779</v>
      </c>
      <c r="C831" s="507" t="s">
        <v>290</v>
      </c>
      <c r="D831" s="503" t="s">
        <v>283</v>
      </c>
      <c r="E831" s="348"/>
      <c r="F831" s="504" t="s">
        <v>109</v>
      </c>
      <c r="G831" s="512" t="s">
        <v>815</v>
      </c>
      <c r="H831" s="511" t="s">
        <v>789</v>
      </c>
      <c r="I831" s="510" t="s">
        <v>790</v>
      </c>
      <c r="J831" s="509" t="s">
        <v>650</v>
      </c>
      <c r="K831" s="516">
        <v>0</v>
      </c>
      <c r="L831" s="520" t="s">
        <v>791</v>
      </c>
      <c r="M831" s="685">
        <v>5</v>
      </c>
      <c r="N831" s="687">
        <v>0</v>
      </c>
      <c r="O831" s="682">
        <f t="shared" si="36"/>
        <v>0</v>
      </c>
      <c r="P831" s="683" t="str">
        <f t="shared" si="37"/>
        <v>0</v>
      </c>
      <c r="Q831" s="684" t="str">
        <f t="shared" si="38"/>
        <v>0</v>
      </c>
      <c r="R831" s="491"/>
    </row>
    <row r="832" spans="1:18" x14ac:dyDescent="0.2">
      <c r="A832" s="506" t="s">
        <v>276</v>
      </c>
      <c r="B832" s="502" t="s">
        <v>779</v>
      </c>
      <c r="C832" s="507" t="s">
        <v>290</v>
      </c>
      <c r="D832" s="503" t="s">
        <v>284</v>
      </c>
      <c r="E832" s="348"/>
      <c r="F832" s="504" t="s">
        <v>109</v>
      </c>
      <c r="G832" s="512" t="s">
        <v>815</v>
      </c>
      <c r="H832" s="511" t="s">
        <v>789</v>
      </c>
      <c r="I832" s="510" t="s">
        <v>790</v>
      </c>
      <c r="J832" s="509" t="s">
        <v>650</v>
      </c>
      <c r="K832" s="516">
        <v>0</v>
      </c>
      <c r="L832" s="520" t="s">
        <v>791</v>
      </c>
      <c r="M832" s="685">
        <v>0</v>
      </c>
      <c r="N832" s="687">
        <v>0</v>
      </c>
      <c r="O832" s="682">
        <f t="shared" si="36"/>
        <v>0</v>
      </c>
      <c r="P832" s="683" t="str">
        <f t="shared" si="37"/>
        <v>0</v>
      </c>
      <c r="Q832" s="684" t="str">
        <f t="shared" si="38"/>
        <v>0</v>
      </c>
      <c r="R832" s="491"/>
    </row>
    <row r="833" spans="1:18" x14ac:dyDescent="0.2">
      <c r="A833" s="506" t="s">
        <v>276</v>
      </c>
      <c r="B833" s="502" t="s">
        <v>779</v>
      </c>
      <c r="C833" s="507" t="s">
        <v>289</v>
      </c>
      <c r="D833" s="503" t="s">
        <v>287</v>
      </c>
      <c r="E833" s="348"/>
      <c r="F833" s="504" t="s">
        <v>109</v>
      </c>
      <c r="G833" s="512" t="s">
        <v>815</v>
      </c>
      <c r="H833" s="511" t="s">
        <v>792</v>
      </c>
      <c r="I833" s="510" t="s">
        <v>790</v>
      </c>
      <c r="J833" s="509" t="s">
        <v>650</v>
      </c>
      <c r="K833" s="516">
        <v>5</v>
      </c>
      <c r="L833" s="520"/>
      <c r="M833" s="685">
        <v>733</v>
      </c>
      <c r="N833" s="687">
        <v>90</v>
      </c>
      <c r="O833" s="682">
        <f t="shared" si="36"/>
        <v>0.12278308321964529</v>
      </c>
      <c r="P833" s="683">
        <f t="shared" si="37"/>
        <v>245.56616643929061</v>
      </c>
      <c r="Q833" s="684">
        <f t="shared" si="38"/>
        <v>2.4556616643929061</v>
      </c>
      <c r="R833" s="490"/>
    </row>
    <row r="834" spans="1:18" x14ac:dyDescent="0.2">
      <c r="A834" s="506" t="s">
        <v>276</v>
      </c>
      <c r="B834" s="502" t="s">
        <v>779</v>
      </c>
      <c r="C834" s="507" t="s">
        <v>289</v>
      </c>
      <c r="D834" s="503" t="s">
        <v>283</v>
      </c>
      <c r="E834" s="348"/>
      <c r="F834" s="504" t="s">
        <v>109</v>
      </c>
      <c r="G834" s="512" t="s">
        <v>815</v>
      </c>
      <c r="H834" s="511" t="s">
        <v>789</v>
      </c>
      <c r="I834" s="510" t="s">
        <v>790</v>
      </c>
      <c r="J834" s="509" t="s">
        <v>650</v>
      </c>
      <c r="K834" s="516">
        <v>32</v>
      </c>
      <c r="L834" s="520"/>
      <c r="M834" s="685">
        <v>134</v>
      </c>
      <c r="N834" s="687">
        <v>38</v>
      </c>
      <c r="O834" s="682">
        <f t="shared" si="36"/>
        <v>0.28358208955223879</v>
      </c>
      <c r="P834" s="683">
        <f t="shared" si="37"/>
        <v>88.619402985074629</v>
      </c>
      <c r="Q834" s="684">
        <f t="shared" si="38"/>
        <v>0.88619402985074625</v>
      </c>
      <c r="R834" s="490"/>
    </row>
    <row r="835" spans="1:18" x14ac:dyDescent="0.2">
      <c r="A835" s="506" t="s">
        <v>276</v>
      </c>
      <c r="B835" s="502" t="s">
        <v>779</v>
      </c>
      <c r="C835" s="507" t="s">
        <v>289</v>
      </c>
      <c r="D835" s="503" t="s">
        <v>284</v>
      </c>
      <c r="E835" s="348"/>
      <c r="F835" s="504" t="s">
        <v>109</v>
      </c>
      <c r="G835" s="512" t="s">
        <v>815</v>
      </c>
      <c r="H835" s="511" t="s">
        <v>789</v>
      </c>
      <c r="I835" s="510" t="s">
        <v>790</v>
      </c>
      <c r="J835" s="509" t="s">
        <v>650</v>
      </c>
      <c r="K835" s="516">
        <v>33</v>
      </c>
      <c r="L835" s="520"/>
      <c r="M835" s="685">
        <v>29</v>
      </c>
      <c r="N835" s="687">
        <v>13</v>
      </c>
      <c r="O835" s="682">
        <f t="shared" si="36"/>
        <v>0.44827586206896552</v>
      </c>
      <c r="P835" s="683">
        <f t="shared" si="37"/>
        <v>135.84117032392896</v>
      </c>
      <c r="Q835" s="684">
        <f t="shared" si="38"/>
        <v>1.3584117032392895</v>
      </c>
      <c r="R835" s="490"/>
    </row>
    <row r="836" spans="1:18" x14ac:dyDescent="0.2">
      <c r="A836" s="506" t="s">
        <v>276</v>
      </c>
      <c r="B836" s="502" t="s">
        <v>779</v>
      </c>
      <c r="C836" s="507" t="s">
        <v>289</v>
      </c>
      <c r="D836" s="503" t="s">
        <v>281</v>
      </c>
      <c r="E836" s="348"/>
      <c r="F836" s="504" t="s">
        <v>109</v>
      </c>
      <c r="G836" s="512" t="s">
        <v>815</v>
      </c>
      <c r="H836" s="511" t="s">
        <v>789</v>
      </c>
      <c r="I836" s="510" t="s">
        <v>790</v>
      </c>
      <c r="J836" s="509" t="s">
        <v>650</v>
      </c>
      <c r="K836" s="516">
        <v>0</v>
      </c>
      <c r="L836" s="520" t="s">
        <v>791</v>
      </c>
      <c r="M836" s="685">
        <v>2</v>
      </c>
      <c r="N836" s="687">
        <v>0</v>
      </c>
      <c r="O836" s="682">
        <f t="shared" si="36"/>
        <v>0</v>
      </c>
      <c r="P836" s="683" t="str">
        <f t="shared" si="37"/>
        <v>0</v>
      </c>
      <c r="Q836" s="684" t="str">
        <f t="shared" si="38"/>
        <v>0</v>
      </c>
      <c r="R836" s="491"/>
    </row>
    <row r="837" spans="1:18" x14ac:dyDescent="0.2">
      <c r="A837" s="506" t="s">
        <v>276</v>
      </c>
      <c r="B837" s="502" t="s">
        <v>779</v>
      </c>
      <c r="C837" s="507" t="s">
        <v>97</v>
      </c>
      <c r="D837" s="503" t="s">
        <v>279</v>
      </c>
      <c r="E837" s="348"/>
      <c r="F837" s="504" t="s">
        <v>109</v>
      </c>
      <c r="G837" s="512" t="s">
        <v>816</v>
      </c>
      <c r="H837" s="511" t="s">
        <v>789</v>
      </c>
      <c r="I837" s="510" t="s">
        <v>790</v>
      </c>
      <c r="J837" s="509" t="s">
        <v>650</v>
      </c>
      <c r="K837" s="516">
        <v>33</v>
      </c>
      <c r="L837" s="520"/>
      <c r="M837" s="685">
        <v>6</v>
      </c>
      <c r="N837" s="685">
        <v>4</v>
      </c>
      <c r="O837" s="682">
        <f t="shared" ref="O837:O900" si="39">IFERROR(N837/M837,0)</f>
        <v>0.66666666666666663</v>
      </c>
      <c r="P837" s="683">
        <f t="shared" ref="P837:P900" si="40">IFERROR(N837/(M837*(K837/100))*100,"0")</f>
        <v>202.02020202020202</v>
      </c>
      <c r="Q837" s="684">
        <f t="shared" ref="Q837:Q900" si="41">IFERROR(N837/(M837*(K837/100)),"0")</f>
        <v>2.0202020202020203</v>
      </c>
      <c r="R837" s="491"/>
    </row>
    <row r="838" spans="1:18" x14ac:dyDescent="0.2">
      <c r="A838" s="506" t="s">
        <v>276</v>
      </c>
      <c r="B838" s="502" t="s">
        <v>779</v>
      </c>
      <c r="C838" s="507" t="s">
        <v>97</v>
      </c>
      <c r="D838" s="503" t="s">
        <v>281</v>
      </c>
      <c r="E838" s="348"/>
      <c r="F838" s="504" t="s">
        <v>109</v>
      </c>
      <c r="G838" s="512" t="s">
        <v>816</v>
      </c>
      <c r="H838" s="511" t="s">
        <v>789</v>
      </c>
      <c r="I838" s="510" t="s">
        <v>790</v>
      </c>
      <c r="J838" s="509" t="s">
        <v>650</v>
      </c>
      <c r="K838" s="516">
        <v>33</v>
      </c>
      <c r="L838" s="520" t="s">
        <v>791</v>
      </c>
      <c r="M838" s="685">
        <v>9</v>
      </c>
      <c r="N838" s="685">
        <v>7</v>
      </c>
      <c r="O838" s="682">
        <f t="shared" si="39"/>
        <v>0.77777777777777779</v>
      </c>
      <c r="P838" s="683">
        <f t="shared" si="40"/>
        <v>235.69023569023568</v>
      </c>
      <c r="Q838" s="684">
        <f t="shared" si="41"/>
        <v>2.3569023569023568</v>
      </c>
      <c r="R838" s="491"/>
    </row>
    <row r="839" spans="1:18" x14ac:dyDescent="0.2">
      <c r="A839" s="506" t="s">
        <v>276</v>
      </c>
      <c r="B839" s="502" t="s">
        <v>779</v>
      </c>
      <c r="C839" s="507" t="s">
        <v>282</v>
      </c>
      <c r="D839" s="503" t="s">
        <v>287</v>
      </c>
      <c r="E839" s="348"/>
      <c r="F839" s="504" t="s">
        <v>109</v>
      </c>
      <c r="G839" s="512" t="s">
        <v>816</v>
      </c>
      <c r="H839" s="511" t="s">
        <v>792</v>
      </c>
      <c r="I839" s="510" t="s">
        <v>790</v>
      </c>
      <c r="J839" s="509" t="s">
        <v>650</v>
      </c>
      <c r="K839" s="516">
        <v>5</v>
      </c>
      <c r="L839" s="520" t="s">
        <v>791</v>
      </c>
      <c r="M839" s="685">
        <v>68</v>
      </c>
      <c r="N839" s="685">
        <v>10</v>
      </c>
      <c r="O839" s="682">
        <f t="shared" si="39"/>
        <v>0.14705882352941177</v>
      </c>
      <c r="P839" s="683">
        <f t="shared" si="40"/>
        <v>294.11764705882348</v>
      </c>
      <c r="Q839" s="684">
        <f t="shared" si="41"/>
        <v>2.9411764705882351</v>
      </c>
      <c r="R839" s="491"/>
    </row>
    <row r="840" spans="1:18" x14ac:dyDescent="0.2">
      <c r="A840" s="506" t="s">
        <v>276</v>
      </c>
      <c r="B840" s="502" t="s">
        <v>779</v>
      </c>
      <c r="C840" s="507" t="s">
        <v>282</v>
      </c>
      <c r="D840" s="503" t="s">
        <v>283</v>
      </c>
      <c r="E840" s="348"/>
      <c r="F840" s="504" t="s">
        <v>109</v>
      </c>
      <c r="G840" s="512" t="s">
        <v>816</v>
      </c>
      <c r="H840" s="511" t="s">
        <v>789</v>
      </c>
      <c r="I840" s="510" t="s">
        <v>790</v>
      </c>
      <c r="J840" s="509" t="s">
        <v>650</v>
      </c>
      <c r="K840" s="516">
        <v>26</v>
      </c>
      <c r="L840" s="520"/>
      <c r="M840" s="685">
        <v>19</v>
      </c>
      <c r="N840" s="685">
        <v>2</v>
      </c>
      <c r="O840" s="682">
        <f t="shared" si="39"/>
        <v>0.10526315789473684</v>
      </c>
      <c r="P840" s="683">
        <f t="shared" si="40"/>
        <v>40.48582995951417</v>
      </c>
      <c r="Q840" s="684">
        <f t="shared" si="41"/>
        <v>0.40485829959514169</v>
      </c>
      <c r="R840" s="490"/>
    </row>
    <row r="841" spans="1:18" x14ac:dyDescent="0.2">
      <c r="A841" s="506" t="s">
        <v>276</v>
      </c>
      <c r="B841" s="502" t="s">
        <v>779</v>
      </c>
      <c r="C841" s="507" t="s">
        <v>282</v>
      </c>
      <c r="D841" s="503" t="s">
        <v>284</v>
      </c>
      <c r="E841" s="348"/>
      <c r="F841" s="504" t="s">
        <v>109</v>
      </c>
      <c r="G841" s="512" t="s">
        <v>816</v>
      </c>
      <c r="H841" s="511" t="s">
        <v>789</v>
      </c>
      <c r="I841" s="510" t="s">
        <v>790</v>
      </c>
      <c r="J841" s="509" t="s">
        <v>650</v>
      </c>
      <c r="K841" s="516">
        <v>16</v>
      </c>
      <c r="L841" s="520"/>
      <c r="M841" s="685">
        <v>43</v>
      </c>
      <c r="N841" s="685">
        <v>7</v>
      </c>
      <c r="O841" s="682">
        <f t="shared" si="39"/>
        <v>0.16279069767441862</v>
      </c>
      <c r="P841" s="683">
        <f t="shared" si="40"/>
        <v>101.74418604651163</v>
      </c>
      <c r="Q841" s="684">
        <f t="shared" si="41"/>
        <v>1.0174418604651163</v>
      </c>
      <c r="R841" s="490"/>
    </row>
    <row r="842" spans="1:18" x14ac:dyDescent="0.2">
      <c r="A842" s="506" t="s">
        <v>276</v>
      </c>
      <c r="B842" s="502" t="s">
        <v>779</v>
      </c>
      <c r="C842" s="507" t="s">
        <v>282</v>
      </c>
      <c r="D842" s="503" t="s">
        <v>279</v>
      </c>
      <c r="E842" s="348"/>
      <c r="F842" s="504" t="s">
        <v>109</v>
      </c>
      <c r="G842" s="512" t="s">
        <v>816</v>
      </c>
      <c r="H842" s="511" t="s">
        <v>789</v>
      </c>
      <c r="I842" s="510" t="s">
        <v>790</v>
      </c>
      <c r="J842" s="509" t="s">
        <v>650</v>
      </c>
      <c r="K842" s="516">
        <v>6</v>
      </c>
      <c r="L842" s="520"/>
      <c r="M842" s="685">
        <v>65</v>
      </c>
      <c r="N842" s="685">
        <v>7</v>
      </c>
      <c r="O842" s="682">
        <f t="shared" si="39"/>
        <v>0.1076923076923077</v>
      </c>
      <c r="P842" s="683">
        <f t="shared" si="40"/>
        <v>179.4871794871795</v>
      </c>
      <c r="Q842" s="684">
        <f t="shared" si="41"/>
        <v>1.7948717948717949</v>
      </c>
      <c r="R842" s="490"/>
    </row>
    <row r="843" spans="1:18" x14ac:dyDescent="0.2">
      <c r="A843" s="506" t="s">
        <v>276</v>
      </c>
      <c r="B843" s="502" t="s">
        <v>779</v>
      </c>
      <c r="C843" s="507" t="s">
        <v>282</v>
      </c>
      <c r="D843" s="503" t="s">
        <v>281</v>
      </c>
      <c r="E843" s="348"/>
      <c r="F843" s="504" t="s">
        <v>109</v>
      </c>
      <c r="G843" s="512" t="s">
        <v>816</v>
      </c>
      <c r="H843" s="511" t="s">
        <v>789</v>
      </c>
      <c r="I843" s="510" t="s">
        <v>790</v>
      </c>
      <c r="J843" s="509" t="s">
        <v>650</v>
      </c>
      <c r="K843" s="516">
        <v>8</v>
      </c>
      <c r="L843" s="520"/>
      <c r="M843" s="685">
        <v>48</v>
      </c>
      <c r="N843" s="685">
        <v>12</v>
      </c>
      <c r="O843" s="682">
        <f t="shared" si="39"/>
        <v>0.25</v>
      </c>
      <c r="P843" s="683">
        <f t="shared" si="40"/>
        <v>312.5</v>
      </c>
      <c r="Q843" s="684">
        <f t="shared" si="41"/>
        <v>3.125</v>
      </c>
      <c r="R843" s="490"/>
    </row>
    <row r="844" spans="1:18" x14ac:dyDescent="0.2">
      <c r="A844" s="506" t="s">
        <v>276</v>
      </c>
      <c r="B844" s="502" t="s">
        <v>779</v>
      </c>
      <c r="C844" s="507" t="s">
        <v>288</v>
      </c>
      <c r="D844" s="503" t="s">
        <v>287</v>
      </c>
      <c r="E844" s="348"/>
      <c r="F844" s="504" t="s">
        <v>109</v>
      </c>
      <c r="G844" s="512" t="s">
        <v>816</v>
      </c>
      <c r="H844" s="511" t="s">
        <v>792</v>
      </c>
      <c r="I844" s="510" t="s">
        <v>790</v>
      </c>
      <c r="J844" s="509" t="s">
        <v>650</v>
      </c>
      <c r="K844" s="516">
        <v>28.999999999999996</v>
      </c>
      <c r="L844" s="520"/>
      <c r="M844" s="685">
        <v>299</v>
      </c>
      <c r="N844" s="685">
        <v>36</v>
      </c>
      <c r="O844" s="682">
        <f t="shared" si="39"/>
        <v>0.12040133779264214</v>
      </c>
      <c r="P844" s="683">
        <f t="shared" si="40"/>
        <v>41.517702687117982</v>
      </c>
      <c r="Q844" s="684">
        <f t="shared" si="41"/>
        <v>0.4151770268711798</v>
      </c>
      <c r="R844" s="490"/>
    </row>
    <row r="845" spans="1:18" x14ac:dyDescent="0.2">
      <c r="A845" s="506" t="s">
        <v>276</v>
      </c>
      <c r="B845" s="502" t="s">
        <v>779</v>
      </c>
      <c r="C845" s="507" t="s">
        <v>288</v>
      </c>
      <c r="D845" s="503" t="s">
        <v>283</v>
      </c>
      <c r="E845" s="348"/>
      <c r="F845" s="504" t="s">
        <v>109</v>
      </c>
      <c r="G845" s="512" t="s">
        <v>816</v>
      </c>
      <c r="H845" s="511" t="s">
        <v>789</v>
      </c>
      <c r="I845" s="510" t="s">
        <v>790</v>
      </c>
      <c r="J845" s="509" t="s">
        <v>650</v>
      </c>
      <c r="K845" s="516">
        <v>8</v>
      </c>
      <c r="L845" s="520"/>
      <c r="M845" s="685">
        <v>64</v>
      </c>
      <c r="N845" s="685">
        <v>6</v>
      </c>
      <c r="O845" s="682">
        <f t="shared" si="39"/>
        <v>9.375E-2</v>
      </c>
      <c r="P845" s="683">
        <f t="shared" si="40"/>
        <v>117.1875</v>
      </c>
      <c r="Q845" s="684">
        <f t="shared" si="41"/>
        <v>1.171875</v>
      </c>
      <c r="R845" s="490"/>
    </row>
    <row r="846" spans="1:18" x14ac:dyDescent="0.2">
      <c r="A846" s="506" t="s">
        <v>276</v>
      </c>
      <c r="B846" s="502" t="s">
        <v>779</v>
      </c>
      <c r="C846" s="507" t="s">
        <v>288</v>
      </c>
      <c r="D846" s="503" t="s">
        <v>284</v>
      </c>
      <c r="E846" s="348"/>
      <c r="F846" s="504" t="s">
        <v>109</v>
      </c>
      <c r="G846" s="512" t="s">
        <v>816</v>
      </c>
      <c r="H846" s="511" t="s">
        <v>789</v>
      </c>
      <c r="I846" s="510" t="s">
        <v>790</v>
      </c>
      <c r="J846" s="509" t="s">
        <v>650</v>
      </c>
      <c r="K846" s="516">
        <v>8</v>
      </c>
      <c r="L846" s="520" t="s">
        <v>791</v>
      </c>
      <c r="M846" s="685">
        <v>10</v>
      </c>
      <c r="N846" s="685">
        <v>0</v>
      </c>
      <c r="O846" s="682">
        <f t="shared" si="39"/>
        <v>0</v>
      </c>
      <c r="P846" s="683">
        <f t="shared" si="40"/>
        <v>0</v>
      </c>
      <c r="Q846" s="684">
        <f t="shared" si="41"/>
        <v>0</v>
      </c>
      <c r="R846" s="491"/>
    </row>
    <row r="847" spans="1:18" x14ac:dyDescent="0.2">
      <c r="A847" s="506" t="s">
        <v>276</v>
      </c>
      <c r="B847" s="502" t="s">
        <v>779</v>
      </c>
      <c r="C847" s="507" t="s">
        <v>288</v>
      </c>
      <c r="D847" s="503" t="s">
        <v>279</v>
      </c>
      <c r="E847" s="348"/>
      <c r="F847" s="504" t="s">
        <v>109</v>
      </c>
      <c r="G847" s="512" t="s">
        <v>816</v>
      </c>
      <c r="H847" s="511" t="s">
        <v>789</v>
      </c>
      <c r="I847" s="510" t="s">
        <v>790</v>
      </c>
      <c r="J847" s="509" t="s">
        <v>650</v>
      </c>
      <c r="K847" s="516">
        <v>0</v>
      </c>
      <c r="L847" s="520" t="s">
        <v>791</v>
      </c>
      <c r="M847" s="685">
        <v>2</v>
      </c>
      <c r="N847" s="685">
        <v>1</v>
      </c>
      <c r="O847" s="682">
        <f t="shared" si="39"/>
        <v>0.5</v>
      </c>
      <c r="P847" s="683" t="str">
        <f t="shared" si="40"/>
        <v>0</v>
      </c>
      <c r="Q847" s="684" t="str">
        <f t="shared" si="41"/>
        <v>0</v>
      </c>
      <c r="R847" s="491"/>
    </row>
    <row r="848" spans="1:18" x14ac:dyDescent="0.2">
      <c r="A848" s="506" t="s">
        <v>276</v>
      </c>
      <c r="B848" s="502" t="s">
        <v>779</v>
      </c>
      <c r="C848" s="507" t="s">
        <v>288</v>
      </c>
      <c r="D848" s="503" t="s">
        <v>281</v>
      </c>
      <c r="E848" s="348"/>
      <c r="F848" s="504" t="s">
        <v>109</v>
      </c>
      <c r="G848" s="512" t="s">
        <v>816</v>
      </c>
      <c r="H848" s="511" t="s">
        <v>789</v>
      </c>
      <c r="I848" s="510" t="s">
        <v>790</v>
      </c>
      <c r="J848" s="509" t="s">
        <v>650</v>
      </c>
      <c r="K848" s="516">
        <v>8</v>
      </c>
      <c r="L848" s="520" t="s">
        <v>791</v>
      </c>
      <c r="M848" s="685">
        <v>17</v>
      </c>
      <c r="N848" s="685">
        <v>3</v>
      </c>
      <c r="O848" s="682">
        <f t="shared" si="39"/>
        <v>0.17647058823529413</v>
      </c>
      <c r="P848" s="683">
        <f t="shared" si="40"/>
        <v>220.58823529411762</v>
      </c>
      <c r="Q848" s="684">
        <f t="shared" si="41"/>
        <v>2.2058823529411762</v>
      </c>
      <c r="R848" s="491"/>
    </row>
    <row r="849" spans="1:18" x14ac:dyDescent="0.2">
      <c r="A849" s="506" t="s">
        <v>276</v>
      </c>
      <c r="B849" s="502" t="s">
        <v>779</v>
      </c>
      <c r="C849" s="507" t="s">
        <v>99</v>
      </c>
      <c r="D849" s="503" t="s">
        <v>287</v>
      </c>
      <c r="E849" s="348"/>
      <c r="F849" s="504" t="s">
        <v>109</v>
      </c>
      <c r="G849" s="512" t="s">
        <v>816</v>
      </c>
      <c r="H849" s="511" t="s">
        <v>792</v>
      </c>
      <c r="I849" s="510" t="s">
        <v>790</v>
      </c>
      <c r="J849" s="509" t="s">
        <v>650</v>
      </c>
      <c r="K849" s="516">
        <v>17</v>
      </c>
      <c r="L849" s="520"/>
      <c r="M849" s="685">
        <v>326</v>
      </c>
      <c r="N849" s="685">
        <v>49</v>
      </c>
      <c r="O849" s="682">
        <f t="shared" si="39"/>
        <v>0.15030674846625766</v>
      </c>
      <c r="P849" s="683">
        <f t="shared" si="40"/>
        <v>88.415734391916274</v>
      </c>
      <c r="Q849" s="684">
        <f t="shared" si="41"/>
        <v>0.88415734391916267</v>
      </c>
      <c r="R849" s="490"/>
    </row>
    <row r="850" spans="1:18" x14ac:dyDescent="0.2">
      <c r="A850" s="506" t="s">
        <v>276</v>
      </c>
      <c r="B850" s="502" t="s">
        <v>779</v>
      </c>
      <c r="C850" s="507" t="s">
        <v>99</v>
      </c>
      <c r="D850" s="503" t="s">
        <v>283</v>
      </c>
      <c r="E850" s="348"/>
      <c r="F850" s="504" t="s">
        <v>109</v>
      </c>
      <c r="G850" s="512" t="s">
        <v>816</v>
      </c>
      <c r="H850" s="511" t="s">
        <v>789</v>
      </c>
      <c r="I850" s="510" t="s">
        <v>790</v>
      </c>
      <c r="J850" s="509" t="s">
        <v>650</v>
      </c>
      <c r="K850" s="516">
        <v>36</v>
      </c>
      <c r="L850" s="520"/>
      <c r="M850" s="685">
        <v>17</v>
      </c>
      <c r="N850" s="685">
        <v>4</v>
      </c>
      <c r="O850" s="682">
        <f t="shared" si="39"/>
        <v>0.23529411764705882</v>
      </c>
      <c r="P850" s="683">
        <f t="shared" si="40"/>
        <v>65.359477124183002</v>
      </c>
      <c r="Q850" s="684">
        <f t="shared" si="41"/>
        <v>0.65359477124183007</v>
      </c>
      <c r="R850" s="490"/>
    </row>
    <row r="851" spans="1:18" x14ac:dyDescent="0.2">
      <c r="A851" s="506" t="s">
        <v>276</v>
      </c>
      <c r="B851" s="502" t="s">
        <v>779</v>
      </c>
      <c r="C851" s="507" t="s">
        <v>99</v>
      </c>
      <c r="D851" s="503" t="s">
        <v>284</v>
      </c>
      <c r="E851" s="348"/>
      <c r="F851" s="504" t="s">
        <v>109</v>
      </c>
      <c r="G851" s="512" t="s">
        <v>816</v>
      </c>
      <c r="H851" s="511" t="s">
        <v>789</v>
      </c>
      <c r="I851" s="510" t="s">
        <v>790</v>
      </c>
      <c r="J851" s="509" t="s">
        <v>650</v>
      </c>
      <c r="K851" s="516">
        <v>80</v>
      </c>
      <c r="L851" s="520"/>
      <c r="M851" s="685">
        <v>8</v>
      </c>
      <c r="N851" s="685">
        <v>2</v>
      </c>
      <c r="O851" s="682">
        <f t="shared" si="39"/>
        <v>0.25</v>
      </c>
      <c r="P851" s="683">
        <f t="shared" si="40"/>
        <v>31.25</v>
      </c>
      <c r="Q851" s="684">
        <f t="shared" si="41"/>
        <v>0.3125</v>
      </c>
      <c r="R851" s="490"/>
    </row>
    <row r="852" spans="1:18" x14ac:dyDescent="0.2">
      <c r="A852" s="506" t="s">
        <v>276</v>
      </c>
      <c r="B852" s="502" t="s">
        <v>779</v>
      </c>
      <c r="C852" s="507" t="s">
        <v>99</v>
      </c>
      <c r="D852" s="503" t="s">
        <v>279</v>
      </c>
      <c r="E852" s="348"/>
      <c r="F852" s="504" t="s">
        <v>109</v>
      </c>
      <c r="G852" s="512" t="s">
        <v>816</v>
      </c>
      <c r="H852" s="511" t="s">
        <v>789</v>
      </c>
      <c r="I852" s="510" t="s">
        <v>790</v>
      </c>
      <c r="J852" s="509" t="s">
        <v>650</v>
      </c>
      <c r="K852" s="516">
        <v>17</v>
      </c>
      <c r="L852" s="520" t="s">
        <v>791</v>
      </c>
      <c r="M852" s="685">
        <v>5</v>
      </c>
      <c r="N852" s="685">
        <v>2</v>
      </c>
      <c r="O852" s="682">
        <f t="shared" si="39"/>
        <v>0.4</v>
      </c>
      <c r="P852" s="683">
        <f t="shared" si="40"/>
        <v>235.29411764705878</v>
      </c>
      <c r="Q852" s="684">
        <f t="shared" si="41"/>
        <v>2.3529411764705879</v>
      </c>
      <c r="R852" s="491"/>
    </row>
    <row r="853" spans="1:18" x14ac:dyDescent="0.2">
      <c r="A853" s="506" t="s">
        <v>276</v>
      </c>
      <c r="B853" s="502" t="s">
        <v>779</v>
      </c>
      <c r="C853" s="507" t="s">
        <v>99</v>
      </c>
      <c r="D853" s="503" t="s">
        <v>281</v>
      </c>
      <c r="E853" s="348"/>
      <c r="F853" s="504" t="s">
        <v>109</v>
      </c>
      <c r="G853" s="512" t="s">
        <v>816</v>
      </c>
      <c r="H853" s="511" t="s">
        <v>789</v>
      </c>
      <c r="I853" s="510" t="s">
        <v>790</v>
      </c>
      <c r="J853" s="509" t="s">
        <v>650</v>
      </c>
      <c r="K853" s="516">
        <v>0</v>
      </c>
      <c r="L853" s="520" t="s">
        <v>791</v>
      </c>
      <c r="M853" s="685">
        <v>1</v>
      </c>
      <c r="N853" s="685">
        <v>0</v>
      </c>
      <c r="O853" s="682">
        <f t="shared" si="39"/>
        <v>0</v>
      </c>
      <c r="P853" s="683" t="str">
        <f t="shared" si="40"/>
        <v>0</v>
      </c>
      <c r="Q853" s="684" t="str">
        <f t="shared" si="41"/>
        <v>0</v>
      </c>
      <c r="R853" s="491"/>
    </row>
    <row r="854" spans="1:18" x14ac:dyDescent="0.2">
      <c r="A854" s="506" t="s">
        <v>276</v>
      </c>
      <c r="B854" s="502" t="s">
        <v>779</v>
      </c>
      <c r="C854" s="507" t="s">
        <v>285</v>
      </c>
      <c r="D854" s="503" t="s">
        <v>287</v>
      </c>
      <c r="E854" s="348"/>
      <c r="F854" s="504" t="s">
        <v>109</v>
      </c>
      <c r="G854" s="512" t="s">
        <v>816</v>
      </c>
      <c r="H854" s="511" t="s">
        <v>792</v>
      </c>
      <c r="I854" s="510" t="s">
        <v>790</v>
      </c>
      <c r="J854" s="509" t="s">
        <v>650</v>
      </c>
      <c r="K854" s="516">
        <v>13</v>
      </c>
      <c r="L854" s="520"/>
      <c r="M854" s="685">
        <v>0</v>
      </c>
      <c r="N854" s="685">
        <v>0</v>
      </c>
      <c r="O854" s="682">
        <f t="shared" si="39"/>
        <v>0</v>
      </c>
      <c r="P854" s="683" t="str">
        <f t="shared" si="40"/>
        <v>0</v>
      </c>
      <c r="Q854" s="684" t="str">
        <f t="shared" si="41"/>
        <v>0</v>
      </c>
      <c r="R854" s="491"/>
    </row>
    <row r="855" spans="1:18" x14ac:dyDescent="0.2">
      <c r="A855" s="506" t="s">
        <v>276</v>
      </c>
      <c r="B855" s="502" t="s">
        <v>779</v>
      </c>
      <c r="C855" s="507" t="s">
        <v>285</v>
      </c>
      <c r="D855" s="503" t="s">
        <v>283</v>
      </c>
      <c r="E855" s="348"/>
      <c r="F855" s="504" t="s">
        <v>109</v>
      </c>
      <c r="G855" s="512" t="s">
        <v>816</v>
      </c>
      <c r="H855" s="511" t="s">
        <v>789</v>
      </c>
      <c r="I855" s="510" t="s">
        <v>790</v>
      </c>
      <c r="J855" s="509" t="s">
        <v>650</v>
      </c>
      <c r="K855" s="516">
        <v>50</v>
      </c>
      <c r="L855" s="520" t="s">
        <v>791</v>
      </c>
      <c r="M855" s="685">
        <v>5</v>
      </c>
      <c r="N855" s="685">
        <v>1</v>
      </c>
      <c r="O855" s="682">
        <f t="shared" si="39"/>
        <v>0.2</v>
      </c>
      <c r="P855" s="683">
        <f t="shared" si="40"/>
        <v>40</v>
      </c>
      <c r="Q855" s="684">
        <f t="shared" si="41"/>
        <v>0.4</v>
      </c>
      <c r="R855" s="491"/>
    </row>
    <row r="856" spans="1:18" x14ac:dyDescent="0.2">
      <c r="A856" s="506" t="s">
        <v>276</v>
      </c>
      <c r="B856" s="502" t="s">
        <v>779</v>
      </c>
      <c r="C856" s="507" t="s">
        <v>285</v>
      </c>
      <c r="D856" s="503" t="s">
        <v>284</v>
      </c>
      <c r="E856" s="348"/>
      <c r="F856" s="504" t="s">
        <v>109</v>
      </c>
      <c r="G856" s="512" t="s">
        <v>816</v>
      </c>
      <c r="H856" s="511" t="s">
        <v>789</v>
      </c>
      <c r="I856" s="510" t="s">
        <v>790</v>
      </c>
      <c r="J856" s="509" t="s">
        <v>650</v>
      </c>
      <c r="K856" s="516">
        <v>0</v>
      </c>
      <c r="L856" s="520" t="s">
        <v>791</v>
      </c>
      <c r="M856" s="685">
        <v>4</v>
      </c>
      <c r="N856" s="685">
        <v>0</v>
      </c>
      <c r="O856" s="682">
        <f t="shared" si="39"/>
        <v>0</v>
      </c>
      <c r="P856" s="683" t="str">
        <f t="shared" si="40"/>
        <v>0</v>
      </c>
      <c r="Q856" s="684" t="str">
        <f t="shared" si="41"/>
        <v>0</v>
      </c>
      <c r="R856" s="491"/>
    </row>
    <row r="857" spans="1:18" x14ac:dyDescent="0.2">
      <c r="A857" s="506" t="s">
        <v>276</v>
      </c>
      <c r="B857" s="502" t="s">
        <v>779</v>
      </c>
      <c r="C857" s="507" t="s">
        <v>285</v>
      </c>
      <c r="D857" s="503" t="s">
        <v>279</v>
      </c>
      <c r="E857" s="348"/>
      <c r="F857" s="504" t="s">
        <v>109</v>
      </c>
      <c r="G857" s="512" t="s">
        <v>816</v>
      </c>
      <c r="H857" s="511" t="s">
        <v>789</v>
      </c>
      <c r="I857" s="510" t="s">
        <v>790</v>
      </c>
      <c r="J857" s="509" t="s">
        <v>650</v>
      </c>
      <c r="K857" s="516">
        <v>0</v>
      </c>
      <c r="L857" s="520" t="s">
        <v>791</v>
      </c>
      <c r="M857" s="685">
        <v>1</v>
      </c>
      <c r="N857" s="685">
        <v>0</v>
      </c>
      <c r="O857" s="682">
        <f t="shared" si="39"/>
        <v>0</v>
      </c>
      <c r="P857" s="683" t="str">
        <f t="shared" si="40"/>
        <v>0</v>
      </c>
      <c r="Q857" s="684" t="str">
        <f t="shared" si="41"/>
        <v>0</v>
      </c>
      <c r="R857" s="491"/>
    </row>
    <row r="858" spans="1:18" x14ac:dyDescent="0.2">
      <c r="A858" s="506" t="s">
        <v>276</v>
      </c>
      <c r="B858" s="502" t="s">
        <v>779</v>
      </c>
      <c r="C858" s="507" t="s">
        <v>285</v>
      </c>
      <c r="D858" s="503" t="s">
        <v>281</v>
      </c>
      <c r="E858" s="348"/>
      <c r="F858" s="504" t="s">
        <v>109</v>
      </c>
      <c r="G858" s="512" t="s">
        <v>816</v>
      </c>
      <c r="H858" s="511" t="s">
        <v>789</v>
      </c>
      <c r="I858" s="510" t="s">
        <v>790</v>
      </c>
      <c r="J858" s="509" t="s">
        <v>650</v>
      </c>
      <c r="K858" s="516">
        <v>25</v>
      </c>
      <c r="L858" s="520"/>
      <c r="M858" s="685">
        <v>12</v>
      </c>
      <c r="N858" s="685">
        <v>4</v>
      </c>
      <c r="O858" s="682">
        <f t="shared" si="39"/>
        <v>0.33333333333333331</v>
      </c>
      <c r="P858" s="683">
        <f t="shared" si="40"/>
        <v>133.33333333333331</v>
      </c>
      <c r="Q858" s="684">
        <f t="shared" si="41"/>
        <v>1.3333333333333333</v>
      </c>
      <c r="R858" s="490"/>
    </row>
    <row r="859" spans="1:18" x14ac:dyDescent="0.2">
      <c r="A859" s="506" t="s">
        <v>276</v>
      </c>
      <c r="B859" s="502" t="s">
        <v>779</v>
      </c>
      <c r="C859" s="507" t="s">
        <v>285</v>
      </c>
      <c r="D859" s="503" t="s">
        <v>286</v>
      </c>
      <c r="E859" s="348"/>
      <c r="F859" s="504" t="s">
        <v>109</v>
      </c>
      <c r="G859" s="512" t="s">
        <v>816</v>
      </c>
      <c r="H859" s="511" t="s">
        <v>789</v>
      </c>
      <c r="I859" s="510" t="s">
        <v>790</v>
      </c>
      <c r="J859" s="509" t="s">
        <v>650</v>
      </c>
      <c r="K859" s="516">
        <v>10</v>
      </c>
      <c r="L859" s="520"/>
      <c r="M859" s="685">
        <v>20</v>
      </c>
      <c r="N859" s="685">
        <v>0</v>
      </c>
      <c r="O859" s="682">
        <f t="shared" si="39"/>
        <v>0</v>
      </c>
      <c r="P859" s="683">
        <f t="shared" si="40"/>
        <v>0</v>
      </c>
      <c r="Q859" s="684">
        <f t="shared" si="41"/>
        <v>0</v>
      </c>
      <c r="R859" s="490"/>
    </row>
    <row r="860" spans="1:18" x14ac:dyDescent="0.2">
      <c r="A860" s="506" t="s">
        <v>276</v>
      </c>
      <c r="B860" s="502" t="s">
        <v>779</v>
      </c>
      <c r="C860" s="507" t="s">
        <v>291</v>
      </c>
      <c r="D860" s="503" t="s">
        <v>283</v>
      </c>
      <c r="E860" s="348"/>
      <c r="F860" s="504" t="s">
        <v>109</v>
      </c>
      <c r="G860" s="512" t="s">
        <v>816</v>
      </c>
      <c r="H860" s="511" t="s">
        <v>789</v>
      </c>
      <c r="I860" s="510" t="s">
        <v>790</v>
      </c>
      <c r="J860" s="509" t="s">
        <v>650</v>
      </c>
      <c r="K860" s="516">
        <v>0</v>
      </c>
      <c r="L860" s="520" t="s">
        <v>791</v>
      </c>
      <c r="M860" s="685">
        <v>0</v>
      </c>
      <c r="N860" s="685">
        <v>0</v>
      </c>
      <c r="O860" s="682">
        <f t="shared" si="39"/>
        <v>0</v>
      </c>
      <c r="P860" s="683" t="str">
        <f t="shared" si="40"/>
        <v>0</v>
      </c>
      <c r="Q860" s="684" t="str">
        <f t="shared" si="41"/>
        <v>0</v>
      </c>
      <c r="R860" s="491"/>
    </row>
    <row r="861" spans="1:18" x14ac:dyDescent="0.2">
      <c r="A861" s="506" t="s">
        <v>276</v>
      </c>
      <c r="B861" s="502" t="s">
        <v>779</v>
      </c>
      <c r="C861" s="507" t="s">
        <v>291</v>
      </c>
      <c r="D861" s="503" t="s">
        <v>284</v>
      </c>
      <c r="E861" s="348"/>
      <c r="F861" s="504" t="s">
        <v>109</v>
      </c>
      <c r="G861" s="512" t="s">
        <v>816</v>
      </c>
      <c r="H861" s="511" t="s">
        <v>789</v>
      </c>
      <c r="I861" s="510" t="s">
        <v>790</v>
      </c>
      <c r="J861" s="509" t="s">
        <v>650</v>
      </c>
      <c r="K861" s="516">
        <v>0</v>
      </c>
      <c r="L861" s="520" t="s">
        <v>791</v>
      </c>
      <c r="M861" s="685">
        <v>0</v>
      </c>
      <c r="N861" s="685">
        <v>0</v>
      </c>
      <c r="O861" s="682">
        <f t="shared" si="39"/>
        <v>0</v>
      </c>
      <c r="P861" s="683" t="str">
        <f t="shared" si="40"/>
        <v>0</v>
      </c>
      <c r="Q861" s="684" t="str">
        <f t="shared" si="41"/>
        <v>0</v>
      </c>
      <c r="R861" s="491"/>
    </row>
    <row r="862" spans="1:18" x14ac:dyDescent="0.2">
      <c r="A862" s="506" t="s">
        <v>276</v>
      </c>
      <c r="B862" s="502" t="s">
        <v>779</v>
      </c>
      <c r="C862" s="507" t="s">
        <v>290</v>
      </c>
      <c r="D862" s="503" t="s">
        <v>287</v>
      </c>
      <c r="E862" s="348"/>
      <c r="F862" s="504" t="s">
        <v>109</v>
      </c>
      <c r="G862" s="512" t="s">
        <v>816</v>
      </c>
      <c r="H862" s="511" t="s">
        <v>792</v>
      </c>
      <c r="I862" s="510" t="s">
        <v>790</v>
      </c>
      <c r="J862" s="509" t="s">
        <v>650</v>
      </c>
      <c r="K862" s="516">
        <v>38</v>
      </c>
      <c r="L862" s="520"/>
      <c r="M862" s="685">
        <v>65</v>
      </c>
      <c r="N862" s="685">
        <v>9</v>
      </c>
      <c r="O862" s="682">
        <f t="shared" si="39"/>
        <v>0.13846153846153847</v>
      </c>
      <c r="P862" s="683">
        <f t="shared" si="40"/>
        <v>36.43724696356275</v>
      </c>
      <c r="Q862" s="684">
        <f t="shared" si="41"/>
        <v>0.36437246963562753</v>
      </c>
      <c r="R862" s="490"/>
    </row>
    <row r="863" spans="1:18" x14ac:dyDescent="0.2">
      <c r="A863" s="506" t="s">
        <v>276</v>
      </c>
      <c r="B863" s="502" t="s">
        <v>779</v>
      </c>
      <c r="C863" s="507" t="s">
        <v>290</v>
      </c>
      <c r="D863" s="503" t="s">
        <v>283</v>
      </c>
      <c r="E863" s="348"/>
      <c r="F863" s="504" t="s">
        <v>109</v>
      </c>
      <c r="G863" s="512" t="s">
        <v>816</v>
      </c>
      <c r="H863" s="511" t="s">
        <v>789</v>
      </c>
      <c r="I863" s="510" t="s">
        <v>790</v>
      </c>
      <c r="J863" s="509" t="s">
        <v>650</v>
      </c>
      <c r="K863" s="516">
        <v>0</v>
      </c>
      <c r="L863" s="520" t="s">
        <v>791</v>
      </c>
      <c r="M863" s="685">
        <v>5</v>
      </c>
      <c r="N863" s="685">
        <v>0</v>
      </c>
      <c r="O863" s="682">
        <f t="shared" si="39"/>
        <v>0</v>
      </c>
      <c r="P863" s="683" t="str">
        <f t="shared" si="40"/>
        <v>0</v>
      </c>
      <c r="Q863" s="684" t="str">
        <f t="shared" si="41"/>
        <v>0</v>
      </c>
      <c r="R863" s="491"/>
    </row>
    <row r="864" spans="1:18" x14ac:dyDescent="0.2">
      <c r="A864" s="506" t="s">
        <v>276</v>
      </c>
      <c r="B864" s="502" t="s">
        <v>779</v>
      </c>
      <c r="C864" s="507" t="s">
        <v>290</v>
      </c>
      <c r="D864" s="503" t="s">
        <v>284</v>
      </c>
      <c r="E864" s="348"/>
      <c r="F864" s="504" t="s">
        <v>109</v>
      </c>
      <c r="G864" s="512" t="s">
        <v>816</v>
      </c>
      <c r="H864" s="511" t="s">
        <v>789</v>
      </c>
      <c r="I864" s="510" t="s">
        <v>790</v>
      </c>
      <c r="J864" s="509" t="s">
        <v>650</v>
      </c>
      <c r="K864" s="516">
        <v>0</v>
      </c>
      <c r="L864" s="520" t="s">
        <v>791</v>
      </c>
      <c r="M864" s="685">
        <v>0</v>
      </c>
      <c r="N864" s="685">
        <v>0</v>
      </c>
      <c r="O864" s="682">
        <f t="shared" si="39"/>
        <v>0</v>
      </c>
      <c r="P864" s="683" t="str">
        <f t="shared" si="40"/>
        <v>0</v>
      </c>
      <c r="Q864" s="684" t="str">
        <f t="shared" si="41"/>
        <v>0</v>
      </c>
      <c r="R864" s="491"/>
    </row>
    <row r="865" spans="1:18" x14ac:dyDescent="0.2">
      <c r="A865" s="506" t="s">
        <v>276</v>
      </c>
      <c r="B865" s="502" t="s">
        <v>779</v>
      </c>
      <c r="C865" s="507" t="s">
        <v>289</v>
      </c>
      <c r="D865" s="503" t="s">
        <v>287</v>
      </c>
      <c r="E865" s="348"/>
      <c r="F865" s="504" t="s">
        <v>109</v>
      </c>
      <c r="G865" s="512" t="s">
        <v>816</v>
      </c>
      <c r="H865" s="511" t="s">
        <v>792</v>
      </c>
      <c r="I865" s="510" t="s">
        <v>790</v>
      </c>
      <c r="J865" s="509" t="s">
        <v>650</v>
      </c>
      <c r="K865" s="516">
        <v>5</v>
      </c>
      <c r="L865" s="520"/>
      <c r="M865" s="685">
        <v>733</v>
      </c>
      <c r="N865" s="685">
        <v>90</v>
      </c>
      <c r="O865" s="682">
        <f t="shared" si="39"/>
        <v>0.12278308321964529</v>
      </c>
      <c r="P865" s="683">
        <f t="shared" si="40"/>
        <v>245.56616643929061</v>
      </c>
      <c r="Q865" s="684">
        <f t="shared" si="41"/>
        <v>2.4556616643929061</v>
      </c>
      <c r="R865" s="490"/>
    </row>
    <row r="866" spans="1:18" x14ac:dyDescent="0.2">
      <c r="A866" s="506" t="s">
        <v>276</v>
      </c>
      <c r="B866" s="502" t="s">
        <v>779</v>
      </c>
      <c r="C866" s="507" t="s">
        <v>289</v>
      </c>
      <c r="D866" s="503" t="s">
        <v>283</v>
      </c>
      <c r="E866" s="348"/>
      <c r="F866" s="504" t="s">
        <v>109</v>
      </c>
      <c r="G866" s="512" t="s">
        <v>816</v>
      </c>
      <c r="H866" s="511" t="s">
        <v>789</v>
      </c>
      <c r="I866" s="510" t="s">
        <v>790</v>
      </c>
      <c r="J866" s="509" t="s">
        <v>650</v>
      </c>
      <c r="K866" s="516">
        <v>32</v>
      </c>
      <c r="L866" s="520"/>
      <c r="M866" s="685">
        <v>134</v>
      </c>
      <c r="N866" s="685">
        <v>38</v>
      </c>
      <c r="O866" s="682">
        <f t="shared" si="39"/>
        <v>0.28358208955223879</v>
      </c>
      <c r="P866" s="683">
        <f t="shared" si="40"/>
        <v>88.619402985074629</v>
      </c>
      <c r="Q866" s="684">
        <f t="shared" si="41"/>
        <v>0.88619402985074625</v>
      </c>
      <c r="R866" s="490"/>
    </row>
    <row r="867" spans="1:18" x14ac:dyDescent="0.2">
      <c r="A867" s="506" t="s">
        <v>276</v>
      </c>
      <c r="B867" s="502" t="s">
        <v>779</v>
      </c>
      <c r="C867" s="507" t="s">
        <v>289</v>
      </c>
      <c r="D867" s="503" t="s">
        <v>284</v>
      </c>
      <c r="E867" s="348"/>
      <c r="F867" s="504" t="s">
        <v>109</v>
      </c>
      <c r="G867" s="512" t="s">
        <v>816</v>
      </c>
      <c r="H867" s="511" t="s">
        <v>789</v>
      </c>
      <c r="I867" s="510" t="s">
        <v>790</v>
      </c>
      <c r="J867" s="509" t="s">
        <v>650</v>
      </c>
      <c r="K867" s="516">
        <v>33</v>
      </c>
      <c r="L867" s="520"/>
      <c r="M867" s="685">
        <v>29</v>
      </c>
      <c r="N867" s="685">
        <v>13</v>
      </c>
      <c r="O867" s="682">
        <f t="shared" si="39"/>
        <v>0.44827586206896552</v>
      </c>
      <c r="P867" s="683">
        <f t="shared" si="40"/>
        <v>135.84117032392896</v>
      </c>
      <c r="Q867" s="684">
        <f t="shared" si="41"/>
        <v>1.3584117032392895</v>
      </c>
      <c r="R867" s="490"/>
    </row>
    <row r="868" spans="1:18" x14ac:dyDescent="0.2">
      <c r="A868" s="506" t="s">
        <v>276</v>
      </c>
      <c r="B868" s="502" t="s">
        <v>779</v>
      </c>
      <c r="C868" s="507" t="s">
        <v>289</v>
      </c>
      <c r="D868" s="503" t="s">
        <v>281</v>
      </c>
      <c r="E868" s="348"/>
      <c r="F868" s="504" t="s">
        <v>109</v>
      </c>
      <c r="G868" s="512" t="s">
        <v>816</v>
      </c>
      <c r="H868" s="511" t="s">
        <v>789</v>
      </c>
      <c r="I868" s="510" t="s">
        <v>790</v>
      </c>
      <c r="J868" s="509" t="s">
        <v>650</v>
      </c>
      <c r="K868" s="516">
        <v>0</v>
      </c>
      <c r="L868" s="520" t="s">
        <v>791</v>
      </c>
      <c r="M868" s="685">
        <v>2</v>
      </c>
      <c r="N868" s="685">
        <v>0</v>
      </c>
      <c r="O868" s="682">
        <f t="shared" si="39"/>
        <v>0</v>
      </c>
      <c r="P868" s="683" t="str">
        <f t="shared" si="40"/>
        <v>0</v>
      </c>
      <c r="Q868" s="684" t="str">
        <f t="shared" si="41"/>
        <v>0</v>
      </c>
      <c r="R868" s="491"/>
    </row>
    <row r="869" spans="1:18" x14ac:dyDescent="0.2">
      <c r="A869" s="506" t="s">
        <v>276</v>
      </c>
      <c r="B869" s="502" t="s">
        <v>779</v>
      </c>
      <c r="C869" s="507" t="s">
        <v>97</v>
      </c>
      <c r="D869" s="503" t="s">
        <v>279</v>
      </c>
      <c r="E869" s="348"/>
      <c r="F869" s="504" t="s">
        <v>109</v>
      </c>
      <c r="G869" s="512" t="s">
        <v>817</v>
      </c>
      <c r="H869" s="511" t="s">
        <v>789</v>
      </c>
      <c r="I869" s="510" t="s">
        <v>790</v>
      </c>
      <c r="J869" s="509" t="s">
        <v>650</v>
      </c>
      <c r="K869" s="516">
        <v>33</v>
      </c>
      <c r="L869" s="520"/>
      <c r="M869" s="685">
        <v>6</v>
      </c>
      <c r="N869" s="685">
        <v>4</v>
      </c>
      <c r="O869" s="682">
        <f t="shared" si="39"/>
        <v>0.66666666666666663</v>
      </c>
      <c r="P869" s="683">
        <f t="shared" si="40"/>
        <v>202.02020202020202</v>
      </c>
      <c r="Q869" s="684">
        <f t="shared" si="41"/>
        <v>2.0202020202020203</v>
      </c>
      <c r="R869" s="490"/>
    </row>
    <row r="870" spans="1:18" x14ac:dyDescent="0.2">
      <c r="A870" s="506" t="s">
        <v>276</v>
      </c>
      <c r="B870" s="502" t="s">
        <v>779</v>
      </c>
      <c r="C870" s="507" t="s">
        <v>97</v>
      </c>
      <c r="D870" s="503" t="s">
        <v>281</v>
      </c>
      <c r="E870" s="348"/>
      <c r="F870" s="504" t="s">
        <v>109</v>
      </c>
      <c r="G870" s="512" t="s">
        <v>817</v>
      </c>
      <c r="H870" s="511" t="s">
        <v>789</v>
      </c>
      <c r="I870" s="510" t="s">
        <v>790</v>
      </c>
      <c r="J870" s="509" t="s">
        <v>650</v>
      </c>
      <c r="K870" s="516">
        <v>33</v>
      </c>
      <c r="L870" s="520" t="s">
        <v>791</v>
      </c>
      <c r="M870" s="685">
        <v>9</v>
      </c>
      <c r="N870" s="685">
        <v>7</v>
      </c>
      <c r="O870" s="682">
        <f t="shared" si="39"/>
        <v>0.77777777777777779</v>
      </c>
      <c r="P870" s="683">
        <f t="shared" si="40"/>
        <v>235.69023569023568</v>
      </c>
      <c r="Q870" s="684">
        <f t="shared" si="41"/>
        <v>2.3569023569023568</v>
      </c>
      <c r="R870" s="491"/>
    </row>
    <row r="871" spans="1:18" x14ac:dyDescent="0.2">
      <c r="A871" s="506" t="s">
        <v>276</v>
      </c>
      <c r="B871" s="502" t="s">
        <v>779</v>
      </c>
      <c r="C871" s="507" t="s">
        <v>282</v>
      </c>
      <c r="D871" s="503" t="s">
        <v>287</v>
      </c>
      <c r="E871" s="348"/>
      <c r="F871" s="504" t="s">
        <v>109</v>
      </c>
      <c r="G871" s="512" t="s">
        <v>817</v>
      </c>
      <c r="H871" s="511" t="s">
        <v>792</v>
      </c>
      <c r="I871" s="510" t="s">
        <v>790</v>
      </c>
      <c r="J871" s="509" t="s">
        <v>650</v>
      </c>
      <c r="K871" s="516">
        <v>5</v>
      </c>
      <c r="L871" s="520" t="s">
        <v>791</v>
      </c>
      <c r="M871" s="685">
        <v>68</v>
      </c>
      <c r="N871" s="685">
        <v>10</v>
      </c>
      <c r="O871" s="682">
        <f t="shared" si="39"/>
        <v>0.14705882352941177</v>
      </c>
      <c r="P871" s="683">
        <f t="shared" si="40"/>
        <v>294.11764705882348</v>
      </c>
      <c r="Q871" s="684">
        <f t="shared" si="41"/>
        <v>2.9411764705882351</v>
      </c>
      <c r="R871" s="491"/>
    </row>
    <row r="872" spans="1:18" x14ac:dyDescent="0.2">
      <c r="A872" s="506" t="s">
        <v>276</v>
      </c>
      <c r="B872" s="502" t="s">
        <v>779</v>
      </c>
      <c r="C872" s="507" t="s">
        <v>282</v>
      </c>
      <c r="D872" s="503" t="s">
        <v>283</v>
      </c>
      <c r="E872" s="348"/>
      <c r="F872" s="504" t="s">
        <v>109</v>
      </c>
      <c r="G872" s="512" t="s">
        <v>817</v>
      </c>
      <c r="H872" s="511" t="s">
        <v>789</v>
      </c>
      <c r="I872" s="510" t="s">
        <v>790</v>
      </c>
      <c r="J872" s="509" t="s">
        <v>650</v>
      </c>
      <c r="K872" s="516">
        <v>26</v>
      </c>
      <c r="L872" s="520"/>
      <c r="M872" s="685">
        <v>19</v>
      </c>
      <c r="N872" s="685">
        <v>2</v>
      </c>
      <c r="O872" s="682">
        <f t="shared" si="39"/>
        <v>0.10526315789473684</v>
      </c>
      <c r="P872" s="683">
        <f t="shared" si="40"/>
        <v>40.48582995951417</v>
      </c>
      <c r="Q872" s="684">
        <f t="shared" si="41"/>
        <v>0.40485829959514169</v>
      </c>
      <c r="R872" s="490"/>
    </row>
    <row r="873" spans="1:18" x14ac:dyDescent="0.2">
      <c r="A873" s="506" t="s">
        <v>276</v>
      </c>
      <c r="B873" s="502" t="s">
        <v>779</v>
      </c>
      <c r="C873" s="507" t="s">
        <v>282</v>
      </c>
      <c r="D873" s="503" t="s">
        <v>284</v>
      </c>
      <c r="E873" s="348"/>
      <c r="F873" s="504" t="s">
        <v>109</v>
      </c>
      <c r="G873" s="512" t="s">
        <v>817</v>
      </c>
      <c r="H873" s="511" t="s">
        <v>789</v>
      </c>
      <c r="I873" s="510" t="s">
        <v>790</v>
      </c>
      <c r="J873" s="509" t="s">
        <v>650</v>
      </c>
      <c r="K873" s="516">
        <v>16</v>
      </c>
      <c r="L873" s="520"/>
      <c r="M873" s="685">
        <v>43</v>
      </c>
      <c r="N873" s="685">
        <v>7</v>
      </c>
      <c r="O873" s="682">
        <f t="shared" si="39"/>
        <v>0.16279069767441862</v>
      </c>
      <c r="P873" s="683">
        <f t="shared" si="40"/>
        <v>101.74418604651163</v>
      </c>
      <c r="Q873" s="684">
        <f t="shared" si="41"/>
        <v>1.0174418604651163</v>
      </c>
      <c r="R873" s="490"/>
    </row>
    <row r="874" spans="1:18" x14ac:dyDescent="0.2">
      <c r="A874" s="506" t="s">
        <v>276</v>
      </c>
      <c r="B874" s="502" t="s">
        <v>779</v>
      </c>
      <c r="C874" s="507" t="s">
        <v>282</v>
      </c>
      <c r="D874" s="503" t="s">
        <v>279</v>
      </c>
      <c r="E874" s="348"/>
      <c r="F874" s="504" t="s">
        <v>109</v>
      </c>
      <c r="G874" s="512" t="s">
        <v>817</v>
      </c>
      <c r="H874" s="511" t="s">
        <v>789</v>
      </c>
      <c r="I874" s="510" t="s">
        <v>790</v>
      </c>
      <c r="J874" s="509" t="s">
        <v>650</v>
      </c>
      <c r="K874" s="516">
        <v>6</v>
      </c>
      <c r="L874" s="520"/>
      <c r="M874" s="685">
        <v>65</v>
      </c>
      <c r="N874" s="685">
        <v>7</v>
      </c>
      <c r="O874" s="682">
        <f t="shared" si="39"/>
        <v>0.1076923076923077</v>
      </c>
      <c r="P874" s="683">
        <f t="shared" si="40"/>
        <v>179.4871794871795</v>
      </c>
      <c r="Q874" s="684">
        <f t="shared" si="41"/>
        <v>1.7948717948717949</v>
      </c>
      <c r="R874" s="490"/>
    </row>
    <row r="875" spans="1:18" x14ac:dyDescent="0.2">
      <c r="A875" s="506" t="s">
        <v>276</v>
      </c>
      <c r="B875" s="502" t="s">
        <v>779</v>
      </c>
      <c r="C875" s="507" t="s">
        <v>282</v>
      </c>
      <c r="D875" s="503" t="s">
        <v>281</v>
      </c>
      <c r="E875" s="348"/>
      <c r="F875" s="504" t="s">
        <v>109</v>
      </c>
      <c r="G875" s="512" t="s">
        <v>817</v>
      </c>
      <c r="H875" s="511" t="s">
        <v>789</v>
      </c>
      <c r="I875" s="510" t="s">
        <v>790</v>
      </c>
      <c r="J875" s="509" t="s">
        <v>650</v>
      </c>
      <c r="K875" s="516">
        <v>8</v>
      </c>
      <c r="L875" s="520"/>
      <c r="M875" s="685">
        <v>48</v>
      </c>
      <c r="N875" s="685">
        <v>12</v>
      </c>
      <c r="O875" s="682">
        <f t="shared" si="39"/>
        <v>0.25</v>
      </c>
      <c r="P875" s="683">
        <f t="shared" si="40"/>
        <v>312.5</v>
      </c>
      <c r="Q875" s="684">
        <f t="shared" si="41"/>
        <v>3.125</v>
      </c>
      <c r="R875" s="490"/>
    </row>
    <row r="876" spans="1:18" x14ac:dyDescent="0.2">
      <c r="A876" s="506" t="s">
        <v>276</v>
      </c>
      <c r="B876" s="502" t="s">
        <v>779</v>
      </c>
      <c r="C876" s="507" t="s">
        <v>288</v>
      </c>
      <c r="D876" s="503" t="s">
        <v>287</v>
      </c>
      <c r="E876" s="348"/>
      <c r="F876" s="504" t="s">
        <v>109</v>
      </c>
      <c r="G876" s="512" t="s">
        <v>817</v>
      </c>
      <c r="H876" s="511" t="s">
        <v>792</v>
      </c>
      <c r="I876" s="510" t="s">
        <v>790</v>
      </c>
      <c r="J876" s="509" t="s">
        <v>650</v>
      </c>
      <c r="K876" s="516">
        <v>28.999999999999996</v>
      </c>
      <c r="L876" s="520"/>
      <c r="M876" s="685">
        <v>299</v>
      </c>
      <c r="N876" s="685">
        <v>36</v>
      </c>
      <c r="O876" s="682">
        <f t="shared" si="39"/>
        <v>0.12040133779264214</v>
      </c>
      <c r="P876" s="683">
        <f t="shared" si="40"/>
        <v>41.517702687117982</v>
      </c>
      <c r="Q876" s="684">
        <f t="shared" si="41"/>
        <v>0.4151770268711798</v>
      </c>
      <c r="R876" s="490"/>
    </row>
    <row r="877" spans="1:18" x14ac:dyDescent="0.2">
      <c r="A877" s="506" t="s">
        <v>276</v>
      </c>
      <c r="B877" s="502" t="s">
        <v>779</v>
      </c>
      <c r="C877" s="507" t="s">
        <v>288</v>
      </c>
      <c r="D877" s="503" t="s">
        <v>283</v>
      </c>
      <c r="E877" s="348"/>
      <c r="F877" s="504" t="s">
        <v>109</v>
      </c>
      <c r="G877" s="512" t="s">
        <v>817</v>
      </c>
      <c r="H877" s="511" t="s">
        <v>789</v>
      </c>
      <c r="I877" s="510" t="s">
        <v>790</v>
      </c>
      <c r="J877" s="509" t="s">
        <v>650</v>
      </c>
      <c r="K877" s="516">
        <v>8</v>
      </c>
      <c r="L877" s="520"/>
      <c r="M877" s="685">
        <v>64</v>
      </c>
      <c r="N877" s="685">
        <v>6</v>
      </c>
      <c r="O877" s="682">
        <f t="shared" si="39"/>
        <v>9.375E-2</v>
      </c>
      <c r="P877" s="683">
        <f t="shared" si="40"/>
        <v>117.1875</v>
      </c>
      <c r="Q877" s="684">
        <f t="shared" si="41"/>
        <v>1.171875</v>
      </c>
      <c r="R877" s="490"/>
    </row>
    <row r="878" spans="1:18" x14ac:dyDescent="0.2">
      <c r="A878" s="506" t="s">
        <v>276</v>
      </c>
      <c r="B878" s="502" t="s">
        <v>779</v>
      </c>
      <c r="C878" s="507" t="s">
        <v>288</v>
      </c>
      <c r="D878" s="503" t="s">
        <v>284</v>
      </c>
      <c r="E878" s="348"/>
      <c r="F878" s="504" t="s">
        <v>109</v>
      </c>
      <c r="G878" s="512" t="s">
        <v>817</v>
      </c>
      <c r="H878" s="511" t="s">
        <v>789</v>
      </c>
      <c r="I878" s="510" t="s">
        <v>790</v>
      </c>
      <c r="J878" s="509" t="s">
        <v>650</v>
      </c>
      <c r="K878" s="516">
        <v>8</v>
      </c>
      <c r="L878" s="520" t="s">
        <v>791</v>
      </c>
      <c r="M878" s="685">
        <v>10</v>
      </c>
      <c r="N878" s="685">
        <v>0</v>
      </c>
      <c r="O878" s="682">
        <f t="shared" si="39"/>
        <v>0</v>
      </c>
      <c r="P878" s="683">
        <f t="shared" si="40"/>
        <v>0</v>
      </c>
      <c r="Q878" s="684">
        <f t="shared" si="41"/>
        <v>0</v>
      </c>
      <c r="R878" s="491"/>
    </row>
    <row r="879" spans="1:18" x14ac:dyDescent="0.2">
      <c r="A879" s="506" t="s">
        <v>276</v>
      </c>
      <c r="B879" s="502" t="s">
        <v>779</v>
      </c>
      <c r="C879" s="507" t="s">
        <v>288</v>
      </c>
      <c r="D879" s="503" t="s">
        <v>279</v>
      </c>
      <c r="E879" s="348"/>
      <c r="F879" s="504" t="s">
        <v>109</v>
      </c>
      <c r="G879" s="512" t="s">
        <v>817</v>
      </c>
      <c r="H879" s="511" t="s">
        <v>789</v>
      </c>
      <c r="I879" s="510" t="s">
        <v>790</v>
      </c>
      <c r="J879" s="509" t="s">
        <v>650</v>
      </c>
      <c r="K879" s="516">
        <v>0</v>
      </c>
      <c r="L879" s="520" t="s">
        <v>791</v>
      </c>
      <c r="M879" s="685">
        <v>2</v>
      </c>
      <c r="N879" s="685">
        <v>1</v>
      </c>
      <c r="O879" s="682">
        <f t="shared" si="39"/>
        <v>0.5</v>
      </c>
      <c r="P879" s="683" t="str">
        <f t="shared" si="40"/>
        <v>0</v>
      </c>
      <c r="Q879" s="684" t="str">
        <f t="shared" si="41"/>
        <v>0</v>
      </c>
      <c r="R879" s="491"/>
    </row>
    <row r="880" spans="1:18" x14ac:dyDescent="0.2">
      <c r="A880" s="506" t="s">
        <v>276</v>
      </c>
      <c r="B880" s="502" t="s">
        <v>779</v>
      </c>
      <c r="C880" s="507" t="s">
        <v>288</v>
      </c>
      <c r="D880" s="503" t="s">
        <v>281</v>
      </c>
      <c r="E880" s="348"/>
      <c r="F880" s="504" t="s">
        <v>109</v>
      </c>
      <c r="G880" s="512" t="s">
        <v>817</v>
      </c>
      <c r="H880" s="511" t="s">
        <v>789</v>
      </c>
      <c r="I880" s="510" t="s">
        <v>790</v>
      </c>
      <c r="J880" s="509" t="s">
        <v>650</v>
      </c>
      <c r="K880" s="516">
        <v>8</v>
      </c>
      <c r="L880" s="520" t="s">
        <v>791</v>
      </c>
      <c r="M880" s="685">
        <v>17</v>
      </c>
      <c r="N880" s="685">
        <v>3</v>
      </c>
      <c r="O880" s="682">
        <f t="shared" si="39"/>
        <v>0.17647058823529413</v>
      </c>
      <c r="P880" s="683">
        <f t="shared" si="40"/>
        <v>220.58823529411762</v>
      </c>
      <c r="Q880" s="684">
        <f t="shared" si="41"/>
        <v>2.2058823529411762</v>
      </c>
      <c r="R880" s="491"/>
    </row>
    <row r="881" spans="1:18" x14ac:dyDescent="0.2">
      <c r="A881" s="506" t="s">
        <v>276</v>
      </c>
      <c r="B881" s="502" t="s">
        <v>779</v>
      </c>
      <c r="C881" s="507" t="s">
        <v>99</v>
      </c>
      <c r="D881" s="503" t="s">
        <v>287</v>
      </c>
      <c r="E881" s="348"/>
      <c r="F881" s="504" t="s">
        <v>109</v>
      </c>
      <c r="G881" s="512" t="s">
        <v>817</v>
      </c>
      <c r="H881" s="511" t="s">
        <v>792</v>
      </c>
      <c r="I881" s="510" t="s">
        <v>790</v>
      </c>
      <c r="J881" s="509" t="s">
        <v>650</v>
      </c>
      <c r="K881" s="516">
        <v>17</v>
      </c>
      <c r="L881" s="520"/>
      <c r="M881" s="685">
        <v>326</v>
      </c>
      <c r="N881" s="685">
        <v>49</v>
      </c>
      <c r="O881" s="682">
        <f t="shared" si="39"/>
        <v>0.15030674846625766</v>
      </c>
      <c r="P881" s="683">
        <f t="shared" si="40"/>
        <v>88.415734391916274</v>
      </c>
      <c r="Q881" s="684">
        <f t="shared" si="41"/>
        <v>0.88415734391916267</v>
      </c>
      <c r="R881" s="490"/>
    </row>
    <row r="882" spans="1:18" x14ac:dyDescent="0.2">
      <c r="A882" s="506" t="s">
        <v>276</v>
      </c>
      <c r="B882" s="502" t="s">
        <v>779</v>
      </c>
      <c r="C882" s="507" t="s">
        <v>99</v>
      </c>
      <c r="D882" s="503" t="s">
        <v>283</v>
      </c>
      <c r="E882" s="348"/>
      <c r="F882" s="504" t="s">
        <v>109</v>
      </c>
      <c r="G882" s="512" t="s">
        <v>817</v>
      </c>
      <c r="H882" s="511" t="s">
        <v>789</v>
      </c>
      <c r="I882" s="510" t="s">
        <v>790</v>
      </c>
      <c r="J882" s="509" t="s">
        <v>650</v>
      </c>
      <c r="K882" s="516">
        <v>36</v>
      </c>
      <c r="L882" s="520"/>
      <c r="M882" s="685">
        <v>17</v>
      </c>
      <c r="N882" s="685">
        <v>4</v>
      </c>
      <c r="O882" s="682">
        <f t="shared" si="39"/>
        <v>0.23529411764705882</v>
      </c>
      <c r="P882" s="683">
        <f t="shared" si="40"/>
        <v>65.359477124183002</v>
      </c>
      <c r="Q882" s="684">
        <f t="shared" si="41"/>
        <v>0.65359477124183007</v>
      </c>
      <c r="R882" s="490"/>
    </row>
    <row r="883" spans="1:18" x14ac:dyDescent="0.2">
      <c r="A883" s="506" t="s">
        <v>276</v>
      </c>
      <c r="B883" s="502" t="s">
        <v>779</v>
      </c>
      <c r="C883" s="507" t="s">
        <v>99</v>
      </c>
      <c r="D883" s="503" t="s">
        <v>284</v>
      </c>
      <c r="E883" s="348"/>
      <c r="F883" s="504" t="s">
        <v>109</v>
      </c>
      <c r="G883" s="512" t="s">
        <v>817</v>
      </c>
      <c r="H883" s="511" t="s">
        <v>789</v>
      </c>
      <c r="I883" s="510" t="s">
        <v>790</v>
      </c>
      <c r="J883" s="509" t="s">
        <v>650</v>
      </c>
      <c r="K883" s="516">
        <v>80</v>
      </c>
      <c r="L883" s="520"/>
      <c r="M883" s="685">
        <v>8</v>
      </c>
      <c r="N883" s="685">
        <v>2</v>
      </c>
      <c r="O883" s="682">
        <f t="shared" si="39"/>
        <v>0.25</v>
      </c>
      <c r="P883" s="683">
        <f t="shared" si="40"/>
        <v>31.25</v>
      </c>
      <c r="Q883" s="684">
        <f t="shared" si="41"/>
        <v>0.3125</v>
      </c>
      <c r="R883" s="490"/>
    </row>
    <row r="884" spans="1:18" x14ac:dyDescent="0.2">
      <c r="A884" s="506" t="s">
        <v>276</v>
      </c>
      <c r="B884" s="502" t="s">
        <v>779</v>
      </c>
      <c r="C884" s="507" t="s">
        <v>99</v>
      </c>
      <c r="D884" s="503" t="s">
        <v>279</v>
      </c>
      <c r="E884" s="348"/>
      <c r="F884" s="504" t="s">
        <v>109</v>
      </c>
      <c r="G884" s="512" t="s">
        <v>817</v>
      </c>
      <c r="H884" s="511" t="s">
        <v>789</v>
      </c>
      <c r="I884" s="510" t="s">
        <v>790</v>
      </c>
      <c r="J884" s="509" t="s">
        <v>650</v>
      </c>
      <c r="K884" s="516">
        <v>17</v>
      </c>
      <c r="L884" s="520" t="s">
        <v>791</v>
      </c>
      <c r="M884" s="685">
        <v>5</v>
      </c>
      <c r="N884" s="685">
        <v>2</v>
      </c>
      <c r="O884" s="682">
        <f t="shared" si="39"/>
        <v>0.4</v>
      </c>
      <c r="P884" s="683">
        <f t="shared" si="40"/>
        <v>235.29411764705878</v>
      </c>
      <c r="Q884" s="684">
        <f t="shared" si="41"/>
        <v>2.3529411764705879</v>
      </c>
      <c r="R884" s="491"/>
    </row>
    <row r="885" spans="1:18" x14ac:dyDescent="0.2">
      <c r="A885" s="506" t="s">
        <v>276</v>
      </c>
      <c r="B885" s="502" t="s">
        <v>779</v>
      </c>
      <c r="C885" s="507" t="s">
        <v>99</v>
      </c>
      <c r="D885" s="503" t="s">
        <v>281</v>
      </c>
      <c r="E885" s="348"/>
      <c r="F885" s="504" t="s">
        <v>109</v>
      </c>
      <c r="G885" s="512" t="s">
        <v>817</v>
      </c>
      <c r="H885" s="511" t="s">
        <v>789</v>
      </c>
      <c r="I885" s="510" t="s">
        <v>790</v>
      </c>
      <c r="J885" s="509" t="s">
        <v>650</v>
      </c>
      <c r="K885" s="516">
        <v>0</v>
      </c>
      <c r="L885" s="520" t="s">
        <v>791</v>
      </c>
      <c r="M885" s="685">
        <v>1</v>
      </c>
      <c r="N885" s="685">
        <v>0</v>
      </c>
      <c r="O885" s="682">
        <f t="shared" si="39"/>
        <v>0</v>
      </c>
      <c r="P885" s="683" t="str">
        <f t="shared" si="40"/>
        <v>0</v>
      </c>
      <c r="Q885" s="684" t="str">
        <f t="shared" si="41"/>
        <v>0</v>
      </c>
      <c r="R885" s="491"/>
    </row>
    <row r="886" spans="1:18" x14ac:dyDescent="0.2">
      <c r="A886" s="506" t="s">
        <v>276</v>
      </c>
      <c r="B886" s="502" t="s">
        <v>779</v>
      </c>
      <c r="C886" s="507" t="s">
        <v>285</v>
      </c>
      <c r="D886" s="503" t="s">
        <v>287</v>
      </c>
      <c r="E886" s="348"/>
      <c r="F886" s="504" t="s">
        <v>109</v>
      </c>
      <c r="G886" s="512" t="s">
        <v>817</v>
      </c>
      <c r="H886" s="511" t="s">
        <v>792</v>
      </c>
      <c r="I886" s="510" t="s">
        <v>790</v>
      </c>
      <c r="J886" s="509" t="s">
        <v>650</v>
      </c>
      <c r="K886" s="516">
        <v>13</v>
      </c>
      <c r="L886" s="520"/>
      <c r="M886" s="685">
        <v>0</v>
      </c>
      <c r="N886" s="685">
        <v>0</v>
      </c>
      <c r="O886" s="682">
        <f t="shared" si="39"/>
        <v>0</v>
      </c>
      <c r="P886" s="683" t="str">
        <f t="shared" si="40"/>
        <v>0</v>
      </c>
      <c r="Q886" s="684" t="str">
        <f t="shared" si="41"/>
        <v>0</v>
      </c>
      <c r="R886" s="491"/>
    </row>
    <row r="887" spans="1:18" x14ac:dyDescent="0.2">
      <c r="A887" s="506" t="s">
        <v>276</v>
      </c>
      <c r="B887" s="502" t="s">
        <v>779</v>
      </c>
      <c r="C887" s="507" t="s">
        <v>285</v>
      </c>
      <c r="D887" s="503" t="s">
        <v>283</v>
      </c>
      <c r="E887" s="348"/>
      <c r="F887" s="504" t="s">
        <v>109</v>
      </c>
      <c r="G887" s="512" t="s">
        <v>817</v>
      </c>
      <c r="H887" s="511" t="s">
        <v>789</v>
      </c>
      <c r="I887" s="510" t="s">
        <v>790</v>
      </c>
      <c r="J887" s="509" t="s">
        <v>650</v>
      </c>
      <c r="K887" s="516">
        <v>50</v>
      </c>
      <c r="L887" s="520" t="s">
        <v>791</v>
      </c>
      <c r="M887" s="685">
        <v>5</v>
      </c>
      <c r="N887" s="685">
        <v>1</v>
      </c>
      <c r="O887" s="682">
        <f t="shared" si="39"/>
        <v>0.2</v>
      </c>
      <c r="P887" s="683">
        <f t="shared" si="40"/>
        <v>40</v>
      </c>
      <c r="Q887" s="684">
        <f t="shared" si="41"/>
        <v>0.4</v>
      </c>
      <c r="R887" s="491"/>
    </row>
    <row r="888" spans="1:18" x14ac:dyDescent="0.2">
      <c r="A888" s="506" t="s">
        <v>276</v>
      </c>
      <c r="B888" s="502" t="s">
        <v>779</v>
      </c>
      <c r="C888" s="507" t="s">
        <v>285</v>
      </c>
      <c r="D888" s="503" t="s">
        <v>284</v>
      </c>
      <c r="E888" s="348"/>
      <c r="F888" s="504" t="s">
        <v>109</v>
      </c>
      <c r="G888" s="512" t="s">
        <v>817</v>
      </c>
      <c r="H888" s="511" t="s">
        <v>789</v>
      </c>
      <c r="I888" s="510" t="s">
        <v>790</v>
      </c>
      <c r="J888" s="509" t="s">
        <v>650</v>
      </c>
      <c r="K888" s="516">
        <v>0</v>
      </c>
      <c r="L888" s="520" t="s">
        <v>791</v>
      </c>
      <c r="M888" s="685">
        <v>4</v>
      </c>
      <c r="N888" s="685">
        <v>0</v>
      </c>
      <c r="O888" s="682">
        <f t="shared" si="39"/>
        <v>0</v>
      </c>
      <c r="P888" s="683" t="str">
        <f t="shared" si="40"/>
        <v>0</v>
      </c>
      <c r="Q888" s="684" t="str">
        <f t="shared" si="41"/>
        <v>0</v>
      </c>
      <c r="R888" s="491"/>
    </row>
    <row r="889" spans="1:18" x14ac:dyDescent="0.2">
      <c r="A889" s="506" t="s">
        <v>276</v>
      </c>
      <c r="B889" s="502" t="s">
        <v>779</v>
      </c>
      <c r="C889" s="507" t="s">
        <v>285</v>
      </c>
      <c r="D889" s="503" t="s">
        <v>279</v>
      </c>
      <c r="E889" s="348"/>
      <c r="F889" s="504" t="s">
        <v>109</v>
      </c>
      <c r="G889" s="512" t="s">
        <v>817</v>
      </c>
      <c r="H889" s="511" t="s">
        <v>789</v>
      </c>
      <c r="I889" s="510" t="s">
        <v>790</v>
      </c>
      <c r="J889" s="509" t="s">
        <v>650</v>
      </c>
      <c r="K889" s="516">
        <v>0</v>
      </c>
      <c r="L889" s="520" t="s">
        <v>791</v>
      </c>
      <c r="M889" s="685">
        <v>1</v>
      </c>
      <c r="N889" s="685">
        <v>0</v>
      </c>
      <c r="O889" s="682">
        <f t="shared" si="39"/>
        <v>0</v>
      </c>
      <c r="P889" s="683" t="str">
        <f t="shared" si="40"/>
        <v>0</v>
      </c>
      <c r="Q889" s="684" t="str">
        <f t="shared" si="41"/>
        <v>0</v>
      </c>
      <c r="R889" s="491"/>
    </row>
    <row r="890" spans="1:18" x14ac:dyDescent="0.2">
      <c r="A890" s="506" t="s">
        <v>276</v>
      </c>
      <c r="B890" s="502" t="s">
        <v>779</v>
      </c>
      <c r="C890" s="507" t="s">
        <v>285</v>
      </c>
      <c r="D890" s="503" t="s">
        <v>281</v>
      </c>
      <c r="E890" s="348"/>
      <c r="F890" s="504" t="s">
        <v>109</v>
      </c>
      <c r="G890" s="512" t="s">
        <v>817</v>
      </c>
      <c r="H890" s="511" t="s">
        <v>789</v>
      </c>
      <c r="I890" s="510" t="s">
        <v>790</v>
      </c>
      <c r="J890" s="509" t="s">
        <v>650</v>
      </c>
      <c r="K890" s="516">
        <v>25</v>
      </c>
      <c r="L890" s="520"/>
      <c r="M890" s="685">
        <v>12</v>
      </c>
      <c r="N890" s="685">
        <v>4</v>
      </c>
      <c r="O890" s="682">
        <f t="shared" si="39"/>
        <v>0.33333333333333331</v>
      </c>
      <c r="P890" s="683">
        <f t="shared" si="40"/>
        <v>133.33333333333331</v>
      </c>
      <c r="Q890" s="684">
        <f t="shared" si="41"/>
        <v>1.3333333333333333</v>
      </c>
      <c r="R890" s="490"/>
    </row>
    <row r="891" spans="1:18" x14ac:dyDescent="0.2">
      <c r="A891" s="506" t="s">
        <v>276</v>
      </c>
      <c r="B891" s="502" t="s">
        <v>779</v>
      </c>
      <c r="C891" s="507" t="s">
        <v>285</v>
      </c>
      <c r="D891" s="503" t="s">
        <v>286</v>
      </c>
      <c r="E891" s="348"/>
      <c r="F891" s="504" t="s">
        <v>109</v>
      </c>
      <c r="G891" s="512" t="s">
        <v>817</v>
      </c>
      <c r="H891" s="511" t="s">
        <v>789</v>
      </c>
      <c r="I891" s="510" t="s">
        <v>790</v>
      </c>
      <c r="J891" s="509" t="s">
        <v>650</v>
      </c>
      <c r="K891" s="516">
        <v>10</v>
      </c>
      <c r="L891" s="520"/>
      <c r="M891" s="685">
        <v>20</v>
      </c>
      <c r="N891" s="685">
        <v>0</v>
      </c>
      <c r="O891" s="682">
        <f t="shared" si="39"/>
        <v>0</v>
      </c>
      <c r="P891" s="683">
        <f t="shared" si="40"/>
        <v>0</v>
      </c>
      <c r="Q891" s="684">
        <f t="shared" si="41"/>
        <v>0</v>
      </c>
      <c r="R891" s="490"/>
    </row>
    <row r="892" spans="1:18" x14ac:dyDescent="0.2">
      <c r="A892" s="506" t="s">
        <v>276</v>
      </c>
      <c r="B892" s="502" t="s">
        <v>779</v>
      </c>
      <c r="C892" s="507" t="s">
        <v>291</v>
      </c>
      <c r="D892" s="503" t="s">
        <v>283</v>
      </c>
      <c r="E892" s="348"/>
      <c r="F892" s="504" t="s">
        <v>109</v>
      </c>
      <c r="G892" s="512" t="s">
        <v>817</v>
      </c>
      <c r="H892" s="511" t="s">
        <v>789</v>
      </c>
      <c r="I892" s="510" t="s">
        <v>790</v>
      </c>
      <c r="J892" s="509" t="s">
        <v>650</v>
      </c>
      <c r="K892" s="516">
        <v>0</v>
      </c>
      <c r="L892" s="520" t="s">
        <v>791</v>
      </c>
      <c r="M892" s="685">
        <v>0</v>
      </c>
      <c r="N892" s="685">
        <v>0</v>
      </c>
      <c r="O892" s="682">
        <f t="shared" si="39"/>
        <v>0</v>
      </c>
      <c r="P892" s="683" t="str">
        <f t="shared" si="40"/>
        <v>0</v>
      </c>
      <c r="Q892" s="684" t="str">
        <f t="shared" si="41"/>
        <v>0</v>
      </c>
      <c r="R892" s="491"/>
    </row>
    <row r="893" spans="1:18" x14ac:dyDescent="0.2">
      <c r="A893" s="506" t="s">
        <v>276</v>
      </c>
      <c r="B893" s="502" t="s">
        <v>779</v>
      </c>
      <c r="C893" s="507" t="s">
        <v>291</v>
      </c>
      <c r="D893" s="503" t="s">
        <v>284</v>
      </c>
      <c r="E893" s="348"/>
      <c r="F893" s="504" t="s">
        <v>109</v>
      </c>
      <c r="G893" s="512" t="s">
        <v>817</v>
      </c>
      <c r="H893" s="511" t="s">
        <v>789</v>
      </c>
      <c r="I893" s="510" t="s">
        <v>790</v>
      </c>
      <c r="J893" s="509" t="s">
        <v>650</v>
      </c>
      <c r="K893" s="516">
        <v>0</v>
      </c>
      <c r="L893" s="520" t="s">
        <v>791</v>
      </c>
      <c r="M893" s="685">
        <v>0</v>
      </c>
      <c r="N893" s="685">
        <v>0</v>
      </c>
      <c r="O893" s="682">
        <f t="shared" si="39"/>
        <v>0</v>
      </c>
      <c r="P893" s="683" t="str">
        <f t="shared" si="40"/>
        <v>0</v>
      </c>
      <c r="Q893" s="684" t="str">
        <f t="shared" si="41"/>
        <v>0</v>
      </c>
      <c r="R893" s="491"/>
    </row>
    <row r="894" spans="1:18" x14ac:dyDescent="0.2">
      <c r="A894" s="506" t="s">
        <v>276</v>
      </c>
      <c r="B894" s="502" t="s">
        <v>779</v>
      </c>
      <c r="C894" s="507" t="s">
        <v>290</v>
      </c>
      <c r="D894" s="503" t="s">
        <v>287</v>
      </c>
      <c r="E894" s="348"/>
      <c r="F894" s="504" t="s">
        <v>109</v>
      </c>
      <c r="G894" s="512" t="s">
        <v>817</v>
      </c>
      <c r="H894" s="511" t="s">
        <v>792</v>
      </c>
      <c r="I894" s="510" t="s">
        <v>790</v>
      </c>
      <c r="J894" s="509" t="s">
        <v>650</v>
      </c>
      <c r="K894" s="516">
        <v>38</v>
      </c>
      <c r="L894" s="520"/>
      <c r="M894" s="685">
        <v>65</v>
      </c>
      <c r="N894" s="685">
        <v>9</v>
      </c>
      <c r="O894" s="682">
        <f t="shared" si="39"/>
        <v>0.13846153846153847</v>
      </c>
      <c r="P894" s="683">
        <f t="shared" si="40"/>
        <v>36.43724696356275</v>
      </c>
      <c r="Q894" s="684">
        <f t="shared" si="41"/>
        <v>0.36437246963562753</v>
      </c>
      <c r="R894" s="490"/>
    </row>
    <row r="895" spans="1:18" x14ac:dyDescent="0.2">
      <c r="A895" s="506" t="s">
        <v>276</v>
      </c>
      <c r="B895" s="502" t="s">
        <v>779</v>
      </c>
      <c r="C895" s="507" t="s">
        <v>290</v>
      </c>
      <c r="D895" s="503" t="s">
        <v>283</v>
      </c>
      <c r="E895" s="348"/>
      <c r="F895" s="504" t="s">
        <v>109</v>
      </c>
      <c r="G895" s="512" t="s">
        <v>817</v>
      </c>
      <c r="H895" s="511" t="s">
        <v>789</v>
      </c>
      <c r="I895" s="510" t="s">
        <v>790</v>
      </c>
      <c r="J895" s="509" t="s">
        <v>650</v>
      </c>
      <c r="K895" s="516">
        <v>0</v>
      </c>
      <c r="L895" s="520" t="s">
        <v>791</v>
      </c>
      <c r="M895" s="685">
        <v>5</v>
      </c>
      <c r="N895" s="685">
        <v>0</v>
      </c>
      <c r="O895" s="682">
        <f t="shared" si="39"/>
        <v>0</v>
      </c>
      <c r="P895" s="683" t="str">
        <f t="shared" si="40"/>
        <v>0</v>
      </c>
      <c r="Q895" s="684" t="str">
        <f t="shared" si="41"/>
        <v>0</v>
      </c>
      <c r="R895" s="491"/>
    </row>
    <row r="896" spans="1:18" x14ac:dyDescent="0.2">
      <c r="A896" s="506" t="s">
        <v>276</v>
      </c>
      <c r="B896" s="502" t="s">
        <v>779</v>
      </c>
      <c r="C896" s="507" t="s">
        <v>290</v>
      </c>
      <c r="D896" s="503" t="s">
        <v>284</v>
      </c>
      <c r="E896" s="348"/>
      <c r="F896" s="504" t="s">
        <v>109</v>
      </c>
      <c r="G896" s="512" t="s">
        <v>817</v>
      </c>
      <c r="H896" s="511" t="s">
        <v>789</v>
      </c>
      <c r="I896" s="510" t="s">
        <v>790</v>
      </c>
      <c r="J896" s="509" t="s">
        <v>650</v>
      </c>
      <c r="K896" s="516">
        <v>0</v>
      </c>
      <c r="L896" s="520" t="s">
        <v>791</v>
      </c>
      <c r="M896" s="685">
        <v>0</v>
      </c>
      <c r="N896" s="685">
        <v>0</v>
      </c>
      <c r="O896" s="682">
        <f t="shared" si="39"/>
        <v>0</v>
      </c>
      <c r="P896" s="683" t="str">
        <f t="shared" si="40"/>
        <v>0</v>
      </c>
      <c r="Q896" s="684" t="str">
        <f t="shared" si="41"/>
        <v>0</v>
      </c>
      <c r="R896" s="491"/>
    </row>
    <row r="897" spans="1:18" x14ac:dyDescent="0.2">
      <c r="A897" s="506" t="s">
        <v>276</v>
      </c>
      <c r="B897" s="502" t="s">
        <v>779</v>
      </c>
      <c r="C897" s="507" t="s">
        <v>289</v>
      </c>
      <c r="D897" s="503" t="s">
        <v>287</v>
      </c>
      <c r="E897" s="348"/>
      <c r="F897" s="504" t="s">
        <v>109</v>
      </c>
      <c r="G897" s="512" t="s">
        <v>817</v>
      </c>
      <c r="H897" s="511" t="s">
        <v>792</v>
      </c>
      <c r="I897" s="510" t="s">
        <v>790</v>
      </c>
      <c r="J897" s="509" t="s">
        <v>650</v>
      </c>
      <c r="K897" s="516">
        <v>5</v>
      </c>
      <c r="L897" s="520"/>
      <c r="M897" s="685">
        <v>733</v>
      </c>
      <c r="N897" s="685">
        <v>90</v>
      </c>
      <c r="O897" s="682">
        <f t="shared" si="39"/>
        <v>0.12278308321964529</v>
      </c>
      <c r="P897" s="683">
        <f t="shared" si="40"/>
        <v>245.56616643929061</v>
      </c>
      <c r="Q897" s="684">
        <f t="shared" si="41"/>
        <v>2.4556616643929061</v>
      </c>
      <c r="R897" s="490"/>
    </row>
    <row r="898" spans="1:18" x14ac:dyDescent="0.2">
      <c r="A898" s="506" t="s">
        <v>276</v>
      </c>
      <c r="B898" s="502" t="s">
        <v>779</v>
      </c>
      <c r="C898" s="507" t="s">
        <v>289</v>
      </c>
      <c r="D898" s="503" t="s">
        <v>283</v>
      </c>
      <c r="E898" s="348"/>
      <c r="F898" s="504" t="s">
        <v>109</v>
      </c>
      <c r="G898" s="512" t="s">
        <v>817</v>
      </c>
      <c r="H898" s="511" t="s">
        <v>789</v>
      </c>
      <c r="I898" s="510" t="s">
        <v>790</v>
      </c>
      <c r="J898" s="509" t="s">
        <v>650</v>
      </c>
      <c r="K898" s="516">
        <v>32</v>
      </c>
      <c r="L898" s="520"/>
      <c r="M898" s="685">
        <v>134</v>
      </c>
      <c r="N898" s="685">
        <v>38</v>
      </c>
      <c r="O898" s="682">
        <f t="shared" si="39"/>
        <v>0.28358208955223879</v>
      </c>
      <c r="P898" s="683">
        <f t="shared" si="40"/>
        <v>88.619402985074629</v>
      </c>
      <c r="Q898" s="684">
        <f t="shared" si="41"/>
        <v>0.88619402985074625</v>
      </c>
      <c r="R898" s="490"/>
    </row>
    <row r="899" spans="1:18" x14ac:dyDescent="0.2">
      <c r="A899" s="506" t="s">
        <v>276</v>
      </c>
      <c r="B899" s="502" t="s">
        <v>779</v>
      </c>
      <c r="C899" s="507" t="s">
        <v>289</v>
      </c>
      <c r="D899" s="503" t="s">
        <v>284</v>
      </c>
      <c r="E899" s="348"/>
      <c r="F899" s="504" t="s">
        <v>109</v>
      </c>
      <c r="G899" s="512" t="s">
        <v>817</v>
      </c>
      <c r="H899" s="511" t="s">
        <v>789</v>
      </c>
      <c r="I899" s="510" t="s">
        <v>790</v>
      </c>
      <c r="J899" s="509" t="s">
        <v>650</v>
      </c>
      <c r="K899" s="516">
        <v>33</v>
      </c>
      <c r="L899" s="520"/>
      <c r="M899" s="685">
        <v>29</v>
      </c>
      <c r="N899" s="685">
        <v>13</v>
      </c>
      <c r="O899" s="682">
        <f t="shared" si="39"/>
        <v>0.44827586206896552</v>
      </c>
      <c r="P899" s="683">
        <f t="shared" si="40"/>
        <v>135.84117032392896</v>
      </c>
      <c r="Q899" s="684">
        <f t="shared" si="41"/>
        <v>1.3584117032392895</v>
      </c>
      <c r="R899" s="490"/>
    </row>
    <row r="900" spans="1:18" x14ac:dyDescent="0.2">
      <c r="A900" s="506" t="s">
        <v>276</v>
      </c>
      <c r="B900" s="502" t="s">
        <v>779</v>
      </c>
      <c r="C900" s="507" t="s">
        <v>289</v>
      </c>
      <c r="D900" s="503" t="s">
        <v>281</v>
      </c>
      <c r="E900" s="348"/>
      <c r="F900" s="504" t="s">
        <v>109</v>
      </c>
      <c r="G900" s="512" t="s">
        <v>817</v>
      </c>
      <c r="H900" s="511" t="s">
        <v>789</v>
      </c>
      <c r="I900" s="510" t="s">
        <v>790</v>
      </c>
      <c r="J900" s="509" t="s">
        <v>650</v>
      </c>
      <c r="K900" s="516">
        <v>0</v>
      </c>
      <c r="L900" s="520" t="s">
        <v>791</v>
      </c>
      <c r="M900" s="685">
        <v>2</v>
      </c>
      <c r="N900" s="685">
        <v>0</v>
      </c>
      <c r="O900" s="682">
        <f t="shared" si="39"/>
        <v>0</v>
      </c>
      <c r="P900" s="683" t="str">
        <f t="shared" si="40"/>
        <v>0</v>
      </c>
      <c r="Q900" s="684" t="str">
        <f t="shared" si="41"/>
        <v>0</v>
      </c>
      <c r="R900" s="491"/>
    </row>
    <row r="901" spans="1:18" x14ac:dyDescent="0.2">
      <c r="A901" s="506" t="s">
        <v>276</v>
      </c>
      <c r="B901" s="502" t="s">
        <v>779</v>
      </c>
      <c r="C901" s="507" t="s">
        <v>781</v>
      </c>
      <c r="D901" s="507" t="s">
        <v>287</v>
      </c>
      <c r="E901" s="348"/>
      <c r="F901" s="504" t="s">
        <v>109</v>
      </c>
      <c r="G901" s="512" t="s">
        <v>802</v>
      </c>
      <c r="H901" s="511" t="s">
        <v>818</v>
      </c>
      <c r="I901" s="510" t="s">
        <v>790</v>
      </c>
      <c r="J901" s="509" t="s">
        <v>650</v>
      </c>
      <c r="K901" s="516">
        <v>10</v>
      </c>
      <c r="L901" s="520"/>
      <c r="M901" s="685">
        <v>437</v>
      </c>
      <c r="N901" s="685">
        <v>437</v>
      </c>
      <c r="O901" s="682">
        <f t="shared" ref="O901:O964" si="42">IFERROR(N901/M901,0)</f>
        <v>1</v>
      </c>
      <c r="P901" s="683">
        <f t="shared" ref="P901:P964" si="43">IFERROR(N901/(M901*(K901/100))*100,"0")</f>
        <v>1000</v>
      </c>
      <c r="Q901" s="684">
        <f t="shared" ref="Q901:Q964" si="44">IFERROR(N901/(M901*(K901/100)),"0")</f>
        <v>10</v>
      </c>
      <c r="R901" s="490"/>
    </row>
    <row r="902" spans="1:18" x14ac:dyDescent="0.2">
      <c r="A902" s="506" t="s">
        <v>276</v>
      </c>
      <c r="B902" s="502" t="s">
        <v>779</v>
      </c>
      <c r="C902" s="507" t="s">
        <v>781</v>
      </c>
      <c r="D902" s="507" t="s">
        <v>283</v>
      </c>
      <c r="E902" s="348"/>
      <c r="F902" s="504" t="s">
        <v>109</v>
      </c>
      <c r="G902" s="512" t="s">
        <v>802</v>
      </c>
      <c r="H902" s="511" t="s">
        <v>818</v>
      </c>
      <c r="I902" s="510" t="s">
        <v>790</v>
      </c>
      <c r="J902" s="509" t="s">
        <v>650</v>
      </c>
      <c r="K902" s="516">
        <v>10</v>
      </c>
      <c r="L902" s="520"/>
      <c r="M902" s="685">
        <v>85</v>
      </c>
      <c r="N902" s="685">
        <v>85</v>
      </c>
      <c r="O902" s="682">
        <f t="shared" si="42"/>
        <v>1</v>
      </c>
      <c r="P902" s="683">
        <f t="shared" si="43"/>
        <v>1000</v>
      </c>
      <c r="Q902" s="684">
        <f t="shared" si="44"/>
        <v>10</v>
      </c>
      <c r="R902" s="490"/>
    </row>
    <row r="903" spans="1:18" x14ac:dyDescent="0.2">
      <c r="A903" s="506" t="s">
        <v>276</v>
      </c>
      <c r="B903" s="502" t="s">
        <v>779</v>
      </c>
      <c r="C903" s="507" t="s">
        <v>781</v>
      </c>
      <c r="D903" s="507" t="s">
        <v>284</v>
      </c>
      <c r="E903" s="348"/>
      <c r="F903" s="504" t="s">
        <v>109</v>
      </c>
      <c r="G903" s="512" t="s">
        <v>802</v>
      </c>
      <c r="H903" s="511" t="s">
        <v>818</v>
      </c>
      <c r="I903" s="510" t="s">
        <v>790</v>
      </c>
      <c r="J903" s="509" t="s">
        <v>650</v>
      </c>
      <c r="K903" s="516">
        <v>10</v>
      </c>
      <c r="L903" s="520"/>
      <c r="M903" s="685">
        <v>14</v>
      </c>
      <c r="N903" s="685">
        <v>14</v>
      </c>
      <c r="O903" s="682">
        <f t="shared" si="42"/>
        <v>1</v>
      </c>
      <c r="P903" s="683">
        <f t="shared" si="43"/>
        <v>999.99999999999977</v>
      </c>
      <c r="Q903" s="684">
        <f t="shared" si="44"/>
        <v>9.9999999999999982</v>
      </c>
      <c r="R903" s="490"/>
    </row>
    <row r="904" spans="1:18" x14ac:dyDescent="0.2">
      <c r="A904" s="506" t="s">
        <v>276</v>
      </c>
      <c r="B904" s="502" t="s">
        <v>779</v>
      </c>
      <c r="C904" s="507" t="s">
        <v>781</v>
      </c>
      <c r="D904" s="507" t="s">
        <v>279</v>
      </c>
      <c r="E904" s="348"/>
      <c r="F904" s="504" t="s">
        <v>109</v>
      </c>
      <c r="G904" s="512" t="s">
        <v>802</v>
      </c>
      <c r="H904" s="511" t="s">
        <v>818</v>
      </c>
      <c r="I904" s="510" t="s">
        <v>790</v>
      </c>
      <c r="J904" s="509" t="s">
        <v>650</v>
      </c>
      <c r="K904" s="516">
        <v>10</v>
      </c>
      <c r="L904" s="520"/>
      <c r="M904" s="685">
        <v>0</v>
      </c>
      <c r="N904" s="685">
        <v>0</v>
      </c>
      <c r="O904" s="682">
        <f t="shared" si="42"/>
        <v>0</v>
      </c>
      <c r="P904" s="683" t="str">
        <f t="shared" si="43"/>
        <v>0</v>
      </c>
      <c r="Q904" s="684" t="str">
        <f t="shared" si="44"/>
        <v>0</v>
      </c>
      <c r="R904" s="490"/>
    </row>
    <row r="905" spans="1:18" x14ac:dyDescent="0.2">
      <c r="A905" s="506" t="s">
        <v>276</v>
      </c>
      <c r="B905" s="502" t="s">
        <v>779</v>
      </c>
      <c r="C905" s="507" t="s">
        <v>781</v>
      </c>
      <c r="D905" s="507" t="s">
        <v>281</v>
      </c>
      <c r="E905" s="348"/>
      <c r="F905" s="504" t="s">
        <v>109</v>
      </c>
      <c r="G905" s="512" t="s">
        <v>802</v>
      </c>
      <c r="H905" s="511" t="s">
        <v>818</v>
      </c>
      <c r="I905" s="510" t="s">
        <v>790</v>
      </c>
      <c r="J905" s="509" t="s">
        <v>650</v>
      </c>
      <c r="K905" s="516">
        <v>10</v>
      </c>
      <c r="L905" s="520"/>
      <c r="M905" s="685">
        <v>3</v>
      </c>
      <c r="N905" s="685">
        <v>3</v>
      </c>
      <c r="O905" s="682">
        <f t="shared" si="42"/>
        <v>1</v>
      </c>
      <c r="P905" s="683">
        <f t="shared" si="43"/>
        <v>999.99999999999977</v>
      </c>
      <c r="Q905" s="684">
        <f t="shared" si="44"/>
        <v>9.9999999999999982</v>
      </c>
      <c r="R905" s="490"/>
    </row>
    <row r="906" spans="1:18" x14ac:dyDescent="0.2">
      <c r="A906" s="506" t="s">
        <v>276</v>
      </c>
      <c r="B906" s="502" t="s">
        <v>779</v>
      </c>
      <c r="C906" s="507" t="s">
        <v>781</v>
      </c>
      <c r="D906" s="507" t="s">
        <v>286</v>
      </c>
      <c r="E906" s="348"/>
      <c r="F906" s="504" t="s">
        <v>109</v>
      </c>
      <c r="G906" s="512" t="s">
        <v>802</v>
      </c>
      <c r="H906" s="511" t="s">
        <v>818</v>
      </c>
      <c r="I906" s="510" t="s">
        <v>790</v>
      </c>
      <c r="J906" s="509" t="s">
        <v>650</v>
      </c>
      <c r="K906" s="516">
        <v>10</v>
      </c>
      <c r="L906" s="520"/>
      <c r="M906" s="685">
        <v>0</v>
      </c>
      <c r="N906" s="685">
        <v>0</v>
      </c>
      <c r="O906" s="682">
        <f t="shared" si="42"/>
        <v>0</v>
      </c>
      <c r="P906" s="683" t="str">
        <f t="shared" si="43"/>
        <v>0</v>
      </c>
      <c r="Q906" s="684" t="str">
        <f t="shared" si="44"/>
        <v>0</v>
      </c>
      <c r="R906" s="491"/>
    </row>
    <row r="907" spans="1:18" x14ac:dyDescent="0.2">
      <c r="A907" s="506" t="s">
        <v>276</v>
      </c>
      <c r="B907" s="502" t="s">
        <v>779</v>
      </c>
      <c r="C907" s="507" t="s">
        <v>781</v>
      </c>
      <c r="D907" s="507" t="s">
        <v>287</v>
      </c>
      <c r="E907" s="348"/>
      <c r="F907" s="504" t="s">
        <v>109</v>
      </c>
      <c r="G907" s="512" t="s">
        <v>803</v>
      </c>
      <c r="H907" s="511" t="s">
        <v>7</v>
      </c>
      <c r="I907" s="511" t="s">
        <v>7</v>
      </c>
      <c r="J907" s="511" t="s">
        <v>7</v>
      </c>
      <c r="K907" s="518" t="s">
        <v>7</v>
      </c>
      <c r="L907" s="521" t="s">
        <v>787</v>
      </c>
      <c r="M907" s="685">
        <v>0</v>
      </c>
      <c r="N907" s="687">
        <v>0</v>
      </c>
      <c r="O907" s="682">
        <f t="shared" si="42"/>
        <v>0</v>
      </c>
      <c r="P907" s="683" t="str">
        <f t="shared" si="43"/>
        <v>0</v>
      </c>
      <c r="Q907" s="684" t="str">
        <f t="shared" si="44"/>
        <v>0</v>
      </c>
      <c r="R907" s="490"/>
    </row>
    <row r="908" spans="1:18" x14ac:dyDescent="0.2">
      <c r="A908" s="506" t="s">
        <v>276</v>
      </c>
      <c r="B908" s="502" t="s">
        <v>779</v>
      </c>
      <c r="C908" s="507" t="s">
        <v>781</v>
      </c>
      <c r="D908" s="507" t="s">
        <v>283</v>
      </c>
      <c r="E908" s="348"/>
      <c r="F908" s="504" t="s">
        <v>109</v>
      </c>
      <c r="G908" s="512" t="s">
        <v>803</v>
      </c>
      <c r="H908" s="511" t="s">
        <v>7</v>
      </c>
      <c r="I908" s="511" t="s">
        <v>7</v>
      </c>
      <c r="J908" s="511" t="s">
        <v>7</v>
      </c>
      <c r="K908" s="518" t="s">
        <v>7</v>
      </c>
      <c r="L908" s="521" t="s">
        <v>787</v>
      </c>
      <c r="M908" s="685">
        <v>0</v>
      </c>
      <c r="N908" s="687">
        <v>0</v>
      </c>
      <c r="O908" s="682">
        <f t="shared" si="42"/>
        <v>0</v>
      </c>
      <c r="P908" s="683" t="str">
        <f t="shared" si="43"/>
        <v>0</v>
      </c>
      <c r="Q908" s="684" t="str">
        <f t="shared" si="44"/>
        <v>0</v>
      </c>
      <c r="R908" s="490"/>
    </row>
    <row r="909" spans="1:18" x14ac:dyDescent="0.2">
      <c r="A909" s="506" t="s">
        <v>276</v>
      </c>
      <c r="B909" s="502" t="s">
        <v>779</v>
      </c>
      <c r="C909" s="507" t="s">
        <v>781</v>
      </c>
      <c r="D909" s="507" t="s">
        <v>284</v>
      </c>
      <c r="E909" s="348"/>
      <c r="F909" s="504" t="s">
        <v>109</v>
      </c>
      <c r="G909" s="512" t="s">
        <v>803</v>
      </c>
      <c r="H909" s="511" t="s">
        <v>7</v>
      </c>
      <c r="I909" s="511" t="s">
        <v>7</v>
      </c>
      <c r="J909" s="511" t="s">
        <v>7</v>
      </c>
      <c r="K909" s="518" t="s">
        <v>7</v>
      </c>
      <c r="L909" s="521" t="s">
        <v>787</v>
      </c>
      <c r="M909" s="685">
        <v>0</v>
      </c>
      <c r="N909" s="687">
        <v>0</v>
      </c>
      <c r="O909" s="682">
        <f t="shared" si="42"/>
        <v>0</v>
      </c>
      <c r="P909" s="683" t="str">
        <f t="shared" si="43"/>
        <v>0</v>
      </c>
      <c r="Q909" s="684" t="str">
        <f t="shared" si="44"/>
        <v>0</v>
      </c>
      <c r="R909" s="490"/>
    </row>
    <row r="910" spans="1:18" x14ac:dyDescent="0.2">
      <c r="A910" s="506" t="s">
        <v>276</v>
      </c>
      <c r="B910" s="502" t="s">
        <v>779</v>
      </c>
      <c r="C910" s="507" t="s">
        <v>781</v>
      </c>
      <c r="D910" s="507" t="s">
        <v>279</v>
      </c>
      <c r="E910" s="348"/>
      <c r="F910" s="504" t="s">
        <v>109</v>
      </c>
      <c r="G910" s="512" t="s">
        <v>803</v>
      </c>
      <c r="H910" s="511" t="s">
        <v>7</v>
      </c>
      <c r="I910" s="511" t="s">
        <v>7</v>
      </c>
      <c r="J910" s="511" t="s">
        <v>7</v>
      </c>
      <c r="K910" s="518" t="s">
        <v>7</v>
      </c>
      <c r="L910" s="521" t="s">
        <v>787</v>
      </c>
      <c r="M910" s="685">
        <v>0</v>
      </c>
      <c r="N910" s="687">
        <v>0</v>
      </c>
      <c r="O910" s="682">
        <f t="shared" si="42"/>
        <v>0</v>
      </c>
      <c r="P910" s="683" t="str">
        <f t="shared" si="43"/>
        <v>0</v>
      </c>
      <c r="Q910" s="684" t="str">
        <f t="shared" si="44"/>
        <v>0</v>
      </c>
      <c r="R910" s="490"/>
    </row>
    <row r="911" spans="1:18" x14ac:dyDescent="0.2">
      <c r="A911" s="506" t="s">
        <v>276</v>
      </c>
      <c r="B911" s="502" t="s">
        <v>779</v>
      </c>
      <c r="C911" s="507" t="s">
        <v>781</v>
      </c>
      <c r="D911" s="507" t="s">
        <v>281</v>
      </c>
      <c r="E911" s="348"/>
      <c r="F911" s="504" t="s">
        <v>109</v>
      </c>
      <c r="G911" s="512" t="s">
        <v>803</v>
      </c>
      <c r="H911" s="511" t="s">
        <v>7</v>
      </c>
      <c r="I911" s="511" t="s">
        <v>7</v>
      </c>
      <c r="J911" s="511" t="s">
        <v>7</v>
      </c>
      <c r="K911" s="518" t="s">
        <v>7</v>
      </c>
      <c r="L911" s="521" t="s">
        <v>787</v>
      </c>
      <c r="M911" s="685">
        <v>0</v>
      </c>
      <c r="N911" s="687">
        <v>0</v>
      </c>
      <c r="O911" s="682">
        <f t="shared" si="42"/>
        <v>0</v>
      </c>
      <c r="P911" s="683" t="str">
        <f t="shared" si="43"/>
        <v>0</v>
      </c>
      <c r="Q911" s="684" t="str">
        <f t="shared" si="44"/>
        <v>0</v>
      </c>
      <c r="R911" s="490"/>
    </row>
    <row r="912" spans="1:18" x14ac:dyDescent="0.2">
      <c r="A912" s="506" t="s">
        <v>276</v>
      </c>
      <c r="B912" s="502" t="s">
        <v>779</v>
      </c>
      <c r="C912" s="507" t="s">
        <v>781</v>
      </c>
      <c r="D912" s="507" t="s">
        <v>286</v>
      </c>
      <c r="E912" s="348"/>
      <c r="F912" s="504" t="s">
        <v>109</v>
      </c>
      <c r="G912" s="512" t="s">
        <v>803</v>
      </c>
      <c r="H912" s="511" t="s">
        <v>7</v>
      </c>
      <c r="I912" s="511" t="s">
        <v>7</v>
      </c>
      <c r="J912" s="511" t="s">
        <v>7</v>
      </c>
      <c r="K912" s="518" t="s">
        <v>7</v>
      </c>
      <c r="L912" s="521" t="s">
        <v>787</v>
      </c>
      <c r="M912" s="685">
        <v>0</v>
      </c>
      <c r="N912" s="687">
        <v>0</v>
      </c>
      <c r="O912" s="682">
        <f t="shared" si="42"/>
        <v>0</v>
      </c>
      <c r="P912" s="683" t="str">
        <f t="shared" si="43"/>
        <v>0</v>
      </c>
      <c r="Q912" s="684" t="str">
        <f t="shared" si="44"/>
        <v>0</v>
      </c>
      <c r="R912" s="491"/>
    </row>
    <row r="913" spans="1:18" x14ac:dyDescent="0.2">
      <c r="A913" s="506" t="s">
        <v>276</v>
      </c>
      <c r="B913" s="502" t="s">
        <v>779</v>
      </c>
      <c r="C913" s="507" t="s">
        <v>97</v>
      </c>
      <c r="D913" s="504" t="s">
        <v>279</v>
      </c>
      <c r="E913" s="348"/>
      <c r="F913" s="504" t="s">
        <v>109</v>
      </c>
      <c r="G913" s="513" t="s">
        <v>220</v>
      </c>
      <c r="H913" s="514" t="s">
        <v>819</v>
      </c>
      <c r="I913" s="514" t="s">
        <v>784</v>
      </c>
      <c r="J913" s="514" t="s">
        <v>650</v>
      </c>
      <c r="K913" s="519">
        <v>100</v>
      </c>
      <c r="L913" s="520"/>
      <c r="M913" s="360">
        <v>6</v>
      </c>
      <c r="N913" s="360">
        <v>6</v>
      </c>
      <c r="O913" s="682">
        <f t="shared" si="42"/>
        <v>1</v>
      </c>
      <c r="P913" s="683">
        <f t="shared" si="43"/>
        <v>100</v>
      </c>
      <c r="Q913" s="684">
        <f t="shared" si="44"/>
        <v>1</v>
      </c>
      <c r="R913" s="490"/>
    </row>
    <row r="914" spans="1:18" x14ac:dyDescent="0.2">
      <c r="A914" s="506" t="s">
        <v>276</v>
      </c>
      <c r="B914" s="502" t="s">
        <v>779</v>
      </c>
      <c r="C914" s="507" t="s">
        <v>97</v>
      </c>
      <c r="D914" s="504" t="s">
        <v>281</v>
      </c>
      <c r="E914" s="348"/>
      <c r="F914" s="504" t="s">
        <v>109</v>
      </c>
      <c r="G914" s="513" t="s">
        <v>220</v>
      </c>
      <c r="H914" s="514" t="s">
        <v>819</v>
      </c>
      <c r="I914" s="514" t="s">
        <v>784</v>
      </c>
      <c r="J914" s="514" t="s">
        <v>650</v>
      </c>
      <c r="K914" s="519">
        <v>100</v>
      </c>
      <c r="L914" s="520"/>
      <c r="M914" s="685">
        <v>9</v>
      </c>
      <c r="N914" s="685">
        <v>9</v>
      </c>
      <c r="O914" s="682">
        <f t="shared" si="42"/>
        <v>1</v>
      </c>
      <c r="P914" s="683">
        <f t="shared" si="43"/>
        <v>100</v>
      </c>
      <c r="Q914" s="684">
        <f t="shared" si="44"/>
        <v>1</v>
      </c>
      <c r="R914" s="490"/>
    </row>
    <row r="915" spans="1:18" x14ac:dyDescent="0.2">
      <c r="A915" s="506" t="s">
        <v>276</v>
      </c>
      <c r="B915" s="502" t="s">
        <v>779</v>
      </c>
      <c r="C915" s="507" t="s">
        <v>282</v>
      </c>
      <c r="D915" s="504" t="s">
        <v>287</v>
      </c>
      <c r="E915" s="348"/>
      <c r="F915" s="504" t="s">
        <v>109</v>
      </c>
      <c r="G915" s="513" t="s">
        <v>220</v>
      </c>
      <c r="H915" s="514" t="s">
        <v>819</v>
      </c>
      <c r="I915" s="514" t="s">
        <v>784</v>
      </c>
      <c r="J915" s="514" t="s">
        <v>650</v>
      </c>
      <c r="K915" s="519">
        <v>100</v>
      </c>
      <c r="L915" s="520"/>
      <c r="M915" s="685">
        <v>68</v>
      </c>
      <c r="N915" s="685">
        <v>68</v>
      </c>
      <c r="O915" s="682">
        <f t="shared" si="42"/>
        <v>1</v>
      </c>
      <c r="P915" s="683">
        <f t="shared" si="43"/>
        <v>100</v>
      </c>
      <c r="Q915" s="684">
        <f t="shared" si="44"/>
        <v>1</v>
      </c>
      <c r="R915" s="490"/>
    </row>
    <row r="916" spans="1:18" x14ac:dyDescent="0.2">
      <c r="A916" s="506" t="s">
        <v>276</v>
      </c>
      <c r="B916" s="502" t="s">
        <v>779</v>
      </c>
      <c r="C916" s="507" t="s">
        <v>282</v>
      </c>
      <c r="D916" s="504" t="s">
        <v>283</v>
      </c>
      <c r="E916" s="348"/>
      <c r="F916" s="504" t="s">
        <v>109</v>
      </c>
      <c r="G916" s="513" t="s">
        <v>220</v>
      </c>
      <c r="H916" s="514" t="s">
        <v>819</v>
      </c>
      <c r="I916" s="514" t="s">
        <v>784</v>
      </c>
      <c r="J916" s="514" t="s">
        <v>650</v>
      </c>
      <c r="K916" s="519">
        <v>100</v>
      </c>
      <c r="L916" s="520"/>
      <c r="M916" s="685">
        <v>19</v>
      </c>
      <c r="N916" s="685">
        <v>19</v>
      </c>
      <c r="O916" s="682">
        <f t="shared" si="42"/>
        <v>1</v>
      </c>
      <c r="P916" s="683">
        <f t="shared" si="43"/>
        <v>100</v>
      </c>
      <c r="Q916" s="684">
        <f t="shared" si="44"/>
        <v>1</v>
      </c>
      <c r="R916" s="490"/>
    </row>
    <row r="917" spans="1:18" x14ac:dyDescent="0.2">
      <c r="A917" s="506" t="s">
        <v>276</v>
      </c>
      <c r="B917" s="502" t="s">
        <v>779</v>
      </c>
      <c r="C917" s="507" t="s">
        <v>282</v>
      </c>
      <c r="D917" s="504" t="s">
        <v>284</v>
      </c>
      <c r="E917" s="348"/>
      <c r="F917" s="504" t="s">
        <v>109</v>
      </c>
      <c r="G917" s="513" t="s">
        <v>220</v>
      </c>
      <c r="H917" s="514" t="s">
        <v>819</v>
      </c>
      <c r="I917" s="514" t="s">
        <v>784</v>
      </c>
      <c r="J917" s="514" t="s">
        <v>650</v>
      </c>
      <c r="K917" s="519">
        <v>100</v>
      </c>
      <c r="L917" s="520"/>
      <c r="M917" s="685">
        <v>43</v>
      </c>
      <c r="N917" s="685">
        <v>43</v>
      </c>
      <c r="O917" s="682">
        <f t="shared" si="42"/>
        <v>1</v>
      </c>
      <c r="P917" s="683">
        <f t="shared" si="43"/>
        <v>100</v>
      </c>
      <c r="Q917" s="684">
        <f t="shared" si="44"/>
        <v>1</v>
      </c>
      <c r="R917" s="490"/>
    </row>
    <row r="918" spans="1:18" x14ac:dyDescent="0.2">
      <c r="A918" s="506" t="s">
        <v>276</v>
      </c>
      <c r="B918" s="502" t="s">
        <v>779</v>
      </c>
      <c r="C918" s="507" t="s">
        <v>282</v>
      </c>
      <c r="D918" s="504" t="s">
        <v>279</v>
      </c>
      <c r="E918" s="348"/>
      <c r="F918" s="504" t="s">
        <v>109</v>
      </c>
      <c r="G918" s="513" t="s">
        <v>220</v>
      </c>
      <c r="H918" s="514" t="s">
        <v>819</v>
      </c>
      <c r="I918" s="514" t="s">
        <v>784</v>
      </c>
      <c r="J918" s="514" t="s">
        <v>650</v>
      </c>
      <c r="K918" s="519">
        <v>100</v>
      </c>
      <c r="L918" s="520"/>
      <c r="M918" s="685">
        <v>65</v>
      </c>
      <c r="N918" s="685">
        <v>65</v>
      </c>
      <c r="O918" s="682">
        <f t="shared" si="42"/>
        <v>1</v>
      </c>
      <c r="P918" s="683">
        <f t="shared" si="43"/>
        <v>100</v>
      </c>
      <c r="Q918" s="684">
        <f t="shared" si="44"/>
        <v>1</v>
      </c>
      <c r="R918" s="490"/>
    </row>
    <row r="919" spans="1:18" x14ac:dyDescent="0.2">
      <c r="A919" s="506" t="s">
        <v>276</v>
      </c>
      <c r="B919" s="502" t="s">
        <v>779</v>
      </c>
      <c r="C919" s="507" t="s">
        <v>282</v>
      </c>
      <c r="D919" s="504" t="s">
        <v>281</v>
      </c>
      <c r="E919" s="348"/>
      <c r="F919" s="504" t="s">
        <v>109</v>
      </c>
      <c r="G919" s="513" t="s">
        <v>220</v>
      </c>
      <c r="H919" s="514" t="s">
        <v>819</v>
      </c>
      <c r="I919" s="514" t="s">
        <v>784</v>
      </c>
      <c r="J919" s="514" t="s">
        <v>650</v>
      </c>
      <c r="K919" s="519">
        <v>100</v>
      </c>
      <c r="L919" s="520"/>
      <c r="M919" s="685">
        <v>48</v>
      </c>
      <c r="N919" s="685">
        <v>48</v>
      </c>
      <c r="O919" s="682">
        <f t="shared" si="42"/>
        <v>1</v>
      </c>
      <c r="P919" s="683">
        <f t="shared" si="43"/>
        <v>100</v>
      </c>
      <c r="Q919" s="684">
        <f t="shared" si="44"/>
        <v>1</v>
      </c>
      <c r="R919" s="490"/>
    </row>
    <row r="920" spans="1:18" x14ac:dyDescent="0.2">
      <c r="A920" s="506" t="s">
        <v>276</v>
      </c>
      <c r="B920" s="502" t="s">
        <v>779</v>
      </c>
      <c r="C920" s="507" t="s">
        <v>288</v>
      </c>
      <c r="D920" s="504" t="s">
        <v>287</v>
      </c>
      <c r="E920" s="348"/>
      <c r="F920" s="504" t="s">
        <v>109</v>
      </c>
      <c r="G920" s="513" t="s">
        <v>220</v>
      </c>
      <c r="H920" s="514" t="s">
        <v>819</v>
      </c>
      <c r="I920" s="514" t="s">
        <v>784</v>
      </c>
      <c r="J920" s="514" t="s">
        <v>650</v>
      </c>
      <c r="K920" s="519">
        <v>100</v>
      </c>
      <c r="L920" s="520"/>
      <c r="M920" s="685">
        <v>299</v>
      </c>
      <c r="N920" s="685">
        <v>299</v>
      </c>
      <c r="O920" s="682">
        <f t="shared" si="42"/>
        <v>1</v>
      </c>
      <c r="P920" s="683">
        <f t="shared" si="43"/>
        <v>100</v>
      </c>
      <c r="Q920" s="684">
        <f t="shared" si="44"/>
        <v>1</v>
      </c>
      <c r="R920" s="490"/>
    </row>
    <row r="921" spans="1:18" x14ac:dyDescent="0.2">
      <c r="A921" s="506" t="s">
        <v>276</v>
      </c>
      <c r="B921" s="502" t="s">
        <v>779</v>
      </c>
      <c r="C921" s="507" t="s">
        <v>288</v>
      </c>
      <c r="D921" s="504" t="s">
        <v>283</v>
      </c>
      <c r="E921" s="348"/>
      <c r="F921" s="504" t="s">
        <v>109</v>
      </c>
      <c r="G921" s="513" t="s">
        <v>220</v>
      </c>
      <c r="H921" s="514" t="s">
        <v>819</v>
      </c>
      <c r="I921" s="514" t="s">
        <v>784</v>
      </c>
      <c r="J921" s="514" t="s">
        <v>650</v>
      </c>
      <c r="K921" s="519">
        <v>100</v>
      </c>
      <c r="L921" s="520"/>
      <c r="M921" s="685">
        <v>64</v>
      </c>
      <c r="N921" s="685">
        <v>64</v>
      </c>
      <c r="O921" s="682">
        <f t="shared" si="42"/>
        <v>1</v>
      </c>
      <c r="P921" s="683">
        <f t="shared" si="43"/>
        <v>100</v>
      </c>
      <c r="Q921" s="684">
        <f t="shared" si="44"/>
        <v>1</v>
      </c>
      <c r="R921" s="490"/>
    </row>
    <row r="922" spans="1:18" x14ac:dyDescent="0.2">
      <c r="A922" s="506" t="s">
        <v>276</v>
      </c>
      <c r="B922" s="502" t="s">
        <v>779</v>
      </c>
      <c r="C922" s="507" t="s">
        <v>288</v>
      </c>
      <c r="D922" s="504" t="s">
        <v>284</v>
      </c>
      <c r="E922" s="348"/>
      <c r="F922" s="504" t="s">
        <v>109</v>
      </c>
      <c r="G922" s="513" t="s">
        <v>220</v>
      </c>
      <c r="H922" s="514" t="s">
        <v>819</v>
      </c>
      <c r="I922" s="514" t="s">
        <v>784</v>
      </c>
      <c r="J922" s="514" t="s">
        <v>650</v>
      </c>
      <c r="K922" s="519">
        <v>100</v>
      </c>
      <c r="L922" s="520"/>
      <c r="M922" s="685">
        <v>10</v>
      </c>
      <c r="N922" s="685">
        <v>10</v>
      </c>
      <c r="O922" s="682">
        <f t="shared" si="42"/>
        <v>1</v>
      </c>
      <c r="P922" s="683">
        <f t="shared" si="43"/>
        <v>100</v>
      </c>
      <c r="Q922" s="684">
        <f t="shared" si="44"/>
        <v>1</v>
      </c>
      <c r="R922" s="490"/>
    </row>
    <row r="923" spans="1:18" x14ac:dyDescent="0.2">
      <c r="A923" s="506" t="s">
        <v>276</v>
      </c>
      <c r="B923" s="502" t="s">
        <v>779</v>
      </c>
      <c r="C923" s="507" t="s">
        <v>288</v>
      </c>
      <c r="D923" s="504" t="s">
        <v>279</v>
      </c>
      <c r="E923" s="348"/>
      <c r="F923" s="504" t="s">
        <v>109</v>
      </c>
      <c r="G923" s="513" t="s">
        <v>220</v>
      </c>
      <c r="H923" s="514" t="s">
        <v>819</v>
      </c>
      <c r="I923" s="514" t="s">
        <v>784</v>
      </c>
      <c r="J923" s="514" t="s">
        <v>650</v>
      </c>
      <c r="K923" s="519">
        <v>100</v>
      </c>
      <c r="L923" s="520"/>
      <c r="M923" s="685">
        <v>2</v>
      </c>
      <c r="N923" s="685">
        <v>2</v>
      </c>
      <c r="O923" s="682">
        <f t="shared" si="42"/>
        <v>1</v>
      </c>
      <c r="P923" s="683">
        <f t="shared" si="43"/>
        <v>100</v>
      </c>
      <c r="Q923" s="684">
        <f t="shared" si="44"/>
        <v>1</v>
      </c>
      <c r="R923" s="490"/>
    </row>
    <row r="924" spans="1:18" x14ac:dyDescent="0.2">
      <c r="A924" s="506" t="s">
        <v>276</v>
      </c>
      <c r="B924" s="502" t="s">
        <v>779</v>
      </c>
      <c r="C924" s="507" t="s">
        <v>288</v>
      </c>
      <c r="D924" s="504" t="s">
        <v>281</v>
      </c>
      <c r="E924" s="348"/>
      <c r="F924" s="504" t="s">
        <v>109</v>
      </c>
      <c r="G924" s="513" t="s">
        <v>220</v>
      </c>
      <c r="H924" s="514" t="s">
        <v>819</v>
      </c>
      <c r="I924" s="514" t="s">
        <v>784</v>
      </c>
      <c r="J924" s="514" t="s">
        <v>650</v>
      </c>
      <c r="K924" s="519">
        <v>100</v>
      </c>
      <c r="L924" s="520"/>
      <c r="M924" s="685">
        <v>17</v>
      </c>
      <c r="N924" s="685">
        <v>17</v>
      </c>
      <c r="O924" s="682">
        <f t="shared" si="42"/>
        <v>1</v>
      </c>
      <c r="P924" s="683">
        <f t="shared" si="43"/>
        <v>100</v>
      </c>
      <c r="Q924" s="684">
        <f t="shared" si="44"/>
        <v>1</v>
      </c>
      <c r="R924" s="490"/>
    </row>
    <row r="925" spans="1:18" x14ac:dyDescent="0.2">
      <c r="A925" s="506" t="s">
        <v>276</v>
      </c>
      <c r="B925" s="502" t="s">
        <v>779</v>
      </c>
      <c r="C925" s="507" t="s">
        <v>99</v>
      </c>
      <c r="D925" s="504" t="s">
        <v>287</v>
      </c>
      <c r="E925" s="348"/>
      <c r="F925" s="504" t="s">
        <v>109</v>
      </c>
      <c r="G925" s="513" t="s">
        <v>220</v>
      </c>
      <c r="H925" s="514" t="s">
        <v>819</v>
      </c>
      <c r="I925" s="514" t="s">
        <v>784</v>
      </c>
      <c r="J925" s="514" t="s">
        <v>650</v>
      </c>
      <c r="K925" s="519">
        <v>100</v>
      </c>
      <c r="L925" s="520"/>
      <c r="M925" s="685">
        <v>326</v>
      </c>
      <c r="N925" s="685">
        <v>326</v>
      </c>
      <c r="O925" s="682">
        <f t="shared" si="42"/>
        <v>1</v>
      </c>
      <c r="P925" s="683">
        <f t="shared" si="43"/>
        <v>100</v>
      </c>
      <c r="Q925" s="684">
        <f t="shared" si="44"/>
        <v>1</v>
      </c>
      <c r="R925" s="490"/>
    </row>
    <row r="926" spans="1:18" x14ac:dyDescent="0.2">
      <c r="A926" s="506" t="s">
        <v>276</v>
      </c>
      <c r="B926" s="502" t="s">
        <v>779</v>
      </c>
      <c r="C926" s="507" t="s">
        <v>99</v>
      </c>
      <c r="D926" s="504" t="s">
        <v>283</v>
      </c>
      <c r="E926" s="348"/>
      <c r="F926" s="504" t="s">
        <v>109</v>
      </c>
      <c r="G926" s="513" t="s">
        <v>220</v>
      </c>
      <c r="H926" s="514" t="s">
        <v>819</v>
      </c>
      <c r="I926" s="514" t="s">
        <v>784</v>
      </c>
      <c r="J926" s="514" t="s">
        <v>650</v>
      </c>
      <c r="K926" s="519">
        <v>100</v>
      </c>
      <c r="L926" s="520"/>
      <c r="M926" s="685">
        <v>17</v>
      </c>
      <c r="N926" s="685">
        <v>17</v>
      </c>
      <c r="O926" s="682">
        <f t="shared" si="42"/>
        <v>1</v>
      </c>
      <c r="P926" s="683">
        <f t="shared" si="43"/>
        <v>100</v>
      </c>
      <c r="Q926" s="684">
        <f t="shared" si="44"/>
        <v>1</v>
      </c>
      <c r="R926" s="490"/>
    </row>
    <row r="927" spans="1:18" x14ac:dyDescent="0.2">
      <c r="A927" s="506" t="s">
        <v>276</v>
      </c>
      <c r="B927" s="502" t="s">
        <v>779</v>
      </c>
      <c r="C927" s="507" t="s">
        <v>99</v>
      </c>
      <c r="D927" s="504" t="s">
        <v>284</v>
      </c>
      <c r="E927" s="348"/>
      <c r="F927" s="504" t="s">
        <v>109</v>
      </c>
      <c r="G927" s="513" t="s">
        <v>220</v>
      </c>
      <c r="H927" s="514" t="s">
        <v>819</v>
      </c>
      <c r="I927" s="514" t="s">
        <v>784</v>
      </c>
      <c r="J927" s="514" t="s">
        <v>650</v>
      </c>
      <c r="K927" s="519">
        <v>100</v>
      </c>
      <c r="L927" s="520"/>
      <c r="M927" s="685">
        <v>8</v>
      </c>
      <c r="N927" s="685">
        <v>8</v>
      </c>
      <c r="O927" s="682">
        <f t="shared" si="42"/>
        <v>1</v>
      </c>
      <c r="P927" s="683">
        <f t="shared" si="43"/>
        <v>100</v>
      </c>
      <c r="Q927" s="684">
        <f t="shared" si="44"/>
        <v>1</v>
      </c>
      <c r="R927" s="490"/>
    </row>
    <row r="928" spans="1:18" x14ac:dyDescent="0.2">
      <c r="A928" s="506" t="s">
        <v>276</v>
      </c>
      <c r="B928" s="502" t="s">
        <v>779</v>
      </c>
      <c r="C928" s="507" t="s">
        <v>99</v>
      </c>
      <c r="D928" s="504" t="s">
        <v>279</v>
      </c>
      <c r="E928" s="348"/>
      <c r="F928" s="504" t="s">
        <v>109</v>
      </c>
      <c r="G928" s="513" t="s">
        <v>220</v>
      </c>
      <c r="H928" s="514" t="s">
        <v>819</v>
      </c>
      <c r="I928" s="514" t="s">
        <v>784</v>
      </c>
      <c r="J928" s="514" t="s">
        <v>650</v>
      </c>
      <c r="K928" s="519">
        <v>100</v>
      </c>
      <c r="L928" s="520"/>
      <c r="M928" s="685">
        <v>5</v>
      </c>
      <c r="N928" s="685">
        <v>5</v>
      </c>
      <c r="O928" s="682">
        <f t="shared" si="42"/>
        <v>1</v>
      </c>
      <c r="P928" s="683">
        <f t="shared" si="43"/>
        <v>100</v>
      </c>
      <c r="Q928" s="684">
        <f t="shared" si="44"/>
        <v>1</v>
      </c>
      <c r="R928" s="490"/>
    </row>
    <row r="929" spans="1:18" x14ac:dyDescent="0.2">
      <c r="A929" s="506" t="s">
        <v>276</v>
      </c>
      <c r="B929" s="502" t="s">
        <v>779</v>
      </c>
      <c r="C929" s="507" t="s">
        <v>99</v>
      </c>
      <c r="D929" s="504" t="s">
        <v>281</v>
      </c>
      <c r="E929" s="348"/>
      <c r="F929" s="504" t="s">
        <v>109</v>
      </c>
      <c r="G929" s="513" t="s">
        <v>220</v>
      </c>
      <c r="H929" s="514" t="s">
        <v>819</v>
      </c>
      <c r="I929" s="514" t="s">
        <v>784</v>
      </c>
      <c r="J929" s="514" t="s">
        <v>650</v>
      </c>
      <c r="K929" s="519">
        <v>100</v>
      </c>
      <c r="L929" s="520"/>
      <c r="M929" s="685">
        <v>1</v>
      </c>
      <c r="N929" s="685">
        <v>1</v>
      </c>
      <c r="O929" s="682">
        <f t="shared" si="42"/>
        <v>1</v>
      </c>
      <c r="P929" s="683">
        <f t="shared" si="43"/>
        <v>100</v>
      </c>
      <c r="Q929" s="684">
        <f t="shared" si="44"/>
        <v>1</v>
      </c>
      <c r="R929" s="490"/>
    </row>
    <row r="930" spans="1:18" x14ac:dyDescent="0.2">
      <c r="A930" s="506" t="s">
        <v>276</v>
      </c>
      <c r="B930" s="502" t="s">
        <v>779</v>
      </c>
      <c r="C930" s="507" t="s">
        <v>285</v>
      </c>
      <c r="D930" s="504" t="s">
        <v>287</v>
      </c>
      <c r="E930" s="348"/>
      <c r="F930" s="504" t="s">
        <v>109</v>
      </c>
      <c r="G930" s="513" t="s">
        <v>220</v>
      </c>
      <c r="H930" s="514" t="s">
        <v>819</v>
      </c>
      <c r="I930" s="514" t="s">
        <v>784</v>
      </c>
      <c r="J930" s="514" t="s">
        <v>650</v>
      </c>
      <c r="K930" s="519">
        <v>100</v>
      </c>
      <c r="L930" s="520"/>
      <c r="M930" s="685">
        <v>0</v>
      </c>
      <c r="N930" s="685">
        <v>0</v>
      </c>
      <c r="O930" s="682">
        <f t="shared" si="42"/>
        <v>0</v>
      </c>
      <c r="P930" s="683" t="str">
        <f t="shared" si="43"/>
        <v>0</v>
      </c>
      <c r="Q930" s="684" t="str">
        <f t="shared" si="44"/>
        <v>0</v>
      </c>
      <c r="R930" s="491"/>
    </row>
    <row r="931" spans="1:18" x14ac:dyDescent="0.2">
      <c r="A931" s="506" t="s">
        <v>276</v>
      </c>
      <c r="B931" s="502" t="s">
        <v>779</v>
      </c>
      <c r="C931" s="507" t="s">
        <v>285</v>
      </c>
      <c r="D931" s="504" t="s">
        <v>283</v>
      </c>
      <c r="E931" s="348"/>
      <c r="F931" s="504" t="s">
        <v>109</v>
      </c>
      <c r="G931" s="513" t="s">
        <v>220</v>
      </c>
      <c r="H931" s="514" t="s">
        <v>819</v>
      </c>
      <c r="I931" s="514" t="s">
        <v>784</v>
      </c>
      <c r="J931" s="514" t="s">
        <v>650</v>
      </c>
      <c r="K931" s="519">
        <v>100</v>
      </c>
      <c r="L931" s="520"/>
      <c r="M931" s="685">
        <v>5</v>
      </c>
      <c r="N931" s="685">
        <v>5</v>
      </c>
      <c r="O931" s="682">
        <f t="shared" si="42"/>
        <v>1</v>
      </c>
      <c r="P931" s="683">
        <f t="shared" si="43"/>
        <v>100</v>
      </c>
      <c r="Q931" s="684">
        <f t="shared" si="44"/>
        <v>1</v>
      </c>
      <c r="R931" s="490"/>
    </row>
    <row r="932" spans="1:18" x14ac:dyDescent="0.2">
      <c r="A932" s="506" t="s">
        <v>276</v>
      </c>
      <c r="B932" s="502" t="s">
        <v>779</v>
      </c>
      <c r="C932" s="507" t="s">
        <v>285</v>
      </c>
      <c r="D932" s="504" t="s">
        <v>284</v>
      </c>
      <c r="E932" s="348"/>
      <c r="F932" s="504" t="s">
        <v>109</v>
      </c>
      <c r="G932" s="513" t="s">
        <v>220</v>
      </c>
      <c r="H932" s="514" t="s">
        <v>819</v>
      </c>
      <c r="I932" s="514" t="s">
        <v>784</v>
      </c>
      <c r="J932" s="514" t="s">
        <v>650</v>
      </c>
      <c r="K932" s="519">
        <v>100</v>
      </c>
      <c r="L932" s="520"/>
      <c r="M932" s="685">
        <v>4</v>
      </c>
      <c r="N932" s="685">
        <v>4</v>
      </c>
      <c r="O932" s="682">
        <f t="shared" si="42"/>
        <v>1</v>
      </c>
      <c r="P932" s="683">
        <f t="shared" si="43"/>
        <v>100</v>
      </c>
      <c r="Q932" s="684">
        <f t="shared" si="44"/>
        <v>1</v>
      </c>
      <c r="R932" s="490"/>
    </row>
    <row r="933" spans="1:18" x14ac:dyDescent="0.2">
      <c r="A933" s="506" t="s">
        <v>276</v>
      </c>
      <c r="B933" s="502" t="s">
        <v>779</v>
      </c>
      <c r="C933" s="507" t="s">
        <v>285</v>
      </c>
      <c r="D933" s="504" t="s">
        <v>279</v>
      </c>
      <c r="E933" s="348"/>
      <c r="F933" s="504" t="s">
        <v>109</v>
      </c>
      <c r="G933" s="513" t="s">
        <v>220</v>
      </c>
      <c r="H933" s="514" t="s">
        <v>819</v>
      </c>
      <c r="I933" s="514" t="s">
        <v>784</v>
      </c>
      <c r="J933" s="514" t="s">
        <v>650</v>
      </c>
      <c r="K933" s="519">
        <v>100</v>
      </c>
      <c r="L933" s="520"/>
      <c r="M933" s="685">
        <v>1</v>
      </c>
      <c r="N933" s="685">
        <v>1</v>
      </c>
      <c r="O933" s="682">
        <f t="shared" si="42"/>
        <v>1</v>
      </c>
      <c r="P933" s="683">
        <f t="shared" si="43"/>
        <v>100</v>
      </c>
      <c r="Q933" s="684">
        <f t="shared" si="44"/>
        <v>1</v>
      </c>
      <c r="R933" s="490"/>
    </row>
    <row r="934" spans="1:18" x14ac:dyDescent="0.2">
      <c r="A934" s="506" t="s">
        <v>276</v>
      </c>
      <c r="B934" s="502" t="s">
        <v>779</v>
      </c>
      <c r="C934" s="507" t="s">
        <v>285</v>
      </c>
      <c r="D934" s="504" t="s">
        <v>281</v>
      </c>
      <c r="E934" s="348"/>
      <c r="F934" s="504" t="s">
        <v>109</v>
      </c>
      <c r="G934" s="513" t="s">
        <v>220</v>
      </c>
      <c r="H934" s="514" t="s">
        <v>819</v>
      </c>
      <c r="I934" s="514" t="s">
        <v>784</v>
      </c>
      <c r="J934" s="514" t="s">
        <v>650</v>
      </c>
      <c r="K934" s="519">
        <v>100</v>
      </c>
      <c r="L934" s="520"/>
      <c r="M934" s="685">
        <v>12</v>
      </c>
      <c r="N934" s="685">
        <v>12</v>
      </c>
      <c r="O934" s="682">
        <f t="shared" si="42"/>
        <v>1</v>
      </c>
      <c r="P934" s="683">
        <f t="shared" si="43"/>
        <v>100</v>
      </c>
      <c r="Q934" s="684">
        <f t="shared" si="44"/>
        <v>1</v>
      </c>
      <c r="R934" s="490"/>
    </row>
    <row r="935" spans="1:18" x14ac:dyDescent="0.2">
      <c r="A935" s="506" t="s">
        <v>276</v>
      </c>
      <c r="B935" s="502" t="s">
        <v>779</v>
      </c>
      <c r="C935" s="507" t="s">
        <v>285</v>
      </c>
      <c r="D935" s="504" t="s">
        <v>286</v>
      </c>
      <c r="E935" s="348"/>
      <c r="F935" s="504" t="s">
        <v>109</v>
      </c>
      <c r="G935" s="513" t="s">
        <v>220</v>
      </c>
      <c r="H935" s="514" t="s">
        <v>819</v>
      </c>
      <c r="I935" s="514" t="s">
        <v>784</v>
      </c>
      <c r="J935" s="514" t="s">
        <v>650</v>
      </c>
      <c r="K935" s="519">
        <v>100</v>
      </c>
      <c r="L935" s="520"/>
      <c r="M935" s="685">
        <v>20</v>
      </c>
      <c r="N935" s="685">
        <v>20</v>
      </c>
      <c r="O935" s="682">
        <f t="shared" si="42"/>
        <v>1</v>
      </c>
      <c r="P935" s="683">
        <f t="shared" si="43"/>
        <v>100</v>
      </c>
      <c r="Q935" s="684">
        <f t="shared" si="44"/>
        <v>1</v>
      </c>
      <c r="R935" s="490"/>
    </row>
    <row r="936" spans="1:18" x14ac:dyDescent="0.2">
      <c r="A936" s="506" t="s">
        <v>276</v>
      </c>
      <c r="B936" s="502" t="s">
        <v>779</v>
      </c>
      <c r="C936" s="507" t="s">
        <v>291</v>
      </c>
      <c r="D936" s="504" t="s">
        <v>283</v>
      </c>
      <c r="E936" s="348"/>
      <c r="F936" s="504" t="s">
        <v>109</v>
      </c>
      <c r="G936" s="513" t="s">
        <v>220</v>
      </c>
      <c r="H936" s="514" t="s">
        <v>819</v>
      </c>
      <c r="I936" s="514" t="s">
        <v>784</v>
      </c>
      <c r="J936" s="514" t="s">
        <v>650</v>
      </c>
      <c r="K936" s="519">
        <v>100</v>
      </c>
      <c r="L936" s="520"/>
      <c r="M936" s="685">
        <v>0</v>
      </c>
      <c r="N936" s="685">
        <v>0</v>
      </c>
      <c r="O936" s="682">
        <f t="shared" si="42"/>
        <v>0</v>
      </c>
      <c r="P936" s="683" t="str">
        <f t="shared" si="43"/>
        <v>0</v>
      </c>
      <c r="Q936" s="684" t="str">
        <f t="shared" si="44"/>
        <v>0</v>
      </c>
      <c r="R936" s="491"/>
    </row>
    <row r="937" spans="1:18" x14ac:dyDescent="0.2">
      <c r="A937" s="506" t="s">
        <v>276</v>
      </c>
      <c r="B937" s="502" t="s">
        <v>779</v>
      </c>
      <c r="C937" s="507" t="s">
        <v>291</v>
      </c>
      <c r="D937" s="504" t="s">
        <v>284</v>
      </c>
      <c r="E937" s="348"/>
      <c r="F937" s="504" t="s">
        <v>109</v>
      </c>
      <c r="G937" s="513" t="s">
        <v>220</v>
      </c>
      <c r="H937" s="514" t="s">
        <v>819</v>
      </c>
      <c r="I937" s="514" t="s">
        <v>784</v>
      </c>
      <c r="J937" s="514" t="s">
        <v>650</v>
      </c>
      <c r="K937" s="519">
        <v>100</v>
      </c>
      <c r="L937" s="520"/>
      <c r="M937" s="685">
        <v>0</v>
      </c>
      <c r="N937" s="685">
        <v>0</v>
      </c>
      <c r="O937" s="682">
        <f t="shared" si="42"/>
        <v>0</v>
      </c>
      <c r="P937" s="683" t="str">
        <f t="shared" si="43"/>
        <v>0</v>
      </c>
      <c r="Q937" s="684" t="str">
        <f t="shared" si="44"/>
        <v>0</v>
      </c>
      <c r="R937" s="491"/>
    </row>
    <row r="938" spans="1:18" x14ac:dyDescent="0.2">
      <c r="A938" s="506" t="s">
        <v>276</v>
      </c>
      <c r="B938" s="502" t="s">
        <v>779</v>
      </c>
      <c r="C938" s="507" t="s">
        <v>290</v>
      </c>
      <c r="D938" s="504" t="s">
        <v>287</v>
      </c>
      <c r="E938" s="348"/>
      <c r="F938" s="504" t="s">
        <v>109</v>
      </c>
      <c r="G938" s="513" t="s">
        <v>220</v>
      </c>
      <c r="H938" s="514" t="s">
        <v>819</v>
      </c>
      <c r="I938" s="514" t="s">
        <v>784</v>
      </c>
      <c r="J938" s="514" t="s">
        <v>650</v>
      </c>
      <c r="K938" s="519">
        <v>100</v>
      </c>
      <c r="L938" s="520"/>
      <c r="M938" s="685">
        <v>65</v>
      </c>
      <c r="N938" s="685">
        <v>65</v>
      </c>
      <c r="O938" s="682">
        <f t="shared" si="42"/>
        <v>1</v>
      </c>
      <c r="P938" s="683">
        <f t="shared" si="43"/>
        <v>100</v>
      </c>
      <c r="Q938" s="684">
        <f t="shared" si="44"/>
        <v>1</v>
      </c>
      <c r="R938" s="490"/>
    </row>
    <row r="939" spans="1:18" x14ac:dyDescent="0.2">
      <c r="A939" s="506" t="s">
        <v>276</v>
      </c>
      <c r="B939" s="502" t="s">
        <v>779</v>
      </c>
      <c r="C939" s="507" t="s">
        <v>290</v>
      </c>
      <c r="D939" s="504" t="s">
        <v>283</v>
      </c>
      <c r="E939" s="348"/>
      <c r="F939" s="504" t="s">
        <v>109</v>
      </c>
      <c r="G939" s="513" t="s">
        <v>220</v>
      </c>
      <c r="H939" s="514" t="s">
        <v>819</v>
      </c>
      <c r="I939" s="514" t="s">
        <v>784</v>
      </c>
      <c r="J939" s="514" t="s">
        <v>650</v>
      </c>
      <c r="K939" s="519">
        <v>100</v>
      </c>
      <c r="L939" s="520"/>
      <c r="M939" s="685">
        <v>5</v>
      </c>
      <c r="N939" s="685">
        <v>5</v>
      </c>
      <c r="O939" s="682">
        <f t="shared" si="42"/>
        <v>1</v>
      </c>
      <c r="P939" s="683">
        <f t="shared" si="43"/>
        <v>100</v>
      </c>
      <c r="Q939" s="684">
        <f t="shared" si="44"/>
        <v>1</v>
      </c>
      <c r="R939" s="490"/>
    </row>
    <row r="940" spans="1:18" x14ac:dyDescent="0.2">
      <c r="A940" s="506" t="s">
        <v>276</v>
      </c>
      <c r="B940" s="502" t="s">
        <v>779</v>
      </c>
      <c r="C940" s="507" t="s">
        <v>290</v>
      </c>
      <c r="D940" s="504" t="s">
        <v>284</v>
      </c>
      <c r="E940" s="348"/>
      <c r="F940" s="504" t="s">
        <v>109</v>
      </c>
      <c r="G940" s="513" t="s">
        <v>220</v>
      </c>
      <c r="H940" s="514" t="s">
        <v>819</v>
      </c>
      <c r="I940" s="514" t="s">
        <v>784</v>
      </c>
      <c r="J940" s="514" t="s">
        <v>650</v>
      </c>
      <c r="K940" s="519">
        <v>100</v>
      </c>
      <c r="L940" s="520"/>
      <c r="M940" s="685">
        <v>0</v>
      </c>
      <c r="N940" s="685">
        <v>0</v>
      </c>
      <c r="O940" s="682">
        <f t="shared" si="42"/>
        <v>0</v>
      </c>
      <c r="P940" s="683" t="str">
        <f t="shared" si="43"/>
        <v>0</v>
      </c>
      <c r="Q940" s="684" t="str">
        <f t="shared" si="44"/>
        <v>0</v>
      </c>
      <c r="R940" s="490"/>
    </row>
    <row r="941" spans="1:18" x14ac:dyDescent="0.2">
      <c r="A941" s="506" t="s">
        <v>276</v>
      </c>
      <c r="B941" s="502" t="s">
        <v>779</v>
      </c>
      <c r="C941" s="507" t="s">
        <v>289</v>
      </c>
      <c r="D941" s="504" t="s">
        <v>287</v>
      </c>
      <c r="E941" s="348"/>
      <c r="F941" s="504" t="s">
        <v>109</v>
      </c>
      <c r="G941" s="513" t="s">
        <v>220</v>
      </c>
      <c r="H941" s="514" t="s">
        <v>819</v>
      </c>
      <c r="I941" s="514" t="s">
        <v>784</v>
      </c>
      <c r="J941" s="514" t="s">
        <v>650</v>
      </c>
      <c r="K941" s="519">
        <v>100</v>
      </c>
      <c r="L941" s="520"/>
      <c r="M941" s="685">
        <v>733</v>
      </c>
      <c r="N941" s="685">
        <v>733</v>
      </c>
      <c r="O941" s="682">
        <f t="shared" si="42"/>
        <v>1</v>
      </c>
      <c r="P941" s="683">
        <f t="shared" si="43"/>
        <v>100</v>
      </c>
      <c r="Q941" s="684">
        <f t="shared" si="44"/>
        <v>1</v>
      </c>
      <c r="R941" s="490"/>
    </row>
    <row r="942" spans="1:18" x14ac:dyDescent="0.2">
      <c r="A942" s="506" t="s">
        <v>276</v>
      </c>
      <c r="B942" s="502" t="s">
        <v>779</v>
      </c>
      <c r="C942" s="507" t="s">
        <v>289</v>
      </c>
      <c r="D942" s="504" t="s">
        <v>283</v>
      </c>
      <c r="E942" s="348"/>
      <c r="F942" s="504" t="s">
        <v>109</v>
      </c>
      <c r="G942" s="513" t="s">
        <v>220</v>
      </c>
      <c r="H942" s="514" t="s">
        <v>819</v>
      </c>
      <c r="I942" s="514" t="s">
        <v>784</v>
      </c>
      <c r="J942" s="514" t="s">
        <v>650</v>
      </c>
      <c r="K942" s="519">
        <v>100</v>
      </c>
      <c r="L942" s="520"/>
      <c r="M942" s="685">
        <v>134</v>
      </c>
      <c r="N942" s="685">
        <v>134</v>
      </c>
      <c r="O942" s="682">
        <f t="shared" si="42"/>
        <v>1</v>
      </c>
      <c r="P942" s="683">
        <f t="shared" si="43"/>
        <v>100</v>
      </c>
      <c r="Q942" s="684">
        <f t="shared" si="44"/>
        <v>1</v>
      </c>
      <c r="R942" s="490"/>
    </row>
    <row r="943" spans="1:18" x14ac:dyDescent="0.2">
      <c r="A943" s="506" t="s">
        <v>276</v>
      </c>
      <c r="B943" s="502" t="s">
        <v>779</v>
      </c>
      <c r="C943" s="507" t="s">
        <v>289</v>
      </c>
      <c r="D943" s="504" t="s">
        <v>284</v>
      </c>
      <c r="E943" s="348"/>
      <c r="F943" s="504" t="s">
        <v>109</v>
      </c>
      <c r="G943" s="513" t="s">
        <v>220</v>
      </c>
      <c r="H943" s="514" t="s">
        <v>819</v>
      </c>
      <c r="I943" s="514" t="s">
        <v>784</v>
      </c>
      <c r="J943" s="514" t="s">
        <v>650</v>
      </c>
      <c r="K943" s="519">
        <v>100</v>
      </c>
      <c r="L943" s="520"/>
      <c r="M943" s="685">
        <v>29</v>
      </c>
      <c r="N943" s="685">
        <v>29</v>
      </c>
      <c r="O943" s="682">
        <f t="shared" si="42"/>
        <v>1</v>
      </c>
      <c r="P943" s="683">
        <f t="shared" si="43"/>
        <v>100</v>
      </c>
      <c r="Q943" s="684">
        <f t="shared" si="44"/>
        <v>1</v>
      </c>
      <c r="R943" s="490"/>
    </row>
    <row r="944" spans="1:18" x14ac:dyDescent="0.2">
      <c r="A944" s="506" t="s">
        <v>276</v>
      </c>
      <c r="B944" s="502" t="s">
        <v>779</v>
      </c>
      <c r="C944" s="507" t="s">
        <v>289</v>
      </c>
      <c r="D944" s="504" t="s">
        <v>281</v>
      </c>
      <c r="E944" s="348"/>
      <c r="F944" s="504" t="s">
        <v>109</v>
      </c>
      <c r="G944" s="513" t="s">
        <v>220</v>
      </c>
      <c r="H944" s="514" t="s">
        <v>819</v>
      </c>
      <c r="I944" s="514" t="s">
        <v>784</v>
      </c>
      <c r="J944" s="514" t="s">
        <v>650</v>
      </c>
      <c r="K944" s="519">
        <v>100</v>
      </c>
      <c r="L944" s="520"/>
      <c r="M944" s="685">
        <v>2</v>
      </c>
      <c r="N944" s="685">
        <v>2</v>
      </c>
      <c r="O944" s="682">
        <f t="shared" si="42"/>
        <v>1</v>
      </c>
      <c r="P944" s="683">
        <f t="shared" si="43"/>
        <v>100</v>
      </c>
      <c r="Q944" s="684">
        <f t="shared" si="44"/>
        <v>1</v>
      </c>
      <c r="R944" s="490"/>
    </row>
    <row r="945" spans="1:18" x14ac:dyDescent="0.2">
      <c r="A945" s="506" t="s">
        <v>276</v>
      </c>
      <c r="B945" s="502" t="s">
        <v>779</v>
      </c>
      <c r="C945" s="507" t="s">
        <v>97</v>
      </c>
      <c r="D945" s="504" t="s">
        <v>279</v>
      </c>
      <c r="E945" s="348"/>
      <c r="F945" s="504" t="s">
        <v>109</v>
      </c>
      <c r="G945" s="513" t="s">
        <v>820</v>
      </c>
      <c r="H945" s="514" t="s">
        <v>819</v>
      </c>
      <c r="I945" s="514" t="s">
        <v>784</v>
      </c>
      <c r="J945" s="514" t="s">
        <v>650</v>
      </c>
      <c r="K945" s="519">
        <v>100</v>
      </c>
      <c r="L945" s="520"/>
      <c r="M945" s="360">
        <v>6</v>
      </c>
      <c r="N945" s="360">
        <v>6</v>
      </c>
      <c r="O945" s="682">
        <f t="shared" si="42"/>
        <v>1</v>
      </c>
      <c r="P945" s="683">
        <f t="shared" si="43"/>
        <v>100</v>
      </c>
      <c r="Q945" s="684">
        <f t="shared" si="44"/>
        <v>1</v>
      </c>
      <c r="R945" s="490"/>
    </row>
    <row r="946" spans="1:18" x14ac:dyDescent="0.2">
      <c r="A946" s="506" t="s">
        <v>276</v>
      </c>
      <c r="B946" s="502" t="s">
        <v>779</v>
      </c>
      <c r="C946" s="507" t="s">
        <v>97</v>
      </c>
      <c r="D946" s="504" t="s">
        <v>281</v>
      </c>
      <c r="E946" s="348"/>
      <c r="F946" s="504" t="s">
        <v>109</v>
      </c>
      <c r="G946" s="513" t="s">
        <v>820</v>
      </c>
      <c r="H946" s="514" t="s">
        <v>819</v>
      </c>
      <c r="I946" s="514" t="s">
        <v>784</v>
      </c>
      <c r="J946" s="514" t="s">
        <v>650</v>
      </c>
      <c r="K946" s="519">
        <v>100</v>
      </c>
      <c r="L946" s="520"/>
      <c r="M946" s="685">
        <v>9</v>
      </c>
      <c r="N946" s="685">
        <v>9</v>
      </c>
      <c r="O946" s="682">
        <f t="shared" si="42"/>
        <v>1</v>
      </c>
      <c r="P946" s="683">
        <f t="shared" si="43"/>
        <v>100</v>
      </c>
      <c r="Q946" s="684">
        <f t="shared" si="44"/>
        <v>1</v>
      </c>
      <c r="R946" s="490"/>
    </row>
    <row r="947" spans="1:18" x14ac:dyDescent="0.2">
      <c r="A947" s="506" t="s">
        <v>276</v>
      </c>
      <c r="B947" s="502" t="s">
        <v>779</v>
      </c>
      <c r="C947" s="507" t="s">
        <v>282</v>
      </c>
      <c r="D947" s="504" t="s">
        <v>287</v>
      </c>
      <c r="E947" s="348"/>
      <c r="F947" s="504" t="s">
        <v>109</v>
      </c>
      <c r="G947" s="513" t="s">
        <v>820</v>
      </c>
      <c r="H947" s="514" t="s">
        <v>819</v>
      </c>
      <c r="I947" s="514" t="s">
        <v>784</v>
      </c>
      <c r="J947" s="514" t="s">
        <v>650</v>
      </c>
      <c r="K947" s="519">
        <v>100</v>
      </c>
      <c r="L947" s="520"/>
      <c r="M947" s="685">
        <v>68</v>
      </c>
      <c r="N947" s="685">
        <v>68</v>
      </c>
      <c r="O947" s="682">
        <f t="shared" si="42"/>
        <v>1</v>
      </c>
      <c r="P947" s="683">
        <f t="shared" si="43"/>
        <v>100</v>
      </c>
      <c r="Q947" s="684">
        <f t="shared" si="44"/>
        <v>1</v>
      </c>
      <c r="R947" s="490"/>
    </row>
    <row r="948" spans="1:18" x14ac:dyDescent="0.2">
      <c r="A948" s="506" t="s">
        <v>276</v>
      </c>
      <c r="B948" s="502" t="s">
        <v>779</v>
      </c>
      <c r="C948" s="507" t="s">
        <v>282</v>
      </c>
      <c r="D948" s="504" t="s">
        <v>283</v>
      </c>
      <c r="E948" s="348"/>
      <c r="F948" s="504" t="s">
        <v>109</v>
      </c>
      <c r="G948" s="513" t="s">
        <v>820</v>
      </c>
      <c r="H948" s="514" t="s">
        <v>819</v>
      </c>
      <c r="I948" s="514" t="s">
        <v>784</v>
      </c>
      <c r="J948" s="514" t="s">
        <v>650</v>
      </c>
      <c r="K948" s="519">
        <v>100</v>
      </c>
      <c r="L948" s="520"/>
      <c r="M948" s="685">
        <v>19</v>
      </c>
      <c r="N948" s="685">
        <v>19</v>
      </c>
      <c r="O948" s="682">
        <f t="shared" si="42"/>
        <v>1</v>
      </c>
      <c r="P948" s="683">
        <f t="shared" si="43"/>
        <v>100</v>
      </c>
      <c r="Q948" s="684">
        <f t="shared" si="44"/>
        <v>1</v>
      </c>
      <c r="R948" s="490"/>
    </row>
    <row r="949" spans="1:18" x14ac:dyDescent="0.2">
      <c r="A949" s="506" t="s">
        <v>276</v>
      </c>
      <c r="B949" s="502" t="s">
        <v>779</v>
      </c>
      <c r="C949" s="507" t="s">
        <v>282</v>
      </c>
      <c r="D949" s="504" t="s">
        <v>284</v>
      </c>
      <c r="E949" s="348"/>
      <c r="F949" s="504" t="s">
        <v>109</v>
      </c>
      <c r="G949" s="513" t="s">
        <v>820</v>
      </c>
      <c r="H949" s="514" t="s">
        <v>819</v>
      </c>
      <c r="I949" s="514" t="s">
        <v>784</v>
      </c>
      <c r="J949" s="514" t="s">
        <v>650</v>
      </c>
      <c r="K949" s="519">
        <v>100</v>
      </c>
      <c r="L949" s="520"/>
      <c r="M949" s="685">
        <v>43</v>
      </c>
      <c r="N949" s="685">
        <v>43</v>
      </c>
      <c r="O949" s="682">
        <f t="shared" si="42"/>
        <v>1</v>
      </c>
      <c r="P949" s="683">
        <f t="shared" si="43"/>
        <v>100</v>
      </c>
      <c r="Q949" s="684">
        <f t="shared" si="44"/>
        <v>1</v>
      </c>
      <c r="R949" s="490"/>
    </row>
    <row r="950" spans="1:18" x14ac:dyDescent="0.2">
      <c r="A950" s="506" t="s">
        <v>276</v>
      </c>
      <c r="B950" s="502" t="s">
        <v>779</v>
      </c>
      <c r="C950" s="507" t="s">
        <v>282</v>
      </c>
      <c r="D950" s="504" t="s">
        <v>279</v>
      </c>
      <c r="E950" s="348"/>
      <c r="F950" s="504" t="s">
        <v>109</v>
      </c>
      <c r="G950" s="513" t="s">
        <v>820</v>
      </c>
      <c r="H950" s="514" t="s">
        <v>819</v>
      </c>
      <c r="I950" s="514" t="s">
        <v>784</v>
      </c>
      <c r="J950" s="514" t="s">
        <v>650</v>
      </c>
      <c r="K950" s="519">
        <v>100</v>
      </c>
      <c r="L950" s="520"/>
      <c r="M950" s="685">
        <v>65</v>
      </c>
      <c r="N950" s="685">
        <v>65</v>
      </c>
      <c r="O950" s="682">
        <f t="shared" si="42"/>
        <v>1</v>
      </c>
      <c r="P950" s="683">
        <f t="shared" si="43"/>
        <v>100</v>
      </c>
      <c r="Q950" s="684">
        <f t="shared" si="44"/>
        <v>1</v>
      </c>
      <c r="R950" s="490"/>
    </row>
    <row r="951" spans="1:18" x14ac:dyDescent="0.2">
      <c r="A951" s="506" t="s">
        <v>276</v>
      </c>
      <c r="B951" s="502" t="s">
        <v>779</v>
      </c>
      <c r="C951" s="507" t="s">
        <v>282</v>
      </c>
      <c r="D951" s="504" t="s">
        <v>281</v>
      </c>
      <c r="E951" s="348"/>
      <c r="F951" s="504" t="s">
        <v>109</v>
      </c>
      <c r="G951" s="513" t="s">
        <v>820</v>
      </c>
      <c r="H951" s="514" t="s">
        <v>819</v>
      </c>
      <c r="I951" s="514" t="s">
        <v>784</v>
      </c>
      <c r="J951" s="514" t="s">
        <v>650</v>
      </c>
      <c r="K951" s="519">
        <v>100</v>
      </c>
      <c r="L951" s="520"/>
      <c r="M951" s="685">
        <v>48</v>
      </c>
      <c r="N951" s="685">
        <v>48</v>
      </c>
      <c r="O951" s="682">
        <f t="shared" si="42"/>
        <v>1</v>
      </c>
      <c r="P951" s="683">
        <f t="shared" si="43"/>
        <v>100</v>
      </c>
      <c r="Q951" s="684">
        <f t="shared" si="44"/>
        <v>1</v>
      </c>
      <c r="R951" s="490"/>
    </row>
    <row r="952" spans="1:18" x14ac:dyDescent="0.2">
      <c r="A952" s="506" t="s">
        <v>276</v>
      </c>
      <c r="B952" s="502" t="s">
        <v>779</v>
      </c>
      <c r="C952" s="507" t="s">
        <v>288</v>
      </c>
      <c r="D952" s="504" t="s">
        <v>287</v>
      </c>
      <c r="E952" s="348"/>
      <c r="F952" s="504" t="s">
        <v>109</v>
      </c>
      <c r="G952" s="513" t="s">
        <v>820</v>
      </c>
      <c r="H952" s="514" t="s">
        <v>819</v>
      </c>
      <c r="I952" s="514" t="s">
        <v>784</v>
      </c>
      <c r="J952" s="514" t="s">
        <v>650</v>
      </c>
      <c r="K952" s="519">
        <v>100</v>
      </c>
      <c r="L952" s="520"/>
      <c r="M952" s="685">
        <v>299</v>
      </c>
      <c r="N952" s="685">
        <v>299</v>
      </c>
      <c r="O952" s="682">
        <f t="shared" si="42"/>
        <v>1</v>
      </c>
      <c r="P952" s="683">
        <f t="shared" si="43"/>
        <v>100</v>
      </c>
      <c r="Q952" s="684">
        <f t="shared" si="44"/>
        <v>1</v>
      </c>
      <c r="R952" s="490"/>
    </row>
    <row r="953" spans="1:18" x14ac:dyDescent="0.2">
      <c r="A953" s="506" t="s">
        <v>276</v>
      </c>
      <c r="B953" s="502" t="s">
        <v>779</v>
      </c>
      <c r="C953" s="507" t="s">
        <v>288</v>
      </c>
      <c r="D953" s="504" t="s">
        <v>283</v>
      </c>
      <c r="E953" s="348"/>
      <c r="F953" s="504" t="s">
        <v>109</v>
      </c>
      <c r="G953" s="513" t="s">
        <v>820</v>
      </c>
      <c r="H953" s="514" t="s">
        <v>819</v>
      </c>
      <c r="I953" s="514" t="s">
        <v>784</v>
      </c>
      <c r="J953" s="514" t="s">
        <v>650</v>
      </c>
      <c r="K953" s="519">
        <v>100</v>
      </c>
      <c r="L953" s="520"/>
      <c r="M953" s="685">
        <v>64</v>
      </c>
      <c r="N953" s="685">
        <v>64</v>
      </c>
      <c r="O953" s="682">
        <f t="shared" si="42"/>
        <v>1</v>
      </c>
      <c r="P953" s="683">
        <f t="shared" si="43"/>
        <v>100</v>
      </c>
      <c r="Q953" s="684">
        <f t="shared" si="44"/>
        <v>1</v>
      </c>
      <c r="R953" s="490"/>
    </row>
    <row r="954" spans="1:18" x14ac:dyDescent="0.2">
      <c r="A954" s="506" t="s">
        <v>276</v>
      </c>
      <c r="B954" s="502" t="s">
        <v>779</v>
      </c>
      <c r="C954" s="507" t="s">
        <v>288</v>
      </c>
      <c r="D954" s="504" t="s">
        <v>284</v>
      </c>
      <c r="E954" s="348"/>
      <c r="F954" s="504" t="s">
        <v>109</v>
      </c>
      <c r="G954" s="513" t="s">
        <v>820</v>
      </c>
      <c r="H954" s="514" t="s">
        <v>819</v>
      </c>
      <c r="I954" s="514" t="s">
        <v>784</v>
      </c>
      <c r="J954" s="514" t="s">
        <v>650</v>
      </c>
      <c r="K954" s="519">
        <v>100</v>
      </c>
      <c r="L954" s="520"/>
      <c r="M954" s="685">
        <v>10</v>
      </c>
      <c r="N954" s="685">
        <v>10</v>
      </c>
      <c r="O954" s="682">
        <f t="shared" si="42"/>
        <v>1</v>
      </c>
      <c r="P954" s="683">
        <f t="shared" si="43"/>
        <v>100</v>
      </c>
      <c r="Q954" s="684">
        <f t="shared" si="44"/>
        <v>1</v>
      </c>
      <c r="R954" s="490"/>
    </row>
    <row r="955" spans="1:18" x14ac:dyDescent="0.2">
      <c r="A955" s="506" t="s">
        <v>276</v>
      </c>
      <c r="B955" s="502" t="s">
        <v>779</v>
      </c>
      <c r="C955" s="507" t="s">
        <v>288</v>
      </c>
      <c r="D955" s="504" t="s">
        <v>279</v>
      </c>
      <c r="E955" s="348"/>
      <c r="F955" s="504" t="s">
        <v>109</v>
      </c>
      <c r="G955" s="513" t="s">
        <v>820</v>
      </c>
      <c r="H955" s="514" t="s">
        <v>819</v>
      </c>
      <c r="I955" s="514" t="s">
        <v>784</v>
      </c>
      <c r="J955" s="514" t="s">
        <v>650</v>
      </c>
      <c r="K955" s="519">
        <v>100</v>
      </c>
      <c r="L955" s="520"/>
      <c r="M955" s="685">
        <v>2</v>
      </c>
      <c r="N955" s="685">
        <v>2</v>
      </c>
      <c r="O955" s="682">
        <f t="shared" si="42"/>
        <v>1</v>
      </c>
      <c r="P955" s="683">
        <f t="shared" si="43"/>
        <v>100</v>
      </c>
      <c r="Q955" s="684">
        <f t="shared" si="44"/>
        <v>1</v>
      </c>
      <c r="R955" s="490"/>
    </row>
    <row r="956" spans="1:18" x14ac:dyDescent="0.2">
      <c r="A956" s="506" t="s">
        <v>276</v>
      </c>
      <c r="B956" s="502" t="s">
        <v>779</v>
      </c>
      <c r="C956" s="507" t="s">
        <v>288</v>
      </c>
      <c r="D956" s="504" t="s">
        <v>281</v>
      </c>
      <c r="E956" s="348"/>
      <c r="F956" s="504" t="s">
        <v>109</v>
      </c>
      <c r="G956" s="513" t="s">
        <v>820</v>
      </c>
      <c r="H956" s="514" t="s">
        <v>819</v>
      </c>
      <c r="I956" s="514" t="s">
        <v>784</v>
      </c>
      <c r="J956" s="514" t="s">
        <v>650</v>
      </c>
      <c r="K956" s="519">
        <v>100</v>
      </c>
      <c r="L956" s="520"/>
      <c r="M956" s="685">
        <v>17</v>
      </c>
      <c r="N956" s="685">
        <v>17</v>
      </c>
      <c r="O956" s="682">
        <f t="shared" si="42"/>
        <v>1</v>
      </c>
      <c r="P956" s="683">
        <f t="shared" si="43"/>
        <v>100</v>
      </c>
      <c r="Q956" s="684">
        <f t="shared" si="44"/>
        <v>1</v>
      </c>
      <c r="R956" s="490"/>
    </row>
    <row r="957" spans="1:18" x14ac:dyDescent="0.2">
      <c r="A957" s="506" t="s">
        <v>276</v>
      </c>
      <c r="B957" s="502" t="s">
        <v>779</v>
      </c>
      <c r="C957" s="507" t="s">
        <v>99</v>
      </c>
      <c r="D957" s="504" t="s">
        <v>287</v>
      </c>
      <c r="E957" s="348"/>
      <c r="F957" s="504" t="s">
        <v>109</v>
      </c>
      <c r="G957" s="513" t="s">
        <v>820</v>
      </c>
      <c r="H957" s="514" t="s">
        <v>819</v>
      </c>
      <c r="I957" s="514" t="s">
        <v>784</v>
      </c>
      <c r="J957" s="514" t="s">
        <v>650</v>
      </c>
      <c r="K957" s="519">
        <v>100</v>
      </c>
      <c r="L957" s="520"/>
      <c r="M957" s="685">
        <v>326</v>
      </c>
      <c r="N957" s="685">
        <v>326</v>
      </c>
      <c r="O957" s="682">
        <f t="shared" si="42"/>
        <v>1</v>
      </c>
      <c r="P957" s="683">
        <f t="shared" si="43"/>
        <v>100</v>
      </c>
      <c r="Q957" s="684">
        <f t="shared" si="44"/>
        <v>1</v>
      </c>
      <c r="R957" s="490"/>
    </row>
    <row r="958" spans="1:18" x14ac:dyDescent="0.2">
      <c r="A958" s="506" t="s">
        <v>276</v>
      </c>
      <c r="B958" s="502" t="s">
        <v>779</v>
      </c>
      <c r="C958" s="507" t="s">
        <v>99</v>
      </c>
      <c r="D958" s="504" t="s">
        <v>283</v>
      </c>
      <c r="E958" s="348"/>
      <c r="F958" s="504" t="s">
        <v>109</v>
      </c>
      <c r="G958" s="513" t="s">
        <v>820</v>
      </c>
      <c r="H958" s="514" t="s">
        <v>819</v>
      </c>
      <c r="I958" s="514" t="s">
        <v>784</v>
      </c>
      <c r="J958" s="514" t="s">
        <v>650</v>
      </c>
      <c r="K958" s="519">
        <v>100</v>
      </c>
      <c r="L958" s="520"/>
      <c r="M958" s="685">
        <v>17</v>
      </c>
      <c r="N958" s="685">
        <v>17</v>
      </c>
      <c r="O958" s="682">
        <f t="shared" si="42"/>
        <v>1</v>
      </c>
      <c r="P958" s="683">
        <f t="shared" si="43"/>
        <v>100</v>
      </c>
      <c r="Q958" s="684">
        <f t="shared" si="44"/>
        <v>1</v>
      </c>
      <c r="R958" s="490"/>
    </row>
    <row r="959" spans="1:18" x14ac:dyDescent="0.2">
      <c r="A959" s="506" t="s">
        <v>276</v>
      </c>
      <c r="B959" s="502" t="s">
        <v>779</v>
      </c>
      <c r="C959" s="507" t="s">
        <v>99</v>
      </c>
      <c r="D959" s="504" t="s">
        <v>284</v>
      </c>
      <c r="E959" s="348"/>
      <c r="F959" s="504" t="s">
        <v>109</v>
      </c>
      <c r="G959" s="513" t="s">
        <v>820</v>
      </c>
      <c r="H959" s="514" t="s">
        <v>819</v>
      </c>
      <c r="I959" s="514" t="s">
        <v>784</v>
      </c>
      <c r="J959" s="514" t="s">
        <v>650</v>
      </c>
      <c r="K959" s="519">
        <v>100</v>
      </c>
      <c r="L959" s="520"/>
      <c r="M959" s="685">
        <v>8</v>
      </c>
      <c r="N959" s="685">
        <v>8</v>
      </c>
      <c r="O959" s="682">
        <f t="shared" si="42"/>
        <v>1</v>
      </c>
      <c r="P959" s="683">
        <f t="shared" si="43"/>
        <v>100</v>
      </c>
      <c r="Q959" s="684">
        <f t="shared" si="44"/>
        <v>1</v>
      </c>
      <c r="R959" s="490"/>
    </row>
    <row r="960" spans="1:18" x14ac:dyDescent="0.2">
      <c r="A960" s="506" t="s">
        <v>276</v>
      </c>
      <c r="B960" s="502" t="s">
        <v>779</v>
      </c>
      <c r="C960" s="507" t="s">
        <v>99</v>
      </c>
      <c r="D960" s="504" t="s">
        <v>279</v>
      </c>
      <c r="E960" s="348"/>
      <c r="F960" s="504" t="s">
        <v>109</v>
      </c>
      <c r="G960" s="513" t="s">
        <v>820</v>
      </c>
      <c r="H960" s="514" t="s">
        <v>819</v>
      </c>
      <c r="I960" s="514" t="s">
        <v>784</v>
      </c>
      <c r="J960" s="514" t="s">
        <v>650</v>
      </c>
      <c r="K960" s="519">
        <v>100</v>
      </c>
      <c r="L960" s="520"/>
      <c r="M960" s="685">
        <v>5</v>
      </c>
      <c r="N960" s="685">
        <v>5</v>
      </c>
      <c r="O960" s="682">
        <f t="shared" si="42"/>
        <v>1</v>
      </c>
      <c r="P960" s="683">
        <f t="shared" si="43"/>
        <v>100</v>
      </c>
      <c r="Q960" s="684">
        <f t="shared" si="44"/>
        <v>1</v>
      </c>
      <c r="R960" s="490"/>
    </row>
    <row r="961" spans="1:18" x14ac:dyDescent="0.2">
      <c r="A961" s="506" t="s">
        <v>276</v>
      </c>
      <c r="B961" s="502" t="s">
        <v>779</v>
      </c>
      <c r="C961" s="507" t="s">
        <v>99</v>
      </c>
      <c r="D961" s="504" t="s">
        <v>281</v>
      </c>
      <c r="E961" s="348"/>
      <c r="F961" s="504" t="s">
        <v>109</v>
      </c>
      <c r="G961" s="513" t="s">
        <v>820</v>
      </c>
      <c r="H961" s="514" t="s">
        <v>819</v>
      </c>
      <c r="I961" s="514" t="s">
        <v>784</v>
      </c>
      <c r="J961" s="514" t="s">
        <v>650</v>
      </c>
      <c r="K961" s="519">
        <v>100</v>
      </c>
      <c r="L961" s="520"/>
      <c r="M961" s="685">
        <v>1</v>
      </c>
      <c r="N961" s="685">
        <v>1</v>
      </c>
      <c r="O961" s="682">
        <f t="shared" si="42"/>
        <v>1</v>
      </c>
      <c r="P961" s="683">
        <f t="shared" si="43"/>
        <v>100</v>
      </c>
      <c r="Q961" s="684">
        <f t="shared" si="44"/>
        <v>1</v>
      </c>
      <c r="R961" s="490"/>
    </row>
    <row r="962" spans="1:18" x14ac:dyDescent="0.2">
      <c r="A962" s="506" t="s">
        <v>276</v>
      </c>
      <c r="B962" s="502" t="s">
        <v>779</v>
      </c>
      <c r="C962" s="507" t="s">
        <v>285</v>
      </c>
      <c r="D962" s="504" t="s">
        <v>287</v>
      </c>
      <c r="E962" s="348"/>
      <c r="F962" s="504" t="s">
        <v>109</v>
      </c>
      <c r="G962" s="513" t="s">
        <v>820</v>
      </c>
      <c r="H962" s="514" t="s">
        <v>819</v>
      </c>
      <c r="I962" s="514" t="s">
        <v>784</v>
      </c>
      <c r="J962" s="514" t="s">
        <v>650</v>
      </c>
      <c r="K962" s="519">
        <v>100</v>
      </c>
      <c r="L962" s="520"/>
      <c r="M962" s="685">
        <v>0</v>
      </c>
      <c r="N962" s="685">
        <v>0</v>
      </c>
      <c r="O962" s="682">
        <f t="shared" si="42"/>
        <v>0</v>
      </c>
      <c r="P962" s="683" t="str">
        <f t="shared" si="43"/>
        <v>0</v>
      </c>
      <c r="Q962" s="684" t="str">
        <f t="shared" si="44"/>
        <v>0</v>
      </c>
      <c r="R962" s="491"/>
    </row>
    <row r="963" spans="1:18" x14ac:dyDescent="0.2">
      <c r="A963" s="506" t="s">
        <v>276</v>
      </c>
      <c r="B963" s="502" t="s">
        <v>779</v>
      </c>
      <c r="C963" s="507" t="s">
        <v>285</v>
      </c>
      <c r="D963" s="504" t="s">
        <v>283</v>
      </c>
      <c r="E963" s="348"/>
      <c r="F963" s="504" t="s">
        <v>109</v>
      </c>
      <c r="G963" s="513" t="s">
        <v>820</v>
      </c>
      <c r="H963" s="514" t="s">
        <v>819</v>
      </c>
      <c r="I963" s="514" t="s">
        <v>784</v>
      </c>
      <c r="J963" s="514" t="s">
        <v>650</v>
      </c>
      <c r="K963" s="519">
        <v>100</v>
      </c>
      <c r="L963" s="520"/>
      <c r="M963" s="685">
        <v>5</v>
      </c>
      <c r="N963" s="685">
        <v>5</v>
      </c>
      <c r="O963" s="682">
        <f t="shared" si="42"/>
        <v>1</v>
      </c>
      <c r="P963" s="683">
        <f t="shared" si="43"/>
        <v>100</v>
      </c>
      <c r="Q963" s="684">
        <f t="shared" si="44"/>
        <v>1</v>
      </c>
      <c r="R963" s="490"/>
    </row>
    <row r="964" spans="1:18" x14ac:dyDescent="0.2">
      <c r="A964" s="506" t="s">
        <v>276</v>
      </c>
      <c r="B964" s="502" t="s">
        <v>779</v>
      </c>
      <c r="C964" s="507" t="s">
        <v>285</v>
      </c>
      <c r="D964" s="504" t="s">
        <v>284</v>
      </c>
      <c r="E964" s="348"/>
      <c r="F964" s="504" t="s">
        <v>109</v>
      </c>
      <c r="G964" s="513" t="s">
        <v>820</v>
      </c>
      <c r="H964" s="514" t="s">
        <v>819</v>
      </c>
      <c r="I964" s="514" t="s">
        <v>784</v>
      </c>
      <c r="J964" s="514" t="s">
        <v>650</v>
      </c>
      <c r="K964" s="519">
        <v>100</v>
      </c>
      <c r="L964" s="520"/>
      <c r="M964" s="685">
        <v>4</v>
      </c>
      <c r="N964" s="685">
        <v>4</v>
      </c>
      <c r="O964" s="682">
        <f t="shared" si="42"/>
        <v>1</v>
      </c>
      <c r="P964" s="683">
        <f t="shared" si="43"/>
        <v>100</v>
      </c>
      <c r="Q964" s="684">
        <f t="shared" si="44"/>
        <v>1</v>
      </c>
      <c r="R964" s="490"/>
    </row>
    <row r="965" spans="1:18" x14ac:dyDescent="0.2">
      <c r="A965" s="506" t="s">
        <v>276</v>
      </c>
      <c r="B965" s="502" t="s">
        <v>779</v>
      </c>
      <c r="C965" s="507" t="s">
        <v>285</v>
      </c>
      <c r="D965" s="504" t="s">
        <v>279</v>
      </c>
      <c r="E965" s="348"/>
      <c r="F965" s="504" t="s">
        <v>109</v>
      </c>
      <c r="G965" s="513" t="s">
        <v>820</v>
      </c>
      <c r="H965" s="514" t="s">
        <v>819</v>
      </c>
      <c r="I965" s="514" t="s">
        <v>784</v>
      </c>
      <c r="J965" s="514" t="s">
        <v>650</v>
      </c>
      <c r="K965" s="519">
        <v>100</v>
      </c>
      <c r="L965" s="520"/>
      <c r="M965" s="685">
        <v>1</v>
      </c>
      <c r="N965" s="685">
        <v>1</v>
      </c>
      <c r="O965" s="682">
        <f t="shared" ref="O965:O1028" si="45">IFERROR(N965/M965,0)</f>
        <v>1</v>
      </c>
      <c r="P965" s="683">
        <f t="shared" ref="P965:P1028" si="46">IFERROR(N965/(M965*(K965/100))*100,"0")</f>
        <v>100</v>
      </c>
      <c r="Q965" s="684">
        <f t="shared" ref="Q965:Q1028" si="47">IFERROR(N965/(M965*(K965/100)),"0")</f>
        <v>1</v>
      </c>
      <c r="R965" s="490"/>
    </row>
    <row r="966" spans="1:18" x14ac:dyDescent="0.2">
      <c r="A966" s="506" t="s">
        <v>276</v>
      </c>
      <c r="B966" s="502" t="s">
        <v>779</v>
      </c>
      <c r="C966" s="507" t="s">
        <v>285</v>
      </c>
      <c r="D966" s="504" t="s">
        <v>281</v>
      </c>
      <c r="E966" s="348"/>
      <c r="F966" s="504" t="s">
        <v>109</v>
      </c>
      <c r="G966" s="513" t="s">
        <v>820</v>
      </c>
      <c r="H966" s="514" t="s">
        <v>819</v>
      </c>
      <c r="I966" s="514" t="s">
        <v>784</v>
      </c>
      <c r="J966" s="514" t="s">
        <v>650</v>
      </c>
      <c r="K966" s="519">
        <v>100</v>
      </c>
      <c r="L966" s="520"/>
      <c r="M966" s="685">
        <v>12</v>
      </c>
      <c r="N966" s="685">
        <v>12</v>
      </c>
      <c r="O966" s="682">
        <f t="shared" si="45"/>
        <v>1</v>
      </c>
      <c r="P966" s="683">
        <f t="shared" si="46"/>
        <v>100</v>
      </c>
      <c r="Q966" s="684">
        <f t="shared" si="47"/>
        <v>1</v>
      </c>
      <c r="R966" s="490"/>
    </row>
    <row r="967" spans="1:18" x14ac:dyDescent="0.2">
      <c r="A967" s="506" t="s">
        <v>276</v>
      </c>
      <c r="B967" s="502" t="s">
        <v>779</v>
      </c>
      <c r="C967" s="507" t="s">
        <v>285</v>
      </c>
      <c r="D967" s="504" t="s">
        <v>286</v>
      </c>
      <c r="E967" s="348"/>
      <c r="F967" s="504" t="s">
        <v>109</v>
      </c>
      <c r="G967" s="513" t="s">
        <v>820</v>
      </c>
      <c r="H967" s="514" t="s">
        <v>819</v>
      </c>
      <c r="I967" s="514" t="s">
        <v>784</v>
      </c>
      <c r="J967" s="514" t="s">
        <v>650</v>
      </c>
      <c r="K967" s="519">
        <v>100</v>
      </c>
      <c r="L967" s="520"/>
      <c r="M967" s="685">
        <v>20</v>
      </c>
      <c r="N967" s="685">
        <v>20</v>
      </c>
      <c r="O967" s="682">
        <f t="shared" si="45"/>
        <v>1</v>
      </c>
      <c r="P967" s="683">
        <f t="shared" si="46"/>
        <v>100</v>
      </c>
      <c r="Q967" s="684">
        <f t="shared" si="47"/>
        <v>1</v>
      </c>
      <c r="R967" s="490"/>
    </row>
    <row r="968" spans="1:18" x14ac:dyDescent="0.2">
      <c r="A968" s="506" t="s">
        <v>276</v>
      </c>
      <c r="B968" s="502" t="s">
        <v>779</v>
      </c>
      <c r="C968" s="507" t="s">
        <v>291</v>
      </c>
      <c r="D968" s="504" t="s">
        <v>283</v>
      </c>
      <c r="E968" s="348"/>
      <c r="F968" s="504" t="s">
        <v>109</v>
      </c>
      <c r="G968" s="513" t="s">
        <v>820</v>
      </c>
      <c r="H968" s="514" t="s">
        <v>819</v>
      </c>
      <c r="I968" s="514" t="s">
        <v>784</v>
      </c>
      <c r="J968" s="514" t="s">
        <v>650</v>
      </c>
      <c r="K968" s="519">
        <v>100</v>
      </c>
      <c r="L968" s="520"/>
      <c r="M968" s="685">
        <v>0</v>
      </c>
      <c r="N968" s="685">
        <v>0</v>
      </c>
      <c r="O968" s="682">
        <f t="shared" si="45"/>
        <v>0</v>
      </c>
      <c r="P968" s="683" t="str">
        <f t="shared" si="46"/>
        <v>0</v>
      </c>
      <c r="Q968" s="684" t="str">
        <f t="shared" si="47"/>
        <v>0</v>
      </c>
      <c r="R968" s="491"/>
    </row>
    <row r="969" spans="1:18" x14ac:dyDescent="0.2">
      <c r="A969" s="506" t="s">
        <v>276</v>
      </c>
      <c r="B969" s="502" t="s">
        <v>779</v>
      </c>
      <c r="C969" s="507" t="s">
        <v>291</v>
      </c>
      <c r="D969" s="504" t="s">
        <v>284</v>
      </c>
      <c r="E969" s="348"/>
      <c r="F969" s="504" t="s">
        <v>109</v>
      </c>
      <c r="G969" s="513" t="s">
        <v>820</v>
      </c>
      <c r="H969" s="514" t="s">
        <v>819</v>
      </c>
      <c r="I969" s="514" t="s">
        <v>784</v>
      </c>
      <c r="J969" s="514" t="s">
        <v>650</v>
      </c>
      <c r="K969" s="519">
        <v>100</v>
      </c>
      <c r="L969" s="520"/>
      <c r="M969" s="685">
        <v>0</v>
      </c>
      <c r="N969" s="685">
        <v>0</v>
      </c>
      <c r="O969" s="682">
        <f t="shared" si="45"/>
        <v>0</v>
      </c>
      <c r="P969" s="683" t="str">
        <f t="shared" si="46"/>
        <v>0</v>
      </c>
      <c r="Q969" s="684" t="str">
        <f t="shared" si="47"/>
        <v>0</v>
      </c>
      <c r="R969" s="491"/>
    </row>
    <row r="970" spans="1:18" x14ac:dyDescent="0.2">
      <c r="A970" s="506" t="s">
        <v>276</v>
      </c>
      <c r="B970" s="502" t="s">
        <v>779</v>
      </c>
      <c r="C970" s="507" t="s">
        <v>290</v>
      </c>
      <c r="D970" s="504" t="s">
        <v>287</v>
      </c>
      <c r="E970" s="348"/>
      <c r="F970" s="504" t="s">
        <v>109</v>
      </c>
      <c r="G970" s="513" t="s">
        <v>820</v>
      </c>
      <c r="H970" s="514" t="s">
        <v>819</v>
      </c>
      <c r="I970" s="514" t="s">
        <v>784</v>
      </c>
      <c r="J970" s="514" t="s">
        <v>650</v>
      </c>
      <c r="K970" s="519">
        <v>100</v>
      </c>
      <c r="L970" s="520"/>
      <c r="M970" s="685">
        <v>65</v>
      </c>
      <c r="N970" s="685">
        <v>65</v>
      </c>
      <c r="O970" s="682">
        <f t="shared" si="45"/>
        <v>1</v>
      </c>
      <c r="P970" s="683">
        <f t="shared" si="46"/>
        <v>100</v>
      </c>
      <c r="Q970" s="684">
        <f t="shared" si="47"/>
        <v>1</v>
      </c>
      <c r="R970" s="490"/>
    </row>
    <row r="971" spans="1:18" x14ac:dyDescent="0.2">
      <c r="A971" s="506" t="s">
        <v>276</v>
      </c>
      <c r="B971" s="502" t="s">
        <v>779</v>
      </c>
      <c r="C971" s="507" t="s">
        <v>290</v>
      </c>
      <c r="D971" s="504" t="s">
        <v>283</v>
      </c>
      <c r="E971" s="348"/>
      <c r="F971" s="504" t="s">
        <v>109</v>
      </c>
      <c r="G971" s="513" t="s">
        <v>820</v>
      </c>
      <c r="H971" s="514" t="s">
        <v>819</v>
      </c>
      <c r="I971" s="514" t="s">
        <v>784</v>
      </c>
      <c r="J971" s="514" t="s">
        <v>650</v>
      </c>
      <c r="K971" s="519">
        <v>100</v>
      </c>
      <c r="L971" s="520"/>
      <c r="M971" s="685">
        <v>5</v>
      </c>
      <c r="N971" s="685">
        <v>5</v>
      </c>
      <c r="O971" s="682">
        <f t="shared" si="45"/>
        <v>1</v>
      </c>
      <c r="P971" s="683">
        <f t="shared" si="46"/>
        <v>100</v>
      </c>
      <c r="Q971" s="684">
        <f t="shared" si="47"/>
        <v>1</v>
      </c>
      <c r="R971" s="490"/>
    </row>
    <row r="972" spans="1:18" x14ac:dyDescent="0.2">
      <c r="A972" s="506" t="s">
        <v>276</v>
      </c>
      <c r="B972" s="502" t="s">
        <v>779</v>
      </c>
      <c r="C972" s="507" t="s">
        <v>290</v>
      </c>
      <c r="D972" s="504" t="s">
        <v>284</v>
      </c>
      <c r="E972" s="348"/>
      <c r="F972" s="504" t="s">
        <v>109</v>
      </c>
      <c r="G972" s="513" t="s">
        <v>820</v>
      </c>
      <c r="H972" s="514" t="s">
        <v>819</v>
      </c>
      <c r="I972" s="514" t="s">
        <v>784</v>
      </c>
      <c r="J972" s="514" t="s">
        <v>650</v>
      </c>
      <c r="K972" s="519">
        <v>100</v>
      </c>
      <c r="L972" s="520"/>
      <c r="M972" s="685">
        <v>0</v>
      </c>
      <c r="N972" s="685">
        <v>0</v>
      </c>
      <c r="O972" s="682">
        <f t="shared" si="45"/>
        <v>0</v>
      </c>
      <c r="P972" s="683" t="str">
        <f t="shared" si="46"/>
        <v>0</v>
      </c>
      <c r="Q972" s="684" t="str">
        <f t="shared" si="47"/>
        <v>0</v>
      </c>
      <c r="R972" s="490"/>
    </row>
    <row r="973" spans="1:18" x14ac:dyDescent="0.2">
      <c r="A973" s="506" t="s">
        <v>276</v>
      </c>
      <c r="B973" s="502" t="s">
        <v>779</v>
      </c>
      <c r="C973" s="507" t="s">
        <v>289</v>
      </c>
      <c r="D973" s="504" t="s">
        <v>287</v>
      </c>
      <c r="E973" s="348"/>
      <c r="F973" s="504" t="s">
        <v>109</v>
      </c>
      <c r="G973" s="513" t="s">
        <v>820</v>
      </c>
      <c r="H973" s="514" t="s">
        <v>819</v>
      </c>
      <c r="I973" s="514" t="s">
        <v>784</v>
      </c>
      <c r="J973" s="514" t="s">
        <v>650</v>
      </c>
      <c r="K973" s="519">
        <v>100</v>
      </c>
      <c r="L973" s="520"/>
      <c r="M973" s="685">
        <v>733</v>
      </c>
      <c r="N973" s="685">
        <v>733</v>
      </c>
      <c r="O973" s="682">
        <f t="shared" si="45"/>
        <v>1</v>
      </c>
      <c r="P973" s="683">
        <f t="shared" si="46"/>
        <v>100</v>
      </c>
      <c r="Q973" s="684">
        <f t="shared" si="47"/>
        <v>1</v>
      </c>
      <c r="R973" s="490"/>
    </row>
    <row r="974" spans="1:18" x14ac:dyDescent="0.2">
      <c r="A974" s="506" t="s">
        <v>276</v>
      </c>
      <c r="B974" s="502" t="s">
        <v>779</v>
      </c>
      <c r="C974" s="507" t="s">
        <v>289</v>
      </c>
      <c r="D974" s="504" t="s">
        <v>283</v>
      </c>
      <c r="E974" s="348"/>
      <c r="F974" s="504" t="s">
        <v>109</v>
      </c>
      <c r="G974" s="513" t="s">
        <v>820</v>
      </c>
      <c r="H974" s="514" t="s">
        <v>819</v>
      </c>
      <c r="I974" s="514" t="s">
        <v>784</v>
      </c>
      <c r="J974" s="514" t="s">
        <v>650</v>
      </c>
      <c r="K974" s="519">
        <v>100</v>
      </c>
      <c r="L974" s="520"/>
      <c r="M974" s="685">
        <v>134</v>
      </c>
      <c r="N974" s="685">
        <v>134</v>
      </c>
      <c r="O974" s="682">
        <f t="shared" si="45"/>
        <v>1</v>
      </c>
      <c r="P974" s="683">
        <f t="shared" si="46"/>
        <v>100</v>
      </c>
      <c r="Q974" s="684">
        <f t="shared" si="47"/>
        <v>1</v>
      </c>
      <c r="R974" s="490"/>
    </row>
    <row r="975" spans="1:18" x14ac:dyDescent="0.2">
      <c r="A975" s="506" t="s">
        <v>276</v>
      </c>
      <c r="B975" s="502" t="s">
        <v>779</v>
      </c>
      <c r="C975" s="507" t="s">
        <v>289</v>
      </c>
      <c r="D975" s="504" t="s">
        <v>284</v>
      </c>
      <c r="E975" s="348"/>
      <c r="F975" s="504" t="s">
        <v>109</v>
      </c>
      <c r="G975" s="513" t="s">
        <v>820</v>
      </c>
      <c r="H975" s="514" t="s">
        <v>819</v>
      </c>
      <c r="I975" s="514" t="s">
        <v>784</v>
      </c>
      <c r="J975" s="514" t="s">
        <v>650</v>
      </c>
      <c r="K975" s="519">
        <v>100</v>
      </c>
      <c r="L975" s="520"/>
      <c r="M975" s="685">
        <v>29</v>
      </c>
      <c r="N975" s="685">
        <v>29</v>
      </c>
      <c r="O975" s="682">
        <f t="shared" si="45"/>
        <v>1</v>
      </c>
      <c r="P975" s="683">
        <f t="shared" si="46"/>
        <v>100</v>
      </c>
      <c r="Q975" s="684">
        <f t="shared" si="47"/>
        <v>1</v>
      </c>
      <c r="R975" s="490"/>
    </row>
    <row r="976" spans="1:18" x14ac:dyDescent="0.2">
      <c r="A976" s="506" t="s">
        <v>276</v>
      </c>
      <c r="B976" s="502" t="s">
        <v>779</v>
      </c>
      <c r="C976" s="507" t="s">
        <v>289</v>
      </c>
      <c r="D976" s="504" t="s">
        <v>281</v>
      </c>
      <c r="E976" s="348"/>
      <c r="F976" s="504" t="s">
        <v>109</v>
      </c>
      <c r="G976" s="513" t="s">
        <v>820</v>
      </c>
      <c r="H976" s="514" t="s">
        <v>819</v>
      </c>
      <c r="I976" s="514" t="s">
        <v>784</v>
      </c>
      <c r="J976" s="514" t="s">
        <v>650</v>
      </c>
      <c r="K976" s="519">
        <v>100</v>
      </c>
      <c r="L976" s="520"/>
      <c r="M976" s="685">
        <v>2</v>
      </c>
      <c r="N976" s="685">
        <v>2</v>
      </c>
      <c r="O976" s="682">
        <f t="shared" si="45"/>
        <v>1</v>
      </c>
      <c r="P976" s="683">
        <f t="shared" si="46"/>
        <v>100</v>
      </c>
      <c r="Q976" s="684">
        <f t="shared" si="47"/>
        <v>1</v>
      </c>
      <c r="R976" s="490"/>
    </row>
    <row r="977" spans="1:18" x14ac:dyDescent="0.2">
      <c r="A977" s="506" t="s">
        <v>276</v>
      </c>
      <c r="B977" s="502" t="s">
        <v>779</v>
      </c>
      <c r="C977" s="507" t="s">
        <v>97</v>
      </c>
      <c r="D977" s="504" t="s">
        <v>279</v>
      </c>
      <c r="E977" s="348"/>
      <c r="F977" s="504" t="s">
        <v>109</v>
      </c>
      <c r="G977" s="513" t="s">
        <v>821</v>
      </c>
      <c r="H977" s="514" t="s">
        <v>819</v>
      </c>
      <c r="I977" s="514" t="s">
        <v>784</v>
      </c>
      <c r="J977" s="514" t="s">
        <v>650</v>
      </c>
      <c r="K977" s="519">
        <v>100</v>
      </c>
      <c r="L977" s="520"/>
      <c r="M977" s="360">
        <v>6</v>
      </c>
      <c r="N977" s="360">
        <v>6</v>
      </c>
      <c r="O977" s="682">
        <f t="shared" si="45"/>
        <v>1</v>
      </c>
      <c r="P977" s="683">
        <f t="shared" si="46"/>
        <v>100</v>
      </c>
      <c r="Q977" s="684">
        <f t="shared" si="47"/>
        <v>1</v>
      </c>
      <c r="R977" s="490"/>
    </row>
    <row r="978" spans="1:18" x14ac:dyDescent="0.2">
      <c r="A978" s="506" t="s">
        <v>276</v>
      </c>
      <c r="B978" s="502" t="s">
        <v>779</v>
      </c>
      <c r="C978" s="507" t="s">
        <v>97</v>
      </c>
      <c r="D978" s="504" t="s">
        <v>281</v>
      </c>
      <c r="E978" s="348"/>
      <c r="F978" s="504" t="s">
        <v>109</v>
      </c>
      <c r="G978" s="513" t="s">
        <v>821</v>
      </c>
      <c r="H978" s="514" t="s">
        <v>819</v>
      </c>
      <c r="I978" s="514" t="s">
        <v>784</v>
      </c>
      <c r="J978" s="514" t="s">
        <v>650</v>
      </c>
      <c r="K978" s="519">
        <v>100</v>
      </c>
      <c r="L978" s="520"/>
      <c r="M978" s="685">
        <v>9</v>
      </c>
      <c r="N978" s="685">
        <v>9</v>
      </c>
      <c r="O978" s="682">
        <f t="shared" si="45"/>
        <v>1</v>
      </c>
      <c r="P978" s="683">
        <f t="shared" si="46"/>
        <v>100</v>
      </c>
      <c r="Q978" s="684">
        <f t="shared" si="47"/>
        <v>1</v>
      </c>
      <c r="R978" s="490"/>
    </row>
    <row r="979" spans="1:18" x14ac:dyDescent="0.2">
      <c r="A979" s="506" t="s">
        <v>276</v>
      </c>
      <c r="B979" s="502" t="s">
        <v>779</v>
      </c>
      <c r="C979" s="507" t="s">
        <v>282</v>
      </c>
      <c r="D979" s="504" t="s">
        <v>287</v>
      </c>
      <c r="E979" s="348"/>
      <c r="F979" s="504" t="s">
        <v>109</v>
      </c>
      <c r="G979" s="513" t="s">
        <v>821</v>
      </c>
      <c r="H979" s="514" t="s">
        <v>819</v>
      </c>
      <c r="I979" s="514" t="s">
        <v>784</v>
      </c>
      <c r="J979" s="514" t="s">
        <v>650</v>
      </c>
      <c r="K979" s="519">
        <v>100</v>
      </c>
      <c r="L979" s="520"/>
      <c r="M979" s="685">
        <v>68</v>
      </c>
      <c r="N979" s="685">
        <v>68</v>
      </c>
      <c r="O979" s="682">
        <f t="shared" si="45"/>
        <v>1</v>
      </c>
      <c r="P979" s="683">
        <f t="shared" si="46"/>
        <v>100</v>
      </c>
      <c r="Q979" s="684">
        <f t="shared" si="47"/>
        <v>1</v>
      </c>
      <c r="R979" s="490"/>
    </row>
    <row r="980" spans="1:18" x14ac:dyDescent="0.2">
      <c r="A980" s="506" t="s">
        <v>276</v>
      </c>
      <c r="B980" s="502" t="s">
        <v>779</v>
      </c>
      <c r="C980" s="507" t="s">
        <v>282</v>
      </c>
      <c r="D980" s="504" t="s">
        <v>283</v>
      </c>
      <c r="E980" s="348"/>
      <c r="F980" s="504" t="s">
        <v>109</v>
      </c>
      <c r="G980" s="513" t="s">
        <v>821</v>
      </c>
      <c r="H980" s="514" t="s">
        <v>819</v>
      </c>
      <c r="I980" s="514" t="s">
        <v>784</v>
      </c>
      <c r="J980" s="514" t="s">
        <v>650</v>
      </c>
      <c r="K980" s="519">
        <v>100</v>
      </c>
      <c r="L980" s="520"/>
      <c r="M980" s="685">
        <v>19</v>
      </c>
      <c r="N980" s="685">
        <v>19</v>
      </c>
      <c r="O980" s="682">
        <f t="shared" si="45"/>
        <v>1</v>
      </c>
      <c r="P980" s="683">
        <f t="shared" si="46"/>
        <v>100</v>
      </c>
      <c r="Q980" s="684">
        <f t="shared" si="47"/>
        <v>1</v>
      </c>
      <c r="R980" s="490"/>
    </row>
    <row r="981" spans="1:18" x14ac:dyDescent="0.2">
      <c r="A981" s="506" t="s">
        <v>276</v>
      </c>
      <c r="B981" s="502" t="s">
        <v>779</v>
      </c>
      <c r="C981" s="507" t="s">
        <v>282</v>
      </c>
      <c r="D981" s="504" t="s">
        <v>284</v>
      </c>
      <c r="E981" s="348"/>
      <c r="F981" s="504" t="s">
        <v>109</v>
      </c>
      <c r="G981" s="513" t="s">
        <v>821</v>
      </c>
      <c r="H981" s="514" t="s">
        <v>819</v>
      </c>
      <c r="I981" s="514" t="s">
        <v>784</v>
      </c>
      <c r="J981" s="514" t="s">
        <v>650</v>
      </c>
      <c r="K981" s="519">
        <v>100</v>
      </c>
      <c r="L981" s="520"/>
      <c r="M981" s="685">
        <v>43</v>
      </c>
      <c r="N981" s="685">
        <v>43</v>
      </c>
      <c r="O981" s="682">
        <f t="shared" si="45"/>
        <v>1</v>
      </c>
      <c r="P981" s="683">
        <f t="shared" si="46"/>
        <v>100</v>
      </c>
      <c r="Q981" s="684">
        <f t="shared" si="47"/>
        <v>1</v>
      </c>
      <c r="R981" s="490"/>
    </row>
    <row r="982" spans="1:18" x14ac:dyDescent="0.2">
      <c r="A982" s="506" t="s">
        <v>276</v>
      </c>
      <c r="B982" s="502" t="s">
        <v>779</v>
      </c>
      <c r="C982" s="507" t="s">
        <v>282</v>
      </c>
      <c r="D982" s="504" t="s">
        <v>279</v>
      </c>
      <c r="E982" s="348"/>
      <c r="F982" s="504" t="s">
        <v>109</v>
      </c>
      <c r="G982" s="513" t="s">
        <v>821</v>
      </c>
      <c r="H982" s="514" t="s">
        <v>819</v>
      </c>
      <c r="I982" s="514" t="s">
        <v>784</v>
      </c>
      <c r="J982" s="514" t="s">
        <v>650</v>
      </c>
      <c r="K982" s="519">
        <v>100</v>
      </c>
      <c r="L982" s="520"/>
      <c r="M982" s="685">
        <v>65</v>
      </c>
      <c r="N982" s="685">
        <v>65</v>
      </c>
      <c r="O982" s="682">
        <f t="shared" si="45"/>
        <v>1</v>
      </c>
      <c r="P982" s="683">
        <f t="shared" si="46"/>
        <v>100</v>
      </c>
      <c r="Q982" s="684">
        <f t="shared" si="47"/>
        <v>1</v>
      </c>
      <c r="R982" s="490"/>
    </row>
    <row r="983" spans="1:18" x14ac:dyDescent="0.2">
      <c r="A983" s="506" t="s">
        <v>276</v>
      </c>
      <c r="B983" s="502" t="s">
        <v>779</v>
      </c>
      <c r="C983" s="507" t="s">
        <v>282</v>
      </c>
      <c r="D983" s="504" t="s">
        <v>281</v>
      </c>
      <c r="E983" s="348"/>
      <c r="F983" s="504" t="s">
        <v>109</v>
      </c>
      <c r="G983" s="513" t="s">
        <v>821</v>
      </c>
      <c r="H983" s="514" t="s">
        <v>819</v>
      </c>
      <c r="I983" s="514" t="s">
        <v>784</v>
      </c>
      <c r="J983" s="514" t="s">
        <v>650</v>
      </c>
      <c r="K983" s="519">
        <v>100</v>
      </c>
      <c r="L983" s="520"/>
      <c r="M983" s="685">
        <v>48</v>
      </c>
      <c r="N983" s="685">
        <v>48</v>
      </c>
      <c r="O983" s="682">
        <f t="shared" si="45"/>
        <v>1</v>
      </c>
      <c r="P983" s="683">
        <f t="shared" si="46"/>
        <v>100</v>
      </c>
      <c r="Q983" s="684">
        <f t="shared" si="47"/>
        <v>1</v>
      </c>
      <c r="R983" s="490"/>
    </row>
    <row r="984" spans="1:18" x14ac:dyDescent="0.2">
      <c r="A984" s="506" t="s">
        <v>276</v>
      </c>
      <c r="B984" s="502" t="s">
        <v>779</v>
      </c>
      <c r="C984" s="507" t="s">
        <v>288</v>
      </c>
      <c r="D984" s="504" t="s">
        <v>287</v>
      </c>
      <c r="E984" s="348"/>
      <c r="F984" s="504" t="s">
        <v>109</v>
      </c>
      <c r="G984" s="513" t="s">
        <v>821</v>
      </c>
      <c r="H984" s="514" t="s">
        <v>819</v>
      </c>
      <c r="I984" s="514" t="s">
        <v>784</v>
      </c>
      <c r="J984" s="514" t="s">
        <v>650</v>
      </c>
      <c r="K984" s="519">
        <v>100</v>
      </c>
      <c r="L984" s="520"/>
      <c r="M984" s="685">
        <v>299</v>
      </c>
      <c r="N984" s="685">
        <v>299</v>
      </c>
      <c r="O984" s="682">
        <f t="shared" si="45"/>
        <v>1</v>
      </c>
      <c r="P984" s="683">
        <f t="shared" si="46"/>
        <v>100</v>
      </c>
      <c r="Q984" s="684">
        <f t="shared" si="47"/>
        <v>1</v>
      </c>
      <c r="R984" s="490"/>
    </row>
    <row r="985" spans="1:18" x14ac:dyDescent="0.2">
      <c r="A985" s="506" t="s">
        <v>276</v>
      </c>
      <c r="B985" s="502" t="s">
        <v>779</v>
      </c>
      <c r="C985" s="507" t="s">
        <v>288</v>
      </c>
      <c r="D985" s="504" t="s">
        <v>283</v>
      </c>
      <c r="E985" s="348"/>
      <c r="F985" s="504" t="s">
        <v>109</v>
      </c>
      <c r="G985" s="513" t="s">
        <v>821</v>
      </c>
      <c r="H985" s="514" t="s">
        <v>819</v>
      </c>
      <c r="I985" s="514" t="s">
        <v>784</v>
      </c>
      <c r="J985" s="514" t="s">
        <v>650</v>
      </c>
      <c r="K985" s="519">
        <v>100</v>
      </c>
      <c r="L985" s="520"/>
      <c r="M985" s="685">
        <v>64</v>
      </c>
      <c r="N985" s="685">
        <v>64</v>
      </c>
      <c r="O985" s="682">
        <f t="shared" si="45"/>
        <v>1</v>
      </c>
      <c r="P985" s="683">
        <f t="shared" si="46"/>
        <v>100</v>
      </c>
      <c r="Q985" s="684">
        <f t="shared" si="47"/>
        <v>1</v>
      </c>
      <c r="R985" s="490"/>
    </row>
    <row r="986" spans="1:18" x14ac:dyDescent="0.2">
      <c r="A986" s="506" t="s">
        <v>276</v>
      </c>
      <c r="B986" s="502" t="s">
        <v>779</v>
      </c>
      <c r="C986" s="507" t="s">
        <v>288</v>
      </c>
      <c r="D986" s="504" t="s">
        <v>284</v>
      </c>
      <c r="E986" s="348"/>
      <c r="F986" s="504" t="s">
        <v>109</v>
      </c>
      <c r="G986" s="513" t="s">
        <v>821</v>
      </c>
      <c r="H986" s="514" t="s">
        <v>819</v>
      </c>
      <c r="I986" s="514" t="s">
        <v>784</v>
      </c>
      <c r="J986" s="514" t="s">
        <v>650</v>
      </c>
      <c r="K986" s="519">
        <v>100</v>
      </c>
      <c r="L986" s="520"/>
      <c r="M986" s="685">
        <v>10</v>
      </c>
      <c r="N986" s="685">
        <v>10</v>
      </c>
      <c r="O986" s="682">
        <f t="shared" si="45"/>
        <v>1</v>
      </c>
      <c r="P986" s="683">
        <f t="shared" si="46"/>
        <v>100</v>
      </c>
      <c r="Q986" s="684">
        <f t="shared" si="47"/>
        <v>1</v>
      </c>
      <c r="R986" s="490"/>
    </row>
    <row r="987" spans="1:18" x14ac:dyDescent="0.2">
      <c r="A987" s="506" t="s">
        <v>276</v>
      </c>
      <c r="B987" s="502" t="s">
        <v>779</v>
      </c>
      <c r="C987" s="507" t="s">
        <v>288</v>
      </c>
      <c r="D987" s="504" t="s">
        <v>279</v>
      </c>
      <c r="E987" s="348"/>
      <c r="F987" s="504" t="s">
        <v>109</v>
      </c>
      <c r="G987" s="513" t="s">
        <v>821</v>
      </c>
      <c r="H987" s="514" t="s">
        <v>819</v>
      </c>
      <c r="I987" s="514" t="s">
        <v>784</v>
      </c>
      <c r="J987" s="514" t="s">
        <v>650</v>
      </c>
      <c r="K987" s="519">
        <v>100</v>
      </c>
      <c r="L987" s="520"/>
      <c r="M987" s="685">
        <v>2</v>
      </c>
      <c r="N987" s="685">
        <v>2</v>
      </c>
      <c r="O987" s="682">
        <f t="shared" si="45"/>
        <v>1</v>
      </c>
      <c r="P987" s="683">
        <f t="shared" si="46"/>
        <v>100</v>
      </c>
      <c r="Q987" s="684">
        <f t="shared" si="47"/>
        <v>1</v>
      </c>
      <c r="R987" s="490"/>
    </row>
    <row r="988" spans="1:18" x14ac:dyDescent="0.2">
      <c r="A988" s="506" t="s">
        <v>276</v>
      </c>
      <c r="B988" s="502" t="s">
        <v>779</v>
      </c>
      <c r="C988" s="507" t="s">
        <v>288</v>
      </c>
      <c r="D988" s="504" t="s">
        <v>281</v>
      </c>
      <c r="E988" s="348"/>
      <c r="F988" s="504" t="s">
        <v>109</v>
      </c>
      <c r="G988" s="513" t="s">
        <v>821</v>
      </c>
      <c r="H988" s="514" t="s">
        <v>819</v>
      </c>
      <c r="I988" s="514" t="s">
        <v>784</v>
      </c>
      <c r="J988" s="514" t="s">
        <v>650</v>
      </c>
      <c r="K988" s="519">
        <v>100</v>
      </c>
      <c r="L988" s="520"/>
      <c r="M988" s="685">
        <v>17</v>
      </c>
      <c r="N988" s="685">
        <v>17</v>
      </c>
      <c r="O988" s="682">
        <f t="shared" si="45"/>
        <v>1</v>
      </c>
      <c r="P988" s="683">
        <f t="shared" si="46"/>
        <v>100</v>
      </c>
      <c r="Q988" s="684">
        <f t="shared" si="47"/>
        <v>1</v>
      </c>
      <c r="R988" s="490"/>
    </row>
    <row r="989" spans="1:18" x14ac:dyDescent="0.2">
      <c r="A989" s="506" t="s">
        <v>276</v>
      </c>
      <c r="B989" s="502" t="s">
        <v>779</v>
      </c>
      <c r="C989" s="507" t="s">
        <v>99</v>
      </c>
      <c r="D989" s="504" t="s">
        <v>287</v>
      </c>
      <c r="E989" s="348"/>
      <c r="F989" s="504" t="s">
        <v>109</v>
      </c>
      <c r="G989" s="513" t="s">
        <v>821</v>
      </c>
      <c r="H989" s="514" t="s">
        <v>819</v>
      </c>
      <c r="I989" s="514" t="s">
        <v>784</v>
      </c>
      <c r="J989" s="514" t="s">
        <v>650</v>
      </c>
      <c r="K989" s="519">
        <v>100</v>
      </c>
      <c r="L989" s="520"/>
      <c r="M989" s="685">
        <v>326</v>
      </c>
      <c r="N989" s="685">
        <v>326</v>
      </c>
      <c r="O989" s="682">
        <f t="shared" si="45"/>
        <v>1</v>
      </c>
      <c r="P989" s="683">
        <f t="shared" si="46"/>
        <v>100</v>
      </c>
      <c r="Q989" s="684">
        <f t="shared" si="47"/>
        <v>1</v>
      </c>
      <c r="R989" s="490"/>
    </row>
    <row r="990" spans="1:18" x14ac:dyDescent="0.2">
      <c r="A990" s="506" t="s">
        <v>276</v>
      </c>
      <c r="B990" s="502" t="s">
        <v>779</v>
      </c>
      <c r="C990" s="507" t="s">
        <v>99</v>
      </c>
      <c r="D990" s="504" t="s">
        <v>283</v>
      </c>
      <c r="E990" s="348"/>
      <c r="F990" s="504" t="s">
        <v>109</v>
      </c>
      <c r="G990" s="513" t="s">
        <v>821</v>
      </c>
      <c r="H990" s="514" t="s">
        <v>819</v>
      </c>
      <c r="I990" s="514" t="s">
        <v>784</v>
      </c>
      <c r="J990" s="514" t="s">
        <v>650</v>
      </c>
      <c r="K990" s="519">
        <v>100</v>
      </c>
      <c r="L990" s="520"/>
      <c r="M990" s="685">
        <v>17</v>
      </c>
      <c r="N990" s="685">
        <v>17</v>
      </c>
      <c r="O990" s="682">
        <f t="shared" si="45"/>
        <v>1</v>
      </c>
      <c r="P990" s="683">
        <f t="shared" si="46"/>
        <v>100</v>
      </c>
      <c r="Q990" s="684">
        <f t="shared" si="47"/>
        <v>1</v>
      </c>
      <c r="R990" s="490"/>
    </row>
    <row r="991" spans="1:18" x14ac:dyDescent="0.2">
      <c r="A991" s="506" t="s">
        <v>276</v>
      </c>
      <c r="B991" s="502" t="s">
        <v>779</v>
      </c>
      <c r="C991" s="507" t="s">
        <v>99</v>
      </c>
      <c r="D991" s="504" t="s">
        <v>284</v>
      </c>
      <c r="E991" s="348"/>
      <c r="F991" s="504" t="s">
        <v>109</v>
      </c>
      <c r="G991" s="513" t="s">
        <v>821</v>
      </c>
      <c r="H991" s="514" t="s">
        <v>819</v>
      </c>
      <c r="I991" s="514" t="s">
        <v>784</v>
      </c>
      <c r="J991" s="514" t="s">
        <v>650</v>
      </c>
      <c r="K991" s="519">
        <v>100</v>
      </c>
      <c r="L991" s="520"/>
      <c r="M991" s="685">
        <v>8</v>
      </c>
      <c r="N991" s="685">
        <v>8</v>
      </c>
      <c r="O991" s="682">
        <f t="shared" si="45"/>
        <v>1</v>
      </c>
      <c r="P991" s="683">
        <f t="shared" si="46"/>
        <v>100</v>
      </c>
      <c r="Q991" s="684">
        <f t="shared" si="47"/>
        <v>1</v>
      </c>
      <c r="R991" s="490"/>
    </row>
    <row r="992" spans="1:18" x14ac:dyDescent="0.2">
      <c r="A992" s="506" t="s">
        <v>276</v>
      </c>
      <c r="B992" s="502" t="s">
        <v>779</v>
      </c>
      <c r="C992" s="507" t="s">
        <v>99</v>
      </c>
      <c r="D992" s="504" t="s">
        <v>279</v>
      </c>
      <c r="E992" s="348"/>
      <c r="F992" s="504" t="s">
        <v>109</v>
      </c>
      <c r="G992" s="513" t="s">
        <v>821</v>
      </c>
      <c r="H992" s="514" t="s">
        <v>819</v>
      </c>
      <c r="I992" s="514" t="s">
        <v>784</v>
      </c>
      <c r="J992" s="514" t="s">
        <v>650</v>
      </c>
      <c r="K992" s="519">
        <v>100</v>
      </c>
      <c r="L992" s="520"/>
      <c r="M992" s="685">
        <v>5</v>
      </c>
      <c r="N992" s="685">
        <v>5</v>
      </c>
      <c r="O992" s="682">
        <f t="shared" si="45"/>
        <v>1</v>
      </c>
      <c r="P992" s="683">
        <f t="shared" si="46"/>
        <v>100</v>
      </c>
      <c r="Q992" s="684">
        <f t="shared" si="47"/>
        <v>1</v>
      </c>
      <c r="R992" s="490"/>
    </row>
    <row r="993" spans="1:18" x14ac:dyDescent="0.2">
      <c r="A993" s="506" t="s">
        <v>276</v>
      </c>
      <c r="B993" s="502" t="s">
        <v>779</v>
      </c>
      <c r="C993" s="507" t="s">
        <v>99</v>
      </c>
      <c r="D993" s="504" t="s">
        <v>281</v>
      </c>
      <c r="E993" s="348"/>
      <c r="F993" s="504" t="s">
        <v>109</v>
      </c>
      <c r="G993" s="513" t="s">
        <v>821</v>
      </c>
      <c r="H993" s="514" t="s">
        <v>819</v>
      </c>
      <c r="I993" s="514" t="s">
        <v>784</v>
      </c>
      <c r="J993" s="514" t="s">
        <v>650</v>
      </c>
      <c r="K993" s="519">
        <v>100</v>
      </c>
      <c r="L993" s="520"/>
      <c r="M993" s="685">
        <v>1</v>
      </c>
      <c r="N993" s="685">
        <v>1</v>
      </c>
      <c r="O993" s="682">
        <f t="shared" si="45"/>
        <v>1</v>
      </c>
      <c r="P993" s="683">
        <f t="shared" si="46"/>
        <v>100</v>
      </c>
      <c r="Q993" s="684">
        <f t="shared" si="47"/>
        <v>1</v>
      </c>
      <c r="R993" s="490"/>
    </row>
    <row r="994" spans="1:18" x14ac:dyDescent="0.2">
      <c r="A994" s="506" t="s">
        <v>276</v>
      </c>
      <c r="B994" s="502" t="s">
        <v>779</v>
      </c>
      <c r="C994" s="507" t="s">
        <v>285</v>
      </c>
      <c r="D994" s="504" t="s">
        <v>287</v>
      </c>
      <c r="E994" s="348"/>
      <c r="F994" s="504" t="s">
        <v>109</v>
      </c>
      <c r="G994" s="513" t="s">
        <v>821</v>
      </c>
      <c r="H994" s="514" t="s">
        <v>819</v>
      </c>
      <c r="I994" s="514" t="s">
        <v>784</v>
      </c>
      <c r="J994" s="514" t="s">
        <v>650</v>
      </c>
      <c r="K994" s="519">
        <v>100</v>
      </c>
      <c r="L994" s="520"/>
      <c r="M994" s="685">
        <v>0</v>
      </c>
      <c r="N994" s="685">
        <v>0</v>
      </c>
      <c r="O994" s="682">
        <f t="shared" si="45"/>
        <v>0</v>
      </c>
      <c r="P994" s="683" t="str">
        <f t="shared" si="46"/>
        <v>0</v>
      </c>
      <c r="Q994" s="684" t="str">
        <f t="shared" si="47"/>
        <v>0</v>
      </c>
      <c r="R994" s="491"/>
    </row>
    <row r="995" spans="1:18" x14ac:dyDescent="0.2">
      <c r="A995" s="506" t="s">
        <v>276</v>
      </c>
      <c r="B995" s="502" t="s">
        <v>779</v>
      </c>
      <c r="C995" s="507" t="s">
        <v>285</v>
      </c>
      <c r="D995" s="504" t="s">
        <v>283</v>
      </c>
      <c r="E995" s="348"/>
      <c r="F995" s="504" t="s">
        <v>109</v>
      </c>
      <c r="G995" s="513" t="s">
        <v>821</v>
      </c>
      <c r="H995" s="514" t="s">
        <v>819</v>
      </c>
      <c r="I995" s="514" t="s">
        <v>784</v>
      </c>
      <c r="J995" s="514" t="s">
        <v>650</v>
      </c>
      <c r="K995" s="519">
        <v>100</v>
      </c>
      <c r="L995" s="520"/>
      <c r="M995" s="685">
        <v>5</v>
      </c>
      <c r="N995" s="685">
        <v>5</v>
      </c>
      <c r="O995" s="682">
        <f t="shared" si="45"/>
        <v>1</v>
      </c>
      <c r="P995" s="683">
        <f t="shared" si="46"/>
        <v>100</v>
      </c>
      <c r="Q995" s="684">
        <f t="shared" si="47"/>
        <v>1</v>
      </c>
      <c r="R995" s="490"/>
    </row>
    <row r="996" spans="1:18" x14ac:dyDescent="0.2">
      <c r="A996" s="506" t="s">
        <v>276</v>
      </c>
      <c r="B996" s="502" t="s">
        <v>779</v>
      </c>
      <c r="C996" s="507" t="s">
        <v>285</v>
      </c>
      <c r="D996" s="504" t="s">
        <v>284</v>
      </c>
      <c r="E996" s="348"/>
      <c r="F996" s="504" t="s">
        <v>109</v>
      </c>
      <c r="G996" s="513" t="s">
        <v>821</v>
      </c>
      <c r="H996" s="514" t="s">
        <v>819</v>
      </c>
      <c r="I996" s="514" t="s">
        <v>784</v>
      </c>
      <c r="J996" s="514" t="s">
        <v>650</v>
      </c>
      <c r="K996" s="519">
        <v>100</v>
      </c>
      <c r="L996" s="520"/>
      <c r="M996" s="685">
        <v>4</v>
      </c>
      <c r="N996" s="685">
        <v>4</v>
      </c>
      <c r="O996" s="682">
        <f t="shared" si="45"/>
        <v>1</v>
      </c>
      <c r="P996" s="683">
        <f t="shared" si="46"/>
        <v>100</v>
      </c>
      <c r="Q996" s="684">
        <f t="shared" si="47"/>
        <v>1</v>
      </c>
      <c r="R996" s="490"/>
    </row>
    <row r="997" spans="1:18" x14ac:dyDescent="0.2">
      <c r="A997" s="506" t="s">
        <v>276</v>
      </c>
      <c r="B997" s="502" t="s">
        <v>779</v>
      </c>
      <c r="C997" s="507" t="s">
        <v>285</v>
      </c>
      <c r="D997" s="504" t="s">
        <v>279</v>
      </c>
      <c r="E997" s="348"/>
      <c r="F997" s="504" t="s">
        <v>109</v>
      </c>
      <c r="G997" s="513" t="s">
        <v>821</v>
      </c>
      <c r="H997" s="514" t="s">
        <v>819</v>
      </c>
      <c r="I997" s="514" t="s">
        <v>784</v>
      </c>
      <c r="J997" s="514" t="s">
        <v>650</v>
      </c>
      <c r="K997" s="519">
        <v>100</v>
      </c>
      <c r="L997" s="520"/>
      <c r="M997" s="685">
        <v>1</v>
      </c>
      <c r="N997" s="685">
        <v>1</v>
      </c>
      <c r="O997" s="682">
        <f t="shared" si="45"/>
        <v>1</v>
      </c>
      <c r="P997" s="683">
        <f t="shared" si="46"/>
        <v>100</v>
      </c>
      <c r="Q997" s="684">
        <f t="shared" si="47"/>
        <v>1</v>
      </c>
      <c r="R997" s="490"/>
    </row>
    <row r="998" spans="1:18" x14ac:dyDescent="0.2">
      <c r="A998" s="506" t="s">
        <v>276</v>
      </c>
      <c r="B998" s="502" t="s">
        <v>779</v>
      </c>
      <c r="C998" s="507" t="s">
        <v>285</v>
      </c>
      <c r="D998" s="504" t="s">
        <v>281</v>
      </c>
      <c r="E998" s="348"/>
      <c r="F998" s="504" t="s">
        <v>109</v>
      </c>
      <c r="G998" s="513" t="s">
        <v>821</v>
      </c>
      <c r="H998" s="514" t="s">
        <v>819</v>
      </c>
      <c r="I998" s="514" t="s">
        <v>784</v>
      </c>
      <c r="J998" s="514" t="s">
        <v>650</v>
      </c>
      <c r="K998" s="519">
        <v>100</v>
      </c>
      <c r="L998" s="520"/>
      <c r="M998" s="685">
        <v>12</v>
      </c>
      <c r="N998" s="685">
        <v>12</v>
      </c>
      <c r="O998" s="682">
        <f t="shared" si="45"/>
        <v>1</v>
      </c>
      <c r="P998" s="683">
        <f t="shared" si="46"/>
        <v>100</v>
      </c>
      <c r="Q998" s="684">
        <f t="shared" si="47"/>
        <v>1</v>
      </c>
      <c r="R998" s="490"/>
    </row>
    <row r="999" spans="1:18" x14ac:dyDescent="0.2">
      <c r="A999" s="506" t="s">
        <v>276</v>
      </c>
      <c r="B999" s="502" t="s">
        <v>779</v>
      </c>
      <c r="C999" s="507" t="s">
        <v>285</v>
      </c>
      <c r="D999" s="504" t="s">
        <v>286</v>
      </c>
      <c r="E999" s="348"/>
      <c r="F999" s="504" t="s">
        <v>109</v>
      </c>
      <c r="G999" s="513" t="s">
        <v>821</v>
      </c>
      <c r="H999" s="514" t="s">
        <v>819</v>
      </c>
      <c r="I999" s="514" t="s">
        <v>784</v>
      </c>
      <c r="J999" s="514" t="s">
        <v>650</v>
      </c>
      <c r="K999" s="519">
        <v>100</v>
      </c>
      <c r="L999" s="520"/>
      <c r="M999" s="685">
        <v>20</v>
      </c>
      <c r="N999" s="685">
        <v>20</v>
      </c>
      <c r="O999" s="682">
        <f t="shared" si="45"/>
        <v>1</v>
      </c>
      <c r="P999" s="683">
        <f t="shared" si="46"/>
        <v>100</v>
      </c>
      <c r="Q999" s="684">
        <f t="shared" si="47"/>
        <v>1</v>
      </c>
      <c r="R999" s="490"/>
    </row>
    <row r="1000" spans="1:18" x14ac:dyDescent="0.2">
      <c r="A1000" s="506" t="s">
        <v>276</v>
      </c>
      <c r="B1000" s="502" t="s">
        <v>779</v>
      </c>
      <c r="C1000" s="507" t="s">
        <v>291</v>
      </c>
      <c r="D1000" s="504" t="s">
        <v>283</v>
      </c>
      <c r="E1000" s="348"/>
      <c r="F1000" s="504" t="s">
        <v>109</v>
      </c>
      <c r="G1000" s="513" t="s">
        <v>821</v>
      </c>
      <c r="H1000" s="514" t="s">
        <v>819</v>
      </c>
      <c r="I1000" s="514" t="s">
        <v>784</v>
      </c>
      <c r="J1000" s="514" t="s">
        <v>650</v>
      </c>
      <c r="K1000" s="519">
        <v>100</v>
      </c>
      <c r="L1000" s="520"/>
      <c r="M1000" s="685">
        <v>0</v>
      </c>
      <c r="N1000" s="685">
        <v>0</v>
      </c>
      <c r="O1000" s="682">
        <f t="shared" si="45"/>
        <v>0</v>
      </c>
      <c r="P1000" s="683" t="str">
        <f t="shared" si="46"/>
        <v>0</v>
      </c>
      <c r="Q1000" s="684" t="str">
        <f t="shared" si="47"/>
        <v>0</v>
      </c>
      <c r="R1000" s="491"/>
    </row>
    <row r="1001" spans="1:18" x14ac:dyDescent="0.2">
      <c r="A1001" s="506" t="s">
        <v>276</v>
      </c>
      <c r="B1001" s="502" t="s">
        <v>779</v>
      </c>
      <c r="C1001" s="507" t="s">
        <v>291</v>
      </c>
      <c r="D1001" s="504" t="s">
        <v>284</v>
      </c>
      <c r="E1001" s="348"/>
      <c r="F1001" s="504" t="s">
        <v>109</v>
      </c>
      <c r="G1001" s="513" t="s">
        <v>821</v>
      </c>
      <c r="H1001" s="514" t="s">
        <v>819</v>
      </c>
      <c r="I1001" s="514" t="s">
        <v>784</v>
      </c>
      <c r="J1001" s="514" t="s">
        <v>650</v>
      </c>
      <c r="K1001" s="519">
        <v>100</v>
      </c>
      <c r="L1001" s="520"/>
      <c r="M1001" s="685">
        <v>0</v>
      </c>
      <c r="N1001" s="685">
        <v>0</v>
      </c>
      <c r="O1001" s="682">
        <f t="shared" si="45"/>
        <v>0</v>
      </c>
      <c r="P1001" s="683" t="str">
        <f t="shared" si="46"/>
        <v>0</v>
      </c>
      <c r="Q1001" s="684" t="str">
        <f t="shared" si="47"/>
        <v>0</v>
      </c>
      <c r="R1001" s="491"/>
    </row>
    <row r="1002" spans="1:18" x14ac:dyDescent="0.2">
      <c r="A1002" s="506" t="s">
        <v>276</v>
      </c>
      <c r="B1002" s="502" t="s">
        <v>779</v>
      </c>
      <c r="C1002" s="507" t="s">
        <v>290</v>
      </c>
      <c r="D1002" s="504" t="s">
        <v>287</v>
      </c>
      <c r="E1002" s="348"/>
      <c r="F1002" s="504" t="s">
        <v>109</v>
      </c>
      <c r="G1002" s="513" t="s">
        <v>821</v>
      </c>
      <c r="H1002" s="514" t="s">
        <v>819</v>
      </c>
      <c r="I1002" s="514" t="s">
        <v>784</v>
      </c>
      <c r="J1002" s="514" t="s">
        <v>650</v>
      </c>
      <c r="K1002" s="519">
        <v>100</v>
      </c>
      <c r="L1002" s="520"/>
      <c r="M1002" s="685">
        <v>65</v>
      </c>
      <c r="N1002" s="685">
        <v>65</v>
      </c>
      <c r="O1002" s="682">
        <f t="shared" si="45"/>
        <v>1</v>
      </c>
      <c r="P1002" s="683">
        <f t="shared" si="46"/>
        <v>100</v>
      </c>
      <c r="Q1002" s="684">
        <f t="shared" si="47"/>
        <v>1</v>
      </c>
      <c r="R1002" s="490"/>
    </row>
    <row r="1003" spans="1:18" x14ac:dyDescent="0.2">
      <c r="A1003" s="506" t="s">
        <v>276</v>
      </c>
      <c r="B1003" s="502" t="s">
        <v>779</v>
      </c>
      <c r="C1003" s="507" t="s">
        <v>290</v>
      </c>
      <c r="D1003" s="504" t="s">
        <v>283</v>
      </c>
      <c r="E1003" s="348"/>
      <c r="F1003" s="504" t="s">
        <v>109</v>
      </c>
      <c r="G1003" s="513" t="s">
        <v>821</v>
      </c>
      <c r="H1003" s="514" t="s">
        <v>819</v>
      </c>
      <c r="I1003" s="514" t="s">
        <v>784</v>
      </c>
      <c r="J1003" s="514" t="s">
        <v>650</v>
      </c>
      <c r="K1003" s="519">
        <v>100</v>
      </c>
      <c r="L1003" s="520"/>
      <c r="M1003" s="685">
        <v>5</v>
      </c>
      <c r="N1003" s="685">
        <v>5</v>
      </c>
      <c r="O1003" s="682">
        <f t="shared" si="45"/>
        <v>1</v>
      </c>
      <c r="P1003" s="683">
        <f t="shared" si="46"/>
        <v>100</v>
      </c>
      <c r="Q1003" s="684">
        <f t="shared" si="47"/>
        <v>1</v>
      </c>
      <c r="R1003" s="490"/>
    </row>
    <row r="1004" spans="1:18" x14ac:dyDescent="0.2">
      <c r="A1004" s="506" t="s">
        <v>276</v>
      </c>
      <c r="B1004" s="502" t="s">
        <v>779</v>
      </c>
      <c r="C1004" s="507" t="s">
        <v>290</v>
      </c>
      <c r="D1004" s="504" t="s">
        <v>284</v>
      </c>
      <c r="E1004" s="348"/>
      <c r="F1004" s="504" t="s">
        <v>109</v>
      </c>
      <c r="G1004" s="513" t="s">
        <v>821</v>
      </c>
      <c r="H1004" s="514" t="s">
        <v>819</v>
      </c>
      <c r="I1004" s="514" t="s">
        <v>784</v>
      </c>
      <c r="J1004" s="514" t="s">
        <v>650</v>
      </c>
      <c r="K1004" s="519">
        <v>100</v>
      </c>
      <c r="L1004" s="520"/>
      <c r="M1004" s="685">
        <v>0</v>
      </c>
      <c r="N1004" s="685">
        <v>0</v>
      </c>
      <c r="O1004" s="682">
        <f t="shared" si="45"/>
        <v>0</v>
      </c>
      <c r="P1004" s="683" t="str">
        <f t="shared" si="46"/>
        <v>0</v>
      </c>
      <c r="Q1004" s="684" t="str">
        <f t="shared" si="47"/>
        <v>0</v>
      </c>
      <c r="R1004" s="490"/>
    </row>
    <row r="1005" spans="1:18" x14ac:dyDescent="0.2">
      <c r="A1005" s="506" t="s">
        <v>276</v>
      </c>
      <c r="B1005" s="502" t="s">
        <v>779</v>
      </c>
      <c r="C1005" s="507" t="s">
        <v>289</v>
      </c>
      <c r="D1005" s="504" t="s">
        <v>287</v>
      </c>
      <c r="E1005" s="348"/>
      <c r="F1005" s="504" t="s">
        <v>109</v>
      </c>
      <c r="G1005" s="513" t="s">
        <v>821</v>
      </c>
      <c r="H1005" s="514" t="s">
        <v>819</v>
      </c>
      <c r="I1005" s="514" t="s">
        <v>784</v>
      </c>
      <c r="J1005" s="514" t="s">
        <v>650</v>
      </c>
      <c r="K1005" s="519">
        <v>100</v>
      </c>
      <c r="L1005" s="520"/>
      <c r="M1005" s="685">
        <v>733</v>
      </c>
      <c r="N1005" s="685">
        <v>733</v>
      </c>
      <c r="O1005" s="682">
        <f t="shared" si="45"/>
        <v>1</v>
      </c>
      <c r="P1005" s="683">
        <f t="shared" si="46"/>
        <v>100</v>
      </c>
      <c r="Q1005" s="684">
        <f t="shared" si="47"/>
        <v>1</v>
      </c>
      <c r="R1005" s="490"/>
    </row>
    <row r="1006" spans="1:18" x14ac:dyDescent="0.2">
      <c r="A1006" s="506" t="s">
        <v>276</v>
      </c>
      <c r="B1006" s="502" t="s">
        <v>779</v>
      </c>
      <c r="C1006" s="507" t="s">
        <v>289</v>
      </c>
      <c r="D1006" s="504" t="s">
        <v>283</v>
      </c>
      <c r="E1006" s="348"/>
      <c r="F1006" s="504" t="s">
        <v>109</v>
      </c>
      <c r="G1006" s="513" t="s">
        <v>821</v>
      </c>
      <c r="H1006" s="514" t="s">
        <v>819</v>
      </c>
      <c r="I1006" s="514" t="s">
        <v>784</v>
      </c>
      <c r="J1006" s="514" t="s">
        <v>650</v>
      </c>
      <c r="K1006" s="519">
        <v>100</v>
      </c>
      <c r="L1006" s="520"/>
      <c r="M1006" s="685">
        <v>134</v>
      </c>
      <c r="N1006" s="685">
        <v>134</v>
      </c>
      <c r="O1006" s="682">
        <f t="shared" si="45"/>
        <v>1</v>
      </c>
      <c r="P1006" s="683">
        <f t="shared" si="46"/>
        <v>100</v>
      </c>
      <c r="Q1006" s="684">
        <f t="shared" si="47"/>
        <v>1</v>
      </c>
      <c r="R1006" s="490"/>
    </row>
    <row r="1007" spans="1:18" x14ac:dyDescent="0.2">
      <c r="A1007" s="506" t="s">
        <v>276</v>
      </c>
      <c r="B1007" s="502" t="s">
        <v>779</v>
      </c>
      <c r="C1007" s="507" t="s">
        <v>289</v>
      </c>
      <c r="D1007" s="504" t="s">
        <v>284</v>
      </c>
      <c r="E1007" s="348"/>
      <c r="F1007" s="504" t="s">
        <v>109</v>
      </c>
      <c r="G1007" s="513" t="s">
        <v>821</v>
      </c>
      <c r="H1007" s="514" t="s">
        <v>819</v>
      </c>
      <c r="I1007" s="514" t="s">
        <v>784</v>
      </c>
      <c r="J1007" s="514" t="s">
        <v>650</v>
      </c>
      <c r="K1007" s="519">
        <v>100</v>
      </c>
      <c r="L1007" s="520"/>
      <c r="M1007" s="685">
        <v>29</v>
      </c>
      <c r="N1007" s="685">
        <v>29</v>
      </c>
      <c r="O1007" s="682">
        <f t="shared" si="45"/>
        <v>1</v>
      </c>
      <c r="P1007" s="683">
        <f t="shared" si="46"/>
        <v>100</v>
      </c>
      <c r="Q1007" s="684">
        <f t="shared" si="47"/>
        <v>1</v>
      </c>
      <c r="R1007" s="490"/>
    </row>
    <row r="1008" spans="1:18" x14ac:dyDescent="0.2">
      <c r="A1008" s="506" t="s">
        <v>276</v>
      </c>
      <c r="B1008" s="502" t="s">
        <v>779</v>
      </c>
      <c r="C1008" s="507" t="s">
        <v>289</v>
      </c>
      <c r="D1008" s="504" t="s">
        <v>281</v>
      </c>
      <c r="E1008" s="348"/>
      <c r="F1008" s="504" t="s">
        <v>109</v>
      </c>
      <c r="G1008" s="513" t="s">
        <v>821</v>
      </c>
      <c r="H1008" s="514" t="s">
        <v>819</v>
      </c>
      <c r="I1008" s="514" t="s">
        <v>784</v>
      </c>
      <c r="J1008" s="514" t="s">
        <v>650</v>
      </c>
      <c r="K1008" s="519">
        <v>100</v>
      </c>
      <c r="L1008" s="520"/>
      <c r="M1008" s="685">
        <v>2</v>
      </c>
      <c r="N1008" s="685">
        <v>2</v>
      </c>
      <c r="O1008" s="682">
        <f t="shared" si="45"/>
        <v>1</v>
      </c>
      <c r="P1008" s="683">
        <f t="shared" si="46"/>
        <v>100</v>
      </c>
      <c r="Q1008" s="684">
        <f t="shared" si="47"/>
        <v>1</v>
      </c>
      <c r="R1008" s="490"/>
    </row>
    <row r="1009" spans="1:18" x14ac:dyDescent="0.2">
      <c r="A1009" s="506" t="s">
        <v>276</v>
      </c>
      <c r="B1009" s="502" t="s">
        <v>779</v>
      </c>
      <c r="C1009" s="507" t="s">
        <v>97</v>
      </c>
      <c r="D1009" s="504" t="s">
        <v>279</v>
      </c>
      <c r="E1009" s="348"/>
      <c r="F1009" s="504" t="s">
        <v>109</v>
      </c>
      <c r="G1009" s="513" t="s">
        <v>822</v>
      </c>
      <c r="H1009" s="514" t="s">
        <v>819</v>
      </c>
      <c r="I1009" s="514" t="s">
        <v>784</v>
      </c>
      <c r="J1009" s="514" t="s">
        <v>650</v>
      </c>
      <c r="K1009" s="519">
        <v>100</v>
      </c>
      <c r="L1009" s="520"/>
      <c r="M1009" s="360">
        <v>6</v>
      </c>
      <c r="N1009" s="360">
        <v>6</v>
      </c>
      <c r="O1009" s="682">
        <f t="shared" si="45"/>
        <v>1</v>
      </c>
      <c r="P1009" s="683">
        <f t="shared" si="46"/>
        <v>100</v>
      </c>
      <c r="Q1009" s="684">
        <f t="shared" si="47"/>
        <v>1</v>
      </c>
      <c r="R1009" s="490"/>
    </row>
    <row r="1010" spans="1:18" x14ac:dyDescent="0.2">
      <c r="A1010" s="506" t="s">
        <v>276</v>
      </c>
      <c r="B1010" s="502" t="s">
        <v>779</v>
      </c>
      <c r="C1010" s="507" t="s">
        <v>97</v>
      </c>
      <c r="D1010" s="504" t="s">
        <v>281</v>
      </c>
      <c r="E1010" s="348"/>
      <c r="F1010" s="504" t="s">
        <v>109</v>
      </c>
      <c r="G1010" s="513" t="s">
        <v>822</v>
      </c>
      <c r="H1010" s="514" t="s">
        <v>819</v>
      </c>
      <c r="I1010" s="514" t="s">
        <v>784</v>
      </c>
      <c r="J1010" s="514" t="s">
        <v>650</v>
      </c>
      <c r="K1010" s="519">
        <v>100</v>
      </c>
      <c r="L1010" s="520"/>
      <c r="M1010" s="685">
        <v>9</v>
      </c>
      <c r="N1010" s="685">
        <v>9</v>
      </c>
      <c r="O1010" s="682">
        <f t="shared" si="45"/>
        <v>1</v>
      </c>
      <c r="P1010" s="683">
        <f t="shared" si="46"/>
        <v>100</v>
      </c>
      <c r="Q1010" s="684">
        <f t="shared" si="47"/>
        <v>1</v>
      </c>
      <c r="R1010" s="490"/>
    </row>
    <row r="1011" spans="1:18" x14ac:dyDescent="0.2">
      <c r="A1011" s="506" t="s">
        <v>276</v>
      </c>
      <c r="B1011" s="502" t="s">
        <v>779</v>
      </c>
      <c r="C1011" s="507" t="s">
        <v>282</v>
      </c>
      <c r="D1011" s="504" t="s">
        <v>287</v>
      </c>
      <c r="E1011" s="348"/>
      <c r="F1011" s="504" t="s">
        <v>109</v>
      </c>
      <c r="G1011" s="513" t="s">
        <v>822</v>
      </c>
      <c r="H1011" s="514" t="s">
        <v>819</v>
      </c>
      <c r="I1011" s="514" t="s">
        <v>784</v>
      </c>
      <c r="J1011" s="514" t="s">
        <v>650</v>
      </c>
      <c r="K1011" s="519">
        <v>100</v>
      </c>
      <c r="L1011" s="520"/>
      <c r="M1011" s="685">
        <v>68</v>
      </c>
      <c r="N1011" s="685">
        <v>68</v>
      </c>
      <c r="O1011" s="682">
        <f t="shared" si="45"/>
        <v>1</v>
      </c>
      <c r="P1011" s="683">
        <f t="shared" si="46"/>
        <v>100</v>
      </c>
      <c r="Q1011" s="684">
        <f t="shared" si="47"/>
        <v>1</v>
      </c>
      <c r="R1011" s="490"/>
    </row>
    <row r="1012" spans="1:18" x14ac:dyDescent="0.2">
      <c r="A1012" s="506" t="s">
        <v>276</v>
      </c>
      <c r="B1012" s="502" t="s">
        <v>779</v>
      </c>
      <c r="C1012" s="507" t="s">
        <v>282</v>
      </c>
      <c r="D1012" s="504" t="s">
        <v>283</v>
      </c>
      <c r="E1012" s="348"/>
      <c r="F1012" s="504" t="s">
        <v>109</v>
      </c>
      <c r="G1012" s="513" t="s">
        <v>822</v>
      </c>
      <c r="H1012" s="514" t="s">
        <v>819</v>
      </c>
      <c r="I1012" s="514" t="s">
        <v>784</v>
      </c>
      <c r="J1012" s="514" t="s">
        <v>650</v>
      </c>
      <c r="K1012" s="519">
        <v>100</v>
      </c>
      <c r="L1012" s="520"/>
      <c r="M1012" s="685">
        <v>19</v>
      </c>
      <c r="N1012" s="685">
        <v>19</v>
      </c>
      <c r="O1012" s="682">
        <f t="shared" si="45"/>
        <v>1</v>
      </c>
      <c r="P1012" s="683">
        <f t="shared" si="46"/>
        <v>100</v>
      </c>
      <c r="Q1012" s="684">
        <f t="shared" si="47"/>
        <v>1</v>
      </c>
      <c r="R1012" s="490"/>
    </row>
    <row r="1013" spans="1:18" x14ac:dyDescent="0.2">
      <c r="A1013" s="506" t="s">
        <v>276</v>
      </c>
      <c r="B1013" s="502" t="s">
        <v>779</v>
      </c>
      <c r="C1013" s="507" t="s">
        <v>282</v>
      </c>
      <c r="D1013" s="504" t="s">
        <v>284</v>
      </c>
      <c r="E1013" s="348"/>
      <c r="F1013" s="504" t="s">
        <v>109</v>
      </c>
      <c r="G1013" s="513" t="s">
        <v>822</v>
      </c>
      <c r="H1013" s="514" t="s">
        <v>819</v>
      </c>
      <c r="I1013" s="514" t="s">
        <v>784</v>
      </c>
      <c r="J1013" s="514" t="s">
        <v>650</v>
      </c>
      <c r="K1013" s="519">
        <v>100</v>
      </c>
      <c r="L1013" s="520"/>
      <c r="M1013" s="685">
        <v>43</v>
      </c>
      <c r="N1013" s="685">
        <v>43</v>
      </c>
      <c r="O1013" s="682">
        <f t="shared" si="45"/>
        <v>1</v>
      </c>
      <c r="P1013" s="683">
        <f t="shared" si="46"/>
        <v>100</v>
      </c>
      <c r="Q1013" s="684">
        <f t="shared" si="47"/>
        <v>1</v>
      </c>
      <c r="R1013" s="490"/>
    </row>
    <row r="1014" spans="1:18" x14ac:dyDescent="0.2">
      <c r="A1014" s="506" t="s">
        <v>276</v>
      </c>
      <c r="B1014" s="502" t="s">
        <v>779</v>
      </c>
      <c r="C1014" s="507" t="s">
        <v>282</v>
      </c>
      <c r="D1014" s="504" t="s">
        <v>279</v>
      </c>
      <c r="E1014" s="348"/>
      <c r="F1014" s="504" t="s">
        <v>109</v>
      </c>
      <c r="G1014" s="513" t="s">
        <v>822</v>
      </c>
      <c r="H1014" s="514" t="s">
        <v>819</v>
      </c>
      <c r="I1014" s="514" t="s">
        <v>784</v>
      </c>
      <c r="J1014" s="514" t="s">
        <v>650</v>
      </c>
      <c r="K1014" s="519">
        <v>100</v>
      </c>
      <c r="L1014" s="520"/>
      <c r="M1014" s="685">
        <v>65</v>
      </c>
      <c r="N1014" s="685">
        <v>65</v>
      </c>
      <c r="O1014" s="682">
        <f t="shared" si="45"/>
        <v>1</v>
      </c>
      <c r="P1014" s="683">
        <f t="shared" si="46"/>
        <v>100</v>
      </c>
      <c r="Q1014" s="684">
        <f t="shared" si="47"/>
        <v>1</v>
      </c>
      <c r="R1014" s="490"/>
    </row>
    <row r="1015" spans="1:18" x14ac:dyDescent="0.2">
      <c r="A1015" s="506" t="s">
        <v>276</v>
      </c>
      <c r="B1015" s="502" t="s">
        <v>779</v>
      </c>
      <c r="C1015" s="507" t="s">
        <v>282</v>
      </c>
      <c r="D1015" s="504" t="s">
        <v>281</v>
      </c>
      <c r="E1015" s="348"/>
      <c r="F1015" s="504" t="s">
        <v>109</v>
      </c>
      <c r="G1015" s="513" t="s">
        <v>822</v>
      </c>
      <c r="H1015" s="514" t="s">
        <v>819</v>
      </c>
      <c r="I1015" s="514" t="s">
        <v>784</v>
      </c>
      <c r="J1015" s="514" t="s">
        <v>650</v>
      </c>
      <c r="K1015" s="519">
        <v>100</v>
      </c>
      <c r="L1015" s="520"/>
      <c r="M1015" s="685">
        <v>48</v>
      </c>
      <c r="N1015" s="685">
        <v>48</v>
      </c>
      <c r="O1015" s="682">
        <f t="shared" si="45"/>
        <v>1</v>
      </c>
      <c r="P1015" s="683">
        <f t="shared" si="46"/>
        <v>100</v>
      </c>
      <c r="Q1015" s="684">
        <f t="shared" si="47"/>
        <v>1</v>
      </c>
      <c r="R1015" s="490"/>
    </row>
    <row r="1016" spans="1:18" x14ac:dyDescent="0.2">
      <c r="A1016" s="506" t="s">
        <v>276</v>
      </c>
      <c r="B1016" s="502" t="s">
        <v>779</v>
      </c>
      <c r="C1016" s="507" t="s">
        <v>288</v>
      </c>
      <c r="D1016" s="504" t="s">
        <v>287</v>
      </c>
      <c r="E1016" s="348"/>
      <c r="F1016" s="504" t="s">
        <v>109</v>
      </c>
      <c r="G1016" s="513" t="s">
        <v>822</v>
      </c>
      <c r="H1016" s="514" t="s">
        <v>819</v>
      </c>
      <c r="I1016" s="514" t="s">
        <v>784</v>
      </c>
      <c r="J1016" s="514" t="s">
        <v>650</v>
      </c>
      <c r="K1016" s="519">
        <v>100</v>
      </c>
      <c r="L1016" s="520"/>
      <c r="M1016" s="685">
        <v>299</v>
      </c>
      <c r="N1016" s="685">
        <v>299</v>
      </c>
      <c r="O1016" s="682">
        <f t="shared" si="45"/>
        <v>1</v>
      </c>
      <c r="P1016" s="683">
        <f t="shared" si="46"/>
        <v>100</v>
      </c>
      <c r="Q1016" s="684">
        <f t="shared" si="47"/>
        <v>1</v>
      </c>
      <c r="R1016" s="490"/>
    </row>
    <row r="1017" spans="1:18" x14ac:dyDescent="0.2">
      <c r="A1017" s="506" t="s">
        <v>276</v>
      </c>
      <c r="B1017" s="502" t="s">
        <v>779</v>
      </c>
      <c r="C1017" s="507" t="s">
        <v>288</v>
      </c>
      <c r="D1017" s="504" t="s">
        <v>283</v>
      </c>
      <c r="E1017" s="348"/>
      <c r="F1017" s="504" t="s">
        <v>109</v>
      </c>
      <c r="G1017" s="513" t="s">
        <v>822</v>
      </c>
      <c r="H1017" s="514" t="s">
        <v>819</v>
      </c>
      <c r="I1017" s="514" t="s">
        <v>784</v>
      </c>
      <c r="J1017" s="514" t="s">
        <v>650</v>
      </c>
      <c r="K1017" s="519">
        <v>100</v>
      </c>
      <c r="L1017" s="520"/>
      <c r="M1017" s="685">
        <v>64</v>
      </c>
      <c r="N1017" s="685">
        <v>64</v>
      </c>
      <c r="O1017" s="682">
        <f t="shared" si="45"/>
        <v>1</v>
      </c>
      <c r="P1017" s="683">
        <f t="shared" si="46"/>
        <v>100</v>
      </c>
      <c r="Q1017" s="684">
        <f t="shared" si="47"/>
        <v>1</v>
      </c>
      <c r="R1017" s="490"/>
    </row>
    <row r="1018" spans="1:18" x14ac:dyDescent="0.2">
      <c r="A1018" s="506" t="s">
        <v>276</v>
      </c>
      <c r="B1018" s="502" t="s">
        <v>779</v>
      </c>
      <c r="C1018" s="507" t="s">
        <v>288</v>
      </c>
      <c r="D1018" s="504" t="s">
        <v>284</v>
      </c>
      <c r="E1018" s="348"/>
      <c r="F1018" s="504" t="s">
        <v>109</v>
      </c>
      <c r="G1018" s="513" t="s">
        <v>822</v>
      </c>
      <c r="H1018" s="514" t="s">
        <v>819</v>
      </c>
      <c r="I1018" s="514" t="s">
        <v>784</v>
      </c>
      <c r="J1018" s="514" t="s">
        <v>650</v>
      </c>
      <c r="K1018" s="519">
        <v>100</v>
      </c>
      <c r="L1018" s="520"/>
      <c r="M1018" s="685">
        <v>10</v>
      </c>
      <c r="N1018" s="685">
        <v>10</v>
      </c>
      <c r="O1018" s="682">
        <f t="shared" si="45"/>
        <v>1</v>
      </c>
      <c r="P1018" s="683">
        <f t="shared" si="46"/>
        <v>100</v>
      </c>
      <c r="Q1018" s="684">
        <f t="shared" si="47"/>
        <v>1</v>
      </c>
      <c r="R1018" s="490"/>
    </row>
    <row r="1019" spans="1:18" x14ac:dyDescent="0.2">
      <c r="A1019" s="506" t="s">
        <v>276</v>
      </c>
      <c r="B1019" s="502" t="s">
        <v>779</v>
      </c>
      <c r="C1019" s="507" t="s">
        <v>288</v>
      </c>
      <c r="D1019" s="504" t="s">
        <v>279</v>
      </c>
      <c r="E1019" s="348"/>
      <c r="F1019" s="504" t="s">
        <v>109</v>
      </c>
      <c r="G1019" s="513" t="s">
        <v>822</v>
      </c>
      <c r="H1019" s="514" t="s">
        <v>819</v>
      </c>
      <c r="I1019" s="514" t="s">
        <v>784</v>
      </c>
      <c r="J1019" s="514" t="s">
        <v>650</v>
      </c>
      <c r="K1019" s="519">
        <v>100</v>
      </c>
      <c r="L1019" s="520"/>
      <c r="M1019" s="685">
        <v>2</v>
      </c>
      <c r="N1019" s="685">
        <v>2</v>
      </c>
      <c r="O1019" s="682">
        <f t="shared" si="45"/>
        <v>1</v>
      </c>
      <c r="P1019" s="683">
        <f t="shared" si="46"/>
        <v>100</v>
      </c>
      <c r="Q1019" s="684">
        <f t="shared" si="47"/>
        <v>1</v>
      </c>
      <c r="R1019" s="490"/>
    </row>
    <row r="1020" spans="1:18" x14ac:dyDescent="0.2">
      <c r="A1020" s="506" t="s">
        <v>276</v>
      </c>
      <c r="B1020" s="502" t="s">
        <v>779</v>
      </c>
      <c r="C1020" s="507" t="s">
        <v>288</v>
      </c>
      <c r="D1020" s="504" t="s">
        <v>281</v>
      </c>
      <c r="E1020" s="348"/>
      <c r="F1020" s="504" t="s">
        <v>109</v>
      </c>
      <c r="G1020" s="513" t="s">
        <v>822</v>
      </c>
      <c r="H1020" s="514" t="s">
        <v>819</v>
      </c>
      <c r="I1020" s="514" t="s">
        <v>784</v>
      </c>
      <c r="J1020" s="514" t="s">
        <v>650</v>
      </c>
      <c r="K1020" s="519">
        <v>100</v>
      </c>
      <c r="L1020" s="520"/>
      <c r="M1020" s="685">
        <v>17</v>
      </c>
      <c r="N1020" s="685">
        <v>17</v>
      </c>
      <c r="O1020" s="682">
        <f t="shared" si="45"/>
        <v>1</v>
      </c>
      <c r="P1020" s="683">
        <f t="shared" si="46"/>
        <v>100</v>
      </c>
      <c r="Q1020" s="684">
        <f t="shared" si="47"/>
        <v>1</v>
      </c>
      <c r="R1020" s="490"/>
    </row>
    <row r="1021" spans="1:18" x14ac:dyDescent="0.2">
      <c r="A1021" s="506" t="s">
        <v>276</v>
      </c>
      <c r="B1021" s="502" t="s">
        <v>779</v>
      </c>
      <c r="C1021" s="507" t="s">
        <v>99</v>
      </c>
      <c r="D1021" s="504" t="s">
        <v>287</v>
      </c>
      <c r="E1021" s="348"/>
      <c r="F1021" s="504" t="s">
        <v>109</v>
      </c>
      <c r="G1021" s="513" t="s">
        <v>822</v>
      </c>
      <c r="H1021" s="514" t="s">
        <v>819</v>
      </c>
      <c r="I1021" s="514" t="s">
        <v>784</v>
      </c>
      <c r="J1021" s="514" t="s">
        <v>650</v>
      </c>
      <c r="K1021" s="519">
        <v>100</v>
      </c>
      <c r="L1021" s="520"/>
      <c r="M1021" s="685">
        <v>326</v>
      </c>
      <c r="N1021" s="685">
        <v>326</v>
      </c>
      <c r="O1021" s="682">
        <f t="shared" si="45"/>
        <v>1</v>
      </c>
      <c r="P1021" s="683">
        <f t="shared" si="46"/>
        <v>100</v>
      </c>
      <c r="Q1021" s="684">
        <f t="shared" si="47"/>
        <v>1</v>
      </c>
      <c r="R1021" s="490"/>
    </row>
    <row r="1022" spans="1:18" x14ac:dyDescent="0.2">
      <c r="A1022" s="506" t="s">
        <v>276</v>
      </c>
      <c r="B1022" s="502" t="s">
        <v>779</v>
      </c>
      <c r="C1022" s="507" t="s">
        <v>99</v>
      </c>
      <c r="D1022" s="504" t="s">
        <v>283</v>
      </c>
      <c r="E1022" s="348"/>
      <c r="F1022" s="504" t="s">
        <v>109</v>
      </c>
      <c r="G1022" s="513" t="s">
        <v>822</v>
      </c>
      <c r="H1022" s="514" t="s">
        <v>819</v>
      </c>
      <c r="I1022" s="514" t="s">
        <v>784</v>
      </c>
      <c r="J1022" s="514" t="s">
        <v>650</v>
      </c>
      <c r="K1022" s="519">
        <v>100</v>
      </c>
      <c r="L1022" s="520"/>
      <c r="M1022" s="685">
        <v>17</v>
      </c>
      <c r="N1022" s="685">
        <v>17</v>
      </c>
      <c r="O1022" s="682">
        <f t="shared" si="45"/>
        <v>1</v>
      </c>
      <c r="P1022" s="683">
        <f t="shared" si="46"/>
        <v>100</v>
      </c>
      <c r="Q1022" s="684">
        <f t="shared" si="47"/>
        <v>1</v>
      </c>
      <c r="R1022" s="490"/>
    </row>
    <row r="1023" spans="1:18" x14ac:dyDescent="0.2">
      <c r="A1023" s="506" t="s">
        <v>276</v>
      </c>
      <c r="B1023" s="502" t="s">
        <v>779</v>
      </c>
      <c r="C1023" s="507" t="s">
        <v>99</v>
      </c>
      <c r="D1023" s="504" t="s">
        <v>284</v>
      </c>
      <c r="E1023" s="348"/>
      <c r="F1023" s="504" t="s">
        <v>109</v>
      </c>
      <c r="G1023" s="513" t="s">
        <v>822</v>
      </c>
      <c r="H1023" s="514" t="s">
        <v>819</v>
      </c>
      <c r="I1023" s="514" t="s">
        <v>784</v>
      </c>
      <c r="J1023" s="514" t="s">
        <v>650</v>
      </c>
      <c r="K1023" s="519">
        <v>100</v>
      </c>
      <c r="L1023" s="520"/>
      <c r="M1023" s="685">
        <v>8</v>
      </c>
      <c r="N1023" s="685">
        <v>8</v>
      </c>
      <c r="O1023" s="682">
        <f t="shared" si="45"/>
        <v>1</v>
      </c>
      <c r="P1023" s="683">
        <f t="shared" si="46"/>
        <v>100</v>
      </c>
      <c r="Q1023" s="684">
        <f t="shared" si="47"/>
        <v>1</v>
      </c>
      <c r="R1023" s="490"/>
    </row>
    <row r="1024" spans="1:18" x14ac:dyDescent="0.2">
      <c r="A1024" s="506" t="s">
        <v>276</v>
      </c>
      <c r="B1024" s="502" t="s">
        <v>779</v>
      </c>
      <c r="C1024" s="507" t="s">
        <v>99</v>
      </c>
      <c r="D1024" s="504" t="s">
        <v>279</v>
      </c>
      <c r="E1024" s="348"/>
      <c r="F1024" s="504" t="s">
        <v>109</v>
      </c>
      <c r="G1024" s="513" t="s">
        <v>822</v>
      </c>
      <c r="H1024" s="514" t="s">
        <v>819</v>
      </c>
      <c r="I1024" s="514" t="s">
        <v>784</v>
      </c>
      <c r="J1024" s="514" t="s">
        <v>650</v>
      </c>
      <c r="K1024" s="519">
        <v>100</v>
      </c>
      <c r="L1024" s="520"/>
      <c r="M1024" s="685">
        <v>5</v>
      </c>
      <c r="N1024" s="685">
        <v>5</v>
      </c>
      <c r="O1024" s="682">
        <f t="shared" si="45"/>
        <v>1</v>
      </c>
      <c r="P1024" s="683">
        <f t="shared" si="46"/>
        <v>100</v>
      </c>
      <c r="Q1024" s="684">
        <f t="shared" si="47"/>
        <v>1</v>
      </c>
      <c r="R1024" s="490"/>
    </row>
    <row r="1025" spans="1:18" x14ac:dyDescent="0.2">
      <c r="A1025" s="506" t="s">
        <v>276</v>
      </c>
      <c r="B1025" s="502" t="s">
        <v>779</v>
      </c>
      <c r="C1025" s="507" t="s">
        <v>99</v>
      </c>
      <c r="D1025" s="504" t="s">
        <v>281</v>
      </c>
      <c r="E1025" s="348"/>
      <c r="F1025" s="504" t="s">
        <v>109</v>
      </c>
      <c r="G1025" s="513" t="s">
        <v>822</v>
      </c>
      <c r="H1025" s="514" t="s">
        <v>819</v>
      </c>
      <c r="I1025" s="514" t="s">
        <v>784</v>
      </c>
      <c r="J1025" s="514" t="s">
        <v>650</v>
      </c>
      <c r="K1025" s="519">
        <v>100</v>
      </c>
      <c r="L1025" s="520"/>
      <c r="M1025" s="685">
        <v>1</v>
      </c>
      <c r="N1025" s="685">
        <v>1</v>
      </c>
      <c r="O1025" s="682">
        <f t="shared" si="45"/>
        <v>1</v>
      </c>
      <c r="P1025" s="683">
        <f t="shared" si="46"/>
        <v>100</v>
      </c>
      <c r="Q1025" s="684">
        <f t="shared" si="47"/>
        <v>1</v>
      </c>
      <c r="R1025" s="490"/>
    </row>
    <row r="1026" spans="1:18" x14ac:dyDescent="0.2">
      <c r="A1026" s="506" t="s">
        <v>276</v>
      </c>
      <c r="B1026" s="502" t="s">
        <v>779</v>
      </c>
      <c r="C1026" s="507" t="s">
        <v>285</v>
      </c>
      <c r="D1026" s="504" t="s">
        <v>287</v>
      </c>
      <c r="E1026" s="348"/>
      <c r="F1026" s="504" t="s">
        <v>109</v>
      </c>
      <c r="G1026" s="513" t="s">
        <v>822</v>
      </c>
      <c r="H1026" s="514" t="s">
        <v>819</v>
      </c>
      <c r="I1026" s="514" t="s">
        <v>784</v>
      </c>
      <c r="J1026" s="514" t="s">
        <v>650</v>
      </c>
      <c r="K1026" s="519">
        <v>100</v>
      </c>
      <c r="L1026" s="520"/>
      <c r="M1026" s="685">
        <v>0</v>
      </c>
      <c r="N1026" s="685">
        <v>0</v>
      </c>
      <c r="O1026" s="682">
        <f t="shared" si="45"/>
        <v>0</v>
      </c>
      <c r="P1026" s="683" t="str">
        <f t="shared" si="46"/>
        <v>0</v>
      </c>
      <c r="Q1026" s="684" t="str">
        <f t="shared" si="47"/>
        <v>0</v>
      </c>
      <c r="R1026" s="491"/>
    </row>
    <row r="1027" spans="1:18" x14ac:dyDescent="0.2">
      <c r="A1027" s="506" t="s">
        <v>276</v>
      </c>
      <c r="B1027" s="502" t="s">
        <v>779</v>
      </c>
      <c r="C1027" s="507" t="s">
        <v>285</v>
      </c>
      <c r="D1027" s="504" t="s">
        <v>283</v>
      </c>
      <c r="E1027" s="348"/>
      <c r="F1027" s="504" t="s">
        <v>109</v>
      </c>
      <c r="G1027" s="513" t="s">
        <v>822</v>
      </c>
      <c r="H1027" s="514" t="s">
        <v>819</v>
      </c>
      <c r="I1027" s="514" t="s">
        <v>784</v>
      </c>
      <c r="J1027" s="514" t="s">
        <v>650</v>
      </c>
      <c r="K1027" s="519">
        <v>100</v>
      </c>
      <c r="L1027" s="520"/>
      <c r="M1027" s="685">
        <v>5</v>
      </c>
      <c r="N1027" s="685">
        <v>5</v>
      </c>
      <c r="O1027" s="682">
        <f t="shared" si="45"/>
        <v>1</v>
      </c>
      <c r="P1027" s="683">
        <f t="shared" si="46"/>
        <v>100</v>
      </c>
      <c r="Q1027" s="684">
        <f t="shared" si="47"/>
        <v>1</v>
      </c>
      <c r="R1027" s="490"/>
    </row>
    <row r="1028" spans="1:18" x14ac:dyDescent="0.2">
      <c r="A1028" s="506" t="s">
        <v>276</v>
      </c>
      <c r="B1028" s="502" t="s">
        <v>779</v>
      </c>
      <c r="C1028" s="507" t="s">
        <v>285</v>
      </c>
      <c r="D1028" s="504" t="s">
        <v>284</v>
      </c>
      <c r="E1028" s="348"/>
      <c r="F1028" s="504" t="s">
        <v>109</v>
      </c>
      <c r="G1028" s="513" t="s">
        <v>822</v>
      </c>
      <c r="H1028" s="514" t="s">
        <v>819</v>
      </c>
      <c r="I1028" s="514" t="s">
        <v>784</v>
      </c>
      <c r="J1028" s="514" t="s">
        <v>650</v>
      </c>
      <c r="K1028" s="519">
        <v>100</v>
      </c>
      <c r="L1028" s="520"/>
      <c r="M1028" s="685">
        <v>4</v>
      </c>
      <c r="N1028" s="685">
        <v>4</v>
      </c>
      <c r="O1028" s="682">
        <f t="shared" si="45"/>
        <v>1</v>
      </c>
      <c r="P1028" s="683">
        <f t="shared" si="46"/>
        <v>100</v>
      </c>
      <c r="Q1028" s="684">
        <f t="shared" si="47"/>
        <v>1</v>
      </c>
      <c r="R1028" s="490"/>
    </row>
    <row r="1029" spans="1:18" x14ac:dyDescent="0.2">
      <c r="A1029" s="506" t="s">
        <v>276</v>
      </c>
      <c r="B1029" s="502" t="s">
        <v>779</v>
      </c>
      <c r="C1029" s="507" t="s">
        <v>285</v>
      </c>
      <c r="D1029" s="504" t="s">
        <v>279</v>
      </c>
      <c r="E1029" s="348"/>
      <c r="F1029" s="504" t="s">
        <v>109</v>
      </c>
      <c r="G1029" s="513" t="s">
        <v>822</v>
      </c>
      <c r="H1029" s="514" t="s">
        <v>819</v>
      </c>
      <c r="I1029" s="514" t="s">
        <v>784</v>
      </c>
      <c r="J1029" s="514" t="s">
        <v>650</v>
      </c>
      <c r="K1029" s="519">
        <v>100</v>
      </c>
      <c r="L1029" s="520"/>
      <c r="M1029" s="685">
        <v>1</v>
      </c>
      <c r="N1029" s="685">
        <v>1</v>
      </c>
      <c r="O1029" s="682">
        <f t="shared" ref="O1029:O1092" si="48">IFERROR(N1029/M1029,0)</f>
        <v>1</v>
      </c>
      <c r="P1029" s="683">
        <f t="shared" ref="P1029:P1092" si="49">IFERROR(N1029/(M1029*(K1029/100))*100,"0")</f>
        <v>100</v>
      </c>
      <c r="Q1029" s="684">
        <f t="shared" ref="Q1029:Q1092" si="50">IFERROR(N1029/(M1029*(K1029/100)),"0")</f>
        <v>1</v>
      </c>
      <c r="R1029" s="490"/>
    </row>
    <row r="1030" spans="1:18" x14ac:dyDescent="0.2">
      <c r="A1030" s="506" t="s">
        <v>276</v>
      </c>
      <c r="B1030" s="502" t="s">
        <v>779</v>
      </c>
      <c r="C1030" s="507" t="s">
        <v>285</v>
      </c>
      <c r="D1030" s="504" t="s">
        <v>281</v>
      </c>
      <c r="E1030" s="348"/>
      <c r="F1030" s="504" t="s">
        <v>109</v>
      </c>
      <c r="G1030" s="513" t="s">
        <v>822</v>
      </c>
      <c r="H1030" s="514" t="s">
        <v>819</v>
      </c>
      <c r="I1030" s="514" t="s">
        <v>784</v>
      </c>
      <c r="J1030" s="514" t="s">
        <v>650</v>
      </c>
      <c r="K1030" s="519">
        <v>100</v>
      </c>
      <c r="L1030" s="520"/>
      <c r="M1030" s="685">
        <v>12</v>
      </c>
      <c r="N1030" s="685">
        <v>12</v>
      </c>
      <c r="O1030" s="682">
        <f t="shared" si="48"/>
        <v>1</v>
      </c>
      <c r="P1030" s="683">
        <f t="shared" si="49"/>
        <v>100</v>
      </c>
      <c r="Q1030" s="684">
        <f t="shared" si="50"/>
        <v>1</v>
      </c>
      <c r="R1030" s="490"/>
    </row>
    <row r="1031" spans="1:18" x14ac:dyDescent="0.2">
      <c r="A1031" s="506" t="s">
        <v>276</v>
      </c>
      <c r="B1031" s="502" t="s">
        <v>779</v>
      </c>
      <c r="C1031" s="507" t="s">
        <v>285</v>
      </c>
      <c r="D1031" s="504" t="s">
        <v>286</v>
      </c>
      <c r="E1031" s="348"/>
      <c r="F1031" s="504" t="s">
        <v>109</v>
      </c>
      <c r="G1031" s="513" t="s">
        <v>822</v>
      </c>
      <c r="H1031" s="514" t="s">
        <v>819</v>
      </c>
      <c r="I1031" s="514" t="s">
        <v>784</v>
      </c>
      <c r="J1031" s="514" t="s">
        <v>650</v>
      </c>
      <c r="K1031" s="519">
        <v>100</v>
      </c>
      <c r="L1031" s="520"/>
      <c r="M1031" s="685">
        <v>20</v>
      </c>
      <c r="N1031" s="685">
        <v>20</v>
      </c>
      <c r="O1031" s="682">
        <f t="shared" si="48"/>
        <v>1</v>
      </c>
      <c r="P1031" s="683">
        <f t="shared" si="49"/>
        <v>100</v>
      </c>
      <c r="Q1031" s="684">
        <f t="shared" si="50"/>
        <v>1</v>
      </c>
      <c r="R1031" s="490"/>
    </row>
    <row r="1032" spans="1:18" x14ac:dyDescent="0.2">
      <c r="A1032" s="506" t="s">
        <v>276</v>
      </c>
      <c r="B1032" s="502" t="s">
        <v>779</v>
      </c>
      <c r="C1032" s="507" t="s">
        <v>291</v>
      </c>
      <c r="D1032" s="504" t="s">
        <v>283</v>
      </c>
      <c r="E1032" s="348"/>
      <c r="F1032" s="504" t="s">
        <v>109</v>
      </c>
      <c r="G1032" s="513" t="s">
        <v>822</v>
      </c>
      <c r="H1032" s="514" t="s">
        <v>819</v>
      </c>
      <c r="I1032" s="514" t="s">
        <v>784</v>
      </c>
      <c r="J1032" s="514" t="s">
        <v>650</v>
      </c>
      <c r="K1032" s="519">
        <v>100</v>
      </c>
      <c r="L1032" s="520"/>
      <c r="M1032" s="685">
        <v>0</v>
      </c>
      <c r="N1032" s="685">
        <v>0</v>
      </c>
      <c r="O1032" s="682">
        <f t="shared" si="48"/>
        <v>0</v>
      </c>
      <c r="P1032" s="683" t="str">
        <f t="shared" si="49"/>
        <v>0</v>
      </c>
      <c r="Q1032" s="684" t="str">
        <f t="shared" si="50"/>
        <v>0</v>
      </c>
      <c r="R1032" s="491"/>
    </row>
    <row r="1033" spans="1:18" x14ac:dyDescent="0.2">
      <c r="A1033" s="506" t="s">
        <v>276</v>
      </c>
      <c r="B1033" s="502" t="s">
        <v>779</v>
      </c>
      <c r="C1033" s="507" t="s">
        <v>291</v>
      </c>
      <c r="D1033" s="504" t="s">
        <v>284</v>
      </c>
      <c r="E1033" s="348"/>
      <c r="F1033" s="504" t="s">
        <v>109</v>
      </c>
      <c r="G1033" s="513" t="s">
        <v>822</v>
      </c>
      <c r="H1033" s="514" t="s">
        <v>819</v>
      </c>
      <c r="I1033" s="514" t="s">
        <v>784</v>
      </c>
      <c r="J1033" s="514" t="s">
        <v>650</v>
      </c>
      <c r="K1033" s="519">
        <v>100</v>
      </c>
      <c r="L1033" s="520"/>
      <c r="M1033" s="685">
        <v>0</v>
      </c>
      <c r="N1033" s="685">
        <v>0</v>
      </c>
      <c r="O1033" s="682">
        <f t="shared" si="48"/>
        <v>0</v>
      </c>
      <c r="P1033" s="683" t="str">
        <f t="shared" si="49"/>
        <v>0</v>
      </c>
      <c r="Q1033" s="684" t="str">
        <f t="shared" si="50"/>
        <v>0</v>
      </c>
      <c r="R1033" s="491"/>
    </row>
    <row r="1034" spans="1:18" x14ac:dyDescent="0.2">
      <c r="A1034" s="506" t="s">
        <v>276</v>
      </c>
      <c r="B1034" s="502" t="s">
        <v>779</v>
      </c>
      <c r="C1034" s="507" t="s">
        <v>290</v>
      </c>
      <c r="D1034" s="504" t="s">
        <v>287</v>
      </c>
      <c r="E1034" s="348"/>
      <c r="F1034" s="504" t="s">
        <v>109</v>
      </c>
      <c r="G1034" s="513" t="s">
        <v>822</v>
      </c>
      <c r="H1034" s="514" t="s">
        <v>819</v>
      </c>
      <c r="I1034" s="514" t="s">
        <v>784</v>
      </c>
      <c r="J1034" s="514" t="s">
        <v>650</v>
      </c>
      <c r="K1034" s="519">
        <v>100</v>
      </c>
      <c r="L1034" s="520"/>
      <c r="M1034" s="685">
        <v>65</v>
      </c>
      <c r="N1034" s="685">
        <v>65</v>
      </c>
      <c r="O1034" s="682">
        <f t="shared" si="48"/>
        <v>1</v>
      </c>
      <c r="P1034" s="683">
        <f t="shared" si="49"/>
        <v>100</v>
      </c>
      <c r="Q1034" s="684">
        <f t="shared" si="50"/>
        <v>1</v>
      </c>
      <c r="R1034" s="490"/>
    </row>
    <row r="1035" spans="1:18" x14ac:dyDescent="0.2">
      <c r="A1035" s="506" t="s">
        <v>276</v>
      </c>
      <c r="B1035" s="502" t="s">
        <v>779</v>
      </c>
      <c r="C1035" s="507" t="s">
        <v>290</v>
      </c>
      <c r="D1035" s="504" t="s">
        <v>283</v>
      </c>
      <c r="E1035" s="348"/>
      <c r="F1035" s="504" t="s">
        <v>109</v>
      </c>
      <c r="G1035" s="513" t="s">
        <v>822</v>
      </c>
      <c r="H1035" s="514" t="s">
        <v>819</v>
      </c>
      <c r="I1035" s="514" t="s">
        <v>784</v>
      </c>
      <c r="J1035" s="514" t="s">
        <v>650</v>
      </c>
      <c r="K1035" s="519">
        <v>100</v>
      </c>
      <c r="L1035" s="520"/>
      <c r="M1035" s="685">
        <v>5</v>
      </c>
      <c r="N1035" s="685">
        <v>5</v>
      </c>
      <c r="O1035" s="682">
        <f t="shared" si="48"/>
        <v>1</v>
      </c>
      <c r="P1035" s="683">
        <f t="shared" si="49"/>
        <v>100</v>
      </c>
      <c r="Q1035" s="684">
        <f t="shared" si="50"/>
        <v>1</v>
      </c>
      <c r="R1035" s="490"/>
    </row>
    <row r="1036" spans="1:18" x14ac:dyDescent="0.2">
      <c r="A1036" s="506" t="s">
        <v>276</v>
      </c>
      <c r="B1036" s="502" t="s">
        <v>779</v>
      </c>
      <c r="C1036" s="507" t="s">
        <v>290</v>
      </c>
      <c r="D1036" s="504" t="s">
        <v>284</v>
      </c>
      <c r="E1036" s="348"/>
      <c r="F1036" s="504" t="s">
        <v>109</v>
      </c>
      <c r="G1036" s="513" t="s">
        <v>822</v>
      </c>
      <c r="H1036" s="514" t="s">
        <v>819</v>
      </c>
      <c r="I1036" s="514" t="s">
        <v>784</v>
      </c>
      <c r="J1036" s="514" t="s">
        <v>650</v>
      </c>
      <c r="K1036" s="519">
        <v>100</v>
      </c>
      <c r="L1036" s="520"/>
      <c r="M1036" s="685">
        <v>0</v>
      </c>
      <c r="N1036" s="685">
        <v>0</v>
      </c>
      <c r="O1036" s="682">
        <f t="shared" si="48"/>
        <v>0</v>
      </c>
      <c r="P1036" s="683" t="str">
        <f t="shared" si="49"/>
        <v>0</v>
      </c>
      <c r="Q1036" s="684" t="str">
        <f t="shared" si="50"/>
        <v>0</v>
      </c>
      <c r="R1036" s="490"/>
    </row>
    <row r="1037" spans="1:18" x14ac:dyDescent="0.2">
      <c r="A1037" s="506" t="s">
        <v>276</v>
      </c>
      <c r="B1037" s="502" t="s">
        <v>779</v>
      </c>
      <c r="C1037" s="507" t="s">
        <v>289</v>
      </c>
      <c r="D1037" s="504" t="s">
        <v>287</v>
      </c>
      <c r="E1037" s="348"/>
      <c r="F1037" s="504" t="s">
        <v>109</v>
      </c>
      <c r="G1037" s="513" t="s">
        <v>822</v>
      </c>
      <c r="H1037" s="514" t="s">
        <v>819</v>
      </c>
      <c r="I1037" s="514" t="s">
        <v>784</v>
      </c>
      <c r="J1037" s="514" t="s">
        <v>650</v>
      </c>
      <c r="K1037" s="519">
        <v>100</v>
      </c>
      <c r="L1037" s="520"/>
      <c r="M1037" s="685">
        <v>733</v>
      </c>
      <c r="N1037" s="685">
        <v>733</v>
      </c>
      <c r="O1037" s="682">
        <f t="shared" si="48"/>
        <v>1</v>
      </c>
      <c r="P1037" s="683">
        <f t="shared" si="49"/>
        <v>100</v>
      </c>
      <c r="Q1037" s="684">
        <f t="shared" si="50"/>
        <v>1</v>
      </c>
      <c r="R1037" s="490"/>
    </row>
    <row r="1038" spans="1:18" x14ac:dyDescent="0.2">
      <c r="A1038" s="506" t="s">
        <v>276</v>
      </c>
      <c r="B1038" s="502" t="s">
        <v>779</v>
      </c>
      <c r="C1038" s="507" t="s">
        <v>289</v>
      </c>
      <c r="D1038" s="504" t="s">
        <v>283</v>
      </c>
      <c r="E1038" s="348"/>
      <c r="F1038" s="504" t="s">
        <v>109</v>
      </c>
      <c r="G1038" s="513" t="s">
        <v>822</v>
      </c>
      <c r="H1038" s="514" t="s">
        <v>819</v>
      </c>
      <c r="I1038" s="514" t="s">
        <v>784</v>
      </c>
      <c r="J1038" s="514" t="s">
        <v>650</v>
      </c>
      <c r="K1038" s="519">
        <v>100</v>
      </c>
      <c r="L1038" s="520"/>
      <c r="M1038" s="685">
        <v>134</v>
      </c>
      <c r="N1038" s="685">
        <v>134</v>
      </c>
      <c r="O1038" s="682">
        <f t="shared" si="48"/>
        <v>1</v>
      </c>
      <c r="P1038" s="683">
        <f t="shared" si="49"/>
        <v>100</v>
      </c>
      <c r="Q1038" s="684">
        <f t="shared" si="50"/>
        <v>1</v>
      </c>
      <c r="R1038" s="490"/>
    </row>
    <row r="1039" spans="1:18" x14ac:dyDescent="0.2">
      <c r="A1039" s="506" t="s">
        <v>276</v>
      </c>
      <c r="B1039" s="502" t="s">
        <v>779</v>
      </c>
      <c r="C1039" s="507" t="s">
        <v>289</v>
      </c>
      <c r="D1039" s="504" t="s">
        <v>284</v>
      </c>
      <c r="E1039" s="348"/>
      <c r="F1039" s="504" t="s">
        <v>109</v>
      </c>
      <c r="G1039" s="513" t="s">
        <v>822</v>
      </c>
      <c r="H1039" s="514" t="s">
        <v>819</v>
      </c>
      <c r="I1039" s="514" t="s">
        <v>784</v>
      </c>
      <c r="J1039" s="514" t="s">
        <v>650</v>
      </c>
      <c r="K1039" s="519">
        <v>100</v>
      </c>
      <c r="L1039" s="520"/>
      <c r="M1039" s="685">
        <v>29</v>
      </c>
      <c r="N1039" s="685">
        <v>29</v>
      </c>
      <c r="O1039" s="682">
        <f t="shared" si="48"/>
        <v>1</v>
      </c>
      <c r="P1039" s="683">
        <f t="shared" si="49"/>
        <v>100</v>
      </c>
      <c r="Q1039" s="684">
        <f t="shared" si="50"/>
        <v>1</v>
      </c>
      <c r="R1039" s="490"/>
    </row>
    <row r="1040" spans="1:18" x14ac:dyDescent="0.2">
      <c r="A1040" s="506" t="s">
        <v>276</v>
      </c>
      <c r="B1040" s="502" t="s">
        <v>779</v>
      </c>
      <c r="C1040" s="507" t="s">
        <v>289</v>
      </c>
      <c r="D1040" s="504" t="s">
        <v>281</v>
      </c>
      <c r="E1040" s="348"/>
      <c r="F1040" s="504" t="s">
        <v>109</v>
      </c>
      <c r="G1040" s="513" t="s">
        <v>822</v>
      </c>
      <c r="H1040" s="514" t="s">
        <v>819</v>
      </c>
      <c r="I1040" s="514" t="s">
        <v>784</v>
      </c>
      <c r="J1040" s="514" t="s">
        <v>650</v>
      </c>
      <c r="K1040" s="519">
        <v>100</v>
      </c>
      <c r="L1040" s="520"/>
      <c r="M1040" s="685">
        <v>2</v>
      </c>
      <c r="N1040" s="685">
        <v>2</v>
      </c>
      <c r="O1040" s="682">
        <f t="shared" si="48"/>
        <v>1</v>
      </c>
      <c r="P1040" s="683">
        <f t="shared" si="49"/>
        <v>100</v>
      </c>
      <c r="Q1040" s="684">
        <f t="shared" si="50"/>
        <v>1</v>
      </c>
      <c r="R1040" s="490"/>
    </row>
    <row r="1041" spans="1:18" x14ac:dyDescent="0.2">
      <c r="A1041" s="506" t="s">
        <v>276</v>
      </c>
      <c r="B1041" s="502" t="s">
        <v>779</v>
      </c>
      <c r="C1041" s="507" t="s">
        <v>97</v>
      </c>
      <c r="D1041" s="504" t="s">
        <v>279</v>
      </c>
      <c r="E1041" s="348"/>
      <c r="F1041" s="504" t="s">
        <v>109</v>
      </c>
      <c r="G1041" s="513" t="s">
        <v>823</v>
      </c>
      <c r="H1041" s="514" t="s">
        <v>819</v>
      </c>
      <c r="I1041" s="514" t="s">
        <v>784</v>
      </c>
      <c r="J1041" s="514" t="s">
        <v>650</v>
      </c>
      <c r="K1041" s="519">
        <v>100</v>
      </c>
      <c r="L1041" s="520"/>
      <c r="M1041" s="360">
        <v>6</v>
      </c>
      <c r="N1041" s="360">
        <v>6</v>
      </c>
      <c r="O1041" s="682">
        <f t="shared" si="48"/>
        <v>1</v>
      </c>
      <c r="P1041" s="683">
        <f t="shared" si="49"/>
        <v>100</v>
      </c>
      <c r="Q1041" s="684">
        <f t="shared" si="50"/>
        <v>1</v>
      </c>
      <c r="R1041" s="490"/>
    </row>
    <row r="1042" spans="1:18" x14ac:dyDescent="0.2">
      <c r="A1042" s="506" t="s">
        <v>276</v>
      </c>
      <c r="B1042" s="502" t="s">
        <v>779</v>
      </c>
      <c r="C1042" s="507" t="s">
        <v>97</v>
      </c>
      <c r="D1042" s="504" t="s">
        <v>281</v>
      </c>
      <c r="E1042" s="348"/>
      <c r="F1042" s="504" t="s">
        <v>109</v>
      </c>
      <c r="G1042" s="513" t="s">
        <v>823</v>
      </c>
      <c r="H1042" s="514" t="s">
        <v>819</v>
      </c>
      <c r="I1042" s="514" t="s">
        <v>784</v>
      </c>
      <c r="J1042" s="514" t="s">
        <v>650</v>
      </c>
      <c r="K1042" s="519">
        <v>100</v>
      </c>
      <c r="L1042" s="520"/>
      <c r="M1042" s="685">
        <v>9</v>
      </c>
      <c r="N1042" s="685">
        <v>9</v>
      </c>
      <c r="O1042" s="682">
        <f t="shared" si="48"/>
        <v>1</v>
      </c>
      <c r="P1042" s="683">
        <f t="shared" si="49"/>
        <v>100</v>
      </c>
      <c r="Q1042" s="684">
        <f t="shared" si="50"/>
        <v>1</v>
      </c>
      <c r="R1042" s="490"/>
    </row>
    <row r="1043" spans="1:18" x14ac:dyDescent="0.2">
      <c r="A1043" s="506" t="s">
        <v>276</v>
      </c>
      <c r="B1043" s="502" t="s">
        <v>779</v>
      </c>
      <c r="C1043" s="507" t="s">
        <v>282</v>
      </c>
      <c r="D1043" s="504" t="s">
        <v>287</v>
      </c>
      <c r="E1043" s="348"/>
      <c r="F1043" s="504" t="s">
        <v>109</v>
      </c>
      <c r="G1043" s="513" t="s">
        <v>823</v>
      </c>
      <c r="H1043" s="514" t="s">
        <v>819</v>
      </c>
      <c r="I1043" s="514" t="s">
        <v>784</v>
      </c>
      <c r="J1043" s="514" t="s">
        <v>650</v>
      </c>
      <c r="K1043" s="519">
        <v>100</v>
      </c>
      <c r="L1043" s="520"/>
      <c r="M1043" s="685">
        <v>68</v>
      </c>
      <c r="N1043" s="685">
        <v>68</v>
      </c>
      <c r="O1043" s="682">
        <f t="shared" si="48"/>
        <v>1</v>
      </c>
      <c r="P1043" s="683">
        <f t="shared" si="49"/>
        <v>100</v>
      </c>
      <c r="Q1043" s="684">
        <f t="shared" si="50"/>
        <v>1</v>
      </c>
      <c r="R1043" s="490"/>
    </row>
    <row r="1044" spans="1:18" x14ac:dyDescent="0.2">
      <c r="A1044" s="506" t="s">
        <v>276</v>
      </c>
      <c r="B1044" s="502" t="s">
        <v>779</v>
      </c>
      <c r="C1044" s="507" t="s">
        <v>282</v>
      </c>
      <c r="D1044" s="504" t="s">
        <v>283</v>
      </c>
      <c r="E1044" s="348"/>
      <c r="F1044" s="504" t="s">
        <v>109</v>
      </c>
      <c r="G1044" s="513" t="s">
        <v>823</v>
      </c>
      <c r="H1044" s="514" t="s">
        <v>819</v>
      </c>
      <c r="I1044" s="514" t="s">
        <v>784</v>
      </c>
      <c r="J1044" s="514" t="s">
        <v>650</v>
      </c>
      <c r="K1044" s="519">
        <v>100</v>
      </c>
      <c r="L1044" s="520"/>
      <c r="M1044" s="685">
        <v>19</v>
      </c>
      <c r="N1044" s="685">
        <v>19</v>
      </c>
      <c r="O1044" s="682">
        <f t="shared" si="48"/>
        <v>1</v>
      </c>
      <c r="P1044" s="683">
        <f t="shared" si="49"/>
        <v>100</v>
      </c>
      <c r="Q1044" s="684">
        <f t="shared" si="50"/>
        <v>1</v>
      </c>
      <c r="R1044" s="490"/>
    </row>
    <row r="1045" spans="1:18" x14ac:dyDescent="0.2">
      <c r="A1045" s="506" t="s">
        <v>276</v>
      </c>
      <c r="B1045" s="502" t="s">
        <v>779</v>
      </c>
      <c r="C1045" s="507" t="s">
        <v>282</v>
      </c>
      <c r="D1045" s="504" t="s">
        <v>284</v>
      </c>
      <c r="E1045" s="348"/>
      <c r="F1045" s="504" t="s">
        <v>109</v>
      </c>
      <c r="G1045" s="513" t="s">
        <v>823</v>
      </c>
      <c r="H1045" s="514" t="s">
        <v>819</v>
      </c>
      <c r="I1045" s="514" t="s">
        <v>784</v>
      </c>
      <c r="J1045" s="514" t="s">
        <v>650</v>
      </c>
      <c r="K1045" s="519">
        <v>100</v>
      </c>
      <c r="L1045" s="520"/>
      <c r="M1045" s="685">
        <v>43</v>
      </c>
      <c r="N1045" s="685">
        <v>43</v>
      </c>
      <c r="O1045" s="682">
        <f t="shared" si="48"/>
        <v>1</v>
      </c>
      <c r="P1045" s="683">
        <f t="shared" si="49"/>
        <v>100</v>
      </c>
      <c r="Q1045" s="684">
        <f t="shared" si="50"/>
        <v>1</v>
      </c>
      <c r="R1045" s="490"/>
    </row>
    <row r="1046" spans="1:18" x14ac:dyDescent="0.2">
      <c r="A1046" s="506" t="s">
        <v>276</v>
      </c>
      <c r="B1046" s="502" t="s">
        <v>779</v>
      </c>
      <c r="C1046" s="507" t="s">
        <v>282</v>
      </c>
      <c r="D1046" s="504" t="s">
        <v>279</v>
      </c>
      <c r="E1046" s="348"/>
      <c r="F1046" s="504" t="s">
        <v>109</v>
      </c>
      <c r="G1046" s="513" t="s">
        <v>823</v>
      </c>
      <c r="H1046" s="514" t="s">
        <v>819</v>
      </c>
      <c r="I1046" s="514" t="s">
        <v>784</v>
      </c>
      <c r="J1046" s="514" t="s">
        <v>650</v>
      </c>
      <c r="K1046" s="519">
        <v>100</v>
      </c>
      <c r="L1046" s="520"/>
      <c r="M1046" s="685">
        <v>65</v>
      </c>
      <c r="N1046" s="685">
        <v>65</v>
      </c>
      <c r="O1046" s="682">
        <f t="shared" si="48"/>
        <v>1</v>
      </c>
      <c r="P1046" s="683">
        <f t="shared" si="49"/>
        <v>100</v>
      </c>
      <c r="Q1046" s="684">
        <f t="shared" si="50"/>
        <v>1</v>
      </c>
      <c r="R1046" s="490"/>
    </row>
    <row r="1047" spans="1:18" x14ac:dyDescent="0.2">
      <c r="A1047" s="506" t="s">
        <v>276</v>
      </c>
      <c r="B1047" s="502" t="s">
        <v>779</v>
      </c>
      <c r="C1047" s="507" t="s">
        <v>282</v>
      </c>
      <c r="D1047" s="504" t="s">
        <v>281</v>
      </c>
      <c r="E1047" s="348"/>
      <c r="F1047" s="504" t="s">
        <v>109</v>
      </c>
      <c r="G1047" s="513" t="s">
        <v>823</v>
      </c>
      <c r="H1047" s="514" t="s">
        <v>819</v>
      </c>
      <c r="I1047" s="514" t="s">
        <v>784</v>
      </c>
      <c r="J1047" s="514" t="s">
        <v>650</v>
      </c>
      <c r="K1047" s="519">
        <v>100</v>
      </c>
      <c r="L1047" s="520"/>
      <c r="M1047" s="685">
        <v>48</v>
      </c>
      <c r="N1047" s="685">
        <v>48</v>
      </c>
      <c r="O1047" s="682">
        <f t="shared" si="48"/>
        <v>1</v>
      </c>
      <c r="P1047" s="683">
        <f t="shared" si="49"/>
        <v>100</v>
      </c>
      <c r="Q1047" s="684">
        <f t="shared" si="50"/>
        <v>1</v>
      </c>
      <c r="R1047" s="490"/>
    </row>
    <row r="1048" spans="1:18" x14ac:dyDescent="0.2">
      <c r="A1048" s="506" t="s">
        <v>276</v>
      </c>
      <c r="B1048" s="502" t="s">
        <v>779</v>
      </c>
      <c r="C1048" s="507" t="s">
        <v>288</v>
      </c>
      <c r="D1048" s="504" t="s">
        <v>287</v>
      </c>
      <c r="E1048" s="348"/>
      <c r="F1048" s="504" t="s">
        <v>109</v>
      </c>
      <c r="G1048" s="513" t="s">
        <v>823</v>
      </c>
      <c r="H1048" s="514" t="s">
        <v>819</v>
      </c>
      <c r="I1048" s="514" t="s">
        <v>784</v>
      </c>
      <c r="J1048" s="514" t="s">
        <v>650</v>
      </c>
      <c r="K1048" s="519">
        <v>100</v>
      </c>
      <c r="L1048" s="520"/>
      <c r="M1048" s="685">
        <v>299</v>
      </c>
      <c r="N1048" s="685">
        <v>299</v>
      </c>
      <c r="O1048" s="682">
        <f t="shared" si="48"/>
        <v>1</v>
      </c>
      <c r="P1048" s="683">
        <f t="shared" si="49"/>
        <v>100</v>
      </c>
      <c r="Q1048" s="684">
        <f t="shared" si="50"/>
        <v>1</v>
      </c>
      <c r="R1048" s="490"/>
    </row>
    <row r="1049" spans="1:18" x14ac:dyDescent="0.2">
      <c r="A1049" s="506" t="s">
        <v>276</v>
      </c>
      <c r="B1049" s="502" t="s">
        <v>779</v>
      </c>
      <c r="C1049" s="507" t="s">
        <v>288</v>
      </c>
      <c r="D1049" s="504" t="s">
        <v>283</v>
      </c>
      <c r="E1049" s="348"/>
      <c r="F1049" s="504" t="s">
        <v>109</v>
      </c>
      <c r="G1049" s="513" t="s">
        <v>823</v>
      </c>
      <c r="H1049" s="514" t="s">
        <v>819</v>
      </c>
      <c r="I1049" s="514" t="s">
        <v>784</v>
      </c>
      <c r="J1049" s="514" t="s">
        <v>650</v>
      </c>
      <c r="K1049" s="519">
        <v>100</v>
      </c>
      <c r="L1049" s="520"/>
      <c r="M1049" s="685">
        <v>64</v>
      </c>
      <c r="N1049" s="685">
        <v>64</v>
      </c>
      <c r="O1049" s="682">
        <f t="shared" si="48"/>
        <v>1</v>
      </c>
      <c r="P1049" s="683">
        <f t="shared" si="49"/>
        <v>100</v>
      </c>
      <c r="Q1049" s="684">
        <f t="shared" si="50"/>
        <v>1</v>
      </c>
      <c r="R1049" s="490"/>
    </row>
    <row r="1050" spans="1:18" x14ac:dyDescent="0.2">
      <c r="A1050" s="506" t="s">
        <v>276</v>
      </c>
      <c r="B1050" s="502" t="s">
        <v>779</v>
      </c>
      <c r="C1050" s="507" t="s">
        <v>288</v>
      </c>
      <c r="D1050" s="504" t="s">
        <v>284</v>
      </c>
      <c r="E1050" s="348"/>
      <c r="F1050" s="504" t="s">
        <v>109</v>
      </c>
      <c r="G1050" s="513" t="s">
        <v>823</v>
      </c>
      <c r="H1050" s="514" t="s">
        <v>819</v>
      </c>
      <c r="I1050" s="514" t="s">
        <v>784</v>
      </c>
      <c r="J1050" s="514" t="s">
        <v>650</v>
      </c>
      <c r="K1050" s="519">
        <v>100</v>
      </c>
      <c r="L1050" s="520"/>
      <c r="M1050" s="685">
        <v>10</v>
      </c>
      <c r="N1050" s="685">
        <v>10</v>
      </c>
      <c r="O1050" s="682">
        <f t="shared" si="48"/>
        <v>1</v>
      </c>
      <c r="P1050" s="683">
        <f t="shared" si="49"/>
        <v>100</v>
      </c>
      <c r="Q1050" s="684">
        <f t="shared" si="50"/>
        <v>1</v>
      </c>
      <c r="R1050" s="490"/>
    </row>
    <row r="1051" spans="1:18" x14ac:dyDescent="0.2">
      <c r="A1051" s="506" t="s">
        <v>276</v>
      </c>
      <c r="B1051" s="502" t="s">
        <v>779</v>
      </c>
      <c r="C1051" s="507" t="s">
        <v>288</v>
      </c>
      <c r="D1051" s="504" t="s">
        <v>279</v>
      </c>
      <c r="E1051" s="348"/>
      <c r="F1051" s="504" t="s">
        <v>109</v>
      </c>
      <c r="G1051" s="513" t="s">
        <v>823</v>
      </c>
      <c r="H1051" s="514" t="s">
        <v>819</v>
      </c>
      <c r="I1051" s="514" t="s">
        <v>784</v>
      </c>
      <c r="J1051" s="514" t="s">
        <v>650</v>
      </c>
      <c r="K1051" s="519">
        <v>100</v>
      </c>
      <c r="L1051" s="520"/>
      <c r="M1051" s="685">
        <v>2</v>
      </c>
      <c r="N1051" s="685">
        <v>2</v>
      </c>
      <c r="O1051" s="682">
        <f t="shared" si="48"/>
        <v>1</v>
      </c>
      <c r="P1051" s="683">
        <f t="shared" si="49"/>
        <v>100</v>
      </c>
      <c r="Q1051" s="684">
        <f t="shared" si="50"/>
        <v>1</v>
      </c>
      <c r="R1051" s="490"/>
    </row>
    <row r="1052" spans="1:18" x14ac:dyDescent="0.2">
      <c r="A1052" s="506" t="s">
        <v>276</v>
      </c>
      <c r="B1052" s="502" t="s">
        <v>779</v>
      </c>
      <c r="C1052" s="507" t="s">
        <v>288</v>
      </c>
      <c r="D1052" s="504" t="s">
        <v>281</v>
      </c>
      <c r="E1052" s="348"/>
      <c r="F1052" s="504" t="s">
        <v>109</v>
      </c>
      <c r="G1052" s="513" t="s">
        <v>823</v>
      </c>
      <c r="H1052" s="514" t="s">
        <v>819</v>
      </c>
      <c r="I1052" s="514" t="s">
        <v>784</v>
      </c>
      <c r="J1052" s="514" t="s">
        <v>650</v>
      </c>
      <c r="K1052" s="519">
        <v>100</v>
      </c>
      <c r="L1052" s="520"/>
      <c r="M1052" s="685">
        <v>17</v>
      </c>
      <c r="N1052" s="685">
        <v>17</v>
      </c>
      <c r="O1052" s="682">
        <f t="shared" si="48"/>
        <v>1</v>
      </c>
      <c r="P1052" s="683">
        <f t="shared" si="49"/>
        <v>100</v>
      </c>
      <c r="Q1052" s="684">
        <f t="shared" si="50"/>
        <v>1</v>
      </c>
      <c r="R1052" s="490"/>
    </row>
    <row r="1053" spans="1:18" x14ac:dyDescent="0.2">
      <c r="A1053" s="506" t="s">
        <v>276</v>
      </c>
      <c r="B1053" s="502" t="s">
        <v>779</v>
      </c>
      <c r="C1053" s="507" t="s">
        <v>99</v>
      </c>
      <c r="D1053" s="504" t="s">
        <v>287</v>
      </c>
      <c r="E1053" s="348"/>
      <c r="F1053" s="504" t="s">
        <v>109</v>
      </c>
      <c r="G1053" s="513" t="s">
        <v>823</v>
      </c>
      <c r="H1053" s="514" t="s">
        <v>819</v>
      </c>
      <c r="I1053" s="514" t="s">
        <v>784</v>
      </c>
      <c r="J1053" s="514" t="s">
        <v>650</v>
      </c>
      <c r="K1053" s="519">
        <v>100</v>
      </c>
      <c r="L1053" s="520"/>
      <c r="M1053" s="685">
        <v>326</v>
      </c>
      <c r="N1053" s="685">
        <v>326</v>
      </c>
      <c r="O1053" s="682">
        <f t="shared" si="48"/>
        <v>1</v>
      </c>
      <c r="P1053" s="683">
        <f t="shared" si="49"/>
        <v>100</v>
      </c>
      <c r="Q1053" s="684">
        <f t="shared" si="50"/>
        <v>1</v>
      </c>
      <c r="R1053" s="490"/>
    </row>
    <row r="1054" spans="1:18" x14ac:dyDescent="0.2">
      <c r="A1054" s="506" t="s">
        <v>276</v>
      </c>
      <c r="B1054" s="502" t="s">
        <v>779</v>
      </c>
      <c r="C1054" s="507" t="s">
        <v>99</v>
      </c>
      <c r="D1054" s="504" t="s">
        <v>283</v>
      </c>
      <c r="E1054" s="348"/>
      <c r="F1054" s="504" t="s">
        <v>109</v>
      </c>
      <c r="G1054" s="513" t="s">
        <v>823</v>
      </c>
      <c r="H1054" s="514" t="s">
        <v>819</v>
      </c>
      <c r="I1054" s="514" t="s">
        <v>784</v>
      </c>
      <c r="J1054" s="514" t="s">
        <v>650</v>
      </c>
      <c r="K1054" s="519">
        <v>100</v>
      </c>
      <c r="L1054" s="520"/>
      <c r="M1054" s="685">
        <v>17</v>
      </c>
      <c r="N1054" s="685">
        <v>17</v>
      </c>
      <c r="O1054" s="682">
        <f t="shared" si="48"/>
        <v>1</v>
      </c>
      <c r="P1054" s="683">
        <f t="shared" si="49"/>
        <v>100</v>
      </c>
      <c r="Q1054" s="684">
        <f t="shared" si="50"/>
        <v>1</v>
      </c>
      <c r="R1054" s="490"/>
    </row>
    <row r="1055" spans="1:18" x14ac:dyDescent="0.2">
      <c r="A1055" s="506" t="s">
        <v>276</v>
      </c>
      <c r="B1055" s="502" t="s">
        <v>779</v>
      </c>
      <c r="C1055" s="507" t="s">
        <v>99</v>
      </c>
      <c r="D1055" s="504" t="s">
        <v>284</v>
      </c>
      <c r="E1055" s="348"/>
      <c r="F1055" s="504" t="s">
        <v>109</v>
      </c>
      <c r="G1055" s="513" t="s">
        <v>823</v>
      </c>
      <c r="H1055" s="514" t="s">
        <v>819</v>
      </c>
      <c r="I1055" s="514" t="s">
        <v>784</v>
      </c>
      <c r="J1055" s="514" t="s">
        <v>650</v>
      </c>
      <c r="K1055" s="519">
        <v>100</v>
      </c>
      <c r="L1055" s="520"/>
      <c r="M1055" s="685">
        <v>8</v>
      </c>
      <c r="N1055" s="685">
        <v>8</v>
      </c>
      <c r="O1055" s="682">
        <f t="shared" si="48"/>
        <v>1</v>
      </c>
      <c r="P1055" s="683">
        <f t="shared" si="49"/>
        <v>100</v>
      </c>
      <c r="Q1055" s="684">
        <f t="shared" si="50"/>
        <v>1</v>
      </c>
      <c r="R1055" s="490"/>
    </row>
    <row r="1056" spans="1:18" x14ac:dyDescent="0.2">
      <c r="A1056" s="506" t="s">
        <v>276</v>
      </c>
      <c r="B1056" s="502" t="s">
        <v>779</v>
      </c>
      <c r="C1056" s="507" t="s">
        <v>99</v>
      </c>
      <c r="D1056" s="504" t="s">
        <v>279</v>
      </c>
      <c r="E1056" s="348"/>
      <c r="F1056" s="504" t="s">
        <v>109</v>
      </c>
      <c r="G1056" s="513" t="s">
        <v>823</v>
      </c>
      <c r="H1056" s="514" t="s">
        <v>819</v>
      </c>
      <c r="I1056" s="514" t="s">
        <v>784</v>
      </c>
      <c r="J1056" s="514" t="s">
        <v>650</v>
      </c>
      <c r="K1056" s="519">
        <v>100</v>
      </c>
      <c r="L1056" s="520"/>
      <c r="M1056" s="685">
        <v>5</v>
      </c>
      <c r="N1056" s="685">
        <v>5</v>
      </c>
      <c r="O1056" s="682">
        <f t="shared" si="48"/>
        <v>1</v>
      </c>
      <c r="P1056" s="683">
        <f t="shared" si="49"/>
        <v>100</v>
      </c>
      <c r="Q1056" s="684">
        <f t="shared" si="50"/>
        <v>1</v>
      </c>
      <c r="R1056" s="490"/>
    </row>
    <row r="1057" spans="1:18" x14ac:dyDescent="0.2">
      <c r="A1057" s="506" t="s">
        <v>276</v>
      </c>
      <c r="B1057" s="502" t="s">
        <v>779</v>
      </c>
      <c r="C1057" s="507" t="s">
        <v>99</v>
      </c>
      <c r="D1057" s="504" t="s">
        <v>281</v>
      </c>
      <c r="E1057" s="348"/>
      <c r="F1057" s="504" t="s">
        <v>109</v>
      </c>
      <c r="G1057" s="513" t="s">
        <v>823</v>
      </c>
      <c r="H1057" s="514" t="s">
        <v>819</v>
      </c>
      <c r="I1057" s="514" t="s">
        <v>784</v>
      </c>
      <c r="J1057" s="514" t="s">
        <v>650</v>
      </c>
      <c r="K1057" s="519">
        <v>100</v>
      </c>
      <c r="L1057" s="520"/>
      <c r="M1057" s="685">
        <v>1</v>
      </c>
      <c r="N1057" s="685">
        <v>1</v>
      </c>
      <c r="O1057" s="682">
        <f t="shared" si="48"/>
        <v>1</v>
      </c>
      <c r="P1057" s="683">
        <f t="shared" si="49"/>
        <v>100</v>
      </c>
      <c r="Q1057" s="684">
        <f t="shared" si="50"/>
        <v>1</v>
      </c>
      <c r="R1057" s="490"/>
    </row>
    <row r="1058" spans="1:18" x14ac:dyDescent="0.2">
      <c r="A1058" s="506" t="s">
        <v>276</v>
      </c>
      <c r="B1058" s="502" t="s">
        <v>779</v>
      </c>
      <c r="C1058" s="507" t="s">
        <v>285</v>
      </c>
      <c r="D1058" s="504" t="s">
        <v>287</v>
      </c>
      <c r="E1058" s="348"/>
      <c r="F1058" s="504" t="s">
        <v>109</v>
      </c>
      <c r="G1058" s="513" t="s">
        <v>823</v>
      </c>
      <c r="H1058" s="514" t="s">
        <v>819</v>
      </c>
      <c r="I1058" s="514" t="s">
        <v>784</v>
      </c>
      <c r="J1058" s="514" t="s">
        <v>650</v>
      </c>
      <c r="K1058" s="519">
        <v>100</v>
      </c>
      <c r="L1058" s="520"/>
      <c r="M1058" s="685">
        <v>0</v>
      </c>
      <c r="N1058" s="685">
        <v>0</v>
      </c>
      <c r="O1058" s="682">
        <f t="shared" si="48"/>
        <v>0</v>
      </c>
      <c r="P1058" s="683" t="str">
        <f t="shared" si="49"/>
        <v>0</v>
      </c>
      <c r="Q1058" s="684" t="str">
        <f t="shared" si="50"/>
        <v>0</v>
      </c>
      <c r="R1058" s="491"/>
    </row>
    <row r="1059" spans="1:18" x14ac:dyDescent="0.2">
      <c r="A1059" s="506" t="s">
        <v>276</v>
      </c>
      <c r="B1059" s="502" t="s">
        <v>779</v>
      </c>
      <c r="C1059" s="507" t="s">
        <v>285</v>
      </c>
      <c r="D1059" s="504" t="s">
        <v>283</v>
      </c>
      <c r="E1059" s="348"/>
      <c r="F1059" s="504" t="s">
        <v>109</v>
      </c>
      <c r="G1059" s="513" t="s">
        <v>823</v>
      </c>
      <c r="H1059" s="514" t="s">
        <v>819</v>
      </c>
      <c r="I1059" s="514" t="s">
        <v>784</v>
      </c>
      <c r="J1059" s="514" t="s">
        <v>650</v>
      </c>
      <c r="K1059" s="519">
        <v>100</v>
      </c>
      <c r="L1059" s="520"/>
      <c r="M1059" s="685">
        <v>5</v>
      </c>
      <c r="N1059" s="685">
        <v>5</v>
      </c>
      <c r="O1059" s="682">
        <f t="shared" si="48"/>
        <v>1</v>
      </c>
      <c r="P1059" s="683">
        <f t="shared" si="49"/>
        <v>100</v>
      </c>
      <c r="Q1059" s="684">
        <f t="shared" si="50"/>
        <v>1</v>
      </c>
      <c r="R1059" s="490"/>
    </row>
    <row r="1060" spans="1:18" x14ac:dyDescent="0.2">
      <c r="A1060" s="506" t="s">
        <v>276</v>
      </c>
      <c r="B1060" s="502" t="s">
        <v>779</v>
      </c>
      <c r="C1060" s="507" t="s">
        <v>285</v>
      </c>
      <c r="D1060" s="504" t="s">
        <v>284</v>
      </c>
      <c r="E1060" s="348"/>
      <c r="F1060" s="504" t="s">
        <v>109</v>
      </c>
      <c r="G1060" s="513" t="s">
        <v>823</v>
      </c>
      <c r="H1060" s="514" t="s">
        <v>819</v>
      </c>
      <c r="I1060" s="514" t="s">
        <v>784</v>
      </c>
      <c r="J1060" s="514" t="s">
        <v>650</v>
      </c>
      <c r="K1060" s="519">
        <v>100</v>
      </c>
      <c r="L1060" s="520"/>
      <c r="M1060" s="685">
        <v>4</v>
      </c>
      <c r="N1060" s="685">
        <v>4</v>
      </c>
      <c r="O1060" s="682">
        <f t="shared" si="48"/>
        <v>1</v>
      </c>
      <c r="P1060" s="683">
        <f t="shared" si="49"/>
        <v>100</v>
      </c>
      <c r="Q1060" s="684">
        <f t="shared" si="50"/>
        <v>1</v>
      </c>
      <c r="R1060" s="490"/>
    </row>
    <row r="1061" spans="1:18" x14ac:dyDescent="0.2">
      <c r="A1061" s="506" t="s">
        <v>276</v>
      </c>
      <c r="B1061" s="502" t="s">
        <v>779</v>
      </c>
      <c r="C1061" s="507" t="s">
        <v>285</v>
      </c>
      <c r="D1061" s="504" t="s">
        <v>279</v>
      </c>
      <c r="E1061" s="348"/>
      <c r="F1061" s="504" t="s">
        <v>109</v>
      </c>
      <c r="G1061" s="513" t="s">
        <v>823</v>
      </c>
      <c r="H1061" s="514" t="s">
        <v>819</v>
      </c>
      <c r="I1061" s="514" t="s">
        <v>784</v>
      </c>
      <c r="J1061" s="514" t="s">
        <v>650</v>
      </c>
      <c r="K1061" s="519">
        <v>100</v>
      </c>
      <c r="L1061" s="520"/>
      <c r="M1061" s="685">
        <v>1</v>
      </c>
      <c r="N1061" s="685">
        <v>1</v>
      </c>
      <c r="O1061" s="682">
        <f t="shared" si="48"/>
        <v>1</v>
      </c>
      <c r="P1061" s="683">
        <f t="shared" si="49"/>
        <v>100</v>
      </c>
      <c r="Q1061" s="684">
        <f t="shared" si="50"/>
        <v>1</v>
      </c>
      <c r="R1061" s="490"/>
    </row>
    <row r="1062" spans="1:18" x14ac:dyDescent="0.2">
      <c r="A1062" s="506" t="s">
        <v>276</v>
      </c>
      <c r="B1062" s="502" t="s">
        <v>779</v>
      </c>
      <c r="C1062" s="507" t="s">
        <v>285</v>
      </c>
      <c r="D1062" s="504" t="s">
        <v>281</v>
      </c>
      <c r="E1062" s="348"/>
      <c r="F1062" s="504" t="s">
        <v>109</v>
      </c>
      <c r="G1062" s="513" t="s">
        <v>823</v>
      </c>
      <c r="H1062" s="514" t="s">
        <v>819</v>
      </c>
      <c r="I1062" s="514" t="s">
        <v>784</v>
      </c>
      <c r="J1062" s="514" t="s">
        <v>650</v>
      </c>
      <c r="K1062" s="519">
        <v>100</v>
      </c>
      <c r="L1062" s="520"/>
      <c r="M1062" s="685">
        <v>12</v>
      </c>
      <c r="N1062" s="685">
        <v>12</v>
      </c>
      <c r="O1062" s="682">
        <f t="shared" si="48"/>
        <v>1</v>
      </c>
      <c r="P1062" s="683">
        <f t="shared" si="49"/>
        <v>100</v>
      </c>
      <c r="Q1062" s="684">
        <f t="shared" si="50"/>
        <v>1</v>
      </c>
      <c r="R1062" s="490"/>
    </row>
    <row r="1063" spans="1:18" x14ac:dyDescent="0.2">
      <c r="A1063" s="506" t="s">
        <v>276</v>
      </c>
      <c r="B1063" s="502" t="s">
        <v>779</v>
      </c>
      <c r="C1063" s="507" t="s">
        <v>285</v>
      </c>
      <c r="D1063" s="504" t="s">
        <v>286</v>
      </c>
      <c r="E1063" s="348"/>
      <c r="F1063" s="504" t="s">
        <v>109</v>
      </c>
      <c r="G1063" s="513" t="s">
        <v>823</v>
      </c>
      <c r="H1063" s="514" t="s">
        <v>819</v>
      </c>
      <c r="I1063" s="514" t="s">
        <v>784</v>
      </c>
      <c r="J1063" s="514" t="s">
        <v>650</v>
      </c>
      <c r="K1063" s="519">
        <v>100</v>
      </c>
      <c r="L1063" s="520"/>
      <c r="M1063" s="685">
        <v>20</v>
      </c>
      <c r="N1063" s="685">
        <v>20</v>
      </c>
      <c r="O1063" s="682">
        <f t="shared" si="48"/>
        <v>1</v>
      </c>
      <c r="P1063" s="683">
        <f t="shared" si="49"/>
        <v>100</v>
      </c>
      <c r="Q1063" s="684">
        <f t="shared" si="50"/>
        <v>1</v>
      </c>
      <c r="R1063" s="490"/>
    </row>
    <row r="1064" spans="1:18" x14ac:dyDescent="0.2">
      <c r="A1064" s="506" t="s">
        <v>276</v>
      </c>
      <c r="B1064" s="502" t="s">
        <v>779</v>
      </c>
      <c r="C1064" s="507" t="s">
        <v>291</v>
      </c>
      <c r="D1064" s="504" t="s">
        <v>283</v>
      </c>
      <c r="E1064" s="348"/>
      <c r="F1064" s="504" t="s">
        <v>109</v>
      </c>
      <c r="G1064" s="513" t="s">
        <v>823</v>
      </c>
      <c r="H1064" s="514" t="s">
        <v>819</v>
      </c>
      <c r="I1064" s="514" t="s">
        <v>784</v>
      </c>
      <c r="J1064" s="514" t="s">
        <v>650</v>
      </c>
      <c r="K1064" s="519">
        <v>100</v>
      </c>
      <c r="L1064" s="520"/>
      <c r="M1064" s="685">
        <v>0</v>
      </c>
      <c r="N1064" s="685">
        <v>0</v>
      </c>
      <c r="O1064" s="682">
        <f t="shared" si="48"/>
        <v>0</v>
      </c>
      <c r="P1064" s="683" t="str">
        <f t="shared" si="49"/>
        <v>0</v>
      </c>
      <c r="Q1064" s="684" t="str">
        <f t="shared" si="50"/>
        <v>0</v>
      </c>
      <c r="R1064" s="491"/>
    </row>
    <row r="1065" spans="1:18" x14ac:dyDescent="0.2">
      <c r="A1065" s="506" t="s">
        <v>276</v>
      </c>
      <c r="B1065" s="502" t="s">
        <v>779</v>
      </c>
      <c r="C1065" s="507" t="s">
        <v>291</v>
      </c>
      <c r="D1065" s="504" t="s">
        <v>284</v>
      </c>
      <c r="E1065" s="348"/>
      <c r="F1065" s="504" t="s">
        <v>109</v>
      </c>
      <c r="G1065" s="513" t="s">
        <v>823</v>
      </c>
      <c r="H1065" s="514" t="s">
        <v>819</v>
      </c>
      <c r="I1065" s="514" t="s">
        <v>784</v>
      </c>
      <c r="J1065" s="514" t="s">
        <v>650</v>
      </c>
      <c r="K1065" s="519">
        <v>100</v>
      </c>
      <c r="L1065" s="520"/>
      <c r="M1065" s="685">
        <v>0</v>
      </c>
      <c r="N1065" s="685">
        <v>0</v>
      </c>
      <c r="O1065" s="682">
        <f t="shared" si="48"/>
        <v>0</v>
      </c>
      <c r="P1065" s="683" t="str">
        <f t="shared" si="49"/>
        <v>0</v>
      </c>
      <c r="Q1065" s="684" t="str">
        <f t="shared" si="50"/>
        <v>0</v>
      </c>
      <c r="R1065" s="491"/>
    </row>
    <row r="1066" spans="1:18" x14ac:dyDescent="0.2">
      <c r="A1066" s="506" t="s">
        <v>276</v>
      </c>
      <c r="B1066" s="502" t="s">
        <v>779</v>
      </c>
      <c r="C1066" s="507" t="s">
        <v>290</v>
      </c>
      <c r="D1066" s="504" t="s">
        <v>287</v>
      </c>
      <c r="E1066" s="348"/>
      <c r="F1066" s="504" t="s">
        <v>109</v>
      </c>
      <c r="G1066" s="513" t="s">
        <v>823</v>
      </c>
      <c r="H1066" s="514" t="s">
        <v>819</v>
      </c>
      <c r="I1066" s="514" t="s">
        <v>784</v>
      </c>
      <c r="J1066" s="514" t="s">
        <v>650</v>
      </c>
      <c r="K1066" s="519">
        <v>100</v>
      </c>
      <c r="L1066" s="520"/>
      <c r="M1066" s="685">
        <v>65</v>
      </c>
      <c r="N1066" s="685">
        <v>65</v>
      </c>
      <c r="O1066" s="682">
        <f t="shared" si="48"/>
        <v>1</v>
      </c>
      <c r="P1066" s="683">
        <f t="shared" si="49"/>
        <v>100</v>
      </c>
      <c r="Q1066" s="684">
        <f t="shared" si="50"/>
        <v>1</v>
      </c>
      <c r="R1066" s="490"/>
    </row>
    <row r="1067" spans="1:18" x14ac:dyDescent="0.2">
      <c r="A1067" s="506" t="s">
        <v>276</v>
      </c>
      <c r="B1067" s="502" t="s">
        <v>779</v>
      </c>
      <c r="C1067" s="507" t="s">
        <v>290</v>
      </c>
      <c r="D1067" s="504" t="s">
        <v>283</v>
      </c>
      <c r="E1067" s="348"/>
      <c r="F1067" s="504" t="s">
        <v>109</v>
      </c>
      <c r="G1067" s="513" t="s">
        <v>823</v>
      </c>
      <c r="H1067" s="514" t="s">
        <v>819</v>
      </c>
      <c r="I1067" s="514" t="s">
        <v>784</v>
      </c>
      <c r="J1067" s="514" t="s">
        <v>650</v>
      </c>
      <c r="K1067" s="519">
        <v>100</v>
      </c>
      <c r="L1067" s="520"/>
      <c r="M1067" s="685">
        <v>5</v>
      </c>
      <c r="N1067" s="685">
        <v>5</v>
      </c>
      <c r="O1067" s="682">
        <f t="shared" si="48"/>
        <v>1</v>
      </c>
      <c r="P1067" s="683">
        <f t="shared" si="49"/>
        <v>100</v>
      </c>
      <c r="Q1067" s="684">
        <f t="shared" si="50"/>
        <v>1</v>
      </c>
      <c r="R1067" s="490"/>
    </row>
    <row r="1068" spans="1:18" x14ac:dyDescent="0.2">
      <c r="A1068" s="506" t="s">
        <v>276</v>
      </c>
      <c r="B1068" s="502" t="s">
        <v>779</v>
      </c>
      <c r="C1068" s="507" t="s">
        <v>290</v>
      </c>
      <c r="D1068" s="504" t="s">
        <v>284</v>
      </c>
      <c r="E1068" s="348"/>
      <c r="F1068" s="504" t="s">
        <v>109</v>
      </c>
      <c r="G1068" s="513" t="s">
        <v>823</v>
      </c>
      <c r="H1068" s="514" t="s">
        <v>819</v>
      </c>
      <c r="I1068" s="514" t="s">
        <v>784</v>
      </c>
      <c r="J1068" s="514" t="s">
        <v>650</v>
      </c>
      <c r="K1068" s="519">
        <v>100</v>
      </c>
      <c r="L1068" s="520"/>
      <c r="M1068" s="685">
        <v>0</v>
      </c>
      <c r="N1068" s="685">
        <v>0</v>
      </c>
      <c r="O1068" s="682">
        <f t="shared" si="48"/>
        <v>0</v>
      </c>
      <c r="P1068" s="683" t="str">
        <f t="shared" si="49"/>
        <v>0</v>
      </c>
      <c r="Q1068" s="684" t="str">
        <f t="shared" si="50"/>
        <v>0</v>
      </c>
      <c r="R1068" s="490"/>
    </row>
    <row r="1069" spans="1:18" x14ac:dyDescent="0.2">
      <c r="A1069" s="506" t="s">
        <v>276</v>
      </c>
      <c r="B1069" s="502" t="s">
        <v>779</v>
      </c>
      <c r="C1069" s="507" t="s">
        <v>289</v>
      </c>
      <c r="D1069" s="504" t="s">
        <v>287</v>
      </c>
      <c r="E1069" s="348"/>
      <c r="F1069" s="504" t="s">
        <v>109</v>
      </c>
      <c r="G1069" s="513" t="s">
        <v>823</v>
      </c>
      <c r="H1069" s="514" t="s">
        <v>819</v>
      </c>
      <c r="I1069" s="514" t="s">
        <v>784</v>
      </c>
      <c r="J1069" s="514" t="s">
        <v>650</v>
      </c>
      <c r="K1069" s="519">
        <v>100</v>
      </c>
      <c r="L1069" s="520"/>
      <c r="M1069" s="685">
        <v>733</v>
      </c>
      <c r="N1069" s="685">
        <v>733</v>
      </c>
      <c r="O1069" s="682">
        <f t="shared" si="48"/>
        <v>1</v>
      </c>
      <c r="P1069" s="683">
        <f t="shared" si="49"/>
        <v>100</v>
      </c>
      <c r="Q1069" s="684">
        <f t="shared" si="50"/>
        <v>1</v>
      </c>
      <c r="R1069" s="490"/>
    </row>
    <row r="1070" spans="1:18" x14ac:dyDescent="0.2">
      <c r="A1070" s="506" t="s">
        <v>276</v>
      </c>
      <c r="B1070" s="502" t="s">
        <v>779</v>
      </c>
      <c r="C1070" s="507" t="s">
        <v>289</v>
      </c>
      <c r="D1070" s="504" t="s">
        <v>283</v>
      </c>
      <c r="E1070" s="348"/>
      <c r="F1070" s="504" t="s">
        <v>109</v>
      </c>
      <c r="G1070" s="513" t="s">
        <v>823</v>
      </c>
      <c r="H1070" s="514" t="s">
        <v>819</v>
      </c>
      <c r="I1070" s="514" t="s">
        <v>784</v>
      </c>
      <c r="J1070" s="514" t="s">
        <v>650</v>
      </c>
      <c r="K1070" s="519">
        <v>100</v>
      </c>
      <c r="L1070" s="520"/>
      <c r="M1070" s="685">
        <v>134</v>
      </c>
      <c r="N1070" s="685">
        <v>134</v>
      </c>
      <c r="O1070" s="682">
        <f t="shared" si="48"/>
        <v>1</v>
      </c>
      <c r="P1070" s="683">
        <f t="shared" si="49"/>
        <v>100</v>
      </c>
      <c r="Q1070" s="684">
        <f t="shared" si="50"/>
        <v>1</v>
      </c>
      <c r="R1070" s="490"/>
    </row>
    <row r="1071" spans="1:18" x14ac:dyDescent="0.2">
      <c r="A1071" s="506" t="s">
        <v>276</v>
      </c>
      <c r="B1071" s="502" t="s">
        <v>779</v>
      </c>
      <c r="C1071" s="507" t="s">
        <v>289</v>
      </c>
      <c r="D1071" s="504" t="s">
        <v>284</v>
      </c>
      <c r="E1071" s="348"/>
      <c r="F1071" s="504" t="s">
        <v>109</v>
      </c>
      <c r="G1071" s="513" t="s">
        <v>823</v>
      </c>
      <c r="H1071" s="514" t="s">
        <v>819</v>
      </c>
      <c r="I1071" s="514" t="s">
        <v>784</v>
      </c>
      <c r="J1071" s="514" t="s">
        <v>650</v>
      </c>
      <c r="K1071" s="519">
        <v>100</v>
      </c>
      <c r="L1071" s="520"/>
      <c r="M1071" s="685">
        <v>29</v>
      </c>
      <c r="N1071" s="685">
        <v>29</v>
      </c>
      <c r="O1071" s="682">
        <f t="shared" si="48"/>
        <v>1</v>
      </c>
      <c r="P1071" s="683">
        <f t="shared" si="49"/>
        <v>100</v>
      </c>
      <c r="Q1071" s="684">
        <f t="shared" si="50"/>
        <v>1</v>
      </c>
      <c r="R1071" s="490"/>
    </row>
    <row r="1072" spans="1:18" x14ac:dyDescent="0.2">
      <c r="A1072" s="506" t="s">
        <v>276</v>
      </c>
      <c r="B1072" s="502" t="s">
        <v>779</v>
      </c>
      <c r="C1072" s="507" t="s">
        <v>289</v>
      </c>
      <c r="D1072" s="504" t="s">
        <v>281</v>
      </c>
      <c r="E1072" s="348"/>
      <c r="F1072" s="504" t="s">
        <v>109</v>
      </c>
      <c r="G1072" s="513" t="s">
        <v>823</v>
      </c>
      <c r="H1072" s="514" t="s">
        <v>819</v>
      </c>
      <c r="I1072" s="514" t="s">
        <v>784</v>
      </c>
      <c r="J1072" s="514" t="s">
        <v>650</v>
      </c>
      <c r="K1072" s="519">
        <v>100</v>
      </c>
      <c r="L1072" s="520"/>
      <c r="M1072" s="685">
        <v>2</v>
      </c>
      <c r="N1072" s="685">
        <v>2</v>
      </c>
      <c r="O1072" s="682">
        <f t="shared" si="48"/>
        <v>1</v>
      </c>
      <c r="P1072" s="683">
        <f t="shared" si="49"/>
        <v>100</v>
      </c>
      <c r="Q1072" s="684">
        <f t="shared" si="50"/>
        <v>1</v>
      </c>
      <c r="R1072" s="490"/>
    </row>
    <row r="1073" spans="1:18" x14ac:dyDescent="0.2">
      <c r="A1073" s="506" t="s">
        <v>276</v>
      </c>
      <c r="B1073" s="502" t="s">
        <v>779</v>
      </c>
      <c r="C1073" s="507" t="s">
        <v>97</v>
      </c>
      <c r="D1073" s="504" t="s">
        <v>279</v>
      </c>
      <c r="E1073" s="348"/>
      <c r="F1073" s="504" t="s">
        <v>109</v>
      </c>
      <c r="G1073" s="513" t="s">
        <v>824</v>
      </c>
      <c r="H1073" s="514" t="s">
        <v>783</v>
      </c>
      <c r="I1073" s="514" t="s">
        <v>784</v>
      </c>
      <c r="J1073" s="514" t="s">
        <v>650</v>
      </c>
      <c r="K1073" s="519">
        <v>100</v>
      </c>
      <c r="L1073" s="520"/>
      <c r="M1073" s="360">
        <v>6</v>
      </c>
      <c r="N1073" s="360">
        <v>6</v>
      </c>
      <c r="O1073" s="682">
        <f t="shared" si="48"/>
        <v>1</v>
      </c>
      <c r="P1073" s="683">
        <f t="shared" si="49"/>
        <v>100</v>
      </c>
      <c r="Q1073" s="684">
        <f t="shared" si="50"/>
        <v>1</v>
      </c>
      <c r="R1073" s="490"/>
    </row>
    <row r="1074" spans="1:18" x14ac:dyDescent="0.2">
      <c r="A1074" s="506" t="s">
        <v>276</v>
      </c>
      <c r="B1074" s="502" t="s">
        <v>779</v>
      </c>
      <c r="C1074" s="507" t="s">
        <v>97</v>
      </c>
      <c r="D1074" s="504" t="s">
        <v>281</v>
      </c>
      <c r="E1074" s="348"/>
      <c r="F1074" s="504" t="s">
        <v>109</v>
      </c>
      <c r="G1074" s="513" t="s">
        <v>824</v>
      </c>
      <c r="H1074" s="514" t="s">
        <v>783</v>
      </c>
      <c r="I1074" s="514" t="s">
        <v>784</v>
      </c>
      <c r="J1074" s="514" t="s">
        <v>650</v>
      </c>
      <c r="K1074" s="519">
        <v>100</v>
      </c>
      <c r="L1074" s="520"/>
      <c r="M1074" s="685">
        <v>9</v>
      </c>
      <c r="N1074" s="685">
        <v>9</v>
      </c>
      <c r="O1074" s="682">
        <f t="shared" si="48"/>
        <v>1</v>
      </c>
      <c r="P1074" s="683">
        <f t="shared" si="49"/>
        <v>100</v>
      </c>
      <c r="Q1074" s="684">
        <f t="shared" si="50"/>
        <v>1</v>
      </c>
      <c r="R1074" s="490"/>
    </row>
    <row r="1075" spans="1:18" x14ac:dyDescent="0.2">
      <c r="A1075" s="506" t="s">
        <v>276</v>
      </c>
      <c r="B1075" s="502" t="s">
        <v>779</v>
      </c>
      <c r="C1075" s="507" t="s">
        <v>282</v>
      </c>
      <c r="D1075" s="504" t="s">
        <v>287</v>
      </c>
      <c r="E1075" s="348"/>
      <c r="F1075" s="504" t="s">
        <v>109</v>
      </c>
      <c r="G1075" s="513" t="s">
        <v>824</v>
      </c>
      <c r="H1075" s="514" t="s">
        <v>785</v>
      </c>
      <c r="I1075" s="514" t="s">
        <v>784</v>
      </c>
      <c r="J1075" s="514" t="s">
        <v>650</v>
      </c>
      <c r="K1075" s="519">
        <v>100</v>
      </c>
      <c r="L1075" s="520"/>
      <c r="M1075" s="685">
        <v>68</v>
      </c>
      <c r="N1075" s="685">
        <v>0</v>
      </c>
      <c r="O1075" s="682">
        <f t="shared" si="48"/>
        <v>0</v>
      </c>
      <c r="P1075" s="683">
        <f t="shared" si="49"/>
        <v>0</v>
      </c>
      <c r="Q1075" s="684">
        <f t="shared" si="50"/>
        <v>0</v>
      </c>
      <c r="R1075" s="491" t="s">
        <v>1988</v>
      </c>
    </row>
    <row r="1076" spans="1:18" x14ac:dyDescent="0.2">
      <c r="A1076" s="506" t="s">
        <v>276</v>
      </c>
      <c r="B1076" s="502" t="s">
        <v>779</v>
      </c>
      <c r="C1076" s="507" t="s">
        <v>282</v>
      </c>
      <c r="D1076" s="504" t="s">
        <v>283</v>
      </c>
      <c r="E1076" s="348"/>
      <c r="F1076" s="504" t="s">
        <v>109</v>
      </c>
      <c r="G1076" s="513" t="s">
        <v>824</v>
      </c>
      <c r="H1076" s="514" t="s">
        <v>783</v>
      </c>
      <c r="I1076" s="514" t="s">
        <v>784</v>
      </c>
      <c r="J1076" s="514" t="s">
        <v>650</v>
      </c>
      <c r="K1076" s="519">
        <v>100</v>
      </c>
      <c r="L1076" s="520"/>
      <c r="M1076" s="685">
        <v>19</v>
      </c>
      <c r="N1076" s="685">
        <v>19</v>
      </c>
      <c r="O1076" s="682">
        <f t="shared" si="48"/>
        <v>1</v>
      </c>
      <c r="P1076" s="683">
        <f t="shared" si="49"/>
        <v>100</v>
      </c>
      <c r="Q1076" s="684">
        <f t="shared" si="50"/>
        <v>1</v>
      </c>
      <c r="R1076" s="490"/>
    </row>
    <row r="1077" spans="1:18" x14ac:dyDescent="0.2">
      <c r="A1077" s="506" t="s">
        <v>276</v>
      </c>
      <c r="B1077" s="502" t="s">
        <v>779</v>
      </c>
      <c r="C1077" s="507" t="s">
        <v>282</v>
      </c>
      <c r="D1077" s="504" t="s">
        <v>284</v>
      </c>
      <c r="E1077" s="348"/>
      <c r="F1077" s="504" t="s">
        <v>109</v>
      </c>
      <c r="G1077" s="513" t="s">
        <v>824</v>
      </c>
      <c r="H1077" s="514" t="s">
        <v>783</v>
      </c>
      <c r="I1077" s="514" t="s">
        <v>784</v>
      </c>
      <c r="J1077" s="514" t="s">
        <v>650</v>
      </c>
      <c r="K1077" s="519">
        <v>100</v>
      </c>
      <c r="L1077" s="520"/>
      <c r="M1077" s="685">
        <v>43</v>
      </c>
      <c r="N1077" s="685">
        <v>43</v>
      </c>
      <c r="O1077" s="682">
        <f t="shared" si="48"/>
        <v>1</v>
      </c>
      <c r="P1077" s="683">
        <f t="shared" si="49"/>
        <v>100</v>
      </c>
      <c r="Q1077" s="684">
        <f t="shared" si="50"/>
        <v>1</v>
      </c>
      <c r="R1077" s="490"/>
    </row>
    <row r="1078" spans="1:18" x14ac:dyDescent="0.2">
      <c r="A1078" s="506" t="s">
        <v>276</v>
      </c>
      <c r="B1078" s="502" t="s">
        <v>779</v>
      </c>
      <c r="C1078" s="507" t="s">
        <v>282</v>
      </c>
      <c r="D1078" s="504" t="s">
        <v>279</v>
      </c>
      <c r="E1078" s="348"/>
      <c r="F1078" s="504" t="s">
        <v>109</v>
      </c>
      <c r="G1078" s="513" t="s">
        <v>824</v>
      </c>
      <c r="H1078" s="514" t="s">
        <v>783</v>
      </c>
      <c r="I1078" s="514" t="s">
        <v>784</v>
      </c>
      <c r="J1078" s="514" t="s">
        <v>650</v>
      </c>
      <c r="K1078" s="519">
        <v>100</v>
      </c>
      <c r="L1078" s="520"/>
      <c r="M1078" s="685">
        <v>65</v>
      </c>
      <c r="N1078" s="685">
        <v>65</v>
      </c>
      <c r="O1078" s="682">
        <f t="shared" si="48"/>
        <v>1</v>
      </c>
      <c r="P1078" s="683">
        <f t="shared" si="49"/>
        <v>100</v>
      </c>
      <c r="Q1078" s="684">
        <f t="shared" si="50"/>
        <v>1</v>
      </c>
      <c r="R1078" s="490"/>
    </row>
    <row r="1079" spans="1:18" x14ac:dyDescent="0.2">
      <c r="A1079" s="506" t="s">
        <v>276</v>
      </c>
      <c r="B1079" s="502" t="s">
        <v>779</v>
      </c>
      <c r="C1079" s="507" t="s">
        <v>282</v>
      </c>
      <c r="D1079" s="504" t="s">
        <v>281</v>
      </c>
      <c r="E1079" s="348"/>
      <c r="F1079" s="504" t="s">
        <v>109</v>
      </c>
      <c r="G1079" s="513" t="s">
        <v>824</v>
      </c>
      <c r="H1079" s="514" t="s">
        <v>783</v>
      </c>
      <c r="I1079" s="514" t="s">
        <v>784</v>
      </c>
      <c r="J1079" s="514" t="s">
        <v>650</v>
      </c>
      <c r="K1079" s="519">
        <v>100</v>
      </c>
      <c r="L1079" s="520"/>
      <c r="M1079" s="685">
        <v>48</v>
      </c>
      <c r="N1079" s="685">
        <v>48</v>
      </c>
      <c r="O1079" s="682">
        <f t="shared" si="48"/>
        <v>1</v>
      </c>
      <c r="P1079" s="683">
        <f t="shared" si="49"/>
        <v>100</v>
      </c>
      <c r="Q1079" s="684">
        <f t="shared" si="50"/>
        <v>1</v>
      </c>
      <c r="R1079" s="490"/>
    </row>
    <row r="1080" spans="1:18" x14ac:dyDescent="0.2">
      <c r="A1080" s="506" t="s">
        <v>276</v>
      </c>
      <c r="B1080" s="502" t="s">
        <v>779</v>
      </c>
      <c r="C1080" s="507" t="s">
        <v>288</v>
      </c>
      <c r="D1080" s="504" t="s">
        <v>287</v>
      </c>
      <c r="E1080" s="348"/>
      <c r="F1080" s="504" t="s">
        <v>109</v>
      </c>
      <c r="G1080" s="513" t="s">
        <v>824</v>
      </c>
      <c r="H1080" s="514" t="s">
        <v>785</v>
      </c>
      <c r="I1080" s="514" t="s">
        <v>784</v>
      </c>
      <c r="J1080" s="514" t="s">
        <v>650</v>
      </c>
      <c r="K1080" s="519">
        <v>100</v>
      </c>
      <c r="L1080" s="520"/>
      <c r="M1080" s="685">
        <v>299</v>
      </c>
      <c r="N1080" s="685">
        <v>299</v>
      </c>
      <c r="O1080" s="682">
        <f t="shared" si="48"/>
        <v>1</v>
      </c>
      <c r="P1080" s="683">
        <f t="shared" si="49"/>
        <v>100</v>
      </c>
      <c r="Q1080" s="684">
        <f t="shared" si="50"/>
        <v>1</v>
      </c>
      <c r="R1080" s="490"/>
    </row>
    <row r="1081" spans="1:18" x14ac:dyDescent="0.2">
      <c r="A1081" s="506" t="s">
        <v>276</v>
      </c>
      <c r="B1081" s="502" t="s">
        <v>779</v>
      </c>
      <c r="C1081" s="507" t="s">
        <v>288</v>
      </c>
      <c r="D1081" s="504" t="s">
        <v>283</v>
      </c>
      <c r="E1081" s="348"/>
      <c r="F1081" s="504" t="s">
        <v>109</v>
      </c>
      <c r="G1081" s="513" t="s">
        <v>824</v>
      </c>
      <c r="H1081" s="514" t="s">
        <v>783</v>
      </c>
      <c r="I1081" s="514" t="s">
        <v>784</v>
      </c>
      <c r="J1081" s="514" t="s">
        <v>650</v>
      </c>
      <c r="K1081" s="519">
        <v>100</v>
      </c>
      <c r="L1081" s="520"/>
      <c r="M1081" s="685">
        <v>64</v>
      </c>
      <c r="N1081" s="685">
        <v>64</v>
      </c>
      <c r="O1081" s="682">
        <f t="shared" si="48"/>
        <v>1</v>
      </c>
      <c r="P1081" s="683">
        <f t="shared" si="49"/>
        <v>100</v>
      </c>
      <c r="Q1081" s="684">
        <f t="shared" si="50"/>
        <v>1</v>
      </c>
      <c r="R1081" s="490"/>
    </row>
    <row r="1082" spans="1:18" x14ac:dyDescent="0.2">
      <c r="A1082" s="506" t="s">
        <v>276</v>
      </c>
      <c r="B1082" s="502" t="s">
        <v>779</v>
      </c>
      <c r="C1082" s="507" t="s">
        <v>288</v>
      </c>
      <c r="D1082" s="504" t="s">
        <v>284</v>
      </c>
      <c r="E1082" s="348"/>
      <c r="F1082" s="504" t="s">
        <v>109</v>
      </c>
      <c r="G1082" s="513" t="s">
        <v>824</v>
      </c>
      <c r="H1082" s="514" t="s">
        <v>783</v>
      </c>
      <c r="I1082" s="514" t="s">
        <v>784</v>
      </c>
      <c r="J1082" s="514" t="s">
        <v>650</v>
      </c>
      <c r="K1082" s="519">
        <v>100</v>
      </c>
      <c r="L1082" s="520"/>
      <c r="M1082" s="685">
        <v>10</v>
      </c>
      <c r="N1082" s="685">
        <v>10</v>
      </c>
      <c r="O1082" s="682">
        <f t="shared" si="48"/>
        <v>1</v>
      </c>
      <c r="P1082" s="683">
        <f t="shared" si="49"/>
        <v>100</v>
      </c>
      <c r="Q1082" s="684">
        <f t="shared" si="50"/>
        <v>1</v>
      </c>
      <c r="R1082" s="490"/>
    </row>
    <row r="1083" spans="1:18" x14ac:dyDescent="0.2">
      <c r="A1083" s="506" t="s">
        <v>276</v>
      </c>
      <c r="B1083" s="502" t="s">
        <v>779</v>
      </c>
      <c r="C1083" s="507" t="s">
        <v>288</v>
      </c>
      <c r="D1083" s="504" t="s">
        <v>279</v>
      </c>
      <c r="E1083" s="348"/>
      <c r="F1083" s="504" t="s">
        <v>109</v>
      </c>
      <c r="G1083" s="513" t="s">
        <v>824</v>
      </c>
      <c r="H1083" s="514" t="s">
        <v>783</v>
      </c>
      <c r="I1083" s="514" t="s">
        <v>784</v>
      </c>
      <c r="J1083" s="514" t="s">
        <v>650</v>
      </c>
      <c r="K1083" s="519">
        <v>100</v>
      </c>
      <c r="L1083" s="520"/>
      <c r="M1083" s="685">
        <v>2</v>
      </c>
      <c r="N1083" s="685">
        <v>2</v>
      </c>
      <c r="O1083" s="682">
        <f t="shared" si="48"/>
        <v>1</v>
      </c>
      <c r="P1083" s="683">
        <f t="shared" si="49"/>
        <v>100</v>
      </c>
      <c r="Q1083" s="684">
        <f t="shared" si="50"/>
        <v>1</v>
      </c>
      <c r="R1083" s="490"/>
    </row>
    <row r="1084" spans="1:18" x14ac:dyDescent="0.2">
      <c r="A1084" s="506" t="s">
        <v>276</v>
      </c>
      <c r="B1084" s="502" t="s">
        <v>779</v>
      </c>
      <c r="C1084" s="507" t="s">
        <v>288</v>
      </c>
      <c r="D1084" s="504" t="s">
        <v>281</v>
      </c>
      <c r="E1084" s="348"/>
      <c r="F1084" s="504" t="s">
        <v>109</v>
      </c>
      <c r="G1084" s="513" t="s">
        <v>824</v>
      </c>
      <c r="H1084" s="514" t="s">
        <v>783</v>
      </c>
      <c r="I1084" s="514" t="s">
        <v>784</v>
      </c>
      <c r="J1084" s="514" t="s">
        <v>650</v>
      </c>
      <c r="K1084" s="519">
        <v>100</v>
      </c>
      <c r="L1084" s="520"/>
      <c r="M1084" s="685">
        <v>17</v>
      </c>
      <c r="N1084" s="685">
        <v>17</v>
      </c>
      <c r="O1084" s="682">
        <f t="shared" si="48"/>
        <v>1</v>
      </c>
      <c r="P1084" s="683">
        <f t="shared" si="49"/>
        <v>100</v>
      </c>
      <c r="Q1084" s="684">
        <f t="shared" si="50"/>
        <v>1</v>
      </c>
      <c r="R1084" s="490"/>
    </row>
    <row r="1085" spans="1:18" x14ac:dyDescent="0.2">
      <c r="A1085" s="506" t="s">
        <v>276</v>
      </c>
      <c r="B1085" s="502" t="s">
        <v>779</v>
      </c>
      <c r="C1085" s="507" t="s">
        <v>99</v>
      </c>
      <c r="D1085" s="504" t="s">
        <v>287</v>
      </c>
      <c r="E1085" s="348"/>
      <c r="F1085" s="504" t="s">
        <v>109</v>
      </c>
      <c r="G1085" s="513" t="s">
        <v>824</v>
      </c>
      <c r="H1085" s="514" t="s">
        <v>785</v>
      </c>
      <c r="I1085" s="514" t="s">
        <v>784</v>
      </c>
      <c r="J1085" s="514" t="s">
        <v>650</v>
      </c>
      <c r="K1085" s="519">
        <v>100</v>
      </c>
      <c r="L1085" s="520"/>
      <c r="M1085" s="685">
        <v>326</v>
      </c>
      <c r="N1085" s="685">
        <v>0</v>
      </c>
      <c r="O1085" s="682">
        <f t="shared" si="48"/>
        <v>0</v>
      </c>
      <c r="P1085" s="683">
        <f t="shared" si="49"/>
        <v>0</v>
      </c>
      <c r="Q1085" s="684">
        <f t="shared" si="50"/>
        <v>0</v>
      </c>
      <c r="R1085" s="491" t="s">
        <v>1988</v>
      </c>
    </row>
    <row r="1086" spans="1:18" x14ac:dyDescent="0.2">
      <c r="A1086" s="506" t="s">
        <v>276</v>
      </c>
      <c r="B1086" s="502" t="s">
        <v>779</v>
      </c>
      <c r="C1086" s="507" t="s">
        <v>99</v>
      </c>
      <c r="D1086" s="504" t="s">
        <v>283</v>
      </c>
      <c r="E1086" s="348"/>
      <c r="F1086" s="504" t="s">
        <v>109</v>
      </c>
      <c r="G1086" s="513" t="s">
        <v>824</v>
      </c>
      <c r="H1086" s="514" t="s">
        <v>783</v>
      </c>
      <c r="I1086" s="514" t="s">
        <v>784</v>
      </c>
      <c r="J1086" s="514" t="s">
        <v>650</v>
      </c>
      <c r="K1086" s="519">
        <v>100</v>
      </c>
      <c r="L1086" s="520"/>
      <c r="M1086" s="685">
        <v>17</v>
      </c>
      <c r="N1086" s="685">
        <v>17</v>
      </c>
      <c r="O1086" s="682">
        <f t="shared" si="48"/>
        <v>1</v>
      </c>
      <c r="P1086" s="683">
        <f t="shared" si="49"/>
        <v>100</v>
      </c>
      <c r="Q1086" s="684">
        <f t="shared" si="50"/>
        <v>1</v>
      </c>
      <c r="R1086" s="490"/>
    </row>
    <row r="1087" spans="1:18" x14ac:dyDescent="0.2">
      <c r="A1087" s="506" t="s">
        <v>276</v>
      </c>
      <c r="B1087" s="502" t="s">
        <v>779</v>
      </c>
      <c r="C1087" s="507" t="s">
        <v>99</v>
      </c>
      <c r="D1087" s="504" t="s">
        <v>284</v>
      </c>
      <c r="E1087" s="348"/>
      <c r="F1087" s="504" t="s">
        <v>109</v>
      </c>
      <c r="G1087" s="513" t="s">
        <v>824</v>
      </c>
      <c r="H1087" s="514" t="s">
        <v>783</v>
      </c>
      <c r="I1087" s="514" t="s">
        <v>784</v>
      </c>
      <c r="J1087" s="514" t="s">
        <v>650</v>
      </c>
      <c r="K1087" s="519">
        <v>100</v>
      </c>
      <c r="L1087" s="520"/>
      <c r="M1087" s="685">
        <v>8</v>
      </c>
      <c r="N1087" s="685">
        <v>8</v>
      </c>
      <c r="O1087" s="682">
        <f t="shared" si="48"/>
        <v>1</v>
      </c>
      <c r="P1087" s="683">
        <f t="shared" si="49"/>
        <v>100</v>
      </c>
      <c r="Q1087" s="684">
        <f t="shared" si="50"/>
        <v>1</v>
      </c>
      <c r="R1087" s="490"/>
    </row>
    <row r="1088" spans="1:18" x14ac:dyDescent="0.2">
      <c r="A1088" s="506" t="s">
        <v>276</v>
      </c>
      <c r="B1088" s="502" t="s">
        <v>779</v>
      </c>
      <c r="C1088" s="507" t="s">
        <v>99</v>
      </c>
      <c r="D1088" s="504" t="s">
        <v>279</v>
      </c>
      <c r="E1088" s="348"/>
      <c r="F1088" s="504" t="s">
        <v>109</v>
      </c>
      <c r="G1088" s="513" t="s">
        <v>824</v>
      </c>
      <c r="H1088" s="514" t="s">
        <v>783</v>
      </c>
      <c r="I1088" s="514" t="s">
        <v>784</v>
      </c>
      <c r="J1088" s="514" t="s">
        <v>650</v>
      </c>
      <c r="K1088" s="519">
        <v>100</v>
      </c>
      <c r="L1088" s="520"/>
      <c r="M1088" s="685">
        <v>5</v>
      </c>
      <c r="N1088" s="685">
        <v>5</v>
      </c>
      <c r="O1088" s="682">
        <f t="shared" si="48"/>
        <v>1</v>
      </c>
      <c r="P1088" s="683">
        <f t="shared" si="49"/>
        <v>100</v>
      </c>
      <c r="Q1088" s="684">
        <f t="shared" si="50"/>
        <v>1</v>
      </c>
      <c r="R1088" s="490"/>
    </row>
    <row r="1089" spans="1:18" x14ac:dyDescent="0.2">
      <c r="A1089" s="506" t="s">
        <v>276</v>
      </c>
      <c r="B1089" s="502" t="s">
        <v>779</v>
      </c>
      <c r="C1089" s="507" t="s">
        <v>99</v>
      </c>
      <c r="D1089" s="504" t="s">
        <v>281</v>
      </c>
      <c r="E1089" s="348"/>
      <c r="F1089" s="504" t="s">
        <v>109</v>
      </c>
      <c r="G1089" s="513" t="s">
        <v>824</v>
      </c>
      <c r="H1089" s="514" t="s">
        <v>783</v>
      </c>
      <c r="I1089" s="514" t="s">
        <v>784</v>
      </c>
      <c r="J1089" s="514" t="s">
        <v>650</v>
      </c>
      <c r="K1089" s="519">
        <v>100</v>
      </c>
      <c r="L1089" s="520"/>
      <c r="M1089" s="685">
        <v>1</v>
      </c>
      <c r="N1089" s="685">
        <v>1</v>
      </c>
      <c r="O1089" s="682">
        <f t="shared" si="48"/>
        <v>1</v>
      </c>
      <c r="P1089" s="683">
        <f t="shared" si="49"/>
        <v>100</v>
      </c>
      <c r="Q1089" s="684">
        <f t="shared" si="50"/>
        <v>1</v>
      </c>
      <c r="R1089" s="490"/>
    </row>
    <row r="1090" spans="1:18" x14ac:dyDescent="0.2">
      <c r="A1090" s="506" t="s">
        <v>276</v>
      </c>
      <c r="B1090" s="502" t="s">
        <v>779</v>
      </c>
      <c r="C1090" s="507" t="s">
        <v>285</v>
      </c>
      <c r="D1090" s="504" t="s">
        <v>287</v>
      </c>
      <c r="E1090" s="348"/>
      <c r="F1090" s="504" t="s">
        <v>109</v>
      </c>
      <c r="G1090" s="513" t="s">
        <v>824</v>
      </c>
      <c r="H1090" s="514" t="s">
        <v>785</v>
      </c>
      <c r="I1090" s="514" t="s">
        <v>784</v>
      </c>
      <c r="J1090" s="514" t="s">
        <v>650</v>
      </c>
      <c r="K1090" s="519">
        <v>100</v>
      </c>
      <c r="L1090" s="520"/>
      <c r="M1090" s="685">
        <v>0</v>
      </c>
      <c r="N1090" s="685">
        <v>0</v>
      </c>
      <c r="O1090" s="682">
        <f t="shared" si="48"/>
        <v>0</v>
      </c>
      <c r="P1090" s="683" t="str">
        <f t="shared" si="49"/>
        <v>0</v>
      </c>
      <c r="Q1090" s="684" t="str">
        <f t="shared" si="50"/>
        <v>0</v>
      </c>
      <c r="R1090" s="491" t="s">
        <v>1988</v>
      </c>
    </row>
    <row r="1091" spans="1:18" x14ac:dyDescent="0.2">
      <c r="A1091" s="506" t="s">
        <v>276</v>
      </c>
      <c r="B1091" s="502" t="s">
        <v>779</v>
      </c>
      <c r="C1091" s="507" t="s">
        <v>285</v>
      </c>
      <c r="D1091" s="504" t="s">
        <v>283</v>
      </c>
      <c r="E1091" s="348"/>
      <c r="F1091" s="504" t="s">
        <v>109</v>
      </c>
      <c r="G1091" s="513" t="s">
        <v>824</v>
      </c>
      <c r="H1091" s="514" t="s">
        <v>783</v>
      </c>
      <c r="I1091" s="514" t="s">
        <v>784</v>
      </c>
      <c r="J1091" s="514" t="s">
        <v>650</v>
      </c>
      <c r="K1091" s="519">
        <v>100</v>
      </c>
      <c r="L1091" s="520"/>
      <c r="M1091" s="685">
        <v>5</v>
      </c>
      <c r="N1091" s="685">
        <v>5</v>
      </c>
      <c r="O1091" s="682">
        <f t="shared" si="48"/>
        <v>1</v>
      </c>
      <c r="P1091" s="683">
        <f t="shared" si="49"/>
        <v>100</v>
      </c>
      <c r="Q1091" s="684">
        <f t="shared" si="50"/>
        <v>1</v>
      </c>
      <c r="R1091" s="490"/>
    </row>
    <row r="1092" spans="1:18" x14ac:dyDescent="0.2">
      <c r="A1092" s="506" t="s">
        <v>276</v>
      </c>
      <c r="B1092" s="502" t="s">
        <v>779</v>
      </c>
      <c r="C1092" s="507" t="s">
        <v>285</v>
      </c>
      <c r="D1092" s="504" t="s">
        <v>284</v>
      </c>
      <c r="E1092" s="348"/>
      <c r="F1092" s="504" t="s">
        <v>109</v>
      </c>
      <c r="G1092" s="513" t="s">
        <v>824</v>
      </c>
      <c r="H1092" s="514" t="s">
        <v>783</v>
      </c>
      <c r="I1092" s="514" t="s">
        <v>784</v>
      </c>
      <c r="J1092" s="514" t="s">
        <v>650</v>
      </c>
      <c r="K1092" s="519">
        <v>100</v>
      </c>
      <c r="L1092" s="520"/>
      <c r="M1092" s="685">
        <v>4</v>
      </c>
      <c r="N1092" s="685">
        <v>4</v>
      </c>
      <c r="O1092" s="682">
        <f t="shared" si="48"/>
        <v>1</v>
      </c>
      <c r="P1092" s="683">
        <f t="shared" si="49"/>
        <v>100</v>
      </c>
      <c r="Q1092" s="684">
        <f t="shared" si="50"/>
        <v>1</v>
      </c>
      <c r="R1092" s="490"/>
    </row>
    <row r="1093" spans="1:18" x14ac:dyDescent="0.2">
      <c r="A1093" s="506" t="s">
        <v>276</v>
      </c>
      <c r="B1093" s="502" t="s">
        <v>779</v>
      </c>
      <c r="C1093" s="507" t="s">
        <v>285</v>
      </c>
      <c r="D1093" s="504" t="s">
        <v>279</v>
      </c>
      <c r="E1093" s="348"/>
      <c r="F1093" s="504" t="s">
        <v>109</v>
      </c>
      <c r="G1093" s="513" t="s">
        <v>824</v>
      </c>
      <c r="H1093" s="514" t="s">
        <v>783</v>
      </c>
      <c r="I1093" s="514" t="s">
        <v>784</v>
      </c>
      <c r="J1093" s="514" t="s">
        <v>650</v>
      </c>
      <c r="K1093" s="519">
        <v>100</v>
      </c>
      <c r="L1093" s="520"/>
      <c r="M1093" s="685">
        <v>1</v>
      </c>
      <c r="N1093" s="685">
        <v>1</v>
      </c>
      <c r="O1093" s="682">
        <f t="shared" ref="O1093:O1156" si="51">IFERROR(N1093/M1093,0)</f>
        <v>1</v>
      </c>
      <c r="P1093" s="683">
        <f t="shared" ref="P1093:P1156" si="52">IFERROR(N1093/(M1093*(K1093/100))*100,"0")</f>
        <v>100</v>
      </c>
      <c r="Q1093" s="684">
        <f t="shared" ref="Q1093:Q1156" si="53">IFERROR(N1093/(M1093*(K1093/100)),"0")</f>
        <v>1</v>
      </c>
      <c r="R1093" s="490"/>
    </row>
    <row r="1094" spans="1:18" x14ac:dyDescent="0.2">
      <c r="A1094" s="506" t="s">
        <v>276</v>
      </c>
      <c r="B1094" s="502" t="s">
        <v>779</v>
      </c>
      <c r="C1094" s="507" t="s">
        <v>285</v>
      </c>
      <c r="D1094" s="504" t="s">
        <v>281</v>
      </c>
      <c r="E1094" s="348"/>
      <c r="F1094" s="504" t="s">
        <v>109</v>
      </c>
      <c r="G1094" s="513" t="s">
        <v>824</v>
      </c>
      <c r="H1094" s="514" t="s">
        <v>783</v>
      </c>
      <c r="I1094" s="514" t="s">
        <v>784</v>
      </c>
      <c r="J1094" s="514" t="s">
        <v>650</v>
      </c>
      <c r="K1094" s="519">
        <v>100</v>
      </c>
      <c r="L1094" s="520"/>
      <c r="M1094" s="685">
        <v>12</v>
      </c>
      <c r="N1094" s="685">
        <v>12</v>
      </c>
      <c r="O1094" s="682">
        <f t="shared" si="51"/>
        <v>1</v>
      </c>
      <c r="P1094" s="683">
        <f t="shared" si="52"/>
        <v>100</v>
      </c>
      <c r="Q1094" s="684">
        <f t="shared" si="53"/>
        <v>1</v>
      </c>
      <c r="R1094" s="490"/>
    </row>
    <row r="1095" spans="1:18" x14ac:dyDescent="0.2">
      <c r="A1095" s="506" t="s">
        <v>276</v>
      </c>
      <c r="B1095" s="502" t="s">
        <v>779</v>
      </c>
      <c r="C1095" s="507" t="s">
        <v>285</v>
      </c>
      <c r="D1095" s="504" t="s">
        <v>286</v>
      </c>
      <c r="E1095" s="348"/>
      <c r="F1095" s="504" t="s">
        <v>109</v>
      </c>
      <c r="G1095" s="513" t="s">
        <v>824</v>
      </c>
      <c r="H1095" s="514" t="s">
        <v>783</v>
      </c>
      <c r="I1095" s="514" t="s">
        <v>784</v>
      </c>
      <c r="J1095" s="514" t="s">
        <v>650</v>
      </c>
      <c r="K1095" s="519">
        <v>100</v>
      </c>
      <c r="L1095" s="520"/>
      <c r="M1095" s="685">
        <v>20</v>
      </c>
      <c r="N1095" s="685">
        <v>20</v>
      </c>
      <c r="O1095" s="682">
        <f t="shared" si="51"/>
        <v>1</v>
      </c>
      <c r="P1095" s="683">
        <f t="shared" si="52"/>
        <v>100</v>
      </c>
      <c r="Q1095" s="684">
        <f t="shared" si="53"/>
        <v>1</v>
      </c>
      <c r="R1095" s="490"/>
    </row>
    <row r="1096" spans="1:18" x14ac:dyDescent="0.2">
      <c r="A1096" s="506" t="s">
        <v>276</v>
      </c>
      <c r="B1096" s="502" t="s">
        <v>779</v>
      </c>
      <c r="C1096" s="507" t="s">
        <v>291</v>
      </c>
      <c r="D1096" s="504" t="s">
        <v>283</v>
      </c>
      <c r="E1096" s="348"/>
      <c r="F1096" s="504" t="s">
        <v>109</v>
      </c>
      <c r="G1096" s="513" t="s">
        <v>824</v>
      </c>
      <c r="H1096" s="514" t="s">
        <v>783</v>
      </c>
      <c r="I1096" s="514" t="s">
        <v>784</v>
      </c>
      <c r="J1096" s="514" t="s">
        <v>650</v>
      </c>
      <c r="K1096" s="519">
        <v>100</v>
      </c>
      <c r="L1096" s="520"/>
      <c r="M1096" s="685">
        <v>0</v>
      </c>
      <c r="N1096" s="685">
        <v>0</v>
      </c>
      <c r="O1096" s="682">
        <f t="shared" si="51"/>
        <v>0</v>
      </c>
      <c r="P1096" s="683" t="str">
        <f t="shared" si="52"/>
        <v>0</v>
      </c>
      <c r="Q1096" s="684" t="str">
        <f t="shared" si="53"/>
        <v>0</v>
      </c>
      <c r="R1096" s="491"/>
    </row>
    <row r="1097" spans="1:18" x14ac:dyDescent="0.2">
      <c r="A1097" s="506" t="s">
        <v>276</v>
      </c>
      <c r="B1097" s="502" t="s">
        <v>779</v>
      </c>
      <c r="C1097" s="507" t="s">
        <v>291</v>
      </c>
      <c r="D1097" s="504" t="s">
        <v>284</v>
      </c>
      <c r="E1097" s="348"/>
      <c r="F1097" s="504" t="s">
        <v>109</v>
      </c>
      <c r="G1097" s="513" t="s">
        <v>824</v>
      </c>
      <c r="H1097" s="514" t="s">
        <v>783</v>
      </c>
      <c r="I1097" s="514" t="s">
        <v>784</v>
      </c>
      <c r="J1097" s="514" t="s">
        <v>650</v>
      </c>
      <c r="K1097" s="519">
        <v>100</v>
      </c>
      <c r="L1097" s="520"/>
      <c r="M1097" s="685">
        <v>0</v>
      </c>
      <c r="N1097" s="685">
        <v>0</v>
      </c>
      <c r="O1097" s="682">
        <f t="shared" si="51"/>
        <v>0</v>
      </c>
      <c r="P1097" s="683" t="str">
        <f t="shared" si="52"/>
        <v>0</v>
      </c>
      <c r="Q1097" s="684" t="str">
        <f t="shared" si="53"/>
        <v>0</v>
      </c>
      <c r="R1097" s="491"/>
    </row>
    <row r="1098" spans="1:18" x14ac:dyDescent="0.2">
      <c r="A1098" s="506" t="s">
        <v>276</v>
      </c>
      <c r="B1098" s="502" t="s">
        <v>779</v>
      </c>
      <c r="C1098" s="507" t="s">
        <v>290</v>
      </c>
      <c r="D1098" s="504" t="s">
        <v>287</v>
      </c>
      <c r="E1098" s="348"/>
      <c r="F1098" s="504" t="s">
        <v>109</v>
      </c>
      <c r="G1098" s="513" t="s">
        <v>824</v>
      </c>
      <c r="H1098" s="514" t="s">
        <v>785</v>
      </c>
      <c r="I1098" s="514" t="s">
        <v>784</v>
      </c>
      <c r="J1098" s="514" t="s">
        <v>650</v>
      </c>
      <c r="K1098" s="519">
        <v>100</v>
      </c>
      <c r="L1098" s="520"/>
      <c r="M1098" s="685">
        <v>65</v>
      </c>
      <c r="N1098" s="685">
        <v>0</v>
      </c>
      <c r="O1098" s="682">
        <f t="shared" si="51"/>
        <v>0</v>
      </c>
      <c r="P1098" s="683">
        <f t="shared" si="52"/>
        <v>0</v>
      </c>
      <c r="Q1098" s="684">
        <f t="shared" si="53"/>
        <v>0</v>
      </c>
      <c r="R1098" s="491" t="s">
        <v>1988</v>
      </c>
    </row>
    <row r="1099" spans="1:18" x14ac:dyDescent="0.2">
      <c r="A1099" s="506" t="s">
        <v>276</v>
      </c>
      <c r="B1099" s="502" t="s">
        <v>779</v>
      </c>
      <c r="C1099" s="507" t="s">
        <v>290</v>
      </c>
      <c r="D1099" s="504" t="s">
        <v>283</v>
      </c>
      <c r="E1099" s="348"/>
      <c r="F1099" s="504" t="s">
        <v>109</v>
      </c>
      <c r="G1099" s="513" t="s">
        <v>824</v>
      </c>
      <c r="H1099" s="514" t="s">
        <v>783</v>
      </c>
      <c r="I1099" s="514" t="s">
        <v>784</v>
      </c>
      <c r="J1099" s="514" t="s">
        <v>650</v>
      </c>
      <c r="K1099" s="519">
        <v>100</v>
      </c>
      <c r="L1099" s="520"/>
      <c r="M1099" s="685">
        <v>5</v>
      </c>
      <c r="N1099" s="685">
        <v>5</v>
      </c>
      <c r="O1099" s="682">
        <f t="shared" si="51"/>
        <v>1</v>
      </c>
      <c r="P1099" s="683">
        <f t="shared" si="52"/>
        <v>100</v>
      </c>
      <c r="Q1099" s="684">
        <f t="shared" si="53"/>
        <v>1</v>
      </c>
      <c r="R1099" s="490"/>
    </row>
    <row r="1100" spans="1:18" x14ac:dyDescent="0.2">
      <c r="A1100" s="506" t="s">
        <v>276</v>
      </c>
      <c r="B1100" s="502" t="s">
        <v>779</v>
      </c>
      <c r="C1100" s="507" t="s">
        <v>290</v>
      </c>
      <c r="D1100" s="504" t="s">
        <v>284</v>
      </c>
      <c r="E1100" s="348"/>
      <c r="F1100" s="504" t="s">
        <v>109</v>
      </c>
      <c r="G1100" s="513" t="s">
        <v>824</v>
      </c>
      <c r="H1100" s="514" t="s">
        <v>783</v>
      </c>
      <c r="I1100" s="514" t="s">
        <v>784</v>
      </c>
      <c r="J1100" s="514" t="s">
        <v>650</v>
      </c>
      <c r="K1100" s="519">
        <v>100</v>
      </c>
      <c r="L1100" s="520"/>
      <c r="M1100" s="685">
        <v>0</v>
      </c>
      <c r="N1100" s="685">
        <v>0</v>
      </c>
      <c r="O1100" s="682">
        <f t="shared" si="51"/>
        <v>0</v>
      </c>
      <c r="P1100" s="683" t="str">
        <f t="shared" si="52"/>
        <v>0</v>
      </c>
      <c r="Q1100" s="684" t="str">
        <f t="shared" si="53"/>
        <v>0</v>
      </c>
      <c r="R1100" s="490"/>
    </row>
    <row r="1101" spans="1:18" x14ac:dyDescent="0.2">
      <c r="A1101" s="506" t="s">
        <v>276</v>
      </c>
      <c r="B1101" s="502" t="s">
        <v>779</v>
      </c>
      <c r="C1101" s="507" t="s">
        <v>289</v>
      </c>
      <c r="D1101" s="504" t="s">
        <v>287</v>
      </c>
      <c r="E1101" s="348"/>
      <c r="F1101" s="504" t="s">
        <v>109</v>
      </c>
      <c r="G1101" s="513" t="s">
        <v>824</v>
      </c>
      <c r="H1101" s="514" t="s">
        <v>785</v>
      </c>
      <c r="I1101" s="514" t="s">
        <v>784</v>
      </c>
      <c r="J1101" s="514" t="s">
        <v>650</v>
      </c>
      <c r="K1101" s="519">
        <v>100</v>
      </c>
      <c r="L1101" s="520"/>
      <c r="M1101" s="685">
        <v>733</v>
      </c>
      <c r="N1101" s="685">
        <v>733</v>
      </c>
      <c r="O1101" s="682">
        <f t="shared" si="51"/>
        <v>1</v>
      </c>
      <c r="P1101" s="683">
        <f t="shared" si="52"/>
        <v>100</v>
      </c>
      <c r="Q1101" s="684">
        <f t="shared" si="53"/>
        <v>1</v>
      </c>
      <c r="R1101" s="490"/>
    </row>
    <row r="1102" spans="1:18" x14ac:dyDescent="0.2">
      <c r="A1102" s="506" t="s">
        <v>276</v>
      </c>
      <c r="B1102" s="502" t="s">
        <v>779</v>
      </c>
      <c r="C1102" s="507" t="s">
        <v>289</v>
      </c>
      <c r="D1102" s="504" t="s">
        <v>283</v>
      </c>
      <c r="E1102" s="348"/>
      <c r="F1102" s="504" t="s">
        <v>109</v>
      </c>
      <c r="G1102" s="513" t="s">
        <v>824</v>
      </c>
      <c r="H1102" s="514" t="s">
        <v>783</v>
      </c>
      <c r="I1102" s="514" t="s">
        <v>784</v>
      </c>
      <c r="J1102" s="514" t="s">
        <v>650</v>
      </c>
      <c r="K1102" s="519">
        <v>100</v>
      </c>
      <c r="L1102" s="520"/>
      <c r="M1102" s="685">
        <v>134</v>
      </c>
      <c r="N1102" s="685">
        <v>134</v>
      </c>
      <c r="O1102" s="682">
        <f t="shared" si="51"/>
        <v>1</v>
      </c>
      <c r="P1102" s="683">
        <f t="shared" si="52"/>
        <v>100</v>
      </c>
      <c r="Q1102" s="684">
        <f t="shared" si="53"/>
        <v>1</v>
      </c>
      <c r="R1102" s="490"/>
    </row>
    <row r="1103" spans="1:18" x14ac:dyDescent="0.2">
      <c r="A1103" s="506" t="s">
        <v>276</v>
      </c>
      <c r="B1103" s="502" t="s">
        <v>779</v>
      </c>
      <c r="C1103" s="507" t="s">
        <v>289</v>
      </c>
      <c r="D1103" s="504" t="s">
        <v>284</v>
      </c>
      <c r="E1103" s="348"/>
      <c r="F1103" s="504" t="s">
        <v>109</v>
      </c>
      <c r="G1103" s="513" t="s">
        <v>824</v>
      </c>
      <c r="H1103" s="514" t="s">
        <v>783</v>
      </c>
      <c r="I1103" s="514" t="s">
        <v>784</v>
      </c>
      <c r="J1103" s="514" t="s">
        <v>650</v>
      </c>
      <c r="K1103" s="519">
        <v>100</v>
      </c>
      <c r="L1103" s="520"/>
      <c r="M1103" s="685">
        <v>29</v>
      </c>
      <c r="N1103" s="685">
        <v>29</v>
      </c>
      <c r="O1103" s="682">
        <f t="shared" si="51"/>
        <v>1</v>
      </c>
      <c r="P1103" s="683">
        <f t="shared" si="52"/>
        <v>100</v>
      </c>
      <c r="Q1103" s="684">
        <f t="shared" si="53"/>
        <v>1</v>
      </c>
      <c r="R1103" s="490"/>
    </row>
    <row r="1104" spans="1:18" x14ac:dyDescent="0.2">
      <c r="A1104" s="506" t="s">
        <v>276</v>
      </c>
      <c r="B1104" s="502" t="s">
        <v>779</v>
      </c>
      <c r="C1104" s="507" t="s">
        <v>289</v>
      </c>
      <c r="D1104" s="504" t="s">
        <v>281</v>
      </c>
      <c r="E1104" s="348"/>
      <c r="F1104" s="504" t="s">
        <v>109</v>
      </c>
      <c r="G1104" s="513" t="s">
        <v>824</v>
      </c>
      <c r="H1104" s="514" t="s">
        <v>783</v>
      </c>
      <c r="I1104" s="514" t="s">
        <v>784</v>
      </c>
      <c r="J1104" s="514" t="s">
        <v>650</v>
      </c>
      <c r="K1104" s="519">
        <v>100</v>
      </c>
      <c r="L1104" s="520"/>
      <c r="M1104" s="685">
        <v>2</v>
      </c>
      <c r="N1104" s="685">
        <v>2</v>
      </c>
      <c r="O1104" s="682">
        <f t="shared" si="51"/>
        <v>1</v>
      </c>
      <c r="P1104" s="683">
        <f t="shared" si="52"/>
        <v>100</v>
      </c>
      <c r="Q1104" s="684">
        <f t="shared" si="53"/>
        <v>1</v>
      </c>
      <c r="R1104" s="490"/>
    </row>
    <row r="1105" spans="1:18" x14ac:dyDescent="0.2">
      <c r="A1105" s="506" t="s">
        <v>276</v>
      </c>
      <c r="B1105" s="502" t="s">
        <v>779</v>
      </c>
      <c r="C1105" s="507" t="s">
        <v>97</v>
      </c>
      <c r="D1105" s="504" t="s">
        <v>279</v>
      </c>
      <c r="E1105" s="348"/>
      <c r="F1105" s="504" t="s">
        <v>109</v>
      </c>
      <c r="G1105" s="513" t="s">
        <v>825</v>
      </c>
      <c r="H1105" s="514" t="s">
        <v>783</v>
      </c>
      <c r="I1105" s="514" t="s">
        <v>784</v>
      </c>
      <c r="J1105" s="514" t="s">
        <v>650</v>
      </c>
      <c r="K1105" s="519">
        <v>100</v>
      </c>
      <c r="L1105" s="520"/>
      <c r="M1105" s="360">
        <v>6</v>
      </c>
      <c r="N1105" s="360">
        <v>6</v>
      </c>
      <c r="O1105" s="682">
        <f t="shared" si="51"/>
        <v>1</v>
      </c>
      <c r="P1105" s="683">
        <f t="shared" si="52"/>
        <v>100</v>
      </c>
      <c r="Q1105" s="684">
        <f t="shared" si="53"/>
        <v>1</v>
      </c>
      <c r="R1105" s="490"/>
    </row>
    <row r="1106" spans="1:18" x14ac:dyDescent="0.2">
      <c r="A1106" s="506" t="s">
        <v>276</v>
      </c>
      <c r="B1106" s="502" t="s">
        <v>779</v>
      </c>
      <c r="C1106" s="507" t="s">
        <v>97</v>
      </c>
      <c r="D1106" s="504" t="s">
        <v>281</v>
      </c>
      <c r="E1106" s="348"/>
      <c r="F1106" s="504" t="s">
        <v>109</v>
      </c>
      <c r="G1106" s="513" t="s">
        <v>825</v>
      </c>
      <c r="H1106" s="514" t="s">
        <v>783</v>
      </c>
      <c r="I1106" s="514" t="s">
        <v>784</v>
      </c>
      <c r="J1106" s="514" t="s">
        <v>650</v>
      </c>
      <c r="K1106" s="519">
        <v>100</v>
      </c>
      <c r="L1106" s="520"/>
      <c r="M1106" s="685">
        <v>9</v>
      </c>
      <c r="N1106" s="685">
        <v>9</v>
      </c>
      <c r="O1106" s="682">
        <f t="shared" si="51"/>
        <v>1</v>
      </c>
      <c r="P1106" s="683">
        <f t="shared" si="52"/>
        <v>100</v>
      </c>
      <c r="Q1106" s="684">
        <f t="shared" si="53"/>
        <v>1</v>
      </c>
      <c r="R1106" s="490"/>
    </row>
    <row r="1107" spans="1:18" x14ac:dyDescent="0.2">
      <c r="A1107" s="506" t="s">
        <v>276</v>
      </c>
      <c r="B1107" s="502" t="s">
        <v>779</v>
      </c>
      <c r="C1107" s="507" t="s">
        <v>282</v>
      </c>
      <c r="D1107" s="504" t="s">
        <v>287</v>
      </c>
      <c r="E1107" s="348"/>
      <c r="F1107" s="504" t="s">
        <v>109</v>
      </c>
      <c r="G1107" s="513" t="s">
        <v>825</v>
      </c>
      <c r="H1107" s="514" t="s">
        <v>785</v>
      </c>
      <c r="I1107" s="514" t="s">
        <v>784</v>
      </c>
      <c r="J1107" s="514" t="s">
        <v>650</v>
      </c>
      <c r="K1107" s="519">
        <v>100</v>
      </c>
      <c r="L1107" s="520"/>
      <c r="M1107" s="685">
        <v>68</v>
      </c>
      <c r="N1107" s="685">
        <v>68</v>
      </c>
      <c r="O1107" s="682">
        <f t="shared" si="51"/>
        <v>1</v>
      </c>
      <c r="P1107" s="683">
        <f t="shared" si="52"/>
        <v>100</v>
      </c>
      <c r="Q1107" s="684">
        <f t="shared" si="53"/>
        <v>1</v>
      </c>
      <c r="R1107" s="490"/>
    </row>
    <row r="1108" spans="1:18" x14ac:dyDescent="0.2">
      <c r="A1108" s="506" t="s">
        <v>276</v>
      </c>
      <c r="B1108" s="502" t="s">
        <v>779</v>
      </c>
      <c r="C1108" s="507" t="s">
        <v>282</v>
      </c>
      <c r="D1108" s="504" t="s">
        <v>283</v>
      </c>
      <c r="E1108" s="348"/>
      <c r="F1108" s="504" t="s">
        <v>109</v>
      </c>
      <c r="G1108" s="513" t="s">
        <v>825</v>
      </c>
      <c r="H1108" s="514" t="s">
        <v>783</v>
      </c>
      <c r="I1108" s="514" t="s">
        <v>784</v>
      </c>
      <c r="J1108" s="514" t="s">
        <v>650</v>
      </c>
      <c r="K1108" s="519">
        <v>100</v>
      </c>
      <c r="L1108" s="520"/>
      <c r="M1108" s="685">
        <v>19</v>
      </c>
      <c r="N1108" s="685">
        <v>19</v>
      </c>
      <c r="O1108" s="682">
        <f t="shared" si="51"/>
        <v>1</v>
      </c>
      <c r="P1108" s="683">
        <f t="shared" si="52"/>
        <v>100</v>
      </c>
      <c r="Q1108" s="684">
        <f t="shared" si="53"/>
        <v>1</v>
      </c>
      <c r="R1108" s="490"/>
    </row>
    <row r="1109" spans="1:18" x14ac:dyDescent="0.2">
      <c r="A1109" s="506" t="s">
        <v>276</v>
      </c>
      <c r="B1109" s="502" t="s">
        <v>779</v>
      </c>
      <c r="C1109" s="507" t="s">
        <v>282</v>
      </c>
      <c r="D1109" s="504" t="s">
        <v>284</v>
      </c>
      <c r="E1109" s="348"/>
      <c r="F1109" s="504" t="s">
        <v>109</v>
      </c>
      <c r="G1109" s="513" t="s">
        <v>825</v>
      </c>
      <c r="H1109" s="514" t="s">
        <v>783</v>
      </c>
      <c r="I1109" s="514" t="s">
        <v>784</v>
      </c>
      <c r="J1109" s="514" t="s">
        <v>650</v>
      </c>
      <c r="K1109" s="519">
        <v>100</v>
      </c>
      <c r="L1109" s="520"/>
      <c r="M1109" s="685">
        <v>43</v>
      </c>
      <c r="N1109" s="685">
        <v>43</v>
      </c>
      <c r="O1109" s="682">
        <f t="shared" si="51"/>
        <v>1</v>
      </c>
      <c r="P1109" s="683">
        <f t="shared" si="52"/>
        <v>100</v>
      </c>
      <c r="Q1109" s="684">
        <f t="shared" si="53"/>
        <v>1</v>
      </c>
      <c r="R1109" s="490"/>
    </row>
    <row r="1110" spans="1:18" x14ac:dyDescent="0.2">
      <c r="A1110" s="506" t="s">
        <v>276</v>
      </c>
      <c r="B1110" s="502" t="s">
        <v>779</v>
      </c>
      <c r="C1110" s="507" t="s">
        <v>282</v>
      </c>
      <c r="D1110" s="504" t="s">
        <v>279</v>
      </c>
      <c r="E1110" s="348"/>
      <c r="F1110" s="504" t="s">
        <v>109</v>
      </c>
      <c r="G1110" s="513" t="s">
        <v>825</v>
      </c>
      <c r="H1110" s="514" t="s">
        <v>783</v>
      </c>
      <c r="I1110" s="514" t="s">
        <v>784</v>
      </c>
      <c r="J1110" s="514" t="s">
        <v>650</v>
      </c>
      <c r="K1110" s="519">
        <v>100</v>
      </c>
      <c r="L1110" s="520"/>
      <c r="M1110" s="685">
        <v>65</v>
      </c>
      <c r="N1110" s="685">
        <v>65</v>
      </c>
      <c r="O1110" s="682">
        <f t="shared" si="51"/>
        <v>1</v>
      </c>
      <c r="P1110" s="683">
        <f t="shared" si="52"/>
        <v>100</v>
      </c>
      <c r="Q1110" s="684">
        <f t="shared" si="53"/>
        <v>1</v>
      </c>
      <c r="R1110" s="490"/>
    </row>
    <row r="1111" spans="1:18" x14ac:dyDescent="0.2">
      <c r="A1111" s="506" t="s">
        <v>276</v>
      </c>
      <c r="B1111" s="502" t="s">
        <v>779</v>
      </c>
      <c r="C1111" s="507" t="s">
        <v>282</v>
      </c>
      <c r="D1111" s="504" t="s">
        <v>281</v>
      </c>
      <c r="E1111" s="348"/>
      <c r="F1111" s="504" t="s">
        <v>109</v>
      </c>
      <c r="G1111" s="513" t="s">
        <v>825</v>
      </c>
      <c r="H1111" s="514" t="s">
        <v>783</v>
      </c>
      <c r="I1111" s="514" t="s">
        <v>784</v>
      </c>
      <c r="J1111" s="514" t="s">
        <v>650</v>
      </c>
      <c r="K1111" s="519">
        <v>100</v>
      </c>
      <c r="L1111" s="520"/>
      <c r="M1111" s="685">
        <v>48</v>
      </c>
      <c r="N1111" s="685">
        <v>48</v>
      </c>
      <c r="O1111" s="682">
        <f t="shared" si="51"/>
        <v>1</v>
      </c>
      <c r="P1111" s="683">
        <f t="shared" si="52"/>
        <v>100</v>
      </c>
      <c r="Q1111" s="684">
        <f t="shared" si="53"/>
        <v>1</v>
      </c>
      <c r="R1111" s="490"/>
    </row>
    <row r="1112" spans="1:18" x14ac:dyDescent="0.2">
      <c r="A1112" s="506" t="s">
        <v>276</v>
      </c>
      <c r="B1112" s="502" t="s">
        <v>779</v>
      </c>
      <c r="C1112" s="507" t="s">
        <v>288</v>
      </c>
      <c r="D1112" s="504" t="s">
        <v>287</v>
      </c>
      <c r="E1112" s="348"/>
      <c r="F1112" s="504" t="s">
        <v>109</v>
      </c>
      <c r="G1112" s="513" t="s">
        <v>825</v>
      </c>
      <c r="H1112" s="514" t="s">
        <v>785</v>
      </c>
      <c r="I1112" s="514" t="s">
        <v>784</v>
      </c>
      <c r="J1112" s="514" t="s">
        <v>650</v>
      </c>
      <c r="K1112" s="519">
        <v>100</v>
      </c>
      <c r="L1112" s="520"/>
      <c r="M1112" s="685">
        <v>299</v>
      </c>
      <c r="N1112" s="685">
        <v>299</v>
      </c>
      <c r="O1112" s="682">
        <f t="shared" si="51"/>
        <v>1</v>
      </c>
      <c r="P1112" s="683">
        <f t="shared" si="52"/>
        <v>100</v>
      </c>
      <c r="Q1112" s="684">
        <f t="shared" si="53"/>
        <v>1</v>
      </c>
      <c r="R1112" s="490"/>
    </row>
    <row r="1113" spans="1:18" x14ac:dyDescent="0.2">
      <c r="A1113" s="506" t="s">
        <v>276</v>
      </c>
      <c r="B1113" s="502" t="s">
        <v>779</v>
      </c>
      <c r="C1113" s="507" t="s">
        <v>288</v>
      </c>
      <c r="D1113" s="504" t="s">
        <v>283</v>
      </c>
      <c r="E1113" s="348"/>
      <c r="F1113" s="504" t="s">
        <v>109</v>
      </c>
      <c r="G1113" s="513" t="s">
        <v>825</v>
      </c>
      <c r="H1113" s="514" t="s">
        <v>783</v>
      </c>
      <c r="I1113" s="514" t="s">
        <v>784</v>
      </c>
      <c r="J1113" s="514" t="s">
        <v>650</v>
      </c>
      <c r="K1113" s="519">
        <v>100</v>
      </c>
      <c r="L1113" s="520"/>
      <c r="M1113" s="685">
        <v>64</v>
      </c>
      <c r="N1113" s="685">
        <v>64</v>
      </c>
      <c r="O1113" s="682">
        <f t="shared" si="51"/>
        <v>1</v>
      </c>
      <c r="P1113" s="683">
        <f t="shared" si="52"/>
        <v>100</v>
      </c>
      <c r="Q1113" s="684">
        <f t="shared" si="53"/>
        <v>1</v>
      </c>
      <c r="R1113" s="490"/>
    </row>
    <row r="1114" spans="1:18" x14ac:dyDescent="0.2">
      <c r="A1114" s="506" t="s">
        <v>276</v>
      </c>
      <c r="B1114" s="502" t="s">
        <v>779</v>
      </c>
      <c r="C1114" s="507" t="s">
        <v>288</v>
      </c>
      <c r="D1114" s="504" t="s">
        <v>284</v>
      </c>
      <c r="E1114" s="348"/>
      <c r="F1114" s="504" t="s">
        <v>109</v>
      </c>
      <c r="G1114" s="513" t="s">
        <v>825</v>
      </c>
      <c r="H1114" s="514" t="s">
        <v>783</v>
      </c>
      <c r="I1114" s="514" t="s">
        <v>784</v>
      </c>
      <c r="J1114" s="514" t="s">
        <v>650</v>
      </c>
      <c r="K1114" s="519">
        <v>100</v>
      </c>
      <c r="L1114" s="520"/>
      <c r="M1114" s="685">
        <v>10</v>
      </c>
      <c r="N1114" s="685">
        <v>10</v>
      </c>
      <c r="O1114" s="682">
        <f t="shared" si="51"/>
        <v>1</v>
      </c>
      <c r="P1114" s="683">
        <f t="shared" si="52"/>
        <v>100</v>
      </c>
      <c r="Q1114" s="684">
        <f t="shared" si="53"/>
        <v>1</v>
      </c>
      <c r="R1114" s="490"/>
    </row>
    <row r="1115" spans="1:18" x14ac:dyDescent="0.2">
      <c r="A1115" s="506" t="s">
        <v>276</v>
      </c>
      <c r="B1115" s="502" t="s">
        <v>779</v>
      </c>
      <c r="C1115" s="507" t="s">
        <v>288</v>
      </c>
      <c r="D1115" s="504" t="s">
        <v>279</v>
      </c>
      <c r="E1115" s="348"/>
      <c r="F1115" s="504" t="s">
        <v>109</v>
      </c>
      <c r="G1115" s="513" t="s">
        <v>825</v>
      </c>
      <c r="H1115" s="514" t="s">
        <v>783</v>
      </c>
      <c r="I1115" s="514" t="s">
        <v>784</v>
      </c>
      <c r="J1115" s="514" t="s">
        <v>650</v>
      </c>
      <c r="K1115" s="519">
        <v>100</v>
      </c>
      <c r="L1115" s="520"/>
      <c r="M1115" s="685">
        <v>2</v>
      </c>
      <c r="N1115" s="685">
        <v>2</v>
      </c>
      <c r="O1115" s="682">
        <f t="shared" si="51"/>
        <v>1</v>
      </c>
      <c r="P1115" s="683">
        <f t="shared" si="52"/>
        <v>100</v>
      </c>
      <c r="Q1115" s="684">
        <f t="shared" si="53"/>
        <v>1</v>
      </c>
      <c r="R1115" s="490"/>
    </row>
    <row r="1116" spans="1:18" x14ac:dyDescent="0.2">
      <c r="A1116" s="506" t="s">
        <v>276</v>
      </c>
      <c r="B1116" s="502" t="s">
        <v>779</v>
      </c>
      <c r="C1116" s="507" t="s">
        <v>288</v>
      </c>
      <c r="D1116" s="504" t="s">
        <v>281</v>
      </c>
      <c r="E1116" s="348"/>
      <c r="F1116" s="504" t="s">
        <v>109</v>
      </c>
      <c r="G1116" s="513" t="s">
        <v>825</v>
      </c>
      <c r="H1116" s="514" t="s">
        <v>783</v>
      </c>
      <c r="I1116" s="514" t="s">
        <v>784</v>
      </c>
      <c r="J1116" s="514" t="s">
        <v>650</v>
      </c>
      <c r="K1116" s="519">
        <v>100</v>
      </c>
      <c r="L1116" s="520"/>
      <c r="M1116" s="685">
        <v>17</v>
      </c>
      <c r="N1116" s="685">
        <v>17</v>
      </c>
      <c r="O1116" s="682">
        <f t="shared" si="51"/>
        <v>1</v>
      </c>
      <c r="P1116" s="683">
        <f t="shared" si="52"/>
        <v>100</v>
      </c>
      <c r="Q1116" s="684">
        <f t="shared" si="53"/>
        <v>1</v>
      </c>
      <c r="R1116" s="490"/>
    </row>
    <row r="1117" spans="1:18" x14ac:dyDescent="0.2">
      <c r="A1117" s="506" t="s">
        <v>276</v>
      </c>
      <c r="B1117" s="502" t="s">
        <v>779</v>
      </c>
      <c r="C1117" s="507" t="s">
        <v>99</v>
      </c>
      <c r="D1117" s="504" t="s">
        <v>287</v>
      </c>
      <c r="E1117" s="348"/>
      <c r="F1117" s="504" t="s">
        <v>109</v>
      </c>
      <c r="G1117" s="513" t="s">
        <v>825</v>
      </c>
      <c r="H1117" s="514" t="s">
        <v>785</v>
      </c>
      <c r="I1117" s="514" t="s">
        <v>784</v>
      </c>
      <c r="J1117" s="514" t="s">
        <v>650</v>
      </c>
      <c r="K1117" s="519">
        <v>100</v>
      </c>
      <c r="L1117" s="520"/>
      <c r="M1117" s="685">
        <v>326</v>
      </c>
      <c r="N1117" s="685">
        <v>326</v>
      </c>
      <c r="O1117" s="682">
        <f t="shared" si="51"/>
        <v>1</v>
      </c>
      <c r="P1117" s="683">
        <f t="shared" si="52"/>
        <v>100</v>
      </c>
      <c r="Q1117" s="684">
        <f t="shared" si="53"/>
        <v>1</v>
      </c>
      <c r="R1117" s="490"/>
    </row>
    <row r="1118" spans="1:18" x14ac:dyDescent="0.2">
      <c r="A1118" s="506" t="s">
        <v>276</v>
      </c>
      <c r="B1118" s="502" t="s">
        <v>779</v>
      </c>
      <c r="C1118" s="507" t="s">
        <v>99</v>
      </c>
      <c r="D1118" s="504" t="s">
        <v>283</v>
      </c>
      <c r="E1118" s="348"/>
      <c r="F1118" s="504" t="s">
        <v>109</v>
      </c>
      <c r="G1118" s="513" t="s">
        <v>825</v>
      </c>
      <c r="H1118" s="514" t="s">
        <v>783</v>
      </c>
      <c r="I1118" s="514" t="s">
        <v>784</v>
      </c>
      <c r="J1118" s="514" t="s">
        <v>650</v>
      </c>
      <c r="K1118" s="519">
        <v>100</v>
      </c>
      <c r="L1118" s="520"/>
      <c r="M1118" s="685">
        <v>17</v>
      </c>
      <c r="N1118" s="685">
        <v>17</v>
      </c>
      <c r="O1118" s="682">
        <f t="shared" si="51"/>
        <v>1</v>
      </c>
      <c r="P1118" s="683">
        <f t="shared" si="52"/>
        <v>100</v>
      </c>
      <c r="Q1118" s="684">
        <f t="shared" si="53"/>
        <v>1</v>
      </c>
      <c r="R1118" s="490"/>
    </row>
    <row r="1119" spans="1:18" x14ac:dyDescent="0.2">
      <c r="A1119" s="506" t="s">
        <v>276</v>
      </c>
      <c r="B1119" s="502" t="s">
        <v>779</v>
      </c>
      <c r="C1119" s="507" t="s">
        <v>99</v>
      </c>
      <c r="D1119" s="504" t="s">
        <v>284</v>
      </c>
      <c r="E1119" s="348"/>
      <c r="F1119" s="504" t="s">
        <v>109</v>
      </c>
      <c r="G1119" s="513" t="s">
        <v>825</v>
      </c>
      <c r="H1119" s="514" t="s">
        <v>783</v>
      </c>
      <c r="I1119" s="514" t="s">
        <v>784</v>
      </c>
      <c r="J1119" s="514" t="s">
        <v>650</v>
      </c>
      <c r="K1119" s="519">
        <v>100</v>
      </c>
      <c r="L1119" s="520"/>
      <c r="M1119" s="685">
        <v>8</v>
      </c>
      <c r="N1119" s="685">
        <v>8</v>
      </c>
      <c r="O1119" s="682">
        <f t="shared" si="51"/>
        <v>1</v>
      </c>
      <c r="P1119" s="683">
        <f t="shared" si="52"/>
        <v>100</v>
      </c>
      <c r="Q1119" s="684">
        <f t="shared" si="53"/>
        <v>1</v>
      </c>
      <c r="R1119" s="490"/>
    </row>
    <row r="1120" spans="1:18" x14ac:dyDescent="0.2">
      <c r="A1120" s="506" t="s">
        <v>276</v>
      </c>
      <c r="B1120" s="502" t="s">
        <v>779</v>
      </c>
      <c r="C1120" s="507" t="s">
        <v>99</v>
      </c>
      <c r="D1120" s="504" t="s">
        <v>279</v>
      </c>
      <c r="E1120" s="348"/>
      <c r="F1120" s="504" t="s">
        <v>109</v>
      </c>
      <c r="G1120" s="513" t="s">
        <v>825</v>
      </c>
      <c r="H1120" s="514" t="s">
        <v>783</v>
      </c>
      <c r="I1120" s="514" t="s">
        <v>784</v>
      </c>
      <c r="J1120" s="514" t="s">
        <v>650</v>
      </c>
      <c r="K1120" s="519">
        <v>100</v>
      </c>
      <c r="L1120" s="520"/>
      <c r="M1120" s="685">
        <v>5</v>
      </c>
      <c r="N1120" s="685">
        <v>5</v>
      </c>
      <c r="O1120" s="682">
        <f t="shared" si="51"/>
        <v>1</v>
      </c>
      <c r="P1120" s="683">
        <f t="shared" si="52"/>
        <v>100</v>
      </c>
      <c r="Q1120" s="684">
        <f t="shared" si="53"/>
        <v>1</v>
      </c>
      <c r="R1120" s="490"/>
    </row>
    <row r="1121" spans="1:18" x14ac:dyDescent="0.2">
      <c r="A1121" s="506" t="s">
        <v>276</v>
      </c>
      <c r="B1121" s="502" t="s">
        <v>779</v>
      </c>
      <c r="C1121" s="507" t="s">
        <v>99</v>
      </c>
      <c r="D1121" s="504" t="s">
        <v>281</v>
      </c>
      <c r="E1121" s="348"/>
      <c r="F1121" s="504" t="s">
        <v>109</v>
      </c>
      <c r="G1121" s="513" t="s">
        <v>825</v>
      </c>
      <c r="H1121" s="514" t="s">
        <v>783</v>
      </c>
      <c r="I1121" s="514" t="s">
        <v>784</v>
      </c>
      <c r="J1121" s="514" t="s">
        <v>650</v>
      </c>
      <c r="K1121" s="519">
        <v>100</v>
      </c>
      <c r="L1121" s="520"/>
      <c r="M1121" s="685">
        <v>1</v>
      </c>
      <c r="N1121" s="685">
        <v>1</v>
      </c>
      <c r="O1121" s="682">
        <f t="shared" si="51"/>
        <v>1</v>
      </c>
      <c r="P1121" s="683">
        <f t="shared" si="52"/>
        <v>100</v>
      </c>
      <c r="Q1121" s="684">
        <f t="shared" si="53"/>
        <v>1</v>
      </c>
      <c r="R1121" s="490"/>
    </row>
    <row r="1122" spans="1:18" x14ac:dyDescent="0.2">
      <c r="A1122" s="506" t="s">
        <v>276</v>
      </c>
      <c r="B1122" s="502" t="s">
        <v>779</v>
      </c>
      <c r="C1122" s="507" t="s">
        <v>285</v>
      </c>
      <c r="D1122" s="504" t="s">
        <v>287</v>
      </c>
      <c r="E1122" s="348"/>
      <c r="F1122" s="504" t="s">
        <v>109</v>
      </c>
      <c r="G1122" s="513" t="s">
        <v>825</v>
      </c>
      <c r="H1122" s="514" t="s">
        <v>785</v>
      </c>
      <c r="I1122" s="514" t="s">
        <v>784</v>
      </c>
      <c r="J1122" s="514" t="s">
        <v>650</v>
      </c>
      <c r="K1122" s="519">
        <v>100</v>
      </c>
      <c r="L1122" s="520"/>
      <c r="M1122" s="685">
        <v>0</v>
      </c>
      <c r="N1122" s="685">
        <v>0</v>
      </c>
      <c r="O1122" s="682">
        <f t="shared" si="51"/>
        <v>0</v>
      </c>
      <c r="P1122" s="683" t="str">
        <f t="shared" si="52"/>
        <v>0</v>
      </c>
      <c r="Q1122" s="684" t="str">
        <f t="shared" si="53"/>
        <v>0</v>
      </c>
      <c r="R1122" s="491"/>
    </row>
    <row r="1123" spans="1:18" x14ac:dyDescent="0.2">
      <c r="A1123" s="506" t="s">
        <v>276</v>
      </c>
      <c r="B1123" s="502" t="s">
        <v>779</v>
      </c>
      <c r="C1123" s="507" t="s">
        <v>285</v>
      </c>
      <c r="D1123" s="504" t="s">
        <v>283</v>
      </c>
      <c r="E1123" s="348"/>
      <c r="F1123" s="504" t="s">
        <v>109</v>
      </c>
      <c r="G1123" s="513" t="s">
        <v>825</v>
      </c>
      <c r="H1123" s="514" t="s">
        <v>783</v>
      </c>
      <c r="I1123" s="514" t="s">
        <v>784</v>
      </c>
      <c r="J1123" s="514" t="s">
        <v>650</v>
      </c>
      <c r="K1123" s="519">
        <v>100</v>
      </c>
      <c r="L1123" s="520"/>
      <c r="M1123" s="685">
        <v>5</v>
      </c>
      <c r="N1123" s="685">
        <v>5</v>
      </c>
      <c r="O1123" s="682">
        <f t="shared" si="51"/>
        <v>1</v>
      </c>
      <c r="P1123" s="683">
        <f t="shared" si="52"/>
        <v>100</v>
      </c>
      <c r="Q1123" s="684">
        <f t="shared" si="53"/>
        <v>1</v>
      </c>
      <c r="R1123" s="490"/>
    </row>
    <row r="1124" spans="1:18" x14ac:dyDescent="0.2">
      <c r="A1124" s="506" t="s">
        <v>276</v>
      </c>
      <c r="B1124" s="502" t="s">
        <v>779</v>
      </c>
      <c r="C1124" s="507" t="s">
        <v>285</v>
      </c>
      <c r="D1124" s="504" t="s">
        <v>284</v>
      </c>
      <c r="E1124" s="348"/>
      <c r="F1124" s="504" t="s">
        <v>109</v>
      </c>
      <c r="G1124" s="513" t="s">
        <v>825</v>
      </c>
      <c r="H1124" s="514" t="s">
        <v>783</v>
      </c>
      <c r="I1124" s="514" t="s">
        <v>784</v>
      </c>
      <c r="J1124" s="514" t="s">
        <v>650</v>
      </c>
      <c r="K1124" s="519">
        <v>100</v>
      </c>
      <c r="L1124" s="520"/>
      <c r="M1124" s="685">
        <v>4</v>
      </c>
      <c r="N1124" s="685">
        <v>4</v>
      </c>
      <c r="O1124" s="682">
        <f t="shared" si="51"/>
        <v>1</v>
      </c>
      <c r="P1124" s="683">
        <f t="shared" si="52"/>
        <v>100</v>
      </c>
      <c r="Q1124" s="684">
        <f t="shared" si="53"/>
        <v>1</v>
      </c>
      <c r="R1124" s="490"/>
    </row>
    <row r="1125" spans="1:18" x14ac:dyDescent="0.2">
      <c r="A1125" s="506" t="s">
        <v>276</v>
      </c>
      <c r="B1125" s="502" t="s">
        <v>779</v>
      </c>
      <c r="C1125" s="507" t="s">
        <v>285</v>
      </c>
      <c r="D1125" s="504" t="s">
        <v>279</v>
      </c>
      <c r="E1125" s="348"/>
      <c r="F1125" s="504" t="s">
        <v>109</v>
      </c>
      <c r="G1125" s="513" t="s">
        <v>825</v>
      </c>
      <c r="H1125" s="514" t="s">
        <v>783</v>
      </c>
      <c r="I1125" s="514" t="s">
        <v>784</v>
      </c>
      <c r="J1125" s="514" t="s">
        <v>650</v>
      </c>
      <c r="K1125" s="519">
        <v>100</v>
      </c>
      <c r="L1125" s="520"/>
      <c r="M1125" s="685">
        <v>1</v>
      </c>
      <c r="N1125" s="685">
        <v>1</v>
      </c>
      <c r="O1125" s="682">
        <f t="shared" si="51"/>
        <v>1</v>
      </c>
      <c r="P1125" s="683">
        <f t="shared" si="52"/>
        <v>100</v>
      </c>
      <c r="Q1125" s="684">
        <f t="shared" si="53"/>
        <v>1</v>
      </c>
      <c r="R1125" s="490"/>
    </row>
    <row r="1126" spans="1:18" x14ac:dyDescent="0.2">
      <c r="A1126" s="506" t="s">
        <v>276</v>
      </c>
      <c r="B1126" s="502" t="s">
        <v>779</v>
      </c>
      <c r="C1126" s="507" t="s">
        <v>285</v>
      </c>
      <c r="D1126" s="504" t="s">
        <v>281</v>
      </c>
      <c r="E1126" s="348"/>
      <c r="F1126" s="504" t="s">
        <v>109</v>
      </c>
      <c r="G1126" s="513" t="s">
        <v>825</v>
      </c>
      <c r="H1126" s="514" t="s">
        <v>783</v>
      </c>
      <c r="I1126" s="514" t="s">
        <v>784</v>
      </c>
      <c r="J1126" s="514" t="s">
        <v>650</v>
      </c>
      <c r="K1126" s="519">
        <v>100</v>
      </c>
      <c r="L1126" s="520"/>
      <c r="M1126" s="685">
        <v>12</v>
      </c>
      <c r="N1126" s="685">
        <v>12</v>
      </c>
      <c r="O1126" s="682">
        <f t="shared" si="51"/>
        <v>1</v>
      </c>
      <c r="P1126" s="683">
        <f t="shared" si="52"/>
        <v>100</v>
      </c>
      <c r="Q1126" s="684">
        <f t="shared" si="53"/>
        <v>1</v>
      </c>
      <c r="R1126" s="490"/>
    </row>
    <row r="1127" spans="1:18" x14ac:dyDescent="0.2">
      <c r="A1127" s="506" t="s">
        <v>276</v>
      </c>
      <c r="B1127" s="502" t="s">
        <v>779</v>
      </c>
      <c r="C1127" s="507" t="s">
        <v>285</v>
      </c>
      <c r="D1127" s="504" t="s">
        <v>286</v>
      </c>
      <c r="E1127" s="348"/>
      <c r="F1127" s="504" t="s">
        <v>109</v>
      </c>
      <c r="G1127" s="513" t="s">
        <v>825</v>
      </c>
      <c r="H1127" s="514" t="s">
        <v>783</v>
      </c>
      <c r="I1127" s="514" t="s">
        <v>784</v>
      </c>
      <c r="J1127" s="514" t="s">
        <v>650</v>
      </c>
      <c r="K1127" s="519">
        <v>100</v>
      </c>
      <c r="L1127" s="520"/>
      <c r="M1127" s="685">
        <v>20</v>
      </c>
      <c r="N1127" s="685">
        <v>20</v>
      </c>
      <c r="O1127" s="682">
        <f t="shared" si="51"/>
        <v>1</v>
      </c>
      <c r="P1127" s="683">
        <f t="shared" si="52"/>
        <v>100</v>
      </c>
      <c r="Q1127" s="684">
        <f t="shared" si="53"/>
        <v>1</v>
      </c>
      <c r="R1127" s="490"/>
    </row>
    <row r="1128" spans="1:18" x14ac:dyDescent="0.2">
      <c r="A1128" s="506" t="s">
        <v>276</v>
      </c>
      <c r="B1128" s="502" t="s">
        <v>779</v>
      </c>
      <c r="C1128" s="507" t="s">
        <v>291</v>
      </c>
      <c r="D1128" s="504" t="s">
        <v>283</v>
      </c>
      <c r="E1128" s="348"/>
      <c r="F1128" s="504" t="s">
        <v>109</v>
      </c>
      <c r="G1128" s="513" t="s">
        <v>825</v>
      </c>
      <c r="H1128" s="514" t="s">
        <v>783</v>
      </c>
      <c r="I1128" s="514" t="s">
        <v>784</v>
      </c>
      <c r="J1128" s="514" t="s">
        <v>650</v>
      </c>
      <c r="K1128" s="519">
        <v>100</v>
      </c>
      <c r="L1128" s="520"/>
      <c r="M1128" s="685">
        <v>0</v>
      </c>
      <c r="N1128" s="685">
        <v>0</v>
      </c>
      <c r="O1128" s="682">
        <f t="shared" si="51"/>
        <v>0</v>
      </c>
      <c r="P1128" s="683" t="str">
        <f t="shared" si="52"/>
        <v>0</v>
      </c>
      <c r="Q1128" s="684" t="str">
        <f t="shared" si="53"/>
        <v>0</v>
      </c>
      <c r="R1128" s="491"/>
    </row>
    <row r="1129" spans="1:18" x14ac:dyDescent="0.2">
      <c r="A1129" s="506" t="s">
        <v>276</v>
      </c>
      <c r="B1129" s="502" t="s">
        <v>779</v>
      </c>
      <c r="C1129" s="507" t="s">
        <v>291</v>
      </c>
      <c r="D1129" s="504" t="s">
        <v>284</v>
      </c>
      <c r="E1129" s="348"/>
      <c r="F1129" s="504" t="s">
        <v>109</v>
      </c>
      <c r="G1129" s="513" t="s">
        <v>825</v>
      </c>
      <c r="H1129" s="514" t="s">
        <v>783</v>
      </c>
      <c r="I1129" s="514" t="s">
        <v>784</v>
      </c>
      <c r="J1129" s="514" t="s">
        <v>650</v>
      </c>
      <c r="K1129" s="519">
        <v>100</v>
      </c>
      <c r="L1129" s="520"/>
      <c r="M1129" s="685">
        <v>0</v>
      </c>
      <c r="N1129" s="685">
        <v>0</v>
      </c>
      <c r="O1129" s="682">
        <f t="shared" si="51"/>
        <v>0</v>
      </c>
      <c r="P1129" s="683" t="str">
        <f t="shared" si="52"/>
        <v>0</v>
      </c>
      <c r="Q1129" s="684" t="str">
        <f t="shared" si="53"/>
        <v>0</v>
      </c>
      <c r="R1129" s="491"/>
    </row>
    <row r="1130" spans="1:18" x14ac:dyDescent="0.2">
      <c r="A1130" s="506" t="s">
        <v>276</v>
      </c>
      <c r="B1130" s="502" t="s">
        <v>779</v>
      </c>
      <c r="C1130" s="507" t="s">
        <v>290</v>
      </c>
      <c r="D1130" s="504" t="s">
        <v>287</v>
      </c>
      <c r="E1130" s="348"/>
      <c r="F1130" s="504" t="s">
        <v>109</v>
      </c>
      <c r="G1130" s="513" t="s">
        <v>825</v>
      </c>
      <c r="H1130" s="514" t="s">
        <v>785</v>
      </c>
      <c r="I1130" s="514" t="s">
        <v>784</v>
      </c>
      <c r="J1130" s="514" t="s">
        <v>650</v>
      </c>
      <c r="K1130" s="519">
        <v>100</v>
      </c>
      <c r="L1130" s="520"/>
      <c r="M1130" s="685">
        <v>65</v>
      </c>
      <c r="N1130" s="685">
        <v>65</v>
      </c>
      <c r="O1130" s="682">
        <f t="shared" si="51"/>
        <v>1</v>
      </c>
      <c r="P1130" s="683">
        <f t="shared" si="52"/>
        <v>100</v>
      </c>
      <c r="Q1130" s="684">
        <f t="shared" si="53"/>
        <v>1</v>
      </c>
      <c r="R1130" s="490"/>
    </row>
    <row r="1131" spans="1:18" x14ac:dyDescent="0.2">
      <c r="A1131" s="506" t="s">
        <v>276</v>
      </c>
      <c r="B1131" s="502" t="s">
        <v>779</v>
      </c>
      <c r="C1131" s="507" t="s">
        <v>290</v>
      </c>
      <c r="D1131" s="504" t="s">
        <v>283</v>
      </c>
      <c r="E1131" s="348"/>
      <c r="F1131" s="504" t="s">
        <v>109</v>
      </c>
      <c r="G1131" s="513" t="s">
        <v>825</v>
      </c>
      <c r="H1131" s="514" t="s">
        <v>783</v>
      </c>
      <c r="I1131" s="514" t="s">
        <v>784</v>
      </c>
      <c r="J1131" s="514" t="s">
        <v>650</v>
      </c>
      <c r="K1131" s="519">
        <v>100</v>
      </c>
      <c r="L1131" s="520"/>
      <c r="M1131" s="685">
        <v>5</v>
      </c>
      <c r="N1131" s="685">
        <v>5</v>
      </c>
      <c r="O1131" s="682">
        <f t="shared" si="51"/>
        <v>1</v>
      </c>
      <c r="P1131" s="683">
        <f t="shared" si="52"/>
        <v>100</v>
      </c>
      <c r="Q1131" s="684">
        <f t="shared" si="53"/>
        <v>1</v>
      </c>
      <c r="R1131" s="490"/>
    </row>
    <row r="1132" spans="1:18" x14ac:dyDescent="0.2">
      <c r="A1132" s="506" t="s">
        <v>276</v>
      </c>
      <c r="B1132" s="502" t="s">
        <v>779</v>
      </c>
      <c r="C1132" s="507" t="s">
        <v>290</v>
      </c>
      <c r="D1132" s="504" t="s">
        <v>284</v>
      </c>
      <c r="E1132" s="348"/>
      <c r="F1132" s="504" t="s">
        <v>109</v>
      </c>
      <c r="G1132" s="513" t="s">
        <v>825</v>
      </c>
      <c r="H1132" s="514" t="s">
        <v>783</v>
      </c>
      <c r="I1132" s="514" t="s">
        <v>784</v>
      </c>
      <c r="J1132" s="514" t="s">
        <v>650</v>
      </c>
      <c r="K1132" s="519">
        <v>100</v>
      </c>
      <c r="L1132" s="520"/>
      <c r="M1132" s="685">
        <v>0</v>
      </c>
      <c r="N1132" s="685">
        <v>0</v>
      </c>
      <c r="O1132" s="682">
        <f t="shared" si="51"/>
        <v>0</v>
      </c>
      <c r="P1132" s="683" t="str">
        <f t="shared" si="52"/>
        <v>0</v>
      </c>
      <c r="Q1132" s="684" t="str">
        <f t="shared" si="53"/>
        <v>0</v>
      </c>
      <c r="R1132" s="490"/>
    </row>
    <row r="1133" spans="1:18" x14ac:dyDescent="0.2">
      <c r="A1133" s="506" t="s">
        <v>276</v>
      </c>
      <c r="B1133" s="502" t="s">
        <v>779</v>
      </c>
      <c r="C1133" s="507" t="s">
        <v>289</v>
      </c>
      <c r="D1133" s="504" t="s">
        <v>287</v>
      </c>
      <c r="E1133" s="348"/>
      <c r="F1133" s="504" t="s">
        <v>109</v>
      </c>
      <c r="G1133" s="513" t="s">
        <v>825</v>
      </c>
      <c r="H1133" s="514" t="s">
        <v>785</v>
      </c>
      <c r="I1133" s="514" t="s">
        <v>784</v>
      </c>
      <c r="J1133" s="514" t="s">
        <v>650</v>
      </c>
      <c r="K1133" s="519">
        <v>100</v>
      </c>
      <c r="L1133" s="520"/>
      <c r="M1133" s="685">
        <v>733</v>
      </c>
      <c r="N1133" s="685">
        <v>733</v>
      </c>
      <c r="O1133" s="682">
        <f t="shared" si="51"/>
        <v>1</v>
      </c>
      <c r="P1133" s="683">
        <f t="shared" si="52"/>
        <v>100</v>
      </c>
      <c r="Q1133" s="684">
        <f t="shared" si="53"/>
        <v>1</v>
      </c>
      <c r="R1133" s="490"/>
    </row>
    <row r="1134" spans="1:18" x14ac:dyDescent="0.2">
      <c r="A1134" s="506" t="s">
        <v>276</v>
      </c>
      <c r="B1134" s="502" t="s">
        <v>779</v>
      </c>
      <c r="C1134" s="507" t="s">
        <v>289</v>
      </c>
      <c r="D1134" s="504" t="s">
        <v>283</v>
      </c>
      <c r="E1134" s="348"/>
      <c r="F1134" s="504" t="s">
        <v>109</v>
      </c>
      <c r="G1134" s="513" t="s">
        <v>825</v>
      </c>
      <c r="H1134" s="514" t="s">
        <v>783</v>
      </c>
      <c r="I1134" s="514" t="s">
        <v>784</v>
      </c>
      <c r="J1134" s="514" t="s">
        <v>650</v>
      </c>
      <c r="K1134" s="519">
        <v>100</v>
      </c>
      <c r="L1134" s="520"/>
      <c r="M1134" s="685">
        <v>134</v>
      </c>
      <c r="N1134" s="685">
        <v>134</v>
      </c>
      <c r="O1134" s="682">
        <f t="shared" si="51"/>
        <v>1</v>
      </c>
      <c r="P1134" s="683">
        <f t="shared" si="52"/>
        <v>100</v>
      </c>
      <c r="Q1134" s="684">
        <f t="shared" si="53"/>
        <v>1</v>
      </c>
      <c r="R1134" s="490"/>
    </row>
    <row r="1135" spans="1:18" x14ac:dyDescent="0.2">
      <c r="A1135" s="506" t="s">
        <v>276</v>
      </c>
      <c r="B1135" s="502" t="s">
        <v>779</v>
      </c>
      <c r="C1135" s="507" t="s">
        <v>289</v>
      </c>
      <c r="D1135" s="504" t="s">
        <v>284</v>
      </c>
      <c r="E1135" s="348"/>
      <c r="F1135" s="504" t="s">
        <v>109</v>
      </c>
      <c r="G1135" s="513" t="s">
        <v>825</v>
      </c>
      <c r="H1135" s="514" t="s">
        <v>783</v>
      </c>
      <c r="I1135" s="514" t="s">
        <v>784</v>
      </c>
      <c r="J1135" s="514" t="s">
        <v>650</v>
      </c>
      <c r="K1135" s="519">
        <v>100</v>
      </c>
      <c r="L1135" s="520"/>
      <c r="M1135" s="685">
        <v>29</v>
      </c>
      <c r="N1135" s="685">
        <v>29</v>
      </c>
      <c r="O1135" s="682">
        <f t="shared" si="51"/>
        <v>1</v>
      </c>
      <c r="P1135" s="683">
        <f t="shared" si="52"/>
        <v>100</v>
      </c>
      <c r="Q1135" s="684">
        <f t="shared" si="53"/>
        <v>1</v>
      </c>
      <c r="R1135" s="490"/>
    </row>
    <row r="1136" spans="1:18" x14ac:dyDescent="0.2">
      <c r="A1136" s="506" t="s">
        <v>276</v>
      </c>
      <c r="B1136" s="502" t="s">
        <v>779</v>
      </c>
      <c r="C1136" s="507" t="s">
        <v>289</v>
      </c>
      <c r="D1136" s="504" t="s">
        <v>281</v>
      </c>
      <c r="E1136" s="348"/>
      <c r="F1136" s="504" t="s">
        <v>109</v>
      </c>
      <c r="G1136" s="513" t="s">
        <v>825</v>
      </c>
      <c r="H1136" s="514" t="s">
        <v>783</v>
      </c>
      <c r="I1136" s="514" t="s">
        <v>784</v>
      </c>
      <c r="J1136" s="514" t="s">
        <v>650</v>
      </c>
      <c r="K1136" s="519">
        <v>100</v>
      </c>
      <c r="L1136" s="520"/>
      <c r="M1136" s="685">
        <v>2</v>
      </c>
      <c r="N1136" s="685">
        <v>2</v>
      </c>
      <c r="O1136" s="682">
        <f t="shared" si="51"/>
        <v>1</v>
      </c>
      <c r="P1136" s="683">
        <f t="shared" si="52"/>
        <v>100</v>
      </c>
      <c r="Q1136" s="684">
        <f t="shared" si="53"/>
        <v>1</v>
      </c>
      <c r="R1136" s="490"/>
    </row>
    <row r="1137" spans="1:18" x14ac:dyDescent="0.2">
      <c r="A1137" s="506" t="s">
        <v>276</v>
      </c>
      <c r="B1137" s="559" t="s">
        <v>779</v>
      </c>
      <c r="C1137" s="507" t="s">
        <v>97</v>
      </c>
      <c r="D1137" s="504" t="s">
        <v>279</v>
      </c>
      <c r="E1137" s="348"/>
      <c r="F1137" s="504" t="s">
        <v>109</v>
      </c>
      <c r="G1137" s="513" t="s">
        <v>826</v>
      </c>
      <c r="H1137" s="514" t="s">
        <v>783</v>
      </c>
      <c r="I1137" s="514" t="s">
        <v>784</v>
      </c>
      <c r="J1137" s="514" t="s">
        <v>650</v>
      </c>
      <c r="K1137" s="519">
        <v>100</v>
      </c>
      <c r="L1137" s="520"/>
      <c r="M1137" s="360">
        <v>6</v>
      </c>
      <c r="N1137" s="360">
        <v>6</v>
      </c>
      <c r="O1137" s="682">
        <f t="shared" si="51"/>
        <v>1</v>
      </c>
      <c r="P1137" s="683">
        <f t="shared" si="52"/>
        <v>100</v>
      </c>
      <c r="Q1137" s="684">
        <f t="shared" si="53"/>
        <v>1</v>
      </c>
      <c r="R1137" s="490"/>
    </row>
    <row r="1138" spans="1:18" x14ac:dyDescent="0.2">
      <c r="A1138" s="506" t="s">
        <v>276</v>
      </c>
      <c r="B1138" s="559" t="s">
        <v>779</v>
      </c>
      <c r="C1138" s="507" t="s">
        <v>97</v>
      </c>
      <c r="D1138" s="504" t="s">
        <v>281</v>
      </c>
      <c r="E1138" s="348"/>
      <c r="F1138" s="504" t="s">
        <v>109</v>
      </c>
      <c r="G1138" s="513" t="s">
        <v>826</v>
      </c>
      <c r="H1138" s="514" t="s">
        <v>783</v>
      </c>
      <c r="I1138" s="514" t="s">
        <v>784</v>
      </c>
      <c r="J1138" s="514" t="s">
        <v>650</v>
      </c>
      <c r="K1138" s="519">
        <v>100</v>
      </c>
      <c r="L1138" s="520"/>
      <c r="M1138" s="685">
        <v>9</v>
      </c>
      <c r="N1138" s="685">
        <v>9</v>
      </c>
      <c r="O1138" s="682">
        <f t="shared" si="51"/>
        <v>1</v>
      </c>
      <c r="P1138" s="683">
        <f t="shared" si="52"/>
        <v>100</v>
      </c>
      <c r="Q1138" s="684">
        <f t="shared" si="53"/>
        <v>1</v>
      </c>
      <c r="R1138" s="490"/>
    </row>
    <row r="1139" spans="1:18" x14ac:dyDescent="0.2">
      <c r="A1139" s="506" t="s">
        <v>276</v>
      </c>
      <c r="B1139" s="559" t="s">
        <v>779</v>
      </c>
      <c r="C1139" s="507" t="s">
        <v>282</v>
      </c>
      <c r="D1139" s="504" t="s">
        <v>287</v>
      </c>
      <c r="E1139" s="348"/>
      <c r="F1139" s="504" t="s">
        <v>109</v>
      </c>
      <c r="G1139" s="513" t="s">
        <v>826</v>
      </c>
      <c r="H1139" s="514" t="s">
        <v>785</v>
      </c>
      <c r="I1139" s="514" t="s">
        <v>784</v>
      </c>
      <c r="J1139" s="514" t="s">
        <v>650</v>
      </c>
      <c r="K1139" s="519">
        <v>100</v>
      </c>
      <c r="L1139" s="520"/>
      <c r="M1139" s="685">
        <v>68</v>
      </c>
      <c r="N1139" s="685">
        <v>68</v>
      </c>
      <c r="O1139" s="682">
        <f t="shared" si="51"/>
        <v>1</v>
      </c>
      <c r="P1139" s="683">
        <f t="shared" si="52"/>
        <v>100</v>
      </c>
      <c r="Q1139" s="684">
        <f t="shared" si="53"/>
        <v>1</v>
      </c>
      <c r="R1139" s="490"/>
    </row>
    <row r="1140" spans="1:18" x14ac:dyDescent="0.2">
      <c r="A1140" s="506" t="s">
        <v>276</v>
      </c>
      <c r="B1140" s="559" t="s">
        <v>779</v>
      </c>
      <c r="C1140" s="507" t="s">
        <v>282</v>
      </c>
      <c r="D1140" s="504" t="s">
        <v>283</v>
      </c>
      <c r="E1140" s="348"/>
      <c r="F1140" s="504" t="s">
        <v>109</v>
      </c>
      <c r="G1140" s="513" t="s">
        <v>826</v>
      </c>
      <c r="H1140" s="514" t="s">
        <v>783</v>
      </c>
      <c r="I1140" s="514" t="s">
        <v>784</v>
      </c>
      <c r="J1140" s="514" t="s">
        <v>650</v>
      </c>
      <c r="K1140" s="519">
        <v>100</v>
      </c>
      <c r="L1140" s="520"/>
      <c r="M1140" s="685">
        <v>19</v>
      </c>
      <c r="N1140" s="685">
        <v>19</v>
      </c>
      <c r="O1140" s="682">
        <f t="shared" si="51"/>
        <v>1</v>
      </c>
      <c r="P1140" s="683">
        <f t="shared" si="52"/>
        <v>100</v>
      </c>
      <c r="Q1140" s="684">
        <f t="shared" si="53"/>
        <v>1</v>
      </c>
      <c r="R1140" s="490"/>
    </row>
    <row r="1141" spans="1:18" x14ac:dyDescent="0.2">
      <c r="A1141" s="506" t="s">
        <v>276</v>
      </c>
      <c r="B1141" s="559" t="s">
        <v>779</v>
      </c>
      <c r="C1141" s="507" t="s">
        <v>282</v>
      </c>
      <c r="D1141" s="504" t="s">
        <v>284</v>
      </c>
      <c r="E1141" s="348"/>
      <c r="F1141" s="504" t="s">
        <v>109</v>
      </c>
      <c r="G1141" s="513" t="s">
        <v>826</v>
      </c>
      <c r="H1141" s="514" t="s">
        <v>783</v>
      </c>
      <c r="I1141" s="514" t="s">
        <v>784</v>
      </c>
      <c r="J1141" s="514" t="s">
        <v>650</v>
      </c>
      <c r="K1141" s="519">
        <v>100</v>
      </c>
      <c r="L1141" s="520"/>
      <c r="M1141" s="685">
        <v>43</v>
      </c>
      <c r="N1141" s="685">
        <v>43</v>
      </c>
      <c r="O1141" s="682">
        <f t="shared" si="51"/>
        <v>1</v>
      </c>
      <c r="P1141" s="683">
        <f t="shared" si="52"/>
        <v>100</v>
      </c>
      <c r="Q1141" s="684">
        <f t="shared" si="53"/>
        <v>1</v>
      </c>
      <c r="R1141" s="490"/>
    </row>
    <row r="1142" spans="1:18" x14ac:dyDescent="0.2">
      <c r="A1142" s="506" t="s">
        <v>276</v>
      </c>
      <c r="B1142" s="559" t="s">
        <v>779</v>
      </c>
      <c r="C1142" s="507" t="s">
        <v>282</v>
      </c>
      <c r="D1142" s="504" t="s">
        <v>279</v>
      </c>
      <c r="E1142" s="348"/>
      <c r="F1142" s="504" t="s">
        <v>109</v>
      </c>
      <c r="G1142" s="513" t="s">
        <v>826</v>
      </c>
      <c r="H1142" s="514" t="s">
        <v>783</v>
      </c>
      <c r="I1142" s="514" t="s">
        <v>784</v>
      </c>
      <c r="J1142" s="514" t="s">
        <v>650</v>
      </c>
      <c r="K1142" s="519">
        <v>100</v>
      </c>
      <c r="L1142" s="520"/>
      <c r="M1142" s="685">
        <v>65</v>
      </c>
      <c r="N1142" s="685">
        <v>65</v>
      </c>
      <c r="O1142" s="682">
        <f t="shared" si="51"/>
        <v>1</v>
      </c>
      <c r="P1142" s="683">
        <f t="shared" si="52"/>
        <v>100</v>
      </c>
      <c r="Q1142" s="684">
        <f t="shared" si="53"/>
        <v>1</v>
      </c>
      <c r="R1142" s="490"/>
    </row>
    <row r="1143" spans="1:18" x14ac:dyDescent="0.2">
      <c r="A1143" s="506" t="s">
        <v>276</v>
      </c>
      <c r="B1143" s="559" t="s">
        <v>779</v>
      </c>
      <c r="C1143" s="507" t="s">
        <v>282</v>
      </c>
      <c r="D1143" s="504" t="s">
        <v>281</v>
      </c>
      <c r="E1143" s="348"/>
      <c r="F1143" s="504" t="s">
        <v>109</v>
      </c>
      <c r="G1143" s="513" t="s">
        <v>826</v>
      </c>
      <c r="H1143" s="514" t="s">
        <v>783</v>
      </c>
      <c r="I1143" s="514" t="s">
        <v>784</v>
      </c>
      <c r="J1143" s="514" t="s">
        <v>650</v>
      </c>
      <c r="K1143" s="519">
        <v>100</v>
      </c>
      <c r="L1143" s="520"/>
      <c r="M1143" s="685">
        <v>48</v>
      </c>
      <c r="N1143" s="685">
        <v>48</v>
      </c>
      <c r="O1143" s="682">
        <f t="shared" si="51"/>
        <v>1</v>
      </c>
      <c r="P1143" s="683">
        <f t="shared" si="52"/>
        <v>100</v>
      </c>
      <c r="Q1143" s="684">
        <f t="shared" si="53"/>
        <v>1</v>
      </c>
      <c r="R1143" s="490"/>
    </row>
    <row r="1144" spans="1:18" x14ac:dyDescent="0.2">
      <c r="A1144" s="506" t="s">
        <v>276</v>
      </c>
      <c r="B1144" s="559" t="s">
        <v>779</v>
      </c>
      <c r="C1144" s="507" t="s">
        <v>288</v>
      </c>
      <c r="D1144" s="504" t="s">
        <v>287</v>
      </c>
      <c r="E1144" s="348"/>
      <c r="F1144" s="504" t="s">
        <v>109</v>
      </c>
      <c r="G1144" s="513" t="s">
        <v>826</v>
      </c>
      <c r="H1144" s="514" t="s">
        <v>785</v>
      </c>
      <c r="I1144" s="514" t="s">
        <v>784</v>
      </c>
      <c r="J1144" s="514" t="s">
        <v>650</v>
      </c>
      <c r="K1144" s="519">
        <v>100</v>
      </c>
      <c r="L1144" s="520"/>
      <c r="M1144" s="685">
        <v>299</v>
      </c>
      <c r="N1144" s="685">
        <v>299</v>
      </c>
      <c r="O1144" s="682">
        <f t="shared" si="51"/>
        <v>1</v>
      </c>
      <c r="P1144" s="683">
        <f t="shared" si="52"/>
        <v>100</v>
      </c>
      <c r="Q1144" s="684">
        <f t="shared" si="53"/>
        <v>1</v>
      </c>
      <c r="R1144" s="490"/>
    </row>
    <row r="1145" spans="1:18" x14ac:dyDescent="0.2">
      <c r="A1145" s="506" t="s">
        <v>276</v>
      </c>
      <c r="B1145" s="559" t="s">
        <v>779</v>
      </c>
      <c r="C1145" s="507" t="s">
        <v>288</v>
      </c>
      <c r="D1145" s="504" t="s">
        <v>283</v>
      </c>
      <c r="E1145" s="348"/>
      <c r="F1145" s="504" t="s">
        <v>109</v>
      </c>
      <c r="G1145" s="513" t="s">
        <v>826</v>
      </c>
      <c r="H1145" s="514" t="s">
        <v>783</v>
      </c>
      <c r="I1145" s="514" t="s">
        <v>784</v>
      </c>
      <c r="J1145" s="514" t="s">
        <v>650</v>
      </c>
      <c r="K1145" s="519">
        <v>100</v>
      </c>
      <c r="L1145" s="520"/>
      <c r="M1145" s="685">
        <v>64</v>
      </c>
      <c r="N1145" s="685">
        <v>64</v>
      </c>
      <c r="O1145" s="682">
        <f t="shared" si="51"/>
        <v>1</v>
      </c>
      <c r="P1145" s="683">
        <f t="shared" si="52"/>
        <v>100</v>
      </c>
      <c r="Q1145" s="684">
        <f t="shared" si="53"/>
        <v>1</v>
      </c>
      <c r="R1145" s="490"/>
    </row>
    <row r="1146" spans="1:18" x14ac:dyDescent="0.2">
      <c r="A1146" s="506" t="s">
        <v>276</v>
      </c>
      <c r="B1146" s="559" t="s">
        <v>779</v>
      </c>
      <c r="C1146" s="507" t="s">
        <v>288</v>
      </c>
      <c r="D1146" s="504" t="s">
        <v>284</v>
      </c>
      <c r="E1146" s="348"/>
      <c r="F1146" s="504" t="s">
        <v>109</v>
      </c>
      <c r="G1146" s="513" t="s">
        <v>826</v>
      </c>
      <c r="H1146" s="514" t="s">
        <v>783</v>
      </c>
      <c r="I1146" s="514" t="s">
        <v>784</v>
      </c>
      <c r="J1146" s="514" t="s">
        <v>650</v>
      </c>
      <c r="K1146" s="519">
        <v>100</v>
      </c>
      <c r="L1146" s="520"/>
      <c r="M1146" s="685">
        <v>10</v>
      </c>
      <c r="N1146" s="685">
        <v>10</v>
      </c>
      <c r="O1146" s="682">
        <f t="shared" si="51"/>
        <v>1</v>
      </c>
      <c r="P1146" s="683">
        <f t="shared" si="52"/>
        <v>100</v>
      </c>
      <c r="Q1146" s="684">
        <f t="shared" si="53"/>
        <v>1</v>
      </c>
      <c r="R1146" s="490"/>
    </row>
    <row r="1147" spans="1:18" x14ac:dyDescent="0.2">
      <c r="A1147" s="506" t="s">
        <v>276</v>
      </c>
      <c r="B1147" s="559" t="s">
        <v>779</v>
      </c>
      <c r="C1147" s="507" t="s">
        <v>288</v>
      </c>
      <c r="D1147" s="504" t="s">
        <v>279</v>
      </c>
      <c r="E1147" s="348"/>
      <c r="F1147" s="504" t="s">
        <v>109</v>
      </c>
      <c r="G1147" s="513" t="s">
        <v>826</v>
      </c>
      <c r="H1147" s="514" t="s">
        <v>783</v>
      </c>
      <c r="I1147" s="514" t="s">
        <v>784</v>
      </c>
      <c r="J1147" s="514" t="s">
        <v>650</v>
      </c>
      <c r="K1147" s="519">
        <v>100</v>
      </c>
      <c r="L1147" s="520"/>
      <c r="M1147" s="685">
        <v>2</v>
      </c>
      <c r="N1147" s="685">
        <v>2</v>
      </c>
      <c r="O1147" s="682">
        <f t="shared" si="51"/>
        <v>1</v>
      </c>
      <c r="P1147" s="683">
        <f t="shared" si="52"/>
        <v>100</v>
      </c>
      <c r="Q1147" s="684">
        <f t="shared" si="53"/>
        <v>1</v>
      </c>
      <c r="R1147" s="490"/>
    </row>
    <row r="1148" spans="1:18" x14ac:dyDescent="0.2">
      <c r="A1148" s="506" t="s">
        <v>276</v>
      </c>
      <c r="B1148" s="559" t="s">
        <v>779</v>
      </c>
      <c r="C1148" s="507" t="s">
        <v>288</v>
      </c>
      <c r="D1148" s="504" t="s">
        <v>281</v>
      </c>
      <c r="E1148" s="348"/>
      <c r="F1148" s="504" t="s">
        <v>109</v>
      </c>
      <c r="G1148" s="513" t="s">
        <v>826</v>
      </c>
      <c r="H1148" s="514" t="s">
        <v>783</v>
      </c>
      <c r="I1148" s="514" t="s">
        <v>784</v>
      </c>
      <c r="J1148" s="514" t="s">
        <v>650</v>
      </c>
      <c r="K1148" s="519">
        <v>100</v>
      </c>
      <c r="L1148" s="520"/>
      <c r="M1148" s="685">
        <v>17</v>
      </c>
      <c r="N1148" s="685">
        <v>17</v>
      </c>
      <c r="O1148" s="682">
        <f t="shared" si="51"/>
        <v>1</v>
      </c>
      <c r="P1148" s="683">
        <f t="shared" si="52"/>
        <v>100</v>
      </c>
      <c r="Q1148" s="684">
        <f t="shared" si="53"/>
        <v>1</v>
      </c>
      <c r="R1148" s="490"/>
    </row>
    <row r="1149" spans="1:18" x14ac:dyDescent="0.2">
      <c r="A1149" s="506" t="s">
        <v>276</v>
      </c>
      <c r="B1149" s="559" t="s">
        <v>779</v>
      </c>
      <c r="C1149" s="507" t="s">
        <v>99</v>
      </c>
      <c r="D1149" s="504" t="s">
        <v>287</v>
      </c>
      <c r="E1149" s="348"/>
      <c r="F1149" s="504" t="s">
        <v>109</v>
      </c>
      <c r="G1149" s="513" t="s">
        <v>826</v>
      </c>
      <c r="H1149" s="514" t="s">
        <v>785</v>
      </c>
      <c r="I1149" s="514" t="s">
        <v>784</v>
      </c>
      <c r="J1149" s="514" t="s">
        <v>650</v>
      </c>
      <c r="K1149" s="519">
        <v>100</v>
      </c>
      <c r="L1149" s="520"/>
      <c r="M1149" s="685">
        <v>326</v>
      </c>
      <c r="N1149" s="685">
        <v>326</v>
      </c>
      <c r="O1149" s="682">
        <f t="shared" si="51"/>
        <v>1</v>
      </c>
      <c r="P1149" s="683">
        <f t="shared" si="52"/>
        <v>100</v>
      </c>
      <c r="Q1149" s="684">
        <f t="shared" si="53"/>
        <v>1</v>
      </c>
      <c r="R1149" s="490"/>
    </row>
    <row r="1150" spans="1:18" x14ac:dyDescent="0.2">
      <c r="A1150" s="506" t="s">
        <v>276</v>
      </c>
      <c r="B1150" s="559" t="s">
        <v>779</v>
      </c>
      <c r="C1150" s="507" t="s">
        <v>99</v>
      </c>
      <c r="D1150" s="504" t="s">
        <v>283</v>
      </c>
      <c r="E1150" s="348"/>
      <c r="F1150" s="504" t="s">
        <v>109</v>
      </c>
      <c r="G1150" s="513" t="s">
        <v>826</v>
      </c>
      <c r="H1150" s="514" t="s">
        <v>783</v>
      </c>
      <c r="I1150" s="514" t="s">
        <v>784</v>
      </c>
      <c r="J1150" s="514" t="s">
        <v>650</v>
      </c>
      <c r="K1150" s="519">
        <v>100</v>
      </c>
      <c r="L1150" s="520"/>
      <c r="M1150" s="685">
        <v>17</v>
      </c>
      <c r="N1150" s="685">
        <v>17</v>
      </c>
      <c r="O1150" s="682">
        <f t="shared" si="51"/>
        <v>1</v>
      </c>
      <c r="P1150" s="683">
        <f t="shared" si="52"/>
        <v>100</v>
      </c>
      <c r="Q1150" s="684">
        <f t="shared" si="53"/>
        <v>1</v>
      </c>
      <c r="R1150" s="490"/>
    </row>
    <row r="1151" spans="1:18" x14ac:dyDescent="0.2">
      <c r="A1151" s="506" t="s">
        <v>276</v>
      </c>
      <c r="B1151" s="559" t="s">
        <v>779</v>
      </c>
      <c r="C1151" s="507" t="s">
        <v>99</v>
      </c>
      <c r="D1151" s="504" t="s">
        <v>284</v>
      </c>
      <c r="E1151" s="348"/>
      <c r="F1151" s="504" t="s">
        <v>109</v>
      </c>
      <c r="G1151" s="513" t="s">
        <v>826</v>
      </c>
      <c r="H1151" s="514" t="s">
        <v>783</v>
      </c>
      <c r="I1151" s="514" t="s">
        <v>784</v>
      </c>
      <c r="J1151" s="514" t="s">
        <v>650</v>
      </c>
      <c r="K1151" s="519">
        <v>100</v>
      </c>
      <c r="L1151" s="520"/>
      <c r="M1151" s="685">
        <v>8</v>
      </c>
      <c r="N1151" s="685">
        <v>8</v>
      </c>
      <c r="O1151" s="682">
        <f t="shared" si="51"/>
        <v>1</v>
      </c>
      <c r="P1151" s="683">
        <f t="shared" si="52"/>
        <v>100</v>
      </c>
      <c r="Q1151" s="684">
        <f t="shared" si="53"/>
        <v>1</v>
      </c>
      <c r="R1151" s="490"/>
    </row>
    <row r="1152" spans="1:18" x14ac:dyDescent="0.2">
      <c r="A1152" s="506" t="s">
        <v>276</v>
      </c>
      <c r="B1152" s="559" t="s">
        <v>779</v>
      </c>
      <c r="C1152" s="507" t="s">
        <v>99</v>
      </c>
      <c r="D1152" s="504" t="s">
        <v>279</v>
      </c>
      <c r="E1152" s="348"/>
      <c r="F1152" s="504" t="s">
        <v>109</v>
      </c>
      <c r="G1152" s="513" t="s">
        <v>826</v>
      </c>
      <c r="H1152" s="514" t="s">
        <v>783</v>
      </c>
      <c r="I1152" s="514" t="s">
        <v>784</v>
      </c>
      <c r="J1152" s="514" t="s">
        <v>650</v>
      </c>
      <c r="K1152" s="519">
        <v>100</v>
      </c>
      <c r="L1152" s="520"/>
      <c r="M1152" s="685">
        <v>5</v>
      </c>
      <c r="N1152" s="685">
        <v>5</v>
      </c>
      <c r="O1152" s="682">
        <f t="shared" si="51"/>
        <v>1</v>
      </c>
      <c r="P1152" s="683">
        <f t="shared" si="52"/>
        <v>100</v>
      </c>
      <c r="Q1152" s="684">
        <f t="shared" si="53"/>
        <v>1</v>
      </c>
      <c r="R1152" s="490"/>
    </row>
    <row r="1153" spans="1:18" x14ac:dyDescent="0.2">
      <c r="A1153" s="506" t="s">
        <v>276</v>
      </c>
      <c r="B1153" s="559" t="s">
        <v>779</v>
      </c>
      <c r="C1153" s="507" t="s">
        <v>99</v>
      </c>
      <c r="D1153" s="504" t="s">
        <v>281</v>
      </c>
      <c r="E1153" s="348"/>
      <c r="F1153" s="504" t="s">
        <v>109</v>
      </c>
      <c r="G1153" s="513" t="s">
        <v>826</v>
      </c>
      <c r="H1153" s="514" t="s">
        <v>783</v>
      </c>
      <c r="I1153" s="514" t="s">
        <v>784</v>
      </c>
      <c r="J1153" s="514" t="s">
        <v>650</v>
      </c>
      <c r="K1153" s="519">
        <v>100</v>
      </c>
      <c r="L1153" s="520"/>
      <c r="M1153" s="685">
        <v>1</v>
      </c>
      <c r="N1153" s="685">
        <v>1</v>
      </c>
      <c r="O1153" s="682">
        <f t="shared" si="51"/>
        <v>1</v>
      </c>
      <c r="P1153" s="683">
        <f t="shared" si="52"/>
        <v>100</v>
      </c>
      <c r="Q1153" s="684">
        <f t="shared" si="53"/>
        <v>1</v>
      </c>
      <c r="R1153" s="490"/>
    </row>
    <row r="1154" spans="1:18" x14ac:dyDescent="0.2">
      <c r="A1154" s="506" t="s">
        <v>276</v>
      </c>
      <c r="B1154" s="559" t="s">
        <v>779</v>
      </c>
      <c r="C1154" s="507" t="s">
        <v>285</v>
      </c>
      <c r="D1154" s="504" t="s">
        <v>287</v>
      </c>
      <c r="E1154" s="348"/>
      <c r="F1154" s="504" t="s">
        <v>109</v>
      </c>
      <c r="G1154" s="513" t="s">
        <v>826</v>
      </c>
      <c r="H1154" s="514" t="s">
        <v>785</v>
      </c>
      <c r="I1154" s="514" t="s">
        <v>784</v>
      </c>
      <c r="J1154" s="514" t="s">
        <v>650</v>
      </c>
      <c r="K1154" s="519">
        <v>100</v>
      </c>
      <c r="L1154" s="520"/>
      <c r="M1154" s="685">
        <v>0</v>
      </c>
      <c r="N1154" s="685">
        <v>0</v>
      </c>
      <c r="O1154" s="682">
        <f t="shared" si="51"/>
        <v>0</v>
      </c>
      <c r="P1154" s="683" t="str">
        <f t="shared" si="52"/>
        <v>0</v>
      </c>
      <c r="Q1154" s="684" t="str">
        <f t="shared" si="53"/>
        <v>0</v>
      </c>
      <c r="R1154" s="491"/>
    </row>
    <row r="1155" spans="1:18" x14ac:dyDescent="0.2">
      <c r="A1155" s="506" t="s">
        <v>276</v>
      </c>
      <c r="B1155" s="559" t="s">
        <v>779</v>
      </c>
      <c r="C1155" s="507" t="s">
        <v>285</v>
      </c>
      <c r="D1155" s="504" t="s">
        <v>283</v>
      </c>
      <c r="E1155" s="348"/>
      <c r="F1155" s="504" t="s">
        <v>109</v>
      </c>
      <c r="G1155" s="513" t="s">
        <v>826</v>
      </c>
      <c r="H1155" s="514" t="s">
        <v>783</v>
      </c>
      <c r="I1155" s="514" t="s">
        <v>784</v>
      </c>
      <c r="J1155" s="514" t="s">
        <v>650</v>
      </c>
      <c r="K1155" s="519">
        <v>100</v>
      </c>
      <c r="L1155" s="520"/>
      <c r="M1155" s="685">
        <v>5</v>
      </c>
      <c r="N1155" s="685">
        <v>5</v>
      </c>
      <c r="O1155" s="682">
        <f t="shared" si="51"/>
        <v>1</v>
      </c>
      <c r="P1155" s="683">
        <f t="shared" si="52"/>
        <v>100</v>
      </c>
      <c r="Q1155" s="684">
        <f t="shared" si="53"/>
        <v>1</v>
      </c>
      <c r="R1155" s="490"/>
    </row>
    <row r="1156" spans="1:18" x14ac:dyDescent="0.2">
      <c r="A1156" s="506" t="s">
        <v>276</v>
      </c>
      <c r="B1156" s="559" t="s">
        <v>779</v>
      </c>
      <c r="C1156" s="507" t="s">
        <v>285</v>
      </c>
      <c r="D1156" s="504" t="s">
        <v>284</v>
      </c>
      <c r="E1156" s="348"/>
      <c r="F1156" s="504" t="s">
        <v>109</v>
      </c>
      <c r="G1156" s="513" t="s">
        <v>826</v>
      </c>
      <c r="H1156" s="514" t="s">
        <v>783</v>
      </c>
      <c r="I1156" s="514" t="s">
        <v>784</v>
      </c>
      <c r="J1156" s="514" t="s">
        <v>650</v>
      </c>
      <c r="K1156" s="519">
        <v>100</v>
      </c>
      <c r="L1156" s="520"/>
      <c r="M1156" s="685">
        <v>4</v>
      </c>
      <c r="N1156" s="685">
        <v>4</v>
      </c>
      <c r="O1156" s="682">
        <f t="shared" si="51"/>
        <v>1</v>
      </c>
      <c r="P1156" s="683">
        <f t="shared" si="52"/>
        <v>100</v>
      </c>
      <c r="Q1156" s="684">
        <f t="shared" si="53"/>
        <v>1</v>
      </c>
      <c r="R1156" s="490"/>
    </row>
    <row r="1157" spans="1:18" x14ac:dyDescent="0.2">
      <c r="A1157" s="506" t="s">
        <v>276</v>
      </c>
      <c r="B1157" s="559" t="s">
        <v>779</v>
      </c>
      <c r="C1157" s="507" t="s">
        <v>285</v>
      </c>
      <c r="D1157" s="504" t="s">
        <v>279</v>
      </c>
      <c r="E1157" s="348"/>
      <c r="F1157" s="504" t="s">
        <v>109</v>
      </c>
      <c r="G1157" s="513" t="s">
        <v>826</v>
      </c>
      <c r="H1157" s="514" t="s">
        <v>783</v>
      </c>
      <c r="I1157" s="514" t="s">
        <v>784</v>
      </c>
      <c r="J1157" s="514" t="s">
        <v>650</v>
      </c>
      <c r="K1157" s="519">
        <v>100</v>
      </c>
      <c r="L1157" s="520"/>
      <c r="M1157" s="685">
        <v>1</v>
      </c>
      <c r="N1157" s="685">
        <v>1</v>
      </c>
      <c r="O1157" s="682">
        <f t="shared" ref="O1157:O1206" si="54">IFERROR(N1157/M1157,0)</f>
        <v>1</v>
      </c>
      <c r="P1157" s="683">
        <f t="shared" ref="P1157:P1206" si="55">IFERROR(N1157/(M1157*(K1157/100))*100,"0")</f>
        <v>100</v>
      </c>
      <c r="Q1157" s="684">
        <f t="shared" ref="Q1157:Q1206" si="56">IFERROR(N1157/(M1157*(K1157/100)),"0")</f>
        <v>1</v>
      </c>
      <c r="R1157" s="490"/>
    </row>
    <row r="1158" spans="1:18" x14ac:dyDescent="0.2">
      <c r="A1158" s="506" t="s">
        <v>276</v>
      </c>
      <c r="B1158" s="559" t="s">
        <v>779</v>
      </c>
      <c r="C1158" s="507" t="s">
        <v>285</v>
      </c>
      <c r="D1158" s="504" t="s">
        <v>281</v>
      </c>
      <c r="E1158" s="348"/>
      <c r="F1158" s="504" t="s">
        <v>109</v>
      </c>
      <c r="G1158" s="513" t="s">
        <v>826</v>
      </c>
      <c r="H1158" s="514" t="s">
        <v>783</v>
      </c>
      <c r="I1158" s="514" t="s">
        <v>784</v>
      </c>
      <c r="J1158" s="514" t="s">
        <v>650</v>
      </c>
      <c r="K1158" s="519">
        <v>100</v>
      </c>
      <c r="L1158" s="520"/>
      <c r="M1158" s="685">
        <v>12</v>
      </c>
      <c r="N1158" s="685">
        <v>12</v>
      </c>
      <c r="O1158" s="682">
        <f t="shared" si="54"/>
        <v>1</v>
      </c>
      <c r="P1158" s="683">
        <f t="shared" si="55"/>
        <v>100</v>
      </c>
      <c r="Q1158" s="684">
        <f t="shared" si="56"/>
        <v>1</v>
      </c>
      <c r="R1158" s="490"/>
    </row>
    <row r="1159" spans="1:18" x14ac:dyDescent="0.2">
      <c r="A1159" s="506" t="s">
        <v>276</v>
      </c>
      <c r="B1159" s="559" t="s">
        <v>779</v>
      </c>
      <c r="C1159" s="507" t="s">
        <v>285</v>
      </c>
      <c r="D1159" s="504" t="s">
        <v>286</v>
      </c>
      <c r="E1159" s="348"/>
      <c r="F1159" s="504" t="s">
        <v>109</v>
      </c>
      <c r="G1159" s="513" t="s">
        <v>826</v>
      </c>
      <c r="H1159" s="514" t="s">
        <v>783</v>
      </c>
      <c r="I1159" s="514" t="s">
        <v>784</v>
      </c>
      <c r="J1159" s="514" t="s">
        <v>650</v>
      </c>
      <c r="K1159" s="519">
        <v>100</v>
      </c>
      <c r="L1159" s="520"/>
      <c r="M1159" s="685">
        <v>20</v>
      </c>
      <c r="N1159" s="685">
        <v>20</v>
      </c>
      <c r="O1159" s="682">
        <f t="shared" si="54"/>
        <v>1</v>
      </c>
      <c r="P1159" s="683">
        <f t="shared" si="55"/>
        <v>100</v>
      </c>
      <c r="Q1159" s="684">
        <f t="shared" si="56"/>
        <v>1</v>
      </c>
      <c r="R1159" s="490"/>
    </row>
    <row r="1160" spans="1:18" x14ac:dyDescent="0.2">
      <c r="A1160" s="506" t="s">
        <v>276</v>
      </c>
      <c r="B1160" s="559" t="s">
        <v>779</v>
      </c>
      <c r="C1160" s="507" t="s">
        <v>291</v>
      </c>
      <c r="D1160" s="504" t="s">
        <v>283</v>
      </c>
      <c r="E1160" s="348"/>
      <c r="F1160" s="504" t="s">
        <v>109</v>
      </c>
      <c r="G1160" s="513" t="s">
        <v>826</v>
      </c>
      <c r="H1160" s="514" t="s">
        <v>783</v>
      </c>
      <c r="I1160" s="514" t="s">
        <v>784</v>
      </c>
      <c r="J1160" s="514" t="s">
        <v>650</v>
      </c>
      <c r="K1160" s="519">
        <v>100</v>
      </c>
      <c r="L1160" s="520"/>
      <c r="M1160" s="685">
        <v>0</v>
      </c>
      <c r="N1160" s="685">
        <v>0</v>
      </c>
      <c r="O1160" s="682">
        <f t="shared" si="54"/>
        <v>0</v>
      </c>
      <c r="P1160" s="683" t="str">
        <f t="shared" si="55"/>
        <v>0</v>
      </c>
      <c r="Q1160" s="684" t="str">
        <f t="shared" si="56"/>
        <v>0</v>
      </c>
      <c r="R1160" s="491"/>
    </row>
    <row r="1161" spans="1:18" x14ac:dyDescent="0.2">
      <c r="A1161" s="506" t="s">
        <v>276</v>
      </c>
      <c r="B1161" s="559" t="s">
        <v>779</v>
      </c>
      <c r="C1161" s="507" t="s">
        <v>291</v>
      </c>
      <c r="D1161" s="504" t="s">
        <v>284</v>
      </c>
      <c r="E1161" s="348"/>
      <c r="F1161" s="504" t="s">
        <v>109</v>
      </c>
      <c r="G1161" s="513" t="s">
        <v>826</v>
      </c>
      <c r="H1161" s="514" t="s">
        <v>783</v>
      </c>
      <c r="I1161" s="514" t="s">
        <v>784</v>
      </c>
      <c r="J1161" s="514" t="s">
        <v>650</v>
      </c>
      <c r="K1161" s="519">
        <v>100</v>
      </c>
      <c r="L1161" s="520"/>
      <c r="M1161" s="685">
        <v>0</v>
      </c>
      <c r="N1161" s="685">
        <v>0</v>
      </c>
      <c r="O1161" s="682">
        <f t="shared" si="54"/>
        <v>0</v>
      </c>
      <c r="P1161" s="683" t="str">
        <f t="shared" si="55"/>
        <v>0</v>
      </c>
      <c r="Q1161" s="684" t="str">
        <f t="shared" si="56"/>
        <v>0</v>
      </c>
      <c r="R1161" s="491"/>
    </row>
    <row r="1162" spans="1:18" x14ac:dyDescent="0.2">
      <c r="A1162" s="506" t="s">
        <v>276</v>
      </c>
      <c r="B1162" s="559" t="s">
        <v>779</v>
      </c>
      <c r="C1162" s="507" t="s">
        <v>290</v>
      </c>
      <c r="D1162" s="504" t="s">
        <v>287</v>
      </c>
      <c r="E1162" s="348"/>
      <c r="F1162" s="504" t="s">
        <v>109</v>
      </c>
      <c r="G1162" s="513" t="s">
        <v>826</v>
      </c>
      <c r="H1162" s="514" t="s">
        <v>785</v>
      </c>
      <c r="I1162" s="514" t="s">
        <v>784</v>
      </c>
      <c r="J1162" s="514" t="s">
        <v>650</v>
      </c>
      <c r="K1162" s="519">
        <v>100</v>
      </c>
      <c r="L1162" s="520"/>
      <c r="M1162" s="685">
        <v>65</v>
      </c>
      <c r="N1162" s="685">
        <v>65</v>
      </c>
      <c r="O1162" s="682">
        <f t="shared" si="54"/>
        <v>1</v>
      </c>
      <c r="P1162" s="683">
        <f t="shared" si="55"/>
        <v>100</v>
      </c>
      <c r="Q1162" s="684">
        <f t="shared" si="56"/>
        <v>1</v>
      </c>
      <c r="R1162" s="490"/>
    </row>
    <row r="1163" spans="1:18" x14ac:dyDescent="0.2">
      <c r="A1163" s="506" t="s">
        <v>276</v>
      </c>
      <c r="B1163" s="559" t="s">
        <v>779</v>
      </c>
      <c r="C1163" s="507" t="s">
        <v>290</v>
      </c>
      <c r="D1163" s="504" t="s">
        <v>283</v>
      </c>
      <c r="E1163" s="348"/>
      <c r="F1163" s="504" t="s">
        <v>109</v>
      </c>
      <c r="G1163" s="513" t="s">
        <v>826</v>
      </c>
      <c r="H1163" s="514" t="s">
        <v>783</v>
      </c>
      <c r="I1163" s="514" t="s">
        <v>784</v>
      </c>
      <c r="J1163" s="514" t="s">
        <v>650</v>
      </c>
      <c r="K1163" s="519">
        <v>100</v>
      </c>
      <c r="L1163" s="520"/>
      <c r="M1163" s="685">
        <v>5</v>
      </c>
      <c r="N1163" s="685">
        <v>5</v>
      </c>
      <c r="O1163" s="682">
        <f t="shared" si="54"/>
        <v>1</v>
      </c>
      <c r="P1163" s="683">
        <f t="shared" si="55"/>
        <v>100</v>
      </c>
      <c r="Q1163" s="684">
        <f t="shared" si="56"/>
        <v>1</v>
      </c>
      <c r="R1163" s="490"/>
    </row>
    <row r="1164" spans="1:18" x14ac:dyDescent="0.2">
      <c r="A1164" s="506" t="s">
        <v>276</v>
      </c>
      <c r="B1164" s="559" t="s">
        <v>779</v>
      </c>
      <c r="C1164" s="507" t="s">
        <v>290</v>
      </c>
      <c r="D1164" s="504" t="s">
        <v>284</v>
      </c>
      <c r="E1164" s="348"/>
      <c r="F1164" s="504" t="s">
        <v>109</v>
      </c>
      <c r="G1164" s="513" t="s">
        <v>826</v>
      </c>
      <c r="H1164" s="514" t="s">
        <v>783</v>
      </c>
      <c r="I1164" s="514" t="s">
        <v>784</v>
      </c>
      <c r="J1164" s="514" t="s">
        <v>650</v>
      </c>
      <c r="K1164" s="519">
        <v>100</v>
      </c>
      <c r="L1164" s="520"/>
      <c r="M1164" s="685">
        <v>0</v>
      </c>
      <c r="N1164" s="685">
        <v>0</v>
      </c>
      <c r="O1164" s="682">
        <f t="shared" si="54"/>
        <v>0</v>
      </c>
      <c r="P1164" s="683" t="str">
        <f t="shared" si="55"/>
        <v>0</v>
      </c>
      <c r="Q1164" s="684" t="str">
        <f t="shared" si="56"/>
        <v>0</v>
      </c>
      <c r="R1164" s="490"/>
    </row>
    <row r="1165" spans="1:18" x14ac:dyDescent="0.2">
      <c r="A1165" s="506" t="s">
        <v>276</v>
      </c>
      <c r="B1165" s="559" t="s">
        <v>779</v>
      </c>
      <c r="C1165" s="507" t="s">
        <v>289</v>
      </c>
      <c r="D1165" s="504" t="s">
        <v>287</v>
      </c>
      <c r="E1165" s="348"/>
      <c r="F1165" s="504" t="s">
        <v>109</v>
      </c>
      <c r="G1165" s="513" t="s">
        <v>826</v>
      </c>
      <c r="H1165" s="514" t="s">
        <v>785</v>
      </c>
      <c r="I1165" s="514" t="s">
        <v>784</v>
      </c>
      <c r="J1165" s="514" t="s">
        <v>650</v>
      </c>
      <c r="K1165" s="519">
        <v>100</v>
      </c>
      <c r="L1165" s="520"/>
      <c r="M1165" s="685">
        <v>733</v>
      </c>
      <c r="N1165" s="685">
        <v>733</v>
      </c>
      <c r="O1165" s="682">
        <f t="shared" si="54"/>
        <v>1</v>
      </c>
      <c r="P1165" s="683">
        <f t="shared" si="55"/>
        <v>100</v>
      </c>
      <c r="Q1165" s="684">
        <f t="shared" si="56"/>
        <v>1</v>
      </c>
      <c r="R1165" s="490"/>
    </row>
    <row r="1166" spans="1:18" x14ac:dyDescent="0.2">
      <c r="A1166" s="506" t="s">
        <v>276</v>
      </c>
      <c r="B1166" s="559" t="s">
        <v>779</v>
      </c>
      <c r="C1166" s="507" t="s">
        <v>289</v>
      </c>
      <c r="D1166" s="504" t="s">
        <v>283</v>
      </c>
      <c r="E1166" s="348"/>
      <c r="F1166" s="504" t="s">
        <v>109</v>
      </c>
      <c r="G1166" s="513" t="s">
        <v>826</v>
      </c>
      <c r="H1166" s="514" t="s">
        <v>783</v>
      </c>
      <c r="I1166" s="514" t="s">
        <v>784</v>
      </c>
      <c r="J1166" s="514" t="s">
        <v>650</v>
      </c>
      <c r="K1166" s="519">
        <v>100</v>
      </c>
      <c r="L1166" s="520"/>
      <c r="M1166" s="685">
        <v>134</v>
      </c>
      <c r="N1166" s="685">
        <v>134</v>
      </c>
      <c r="O1166" s="682">
        <f t="shared" si="54"/>
        <v>1</v>
      </c>
      <c r="P1166" s="683">
        <f t="shared" si="55"/>
        <v>100</v>
      </c>
      <c r="Q1166" s="684">
        <f t="shared" si="56"/>
        <v>1</v>
      </c>
      <c r="R1166" s="490"/>
    </row>
    <row r="1167" spans="1:18" x14ac:dyDescent="0.2">
      <c r="A1167" s="506" t="s">
        <v>276</v>
      </c>
      <c r="B1167" s="559" t="s">
        <v>779</v>
      </c>
      <c r="C1167" s="507" t="s">
        <v>289</v>
      </c>
      <c r="D1167" s="504" t="s">
        <v>284</v>
      </c>
      <c r="E1167" s="348"/>
      <c r="F1167" s="504" t="s">
        <v>109</v>
      </c>
      <c r="G1167" s="513" t="s">
        <v>826</v>
      </c>
      <c r="H1167" s="514" t="s">
        <v>783</v>
      </c>
      <c r="I1167" s="514" t="s">
        <v>784</v>
      </c>
      <c r="J1167" s="514" t="s">
        <v>650</v>
      </c>
      <c r="K1167" s="519">
        <v>100</v>
      </c>
      <c r="L1167" s="520"/>
      <c r="M1167" s="685">
        <v>29</v>
      </c>
      <c r="N1167" s="685">
        <v>29</v>
      </c>
      <c r="O1167" s="682">
        <f t="shared" si="54"/>
        <v>1</v>
      </c>
      <c r="P1167" s="683">
        <f t="shared" si="55"/>
        <v>100</v>
      </c>
      <c r="Q1167" s="684">
        <f t="shared" si="56"/>
        <v>1</v>
      </c>
      <c r="R1167" s="490"/>
    </row>
    <row r="1168" spans="1:18" x14ac:dyDescent="0.2">
      <c r="A1168" s="506" t="s">
        <v>276</v>
      </c>
      <c r="B1168" s="559" t="s">
        <v>779</v>
      </c>
      <c r="C1168" s="507" t="s">
        <v>289</v>
      </c>
      <c r="D1168" s="504" t="s">
        <v>281</v>
      </c>
      <c r="E1168" s="348"/>
      <c r="F1168" s="504" t="s">
        <v>109</v>
      </c>
      <c r="G1168" s="513" t="s">
        <v>826</v>
      </c>
      <c r="H1168" s="514" t="s">
        <v>783</v>
      </c>
      <c r="I1168" s="514" t="s">
        <v>784</v>
      </c>
      <c r="J1168" s="514" t="s">
        <v>650</v>
      </c>
      <c r="K1168" s="519">
        <v>100</v>
      </c>
      <c r="L1168" s="520"/>
      <c r="M1168" s="685">
        <v>2</v>
      </c>
      <c r="N1168" s="685">
        <v>2</v>
      </c>
      <c r="O1168" s="682">
        <f t="shared" si="54"/>
        <v>1</v>
      </c>
      <c r="P1168" s="683">
        <f t="shared" si="55"/>
        <v>100</v>
      </c>
      <c r="Q1168" s="684">
        <f t="shared" si="56"/>
        <v>1</v>
      </c>
      <c r="R1168" s="490"/>
    </row>
    <row r="1169" spans="1:18" x14ac:dyDescent="0.2">
      <c r="A1169" s="506" t="s">
        <v>276</v>
      </c>
      <c r="B1169" s="502" t="s">
        <v>779</v>
      </c>
      <c r="C1169" s="507" t="s">
        <v>97</v>
      </c>
      <c r="D1169" s="504" t="s">
        <v>279</v>
      </c>
      <c r="E1169" s="348"/>
      <c r="F1169" s="504" t="s">
        <v>109</v>
      </c>
      <c r="G1169" s="515" t="s">
        <v>864</v>
      </c>
      <c r="H1169" s="514" t="s">
        <v>789</v>
      </c>
      <c r="I1169" s="510" t="s">
        <v>790</v>
      </c>
      <c r="J1169" s="510" t="s">
        <v>650</v>
      </c>
      <c r="K1169" s="517">
        <v>33</v>
      </c>
      <c r="L1169" s="520"/>
      <c r="M1169" s="685">
        <v>6</v>
      </c>
      <c r="N1169" s="687">
        <v>4</v>
      </c>
      <c r="O1169" s="682">
        <f t="shared" si="54"/>
        <v>0.66666666666666663</v>
      </c>
      <c r="P1169" s="683">
        <f t="shared" si="55"/>
        <v>202.02020202020202</v>
      </c>
      <c r="Q1169" s="684">
        <f t="shared" si="56"/>
        <v>2.0202020202020203</v>
      </c>
      <c r="R1169" s="490"/>
    </row>
    <row r="1170" spans="1:18" x14ac:dyDescent="0.2">
      <c r="A1170" s="506" t="s">
        <v>276</v>
      </c>
      <c r="B1170" s="502" t="s">
        <v>779</v>
      </c>
      <c r="C1170" s="507" t="s">
        <v>97</v>
      </c>
      <c r="D1170" s="504" t="s">
        <v>281</v>
      </c>
      <c r="E1170" s="348"/>
      <c r="F1170" s="504" t="s">
        <v>109</v>
      </c>
      <c r="G1170" s="515" t="s">
        <v>864</v>
      </c>
      <c r="H1170" s="514" t="s">
        <v>789</v>
      </c>
      <c r="I1170" s="510" t="s">
        <v>790</v>
      </c>
      <c r="J1170" s="510" t="s">
        <v>650</v>
      </c>
      <c r="K1170" s="516">
        <v>33</v>
      </c>
      <c r="L1170" s="520" t="s">
        <v>791</v>
      </c>
      <c r="M1170" s="685">
        <v>9</v>
      </c>
      <c r="N1170" s="687">
        <v>7</v>
      </c>
      <c r="O1170" s="682">
        <f t="shared" si="54"/>
        <v>0.77777777777777779</v>
      </c>
      <c r="P1170" s="683">
        <f t="shared" si="55"/>
        <v>235.69023569023568</v>
      </c>
      <c r="Q1170" s="684">
        <f t="shared" si="56"/>
        <v>2.3569023569023568</v>
      </c>
      <c r="R1170" s="490"/>
    </row>
    <row r="1171" spans="1:18" x14ac:dyDescent="0.2">
      <c r="A1171" s="506" t="s">
        <v>276</v>
      </c>
      <c r="B1171" s="502" t="s">
        <v>779</v>
      </c>
      <c r="C1171" s="507" t="s">
        <v>282</v>
      </c>
      <c r="D1171" s="504" t="s">
        <v>287</v>
      </c>
      <c r="E1171" s="348"/>
      <c r="F1171" s="504" t="s">
        <v>109</v>
      </c>
      <c r="G1171" s="515" t="s">
        <v>864</v>
      </c>
      <c r="H1171" s="514" t="s">
        <v>792</v>
      </c>
      <c r="I1171" s="510" t="s">
        <v>790</v>
      </c>
      <c r="J1171" s="510" t="s">
        <v>650</v>
      </c>
      <c r="K1171" s="516">
        <v>5</v>
      </c>
      <c r="L1171" s="520" t="s">
        <v>791</v>
      </c>
      <c r="M1171" s="685">
        <v>68</v>
      </c>
      <c r="N1171" s="687">
        <v>10</v>
      </c>
      <c r="O1171" s="682">
        <f t="shared" si="54"/>
        <v>0.14705882352941177</v>
      </c>
      <c r="P1171" s="683">
        <f t="shared" si="55"/>
        <v>294.11764705882348</v>
      </c>
      <c r="Q1171" s="684">
        <f t="shared" si="56"/>
        <v>2.9411764705882351</v>
      </c>
      <c r="R1171" s="490"/>
    </row>
    <row r="1172" spans="1:18" x14ac:dyDescent="0.2">
      <c r="A1172" s="506" t="s">
        <v>276</v>
      </c>
      <c r="B1172" s="502" t="s">
        <v>779</v>
      </c>
      <c r="C1172" s="507" t="s">
        <v>282</v>
      </c>
      <c r="D1172" s="504" t="s">
        <v>283</v>
      </c>
      <c r="E1172" s="348"/>
      <c r="F1172" s="504" t="s">
        <v>109</v>
      </c>
      <c r="G1172" s="515" t="s">
        <v>864</v>
      </c>
      <c r="H1172" s="514" t="s">
        <v>789</v>
      </c>
      <c r="I1172" s="510" t="s">
        <v>790</v>
      </c>
      <c r="J1172" s="510" t="s">
        <v>650</v>
      </c>
      <c r="K1172" s="517">
        <v>26</v>
      </c>
      <c r="L1172" s="520"/>
      <c r="M1172" s="685">
        <v>19</v>
      </c>
      <c r="N1172" s="687">
        <v>2</v>
      </c>
      <c r="O1172" s="682">
        <f t="shared" si="54"/>
        <v>0.10526315789473684</v>
      </c>
      <c r="P1172" s="683">
        <f t="shared" si="55"/>
        <v>40.48582995951417</v>
      </c>
      <c r="Q1172" s="684">
        <f t="shared" si="56"/>
        <v>0.40485829959514169</v>
      </c>
      <c r="R1172" s="490"/>
    </row>
    <row r="1173" spans="1:18" x14ac:dyDescent="0.2">
      <c r="A1173" s="506" t="s">
        <v>276</v>
      </c>
      <c r="B1173" s="502" t="s">
        <v>779</v>
      </c>
      <c r="C1173" s="507" t="s">
        <v>282</v>
      </c>
      <c r="D1173" s="504" t="s">
        <v>284</v>
      </c>
      <c r="E1173" s="348"/>
      <c r="F1173" s="504" t="s">
        <v>109</v>
      </c>
      <c r="G1173" s="515" t="s">
        <v>864</v>
      </c>
      <c r="H1173" s="514" t="s">
        <v>789</v>
      </c>
      <c r="I1173" s="510" t="s">
        <v>790</v>
      </c>
      <c r="J1173" s="510" t="s">
        <v>650</v>
      </c>
      <c r="K1173" s="517">
        <v>16</v>
      </c>
      <c r="L1173" s="520"/>
      <c r="M1173" s="685">
        <v>43</v>
      </c>
      <c r="N1173" s="687">
        <v>7</v>
      </c>
      <c r="O1173" s="682">
        <f t="shared" si="54"/>
        <v>0.16279069767441862</v>
      </c>
      <c r="P1173" s="683">
        <f t="shared" si="55"/>
        <v>101.74418604651163</v>
      </c>
      <c r="Q1173" s="684">
        <f t="shared" si="56"/>
        <v>1.0174418604651163</v>
      </c>
      <c r="R1173" s="490"/>
    </row>
    <row r="1174" spans="1:18" x14ac:dyDescent="0.2">
      <c r="A1174" s="506" t="s">
        <v>276</v>
      </c>
      <c r="B1174" s="502" t="s">
        <v>779</v>
      </c>
      <c r="C1174" s="507" t="s">
        <v>282</v>
      </c>
      <c r="D1174" s="504" t="s">
        <v>279</v>
      </c>
      <c r="E1174" s="348"/>
      <c r="F1174" s="504" t="s">
        <v>109</v>
      </c>
      <c r="G1174" s="515" t="s">
        <v>864</v>
      </c>
      <c r="H1174" s="514" t="s">
        <v>789</v>
      </c>
      <c r="I1174" s="510" t="s">
        <v>790</v>
      </c>
      <c r="J1174" s="510" t="s">
        <v>650</v>
      </c>
      <c r="K1174" s="517">
        <v>6</v>
      </c>
      <c r="L1174" s="520"/>
      <c r="M1174" s="685">
        <v>65</v>
      </c>
      <c r="N1174" s="687">
        <v>7</v>
      </c>
      <c r="O1174" s="682">
        <f t="shared" si="54"/>
        <v>0.1076923076923077</v>
      </c>
      <c r="P1174" s="683">
        <f t="shared" si="55"/>
        <v>179.4871794871795</v>
      </c>
      <c r="Q1174" s="684">
        <f t="shared" si="56"/>
        <v>1.7948717948717949</v>
      </c>
      <c r="R1174" s="490"/>
    </row>
    <row r="1175" spans="1:18" x14ac:dyDescent="0.2">
      <c r="A1175" s="506" t="s">
        <v>276</v>
      </c>
      <c r="B1175" s="502" t="s">
        <v>779</v>
      </c>
      <c r="C1175" s="507" t="s">
        <v>282</v>
      </c>
      <c r="D1175" s="504" t="s">
        <v>281</v>
      </c>
      <c r="E1175" s="348"/>
      <c r="F1175" s="504" t="s">
        <v>109</v>
      </c>
      <c r="G1175" s="515" t="s">
        <v>864</v>
      </c>
      <c r="H1175" s="514" t="s">
        <v>789</v>
      </c>
      <c r="I1175" s="510" t="s">
        <v>790</v>
      </c>
      <c r="J1175" s="510" t="s">
        <v>650</v>
      </c>
      <c r="K1175" s="517">
        <v>8</v>
      </c>
      <c r="L1175" s="520"/>
      <c r="M1175" s="685">
        <v>48</v>
      </c>
      <c r="N1175" s="687">
        <v>12</v>
      </c>
      <c r="O1175" s="682">
        <f t="shared" si="54"/>
        <v>0.25</v>
      </c>
      <c r="P1175" s="683">
        <f t="shared" si="55"/>
        <v>312.5</v>
      </c>
      <c r="Q1175" s="684">
        <f t="shared" si="56"/>
        <v>3.125</v>
      </c>
      <c r="R1175" s="490"/>
    </row>
    <row r="1176" spans="1:18" x14ac:dyDescent="0.2">
      <c r="A1176" s="506" t="s">
        <v>276</v>
      </c>
      <c r="B1176" s="502" t="s">
        <v>779</v>
      </c>
      <c r="C1176" s="507" t="s">
        <v>288</v>
      </c>
      <c r="D1176" s="504" t="s">
        <v>287</v>
      </c>
      <c r="E1176" s="348"/>
      <c r="F1176" s="504" t="s">
        <v>109</v>
      </c>
      <c r="G1176" s="515" t="s">
        <v>864</v>
      </c>
      <c r="H1176" s="514" t="s">
        <v>792</v>
      </c>
      <c r="I1176" s="510" t="s">
        <v>790</v>
      </c>
      <c r="J1176" s="510" t="s">
        <v>650</v>
      </c>
      <c r="K1176" s="517">
        <v>28.999999999999996</v>
      </c>
      <c r="L1176" s="520"/>
      <c r="M1176" s="685">
        <v>299</v>
      </c>
      <c r="N1176" s="687">
        <v>36</v>
      </c>
      <c r="O1176" s="682">
        <f t="shared" si="54"/>
        <v>0.12040133779264214</v>
      </c>
      <c r="P1176" s="683">
        <f t="shared" si="55"/>
        <v>41.517702687117982</v>
      </c>
      <c r="Q1176" s="684">
        <f t="shared" si="56"/>
        <v>0.4151770268711798</v>
      </c>
      <c r="R1176" s="490"/>
    </row>
    <row r="1177" spans="1:18" x14ac:dyDescent="0.2">
      <c r="A1177" s="506" t="s">
        <v>276</v>
      </c>
      <c r="B1177" s="502" t="s">
        <v>779</v>
      </c>
      <c r="C1177" s="507" t="s">
        <v>288</v>
      </c>
      <c r="D1177" s="504" t="s">
        <v>283</v>
      </c>
      <c r="E1177" s="348"/>
      <c r="F1177" s="504" t="s">
        <v>109</v>
      </c>
      <c r="G1177" s="515" t="s">
        <v>864</v>
      </c>
      <c r="H1177" s="514" t="s">
        <v>789</v>
      </c>
      <c r="I1177" s="510" t="s">
        <v>790</v>
      </c>
      <c r="J1177" s="510" t="s">
        <v>650</v>
      </c>
      <c r="K1177" s="517">
        <v>8</v>
      </c>
      <c r="L1177" s="520"/>
      <c r="M1177" s="685">
        <v>64</v>
      </c>
      <c r="N1177" s="687">
        <v>6</v>
      </c>
      <c r="O1177" s="682">
        <f t="shared" si="54"/>
        <v>9.375E-2</v>
      </c>
      <c r="P1177" s="683">
        <f t="shared" si="55"/>
        <v>117.1875</v>
      </c>
      <c r="Q1177" s="684">
        <f t="shared" si="56"/>
        <v>1.171875</v>
      </c>
      <c r="R1177" s="490"/>
    </row>
    <row r="1178" spans="1:18" x14ac:dyDescent="0.2">
      <c r="A1178" s="506" t="s">
        <v>276</v>
      </c>
      <c r="B1178" s="502" t="s">
        <v>779</v>
      </c>
      <c r="C1178" s="507" t="s">
        <v>288</v>
      </c>
      <c r="D1178" s="504" t="s">
        <v>284</v>
      </c>
      <c r="E1178" s="348"/>
      <c r="F1178" s="504" t="s">
        <v>109</v>
      </c>
      <c r="G1178" s="515" t="s">
        <v>864</v>
      </c>
      <c r="H1178" s="514" t="s">
        <v>789</v>
      </c>
      <c r="I1178" s="510" t="s">
        <v>790</v>
      </c>
      <c r="J1178" s="510" t="s">
        <v>650</v>
      </c>
      <c r="K1178" s="517">
        <v>8</v>
      </c>
      <c r="L1178" s="520" t="s">
        <v>791</v>
      </c>
      <c r="M1178" s="685">
        <v>10</v>
      </c>
      <c r="N1178" s="687">
        <v>0</v>
      </c>
      <c r="O1178" s="682">
        <f t="shared" si="54"/>
        <v>0</v>
      </c>
      <c r="P1178" s="683">
        <f t="shared" si="55"/>
        <v>0</v>
      </c>
      <c r="Q1178" s="684">
        <f t="shared" si="56"/>
        <v>0</v>
      </c>
      <c r="R1178" s="490"/>
    </row>
    <row r="1179" spans="1:18" x14ac:dyDescent="0.2">
      <c r="A1179" s="506" t="s">
        <v>276</v>
      </c>
      <c r="B1179" s="502" t="s">
        <v>779</v>
      </c>
      <c r="C1179" s="507" t="s">
        <v>288</v>
      </c>
      <c r="D1179" s="504" t="s">
        <v>279</v>
      </c>
      <c r="E1179" s="348"/>
      <c r="F1179" s="504" t="s">
        <v>109</v>
      </c>
      <c r="G1179" s="515" t="s">
        <v>864</v>
      </c>
      <c r="H1179" s="514" t="s">
        <v>789</v>
      </c>
      <c r="I1179" s="510" t="s">
        <v>790</v>
      </c>
      <c r="J1179" s="510" t="s">
        <v>650</v>
      </c>
      <c r="K1179" s="517">
        <v>0</v>
      </c>
      <c r="L1179" s="520" t="s">
        <v>791</v>
      </c>
      <c r="M1179" s="685">
        <v>2</v>
      </c>
      <c r="N1179" s="687">
        <v>1</v>
      </c>
      <c r="O1179" s="682">
        <f t="shared" si="54"/>
        <v>0.5</v>
      </c>
      <c r="P1179" s="683" t="str">
        <f t="shared" si="55"/>
        <v>0</v>
      </c>
      <c r="Q1179" s="684" t="str">
        <f t="shared" si="56"/>
        <v>0</v>
      </c>
      <c r="R1179" s="490"/>
    </row>
    <row r="1180" spans="1:18" x14ac:dyDescent="0.2">
      <c r="A1180" s="506" t="s">
        <v>276</v>
      </c>
      <c r="B1180" s="502" t="s">
        <v>779</v>
      </c>
      <c r="C1180" s="507" t="s">
        <v>288</v>
      </c>
      <c r="D1180" s="504" t="s">
        <v>281</v>
      </c>
      <c r="E1180" s="348"/>
      <c r="F1180" s="504" t="s">
        <v>109</v>
      </c>
      <c r="G1180" s="515" t="s">
        <v>864</v>
      </c>
      <c r="H1180" s="514" t="s">
        <v>789</v>
      </c>
      <c r="I1180" s="510" t="s">
        <v>790</v>
      </c>
      <c r="J1180" s="510" t="s">
        <v>650</v>
      </c>
      <c r="K1180" s="517">
        <v>8</v>
      </c>
      <c r="L1180" s="520" t="s">
        <v>791</v>
      </c>
      <c r="M1180" s="685">
        <v>17</v>
      </c>
      <c r="N1180" s="687">
        <v>3</v>
      </c>
      <c r="O1180" s="682">
        <f t="shared" si="54"/>
        <v>0.17647058823529413</v>
      </c>
      <c r="P1180" s="683">
        <f t="shared" si="55"/>
        <v>220.58823529411762</v>
      </c>
      <c r="Q1180" s="684">
        <f t="shared" si="56"/>
        <v>2.2058823529411762</v>
      </c>
      <c r="R1180" s="490"/>
    </row>
    <row r="1181" spans="1:18" x14ac:dyDescent="0.2">
      <c r="A1181" s="506" t="s">
        <v>276</v>
      </c>
      <c r="B1181" s="502" t="s">
        <v>779</v>
      </c>
      <c r="C1181" s="507" t="s">
        <v>99</v>
      </c>
      <c r="D1181" s="504" t="s">
        <v>287</v>
      </c>
      <c r="E1181" s="348"/>
      <c r="F1181" s="504" t="s">
        <v>109</v>
      </c>
      <c r="G1181" s="515" t="s">
        <v>864</v>
      </c>
      <c r="H1181" s="514" t="s">
        <v>792</v>
      </c>
      <c r="I1181" s="510" t="s">
        <v>790</v>
      </c>
      <c r="J1181" s="510" t="s">
        <v>650</v>
      </c>
      <c r="K1181" s="517">
        <v>17</v>
      </c>
      <c r="L1181" s="520"/>
      <c r="M1181" s="685">
        <v>326</v>
      </c>
      <c r="N1181" s="687">
        <v>49</v>
      </c>
      <c r="O1181" s="682">
        <f t="shared" si="54"/>
        <v>0.15030674846625766</v>
      </c>
      <c r="P1181" s="683">
        <f t="shared" si="55"/>
        <v>88.415734391916274</v>
      </c>
      <c r="Q1181" s="684">
        <f t="shared" si="56"/>
        <v>0.88415734391916267</v>
      </c>
      <c r="R1181" s="490"/>
    </row>
    <row r="1182" spans="1:18" x14ac:dyDescent="0.2">
      <c r="A1182" s="506" t="s">
        <v>276</v>
      </c>
      <c r="B1182" s="502" t="s">
        <v>779</v>
      </c>
      <c r="C1182" s="507" t="s">
        <v>99</v>
      </c>
      <c r="D1182" s="504" t="s">
        <v>283</v>
      </c>
      <c r="E1182" s="348"/>
      <c r="F1182" s="504" t="s">
        <v>109</v>
      </c>
      <c r="G1182" s="515" t="s">
        <v>864</v>
      </c>
      <c r="H1182" s="514" t="s">
        <v>789</v>
      </c>
      <c r="I1182" s="510" t="s">
        <v>790</v>
      </c>
      <c r="J1182" s="510" t="s">
        <v>650</v>
      </c>
      <c r="K1182" s="517">
        <v>36</v>
      </c>
      <c r="L1182" s="520"/>
      <c r="M1182" s="685">
        <v>17</v>
      </c>
      <c r="N1182" s="687">
        <v>4</v>
      </c>
      <c r="O1182" s="682">
        <f t="shared" si="54"/>
        <v>0.23529411764705882</v>
      </c>
      <c r="P1182" s="683">
        <f t="shared" si="55"/>
        <v>65.359477124183002</v>
      </c>
      <c r="Q1182" s="684">
        <f t="shared" si="56"/>
        <v>0.65359477124183007</v>
      </c>
      <c r="R1182" s="490"/>
    </row>
    <row r="1183" spans="1:18" x14ac:dyDescent="0.2">
      <c r="A1183" s="506" t="s">
        <v>276</v>
      </c>
      <c r="B1183" s="502" t="s">
        <v>779</v>
      </c>
      <c r="C1183" s="507" t="s">
        <v>99</v>
      </c>
      <c r="D1183" s="504" t="s">
        <v>284</v>
      </c>
      <c r="E1183" s="348"/>
      <c r="F1183" s="504" t="s">
        <v>109</v>
      </c>
      <c r="G1183" s="515" t="s">
        <v>864</v>
      </c>
      <c r="H1183" s="514" t="s">
        <v>789</v>
      </c>
      <c r="I1183" s="510" t="s">
        <v>790</v>
      </c>
      <c r="J1183" s="510" t="s">
        <v>650</v>
      </c>
      <c r="K1183" s="517">
        <v>80</v>
      </c>
      <c r="L1183" s="520"/>
      <c r="M1183" s="685">
        <v>8</v>
      </c>
      <c r="N1183" s="687">
        <v>2</v>
      </c>
      <c r="O1183" s="682">
        <f t="shared" si="54"/>
        <v>0.25</v>
      </c>
      <c r="P1183" s="683">
        <f t="shared" si="55"/>
        <v>31.25</v>
      </c>
      <c r="Q1183" s="684">
        <f t="shared" si="56"/>
        <v>0.3125</v>
      </c>
      <c r="R1183" s="490"/>
    </row>
    <row r="1184" spans="1:18" x14ac:dyDescent="0.2">
      <c r="A1184" s="506" t="s">
        <v>276</v>
      </c>
      <c r="B1184" s="502" t="s">
        <v>779</v>
      </c>
      <c r="C1184" s="507" t="s">
        <v>99</v>
      </c>
      <c r="D1184" s="504" t="s">
        <v>279</v>
      </c>
      <c r="E1184" s="348"/>
      <c r="F1184" s="504" t="s">
        <v>109</v>
      </c>
      <c r="G1184" s="515" t="s">
        <v>864</v>
      </c>
      <c r="H1184" s="514" t="s">
        <v>789</v>
      </c>
      <c r="I1184" s="510" t="s">
        <v>790</v>
      </c>
      <c r="J1184" s="510" t="s">
        <v>650</v>
      </c>
      <c r="K1184" s="517">
        <v>17</v>
      </c>
      <c r="L1184" s="520" t="s">
        <v>791</v>
      </c>
      <c r="M1184" s="685">
        <v>5</v>
      </c>
      <c r="N1184" s="687">
        <v>2</v>
      </c>
      <c r="O1184" s="682">
        <f t="shared" si="54"/>
        <v>0.4</v>
      </c>
      <c r="P1184" s="683">
        <f t="shared" si="55"/>
        <v>235.29411764705878</v>
      </c>
      <c r="Q1184" s="684">
        <f t="shared" si="56"/>
        <v>2.3529411764705879</v>
      </c>
      <c r="R1184" s="490"/>
    </row>
    <row r="1185" spans="1:18" x14ac:dyDescent="0.2">
      <c r="A1185" s="506" t="s">
        <v>276</v>
      </c>
      <c r="B1185" s="502" t="s">
        <v>779</v>
      </c>
      <c r="C1185" s="507" t="s">
        <v>99</v>
      </c>
      <c r="D1185" s="504" t="s">
        <v>281</v>
      </c>
      <c r="E1185" s="348"/>
      <c r="F1185" s="504" t="s">
        <v>109</v>
      </c>
      <c r="G1185" s="515" t="s">
        <v>864</v>
      </c>
      <c r="H1185" s="514" t="s">
        <v>789</v>
      </c>
      <c r="I1185" s="510" t="s">
        <v>790</v>
      </c>
      <c r="J1185" s="510" t="s">
        <v>650</v>
      </c>
      <c r="K1185" s="517">
        <v>0</v>
      </c>
      <c r="L1185" s="520" t="s">
        <v>791</v>
      </c>
      <c r="M1185" s="685">
        <v>1</v>
      </c>
      <c r="N1185" s="687">
        <v>0</v>
      </c>
      <c r="O1185" s="682">
        <f t="shared" si="54"/>
        <v>0</v>
      </c>
      <c r="P1185" s="683" t="str">
        <f t="shared" si="55"/>
        <v>0</v>
      </c>
      <c r="Q1185" s="684" t="str">
        <f t="shared" si="56"/>
        <v>0</v>
      </c>
      <c r="R1185" s="490"/>
    </row>
    <row r="1186" spans="1:18" x14ac:dyDescent="0.2">
      <c r="A1186" s="506" t="s">
        <v>276</v>
      </c>
      <c r="B1186" s="502" t="s">
        <v>779</v>
      </c>
      <c r="C1186" s="507" t="s">
        <v>285</v>
      </c>
      <c r="D1186" s="504" t="s">
        <v>287</v>
      </c>
      <c r="E1186" s="348"/>
      <c r="F1186" s="504" t="s">
        <v>109</v>
      </c>
      <c r="G1186" s="515" t="s">
        <v>864</v>
      </c>
      <c r="H1186" s="514" t="s">
        <v>792</v>
      </c>
      <c r="I1186" s="510" t="s">
        <v>790</v>
      </c>
      <c r="J1186" s="510" t="s">
        <v>650</v>
      </c>
      <c r="K1186" s="517">
        <v>13</v>
      </c>
      <c r="L1186" s="520" t="s">
        <v>791</v>
      </c>
      <c r="M1186" s="685">
        <v>0</v>
      </c>
      <c r="N1186" s="687">
        <v>0</v>
      </c>
      <c r="O1186" s="682">
        <f t="shared" si="54"/>
        <v>0</v>
      </c>
      <c r="P1186" s="683" t="str">
        <f t="shared" si="55"/>
        <v>0</v>
      </c>
      <c r="Q1186" s="684" t="str">
        <f t="shared" si="56"/>
        <v>0</v>
      </c>
      <c r="R1186" s="490"/>
    </row>
    <row r="1187" spans="1:18" x14ac:dyDescent="0.2">
      <c r="A1187" s="506" t="s">
        <v>276</v>
      </c>
      <c r="B1187" s="502" t="s">
        <v>779</v>
      </c>
      <c r="C1187" s="507" t="s">
        <v>285</v>
      </c>
      <c r="D1187" s="504" t="s">
        <v>283</v>
      </c>
      <c r="E1187" s="348"/>
      <c r="F1187" s="504" t="s">
        <v>109</v>
      </c>
      <c r="G1187" s="515" t="s">
        <v>864</v>
      </c>
      <c r="H1187" s="514" t="s">
        <v>789</v>
      </c>
      <c r="I1187" s="510" t="s">
        <v>790</v>
      </c>
      <c r="J1187" s="510" t="s">
        <v>650</v>
      </c>
      <c r="K1187" s="517">
        <v>50</v>
      </c>
      <c r="L1187" s="520" t="s">
        <v>791</v>
      </c>
      <c r="M1187" s="685">
        <v>5</v>
      </c>
      <c r="N1187" s="687">
        <v>1</v>
      </c>
      <c r="O1187" s="682">
        <f t="shared" si="54"/>
        <v>0.2</v>
      </c>
      <c r="P1187" s="683">
        <f t="shared" si="55"/>
        <v>40</v>
      </c>
      <c r="Q1187" s="684">
        <f t="shared" si="56"/>
        <v>0.4</v>
      </c>
      <c r="R1187" s="490"/>
    </row>
    <row r="1188" spans="1:18" x14ac:dyDescent="0.2">
      <c r="A1188" s="506" t="s">
        <v>276</v>
      </c>
      <c r="B1188" s="502" t="s">
        <v>779</v>
      </c>
      <c r="C1188" s="507" t="s">
        <v>285</v>
      </c>
      <c r="D1188" s="504" t="s">
        <v>284</v>
      </c>
      <c r="E1188" s="348"/>
      <c r="F1188" s="504" t="s">
        <v>109</v>
      </c>
      <c r="G1188" s="515" t="s">
        <v>864</v>
      </c>
      <c r="H1188" s="514" t="s">
        <v>789</v>
      </c>
      <c r="I1188" s="510" t="s">
        <v>790</v>
      </c>
      <c r="J1188" s="510" t="s">
        <v>650</v>
      </c>
      <c r="K1188" s="517">
        <v>0</v>
      </c>
      <c r="L1188" s="520" t="s">
        <v>791</v>
      </c>
      <c r="M1188" s="685">
        <v>4</v>
      </c>
      <c r="N1188" s="687">
        <v>0</v>
      </c>
      <c r="O1188" s="682">
        <f t="shared" si="54"/>
        <v>0</v>
      </c>
      <c r="P1188" s="683" t="str">
        <f t="shared" si="55"/>
        <v>0</v>
      </c>
      <c r="Q1188" s="684" t="str">
        <f t="shared" si="56"/>
        <v>0</v>
      </c>
      <c r="R1188" s="490"/>
    </row>
    <row r="1189" spans="1:18" x14ac:dyDescent="0.2">
      <c r="A1189" s="506" t="s">
        <v>276</v>
      </c>
      <c r="B1189" s="502" t="s">
        <v>779</v>
      </c>
      <c r="C1189" s="507" t="s">
        <v>285</v>
      </c>
      <c r="D1189" s="504" t="s">
        <v>279</v>
      </c>
      <c r="E1189" s="348"/>
      <c r="F1189" s="504" t="s">
        <v>109</v>
      </c>
      <c r="G1189" s="515" t="s">
        <v>864</v>
      </c>
      <c r="H1189" s="514" t="s">
        <v>789</v>
      </c>
      <c r="I1189" s="510" t="s">
        <v>790</v>
      </c>
      <c r="J1189" s="510" t="s">
        <v>650</v>
      </c>
      <c r="K1189" s="517">
        <v>0</v>
      </c>
      <c r="L1189" s="520" t="s">
        <v>791</v>
      </c>
      <c r="M1189" s="685">
        <v>1</v>
      </c>
      <c r="N1189" s="687">
        <v>0</v>
      </c>
      <c r="O1189" s="682">
        <f t="shared" si="54"/>
        <v>0</v>
      </c>
      <c r="P1189" s="683" t="str">
        <f t="shared" si="55"/>
        <v>0</v>
      </c>
      <c r="Q1189" s="684" t="str">
        <f t="shared" si="56"/>
        <v>0</v>
      </c>
      <c r="R1189" s="490"/>
    </row>
    <row r="1190" spans="1:18" x14ac:dyDescent="0.2">
      <c r="A1190" s="506" t="s">
        <v>276</v>
      </c>
      <c r="B1190" s="502" t="s">
        <v>779</v>
      </c>
      <c r="C1190" s="507" t="s">
        <v>285</v>
      </c>
      <c r="D1190" s="504" t="s">
        <v>281</v>
      </c>
      <c r="E1190" s="348"/>
      <c r="F1190" s="504" t="s">
        <v>109</v>
      </c>
      <c r="G1190" s="515" t="s">
        <v>864</v>
      </c>
      <c r="H1190" s="514" t="s">
        <v>789</v>
      </c>
      <c r="I1190" s="510" t="s">
        <v>790</v>
      </c>
      <c r="J1190" s="510" t="s">
        <v>650</v>
      </c>
      <c r="K1190" s="517">
        <v>25</v>
      </c>
      <c r="L1190" s="520"/>
      <c r="M1190" s="685">
        <v>12</v>
      </c>
      <c r="N1190" s="687">
        <v>4</v>
      </c>
      <c r="O1190" s="682">
        <f t="shared" si="54"/>
        <v>0.33333333333333331</v>
      </c>
      <c r="P1190" s="683">
        <f t="shared" si="55"/>
        <v>133.33333333333331</v>
      </c>
      <c r="Q1190" s="684">
        <f t="shared" si="56"/>
        <v>1.3333333333333333</v>
      </c>
      <c r="R1190" s="490"/>
    </row>
    <row r="1191" spans="1:18" x14ac:dyDescent="0.2">
      <c r="A1191" s="506" t="s">
        <v>276</v>
      </c>
      <c r="B1191" s="502" t="s">
        <v>779</v>
      </c>
      <c r="C1191" s="507" t="s">
        <v>285</v>
      </c>
      <c r="D1191" s="504" t="s">
        <v>286</v>
      </c>
      <c r="E1191" s="348"/>
      <c r="F1191" s="504" t="s">
        <v>109</v>
      </c>
      <c r="G1191" s="515" t="s">
        <v>864</v>
      </c>
      <c r="H1191" s="514" t="s">
        <v>789</v>
      </c>
      <c r="I1191" s="510" t="s">
        <v>790</v>
      </c>
      <c r="J1191" s="510" t="s">
        <v>650</v>
      </c>
      <c r="K1191" s="517">
        <v>10</v>
      </c>
      <c r="L1191" s="520"/>
      <c r="M1191" s="685">
        <v>20</v>
      </c>
      <c r="N1191" s="687">
        <v>0</v>
      </c>
      <c r="O1191" s="682">
        <f t="shared" si="54"/>
        <v>0</v>
      </c>
      <c r="P1191" s="683">
        <f t="shared" si="55"/>
        <v>0</v>
      </c>
      <c r="Q1191" s="684">
        <f t="shared" si="56"/>
        <v>0</v>
      </c>
      <c r="R1191" s="490"/>
    </row>
    <row r="1192" spans="1:18" x14ac:dyDescent="0.2">
      <c r="A1192" s="506" t="s">
        <v>276</v>
      </c>
      <c r="B1192" s="502" t="s">
        <v>779</v>
      </c>
      <c r="C1192" s="507" t="s">
        <v>291</v>
      </c>
      <c r="D1192" s="504" t="s">
        <v>283</v>
      </c>
      <c r="E1192" s="348"/>
      <c r="F1192" s="504" t="s">
        <v>109</v>
      </c>
      <c r="G1192" s="515" t="s">
        <v>864</v>
      </c>
      <c r="H1192" s="514" t="s">
        <v>789</v>
      </c>
      <c r="I1192" s="510" t="s">
        <v>790</v>
      </c>
      <c r="J1192" s="510" t="s">
        <v>650</v>
      </c>
      <c r="K1192" s="517">
        <v>0</v>
      </c>
      <c r="L1192" s="520" t="s">
        <v>791</v>
      </c>
      <c r="M1192" s="685">
        <v>0</v>
      </c>
      <c r="N1192" s="687">
        <v>0</v>
      </c>
      <c r="O1192" s="682">
        <f t="shared" si="54"/>
        <v>0</v>
      </c>
      <c r="P1192" s="683" t="str">
        <f t="shared" si="55"/>
        <v>0</v>
      </c>
      <c r="Q1192" s="684" t="str">
        <f t="shared" si="56"/>
        <v>0</v>
      </c>
      <c r="R1192" s="490"/>
    </row>
    <row r="1193" spans="1:18" x14ac:dyDescent="0.2">
      <c r="A1193" s="506" t="s">
        <v>276</v>
      </c>
      <c r="B1193" s="502" t="s">
        <v>779</v>
      </c>
      <c r="C1193" s="507" t="s">
        <v>291</v>
      </c>
      <c r="D1193" s="504" t="s">
        <v>284</v>
      </c>
      <c r="E1193" s="348"/>
      <c r="F1193" s="504" t="s">
        <v>109</v>
      </c>
      <c r="G1193" s="515" t="s">
        <v>864</v>
      </c>
      <c r="H1193" s="514" t="s">
        <v>789</v>
      </c>
      <c r="I1193" s="510" t="s">
        <v>790</v>
      </c>
      <c r="J1193" s="510" t="s">
        <v>650</v>
      </c>
      <c r="K1193" s="517">
        <v>0</v>
      </c>
      <c r="L1193" s="520" t="s">
        <v>791</v>
      </c>
      <c r="M1193" s="685">
        <v>0</v>
      </c>
      <c r="N1193" s="687">
        <v>0</v>
      </c>
      <c r="O1193" s="682">
        <f t="shared" si="54"/>
        <v>0</v>
      </c>
      <c r="P1193" s="683" t="str">
        <f t="shared" si="55"/>
        <v>0</v>
      </c>
      <c r="Q1193" s="684" t="str">
        <f t="shared" si="56"/>
        <v>0</v>
      </c>
      <c r="R1193" s="490"/>
    </row>
    <row r="1194" spans="1:18" x14ac:dyDescent="0.2">
      <c r="A1194" s="506" t="s">
        <v>276</v>
      </c>
      <c r="B1194" s="502" t="s">
        <v>779</v>
      </c>
      <c r="C1194" s="507" t="s">
        <v>290</v>
      </c>
      <c r="D1194" s="504" t="s">
        <v>287</v>
      </c>
      <c r="E1194" s="348"/>
      <c r="F1194" s="504" t="s">
        <v>109</v>
      </c>
      <c r="G1194" s="515" t="s">
        <v>864</v>
      </c>
      <c r="H1194" s="514" t="s">
        <v>792</v>
      </c>
      <c r="I1194" s="510" t="s">
        <v>790</v>
      </c>
      <c r="J1194" s="510" t="s">
        <v>650</v>
      </c>
      <c r="K1194" s="517">
        <v>38</v>
      </c>
      <c r="L1194" s="520"/>
      <c r="M1194" s="685">
        <v>65</v>
      </c>
      <c r="N1194" s="687">
        <v>9</v>
      </c>
      <c r="O1194" s="682">
        <f t="shared" si="54"/>
        <v>0.13846153846153847</v>
      </c>
      <c r="P1194" s="683">
        <f t="shared" si="55"/>
        <v>36.43724696356275</v>
      </c>
      <c r="Q1194" s="684">
        <f t="shared" si="56"/>
        <v>0.36437246963562753</v>
      </c>
      <c r="R1194" s="490"/>
    </row>
    <row r="1195" spans="1:18" x14ac:dyDescent="0.2">
      <c r="A1195" s="506" t="s">
        <v>276</v>
      </c>
      <c r="B1195" s="502" t="s">
        <v>779</v>
      </c>
      <c r="C1195" s="507" t="s">
        <v>290</v>
      </c>
      <c r="D1195" s="504" t="s">
        <v>283</v>
      </c>
      <c r="E1195" s="348"/>
      <c r="F1195" s="504" t="s">
        <v>109</v>
      </c>
      <c r="G1195" s="515" t="s">
        <v>864</v>
      </c>
      <c r="H1195" s="514" t="s">
        <v>789</v>
      </c>
      <c r="I1195" s="510" t="s">
        <v>790</v>
      </c>
      <c r="J1195" s="510" t="s">
        <v>650</v>
      </c>
      <c r="K1195" s="517">
        <v>0</v>
      </c>
      <c r="L1195" s="520" t="s">
        <v>791</v>
      </c>
      <c r="M1195" s="685">
        <v>5</v>
      </c>
      <c r="N1195" s="687">
        <v>0</v>
      </c>
      <c r="O1195" s="682">
        <f t="shared" si="54"/>
        <v>0</v>
      </c>
      <c r="P1195" s="683" t="str">
        <f t="shared" si="55"/>
        <v>0</v>
      </c>
      <c r="Q1195" s="684" t="str">
        <f t="shared" si="56"/>
        <v>0</v>
      </c>
      <c r="R1195" s="490"/>
    </row>
    <row r="1196" spans="1:18" x14ac:dyDescent="0.2">
      <c r="A1196" s="506" t="s">
        <v>276</v>
      </c>
      <c r="B1196" s="502" t="s">
        <v>779</v>
      </c>
      <c r="C1196" s="507" t="s">
        <v>290</v>
      </c>
      <c r="D1196" s="504" t="s">
        <v>284</v>
      </c>
      <c r="E1196" s="348"/>
      <c r="F1196" s="504" t="s">
        <v>109</v>
      </c>
      <c r="G1196" s="515" t="s">
        <v>864</v>
      </c>
      <c r="H1196" s="514" t="s">
        <v>789</v>
      </c>
      <c r="I1196" s="510" t="s">
        <v>790</v>
      </c>
      <c r="J1196" s="510" t="s">
        <v>650</v>
      </c>
      <c r="K1196" s="517">
        <v>0</v>
      </c>
      <c r="L1196" s="520" t="s">
        <v>791</v>
      </c>
      <c r="M1196" s="685">
        <v>0</v>
      </c>
      <c r="N1196" s="687">
        <v>0</v>
      </c>
      <c r="O1196" s="682">
        <f t="shared" si="54"/>
        <v>0</v>
      </c>
      <c r="P1196" s="683" t="str">
        <f t="shared" si="55"/>
        <v>0</v>
      </c>
      <c r="Q1196" s="684" t="str">
        <f t="shared" si="56"/>
        <v>0</v>
      </c>
      <c r="R1196" s="490"/>
    </row>
    <row r="1197" spans="1:18" x14ac:dyDescent="0.2">
      <c r="A1197" s="506" t="s">
        <v>276</v>
      </c>
      <c r="B1197" s="502" t="s">
        <v>779</v>
      </c>
      <c r="C1197" s="507" t="s">
        <v>289</v>
      </c>
      <c r="D1197" s="504" t="s">
        <v>287</v>
      </c>
      <c r="E1197" s="348"/>
      <c r="F1197" s="504" t="s">
        <v>109</v>
      </c>
      <c r="G1197" s="515" t="s">
        <v>864</v>
      </c>
      <c r="H1197" s="514" t="s">
        <v>792</v>
      </c>
      <c r="I1197" s="510" t="s">
        <v>790</v>
      </c>
      <c r="J1197" s="510" t="s">
        <v>650</v>
      </c>
      <c r="K1197" s="517">
        <v>5</v>
      </c>
      <c r="L1197" s="520"/>
      <c r="M1197" s="685">
        <v>733</v>
      </c>
      <c r="N1197" s="687">
        <v>90</v>
      </c>
      <c r="O1197" s="682">
        <f t="shared" si="54"/>
        <v>0.12278308321964529</v>
      </c>
      <c r="P1197" s="683">
        <f t="shared" si="55"/>
        <v>245.56616643929061</v>
      </c>
      <c r="Q1197" s="684">
        <f t="shared" si="56"/>
        <v>2.4556616643929061</v>
      </c>
      <c r="R1197" s="490"/>
    </row>
    <row r="1198" spans="1:18" x14ac:dyDescent="0.2">
      <c r="A1198" s="506" t="s">
        <v>276</v>
      </c>
      <c r="B1198" s="502" t="s">
        <v>779</v>
      </c>
      <c r="C1198" s="507" t="s">
        <v>289</v>
      </c>
      <c r="D1198" s="504" t="s">
        <v>283</v>
      </c>
      <c r="E1198" s="348"/>
      <c r="F1198" s="504" t="s">
        <v>109</v>
      </c>
      <c r="G1198" s="515" t="s">
        <v>864</v>
      </c>
      <c r="H1198" s="514" t="s">
        <v>789</v>
      </c>
      <c r="I1198" s="510" t="s">
        <v>790</v>
      </c>
      <c r="J1198" s="510" t="s">
        <v>650</v>
      </c>
      <c r="K1198" s="517">
        <v>32</v>
      </c>
      <c r="L1198" s="520"/>
      <c r="M1198" s="685">
        <v>134</v>
      </c>
      <c r="N1198" s="687">
        <v>38</v>
      </c>
      <c r="O1198" s="682">
        <f t="shared" si="54"/>
        <v>0.28358208955223879</v>
      </c>
      <c r="P1198" s="683">
        <f t="shared" si="55"/>
        <v>88.619402985074629</v>
      </c>
      <c r="Q1198" s="684">
        <f t="shared" si="56"/>
        <v>0.88619402985074625</v>
      </c>
      <c r="R1198" s="490"/>
    </row>
    <row r="1199" spans="1:18" x14ac:dyDescent="0.2">
      <c r="A1199" s="506" t="s">
        <v>276</v>
      </c>
      <c r="B1199" s="502" t="s">
        <v>779</v>
      </c>
      <c r="C1199" s="507" t="s">
        <v>289</v>
      </c>
      <c r="D1199" s="504" t="s">
        <v>284</v>
      </c>
      <c r="E1199" s="348"/>
      <c r="F1199" s="504" t="s">
        <v>109</v>
      </c>
      <c r="G1199" s="515" t="s">
        <v>864</v>
      </c>
      <c r="H1199" s="514" t="s">
        <v>789</v>
      </c>
      <c r="I1199" s="510" t="s">
        <v>790</v>
      </c>
      <c r="J1199" s="510" t="s">
        <v>650</v>
      </c>
      <c r="K1199" s="517">
        <v>33</v>
      </c>
      <c r="L1199" s="520"/>
      <c r="M1199" s="685">
        <v>29</v>
      </c>
      <c r="N1199" s="687">
        <v>13</v>
      </c>
      <c r="O1199" s="682">
        <f t="shared" si="54"/>
        <v>0.44827586206896552</v>
      </c>
      <c r="P1199" s="683">
        <f t="shared" si="55"/>
        <v>135.84117032392896</v>
      </c>
      <c r="Q1199" s="684">
        <f t="shared" si="56"/>
        <v>1.3584117032392895</v>
      </c>
      <c r="R1199" s="490"/>
    </row>
    <row r="1200" spans="1:18" x14ac:dyDescent="0.2">
      <c r="A1200" s="506" t="s">
        <v>276</v>
      </c>
      <c r="B1200" s="502" t="s">
        <v>779</v>
      </c>
      <c r="C1200" s="507" t="s">
        <v>289</v>
      </c>
      <c r="D1200" s="504" t="s">
        <v>281</v>
      </c>
      <c r="E1200" s="348"/>
      <c r="F1200" s="504" t="s">
        <v>109</v>
      </c>
      <c r="G1200" s="515" t="s">
        <v>864</v>
      </c>
      <c r="H1200" s="514" t="s">
        <v>789</v>
      </c>
      <c r="I1200" s="510" t="s">
        <v>790</v>
      </c>
      <c r="J1200" s="510" t="s">
        <v>650</v>
      </c>
      <c r="K1200" s="517">
        <v>0</v>
      </c>
      <c r="L1200" s="520" t="s">
        <v>791</v>
      </c>
      <c r="M1200" s="685">
        <v>2</v>
      </c>
      <c r="N1200" s="687">
        <v>0</v>
      </c>
      <c r="O1200" s="682">
        <f t="shared" si="54"/>
        <v>0</v>
      </c>
      <c r="P1200" s="683" t="str">
        <f t="shared" si="55"/>
        <v>0</v>
      </c>
      <c r="Q1200" s="684" t="str">
        <f t="shared" si="56"/>
        <v>0</v>
      </c>
      <c r="R1200" s="490"/>
    </row>
    <row r="1201" spans="1:18" s="315" customFormat="1" x14ac:dyDescent="0.2">
      <c r="A1201" s="737" t="s">
        <v>276</v>
      </c>
      <c r="B1201" s="738" t="s">
        <v>779</v>
      </c>
      <c r="C1201" s="739" t="s">
        <v>781</v>
      </c>
      <c r="D1201" s="739" t="s">
        <v>287</v>
      </c>
      <c r="E1201" s="740"/>
      <c r="F1201" s="754" t="s">
        <v>109</v>
      </c>
      <c r="G1201" s="741" t="s">
        <v>801</v>
      </c>
      <c r="H1201" s="742" t="s">
        <v>818</v>
      </c>
      <c r="I1201" s="743" t="s">
        <v>790</v>
      </c>
      <c r="J1201" s="744" t="s">
        <v>650</v>
      </c>
      <c r="K1201" s="745">
        <v>10</v>
      </c>
      <c r="L1201" s="746"/>
      <c r="M1201" s="747">
        <v>437</v>
      </c>
      <c r="N1201" s="747">
        <v>437</v>
      </c>
      <c r="O1201" s="748">
        <f t="shared" si="54"/>
        <v>1</v>
      </c>
      <c r="P1201" s="749">
        <f t="shared" si="55"/>
        <v>1000</v>
      </c>
      <c r="Q1201" s="750">
        <f t="shared" si="56"/>
        <v>10</v>
      </c>
      <c r="R1201" s="751"/>
    </row>
    <row r="1202" spans="1:18" s="315" customFormat="1" x14ac:dyDescent="0.2">
      <c r="A1202" s="737" t="s">
        <v>276</v>
      </c>
      <c r="B1202" s="738" t="s">
        <v>779</v>
      </c>
      <c r="C1202" s="739" t="s">
        <v>781</v>
      </c>
      <c r="D1202" s="739" t="s">
        <v>283</v>
      </c>
      <c r="E1202" s="740"/>
      <c r="F1202" s="754" t="s">
        <v>109</v>
      </c>
      <c r="G1202" s="741" t="s">
        <v>801</v>
      </c>
      <c r="H1202" s="742" t="s">
        <v>818</v>
      </c>
      <c r="I1202" s="743" t="s">
        <v>790</v>
      </c>
      <c r="J1202" s="744" t="s">
        <v>650</v>
      </c>
      <c r="K1202" s="745">
        <v>10</v>
      </c>
      <c r="L1202" s="746"/>
      <c r="M1202" s="747">
        <v>85</v>
      </c>
      <c r="N1202" s="747">
        <v>85</v>
      </c>
      <c r="O1202" s="748">
        <f t="shared" si="54"/>
        <v>1</v>
      </c>
      <c r="P1202" s="749">
        <f t="shared" si="55"/>
        <v>1000</v>
      </c>
      <c r="Q1202" s="750">
        <f t="shared" si="56"/>
        <v>10</v>
      </c>
      <c r="R1202" s="751"/>
    </row>
    <row r="1203" spans="1:18" s="315" customFormat="1" x14ac:dyDescent="0.2">
      <c r="A1203" s="737" t="s">
        <v>276</v>
      </c>
      <c r="B1203" s="738" t="s">
        <v>779</v>
      </c>
      <c r="C1203" s="739" t="s">
        <v>781</v>
      </c>
      <c r="D1203" s="739" t="s">
        <v>284</v>
      </c>
      <c r="E1203" s="740"/>
      <c r="F1203" s="754" t="s">
        <v>109</v>
      </c>
      <c r="G1203" s="741" t="s">
        <v>801</v>
      </c>
      <c r="H1203" s="742" t="s">
        <v>818</v>
      </c>
      <c r="I1203" s="743" t="s">
        <v>790</v>
      </c>
      <c r="J1203" s="744" t="s">
        <v>650</v>
      </c>
      <c r="K1203" s="745">
        <v>10</v>
      </c>
      <c r="L1203" s="746"/>
      <c r="M1203" s="747">
        <v>14</v>
      </c>
      <c r="N1203" s="747">
        <v>14</v>
      </c>
      <c r="O1203" s="748">
        <f t="shared" si="54"/>
        <v>1</v>
      </c>
      <c r="P1203" s="749">
        <f t="shared" si="55"/>
        <v>999.99999999999977</v>
      </c>
      <c r="Q1203" s="750">
        <f t="shared" si="56"/>
        <v>9.9999999999999982</v>
      </c>
      <c r="R1203" s="751"/>
    </row>
    <row r="1204" spans="1:18" s="315" customFormat="1" x14ac:dyDescent="0.2">
      <c r="A1204" s="737" t="s">
        <v>276</v>
      </c>
      <c r="B1204" s="738" t="s">
        <v>779</v>
      </c>
      <c r="C1204" s="739" t="s">
        <v>781</v>
      </c>
      <c r="D1204" s="739" t="s">
        <v>279</v>
      </c>
      <c r="E1204" s="740"/>
      <c r="F1204" s="754" t="s">
        <v>109</v>
      </c>
      <c r="G1204" s="741" t="s">
        <v>801</v>
      </c>
      <c r="H1204" s="742" t="s">
        <v>818</v>
      </c>
      <c r="I1204" s="743" t="s">
        <v>790</v>
      </c>
      <c r="J1204" s="744" t="s">
        <v>650</v>
      </c>
      <c r="K1204" s="745">
        <v>10</v>
      </c>
      <c r="L1204" s="746"/>
      <c r="M1204" s="747">
        <v>0</v>
      </c>
      <c r="N1204" s="747">
        <v>0</v>
      </c>
      <c r="O1204" s="748">
        <f t="shared" si="54"/>
        <v>0</v>
      </c>
      <c r="P1204" s="749" t="str">
        <f t="shared" si="55"/>
        <v>0</v>
      </c>
      <c r="Q1204" s="750" t="str">
        <f t="shared" si="56"/>
        <v>0</v>
      </c>
      <c r="R1204" s="751"/>
    </row>
    <row r="1205" spans="1:18" s="315" customFormat="1" x14ac:dyDescent="0.2">
      <c r="A1205" s="737" t="s">
        <v>276</v>
      </c>
      <c r="B1205" s="738" t="s">
        <v>779</v>
      </c>
      <c r="C1205" s="739" t="s">
        <v>781</v>
      </c>
      <c r="D1205" s="739" t="s">
        <v>281</v>
      </c>
      <c r="E1205" s="740"/>
      <c r="F1205" s="754" t="s">
        <v>109</v>
      </c>
      <c r="G1205" s="741" t="s">
        <v>801</v>
      </c>
      <c r="H1205" s="742" t="s">
        <v>818</v>
      </c>
      <c r="I1205" s="743" t="s">
        <v>790</v>
      </c>
      <c r="J1205" s="744" t="s">
        <v>650</v>
      </c>
      <c r="K1205" s="745">
        <v>10</v>
      </c>
      <c r="L1205" s="746"/>
      <c r="M1205" s="747">
        <v>3</v>
      </c>
      <c r="N1205" s="747">
        <v>3</v>
      </c>
      <c r="O1205" s="748">
        <f t="shared" si="54"/>
        <v>1</v>
      </c>
      <c r="P1205" s="749">
        <f t="shared" si="55"/>
        <v>999.99999999999977</v>
      </c>
      <c r="Q1205" s="750">
        <f t="shared" si="56"/>
        <v>9.9999999999999982</v>
      </c>
      <c r="R1205" s="751"/>
    </row>
    <row r="1206" spans="1:18" s="315" customFormat="1" x14ac:dyDescent="0.2">
      <c r="A1206" s="737" t="s">
        <v>276</v>
      </c>
      <c r="B1206" s="738" t="s">
        <v>779</v>
      </c>
      <c r="C1206" s="739" t="s">
        <v>781</v>
      </c>
      <c r="D1206" s="739" t="s">
        <v>286</v>
      </c>
      <c r="E1206" s="740"/>
      <c r="F1206" s="754" t="s">
        <v>109</v>
      </c>
      <c r="G1206" s="741" t="s">
        <v>801</v>
      </c>
      <c r="H1206" s="742" t="s">
        <v>818</v>
      </c>
      <c r="I1206" s="743" t="s">
        <v>790</v>
      </c>
      <c r="J1206" s="744" t="s">
        <v>650</v>
      </c>
      <c r="K1206" s="745">
        <v>10</v>
      </c>
      <c r="L1206" s="746"/>
      <c r="M1206" s="747">
        <v>0</v>
      </c>
      <c r="N1206" s="747">
        <v>0</v>
      </c>
      <c r="O1206" s="748">
        <f t="shared" si="54"/>
        <v>0</v>
      </c>
      <c r="P1206" s="749" t="str">
        <f t="shared" si="55"/>
        <v>0</v>
      </c>
      <c r="Q1206" s="750" t="str">
        <f t="shared" si="56"/>
        <v>0</v>
      </c>
      <c r="R1206" s="751"/>
    </row>
    <row r="1207" spans="1:18" s="315" customFormat="1" x14ac:dyDescent="0.2">
      <c r="A1207" s="737" t="s">
        <v>276</v>
      </c>
      <c r="B1207" s="738" t="s">
        <v>779</v>
      </c>
      <c r="C1207" s="739" t="s">
        <v>97</v>
      </c>
      <c r="D1207" s="752" t="s">
        <v>279</v>
      </c>
      <c r="E1207" s="740"/>
      <c r="F1207" s="754" t="s">
        <v>109</v>
      </c>
      <c r="G1207" s="741" t="s">
        <v>786</v>
      </c>
      <c r="H1207" s="742" t="s">
        <v>789</v>
      </c>
      <c r="I1207" s="743" t="s">
        <v>790</v>
      </c>
      <c r="J1207" s="744" t="s">
        <v>650</v>
      </c>
      <c r="K1207" s="745">
        <v>0</v>
      </c>
      <c r="L1207" s="738" t="s">
        <v>787</v>
      </c>
      <c r="M1207" s="747">
        <v>6</v>
      </c>
      <c r="N1207" s="747">
        <v>0</v>
      </c>
      <c r="O1207" s="748">
        <f t="shared" ref="O1207:O1238" si="57">IFERROR(N1207/M1207,0)</f>
        <v>0</v>
      </c>
      <c r="P1207" s="749" t="str">
        <f t="shared" ref="P1207:P1238" si="58">IFERROR(N1207/(M1207*(K1207/100))*100,"0")</f>
        <v>0</v>
      </c>
      <c r="Q1207" s="750" t="str">
        <f t="shared" ref="Q1207:Q1238" si="59">IFERROR(N1207/(M1207*(K1207/100)),"0")</f>
        <v>0</v>
      </c>
      <c r="R1207" s="751" t="s">
        <v>2040</v>
      </c>
    </row>
    <row r="1208" spans="1:18" s="315" customFormat="1" x14ac:dyDescent="0.2">
      <c r="A1208" s="737" t="s">
        <v>276</v>
      </c>
      <c r="B1208" s="738" t="s">
        <v>779</v>
      </c>
      <c r="C1208" s="739" t="s">
        <v>97</v>
      </c>
      <c r="D1208" s="752" t="s">
        <v>281</v>
      </c>
      <c r="E1208" s="740"/>
      <c r="F1208" s="754" t="s">
        <v>109</v>
      </c>
      <c r="G1208" s="741" t="s">
        <v>786</v>
      </c>
      <c r="H1208" s="742" t="s">
        <v>789</v>
      </c>
      <c r="I1208" s="743" t="s">
        <v>790</v>
      </c>
      <c r="J1208" s="744" t="s">
        <v>650</v>
      </c>
      <c r="K1208" s="745">
        <v>0</v>
      </c>
      <c r="L1208" s="738" t="s">
        <v>787</v>
      </c>
      <c r="M1208" s="747">
        <v>9</v>
      </c>
      <c r="N1208" s="747">
        <v>0</v>
      </c>
      <c r="O1208" s="748">
        <f t="shared" si="57"/>
        <v>0</v>
      </c>
      <c r="P1208" s="749" t="str">
        <f t="shared" si="58"/>
        <v>0</v>
      </c>
      <c r="Q1208" s="750" t="str">
        <f t="shared" si="59"/>
        <v>0</v>
      </c>
      <c r="R1208" s="751" t="s">
        <v>2040</v>
      </c>
    </row>
    <row r="1209" spans="1:18" s="315" customFormat="1" x14ac:dyDescent="0.2">
      <c r="A1209" s="737" t="s">
        <v>276</v>
      </c>
      <c r="B1209" s="738" t="s">
        <v>779</v>
      </c>
      <c r="C1209" s="739" t="s">
        <v>282</v>
      </c>
      <c r="D1209" s="752" t="s">
        <v>287</v>
      </c>
      <c r="E1209" s="740"/>
      <c r="F1209" s="754" t="s">
        <v>109</v>
      </c>
      <c r="G1209" s="741" t="s">
        <v>786</v>
      </c>
      <c r="H1209" s="742" t="s">
        <v>792</v>
      </c>
      <c r="I1209" s="743" t="s">
        <v>790</v>
      </c>
      <c r="J1209" s="744" t="s">
        <v>650</v>
      </c>
      <c r="K1209" s="745">
        <v>0</v>
      </c>
      <c r="L1209" s="738" t="s">
        <v>787</v>
      </c>
      <c r="M1209" s="747">
        <v>68</v>
      </c>
      <c r="N1209" s="747">
        <v>0</v>
      </c>
      <c r="O1209" s="748">
        <f t="shared" si="57"/>
        <v>0</v>
      </c>
      <c r="P1209" s="749" t="str">
        <f t="shared" si="58"/>
        <v>0</v>
      </c>
      <c r="Q1209" s="750" t="str">
        <f t="shared" si="59"/>
        <v>0</v>
      </c>
      <c r="R1209" s="751" t="s">
        <v>2040</v>
      </c>
    </row>
    <row r="1210" spans="1:18" s="315" customFormat="1" x14ac:dyDescent="0.2">
      <c r="A1210" s="737" t="s">
        <v>276</v>
      </c>
      <c r="B1210" s="738" t="s">
        <v>779</v>
      </c>
      <c r="C1210" s="739" t="s">
        <v>282</v>
      </c>
      <c r="D1210" s="752" t="s">
        <v>283</v>
      </c>
      <c r="E1210" s="740"/>
      <c r="F1210" s="754" t="s">
        <v>109</v>
      </c>
      <c r="G1210" s="741" t="s">
        <v>786</v>
      </c>
      <c r="H1210" s="742" t="s">
        <v>789</v>
      </c>
      <c r="I1210" s="743" t="s">
        <v>790</v>
      </c>
      <c r="J1210" s="744" t="s">
        <v>650</v>
      </c>
      <c r="K1210" s="745">
        <v>0</v>
      </c>
      <c r="L1210" s="738" t="s">
        <v>787</v>
      </c>
      <c r="M1210" s="747">
        <v>19</v>
      </c>
      <c r="N1210" s="747">
        <v>0</v>
      </c>
      <c r="O1210" s="748">
        <f t="shared" si="57"/>
        <v>0</v>
      </c>
      <c r="P1210" s="749" t="str">
        <f t="shared" si="58"/>
        <v>0</v>
      </c>
      <c r="Q1210" s="750" t="str">
        <f t="shared" si="59"/>
        <v>0</v>
      </c>
      <c r="R1210" s="751" t="s">
        <v>2040</v>
      </c>
    </row>
    <row r="1211" spans="1:18" s="315" customFormat="1" x14ac:dyDescent="0.2">
      <c r="A1211" s="737" t="s">
        <v>276</v>
      </c>
      <c r="B1211" s="738" t="s">
        <v>779</v>
      </c>
      <c r="C1211" s="739" t="s">
        <v>282</v>
      </c>
      <c r="D1211" s="752" t="s">
        <v>284</v>
      </c>
      <c r="E1211" s="740"/>
      <c r="F1211" s="754" t="s">
        <v>109</v>
      </c>
      <c r="G1211" s="741" t="s">
        <v>786</v>
      </c>
      <c r="H1211" s="742" t="s">
        <v>789</v>
      </c>
      <c r="I1211" s="743" t="s">
        <v>790</v>
      </c>
      <c r="J1211" s="744" t="s">
        <v>650</v>
      </c>
      <c r="K1211" s="745">
        <v>0</v>
      </c>
      <c r="L1211" s="738" t="s">
        <v>787</v>
      </c>
      <c r="M1211" s="747">
        <v>43</v>
      </c>
      <c r="N1211" s="747">
        <v>0</v>
      </c>
      <c r="O1211" s="748">
        <f t="shared" si="57"/>
        <v>0</v>
      </c>
      <c r="P1211" s="749" t="str">
        <f t="shared" si="58"/>
        <v>0</v>
      </c>
      <c r="Q1211" s="750" t="str">
        <f t="shared" si="59"/>
        <v>0</v>
      </c>
      <c r="R1211" s="751" t="s">
        <v>2040</v>
      </c>
    </row>
    <row r="1212" spans="1:18" s="315" customFormat="1" x14ac:dyDescent="0.2">
      <c r="A1212" s="737" t="s">
        <v>276</v>
      </c>
      <c r="B1212" s="738" t="s">
        <v>779</v>
      </c>
      <c r="C1212" s="739" t="s">
        <v>282</v>
      </c>
      <c r="D1212" s="752" t="s">
        <v>279</v>
      </c>
      <c r="E1212" s="740"/>
      <c r="F1212" s="754" t="s">
        <v>109</v>
      </c>
      <c r="G1212" s="741" t="s">
        <v>786</v>
      </c>
      <c r="H1212" s="742" t="s">
        <v>789</v>
      </c>
      <c r="I1212" s="743" t="s">
        <v>790</v>
      </c>
      <c r="J1212" s="744" t="s">
        <v>650</v>
      </c>
      <c r="K1212" s="745">
        <v>0</v>
      </c>
      <c r="L1212" s="738" t="s">
        <v>787</v>
      </c>
      <c r="M1212" s="747">
        <v>65</v>
      </c>
      <c r="N1212" s="747">
        <v>0</v>
      </c>
      <c r="O1212" s="748">
        <f t="shared" si="57"/>
        <v>0</v>
      </c>
      <c r="P1212" s="749" t="str">
        <f t="shared" si="58"/>
        <v>0</v>
      </c>
      <c r="Q1212" s="750" t="str">
        <f t="shared" si="59"/>
        <v>0</v>
      </c>
      <c r="R1212" s="751" t="s">
        <v>2040</v>
      </c>
    </row>
    <row r="1213" spans="1:18" s="315" customFormat="1" x14ac:dyDescent="0.2">
      <c r="A1213" s="737" t="s">
        <v>276</v>
      </c>
      <c r="B1213" s="738" t="s">
        <v>779</v>
      </c>
      <c r="C1213" s="739" t="s">
        <v>282</v>
      </c>
      <c r="D1213" s="752" t="s">
        <v>281</v>
      </c>
      <c r="E1213" s="740"/>
      <c r="F1213" s="754" t="s">
        <v>109</v>
      </c>
      <c r="G1213" s="741" t="s">
        <v>786</v>
      </c>
      <c r="H1213" s="742" t="s">
        <v>789</v>
      </c>
      <c r="I1213" s="743" t="s">
        <v>790</v>
      </c>
      <c r="J1213" s="744" t="s">
        <v>650</v>
      </c>
      <c r="K1213" s="745">
        <v>0</v>
      </c>
      <c r="L1213" s="738" t="s">
        <v>787</v>
      </c>
      <c r="M1213" s="747">
        <v>48</v>
      </c>
      <c r="N1213" s="747">
        <v>0</v>
      </c>
      <c r="O1213" s="748">
        <f t="shared" si="57"/>
        <v>0</v>
      </c>
      <c r="P1213" s="749" t="str">
        <f t="shared" si="58"/>
        <v>0</v>
      </c>
      <c r="Q1213" s="750" t="str">
        <f t="shared" si="59"/>
        <v>0</v>
      </c>
      <c r="R1213" s="751" t="s">
        <v>2040</v>
      </c>
    </row>
    <row r="1214" spans="1:18" s="315" customFormat="1" x14ac:dyDescent="0.2">
      <c r="A1214" s="737" t="s">
        <v>276</v>
      </c>
      <c r="B1214" s="738" t="s">
        <v>779</v>
      </c>
      <c r="C1214" s="739" t="s">
        <v>288</v>
      </c>
      <c r="D1214" s="752" t="s">
        <v>287</v>
      </c>
      <c r="E1214" s="740"/>
      <c r="F1214" s="754" t="s">
        <v>109</v>
      </c>
      <c r="G1214" s="741" t="s">
        <v>786</v>
      </c>
      <c r="H1214" s="742" t="s">
        <v>792</v>
      </c>
      <c r="I1214" s="743" t="s">
        <v>790</v>
      </c>
      <c r="J1214" s="744" t="s">
        <v>650</v>
      </c>
      <c r="K1214" s="745">
        <v>0</v>
      </c>
      <c r="L1214" s="738" t="s">
        <v>787</v>
      </c>
      <c r="M1214" s="747">
        <v>299</v>
      </c>
      <c r="N1214" s="747">
        <v>0</v>
      </c>
      <c r="O1214" s="748">
        <f t="shared" si="57"/>
        <v>0</v>
      </c>
      <c r="P1214" s="749" t="str">
        <f t="shared" si="58"/>
        <v>0</v>
      </c>
      <c r="Q1214" s="750" t="str">
        <f t="shared" si="59"/>
        <v>0</v>
      </c>
      <c r="R1214" s="751" t="s">
        <v>2040</v>
      </c>
    </row>
    <row r="1215" spans="1:18" s="315" customFormat="1" x14ac:dyDescent="0.2">
      <c r="A1215" s="737" t="s">
        <v>276</v>
      </c>
      <c r="B1215" s="738" t="s">
        <v>779</v>
      </c>
      <c r="C1215" s="739" t="s">
        <v>288</v>
      </c>
      <c r="D1215" s="752" t="s">
        <v>283</v>
      </c>
      <c r="E1215" s="740"/>
      <c r="F1215" s="754" t="s">
        <v>109</v>
      </c>
      <c r="G1215" s="741" t="s">
        <v>786</v>
      </c>
      <c r="H1215" s="742" t="s">
        <v>789</v>
      </c>
      <c r="I1215" s="743" t="s">
        <v>790</v>
      </c>
      <c r="J1215" s="744" t="s">
        <v>650</v>
      </c>
      <c r="K1215" s="745">
        <v>0</v>
      </c>
      <c r="L1215" s="738" t="s">
        <v>787</v>
      </c>
      <c r="M1215" s="747">
        <v>64</v>
      </c>
      <c r="N1215" s="747">
        <v>0</v>
      </c>
      <c r="O1215" s="748">
        <f t="shared" si="57"/>
        <v>0</v>
      </c>
      <c r="P1215" s="749" t="str">
        <f t="shared" si="58"/>
        <v>0</v>
      </c>
      <c r="Q1215" s="750" t="str">
        <f t="shared" si="59"/>
        <v>0</v>
      </c>
      <c r="R1215" s="751" t="s">
        <v>2040</v>
      </c>
    </row>
    <row r="1216" spans="1:18" s="315" customFormat="1" x14ac:dyDescent="0.2">
      <c r="A1216" s="737" t="s">
        <v>276</v>
      </c>
      <c r="B1216" s="738" t="s">
        <v>779</v>
      </c>
      <c r="C1216" s="739" t="s">
        <v>288</v>
      </c>
      <c r="D1216" s="752" t="s">
        <v>284</v>
      </c>
      <c r="E1216" s="740"/>
      <c r="F1216" s="754" t="s">
        <v>109</v>
      </c>
      <c r="G1216" s="741" t="s">
        <v>786</v>
      </c>
      <c r="H1216" s="742" t="s">
        <v>789</v>
      </c>
      <c r="I1216" s="743" t="s">
        <v>790</v>
      </c>
      <c r="J1216" s="744" t="s">
        <v>650</v>
      </c>
      <c r="K1216" s="745">
        <v>0</v>
      </c>
      <c r="L1216" s="738" t="s">
        <v>787</v>
      </c>
      <c r="M1216" s="747">
        <v>10</v>
      </c>
      <c r="N1216" s="747">
        <v>0</v>
      </c>
      <c r="O1216" s="748">
        <f t="shared" si="57"/>
        <v>0</v>
      </c>
      <c r="P1216" s="749" t="str">
        <f t="shared" si="58"/>
        <v>0</v>
      </c>
      <c r="Q1216" s="750" t="str">
        <f t="shared" si="59"/>
        <v>0</v>
      </c>
      <c r="R1216" s="751" t="s">
        <v>2040</v>
      </c>
    </row>
    <row r="1217" spans="1:18" s="315" customFormat="1" x14ac:dyDescent="0.2">
      <c r="A1217" s="737" t="s">
        <v>276</v>
      </c>
      <c r="B1217" s="738" t="s">
        <v>779</v>
      </c>
      <c r="C1217" s="739" t="s">
        <v>288</v>
      </c>
      <c r="D1217" s="752" t="s">
        <v>279</v>
      </c>
      <c r="E1217" s="740"/>
      <c r="F1217" s="754" t="s">
        <v>109</v>
      </c>
      <c r="G1217" s="741" t="s">
        <v>786</v>
      </c>
      <c r="H1217" s="742" t="s">
        <v>789</v>
      </c>
      <c r="I1217" s="743" t="s">
        <v>790</v>
      </c>
      <c r="J1217" s="744" t="s">
        <v>650</v>
      </c>
      <c r="K1217" s="745">
        <v>0</v>
      </c>
      <c r="L1217" s="738" t="s">
        <v>787</v>
      </c>
      <c r="M1217" s="747">
        <v>2</v>
      </c>
      <c r="N1217" s="747">
        <v>0</v>
      </c>
      <c r="O1217" s="748">
        <f t="shared" si="57"/>
        <v>0</v>
      </c>
      <c r="P1217" s="749" t="str">
        <f t="shared" si="58"/>
        <v>0</v>
      </c>
      <c r="Q1217" s="750" t="str">
        <f t="shared" si="59"/>
        <v>0</v>
      </c>
      <c r="R1217" s="751" t="s">
        <v>2040</v>
      </c>
    </row>
    <row r="1218" spans="1:18" s="315" customFormat="1" x14ac:dyDescent="0.2">
      <c r="A1218" s="737" t="s">
        <v>276</v>
      </c>
      <c r="B1218" s="738" t="s">
        <v>779</v>
      </c>
      <c r="C1218" s="739" t="s">
        <v>288</v>
      </c>
      <c r="D1218" s="752" t="s">
        <v>281</v>
      </c>
      <c r="E1218" s="740"/>
      <c r="F1218" s="754" t="s">
        <v>109</v>
      </c>
      <c r="G1218" s="741" t="s">
        <v>786</v>
      </c>
      <c r="H1218" s="742" t="s">
        <v>789</v>
      </c>
      <c r="I1218" s="743" t="s">
        <v>790</v>
      </c>
      <c r="J1218" s="744" t="s">
        <v>650</v>
      </c>
      <c r="K1218" s="745">
        <v>0</v>
      </c>
      <c r="L1218" s="738" t="s">
        <v>787</v>
      </c>
      <c r="M1218" s="747">
        <v>17</v>
      </c>
      <c r="N1218" s="747">
        <v>0</v>
      </c>
      <c r="O1218" s="748">
        <f t="shared" si="57"/>
        <v>0</v>
      </c>
      <c r="P1218" s="749" t="str">
        <f t="shared" si="58"/>
        <v>0</v>
      </c>
      <c r="Q1218" s="750" t="str">
        <f t="shared" si="59"/>
        <v>0</v>
      </c>
      <c r="R1218" s="751" t="s">
        <v>2040</v>
      </c>
    </row>
    <row r="1219" spans="1:18" s="315" customFormat="1" x14ac:dyDescent="0.2">
      <c r="A1219" s="737" t="s">
        <v>276</v>
      </c>
      <c r="B1219" s="738" t="s">
        <v>779</v>
      </c>
      <c r="C1219" s="739" t="s">
        <v>99</v>
      </c>
      <c r="D1219" s="752" t="s">
        <v>287</v>
      </c>
      <c r="E1219" s="740"/>
      <c r="F1219" s="754" t="s">
        <v>109</v>
      </c>
      <c r="G1219" s="741" t="s">
        <v>786</v>
      </c>
      <c r="H1219" s="742" t="s">
        <v>792</v>
      </c>
      <c r="I1219" s="743" t="s">
        <v>790</v>
      </c>
      <c r="J1219" s="744" t="s">
        <v>650</v>
      </c>
      <c r="K1219" s="745">
        <v>0</v>
      </c>
      <c r="L1219" s="738" t="s">
        <v>787</v>
      </c>
      <c r="M1219" s="747">
        <v>326</v>
      </c>
      <c r="N1219" s="747">
        <v>0</v>
      </c>
      <c r="O1219" s="748">
        <f t="shared" si="57"/>
        <v>0</v>
      </c>
      <c r="P1219" s="749" t="str">
        <f t="shared" si="58"/>
        <v>0</v>
      </c>
      <c r="Q1219" s="750" t="str">
        <f t="shared" si="59"/>
        <v>0</v>
      </c>
      <c r="R1219" s="751" t="s">
        <v>2040</v>
      </c>
    </row>
    <row r="1220" spans="1:18" s="315" customFormat="1" x14ac:dyDescent="0.2">
      <c r="A1220" s="737" t="s">
        <v>276</v>
      </c>
      <c r="B1220" s="738" t="s">
        <v>779</v>
      </c>
      <c r="C1220" s="739" t="s">
        <v>99</v>
      </c>
      <c r="D1220" s="752" t="s">
        <v>283</v>
      </c>
      <c r="E1220" s="740"/>
      <c r="F1220" s="754" t="s">
        <v>109</v>
      </c>
      <c r="G1220" s="741" t="s">
        <v>786</v>
      </c>
      <c r="H1220" s="742" t="s">
        <v>789</v>
      </c>
      <c r="I1220" s="743" t="s">
        <v>790</v>
      </c>
      <c r="J1220" s="744" t="s">
        <v>650</v>
      </c>
      <c r="K1220" s="745">
        <v>0</v>
      </c>
      <c r="L1220" s="738" t="s">
        <v>787</v>
      </c>
      <c r="M1220" s="747">
        <v>17</v>
      </c>
      <c r="N1220" s="747">
        <v>0</v>
      </c>
      <c r="O1220" s="748">
        <f t="shared" si="57"/>
        <v>0</v>
      </c>
      <c r="P1220" s="749" t="str">
        <f t="shared" si="58"/>
        <v>0</v>
      </c>
      <c r="Q1220" s="750" t="str">
        <f t="shared" si="59"/>
        <v>0</v>
      </c>
      <c r="R1220" s="751" t="s">
        <v>2040</v>
      </c>
    </row>
    <row r="1221" spans="1:18" s="315" customFormat="1" x14ac:dyDescent="0.2">
      <c r="A1221" s="737" t="s">
        <v>276</v>
      </c>
      <c r="B1221" s="738" t="s">
        <v>779</v>
      </c>
      <c r="C1221" s="739" t="s">
        <v>99</v>
      </c>
      <c r="D1221" s="752" t="s">
        <v>284</v>
      </c>
      <c r="E1221" s="740"/>
      <c r="F1221" s="754" t="s">
        <v>109</v>
      </c>
      <c r="G1221" s="741" t="s">
        <v>786</v>
      </c>
      <c r="H1221" s="742" t="s">
        <v>789</v>
      </c>
      <c r="I1221" s="743" t="s">
        <v>790</v>
      </c>
      <c r="J1221" s="744" t="s">
        <v>650</v>
      </c>
      <c r="K1221" s="745">
        <v>0</v>
      </c>
      <c r="L1221" s="738" t="s">
        <v>787</v>
      </c>
      <c r="M1221" s="747">
        <v>8</v>
      </c>
      <c r="N1221" s="747">
        <v>0</v>
      </c>
      <c r="O1221" s="748">
        <f t="shared" si="57"/>
        <v>0</v>
      </c>
      <c r="P1221" s="749" t="str">
        <f t="shared" si="58"/>
        <v>0</v>
      </c>
      <c r="Q1221" s="750" t="str">
        <f t="shared" si="59"/>
        <v>0</v>
      </c>
      <c r="R1221" s="751" t="s">
        <v>2040</v>
      </c>
    </row>
    <row r="1222" spans="1:18" s="315" customFormat="1" x14ac:dyDescent="0.2">
      <c r="A1222" s="737" t="s">
        <v>276</v>
      </c>
      <c r="B1222" s="738" t="s">
        <v>779</v>
      </c>
      <c r="C1222" s="739" t="s">
        <v>99</v>
      </c>
      <c r="D1222" s="752" t="s">
        <v>279</v>
      </c>
      <c r="E1222" s="740"/>
      <c r="F1222" s="754" t="s">
        <v>109</v>
      </c>
      <c r="G1222" s="741" t="s">
        <v>786</v>
      </c>
      <c r="H1222" s="742" t="s">
        <v>789</v>
      </c>
      <c r="I1222" s="743" t="s">
        <v>790</v>
      </c>
      <c r="J1222" s="744" t="s">
        <v>650</v>
      </c>
      <c r="K1222" s="745">
        <v>0</v>
      </c>
      <c r="L1222" s="738" t="s">
        <v>787</v>
      </c>
      <c r="M1222" s="747">
        <v>5</v>
      </c>
      <c r="N1222" s="747">
        <v>0</v>
      </c>
      <c r="O1222" s="748">
        <f t="shared" si="57"/>
        <v>0</v>
      </c>
      <c r="P1222" s="749" t="str">
        <f t="shared" si="58"/>
        <v>0</v>
      </c>
      <c r="Q1222" s="750" t="str">
        <f t="shared" si="59"/>
        <v>0</v>
      </c>
      <c r="R1222" s="751" t="s">
        <v>2040</v>
      </c>
    </row>
    <row r="1223" spans="1:18" s="315" customFormat="1" x14ac:dyDescent="0.2">
      <c r="A1223" s="737" t="s">
        <v>276</v>
      </c>
      <c r="B1223" s="738" t="s">
        <v>779</v>
      </c>
      <c r="C1223" s="739" t="s">
        <v>99</v>
      </c>
      <c r="D1223" s="752" t="s">
        <v>281</v>
      </c>
      <c r="E1223" s="740"/>
      <c r="F1223" s="754" t="s">
        <v>109</v>
      </c>
      <c r="G1223" s="741" t="s">
        <v>786</v>
      </c>
      <c r="H1223" s="742" t="s">
        <v>789</v>
      </c>
      <c r="I1223" s="743" t="s">
        <v>790</v>
      </c>
      <c r="J1223" s="744" t="s">
        <v>650</v>
      </c>
      <c r="K1223" s="745">
        <v>0</v>
      </c>
      <c r="L1223" s="738" t="s">
        <v>787</v>
      </c>
      <c r="M1223" s="747">
        <v>1</v>
      </c>
      <c r="N1223" s="747">
        <v>0</v>
      </c>
      <c r="O1223" s="748">
        <f t="shared" si="57"/>
        <v>0</v>
      </c>
      <c r="P1223" s="749" t="str">
        <f t="shared" si="58"/>
        <v>0</v>
      </c>
      <c r="Q1223" s="750" t="str">
        <f t="shared" si="59"/>
        <v>0</v>
      </c>
      <c r="R1223" s="751" t="s">
        <v>2040</v>
      </c>
    </row>
    <row r="1224" spans="1:18" s="315" customFormat="1" x14ac:dyDescent="0.2">
      <c r="A1224" s="737" t="s">
        <v>276</v>
      </c>
      <c r="B1224" s="738" t="s">
        <v>779</v>
      </c>
      <c r="C1224" s="739" t="s">
        <v>285</v>
      </c>
      <c r="D1224" s="752" t="s">
        <v>287</v>
      </c>
      <c r="E1224" s="740"/>
      <c r="F1224" s="754" t="s">
        <v>109</v>
      </c>
      <c r="G1224" s="741" t="s">
        <v>786</v>
      </c>
      <c r="H1224" s="742" t="s">
        <v>792</v>
      </c>
      <c r="I1224" s="743" t="s">
        <v>790</v>
      </c>
      <c r="J1224" s="744" t="s">
        <v>650</v>
      </c>
      <c r="K1224" s="745">
        <v>0</v>
      </c>
      <c r="L1224" s="738" t="s">
        <v>787</v>
      </c>
      <c r="M1224" s="747">
        <v>0</v>
      </c>
      <c r="N1224" s="747">
        <v>0</v>
      </c>
      <c r="O1224" s="748">
        <f t="shared" si="57"/>
        <v>0</v>
      </c>
      <c r="P1224" s="749" t="str">
        <f t="shared" si="58"/>
        <v>0</v>
      </c>
      <c r="Q1224" s="750" t="str">
        <f t="shared" si="59"/>
        <v>0</v>
      </c>
      <c r="R1224" s="751" t="s">
        <v>2040</v>
      </c>
    </row>
    <row r="1225" spans="1:18" s="315" customFormat="1" x14ac:dyDescent="0.2">
      <c r="A1225" s="737" t="s">
        <v>276</v>
      </c>
      <c r="B1225" s="738" t="s">
        <v>779</v>
      </c>
      <c r="C1225" s="739" t="s">
        <v>285</v>
      </c>
      <c r="D1225" s="752" t="s">
        <v>283</v>
      </c>
      <c r="E1225" s="740"/>
      <c r="F1225" s="754" t="s">
        <v>109</v>
      </c>
      <c r="G1225" s="741" t="s">
        <v>786</v>
      </c>
      <c r="H1225" s="742" t="s">
        <v>789</v>
      </c>
      <c r="I1225" s="743" t="s">
        <v>790</v>
      </c>
      <c r="J1225" s="744" t="s">
        <v>650</v>
      </c>
      <c r="K1225" s="745">
        <v>0</v>
      </c>
      <c r="L1225" s="738" t="s">
        <v>787</v>
      </c>
      <c r="M1225" s="747">
        <v>5</v>
      </c>
      <c r="N1225" s="747">
        <v>0</v>
      </c>
      <c r="O1225" s="748">
        <f t="shared" si="57"/>
        <v>0</v>
      </c>
      <c r="P1225" s="749" t="str">
        <f t="shared" si="58"/>
        <v>0</v>
      </c>
      <c r="Q1225" s="750" t="str">
        <f t="shared" si="59"/>
        <v>0</v>
      </c>
      <c r="R1225" s="751" t="s">
        <v>2040</v>
      </c>
    </row>
    <row r="1226" spans="1:18" s="315" customFormat="1" x14ac:dyDescent="0.2">
      <c r="A1226" s="737" t="s">
        <v>276</v>
      </c>
      <c r="B1226" s="738" t="s">
        <v>779</v>
      </c>
      <c r="C1226" s="739" t="s">
        <v>285</v>
      </c>
      <c r="D1226" s="752" t="s">
        <v>284</v>
      </c>
      <c r="E1226" s="740"/>
      <c r="F1226" s="754" t="s">
        <v>109</v>
      </c>
      <c r="G1226" s="741" t="s">
        <v>786</v>
      </c>
      <c r="H1226" s="742" t="s">
        <v>789</v>
      </c>
      <c r="I1226" s="743" t="s">
        <v>790</v>
      </c>
      <c r="J1226" s="744" t="s">
        <v>650</v>
      </c>
      <c r="K1226" s="745">
        <v>0</v>
      </c>
      <c r="L1226" s="738" t="s">
        <v>787</v>
      </c>
      <c r="M1226" s="747">
        <v>4</v>
      </c>
      <c r="N1226" s="747">
        <v>0</v>
      </c>
      <c r="O1226" s="748">
        <f t="shared" si="57"/>
        <v>0</v>
      </c>
      <c r="P1226" s="749" t="str">
        <f t="shared" si="58"/>
        <v>0</v>
      </c>
      <c r="Q1226" s="750" t="str">
        <f t="shared" si="59"/>
        <v>0</v>
      </c>
      <c r="R1226" s="751" t="s">
        <v>2040</v>
      </c>
    </row>
    <row r="1227" spans="1:18" s="315" customFormat="1" x14ac:dyDescent="0.2">
      <c r="A1227" s="737" t="s">
        <v>276</v>
      </c>
      <c r="B1227" s="738" t="s">
        <v>779</v>
      </c>
      <c r="C1227" s="739" t="s">
        <v>285</v>
      </c>
      <c r="D1227" s="752" t="s">
        <v>279</v>
      </c>
      <c r="E1227" s="740"/>
      <c r="F1227" s="754" t="s">
        <v>109</v>
      </c>
      <c r="G1227" s="741" t="s">
        <v>786</v>
      </c>
      <c r="H1227" s="742" t="s">
        <v>789</v>
      </c>
      <c r="I1227" s="743" t="s">
        <v>790</v>
      </c>
      <c r="J1227" s="744" t="s">
        <v>650</v>
      </c>
      <c r="K1227" s="745">
        <v>0</v>
      </c>
      <c r="L1227" s="738" t="s">
        <v>787</v>
      </c>
      <c r="M1227" s="747">
        <v>1</v>
      </c>
      <c r="N1227" s="747">
        <v>0</v>
      </c>
      <c r="O1227" s="748">
        <f t="shared" si="57"/>
        <v>0</v>
      </c>
      <c r="P1227" s="749" t="str">
        <f t="shared" si="58"/>
        <v>0</v>
      </c>
      <c r="Q1227" s="750" t="str">
        <f t="shared" si="59"/>
        <v>0</v>
      </c>
      <c r="R1227" s="751" t="s">
        <v>2040</v>
      </c>
    </row>
    <row r="1228" spans="1:18" s="315" customFormat="1" x14ac:dyDescent="0.2">
      <c r="A1228" s="737" t="s">
        <v>276</v>
      </c>
      <c r="B1228" s="738" t="s">
        <v>779</v>
      </c>
      <c r="C1228" s="739" t="s">
        <v>285</v>
      </c>
      <c r="D1228" s="752" t="s">
        <v>281</v>
      </c>
      <c r="E1228" s="740"/>
      <c r="F1228" s="754" t="s">
        <v>109</v>
      </c>
      <c r="G1228" s="741" t="s">
        <v>786</v>
      </c>
      <c r="H1228" s="742" t="s">
        <v>789</v>
      </c>
      <c r="I1228" s="743" t="s">
        <v>790</v>
      </c>
      <c r="J1228" s="744" t="s">
        <v>650</v>
      </c>
      <c r="K1228" s="745">
        <v>0</v>
      </c>
      <c r="L1228" s="738" t="s">
        <v>787</v>
      </c>
      <c r="M1228" s="747">
        <v>12</v>
      </c>
      <c r="N1228" s="747">
        <v>0</v>
      </c>
      <c r="O1228" s="748">
        <f t="shared" si="57"/>
        <v>0</v>
      </c>
      <c r="P1228" s="749" t="str">
        <f t="shared" si="58"/>
        <v>0</v>
      </c>
      <c r="Q1228" s="750" t="str">
        <f t="shared" si="59"/>
        <v>0</v>
      </c>
      <c r="R1228" s="751" t="s">
        <v>2040</v>
      </c>
    </row>
    <row r="1229" spans="1:18" s="315" customFormat="1" x14ac:dyDescent="0.2">
      <c r="A1229" s="737" t="s">
        <v>276</v>
      </c>
      <c r="B1229" s="738" t="s">
        <v>779</v>
      </c>
      <c r="C1229" s="739" t="s">
        <v>285</v>
      </c>
      <c r="D1229" s="752" t="s">
        <v>286</v>
      </c>
      <c r="E1229" s="740"/>
      <c r="F1229" s="754" t="s">
        <v>109</v>
      </c>
      <c r="G1229" s="741" t="s">
        <v>786</v>
      </c>
      <c r="H1229" s="742" t="s">
        <v>789</v>
      </c>
      <c r="I1229" s="743" t="s">
        <v>790</v>
      </c>
      <c r="J1229" s="744" t="s">
        <v>650</v>
      </c>
      <c r="K1229" s="745">
        <v>0</v>
      </c>
      <c r="L1229" s="738" t="s">
        <v>787</v>
      </c>
      <c r="M1229" s="747">
        <v>20</v>
      </c>
      <c r="N1229" s="747">
        <v>0</v>
      </c>
      <c r="O1229" s="748">
        <f t="shared" si="57"/>
        <v>0</v>
      </c>
      <c r="P1229" s="749" t="str">
        <f t="shared" si="58"/>
        <v>0</v>
      </c>
      <c r="Q1229" s="750" t="str">
        <f t="shared" si="59"/>
        <v>0</v>
      </c>
      <c r="R1229" s="751" t="s">
        <v>2040</v>
      </c>
    </row>
    <row r="1230" spans="1:18" s="315" customFormat="1" x14ac:dyDescent="0.2">
      <c r="A1230" s="737" t="s">
        <v>276</v>
      </c>
      <c r="B1230" s="738" t="s">
        <v>779</v>
      </c>
      <c r="C1230" s="739" t="s">
        <v>291</v>
      </c>
      <c r="D1230" s="752" t="s">
        <v>283</v>
      </c>
      <c r="E1230" s="740"/>
      <c r="F1230" s="754" t="s">
        <v>109</v>
      </c>
      <c r="G1230" s="741" t="s">
        <v>786</v>
      </c>
      <c r="H1230" s="742" t="s">
        <v>789</v>
      </c>
      <c r="I1230" s="743" t="s">
        <v>790</v>
      </c>
      <c r="J1230" s="744" t="s">
        <v>650</v>
      </c>
      <c r="K1230" s="745">
        <v>0</v>
      </c>
      <c r="L1230" s="738" t="s">
        <v>787</v>
      </c>
      <c r="M1230" s="747">
        <v>0</v>
      </c>
      <c r="N1230" s="747">
        <v>0</v>
      </c>
      <c r="O1230" s="748">
        <f t="shared" si="57"/>
        <v>0</v>
      </c>
      <c r="P1230" s="749" t="str">
        <f t="shared" si="58"/>
        <v>0</v>
      </c>
      <c r="Q1230" s="750" t="str">
        <f t="shared" si="59"/>
        <v>0</v>
      </c>
      <c r="R1230" s="751" t="s">
        <v>2040</v>
      </c>
    </row>
    <row r="1231" spans="1:18" s="315" customFormat="1" x14ac:dyDescent="0.2">
      <c r="A1231" s="737" t="s">
        <v>276</v>
      </c>
      <c r="B1231" s="738" t="s">
        <v>779</v>
      </c>
      <c r="C1231" s="739" t="s">
        <v>291</v>
      </c>
      <c r="D1231" s="752" t="s">
        <v>284</v>
      </c>
      <c r="E1231" s="740"/>
      <c r="F1231" s="754" t="s">
        <v>109</v>
      </c>
      <c r="G1231" s="741" t="s">
        <v>786</v>
      </c>
      <c r="H1231" s="742" t="s">
        <v>789</v>
      </c>
      <c r="I1231" s="743" t="s">
        <v>790</v>
      </c>
      <c r="J1231" s="744" t="s">
        <v>650</v>
      </c>
      <c r="K1231" s="745">
        <v>0</v>
      </c>
      <c r="L1231" s="738" t="s">
        <v>787</v>
      </c>
      <c r="M1231" s="747">
        <v>0</v>
      </c>
      <c r="N1231" s="747">
        <v>0</v>
      </c>
      <c r="O1231" s="748">
        <f t="shared" si="57"/>
        <v>0</v>
      </c>
      <c r="P1231" s="749" t="str">
        <f t="shared" si="58"/>
        <v>0</v>
      </c>
      <c r="Q1231" s="750" t="str">
        <f t="shared" si="59"/>
        <v>0</v>
      </c>
      <c r="R1231" s="751" t="s">
        <v>2040</v>
      </c>
    </row>
    <row r="1232" spans="1:18" s="315" customFormat="1" x14ac:dyDescent="0.2">
      <c r="A1232" s="737" t="s">
        <v>276</v>
      </c>
      <c r="B1232" s="738" t="s">
        <v>779</v>
      </c>
      <c r="C1232" s="739" t="s">
        <v>290</v>
      </c>
      <c r="D1232" s="752" t="s">
        <v>287</v>
      </c>
      <c r="E1232" s="740"/>
      <c r="F1232" s="754" t="s">
        <v>109</v>
      </c>
      <c r="G1232" s="741" t="s">
        <v>786</v>
      </c>
      <c r="H1232" s="742" t="s">
        <v>792</v>
      </c>
      <c r="I1232" s="743" t="s">
        <v>790</v>
      </c>
      <c r="J1232" s="744" t="s">
        <v>650</v>
      </c>
      <c r="K1232" s="745">
        <v>0</v>
      </c>
      <c r="L1232" s="738" t="s">
        <v>787</v>
      </c>
      <c r="M1232" s="747">
        <v>65</v>
      </c>
      <c r="N1232" s="747">
        <v>0</v>
      </c>
      <c r="O1232" s="748">
        <f t="shared" si="57"/>
        <v>0</v>
      </c>
      <c r="P1232" s="749" t="str">
        <f t="shared" si="58"/>
        <v>0</v>
      </c>
      <c r="Q1232" s="750" t="str">
        <f t="shared" si="59"/>
        <v>0</v>
      </c>
      <c r="R1232" s="751" t="s">
        <v>2040</v>
      </c>
    </row>
    <row r="1233" spans="1:18" s="315" customFormat="1" x14ac:dyDescent="0.2">
      <c r="A1233" s="737" t="s">
        <v>276</v>
      </c>
      <c r="B1233" s="738" t="s">
        <v>779</v>
      </c>
      <c r="C1233" s="739" t="s">
        <v>290</v>
      </c>
      <c r="D1233" s="752" t="s">
        <v>283</v>
      </c>
      <c r="E1233" s="740"/>
      <c r="F1233" s="754" t="s">
        <v>109</v>
      </c>
      <c r="G1233" s="741" t="s">
        <v>786</v>
      </c>
      <c r="H1233" s="742" t="s">
        <v>789</v>
      </c>
      <c r="I1233" s="743" t="s">
        <v>790</v>
      </c>
      <c r="J1233" s="744" t="s">
        <v>650</v>
      </c>
      <c r="K1233" s="745">
        <v>0</v>
      </c>
      <c r="L1233" s="738" t="s">
        <v>787</v>
      </c>
      <c r="M1233" s="747">
        <v>5</v>
      </c>
      <c r="N1233" s="747">
        <v>0</v>
      </c>
      <c r="O1233" s="748">
        <f t="shared" si="57"/>
        <v>0</v>
      </c>
      <c r="P1233" s="749" t="str">
        <f t="shared" si="58"/>
        <v>0</v>
      </c>
      <c r="Q1233" s="750" t="str">
        <f t="shared" si="59"/>
        <v>0</v>
      </c>
      <c r="R1233" s="751" t="s">
        <v>2040</v>
      </c>
    </row>
    <row r="1234" spans="1:18" s="315" customFormat="1" x14ac:dyDescent="0.2">
      <c r="A1234" s="737" t="s">
        <v>276</v>
      </c>
      <c r="B1234" s="738" t="s">
        <v>779</v>
      </c>
      <c r="C1234" s="739" t="s">
        <v>290</v>
      </c>
      <c r="D1234" s="752" t="s">
        <v>284</v>
      </c>
      <c r="E1234" s="740"/>
      <c r="F1234" s="754" t="s">
        <v>109</v>
      </c>
      <c r="G1234" s="741" t="s">
        <v>786</v>
      </c>
      <c r="H1234" s="742" t="s">
        <v>789</v>
      </c>
      <c r="I1234" s="743" t="s">
        <v>790</v>
      </c>
      <c r="J1234" s="744" t="s">
        <v>650</v>
      </c>
      <c r="K1234" s="745">
        <v>0</v>
      </c>
      <c r="L1234" s="738" t="s">
        <v>787</v>
      </c>
      <c r="M1234" s="747">
        <v>0</v>
      </c>
      <c r="N1234" s="747">
        <v>0</v>
      </c>
      <c r="O1234" s="748">
        <f t="shared" si="57"/>
        <v>0</v>
      </c>
      <c r="P1234" s="749" t="str">
        <f t="shared" si="58"/>
        <v>0</v>
      </c>
      <c r="Q1234" s="750" t="str">
        <f t="shared" si="59"/>
        <v>0</v>
      </c>
      <c r="R1234" s="751" t="s">
        <v>2040</v>
      </c>
    </row>
    <row r="1235" spans="1:18" s="315" customFormat="1" x14ac:dyDescent="0.2">
      <c r="A1235" s="737" t="s">
        <v>276</v>
      </c>
      <c r="B1235" s="738" t="s">
        <v>779</v>
      </c>
      <c r="C1235" s="739" t="s">
        <v>289</v>
      </c>
      <c r="D1235" s="752" t="s">
        <v>287</v>
      </c>
      <c r="E1235" s="740"/>
      <c r="F1235" s="754" t="s">
        <v>109</v>
      </c>
      <c r="G1235" s="741" t="s">
        <v>786</v>
      </c>
      <c r="H1235" s="742" t="s">
        <v>792</v>
      </c>
      <c r="I1235" s="743" t="s">
        <v>790</v>
      </c>
      <c r="J1235" s="744" t="s">
        <v>650</v>
      </c>
      <c r="K1235" s="745">
        <v>0</v>
      </c>
      <c r="L1235" s="738" t="s">
        <v>787</v>
      </c>
      <c r="M1235" s="747">
        <v>733</v>
      </c>
      <c r="N1235" s="747">
        <v>0</v>
      </c>
      <c r="O1235" s="748">
        <f t="shared" si="57"/>
        <v>0</v>
      </c>
      <c r="P1235" s="749" t="str">
        <f t="shared" si="58"/>
        <v>0</v>
      </c>
      <c r="Q1235" s="750" t="str">
        <f t="shared" si="59"/>
        <v>0</v>
      </c>
      <c r="R1235" s="751" t="s">
        <v>2040</v>
      </c>
    </row>
    <row r="1236" spans="1:18" s="315" customFormat="1" x14ac:dyDescent="0.2">
      <c r="A1236" s="737" t="s">
        <v>276</v>
      </c>
      <c r="B1236" s="738" t="s">
        <v>779</v>
      </c>
      <c r="C1236" s="739" t="s">
        <v>289</v>
      </c>
      <c r="D1236" s="752" t="s">
        <v>283</v>
      </c>
      <c r="E1236" s="740"/>
      <c r="F1236" s="754" t="s">
        <v>109</v>
      </c>
      <c r="G1236" s="741" t="s">
        <v>786</v>
      </c>
      <c r="H1236" s="742" t="s">
        <v>789</v>
      </c>
      <c r="I1236" s="743" t="s">
        <v>790</v>
      </c>
      <c r="J1236" s="744" t="s">
        <v>650</v>
      </c>
      <c r="K1236" s="745">
        <v>0</v>
      </c>
      <c r="L1236" s="738" t="s">
        <v>787</v>
      </c>
      <c r="M1236" s="747">
        <v>134</v>
      </c>
      <c r="N1236" s="747">
        <v>0</v>
      </c>
      <c r="O1236" s="748">
        <f t="shared" si="57"/>
        <v>0</v>
      </c>
      <c r="P1236" s="749" t="str">
        <f t="shared" si="58"/>
        <v>0</v>
      </c>
      <c r="Q1236" s="750" t="str">
        <f t="shared" si="59"/>
        <v>0</v>
      </c>
      <c r="R1236" s="751" t="s">
        <v>2040</v>
      </c>
    </row>
    <row r="1237" spans="1:18" s="315" customFormat="1" x14ac:dyDescent="0.2">
      <c r="A1237" s="737" t="s">
        <v>276</v>
      </c>
      <c r="B1237" s="738" t="s">
        <v>779</v>
      </c>
      <c r="C1237" s="739" t="s">
        <v>289</v>
      </c>
      <c r="D1237" s="752" t="s">
        <v>284</v>
      </c>
      <c r="E1237" s="740"/>
      <c r="F1237" s="754" t="s">
        <v>109</v>
      </c>
      <c r="G1237" s="741" t="s">
        <v>786</v>
      </c>
      <c r="H1237" s="742" t="s">
        <v>789</v>
      </c>
      <c r="I1237" s="743" t="s">
        <v>790</v>
      </c>
      <c r="J1237" s="744" t="s">
        <v>650</v>
      </c>
      <c r="K1237" s="745">
        <v>0</v>
      </c>
      <c r="L1237" s="738" t="s">
        <v>787</v>
      </c>
      <c r="M1237" s="747">
        <v>29</v>
      </c>
      <c r="N1237" s="747">
        <v>0</v>
      </c>
      <c r="O1237" s="748">
        <f t="shared" si="57"/>
        <v>0</v>
      </c>
      <c r="P1237" s="749" t="str">
        <f t="shared" si="58"/>
        <v>0</v>
      </c>
      <c r="Q1237" s="750" t="str">
        <f t="shared" si="59"/>
        <v>0</v>
      </c>
      <c r="R1237" s="751" t="s">
        <v>2040</v>
      </c>
    </row>
    <row r="1238" spans="1:18" s="315" customFormat="1" x14ac:dyDescent="0.2">
      <c r="A1238" s="737" t="s">
        <v>276</v>
      </c>
      <c r="B1238" s="738" t="s">
        <v>779</v>
      </c>
      <c r="C1238" s="739" t="s">
        <v>289</v>
      </c>
      <c r="D1238" s="752" t="s">
        <v>281</v>
      </c>
      <c r="E1238" s="740"/>
      <c r="F1238" s="754" t="s">
        <v>109</v>
      </c>
      <c r="G1238" s="741" t="s">
        <v>786</v>
      </c>
      <c r="H1238" s="742" t="s">
        <v>789</v>
      </c>
      <c r="I1238" s="743" t="s">
        <v>790</v>
      </c>
      <c r="J1238" s="744" t="s">
        <v>650</v>
      </c>
      <c r="K1238" s="745">
        <v>0</v>
      </c>
      <c r="L1238" s="738" t="s">
        <v>787</v>
      </c>
      <c r="M1238" s="747">
        <v>2</v>
      </c>
      <c r="N1238" s="747">
        <v>0</v>
      </c>
      <c r="O1238" s="748">
        <f t="shared" si="57"/>
        <v>0</v>
      </c>
      <c r="P1238" s="749" t="str">
        <f t="shared" si="58"/>
        <v>0</v>
      </c>
      <c r="Q1238" s="750" t="str">
        <f t="shared" si="59"/>
        <v>0</v>
      </c>
      <c r="R1238" s="751" t="s">
        <v>2040</v>
      </c>
    </row>
    <row r="1239" spans="1:18" s="315" customFormat="1" x14ac:dyDescent="0.2">
      <c r="A1239" s="737" t="s">
        <v>276</v>
      </c>
      <c r="B1239" s="738" t="s">
        <v>779</v>
      </c>
      <c r="C1239" s="739" t="s">
        <v>97</v>
      </c>
      <c r="D1239" s="752" t="s">
        <v>279</v>
      </c>
      <c r="E1239" s="740"/>
      <c r="F1239" s="754" t="s">
        <v>109</v>
      </c>
      <c r="G1239" s="741" t="s">
        <v>2041</v>
      </c>
      <c r="H1239" s="742" t="s">
        <v>789</v>
      </c>
      <c r="I1239" s="743" t="s">
        <v>790</v>
      </c>
      <c r="J1239" s="744" t="s">
        <v>650</v>
      </c>
      <c r="K1239" s="745">
        <v>0</v>
      </c>
      <c r="L1239" s="738" t="s">
        <v>787</v>
      </c>
      <c r="M1239" s="747">
        <v>6</v>
      </c>
      <c r="N1239" s="747">
        <v>0</v>
      </c>
      <c r="O1239" s="748">
        <f t="shared" ref="O1239:O1270" si="60">IFERROR(N1239/M1239,0)</f>
        <v>0</v>
      </c>
      <c r="P1239" s="749" t="str">
        <f t="shared" ref="P1239:P1270" si="61">IFERROR(N1239/(M1239*(K1239/100))*100,"0")</f>
        <v>0</v>
      </c>
      <c r="Q1239" s="750" t="str">
        <f t="shared" ref="Q1239:Q1270" si="62">IFERROR(N1239/(M1239*(K1239/100)),"0")</f>
        <v>0</v>
      </c>
      <c r="R1239" s="751" t="s">
        <v>2040</v>
      </c>
    </row>
    <row r="1240" spans="1:18" s="315" customFormat="1" x14ac:dyDescent="0.2">
      <c r="A1240" s="737" t="s">
        <v>276</v>
      </c>
      <c r="B1240" s="738" t="s">
        <v>779</v>
      </c>
      <c r="C1240" s="739" t="s">
        <v>97</v>
      </c>
      <c r="D1240" s="752" t="s">
        <v>281</v>
      </c>
      <c r="E1240" s="740"/>
      <c r="F1240" s="754" t="s">
        <v>109</v>
      </c>
      <c r="G1240" s="741" t="s">
        <v>2041</v>
      </c>
      <c r="H1240" s="742" t="s">
        <v>789</v>
      </c>
      <c r="I1240" s="743" t="s">
        <v>790</v>
      </c>
      <c r="J1240" s="744" t="s">
        <v>650</v>
      </c>
      <c r="K1240" s="745">
        <v>0</v>
      </c>
      <c r="L1240" s="738" t="s">
        <v>787</v>
      </c>
      <c r="M1240" s="747">
        <v>9</v>
      </c>
      <c r="N1240" s="747">
        <v>0</v>
      </c>
      <c r="O1240" s="748">
        <f t="shared" si="60"/>
        <v>0</v>
      </c>
      <c r="P1240" s="749" t="str">
        <f t="shared" si="61"/>
        <v>0</v>
      </c>
      <c r="Q1240" s="750" t="str">
        <f t="shared" si="62"/>
        <v>0</v>
      </c>
      <c r="R1240" s="751" t="s">
        <v>2040</v>
      </c>
    </row>
    <row r="1241" spans="1:18" s="315" customFormat="1" x14ac:dyDescent="0.2">
      <c r="A1241" s="737" t="s">
        <v>276</v>
      </c>
      <c r="B1241" s="738" t="s">
        <v>779</v>
      </c>
      <c r="C1241" s="739" t="s">
        <v>282</v>
      </c>
      <c r="D1241" s="752" t="s">
        <v>287</v>
      </c>
      <c r="E1241" s="740"/>
      <c r="F1241" s="754" t="s">
        <v>109</v>
      </c>
      <c r="G1241" s="741" t="s">
        <v>2041</v>
      </c>
      <c r="H1241" s="742" t="s">
        <v>792</v>
      </c>
      <c r="I1241" s="743" t="s">
        <v>790</v>
      </c>
      <c r="J1241" s="744" t="s">
        <v>650</v>
      </c>
      <c r="K1241" s="745">
        <v>0</v>
      </c>
      <c r="L1241" s="738" t="s">
        <v>787</v>
      </c>
      <c r="M1241" s="747">
        <v>68</v>
      </c>
      <c r="N1241" s="747">
        <v>0</v>
      </c>
      <c r="O1241" s="748">
        <f t="shared" si="60"/>
        <v>0</v>
      </c>
      <c r="P1241" s="749" t="str">
        <f t="shared" si="61"/>
        <v>0</v>
      </c>
      <c r="Q1241" s="750" t="str">
        <f t="shared" si="62"/>
        <v>0</v>
      </c>
      <c r="R1241" s="751" t="s">
        <v>2040</v>
      </c>
    </row>
    <row r="1242" spans="1:18" s="315" customFormat="1" x14ac:dyDescent="0.2">
      <c r="A1242" s="737" t="s">
        <v>276</v>
      </c>
      <c r="B1242" s="738" t="s">
        <v>779</v>
      </c>
      <c r="C1242" s="739" t="s">
        <v>282</v>
      </c>
      <c r="D1242" s="752" t="s">
        <v>283</v>
      </c>
      <c r="E1242" s="740"/>
      <c r="F1242" s="754" t="s">
        <v>109</v>
      </c>
      <c r="G1242" s="741" t="s">
        <v>2041</v>
      </c>
      <c r="H1242" s="742" t="s">
        <v>789</v>
      </c>
      <c r="I1242" s="743" t="s">
        <v>790</v>
      </c>
      <c r="J1242" s="744" t="s">
        <v>650</v>
      </c>
      <c r="K1242" s="745">
        <v>0</v>
      </c>
      <c r="L1242" s="738" t="s">
        <v>787</v>
      </c>
      <c r="M1242" s="747">
        <v>19</v>
      </c>
      <c r="N1242" s="747">
        <v>0</v>
      </c>
      <c r="O1242" s="748">
        <f t="shared" si="60"/>
        <v>0</v>
      </c>
      <c r="P1242" s="749" t="str">
        <f t="shared" si="61"/>
        <v>0</v>
      </c>
      <c r="Q1242" s="750" t="str">
        <f t="shared" si="62"/>
        <v>0</v>
      </c>
      <c r="R1242" s="751" t="s">
        <v>2040</v>
      </c>
    </row>
    <row r="1243" spans="1:18" s="315" customFormat="1" x14ac:dyDescent="0.2">
      <c r="A1243" s="737" t="s">
        <v>276</v>
      </c>
      <c r="B1243" s="738" t="s">
        <v>779</v>
      </c>
      <c r="C1243" s="739" t="s">
        <v>282</v>
      </c>
      <c r="D1243" s="752" t="s">
        <v>284</v>
      </c>
      <c r="E1243" s="740"/>
      <c r="F1243" s="754" t="s">
        <v>109</v>
      </c>
      <c r="G1243" s="741" t="s">
        <v>2041</v>
      </c>
      <c r="H1243" s="742" t="s">
        <v>789</v>
      </c>
      <c r="I1243" s="743" t="s">
        <v>790</v>
      </c>
      <c r="J1243" s="744" t="s">
        <v>650</v>
      </c>
      <c r="K1243" s="745">
        <v>0</v>
      </c>
      <c r="L1243" s="738" t="s">
        <v>787</v>
      </c>
      <c r="M1243" s="747">
        <v>43</v>
      </c>
      <c r="N1243" s="747">
        <v>0</v>
      </c>
      <c r="O1243" s="748">
        <f t="shared" si="60"/>
        <v>0</v>
      </c>
      <c r="P1243" s="749" t="str">
        <f t="shared" si="61"/>
        <v>0</v>
      </c>
      <c r="Q1243" s="750" t="str">
        <f t="shared" si="62"/>
        <v>0</v>
      </c>
      <c r="R1243" s="751" t="s">
        <v>2040</v>
      </c>
    </row>
    <row r="1244" spans="1:18" s="315" customFormat="1" x14ac:dyDescent="0.2">
      <c r="A1244" s="737" t="s">
        <v>276</v>
      </c>
      <c r="B1244" s="738" t="s">
        <v>779</v>
      </c>
      <c r="C1244" s="739" t="s">
        <v>282</v>
      </c>
      <c r="D1244" s="752" t="s">
        <v>279</v>
      </c>
      <c r="E1244" s="740"/>
      <c r="F1244" s="754" t="s">
        <v>109</v>
      </c>
      <c r="G1244" s="741" t="s">
        <v>2041</v>
      </c>
      <c r="H1244" s="742" t="s">
        <v>789</v>
      </c>
      <c r="I1244" s="743" t="s">
        <v>790</v>
      </c>
      <c r="J1244" s="744" t="s">
        <v>650</v>
      </c>
      <c r="K1244" s="745">
        <v>0</v>
      </c>
      <c r="L1244" s="738" t="s">
        <v>787</v>
      </c>
      <c r="M1244" s="747">
        <v>65</v>
      </c>
      <c r="N1244" s="747">
        <v>0</v>
      </c>
      <c r="O1244" s="748">
        <f t="shared" si="60"/>
        <v>0</v>
      </c>
      <c r="P1244" s="749" t="str">
        <f t="shared" si="61"/>
        <v>0</v>
      </c>
      <c r="Q1244" s="750" t="str">
        <f t="shared" si="62"/>
        <v>0</v>
      </c>
      <c r="R1244" s="751" t="s">
        <v>2040</v>
      </c>
    </row>
    <row r="1245" spans="1:18" s="315" customFormat="1" x14ac:dyDescent="0.2">
      <c r="A1245" s="737" t="s">
        <v>276</v>
      </c>
      <c r="B1245" s="738" t="s">
        <v>779</v>
      </c>
      <c r="C1245" s="739" t="s">
        <v>282</v>
      </c>
      <c r="D1245" s="752" t="s">
        <v>281</v>
      </c>
      <c r="E1245" s="740"/>
      <c r="F1245" s="754" t="s">
        <v>109</v>
      </c>
      <c r="G1245" s="741" t="s">
        <v>2041</v>
      </c>
      <c r="H1245" s="742" t="s">
        <v>789</v>
      </c>
      <c r="I1245" s="743" t="s">
        <v>790</v>
      </c>
      <c r="J1245" s="744" t="s">
        <v>650</v>
      </c>
      <c r="K1245" s="745">
        <v>0</v>
      </c>
      <c r="L1245" s="738" t="s">
        <v>787</v>
      </c>
      <c r="M1245" s="747">
        <v>48</v>
      </c>
      <c r="N1245" s="747">
        <v>0</v>
      </c>
      <c r="O1245" s="748">
        <f t="shared" si="60"/>
        <v>0</v>
      </c>
      <c r="P1245" s="749" t="str">
        <f t="shared" si="61"/>
        <v>0</v>
      </c>
      <c r="Q1245" s="750" t="str">
        <f t="shared" si="62"/>
        <v>0</v>
      </c>
      <c r="R1245" s="751" t="s">
        <v>2040</v>
      </c>
    </row>
    <row r="1246" spans="1:18" s="315" customFormat="1" x14ac:dyDescent="0.2">
      <c r="A1246" s="737" t="s">
        <v>276</v>
      </c>
      <c r="B1246" s="738" t="s">
        <v>779</v>
      </c>
      <c r="C1246" s="739" t="s">
        <v>288</v>
      </c>
      <c r="D1246" s="752" t="s">
        <v>287</v>
      </c>
      <c r="E1246" s="740"/>
      <c r="F1246" s="754" t="s">
        <v>109</v>
      </c>
      <c r="G1246" s="741" t="s">
        <v>2041</v>
      </c>
      <c r="H1246" s="742" t="s">
        <v>792</v>
      </c>
      <c r="I1246" s="743" t="s">
        <v>790</v>
      </c>
      <c r="J1246" s="744" t="s">
        <v>650</v>
      </c>
      <c r="K1246" s="745">
        <v>0</v>
      </c>
      <c r="L1246" s="738" t="s">
        <v>787</v>
      </c>
      <c r="M1246" s="747">
        <v>299</v>
      </c>
      <c r="N1246" s="747">
        <v>0</v>
      </c>
      <c r="O1246" s="748">
        <f t="shared" si="60"/>
        <v>0</v>
      </c>
      <c r="P1246" s="749" t="str">
        <f t="shared" si="61"/>
        <v>0</v>
      </c>
      <c r="Q1246" s="750" t="str">
        <f t="shared" si="62"/>
        <v>0</v>
      </c>
      <c r="R1246" s="751" t="s">
        <v>2040</v>
      </c>
    </row>
    <row r="1247" spans="1:18" s="315" customFormat="1" x14ac:dyDescent="0.2">
      <c r="A1247" s="737" t="s">
        <v>276</v>
      </c>
      <c r="B1247" s="738" t="s">
        <v>779</v>
      </c>
      <c r="C1247" s="739" t="s">
        <v>288</v>
      </c>
      <c r="D1247" s="752" t="s">
        <v>283</v>
      </c>
      <c r="E1247" s="740"/>
      <c r="F1247" s="754" t="s">
        <v>109</v>
      </c>
      <c r="G1247" s="741" t="s">
        <v>2041</v>
      </c>
      <c r="H1247" s="742" t="s">
        <v>789</v>
      </c>
      <c r="I1247" s="743" t="s">
        <v>790</v>
      </c>
      <c r="J1247" s="744" t="s">
        <v>650</v>
      </c>
      <c r="K1247" s="745">
        <v>0</v>
      </c>
      <c r="L1247" s="738" t="s">
        <v>787</v>
      </c>
      <c r="M1247" s="747">
        <v>64</v>
      </c>
      <c r="N1247" s="747">
        <v>0</v>
      </c>
      <c r="O1247" s="748">
        <f t="shared" si="60"/>
        <v>0</v>
      </c>
      <c r="P1247" s="749" t="str">
        <f t="shared" si="61"/>
        <v>0</v>
      </c>
      <c r="Q1247" s="750" t="str">
        <f t="shared" si="62"/>
        <v>0</v>
      </c>
      <c r="R1247" s="751" t="s">
        <v>2040</v>
      </c>
    </row>
    <row r="1248" spans="1:18" s="315" customFormat="1" x14ac:dyDescent="0.2">
      <c r="A1248" s="737" t="s">
        <v>276</v>
      </c>
      <c r="B1248" s="738" t="s">
        <v>779</v>
      </c>
      <c r="C1248" s="739" t="s">
        <v>288</v>
      </c>
      <c r="D1248" s="752" t="s">
        <v>284</v>
      </c>
      <c r="E1248" s="740"/>
      <c r="F1248" s="754" t="s">
        <v>109</v>
      </c>
      <c r="G1248" s="741" t="s">
        <v>2041</v>
      </c>
      <c r="H1248" s="742" t="s">
        <v>789</v>
      </c>
      <c r="I1248" s="743" t="s">
        <v>790</v>
      </c>
      <c r="J1248" s="744" t="s">
        <v>650</v>
      </c>
      <c r="K1248" s="745">
        <v>0</v>
      </c>
      <c r="L1248" s="738" t="s">
        <v>787</v>
      </c>
      <c r="M1248" s="747">
        <v>10</v>
      </c>
      <c r="N1248" s="747">
        <v>0</v>
      </c>
      <c r="O1248" s="748">
        <f t="shared" si="60"/>
        <v>0</v>
      </c>
      <c r="P1248" s="749" t="str">
        <f t="shared" si="61"/>
        <v>0</v>
      </c>
      <c r="Q1248" s="750" t="str">
        <f t="shared" si="62"/>
        <v>0</v>
      </c>
      <c r="R1248" s="751" t="s">
        <v>2040</v>
      </c>
    </row>
    <row r="1249" spans="1:18" s="315" customFormat="1" x14ac:dyDescent="0.2">
      <c r="A1249" s="737" t="s">
        <v>276</v>
      </c>
      <c r="B1249" s="738" t="s">
        <v>779</v>
      </c>
      <c r="C1249" s="739" t="s">
        <v>288</v>
      </c>
      <c r="D1249" s="752" t="s">
        <v>279</v>
      </c>
      <c r="E1249" s="740"/>
      <c r="F1249" s="754" t="s">
        <v>109</v>
      </c>
      <c r="G1249" s="741" t="s">
        <v>2041</v>
      </c>
      <c r="H1249" s="742" t="s">
        <v>789</v>
      </c>
      <c r="I1249" s="743" t="s">
        <v>790</v>
      </c>
      <c r="J1249" s="744" t="s">
        <v>650</v>
      </c>
      <c r="K1249" s="745">
        <v>0</v>
      </c>
      <c r="L1249" s="738" t="s">
        <v>787</v>
      </c>
      <c r="M1249" s="747">
        <v>2</v>
      </c>
      <c r="N1249" s="747">
        <v>0</v>
      </c>
      <c r="O1249" s="748">
        <f t="shared" si="60"/>
        <v>0</v>
      </c>
      <c r="P1249" s="749" t="str">
        <f t="shared" si="61"/>
        <v>0</v>
      </c>
      <c r="Q1249" s="750" t="str">
        <f t="shared" si="62"/>
        <v>0</v>
      </c>
      <c r="R1249" s="751" t="s">
        <v>2040</v>
      </c>
    </row>
    <row r="1250" spans="1:18" s="315" customFormat="1" x14ac:dyDescent="0.2">
      <c r="A1250" s="737" t="s">
        <v>276</v>
      </c>
      <c r="B1250" s="738" t="s">
        <v>779</v>
      </c>
      <c r="C1250" s="739" t="s">
        <v>288</v>
      </c>
      <c r="D1250" s="752" t="s">
        <v>281</v>
      </c>
      <c r="E1250" s="740"/>
      <c r="F1250" s="754" t="s">
        <v>109</v>
      </c>
      <c r="G1250" s="741" t="s">
        <v>2041</v>
      </c>
      <c r="H1250" s="742" t="s">
        <v>789</v>
      </c>
      <c r="I1250" s="743" t="s">
        <v>790</v>
      </c>
      <c r="J1250" s="744" t="s">
        <v>650</v>
      </c>
      <c r="K1250" s="745">
        <v>0</v>
      </c>
      <c r="L1250" s="738" t="s">
        <v>787</v>
      </c>
      <c r="M1250" s="747">
        <v>17</v>
      </c>
      <c r="N1250" s="747">
        <v>0</v>
      </c>
      <c r="O1250" s="748">
        <f t="shared" si="60"/>
        <v>0</v>
      </c>
      <c r="P1250" s="749" t="str">
        <f t="shared" si="61"/>
        <v>0</v>
      </c>
      <c r="Q1250" s="750" t="str">
        <f t="shared" si="62"/>
        <v>0</v>
      </c>
      <c r="R1250" s="751" t="s">
        <v>2040</v>
      </c>
    </row>
    <row r="1251" spans="1:18" s="315" customFormat="1" x14ac:dyDescent="0.2">
      <c r="A1251" s="737" t="s">
        <v>276</v>
      </c>
      <c r="B1251" s="738" t="s">
        <v>779</v>
      </c>
      <c r="C1251" s="739" t="s">
        <v>99</v>
      </c>
      <c r="D1251" s="752" t="s">
        <v>287</v>
      </c>
      <c r="E1251" s="740"/>
      <c r="F1251" s="754" t="s">
        <v>109</v>
      </c>
      <c r="G1251" s="741" t="s">
        <v>2041</v>
      </c>
      <c r="H1251" s="742" t="s">
        <v>792</v>
      </c>
      <c r="I1251" s="743" t="s">
        <v>790</v>
      </c>
      <c r="J1251" s="744" t="s">
        <v>650</v>
      </c>
      <c r="K1251" s="745">
        <v>0</v>
      </c>
      <c r="L1251" s="738" t="s">
        <v>787</v>
      </c>
      <c r="M1251" s="747">
        <v>326</v>
      </c>
      <c r="N1251" s="747">
        <v>0</v>
      </c>
      <c r="O1251" s="748">
        <f t="shared" si="60"/>
        <v>0</v>
      </c>
      <c r="P1251" s="749" t="str">
        <f t="shared" si="61"/>
        <v>0</v>
      </c>
      <c r="Q1251" s="750" t="str">
        <f t="shared" si="62"/>
        <v>0</v>
      </c>
      <c r="R1251" s="751" t="s">
        <v>2040</v>
      </c>
    </row>
    <row r="1252" spans="1:18" s="315" customFormat="1" x14ac:dyDescent="0.2">
      <c r="A1252" s="737" t="s">
        <v>276</v>
      </c>
      <c r="B1252" s="738" t="s">
        <v>779</v>
      </c>
      <c r="C1252" s="739" t="s">
        <v>99</v>
      </c>
      <c r="D1252" s="752" t="s">
        <v>283</v>
      </c>
      <c r="E1252" s="740"/>
      <c r="F1252" s="754" t="s">
        <v>109</v>
      </c>
      <c r="G1252" s="741" t="s">
        <v>2041</v>
      </c>
      <c r="H1252" s="742" t="s">
        <v>789</v>
      </c>
      <c r="I1252" s="743" t="s">
        <v>790</v>
      </c>
      <c r="J1252" s="744" t="s">
        <v>650</v>
      </c>
      <c r="K1252" s="745">
        <v>0</v>
      </c>
      <c r="L1252" s="738" t="s">
        <v>787</v>
      </c>
      <c r="M1252" s="747">
        <v>17</v>
      </c>
      <c r="N1252" s="747">
        <v>0</v>
      </c>
      <c r="O1252" s="748">
        <f t="shared" si="60"/>
        <v>0</v>
      </c>
      <c r="P1252" s="749" t="str">
        <f t="shared" si="61"/>
        <v>0</v>
      </c>
      <c r="Q1252" s="750" t="str">
        <f t="shared" si="62"/>
        <v>0</v>
      </c>
      <c r="R1252" s="751" t="s">
        <v>2040</v>
      </c>
    </row>
    <row r="1253" spans="1:18" s="315" customFormat="1" x14ac:dyDescent="0.2">
      <c r="A1253" s="737" t="s">
        <v>276</v>
      </c>
      <c r="B1253" s="738" t="s">
        <v>779</v>
      </c>
      <c r="C1253" s="739" t="s">
        <v>99</v>
      </c>
      <c r="D1253" s="752" t="s">
        <v>284</v>
      </c>
      <c r="E1253" s="740"/>
      <c r="F1253" s="754" t="s">
        <v>109</v>
      </c>
      <c r="G1253" s="741" t="s">
        <v>2041</v>
      </c>
      <c r="H1253" s="742" t="s">
        <v>789</v>
      </c>
      <c r="I1253" s="743" t="s">
        <v>790</v>
      </c>
      <c r="J1253" s="744" t="s">
        <v>650</v>
      </c>
      <c r="K1253" s="745">
        <v>0</v>
      </c>
      <c r="L1253" s="738" t="s">
        <v>787</v>
      </c>
      <c r="M1253" s="747">
        <v>8</v>
      </c>
      <c r="N1253" s="747">
        <v>0</v>
      </c>
      <c r="O1253" s="748">
        <f t="shared" si="60"/>
        <v>0</v>
      </c>
      <c r="P1253" s="749" t="str">
        <f t="shared" si="61"/>
        <v>0</v>
      </c>
      <c r="Q1253" s="750" t="str">
        <f t="shared" si="62"/>
        <v>0</v>
      </c>
      <c r="R1253" s="751" t="s">
        <v>2040</v>
      </c>
    </row>
    <row r="1254" spans="1:18" s="315" customFormat="1" x14ac:dyDescent="0.2">
      <c r="A1254" s="737" t="s">
        <v>276</v>
      </c>
      <c r="B1254" s="738" t="s">
        <v>779</v>
      </c>
      <c r="C1254" s="739" t="s">
        <v>99</v>
      </c>
      <c r="D1254" s="752" t="s">
        <v>279</v>
      </c>
      <c r="E1254" s="740"/>
      <c r="F1254" s="754" t="s">
        <v>109</v>
      </c>
      <c r="G1254" s="741" t="s">
        <v>2041</v>
      </c>
      <c r="H1254" s="742" t="s">
        <v>789</v>
      </c>
      <c r="I1254" s="743" t="s">
        <v>790</v>
      </c>
      <c r="J1254" s="744" t="s">
        <v>650</v>
      </c>
      <c r="K1254" s="745">
        <v>0</v>
      </c>
      <c r="L1254" s="738" t="s">
        <v>787</v>
      </c>
      <c r="M1254" s="747">
        <v>5</v>
      </c>
      <c r="N1254" s="747">
        <v>0</v>
      </c>
      <c r="O1254" s="748">
        <f t="shared" si="60"/>
        <v>0</v>
      </c>
      <c r="P1254" s="749" t="str">
        <f t="shared" si="61"/>
        <v>0</v>
      </c>
      <c r="Q1254" s="750" t="str">
        <f t="shared" si="62"/>
        <v>0</v>
      </c>
      <c r="R1254" s="751" t="s">
        <v>2040</v>
      </c>
    </row>
    <row r="1255" spans="1:18" s="315" customFormat="1" x14ac:dyDescent="0.2">
      <c r="A1255" s="737" t="s">
        <v>276</v>
      </c>
      <c r="B1255" s="738" t="s">
        <v>779</v>
      </c>
      <c r="C1255" s="739" t="s">
        <v>99</v>
      </c>
      <c r="D1255" s="752" t="s">
        <v>281</v>
      </c>
      <c r="E1255" s="740"/>
      <c r="F1255" s="754" t="s">
        <v>109</v>
      </c>
      <c r="G1255" s="741" t="s">
        <v>2041</v>
      </c>
      <c r="H1255" s="742" t="s">
        <v>789</v>
      </c>
      <c r="I1255" s="743" t="s">
        <v>790</v>
      </c>
      <c r="J1255" s="744" t="s">
        <v>650</v>
      </c>
      <c r="K1255" s="745">
        <v>0</v>
      </c>
      <c r="L1255" s="738" t="s">
        <v>787</v>
      </c>
      <c r="M1255" s="747">
        <v>1</v>
      </c>
      <c r="N1255" s="747">
        <v>0</v>
      </c>
      <c r="O1255" s="748">
        <f t="shared" si="60"/>
        <v>0</v>
      </c>
      <c r="P1255" s="749" t="str">
        <f t="shared" si="61"/>
        <v>0</v>
      </c>
      <c r="Q1255" s="750" t="str">
        <f t="shared" si="62"/>
        <v>0</v>
      </c>
      <c r="R1255" s="751" t="s">
        <v>2040</v>
      </c>
    </row>
    <row r="1256" spans="1:18" s="315" customFormat="1" x14ac:dyDescent="0.2">
      <c r="A1256" s="737" t="s">
        <v>276</v>
      </c>
      <c r="B1256" s="738" t="s">
        <v>779</v>
      </c>
      <c r="C1256" s="739" t="s">
        <v>285</v>
      </c>
      <c r="D1256" s="752" t="s">
        <v>287</v>
      </c>
      <c r="E1256" s="740"/>
      <c r="F1256" s="754" t="s">
        <v>109</v>
      </c>
      <c r="G1256" s="741" t="s">
        <v>2041</v>
      </c>
      <c r="H1256" s="742" t="s">
        <v>792</v>
      </c>
      <c r="I1256" s="743" t="s">
        <v>790</v>
      </c>
      <c r="J1256" s="744" t="s">
        <v>650</v>
      </c>
      <c r="K1256" s="745">
        <v>0</v>
      </c>
      <c r="L1256" s="738" t="s">
        <v>787</v>
      </c>
      <c r="M1256" s="747">
        <v>0</v>
      </c>
      <c r="N1256" s="747">
        <v>0</v>
      </c>
      <c r="O1256" s="748">
        <f t="shared" si="60"/>
        <v>0</v>
      </c>
      <c r="P1256" s="749" t="str">
        <f t="shared" si="61"/>
        <v>0</v>
      </c>
      <c r="Q1256" s="750" t="str">
        <f t="shared" si="62"/>
        <v>0</v>
      </c>
      <c r="R1256" s="751" t="s">
        <v>2040</v>
      </c>
    </row>
    <row r="1257" spans="1:18" s="315" customFormat="1" x14ac:dyDescent="0.2">
      <c r="A1257" s="737" t="s">
        <v>276</v>
      </c>
      <c r="B1257" s="738" t="s">
        <v>779</v>
      </c>
      <c r="C1257" s="739" t="s">
        <v>285</v>
      </c>
      <c r="D1257" s="752" t="s">
        <v>283</v>
      </c>
      <c r="E1257" s="740"/>
      <c r="F1257" s="754" t="s">
        <v>109</v>
      </c>
      <c r="G1257" s="741" t="s">
        <v>2041</v>
      </c>
      <c r="H1257" s="742" t="s">
        <v>789</v>
      </c>
      <c r="I1257" s="743" t="s">
        <v>790</v>
      </c>
      <c r="J1257" s="744" t="s">
        <v>650</v>
      </c>
      <c r="K1257" s="745">
        <v>0</v>
      </c>
      <c r="L1257" s="738" t="s">
        <v>787</v>
      </c>
      <c r="M1257" s="747">
        <v>5</v>
      </c>
      <c r="N1257" s="747">
        <v>0</v>
      </c>
      <c r="O1257" s="748">
        <f t="shared" si="60"/>
        <v>0</v>
      </c>
      <c r="P1257" s="749" t="str">
        <f t="shared" si="61"/>
        <v>0</v>
      </c>
      <c r="Q1257" s="750" t="str">
        <f t="shared" si="62"/>
        <v>0</v>
      </c>
      <c r="R1257" s="751" t="s">
        <v>2040</v>
      </c>
    </row>
    <row r="1258" spans="1:18" s="315" customFormat="1" x14ac:dyDescent="0.2">
      <c r="A1258" s="737" t="s">
        <v>276</v>
      </c>
      <c r="B1258" s="738" t="s">
        <v>779</v>
      </c>
      <c r="C1258" s="739" t="s">
        <v>285</v>
      </c>
      <c r="D1258" s="752" t="s">
        <v>284</v>
      </c>
      <c r="E1258" s="740"/>
      <c r="F1258" s="754" t="s">
        <v>109</v>
      </c>
      <c r="G1258" s="741" t="s">
        <v>2041</v>
      </c>
      <c r="H1258" s="742" t="s">
        <v>789</v>
      </c>
      <c r="I1258" s="743" t="s">
        <v>790</v>
      </c>
      <c r="J1258" s="744" t="s">
        <v>650</v>
      </c>
      <c r="K1258" s="745">
        <v>0</v>
      </c>
      <c r="L1258" s="738" t="s">
        <v>787</v>
      </c>
      <c r="M1258" s="747">
        <v>4</v>
      </c>
      <c r="N1258" s="747">
        <v>0</v>
      </c>
      <c r="O1258" s="748">
        <f t="shared" si="60"/>
        <v>0</v>
      </c>
      <c r="P1258" s="749" t="str">
        <f t="shared" si="61"/>
        <v>0</v>
      </c>
      <c r="Q1258" s="750" t="str">
        <f t="shared" si="62"/>
        <v>0</v>
      </c>
      <c r="R1258" s="751" t="s">
        <v>2040</v>
      </c>
    </row>
    <row r="1259" spans="1:18" s="315" customFormat="1" x14ac:dyDescent="0.2">
      <c r="A1259" s="737" t="s">
        <v>276</v>
      </c>
      <c r="B1259" s="738" t="s">
        <v>779</v>
      </c>
      <c r="C1259" s="739" t="s">
        <v>285</v>
      </c>
      <c r="D1259" s="752" t="s">
        <v>279</v>
      </c>
      <c r="E1259" s="740"/>
      <c r="F1259" s="754" t="s">
        <v>109</v>
      </c>
      <c r="G1259" s="741" t="s">
        <v>2041</v>
      </c>
      <c r="H1259" s="742" t="s">
        <v>789</v>
      </c>
      <c r="I1259" s="743" t="s">
        <v>790</v>
      </c>
      <c r="J1259" s="744" t="s">
        <v>650</v>
      </c>
      <c r="K1259" s="745">
        <v>0</v>
      </c>
      <c r="L1259" s="738" t="s">
        <v>787</v>
      </c>
      <c r="M1259" s="747">
        <v>1</v>
      </c>
      <c r="N1259" s="747">
        <v>0</v>
      </c>
      <c r="O1259" s="748">
        <f t="shared" si="60"/>
        <v>0</v>
      </c>
      <c r="P1259" s="749" t="str">
        <f t="shared" si="61"/>
        <v>0</v>
      </c>
      <c r="Q1259" s="750" t="str">
        <f t="shared" si="62"/>
        <v>0</v>
      </c>
      <c r="R1259" s="751" t="s">
        <v>2040</v>
      </c>
    </row>
    <row r="1260" spans="1:18" s="315" customFormat="1" x14ac:dyDescent="0.2">
      <c r="A1260" s="737" t="s">
        <v>276</v>
      </c>
      <c r="B1260" s="738" t="s">
        <v>779</v>
      </c>
      <c r="C1260" s="739" t="s">
        <v>285</v>
      </c>
      <c r="D1260" s="752" t="s">
        <v>281</v>
      </c>
      <c r="E1260" s="740"/>
      <c r="F1260" s="754" t="s">
        <v>109</v>
      </c>
      <c r="G1260" s="741" t="s">
        <v>2041</v>
      </c>
      <c r="H1260" s="742" t="s">
        <v>789</v>
      </c>
      <c r="I1260" s="743" t="s">
        <v>790</v>
      </c>
      <c r="J1260" s="744" t="s">
        <v>650</v>
      </c>
      <c r="K1260" s="745">
        <v>0</v>
      </c>
      <c r="L1260" s="738" t="s">
        <v>787</v>
      </c>
      <c r="M1260" s="747">
        <v>12</v>
      </c>
      <c r="N1260" s="747">
        <v>0</v>
      </c>
      <c r="O1260" s="748">
        <f t="shared" si="60"/>
        <v>0</v>
      </c>
      <c r="P1260" s="749" t="str">
        <f t="shared" si="61"/>
        <v>0</v>
      </c>
      <c r="Q1260" s="750" t="str">
        <f t="shared" si="62"/>
        <v>0</v>
      </c>
      <c r="R1260" s="751" t="s">
        <v>2040</v>
      </c>
    </row>
    <row r="1261" spans="1:18" s="315" customFormat="1" x14ac:dyDescent="0.2">
      <c r="A1261" s="737" t="s">
        <v>276</v>
      </c>
      <c r="B1261" s="738" t="s">
        <v>779</v>
      </c>
      <c r="C1261" s="739" t="s">
        <v>285</v>
      </c>
      <c r="D1261" s="752" t="s">
        <v>286</v>
      </c>
      <c r="E1261" s="740"/>
      <c r="F1261" s="754" t="s">
        <v>109</v>
      </c>
      <c r="G1261" s="741" t="s">
        <v>2041</v>
      </c>
      <c r="H1261" s="742" t="s">
        <v>789</v>
      </c>
      <c r="I1261" s="743" t="s">
        <v>790</v>
      </c>
      <c r="J1261" s="744" t="s">
        <v>650</v>
      </c>
      <c r="K1261" s="745">
        <v>0</v>
      </c>
      <c r="L1261" s="738" t="s">
        <v>787</v>
      </c>
      <c r="M1261" s="747">
        <v>20</v>
      </c>
      <c r="N1261" s="747">
        <v>0</v>
      </c>
      <c r="O1261" s="748">
        <f t="shared" si="60"/>
        <v>0</v>
      </c>
      <c r="P1261" s="749" t="str">
        <f t="shared" si="61"/>
        <v>0</v>
      </c>
      <c r="Q1261" s="750" t="str">
        <f t="shared" si="62"/>
        <v>0</v>
      </c>
      <c r="R1261" s="751" t="s">
        <v>2040</v>
      </c>
    </row>
    <row r="1262" spans="1:18" s="315" customFormat="1" x14ac:dyDescent="0.2">
      <c r="A1262" s="737" t="s">
        <v>276</v>
      </c>
      <c r="B1262" s="738" t="s">
        <v>779</v>
      </c>
      <c r="C1262" s="739" t="s">
        <v>291</v>
      </c>
      <c r="D1262" s="752" t="s">
        <v>283</v>
      </c>
      <c r="E1262" s="740"/>
      <c r="F1262" s="754" t="s">
        <v>109</v>
      </c>
      <c r="G1262" s="741" t="s">
        <v>2041</v>
      </c>
      <c r="H1262" s="742" t="s">
        <v>789</v>
      </c>
      <c r="I1262" s="743" t="s">
        <v>790</v>
      </c>
      <c r="J1262" s="744" t="s">
        <v>650</v>
      </c>
      <c r="K1262" s="745">
        <v>0</v>
      </c>
      <c r="L1262" s="738" t="s">
        <v>787</v>
      </c>
      <c r="M1262" s="747">
        <v>0</v>
      </c>
      <c r="N1262" s="747">
        <v>0</v>
      </c>
      <c r="O1262" s="748">
        <f t="shared" si="60"/>
        <v>0</v>
      </c>
      <c r="P1262" s="749" t="str">
        <f t="shared" si="61"/>
        <v>0</v>
      </c>
      <c r="Q1262" s="750" t="str">
        <f t="shared" si="62"/>
        <v>0</v>
      </c>
      <c r="R1262" s="751" t="s">
        <v>2040</v>
      </c>
    </row>
    <row r="1263" spans="1:18" s="315" customFormat="1" x14ac:dyDescent="0.2">
      <c r="A1263" s="737" t="s">
        <v>276</v>
      </c>
      <c r="B1263" s="738" t="s">
        <v>779</v>
      </c>
      <c r="C1263" s="739" t="s">
        <v>291</v>
      </c>
      <c r="D1263" s="752" t="s">
        <v>284</v>
      </c>
      <c r="E1263" s="740"/>
      <c r="F1263" s="754" t="s">
        <v>109</v>
      </c>
      <c r="G1263" s="741" t="s">
        <v>2041</v>
      </c>
      <c r="H1263" s="742" t="s">
        <v>789</v>
      </c>
      <c r="I1263" s="743" t="s">
        <v>790</v>
      </c>
      <c r="J1263" s="744" t="s">
        <v>650</v>
      </c>
      <c r="K1263" s="745">
        <v>0</v>
      </c>
      <c r="L1263" s="738" t="s">
        <v>787</v>
      </c>
      <c r="M1263" s="747">
        <v>0</v>
      </c>
      <c r="N1263" s="747">
        <v>0</v>
      </c>
      <c r="O1263" s="748">
        <f t="shared" si="60"/>
        <v>0</v>
      </c>
      <c r="P1263" s="749" t="str">
        <f t="shared" si="61"/>
        <v>0</v>
      </c>
      <c r="Q1263" s="750" t="str">
        <f t="shared" si="62"/>
        <v>0</v>
      </c>
      <c r="R1263" s="751" t="s">
        <v>2040</v>
      </c>
    </row>
    <row r="1264" spans="1:18" s="315" customFormat="1" x14ac:dyDescent="0.2">
      <c r="A1264" s="737" t="s">
        <v>276</v>
      </c>
      <c r="B1264" s="738" t="s">
        <v>779</v>
      </c>
      <c r="C1264" s="739" t="s">
        <v>290</v>
      </c>
      <c r="D1264" s="752" t="s">
        <v>287</v>
      </c>
      <c r="E1264" s="740"/>
      <c r="F1264" s="754" t="s">
        <v>109</v>
      </c>
      <c r="G1264" s="741" t="s">
        <v>2041</v>
      </c>
      <c r="H1264" s="742" t="s">
        <v>792</v>
      </c>
      <c r="I1264" s="743" t="s">
        <v>790</v>
      </c>
      <c r="J1264" s="744" t="s">
        <v>650</v>
      </c>
      <c r="K1264" s="745">
        <v>0</v>
      </c>
      <c r="L1264" s="738" t="s">
        <v>787</v>
      </c>
      <c r="M1264" s="747">
        <v>65</v>
      </c>
      <c r="N1264" s="747">
        <v>0</v>
      </c>
      <c r="O1264" s="748">
        <f t="shared" si="60"/>
        <v>0</v>
      </c>
      <c r="P1264" s="749" t="str">
        <f t="shared" si="61"/>
        <v>0</v>
      </c>
      <c r="Q1264" s="750" t="str">
        <f t="shared" si="62"/>
        <v>0</v>
      </c>
      <c r="R1264" s="751" t="s">
        <v>2040</v>
      </c>
    </row>
    <row r="1265" spans="1:18" s="315" customFormat="1" x14ac:dyDescent="0.2">
      <c r="A1265" s="737" t="s">
        <v>276</v>
      </c>
      <c r="B1265" s="738" t="s">
        <v>779</v>
      </c>
      <c r="C1265" s="739" t="s">
        <v>290</v>
      </c>
      <c r="D1265" s="752" t="s">
        <v>283</v>
      </c>
      <c r="E1265" s="740"/>
      <c r="F1265" s="754" t="s">
        <v>109</v>
      </c>
      <c r="G1265" s="741" t="s">
        <v>2041</v>
      </c>
      <c r="H1265" s="742" t="s">
        <v>789</v>
      </c>
      <c r="I1265" s="743" t="s">
        <v>790</v>
      </c>
      <c r="J1265" s="744" t="s">
        <v>650</v>
      </c>
      <c r="K1265" s="745">
        <v>0</v>
      </c>
      <c r="L1265" s="738" t="s">
        <v>787</v>
      </c>
      <c r="M1265" s="747">
        <v>5</v>
      </c>
      <c r="N1265" s="747">
        <v>0</v>
      </c>
      <c r="O1265" s="748">
        <f t="shared" si="60"/>
        <v>0</v>
      </c>
      <c r="P1265" s="749" t="str">
        <f t="shared" si="61"/>
        <v>0</v>
      </c>
      <c r="Q1265" s="750" t="str">
        <f t="shared" si="62"/>
        <v>0</v>
      </c>
      <c r="R1265" s="751" t="s">
        <v>2040</v>
      </c>
    </row>
    <row r="1266" spans="1:18" s="315" customFormat="1" x14ac:dyDescent="0.2">
      <c r="A1266" s="737" t="s">
        <v>276</v>
      </c>
      <c r="B1266" s="738" t="s">
        <v>779</v>
      </c>
      <c r="C1266" s="739" t="s">
        <v>290</v>
      </c>
      <c r="D1266" s="752" t="s">
        <v>284</v>
      </c>
      <c r="E1266" s="740"/>
      <c r="F1266" s="754" t="s">
        <v>109</v>
      </c>
      <c r="G1266" s="741" t="s">
        <v>2041</v>
      </c>
      <c r="H1266" s="742" t="s">
        <v>789</v>
      </c>
      <c r="I1266" s="743" t="s">
        <v>790</v>
      </c>
      <c r="J1266" s="744" t="s">
        <v>650</v>
      </c>
      <c r="K1266" s="745">
        <v>0</v>
      </c>
      <c r="L1266" s="738" t="s">
        <v>787</v>
      </c>
      <c r="M1266" s="747">
        <v>0</v>
      </c>
      <c r="N1266" s="747">
        <v>0</v>
      </c>
      <c r="O1266" s="748">
        <f t="shared" si="60"/>
        <v>0</v>
      </c>
      <c r="P1266" s="749" t="str">
        <f t="shared" si="61"/>
        <v>0</v>
      </c>
      <c r="Q1266" s="750" t="str">
        <f t="shared" si="62"/>
        <v>0</v>
      </c>
      <c r="R1266" s="751" t="s">
        <v>2040</v>
      </c>
    </row>
    <row r="1267" spans="1:18" s="315" customFormat="1" x14ac:dyDescent="0.2">
      <c r="A1267" s="737" t="s">
        <v>276</v>
      </c>
      <c r="B1267" s="738" t="s">
        <v>779</v>
      </c>
      <c r="C1267" s="739" t="s">
        <v>289</v>
      </c>
      <c r="D1267" s="752" t="s">
        <v>287</v>
      </c>
      <c r="E1267" s="740"/>
      <c r="F1267" s="754" t="s">
        <v>109</v>
      </c>
      <c r="G1267" s="741" t="s">
        <v>2041</v>
      </c>
      <c r="H1267" s="742" t="s">
        <v>792</v>
      </c>
      <c r="I1267" s="743" t="s">
        <v>790</v>
      </c>
      <c r="J1267" s="744" t="s">
        <v>650</v>
      </c>
      <c r="K1267" s="745">
        <v>0</v>
      </c>
      <c r="L1267" s="738" t="s">
        <v>787</v>
      </c>
      <c r="M1267" s="747">
        <v>733</v>
      </c>
      <c r="N1267" s="747">
        <v>0</v>
      </c>
      <c r="O1267" s="748">
        <f t="shared" si="60"/>
        <v>0</v>
      </c>
      <c r="P1267" s="749" t="str">
        <f t="shared" si="61"/>
        <v>0</v>
      </c>
      <c r="Q1267" s="750" t="str">
        <f t="shared" si="62"/>
        <v>0</v>
      </c>
      <c r="R1267" s="751" t="s">
        <v>2040</v>
      </c>
    </row>
    <row r="1268" spans="1:18" s="315" customFormat="1" x14ac:dyDescent="0.2">
      <c r="A1268" s="737" t="s">
        <v>276</v>
      </c>
      <c r="B1268" s="738" t="s">
        <v>779</v>
      </c>
      <c r="C1268" s="739" t="s">
        <v>289</v>
      </c>
      <c r="D1268" s="752" t="s">
        <v>283</v>
      </c>
      <c r="E1268" s="740"/>
      <c r="F1268" s="754" t="s">
        <v>109</v>
      </c>
      <c r="G1268" s="741" t="s">
        <v>2041</v>
      </c>
      <c r="H1268" s="742" t="s">
        <v>789</v>
      </c>
      <c r="I1268" s="743" t="s">
        <v>790</v>
      </c>
      <c r="J1268" s="744" t="s">
        <v>650</v>
      </c>
      <c r="K1268" s="745">
        <v>0</v>
      </c>
      <c r="L1268" s="738" t="s">
        <v>787</v>
      </c>
      <c r="M1268" s="747">
        <v>134</v>
      </c>
      <c r="N1268" s="747">
        <v>0</v>
      </c>
      <c r="O1268" s="748">
        <f t="shared" si="60"/>
        <v>0</v>
      </c>
      <c r="P1268" s="749" t="str">
        <f t="shared" si="61"/>
        <v>0</v>
      </c>
      <c r="Q1268" s="750" t="str">
        <f t="shared" si="62"/>
        <v>0</v>
      </c>
      <c r="R1268" s="751" t="s">
        <v>2040</v>
      </c>
    </row>
    <row r="1269" spans="1:18" s="315" customFormat="1" x14ac:dyDescent="0.2">
      <c r="A1269" s="737" t="s">
        <v>276</v>
      </c>
      <c r="B1269" s="738" t="s">
        <v>779</v>
      </c>
      <c r="C1269" s="739" t="s">
        <v>289</v>
      </c>
      <c r="D1269" s="752" t="s">
        <v>284</v>
      </c>
      <c r="E1269" s="740"/>
      <c r="F1269" s="754" t="s">
        <v>109</v>
      </c>
      <c r="G1269" s="741" t="s">
        <v>2041</v>
      </c>
      <c r="H1269" s="742" t="s">
        <v>789</v>
      </c>
      <c r="I1269" s="743" t="s">
        <v>790</v>
      </c>
      <c r="J1269" s="744" t="s">
        <v>650</v>
      </c>
      <c r="K1269" s="745">
        <v>0</v>
      </c>
      <c r="L1269" s="738" t="s">
        <v>787</v>
      </c>
      <c r="M1269" s="747">
        <v>29</v>
      </c>
      <c r="N1269" s="747">
        <v>0</v>
      </c>
      <c r="O1269" s="748">
        <f t="shared" si="60"/>
        <v>0</v>
      </c>
      <c r="P1269" s="749" t="str">
        <f t="shared" si="61"/>
        <v>0</v>
      </c>
      <c r="Q1269" s="750" t="str">
        <f t="shared" si="62"/>
        <v>0</v>
      </c>
      <c r="R1269" s="751" t="s">
        <v>2040</v>
      </c>
    </row>
    <row r="1270" spans="1:18" s="315" customFormat="1" x14ac:dyDescent="0.2">
      <c r="A1270" s="737" t="s">
        <v>276</v>
      </c>
      <c r="B1270" s="738" t="s">
        <v>779</v>
      </c>
      <c r="C1270" s="739" t="s">
        <v>289</v>
      </c>
      <c r="D1270" s="752" t="s">
        <v>281</v>
      </c>
      <c r="E1270" s="740"/>
      <c r="F1270" s="754" t="s">
        <v>109</v>
      </c>
      <c r="G1270" s="741" t="s">
        <v>2041</v>
      </c>
      <c r="H1270" s="742" t="s">
        <v>789</v>
      </c>
      <c r="I1270" s="743" t="s">
        <v>790</v>
      </c>
      <c r="J1270" s="744" t="s">
        <v>650</v>
      </c>
      <c r="K1270" s="745">
        <v>0</v>
      </c>
      <c r="L1270" s="738" t="s">
        <v>787</v>
      </c>
      <c r="M1270" s="747">
        <v>2</v>
      </c>
      <c r="N1270" s="747">
        <v>0</v>
      </c>
      <c r="O1270" s="748">
        <f t="shared" si="60"/>
        <v>0</v>
      </c>
      <c r="P1270" s="749" t="str">
        <f t="shared" si="61"/>
        <v>0</v>
      </c>
      <c r="Q1270" s="750" t="str">
        <f t="shared" si="62"/>
        <v>0</v>
      </c>
      <c r="R1270" s="751" t="s">
        <v>2040</v>
      </c>
    </row>
  </sheetData>
  <dataValidations count="1">
    <dataValidation type="list" allowBlank="1" showInputMessage="1" showErrorMessage="1" sqref="A5:A7 D5:D7 J5:J7">
      <formula1>#REF!</formula1>
    </dataValidation>
  </dataValidations>
  <pageMargins left="0.25" right="0.25" top="0.75" bottom="0.75" header="0.3" footer="0.3"/>
  <pageSetup paperSize="9" scale="42" firstPageNumber="0" orientation="landscape" r:id="rId1"/>
  <headerFooter alignWithMargins="0">
    <oddHeader>&amp;C&amp;"Times New Roman,Normal"&amp;12&amp;A</oddHeader>
    <oddFooter>&amp;C&amp;"Times New Roman,Normal"&amp;12Page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pageSetUpPr fitToPage="1"/>
  </sheetPr>
  <dimension ref="A1:Y463"/>
  <sheetViews>
    <sheetView topLeftCell="A3" zoomScale="110" zoomScaleNormal="110" zoomScaleSheetLayoutView="100" workbookViewId="0">
      <selection activeCell="A4" sqref="A4:XFD4"/>
    </sheetView>
  </sheetViews>
  <sheetFormatPr defaultColWidth="11.42578125" defaultRowHeight="12.75" x14ac:dyDescent="0.2"/>
  <cols>
    <col min="1" max="1" width="8.28515625" style="19" customWidth="1"/>
    <col min="2" max="2" width="29" style="19" customWidth="1"/>
    <col min="3" max="3" width="32.28515625" style="19" bestFit="1" customWidth="1"/>
    <col min="4" max="4" width="11.28515625" style="19" customWidth="1"/>
    <col min="5" max="5" width="23.28515625" style="19" customWidth="1"/>
    <col min="6" max="6" width="18" style="19" customWidth="1"/>
    <col min="7" max="7" width="29.140625" style="19" customWidth="1"/>
    <col min="8" max="8" width="18.28515625" style="19" customWidth="1"/>
    <col min="9" max="9" width="13.28515625" style="19" customWidth="1"/>
    <col min="10" max="10" width="12.42578125" style="19" bestFit="1" customWidth="1"/>
    <col min="11" max="11" width="17.5703125" style="19" customWidth="1"/>
    <col min="12" max="12" width="66.85546875" style="19" customWidth="1"/>
    <col min="13" max="13" width="24.28515625" style="19" customWidth="1"/>
    <col min="14" max="14" width="18" style="19" customWidth="1"/>
    <col min="15" max="15" width="21.140625" style="19" customWidth="1"/>
    <col min="16" max="16" width="12.5703125" style="19" customWidth="1"/>
    <col min="17" max="17" width="17.5703125" style="19" customWidth="1"/>
    <col min="18" max="18" width="35.28515625" style="19" bestFit="1" customWidth="1"/>
    <col min="19" max="19" width="62.42578125" style="19" bestFit="1" customWidth="1"/>
    <col min="20" max="24" width="11.42578125" style="19"/>
    <col min="25" max="25" width="52.7109375" style="19" customWidth="1"/>
    <col min="26" max="16384" width="11.42578125" style="19"/>
  </cols>
  <sheetData>
    <row r="1" spans="1:25" ht="13.5" thickBot="1" x14ac:dyDescent="0.25">
      <c r="A1" s="23" t="s">
        <v>110</v>
      </c>
      <c r="B1" s="24"/>
      <c r="C1" s="24"/>
      <c r="D1" s="24"/>
      <c r="E1" s="24"/>
      <c r="F1" s="24"/>
      <c r="G1" s="24"/>
      <c r="H1" s="24"/>
      <c r="I1" s="24"/>
      <c r="J1" s="24"/>
      <c r="K1" s="24"/>
      <c r="L1" s="24"/>
      <c r="M1" s="24"/>
      <c r="N1" s="24"/>
      <c r="O1" s="24"/>
      <c r="P1" s="24"/>
      <c r="Q1" s="24"/>
      <c r="R1" s="24"/>
      <c r="S1" s="24"/>
    </row>
    <row r="2" spans="1:25" x14ac:dyDescent="0.2">
      <c r="A2" s="47"/>
      <c r="B2" s="20"/>
      <c r="C2" s="20"/>
      <c r="D2" s="20"/>
      <c r="E2" s="20"/>
      <c r="F2" s="20"/>
      <c r="G2" s="20"/>
      <c r="H2" s="20"/>
      <c r="I2" s="20"/>
      <c r="J2" s="20"/>
      <c r="K2" s="20"/>
      <c r="L2" s="20"/>
      <c r="M2" s="20"/>
      <c r="N2" s="20"/>
      <c r="O2" s="20"/>
      <c r="Q2" s="92" t="s">
        <v>56</v>
      </c>
      <c r="R2" s="85" t="s">
        <v>1484</v>
      </c>
    </row>
    <row r="3" spans="1:25" ht="13.5" thickBot="1" x14ac:dyDescent="0.25">
      <c r="A3" s="47"/>
      <c r="B3" s="20"/>
      <c r="C3" s="20"/>
      <c r="D3" s="20"/>
      <c r="E3" s="20"/>
      <c r="F3" s="20"/>
      <c r="G3" s="20"/>
      <c r="H3" s="20"/>
      <c r="I3" s="20"/>
      <c r="J3" s="20"/>
      <c r="K3" s="20"/>
      <c r="L3" s="20"/>
      <c r="M3" s="20"/>
      <c r="N3" s="20"/>
      <c r="O3" s="20"/>
      <c r="Q3" s="74" t="s">
        <v>1480</v>
      </c>
      <c r="R3" s="144">
        <v>2020</v>
      </c>
    </row>
    <row r="4" spans="1:25" ht="39" thickBot="1" x14ac:dyDescent="0.25">
      <c r="A4" s="105" t="s">
        <v>0</v>
      </c>
      <c r="B4" s="106" t="s">
        <v>111</v>
      </c>
      <c r="C4" s="107" t="s">
        <v>112</v>
      </c>
      <c r="D4" s="100" t="s">
        <v>103</v>
      </c>
      <c r="E4" s="108" t="s">
        <v>83</v>
      </c>
      <c r="F4" s="108" t="s">
        <v>113</v>
      </c>
      <c r="G4" s="103" t="s">
        <v>105</v>
      </c>
      <c r="H4" s="103" t="s">
        <v>65</v>
      </c>
      <c r="I4" s="340" t="s">
        <v>114</v>
      </c>
      <c r="J4" s="103" t="s">
        <v>9</v>
      </c>
      <c r="K4" s="341" t="s">
        <v>106</v>
      </c>
      <c r="L4" s="97" t="s">
        <v>4</v>
      </c>
      <c r="M4" s="342" t="s">
        <v>239</v>
      </c>
      <c r="N4" s="342" t="s">
        <v>240</v>
      </c>
      <c r="O4" s="340" t="s">
        <v>107</v>
      </c>
      <c r="P4" s="340" t="s">
        <v>241</v>
      </c>
      <c r="Q4" s="219" t="s">
        <v>242</v>
      </c>
      <c r="R4" s="340" t="s">
        <v>108</v>
      </c>
    </row>
    <row r="5" spans="1:25" ht="26.25" thickBot="1" x14ac:dyDescent="0.25">
      <c r="A5" s="526" t="s">
        <v>276</v>
      </c>
      <c r="B5" s="530" t="s">
        <v>827</v>
      </c>
      <c r="C5" s="526" t="s">
        <v>1602</v>
      </c>
      <c r="D5" s="530" t="s">
        <v>109</v>
      </c>
      <c r="E5" s="530" t="s">
        <v>828</v>
      </c>
      <c r="F5" s="528" t="s">
        <v>829</v>
      </c>
      <c r="G5" s="530" t="s">
        <v>784</v>
      </c>
      <c r="H5" s="530" t="s">
        <v>77</v>
      </c>
      <c r="I5" s="693" t="s">
        <v>7</v>
      </c>
      <c r="J5" s="531">
        <v>100</v>
      </c>
      <c r="K5" s="730">
        <v>100</v>
      </c>
      <c r="L5" s="537" t="s">
        <v>880</v>
      </c>
      <c r="M5" s="686">
        <v>6</v>
      </c>
      <c r="N5" s="686">
        <v>5</v>
      </c>
      <c r="O5" s="748">
        <f>IFERROR(N5/M5,0)</f>
        <v>0.83333333333333337</v>
      </c>
      <c r="P5" s="749">
        <f>IFERROR(N5/(M5*(K5/100))*100,"0")</f>
        <v>83.333333333333343</v>
      </c>
      <c r="Q5" s="750">
        <f t="shared" ref="Q5:Q68" si="0">IFERROR(N5/(M5*(K5/100)),"0")</f>
        <v>0.83333333333333337</v>
      </c>
      <c r="R5" s="691"/>
    </row>
    <row r="6" spans="1:25" ht="13.5" thickBot="1" x14ac:dyDescent="0.25">
      <c r="A6" s="526" t="s">
        <v>276</v>
      </c>
      <c r="B6" s="530" t="s">
        <v>827</v>
      </c>
      <c r="C6" s="526" t="s">
        <v>1602</v>
      </c>
      <c r="D6" s="530" t="s">
        <v>109</v>
      </c>
      <c r="E6" s="530" t="s">
        <v>828</v>
      </c>
      <c r="F6" s="528" t="s">
        <v>830</v>
      </c>
      <c r="G6" s="530" t="s">
        <v>831</v>
      </c>
      <c r="H6" s="530" t="s">
        <v>77</v>
      </c>
      <c r="I6" s="693" t="s">
        <v>7</v>
      </c>
      <c r="J6" s="531">
        <v>33</v>
      </c>
      <c r="K6" s="730">
        <v>33</v>
      </c>
      <c r="L6" s="537"/>
      <c r="M6" s="686">
        <v>6</v>
      </c>
      <c r="N6" s="686">
        <v>3</v>
      </c>
      <c r="O6" s="748">
        <f t="shared" ref="O6:O68" si="1">IFERROR(N6/M6,0)</f>
        <v>0.5</v>
      </c>
      <c r="P6" s="749">
        <f t="shared" ref="P6:P68" si="2">IFERROR(N6/(M6*(K6/100))*100,"0")</f>
        <v>151.5151515151515</v>
      </c>
      <c r="Q6" s="750">
        <f t="shared" si="0"/>
        <v>1.5151515151515151</v>
      </c>
      <c r="R6" s="691"/>
    </row>
    <row r="7" spans="1:25" ht="26.25" thickBot="1" x14ac:dyDescent="0.25">
      <c r="A7" s="526" t="s">
        <v>276</v>
      </c>
      <c r="B7" s="530" t="s">
        <v>827</v>
      </c>
      <c r="C7" s="526" t="s">
        <v>1602</v>
      </c>
      <c r="D7" s="530" t="s">
        <v>109</v>
      </c>
      <c r="E7" s="530" t="s">
        <v>832</v>
      </c>
      <c r="F7" s="528" t="s">
        <v>829</v>
      </c>
      <c r="G7" s="530" t="s">
        <v>790</v>
      </c>
      <c r="H7" s="530" t="s">
        <v>77</v>
      </c>
      <c r="I7" s="693" t="s">
        <v>7</v>
      </c>
      <c r="J7" s="531">
        <v>25</v>
      </c>
      <c r="K7" s="730">
        <v>25</v>
      </c>
      <c r="L7" s="537"/>
      <c r="M7" s="686">
        <v>6</v>
      </c>
      <c r="N7" s="686">
        <v>3</v>
      </c>
      <c r="O7" s="748">
        <f t="shared" si="1"/>
        <v>0.5</v>
      </c>
      <c r="P7" s="749">
        <f t="shared" si="2"/>
        <v>200</v>
      </c>
      <c r="Q7" s="750">
        <f t="shared" si="0"/>
        <v>2</v>
      </c>
      <c r="R7" s="691"/>
    </row>
    <row r="8" spans="1:25" ht="26.25" thickBot="1" x14ac:dyDescent="0.25">
      <c r="A8" s="526" t="s">
        <v>276</v>
      </c>
      <c r="B8" s="530" t="s">
        <v>827</v>
      </c>
      <c r="C8" s="526" t="s">
        <v>1602</v>
      </c>
      <c r="D8" s="530" t="s">
        <v>109</v>
      </c>
      <c r="E8" s="530" t="s">
        <v>832</v>
      </c>
      <c r="F8" s="528" t="s">
        <v>830</v>
      </c>
      <c r="G8" s="530" t="s">
        <v>790</v>
      </c>
      <c r="H8" s="530" t="s">
        <v>77</v>
      </c>
      <c r="I8" s="693" t="s">
        <v>7</v>
      </c>
      <c r="J8" s="531">
        <v>25</v>
      </c>
      <c r="K8" s="730">
        <v>25</v>
      </c>
      <c r="L8" s="537"/>
      <c r="M8" s="686">
        <v>6</v>
      </c>
      <c r="N8" s="686">
        <v>3</v>
      </c>
      <c r="O8" s="748">
        <f t="shared" si="1"/>
        <v>0.5</v>
      </c>
      <c r="P8" s="749">
        <f t="shared" si="2"/>
        <v>200</v>
      </c>
      <c r="Q8" s="750">
        <f t="shared" si="0"/>
        <v>2</v>
      </c>
      <c r="R8" s="691"/>
    </row>
    <row r="9" spans="1:25" ht="39" thickBot="1" x14ac:dyDescent="0.25">
      <c r="A9" s="526" t="s">
        <v>276</v>
      </c>
      <c r="B9" s="530" t="s">
        <v>827</v>
      </c>
      <c r="C9" s="526" t="s">
        <v>1602</v>
      </c>
      <c r="D9" s="530" t="s">
        <v>109</v>
      </c>
      <c r="E9" s="530" t="s">
        <v>833</v>
      </c>
      <c r="F9" s="528" t="s">
        <v>834</v>
      </c>
      <c r="G9" s="530" t="s">
        <v>790</v>
      </c>
      <c r="H9" s="530" t="s">
        <v>77</v>
      </c>
      <c r="I9" s="693" t="s">
        <v>7</v>
      </c>
      <c r="J9" s="531">
        <v>25</v>
      </c>
      <c r="K9" s="730">
        <v>25</v>
      </c>
      <c r="L9" s="537" t="s">
        <v>881</v>
      </c>
      <c r="M9" s="686">
        <v>6</v>
      </c>
      <c r="N9" s="686">
        <v>3</v>
      </c>
      <c r="O9" s="748">
        <f t="shared" si="1"/>
        <v>0.5</v>
      </c>
      <c r="P9" s="749">
        <f t="shared" si="2"/>
        <v>200</v>
      </c>
      <c r="Q9" s="750">
        <f t="shared" si="0"/>
        <v>2</v>
      </c>
      <c r="R9" s="691"/>
    </row>
    <row r="10" spans="1:25" ht="26.25" thickBot="1" x14ac:dyDescent="0.25">
      <c r="A10" s="526" t="s">
        <v>276</v>
      </c>
      <c r="B10" s="530" t="s">
        <v>827</v>
      </c>
      <c r="C10" s="526" t="s">
        <v>1602</v>
      </c>
      <c r="D10" s="530" t="s">
        <v>109</v>
      </c>
      <c r="E10" s="530" t="s">
        <v>833</v>
      </c>
      <c r="F10" s="528" t="s">
        <v>835</v>
      </c>
      <c r="G10" s="530" t="s">
        <v>790</v>
      </c>
      <c r="H10" s="530" t="s">
        <v>77</v>
      </c>
      <c r="I10" s="693" t="s">
        <v>7</v>
      </c>
      <c r="J10" s="531">
        <v>33</v>
      </c>
      <c r="K10" s="730">
        <v>33</v>
      </c>
      <c r="L10" s="537"/>
      <c r="M10" s="686">
        <v>6</v>
      </c>
      <c r="N10" s="686">
        <v>3</v>
      </c>
      <c r="O10" s="748">
        <f t="shared" si="1"/>
        <v>0.5</v>
      </c>
      <c r="P10" s="749">
        <f t="shared" si="2"/>
        <v>151.5151515151515</v>
      </c>
      <c r="Q10" s="750">
        <f t="shared" si="0"/>
        <v>1.5151515151515151</v>
      </c>
      <c r="R10" s="691"/>
      <c r="W10" s="203"/>
      <c r="X10" s="203"/>
      <c r="Y10" s="203"/>
    </row>
    <row r="11" spans="1:25" ht="26.25" thickBot="1" x14ac:dyDescent="0.25">
      <c r="A11" s="526" t="s">
        <v>276</v>
      </c>
      <c r="B11" s="530" t="s">
        <v>827</v>
      </c>
      <c r="C11" s="526" t="s">
        <v>1602</v>
      </c>
      <c r="D11" s="530" t="s">
        <v>109</v>
      </c>
      <c r="E11" s="530" t="s">
        <v>836</v>
      </c>
      <c r="F11" s="528" t="s">
        <v>834</v>
      </c>
      <c r="G11" s="530" t="s">
        <v>790</v>
      </c>
      <c r="H11" s="530" t="s">
        <v>77</v>
      </c>
      <c r="I11" s="693" t="s">
        <v>7</v>
      </c>
      <c r="J11" s="531">
        <v>25</v>
      </c>
      <c r="K11" s="730">
        <v>25</v>
      </c>
      <c r="L11" s="537"/>
      <c r="M11" s="686">
        <v>6</v>
      </c>
      <c r="N11" s="686">
        <v>3</v>
      </c>
      <c r="O11" s="748">
        <f t="shared" si="1"/>
        <v>0.5</v>
      </c>
      <c r="P11" s="749">
        <f t="shared" si="2"/>
        <v>200</v>
      </c>
      <c r="Q11" s="750">
        <f t="shared" si="0"/>
        <v>2</v>
      </c>
      <c r="R11" s="691"/>
      <c r="W11" s="28"/>
      <c r="X11" s="28"/>
      <c r="Y11" s="28"/>
    </row>
    <row r="12" spans="1:25" ht="26.25" thickBot="1" x14ac:dyDescent="0.25">
      <c r="A12" s="526" t="s">
        <v>276</v>
      </c>
      <c r="B12" s="530" t="s">
        <v>827</v>
      </c>
      <c r="C12" s="526" t="s">
        <v>1602</v>
      </c>
      <c r="D12" s="530" t="s">
        <v>109</v>
      </c>
      <c r="E12" s="530" t="s">
        <v>837</v>
      </c>
      <c r="F12" s="528" t="s">
        <v>834</v>
      </c>
      <c r="G12" s="530" t="s">
        <v>790</v>
      </c>
      <c r="H12" s="530" t="s">
        <v>77</v>
      </c>
      <c r="I12" s="693" t="s">
        <v>7</v>
      </c>
      <c r="J12" s="531">
        <v>25</v>
      </c>
      <c r="K12" s="730">
        <v>25</v>
      </c>
      <c r="L12" s="537"/>
      <c r="M12" s="686">
        <v>6</v>
      </c>
      <c r="N12" s="686">
        <v>3</v>
      </c>
      <c r="O12" s="748">
        <f t="shared" si="1"/>
        <v>0.5</v>
      </c>
      <c r="P12" s="749">
        <f t="shared" si="2"/>
        <v>200</v>
      </c>
      <c r="Q12" s="750">
        <f t="shared" si="0"/>
        <v>2</v>
      </c>
      <c r="R12" s="691"/>
      <c r="W12" s="28"/>
      <c r="X12" s="28"/>
      <c r="Y12" s="28"/>
    </row>
    <row r="13" spans="1:25" ht="13.5" thickBot="1" x14ac:dyDescent="0.25">
      <c r="A13" s="526" t="s">
        <v>276</v>
      </c>
      <c r="B13" s="530" t="s">
        <v>827</v>
      </c>
      <c r="C13" s="526" t="s">
        <v>1602</v>
      </c>
      <c r="D13" s="530" t="s">
        <v>109</v>
      </c>
      <c r="E13" s="530" t="s">
        <v>838</v>
      </c>
      <c r="F13" s="528" t="s">
        <v>834</v>
      </c>
      <c r="G13" s="530" t="s">
        <v>784</v>
      </c>
      <c r="H13" s="530" t="s">
        <v>77</v>
      </c>
      <c r="I13" s="693" t="s">
        <v>7</v>
      </c>
      <c r="J13" s="531">
        <v>100</v>
      </c>
      <c r="K13" s="730">
        <v>100</v>
      </c>
      <c r="L13" s="537"/>
      <c r="M13" s="686">
        <v>6</v>
      </c>
      <c r="N13" s="686">
        <v>5</v>
      </c>
      <c r="O13" s="748">
        <f t="shared" si="1"/>
        <v>0.83333333333333337</v>
      </c>
      <c r="P13" s="749">
        <f t="shared" si="2"/>
        <v>83.333333333333343</v>
      </c>
      <c r="Q13" s="750">
        <f t="shared" si="0"/>
        <v>0.83333333333333337</v>
      </c>
      <c r="R13" s="691"/>
      <c r="W13" s="28"/>
      <c r="X13" s="28"/>
      <c r="Y13" s="28"/>
    </row>
    <row r="14" spans="1:25" ht="13.5" thickBot="1" x14ac:dyDescent="0.25">
      <c r="A14" s="526" t="s">
        <v>276</v>
      </c>
      <c r="B14" s="530" t="s">
        <v>827</v>
      </c>
      <c r="C14" s="526" t="s">
        <v>1602</v>
      </c>
      <c r="D14" s="530" t="s">
        <v>109</v>
      </c>
      <c r="E14" s="530" t="s">
        <v>839</v>
      </c>
      <c r="F14" s="528" t="s">
        <v>834</v>
      </c>
      <c r="G14" s="530" t="s">
        <v>784</v>
      </c>
      <c r="H14" s="530" t="s">
        <v>77</v>
      </c>
      <c r="I14" s="693" t="s">
        <v>7</v>
      </c>
      <c r="J14" s="525">
        <v>100</v>
      </c>
      <c r="K14" s="731">
        <v>100</v>
      </c>
      <c r="L14" s="537"/>
      <c r="M14" s="686">
        <v>6</v>
      </c>
      <c r="N14" s="686">
        <v>5</v>
      </c>
      <c r="O14" s="748">
        <f t="shared" si="1"/>
        <v>0.83333333333333337</v>
      </c>
      <c r="P14" s="749">
        <f t="shared" si="2"/>
        <v>83.333333333333343</v>
      </c>
      <c r="Q14" s="750">
        <f t="shared" si="0"/>
        <v>0.83333333333333337</v>
      </c>
      <c r="R14" s="691"/>
      <c r="W14" s="28"/>
      <c r="X14" s="28"/>
      <c r="Y14" s="28"/>
    </row>
    <row r="15" spans="1:25" ht="26.25" thickBot="1" x14ac:dyDescent="0.25">
      <c r="A15" s="526" t="s">
        <v>276</v>
      </c>
      <c r="B15" s="530" t="s">
        <v>827</v>
      </c>
      <c r="C15" s="526" t="s">
        <v>1602</v>
      </c>
      <c r="D15" s="530" t="s">
        <v>109</v>
      </c>
      <c r="E15" s="530" t="s">
        <v>840</v>
      </c>
      <c r="F15" s="528" t="s">
        <v>834</v>
      </c>
      <c r="G15" s="530" t="s">
        <v>790</v>
      </c>
      <c r="H15" s="530" t="s">
        <v>77</v>
      </c>
      <c r="I15" s="693" t="s">
        <v>7</v>
      </c>
      <c r="J15" s="525">
        <v>25</v>
      </c>
      <c r="K15" s="731">
        <v>25</v>
      </c>
      <c r="L15" s="537"/>
      <c r="M15" s="686">
        <v>6</v>
      </c>
      <c r="N15" s="686">
        <v>3</v>
      </c>
      <c r="O15" s="748">
        <f t="shared" si="1"/>
        <v>0.5</v>
      </c>
      <c r="P15" s="749">
        <f t="shared" si="2"/>
        <v>200</v>
      </c>
      <c r="Q15" s="750">
        <f t="shared" si="0"/>
        <v>2</v>
      </c>
      <c r="R15" s="691"/>
      <c r="W15" s="28"/>
      <c r="X15" s="28"/>
      <c r="Y15" s="28"/>
    </row>
    <row r="16" spans="1:25" ht="26.25" thickBot="1" x14ac:dyDescent="0.25">
      <c r="A16" s="526" t="s">
        <v>276</v>
      </c>
      <c r="B16" s="530" t="s">
        <v>827</v>
      </c>
      <c r="C16" s="526" t="s">
        <v>1602</v>
      </c>
      <c r="D16" s="530" t="s">
        <v>109</v>
      </c>
      <c r="E16" s="530" t="s">
        <v>841</v>
      </c>
      <c r="F16" s="528" t="s">
        <v>834</v>
      </c>
      <c r="G16" s="530" t="s">
        <v>790</v>
      </c>
      <c r="H16" s="530" t="s">
        <v>77</v>
      </c>
      <c r="I16" s="693" t="s">
        <v>7</v>
      </c>
      <c r="J16" s="525">
        <v>25</v>
      </c>
      <c r="K16" s="731">
        <v>25</v>
      </c>
      <c r="L16" s="537"/>
      <c r="M16" s="686">
        <v>6</v>
      </c>
      <c r="N16" s="686">
        <v>3</v>
      </c>
      <c r="O16" s="748">
        <f t="shared" si="1"/>
        <v>0.5</v>
      </c>
      <c r="P16" s="749">
        <f t="shared" si="2"/>
        <v>200</v>
      </c>
      <c r="Q16" s="750">
        <f t="shared" si="0"/>
        <v>2</v>
      </c>
      <c r="R16" s="691"/>
      <c r="W16" s="28"/>
      <c r="X16" s="28"/>
      <c r="Y16" s="28"/>
    </row>
    <row r="17" spans="1:25" ht="13.5" thickBot="1" x14ac:dyDescent="0.25">
      <c r="A17" s="526" t="s">
        <v>276</v>
      </c>
      <c r="B17" s="530" t="s">
        <v>827</v>
      </c>
      <c r="C17" s="526" t="s">
        <v>1602</v>
      </c>
      <c r="D17" s="530" t="s">
        <v>109</v>
      </c>
      <c r="E17" s="530" t="s">
        <v>842</v>
      </c>
      <c r="F17" s="532" t="s">
        <v>843</v>
      </c>
      <c r="G17" s="530" t="s">
        <v>784</v>
      </c>
      <c r="H17" s="530" t="s">
        <v>77</v>
      </c>
      <c r="I17" s="693" t="s">
        <v>7</v>
      </c>
      <c r="J17" s="525">
        <v>100</v>
      </c>
      <c r="K17" s="731">
        <v>100</v>
      </c>
      <c r="L17" s="537"/>
      <c r="M17" s="686">
        <v>6</v>
      </c>
      <c r="N17" s="686">
        <v>6</v>
      </c>
      <c r="O17" s="748">
        <f t="shared" si="1"/>
        <v>1</v>
      </c>
      <c r="P17" s="749">
        <f t="shared" si="2"/>
        <v>100</v>
      </c>
      <c r="Q17" s="750">
        <f t="shared" si="0"/>
        <v>1</v>
      </c>
      <c r="R17" s="691"/>
      <c r="W17" s="28"/>
      <c r="X17" s="28"/>
      <c r="Y17" s="28"/>
    </row>
    <row r="18" spans="1:25" ht="13.5" thickBot="1" x14ac:dyDescent="0.25">
      <c r="A18" s="526" t="s">
        <v>276</v>
      </c>
      <c r="B18" s="530" t="s">
        <v>827</v>
      </c>
      <c r="C18" s="526" t="s">
        <v>1602</v>
      </c>
      <c r="D18" s="530" t="s">
        <v>109</v>
      </c>
      <c r="E18" s="530" t="s">
        <v>844</v>
      </c>
      <c r="F18" s="532" t="s">
        <v>843</v>
      </c>
      <c r="G18" s="530" t="s">
        <v>784</v>
      </c>
      <c r="H18" s="530" t="s">
        <v>77</v>
      </c>
      <c r="I18" s="693" t="s">
        <v>7</v>
      </c>
      <c r="J18" s="525">
        <v>100</v>
      </c>
      <c r="K18" s="731">
        <v>100</v>
      </c>
      <c r="L18" s="537"/>
      <c r="M18" s="686">
        <v>6</v>
      </c>
      <c r="N18" s="686">
        <v>6</v>
      </c>
      <c r="O18" s="748">
        <f t="shared" si="1"/>
        <v>1</v>
      </c>
      <c r="P18" s="749">
        <f t="shared" si="2"/>
        <v>100</v>
      </c>
      <c r="Q18" s="750">
        <f t="shared" si="0"/>
        <v>1</v>
      </c>
      <c r="R18" s="691"/>
      <c r="W18" s="28"/>
      <c r="X18" s="28"/>
      <c r="Y18" s="28"/>
    </row>
    <row r="19" spans="1:25" ht="26.25" thickBot="1" x14ac:dyDescent="0.25">
      <c r="A19" s="526" t="s">
        <v>276</v>
      </c>
      <c r="B19" s="530" t="s">
        <v>827</v>
      </c>
      <c r="C19" s="526" t="s">
        <v>1602</v>
      </c>
      <c r="D19" s="530" t="s">
        <v>109</v>
      </c>
      <c r="E19" s="530" t="s">
        <v>845</v>
      </c>
      <c r="F19" s="532" t="s">
        <v>830</v>
      </c>
      <c r="G19" s="530" t="s">
        <v>790</v>
      </c>
      <c r="H19" s="530" t="s">
        <v>77</v>
      </c>
      <c r="I19" s="693" t="s">
        <v>7</v>
      </c>
      <c r="J19" s="525">
        <v>33</v>
      </c>
      <c r="K19" s="731">
        <v>33</v>
      </c>
      <c r="L19" s="537"/>
      <c r="M19" s="686">
        <v>6</v>
      </c>
      <c r="N19" s="686">
        <v>3</v>
      </c>
      <c r="O19" s="748">
        <f t="shared" si="1"/>
        <v>0.5</v>
      </c>
      <c r="P19" s="749">
        <f t="shared" si="2"/>
        <v>151.5151515151515</v>
      </c>
      <c r="Q19" s="750">
        <f t="shared" si="0"/>
        <v>1.5151515151515151</v>
      </c>
      <c r="R19" s="691"/>
      <c r="W19" s="28"/>
      <c r="X19" s="28"/>
      <c r="Y19" s="28"/>
    </row>
    <row r="20" spans="1:25" ht="26.25" thickBot="1" x14ac:dyDescent="0.25">
      <c r="A20" s="526" t="s">
        <v>276</v>
      </c>
      <c r="B20" s="530" t="s">
        <v>827</v>
      </c>
      <c r="C20" s="526" t="s">
        <v>1602</v>
      </c>
      <c r="D20" s="530" t="s">
        <v>109</v>
      </c>
      <c r="E20" s="530" t="s">
        <v>846</v>
      </c>
      <c r="F20" s="532" t="s">
        <v>830</v>
      </c>
      <c r="G20" s="530" t="s">
        <v>790</v>
      </c>
      <c r="H20" s="530" t="s">
        <v>77</v>
      </c>
      <c r="I20" s="693" t="s">
        <v>7</v>
      </c>
      <c r="J20" s="525">
        <v>33</v>
      </c>
      <c r="K20" s="731">
        <v>33</v>
      </c>
      <c r="L20" s="537"/>
      <c r="M20" s="686">
        <v>6</v>
      </c>
      <c r="N20" s="686">
        <v>3</v>
      </c>
      <c r="O20" s="748">
        <f t="shared" si="1"/>
        <v>0.5</v>
      </c>
      <c r="P20" s="749">
        <f t="shared" si="2"/>
        <v>151.5151515151515</v>
      </c>
      <c r="Q20" s="750">
        <f t="shared" si="0"/>
        <v>1.5151515151515151</v>
      </c>
      <c r="R20" s="691"/>
      <c r="W20" s="28"/>
      <c r="X20" s="28"/>
      <c r="Y20" s="28"/>
    </row>
    <row r="21" spans="1:25" ht="26.25" thickBot="1" x14ac:dyDescent="0.25">
      <c r="A21" s="526" t="s">
        <v>276</v>
      </c>
      <c r="B21" s="530" t="s">
        <v>827</v>
      </c>
      <c r="C21" s="526" t="s">
        <v>1602</v>
      </c>
      <c r="D21" s="530" t="s">
        <v>109</v>
      </c>
      <c r="E21" s="530" t="s">
        <v>847</v>
      </c>
      <c r="F21" s="532" t="s">
        <v>830</v>
      </c>
      <c r="G21" s="530" t="s">
        <v>790</v>
      </c>
      <c r="H21" s="530" t="s">
        <v>77</v>
      </c>
      <c r="I21" s="693" t="s">
        <v>7</v>
      </c>
      <c r="J21" s="525">
        <v>33</v>
      </c>
      <c r="K21" s="731">
        <v>33</v>
      </c>
      <c r="L21" s="537"/>
      <c r="M21" s="686">
        <v>6</v>
      </c>
      <c r="N21" s="686">
        <v>3</v>
      </c>
      <c r="O21" s="748">
        <f t="shared" si="1"/>
        <v>0.5</v>
      </c>
      <c r="P21" s="749">
        <f t="shared" si="2"/>
        <v>151.5151515151515</v>
      </c>
      <c r="Q21" s="750">
        <f t="shared" si="0"/>
        <v>1.5151515151515151</v>
      </c>
      <c r="R21" s="691"/>
      <c r="W21" s="28"/>
      <c r="X21" s="28"/>
      <c r="Y21" s="28"/>
    </row>
    <row r="22" spans="1:25" ht="26.25" thickBot="1" x14ac:dyDescent="0.25">
      <c r="A22" s="526" t="s">
        <v>276</v>
      </c>
      <c r="B22" s="530" t="s">
        <v>827</v>
      </c>
      <c r="C22" s="526" t="s">
        <v>1602</v>
      </c>
      <c r="D22" s="530" t="s">
        <v>109</v>
      </c>
      <c r="E22" s="530" t="s">
        <v>848</v>
      </c>
      <c r="F22" s="532" t="s">
        <v>830</v>
      </c>
      <c r="G22" s="530" t="s">
        <v>790</v>
      </c>
      <c r="H22" s="530" t="s">
        <v>77</v>
      </c>
      <c r="I22" s="693" t="s">
        <v>7</v>
      </c>
      <c r="J22" s="525">
        <v>33</v>
      </c>
      <c r="K22" s="731">
        <v>33</v>
      </c>
      <c r="L22" s="537"/>
      <c r="M22" s="686">
        <v>6</v>
      </c>
      <c r="N22" s="686">
        <v>3</v>
      </c>
      <c r="O22" s="748">
        <f t="shared" si="1"/>
        <v>0.5</v>
      </c>
      <c r="P22" s="749">
        <f t="shared" si="2"/>
        <v>151.5151515151515</v>
      </c>
      <c r="Q22" s="750">
        <f t="shared" si="0"/>
        <v>1.5151515151515151</v>
      </c>
      <c r="R22" s="691"/>
      <c r="W22" s="203"/>
      <c r="X22" s="203"/>
      <c r="Y22" s="203"/>
    </row>
    <row r="23" spans="1:25" ht="26.25" thickBot="1" x14ac:dyDescent="0.25">
      <c r="A23" s="526" t="s">
        <v>276</v>
      </c>
      <c r="B23" s="530" t="s">
        <v>827</v>
      </c>
      <c r="C23" s="526" t="s">
        <v>1602</v>
      </c>
      <c r="D23" s="530" t="s">
        <v>109</v>
      </c>
      <c r="E23" s="530" t="s">
        <v>849</v>
      </c>
      <c r="F23" s="532" t="s">
        <v>830</v>
      </c>
      <c r="G23" s="530" t="s">
        <v>790</v>
      </c>
      <c r="H23" s="530" t="s">
        <v>77</v>
      </c>
      <c r="I23" s="693" t="s">
        <v>7</v>
      </c>
      <c r="J23" s="525">
        <v>33</v>
      </c>
      <c r="K23" s="731">
        <v>33</v>
      </c>
      <c r="L23" s="537"/>
      <c r="M23" s="686">
        <v>6</v>
      </c>
      <c r="N23" s="686">
        <v>3</v>
      </c>
      <c r="O23" s="748">
        <f t="shared" si="1"/>
        <v>0.5</v>
      </c>
      <c r="P23" s="749">
        <f t="shared" si="2"/>
        <v>151.5151515151515</v>
      </c>
      <c r="Q23" s="750">
        <f t="shared" si="0"/>
        <v>1.5151515151515151</v>
      </c>
      <c r="R23" s="691"/>
      <c r="W23" s="203"/>
      <c r="X23" s="203"/>
      <c r="Y23" s="203"/>
    </row>
    <row r="24" spans="1:25" ht="26.25" thickBot="1" x14ac:dyDescent="0.25">
      <c r="A24" s="526" t="s">
        <v>276</v>
      </c>
      <c r="B24" s="530" t="s">
        <v>827</v>
      </c>
      <c r="C24" s="526" t="s">
        <v>1602</v>
      </c>
      <c r="D24" s="530" t="s">
        <v>109</v>
      </c>
      <c r="E24" s="530" t="s">
        <v>850</v>
      </c>
      <c r="F24" s="532" t="s">
        <v>830</v>
      </c>
      <c r="G24" s="530" t="s">
        <v>790</v>
      </c>
      <c r="H24" s="530" t="s">
        <v>77</v>
      </c>
      <c r="I24" s="693" t="s">
        <v>7</v>
      </c>
      <c r="J24" s="525">
        <v>33</v>
      </c>
      <c r="K24" s="731">
        <v>33</v>
      </c>
      <c r="L24" s="537"/>
      <c r="M24" s="686">
        <v>6</v>
      </c>
      <c r="N24" s="686">
        <v>3</v>
      </c>
      <c r="O24" s="748">
        <f t="shared" si="1"/>
        <v>0.5</v>
      </c>
      <c r="P24" s="749">
        <f t="shared" si="2"/>
        <v>151.5151515151515</v>
      </c>
      <c r="Q24" s="750">
        <f t="shared" si="0"/>
        <v>1.5151515151515151</v>
      </c>
      <c r="R24" s="691"/>
      <c r="W24" s="203"/>
      <c r="X24" s="203"/>
      <c r="Y24" s="203"/>
    </row>
    <row r="25" spans="1:25" ht="13.5" thickBot="1" x14ac:dyDescent="0.25">
      <c r="A25" s="526" t="s">
        <v>276</v>
      </c>
      <c r="B25" s="530" t="s">
        <v>827</v>
      </c>
      <c r="C25" s="526" t="s">
        <v>1602</v>
      </c>
      <c r="D25" s="530" t="s">
        <v>109</v>
      </c>
      <c r="E25" s="530" t="s">
        <v>851</v>
      </c>
      <c r="F25" s="532" t="s">
        <v>834</v>
      </c>
      <c r="G25" s="530" t="s">
        <v>784</v>
      </c>
      <c r="H25" s="530" t="s">
        <v>77</v>
      </c>
      <c r="I25" s="693" t="s">
        <v>7</v>
      </c>
      <c r="J25" s="525">
        <v>100</v>
      </c>
      <c r="K25" s="731">
        <v>100</v>
      </c>
      <c r="L25" s="537"/>
      <c r="M25" s="686">
        <v>6</v>
      </c>
      <c r="N25" s="686">
        <v>5</v>
      </c>
      <c r="O25" s="748">
        <f t="shared" si="1"/>
        <v>0.83333333333333337</v>
      </c>
      <c r="P25" s="749">
        <f t="shared" si="2"/>
        <v>83.333333333333343</v>
      </c>
      <c r="Q25" s="750">
        <f t="shared" si="0"/>
        <v>0.83333333333333337</v>
      </c>
      <c r="R25" s="691"/>
      <c r="W25" s="203"/>
      <c r="X25" s="203"/>
      <c r="Y25" s="203"/>
    </row>
    <row r="26" spans="1:25" ht="13.5" thickBot="1" x14ac:dyDescent="0.25">
      <c r="A26" s="526" t="s">
        <v>276</v>
      </c>
      <c r="B26" s="530" t="s">
        <v>827</v>
      </c>
      <c r="C26" s="526" t="s">
        <v>1602</v>
      </c>
      <c r="D26" s="530" t="s">
        <v>109</v>
      </c>
      <c r="E26" s="530" t="s">
        <v>852</v>
      </c>
      <c r="F26" s="532" t="s">
        <v>834</v>
      </c>
      <c r="G26" s="530" t="s">
        <v>784</v>
      </c>
      <c r="H26" s="530" t="s">
        <v>77</v>
      </c>
      <c r="I26" s="693" t="s">
        <v>7</v>
      </c>
      <c r="J26" s="525">
        <v>100</v>
      </c>
      <c r="K26" s="731">
        <v>100</v>
      </c>
      <c r="L26" s="537"/>
      <c r="M26" s="686">
        <v>6</v>
      </c>
      <c r="N26" s="686">
        <v>5</v>
      </c>
      <c r="O26" s="748">
        <f t="shared" si="1"/>
        <v>0.83333333333333337</v>
      </c>
      <c r="P26" s="749">
        <f t="shared" si="2"/>
        <v>83.333333333333343</v>
      </c>
      <c r="Q26" s="750">
        <f t="shared" si="0"/>
        <v>0.83333333333333337</v>
      </c>
      <c r="R26" s="691"/>
    </row>
    <row r="27" spans="1:25" ht="26.25" thickBot="1" x14ac:dyDescent="0.25">
      <c r="A27" s="526" t="s">
        <v>276</v>
      </c>
      <c r="B27" s="530" t="s">
        <v>827</v>
      </c>
      <c r="C27" s="526" t="s">
        <v>1602</v>
      </c>
      <c r="D27" s="530" t="s">
        <v>109</v>
      </c>
      <c r="E27" s="530" t="s">
        <v>853</v>
      </c>
      <c r="F27" s="532" t="s">
        <v>834</v>
      </c>
      <c r="G27" s="530" t="s">
        <v>784</v>
      </c>
      <c r="H27" s="530" t="s">
        <v>77</v>
      </c>
      <c r="I27" s="693" t="s">
        <v>7</v>
      </c>
      <c r="J27" s="525">
        <v>100</v>
      </c>
      <c r="K27" s="731">
        <v>100</v>
      </c>
      <c r="L27" s="537"/>
      <c r="M27" s="686">
        <v>6</v>
      </c>
      <c r="N27" s="686">
        <v>5</v>
      </c>
      <c r="O27" s="748">
        <f t="shared" si="1"/>
        <v>0.83333333333333337</v>
      </c>
      <c r="P27" s="749">
        <f t="shared" si="2"/>
        <v>83.333333333333343</v>
      </c>
      <c r="Q27" s="750">
        <f t="shared" si="0"/>
        <v>0.83333333333333337</v>
      </c>
      <c r="R27" s="691"/>
    </row>
    <row r="28" spans="1:25" ht="26.25" thickBot="1" x14ac:dyDescent="0.25">
      <c r="A28" s="526" t="s">
        <v>276</v>
      </c>
      <c r="B28" s="530" t="s">
        <v>827</v>
      </c>
      <c r="C28" s="526" t="s">
        <v>1602</v>
      </c>
      <c r="D28" s="530" t="s">
        <v>109</v>
      </c>
      <c r="E28" s="530" t="s">
        <v>854</v>
      </c>
      <c r="F28" s="528" t="s">
        <v>829</v>
      </c>
      <c r="G28" s="530" t="s">
        <v>784</v>
      </c>
      <c r="H28" s="530" t="s">
        <v>77</v>
      </c>
      <c r="I28" s="693" t="s">
        <v>7</v>
      </c>
      <c r="J28" s="525">
        <v>100</v>
      </c>
      <c r="K28" s="731">
        <v>100</v>
      </c>
      <c r="L28" s="537" t="s">
        <v>880</v>
      </c>
      <c r="M28" s="686">
        <v>6</v>
      </c>
      <c r="N28" s="686">
        <v>5</v>
      </c>
      <c r="O28" s="748">
        <f t="shared" si="1"/>
        <v>0.83333333333333337</v>
      </c>
      <c r="P28" s="749">
        <f t="shared" si="2"/>
        <v>83.333333333333343</v>
      </c>
      <c r="Q28" s="750">
        <f t="shared" si="0"/>
        <v>0.83333333333333337</v>
      </c>
      <c r="R28" s="691"/>
    </row>
    <row r="29" spans="1:25" ht="26.25" thickBot="1" x14ac:dyDescent="0.25">
      <c r="A29" s="526" t="s">
        <v>276</v>
      </c>
      <c r="B29" s="530" t="s">
        <v>827</v>
      </c>
      <c r="C29" s="526" t="s">
        <v>1602</v>
      </c>
      <c r="D29" s="530" t="s">
        <v>109</v>
      </c>
      <c r="E29" s="530" t="s">
        <v>854</v>
      </c>
      <c r="F29" s="528" t="s">
        <v>830</v>
      </c>
      <c r="G29" s="530" t="s">
        <v>790</v>
      </c>
      <c r="H29" s="530" t="s">
        <v>77</v>
      </c>
      <c r="I29" s="693" t="s">
        <v>7</v>
      </c>
      <c r="J29" s="525">
        <v>33</v>
      </c>
      <c r="K29" s="731">
        <v>33</v>
      </c>
      <c r="L29" s="537"/>
      <c r="M29" s="686">
        <v>6</v>
      </c>
      <c r="N29" s="686">
        <v>3</v>
      </c>
      <c r="O29" s="748">
        <f t="shared" si="1"/>
        <v>0.5</v>
      </c>
      <c r="P29" s="749">
        <f t="shared" si="2"/>
        <v>151.5151515151515</v>
      </c>
      <c r="Q29" s="750">
        <f t="shared" si="0"/>
        <v>1.5151515151515151</v>
      </c>
      <c r="R29" s="691"/>
    </row>
    <row r="30" spans="1:25" ht="26.25" thickBot="1" x14ac:dyDescent="0.25">
      <c r="A30" s="526" t="s">
        <v>276</v>
      </c>
      <c r="B30" s="530" t="s">
        <v>827</v>
      </c>
      <c r="C30" s="526" t="s">
        <v>1602</v>
      </c>
      <c r="D30" s="530" t="s">
        <v>109</v>
      </c>
      <c r="E30" s="530" t="s">
        <v>855</v>
      </c>
      <c r="F30" s="532" t="s">
        <v>834</v>
      </c>
      <c r="G30" s="530" t="s">
        <v>790</v>
      </c>
      <c r="H30" s="530" t="s">
        <v>77</v>
      </c>
      <c r="I30" s="693" t="s">
        <v>7</v>
      </c>
      <c r="J30" s="525">
        <v>25</v>
      </c>
      <c r="K30" s="731">
        <v>25</v>
      </c>
      <c r="L30" s="537"/>
      <c r="M30" s="686">
        <v>6</v>
      </c>
      <c r="N30" s="686">
        <v>3</v>
      </c>
      <c r="O30" s="748">
        <f t="shared" si="1"/>
        <v>0.5</v>
      </c>
      <c r="P30" s="749">
        <f t="shared" si="2"/>
        <v>200</v>
      </c>
      <c r="Q30" s="750">
        <f t="shared" si="0"/>
        <v>2</v>
      </c>
      <c r="R30" s="691"/>
    </row>
    <row r="31" spans="1:25" ht="39" thickBot="1" x14ac:dyDescent="0.25">
      <c r="A31" s="526" t="s">
        <v>276</v>
      </c>
      <c r="B31" s="530" t="s">
        <v>827</v>
      </c>
      <c r="C31" s="526" t="s">
        <v>1602</v>
      </c>
      <c r="D31" s="530" t="s">
        <v>109</v>
      </c>
      <c r="E31" s="530" t="s">
        <v>856</v>
      </c>
      <c r="F31" s="532" t="s">
        <v>834</v>
      </c>
      <c r="G31" s="530" t="s">
        <v>790</v>
      </c>
      <c r="H31" s="530" t="s">
        <v>77</v>
      </c>
      <c r="I31" s="693" t="s">
        <v>7</v>
      </c>
      <c r="J31" s="525">
        <v>25</v>
      </c>
      <c r="K31" s="731">
        <v>25</v>
      </c>
      <c r="L31" s="537"/>
      <c r="M31" s="686">
        <v>6</v>
      </c>
      <c r="N31" s="686">
        <v>3</v>
      </c>
      <c r="O31" s="748">
        <f t="shared" si="1"/>
        <v>0.5</v>
      </c>
      <c r="P31" s="749">
        <f t="shared" si="2"/>
        <v>200</v>
      </c>
      <c r="Q31" s="750">
        <f t="shared" si="0"/>
        <v>2</v>
      </c>
      <c r="R31" s="691"/>
    </row>
    <row r="32" spans="1:25" ht="39" thickBot="1" x14ac:dyDescent="0.25">
      <c r="A32" s="526" t="s">
        <v>276</v>
      </c>
      <c r="B32" s="530" t="s">
        <v>827</v>
      </c>
      <c r="C32" s="526" t="s">
        <v>1602</v>
      </c>
      <c r="D32" s="530" t="s">
        <v>109</v>
      </c>
      <c r="E32" s="530" t="s">
        <v>857</v>
      </c>
      <c r="F32" s="532" t="s">
        <v>834</v>
      </c>
      <c r="G32" s="530" t="s">
        <v>784</v>
      </c>
      <c r="H32" s="530" t="s">
        <v>77</v>
      </c>
      <c r="I32" s="693" t="s">
        <v>7</v>
      </c>
      <c r="J32" s="525">
        <v>100</v>
      </c>
      <c r="K32" s="731">
        <v>100</v>
      </c>
      <c r="L32" s="537"/>
      <c r="M32" s="686">
        <v>6</v>
      </c>
      <c r="N32" s="686">
        <v>5</v>
      </c>
      <c r="O32" s="748">
        <f t="shared" si="1"/>
        <v>0.83333333333333337</v>
      </c>
      <c r="P32" s="749">
        <f t="shared" si="2"/>
        <v>83.333333333333343</v>
      </c>
      <c r="Q32" s="750">
        <f t="shared" si="0"/>
        <v>0.83333333333333337</v>
      </c>
      <c r="R32" s="691"/>
    </row>
    <row r="33" spans="1:18" ht="13.5" thickBot="1" x14ac:dyDescent="0.25">
      <c r="A33" s="526" t="s">
        <v>276</v>
      </c>
      <c r="B33" s="530" t="s">
        <v>827</v>
      </c>
      <c r="C33" s="526" t="s">
        <v>1602</v>
      </c>
      <c r="D33" s="530" t="s">
        <v>808</v>
      </c>
      <c r="E33" s="530" t="s">
        <v>858</v>
      </c>
      <c r="F33" s="532" t="s">
        <v>834</v>
      </c>
      <c r="G33" s="530" t="s">
        <v>784</v>
      </c>
      <c r="H33" s="530" t="s">
        <v>77</v>
      </c>
      <c r="I33" s="693" t="s">
        <v>7</v>
      </c>
      <c r="J33" s="525">
        <v>100</v>
      </c>
      <c r="K33" s="731">
        <v>100</v>
      </c>
      <c r="L33" s="537"/>
      <c r="M33" s="686">
        <v>6</v>
      </c>
      <c r="N33" s="686">
        <v>5</v>
      </c>
      <c r="O33" s="748">
        <f t="shared" si="1"/>
        <v>0.83333333333333337</v>
      </c>
      <c r="P33" s="749">
        <f t="shared" si="2"/>
        <v>83.333333333333343</v>
      </c>
      <c r="Q33" s="750">
        <f t="shared" si="0"/>
        <v>0.83333333333333337</v>
      </c>
      <c r="R33" s="691"/>
    </row>
    <row r="34" spans="1:18" ht="13.5" thickBot="1" x14ac:dyDescent="0.25">
      <c r="A34" s="526" t="s">
        <v>276</v>
      </c>
      <c r="B34" s="530" t="s">
        <v>827</v>
      </c>
      <c r="C34" s="526" t="s">
        <v>1602</v>
      </c>
      <c r="D34" s="530" t="s">
        <v>808</v>
      </c>
      <c r="E34" s="530" t="s">
        <v>859</v>
      </c>
      <c r="F34" s="532" t="s">
        <v>834</v>
      </c>
      <c r="G34" s="530" t="s">
        <v>784</v>
      </c>
      <c r="H34" s="530" t="s">
        <v>77</v>
      </c>
      <c r="I34" s="693" t="s">
        <v>7</v>
      </c>
      <c r="J34" s="525">
        <v>100</v>
      </c>
      <c r="K34" s="731">
        <v>100</v>
      </c>
      <c r="L34" s="537"/>
      <c r="M34" s="686">
        <v>6</v>
      </c>
      <c r="N34" s="686">
        <v>5</v>
      </c>
      <c r="O34" s="748">
        <f t="shared" si="1"/>
        <v>0.83333333333333337</v>
      </c>
      <c r="P34" s="749">
        <f t="shared" si="2"/>
        <v>83.333333333333343</v>
      </c>
      <c r="Q34" s="750">
        <f t="shared" si="0"/>
        <v>0.83333333333333337</v>
      </c>
      <c r="R34" s="691"/>
    </row>
    <row r="35" spans="1:18" ht="26.25" thickBot="1" x14ac:dyDescent="0.25">
      <c r="A35" s="526" t="s">
        <v>276</v>
      </c>
      <c r="B35" s="530" t="s">
        <v>827</v>
      </c>
      <c r="C35" s="526" t="s">
        <v>1602</v>
      </c>
      <c r="D35" s="530" t="s">
        <v>808</v>
      </c>
      <c r="E35" s="530" t="s">
        <v>860</v>
      </c>
      <c r="F35" s="532" t="s">
        <v>834</v>
      </c>
      <c r="G35" s="530" t="s">
        <v>790</v>
      </c>
      <c r="H35" s="530" t="s">
        <v>77</v>
      </c>
      <c r="I35" s="693" t="s">
        <v>7</v>
      </c>
      <c r="J35" s="525">
        <v>25</v>
      </c>
      <c r="K35" s="731">
        <v>25</v>
      </c>
      <c r="L35" s="537"/>
      <c r="M35" s="686">
        <v>6</v>
      </c>
      <c r="N35" s="686">
        <v>3</v>
      </c>
      <c r="O35" s="748">
        <f t="shared" si="1"/>
        <v>0.5</v>
      </c>
      <c r="P35" s="749">
        <f t="shared" si="2"/>
        <v>200</v>
      </c>
      <c r="Q35" s="750">
        <f t="shared" si="0"/>
        <v>2</v>
      </c>
      <c r="R35" s="691"/>
    </row>
    <row r="36" spans="1:18" ht="26.25" thickBot="1" x14ac:dyDescent="0.25">
      <c r="A36" s="526" t="s">
        <v>276</v>
      </c>
      <c r="B36" s="530" t="s">
        <v>827</v>
      </c>
      <c r="C36" s="526" t="s">
        <v>1602</v>
      </c>
      <c r="D36" s="530" t="s">
        <v>808</v>
      </c>
      <c r="E36" s="530" t="s">
        <v>861</v>
      </c>
      <c r="F36" s="532" t="s">
        <v>834</v>
      </c>
      <c r="G36" s="530" t="s">
        <v>790</v>
      </c>
      <c r="H36" s="530" t="s">
        <v>77</v>
      </c>
      <c r="I36" s="693" t="s">
        <v>7</v>
      </c>
      <c r="J36" s="525">
        <v>25</v>
      </c>
      <c r="K36" s="731">
        <v>25</v>
      </c>
      <c r="L36" s="537"/>
      <c r="M36" s="686">
        <v>6</v>
      </c>
      <c r="N36" s="686">
        <v>3</v>
      </c>
      <c r="O36" s="748">
        <f t="shared" si="1"/>
        <v>0.5</v>
      </c>
      <c r="P36" s="749">
        <f t="shared" si="2"/>
        <v>200</v>
      </c>
      <c r="Q36" s="750">
        <f t="shared" si="0"/>
        <v>2</v>
      </c>
      <c r="R36" s="691"/>
    </row>
    <row r="37" spans="1:18" ht="26.25" thickBot="1" x14ac:dyDescent="0.25">
      <c r="A37" s="526" t="s">
        <v>276</v>
      </c>
      <c r="B37" s="530" t="s">
        <v>827</v>
      </c>
      <c r="C37" s="526" t="s">
        <v>1602</v>
      </c>
      <c r="D37" s="530" t="s">
        <v>808</v>
      </c>
      <c r="E37" s="530" t="s">
        <v>862</v>
      </c>
      <c r="F37" s="532" t="s">
        <v>834</v>
      </c>
      <c r="G37" s="530" t="s">
        <v>790</v>
      </c>
      <c r="H37" s="530" t="s">
        <v>77</v>
      </c>
      <c r="I37" s="693" t="s">
        <v>7</v>
      </c>
      <c r="J37" s="525">
        <v>25</v>
      </c>
      <c r="K37" s="731">
        <v>25</v>
      </c>
      <c r="L37" s="537"/>
      <c r="M37" s="686">
        <v>6</v>
      </c>
      <c r="N37" s="686">
        <v>3</v>
      </c>
      <c r="O37" s="748">
        <f t="shared" si="1"/>
        <v>0.5</v>
      </c>
      <c r="P37" s="749">
        <f t="shared" si="2"/>
        <v>200</v>
      </c>
      <c r="Q37" s="750">
        <f t="shared" si="0"/>
        <v>2</v>
      </c>
      <c r="R37" s="691"/>
    </row>
    <row r="38" spans="1:18" ht="26.25" thickBot="1" x14ac:dyDescent="0.25">
      <c r="A38" s="526" t="s">
        <v>276</v>
      </c>
      <c r="B38" s="530" t="s">
        <v>827</v>
      </c>
      <c r="C38" s="526" t="s">
        <v>1602</v>
      </c>
      <c r="D38" s="530" t="s">
        <v>808</v>
      </c>
      <c r="E38" s="530" t="s">
        <v>863</v>
      </c>
      <c r="F38" s="532" t="s">
        <v>834</v>
      </c>
      <c r="G38" s="530" t="s">
        <v>790</v>
      </c>
      <c r="H38" s="530" t="s">
        <v>77</v>
      </c>
      <c r="I38" s="693" t="s">
        <v>7</v>
      </c>
      <c r="J38" s="525">
        <v>25</v>
      </c>
      <c r="K38" s="731">
        <v>25</v>
      </c>
      <c r="L38" s="537"/>
      <c r="M38" s="686">
        <v>6</v>
      </c>
      <c r="N38" s="686">
        <v>3</v>
      </c>
      <c r="O38" s="748">
        <f t="shared" si="1"/>
        <v>0.5</v>
      </c>
      <c r="P38" s="749">
        <f t="shared" si="2"/>
        <v>200</v>
      </c>
      <c r="Q38" s="750">
        <f t="shared" si="0"/>
        <v>2</v>
      </c>
      <c r="R38" s="691"/>
    </row>
    <row r="39" spans="1:18" ht="26.25" thickBot="1" x14ac:dyDescent="0.25">
      <c r="A39" s="526" t="s">
        <v>276</v>
      </c>
      <c r="B39" s="530" t="s">
        <v>827</v>
      </c>
      <c r="C39" s="526" t="s">
        <v>1602</v>
      </c>
      <c r="D39" s="530" t="s">
        <v>808</v>
      </c>
      <c r="E39" s="530" t="s">
        <v>864</v>
      </c>
      <c r="F39" s="528" t="s">
        <v>834</v>
      </c>
      <c r="G39" s="530" t="s">
        <v>784</v>
      </c>
      <c r="H39" s="530" t="s">
        <v>77</v>
      </c>
      <c r="I39" s="693" t="s">
        <v>7</v>
      </c>
      <c r="J39" s="525">
        <v>100</v>
      </c>
      <c r="K39" s="731">
        <v>100</v>
      </c>
      <c r="L39" s="537"/>
      <c r="M39" s="686">
        <v>6</v>
      </c>
      <c r="N39" s="686">
        <v>5</v>
      </c>
      <c r="O39" s="748">
        <f t="shared" si="1"/>
        <v>0.83333333333333337</v>
      </c>
      <c r="P39" s="749">
        <f t="shared" si="2"/>
        <v>83.333333333333343</v>
      </c>
      <c r="Q39" s="750">
        <f t="shared" si="0"/>
        <v>0.83333333333333337</v>
      </c>
      <c r="R39" s="691"/>
    </row>
    <row r="40" spans="1:18" ht="26.25" thickBot="1" x14ac:dyDescent="0.25">
      <c r="A40" s="526" t="s">
        <v>276</v>
      </c>
      <c r="B40" s="530" t="s">
        <v>827</v>
      </c>
      <c r="C40" s="526" t="s">
        <v>1602</v>
      </c>
      <c r="D40" s="530" t="s">
        <v>808</v>
      </c>
      <c r="E40" s="530" t="s">
        <v>864</v>
      </c>
      <c r="F40" s="528" t="s">
        <v>830</v>
      </c>
      <c r="G40" s="530" t="s">
        <v>865</v>
      </c>
      <c r="H40" s="530" t="s">
        <v>77</v>
      </c>
      <c r="I40" s="693" t="s">
        <v>7</v>
      </c>
      <c r="J40" s="525">
        <v>33</v>
      </c>
      <c r="K40" s="731">
        <v>33</v>
      </c>
      <c r="L40" s="537"/>
      <c r="M40" s="686">
        <v>6</v>
      </c>
      <c r="N40" s="686">
        <v>3</v>
      </c>
      <c r="O40" s="748">
        <f t="shared" si="1"/>
        <v>0.5</v>
      </c>
      <c r="P40" s="749">
        <f t="shared" si="2"/>
        <v>151.5151515151515</v>
      </c>
      <c r="Q40" s="750">
        <f t="shared" si="0"/>
        <v>1.5151515151515151</v>
      </c>
      <c r="R40" s="691"/>
    </row>
    <row r="41" spans="1:18" ht="26.25" thickBot="1" x14ac:dyDescent="0.25">
      <c r="A41" s="526" t="s">
        <v>276</v>
      </c>
      <c r="B41" s="530" t="s">
        <v>827</v>
      </c>
      <c r="C41" s="526" t="s">
        <v>1602</v>
      </c>
      <c r="D41" s="530" t="s">
        <v>808</v>
      </c>
      <c r="E41" s="530" t="s">
        <v>815</v>
      </c>
      <c r="F41" s="528" t="s">
        <v>834</v>
      </c>
      <c r="G41" s="530" t="s">
        <v>866</v>
      </c>
      <c r="H41" s="530" t="s">
        <v>77</v>
      </c>
      <c r="I41" s="693" t="s">
        <v>7</v>
      </c>
      <c r="J41" s="525">
        <v>100</v>
      </c>
      <c r="K41" s="731">
        <v>100</v>
      </c>
      <c r="L41" s="537" t="s">
        <v>880</v>
      </c>
      <c r="M41" s="686">
        <v>6</v>
      </c>
      <c r="N41" s="686">
        <v>5</v>
      </c>
      <c r="O41" s="748">
        <f t="shared" si="1"/>
        <v>0.83333333333333337</v>
      </c>
      <c r="P41" s="749">
        <f t="shared" si="2"/>
        <v>83.333333333333343</v>
      </c>
      <c r="Q41" s="750">
        <f t="shared" si="0"/>
        <v>0.83333333333333337</v>
      </c>
      <c r="R41" s="691"/>
    </row>
    <row r="42" spans="1:18" ht="13.5" thickBot="1" x14ac:dyDescent="0.25">
      <c r="A42" s="526" t="s">
        <v>276</v>
      </c>
      <c r="B42" s="530" t="s">
        <v>827</v>
      </c>
      <c r="C42" s="526" t="s">
        <v>1602</v>
      </c>
      <c r="D42" s="530" t="s">
        <v>808</v>
      </c>
      <c r="E42" s="530" t="s">
        <v>815</v>
      </c>
      <c r="F42" s="528" t="s">
        <v>830</v>
      </c>
      <c r="G42" s="530" t="s">
        <v>865</v>
      </c>
      <c r="H42" s="530" t="s">
        <v>77</v>
      </c>
      <c r="I42" s="693" t="s">
        <v>7</v>
      </c>
      <c r="J42" s="525">
        <v>33</v>
      </c>
      <c r="K42" s="731">
        <v>33</v>
      </c>
      <c r="L42" s="537"/>
      <c r="M42" s="686">
        <v>6</v>
      </c>
      <c r="N42" s="686">
        <v>3</v>
      </c>
      <c r="O42" s="748">
        <f t="shared" si="1"/>
        <v>0.5</v>
      </c>
      <c r="P42" s="749">
        <f t="shared" si="2"/>
        <v>151.5151515151515</v>
      </c>
      <c r="Q42" s="750">
        <f t="shared" si="0"/>
        <v>1.5151515151515151</v>
      </c>
      <c r="R42" s="691"/>
    </row>
    <row r="43" spans="1:18" ht="26.25" thickBot="1" x14ac:dyDescent="0.25">
      <c r="A43" s="529" t="s">
        <v>276</v>
      </c>
      <c r="B43" s="534" t="s">
        <v>871</v>
      </c>
      <c r="C43" s="526" t="s">
        <v>1602</v>
      </c>
      <c r="D43" s="534" t="s">
        <v>109</v>
      </c>
      <c r="E43" s="534" t="s">
        <v>828</v>
      </c>
      <c r="F43" s="527" t="s">
        <v>829</v>
      </c>
      <c r="G43" s="534" t="s">
        <v>784</v>
      </c>
      <c r="H43" s="534" t="s">
        <v>77</v>
      </c>
      <c r="I43" s="693" t="s">
        <v>7</v>
      </c>
      <c r="J43" s="535">
        <v>100</v>
      </c>
      <c r="K43" s="732">
        <v>100</v>
      </c>
      <c r="L43" s="538" t="s">
        <v>880</v>
      </c>
      <c r="M43" s="686">
        <v>22</v>
      </c>
      <c r="N43" s="686">
        <v>20</v>
      </c>
      <c r="O43" s="748">
        <f t="shared" si="1"/>
        <v>0.90909090909090906</v>
      </c>
      <c r="P43" s="749">
        <f t="shared" si="2"/>
        <v>90.909090909090907</v>
      </c>
      <c r="Q43" s="750">
        <f t="shared" si="0"/>
        <v>0.90909090909090906</v>
      </c>
      <c r="R43" s="691"/>
    </row>
    <row r="44" spans="1:18" ht="13.5" thickBot="1" x14ac:dyDescent="0.25">
      <c r="A44" s="529" t="s">
        <v>276</v>
      </c>
      <c r="B44" s="534" t="s">
        <v>871</v>
      </c>
      <c r="C44" s="526" t="s">
        <v>1602</v>
      </c>
      <c r="D44" s="534" t="s">
        <v>109</v>
      </c>
      <c r="E44" s="534" t="s">
        <v>828</v>
      </c>
      <c r="F44" s="527" t="s">
        <v>830</v>
      </c>
      <c r="G44" s="534" t="s">
        <v>831</v>
      </c>
      <c r="H44" s="534" t="s">
        <v>77</v>
      </c>
      <c r="I44" s="693" t="s">
        <v>7</v>
      </c>
      <c r="J44" s="535">
        <v>33</v>
      </c>
      <c r="K44" s="732">
        <v>33</v>
      </c>
      <c r="L44" s="538"/>
      <c r="M44" s="686">
        <v>22</v>
      </c>
      <c r="N44" s="686">
        <v>14</v>
      </c>
      <c r="O44" s="748">
        <f t="shared" si="1"/>
        <v>0.63636363636363635</v>
      </c>
      <c r="P44" s="749">
        <f t="shared" si="2"/>
        <v>192.83746556473827</v>
      </c>
      <c r="Q44" s="750">
        <f t="shared" si="0"/>
        <v>1.9283746556473826</v>
      </c>
      <c r="R44" s="691"/>
    </row>
    <row r="45" spans="1:18" ht="26.25" thickBot="1" x14ac:dyDescent="0.25">
      <c r="A45" s="529" t="s">
        <v>276</v>
      </c>
      <c r="B45" s="534" t="s">
        <v>871</v>
      </c>
      <c r="C45" s="526" t="s">
        <v>1602</v>
      </c>
      <c r="D45" s="534" t="s">
        <v>109</v>
      </c>
      <c r="E45" s="534" t="s">
        <v>832</v>
      </c>
      <c r="F45" s="527" t="s">
        <v>829</v>
      </c>
      <c r="G45" s="534" t="s">
        <v>790</v>
      </c>
      <c r="H45" s="534" t="s">
        <v>77</v>
      </c>
      <c r="I45" s="693" t="s">
        <v>7</v>
      </c>
      <c r="J45" s="535">
        <v>25</v>
      </c>
      <c r="K45" s="732">
        <v>25</v>
      </c>
      <c r="L45" s="538"/>
      <c r="M45" s="686">
        <v>22</v>
      </c>
      <c r="N45" s="686">
        <v>14</v>
      </c>
      <c r="O45" s="748">
        <f t="shared" si="1"/>
        <v>0.63636363636363635</v>
      </c>
      <c r="P45" s="749">
        <f t="shared" si="2"/>
        <v>254.54545454545453</v>
      </c>
      <c r="Q45" s="750">
        <f t="shared" si="0"/>
        <v>2.5454545454545454</v>
      </c>
      <c r="R45" s="691"/>
    </row>
    <row r="46" spans="1:18" ht="26.25" thickBot="1" x14ac:dyDescent="0.25">
      <c r="A46" s="529" t="s">
        <v>276</v>
      </c>
      <c r="B46" s="534" t="s">
        <v>871</v>
      </c>
      <c r="C46" s="526" t="s">
        <v>1602</v>
      </c>
      <c r="D46" s="534" t="s">
        <v>109</v>
      </c>
      <c r="E46" s="534" t="s">
        <v>832</v>
      </c>
      <c r="F46" s="527" t="s">
        <v>830</v>
      </c>
      <c r="G46" s="534" t="s">
        <v>790</v>
      </c>
      <c r="H46" s="534" t="s">
        <v>77</v>
      </c>
      <c r="I46" s="693" t="s">
        <v>7</v>
      </c>
      <c r="J46" s="535">
        <v>25</v>
      </c>
      <c r="K46" s="732">
        <v>25</v>
      </c>
      <c r="L46" s="538"/>
      <c r="M46" s="686">
        <v>22</v>
      </c>
      <c r="N46" s="686">
        <v>14</v>
      </c>
      <c r="O46" s="748">
        <f t="shared" si="1"/>
        <v>0.63636363636363635</v>
      </c>
      <c r="P46" s="749">
        <f t="shared" si="2"/>
        <v>254.54545454545453</v>
      </c>
      <c r="Q46" s="750">
        <f t="shared" si="0"/>
        <v>2.5454545454545454</v>
      </c>
      <c r="R46" s="691"/>
    </row>
    <row r="47" spans="1:18" ht="39" thickBot="1" x14ac:dyDescent="0.25">
      <c r="A47" s="529" t="s">
        <v>276</v>
      </c>
      <c r="B47" s="534" t="s">
        <v>871</v>
      </c>
      <c r="C47" s="526" t="s">
        <v>1602</v>
      </c>
      <c r="D47" s="534" t="s">
        <v>109</v>
      </c>
      <c r="E47" s="534" t="s">
        <v>833</v>
      </c>
      <c r="F47" s="527" t="s">
        <v>834</v>
      </c>
      <c r="G47" s="534" t="s">
        <v>790</v>
      </c>
      <c r="H47" s="534" t="s">
        <v>77</v>
      </c>
      <c r="I47" s="693" t="s">
        <v>7</v>
      </c>
      <c r="J47" s="535">
        <v>25</v>
      </c>
      <c r="K47" s="732">
        <v>25</v>
      </c>
      <c r="L47" s="538" t="s">
        <v>881</v>
      </c>
      <c r="M47" s="686">
        <v>22</v>
      </c>
      <c r="N47" s="686">
        <v>14</v>
      </c>
      <c r="O47" s="748">
        <f t="shared" si="1"/>
        <v>0.63636363636363635</v>
      </c>
      <c r="P47" s="749">
        <f t="shared" si="2"/>
        <v>254.54545454545453</v>
      </c>
      <c r="Q47" s="750">
        <f t="shared" si="0"/>
        <v>2.5454545454545454</v>
      </c>
      <c r="R47" s="691"/>
    </row>
    <row r="48" spans="1:18" ht="26.25" thickBot="1" x14ac:dyDescent="0.25">
      <c r="A48" s="529" t="s">
        <v>276</v>
      </c>
      <c r="B48" s="534" t="s">
        <v>871</v>
      </c>
      <c r="C48" s="526" t="s">
        <v>1602</v>
      </c>
      <c r="D48" s="534" t="s">
        <v>109</v>
      </c>
      <c r="E48" s="534" t="s">
        <v>833</v>
      </c>
      <c r="F48" s="527" t="s">
        <v>835</v>
      </c>
      <c r="G48" s="534" t="s">
        <v>790</v>
      </c>
      <c r="H48" s="534" t="s">
        <v>77</v>
      </c>
      <c r="I48" s="693" t="s">
        <v>7</v>
      </c>
      <c r="J48" s="535">
        <v>33</v>
      </c>
      <c r="K48" s="732">
        <v>33</v>
      </c>
      <c r="L48" s="538"/>
      <c r="M48" s="686">
        <v>22</v>
      </c>
      <c r="N48" s="686">
        <v>14</v>
      </c>
      <c r="O48" s="748">
        <f t="shared" si="1"/>
        <v>0.63636363636363635</v>
      </c>
      <c r="P48" s="749">
        <f t="shared" si="2"/>
        <v>192.83746556473827</v>
      </c>
      <c r="Q48" s="750">
        <f t="shared" si="0"/>
        <v>1.9283746556473826</v>
      </c>
      <c r="R48" s="691"/>
    </row>
    <row r="49" spans="1:18" ht="26.25" thickBot="1" x14ac:dyDescent="0.25">
      <c r="A49" s="529" t="s">
        <v>276</v>
      </c>
      <c r="B49" s="534" t="s">
        <v>871</v>
      </c>
      <c r="C49" s="526" t="s">
        <v>1602</v>
      </c>
      <c r="D49" s="534" t="s">
        <v>109</v>
      </c>
      <c r="E49" s="534" t="s">
        <v>836</v>
      </c>
      <c r="F49" s="527" t="s">
        <v>834</v>
      </c>
      <c r="G49" s="534" t="s">
        <v>790</v>
      </c>
      <c r="H49" s="534" t="s">
        <v>77</v>
      </c>
      <c r="I49" s="693" t="s">
        <v>7</v>
      </c>
      <c r="J49" s="535">
        <v>25</v>
      </c>
      <c r="K49" s="732">
        <v>25</v>
      </c>
      <c r="L49" s="538"/>
      <c r="M49" s="686">
        <v>22</v>
      </c>
      <c r="N49" s="686">
        <v>14</v>
      </c>
      <c r="O49" s="748">
        <f t="shared" si="1"/>
        <v>0.63636363636363635</v>
      </c>
      <c r="P49" s="749">
        <f t="shared" si="2"/>
        <v>254.54545454545453</v>
      </c>
      <c r="Q49" s="750">
        <f t="shared" si="0"/>
        <v>2.5454545454545454</v>
      </c>
      <c r="R49" s="691"/>
    </row>
    <row r="50" spans="1:18" ht="26.25" thickBot="1" x14ac:dyDescent="0.25">
      <c r="A50" s="529" t="s">
        <v>276</v>
      </c>
      <c r="B50" s="534" t="s">
        <v>871</v>
      </c>
      <c r="C50" s="526" t="s">
        <v>1602</v>
      </c>
      <c r="D50" s="534" t="s">
        <v>109</v>
      </c>
      <c r="E50" s="534" t="s">
        <v>837</v>
      </c>
      <c r="F50" s="527" t="s">
        <v>834</v>
      </c>
      <c r="G50" s="534" t="s">
        <v>790</v>
      </c>
      <c r="H50" s="534" t="s">
        <v>77</v>
      </c>
      <c r="I50" s="693" t="s">
        <v>7</v>
      </c>
      <c r="J50" s="535">
        <v>25</v>
      </c>
      <c r="K50" s="732">
        <v>25</v>
      </c>
      <c r="L50" s="538"/>
      <c r="M50" s="686">
        <v>22</v>
      </c>
      <c r="N50" s="686">
        <v>14</v>
      </c>
      <c r="O50" s="748">
        <f t="shared" si="1"/>
        <v>0.63636363636363635</v>
      </c>
      <c r="P50" s="749">
        <f t="shared" si="2"/>
        <v>254.54545454545453</v>
      </c>
      <c r="Q50" s="750">
        <f t="shared" si="0"/>
        <v>2.5454545454545454</v>
      </c>
      <c r="R50" s="691"/>
    </row>
    <row r="51" spans="1:18" ht="13.5" thickBot="1" x14ac:dyDescent="0.25">
      <c r="A51" s="529" t="s">
        <v>276</v>
      </c>
      <c r="B51" s="534" t="s">
        <v>871</v>
      </c>
      <c r="C51" s="526" t="s">
        <v>1602</v>
      </c>
      <c r="D51" s="534" t="s">
        <v>109</v>
      </c>
      <c r="E51" s="534" t="s">
        <v>838</v>
      </c>
      <c r="F51" s="527" t="s">
        <v>834</v>
      </c>
      <c r="G51" s="534" t="s">
        <v>784</v>
      </c>
      <c r="H51" s="534" t="s">
        <v>77</v>
      </c>
      <c r="I51" s="693" t="s">
        <v>7</v>
      </c>
      <c r="J51" s="535">
        <v>100</v>
      </c>
      <c r="K51" s="732">
        <v>100</v>
      </c>
      <c r="L51" s="538"/>
      <c r="M51" s="686">
        <v>22</v>
      </c>
      <c r="N51" s="686">
        <v>20</v>
      </c>
      <c r="O51" s="748">
        <f t="shared" si="1"/>
        <v>0.90909090909090906</v>
      </c>
      <c r="P51" s="749">
        <f t="shared" si="2"/>
        <v>90.909090909090907</v>
      </c>
      <c r="Q51" s="750">
        <f t="shared" si="0"/>
        <v>0.90909090909090906</v>
      </c>
      <c r="R51" s="691"/>
    </row>
    <row r="52" spans="1:18" ht="13.5" thickBot="1" x14ac:dyDescent="0.25">
      <c r="A52" s="529" t="s">
        <v>276</v>
      </c>
      <c r="B52" s="534" t="s">
        <v>871</v>
      </c>
      <c r="C52" s="526" t="s">
        <v>1602</v>
      </c>
      <c r="D52" s="534" t="s">
        <v>109</v>
      </c>
      <c r="E52" s="534" t="s">
        <v>839</v>
      </c>
      <c r="F52" s="527" t="s">
        <v>834</v>
      </c>
      <c r="G52" s="534" t="s">
        <v>784</v>
      </c>
      <c r="H52" s="534" t="s">
        <v>77</v>
      </c>
      <c r="I52" s="693" t="s">
        <v>7</v>
      </c>
      <c r="J52" s="533">
        <v>100</v>
      </c>
      <c r="K52" s="733">
        <v>100</v>
      </c>
      <c r="L52" s="538"/>
      <c r="M52" s="686">
        <v>22</v>
      </c>
      <c r="N52" s="686">
        <v>20</v>
      </c>
      <c r="O52" s="748">
        <f t="shared" si="1"/>
        <v>0.90909090909090906</v>
      </c>
      <c r="P52" s="749">
        <f t="shared" si="2"/>
        <v>90.909090909090907</v>
      </c>
      <c r="Q52" s="750">
        <f t="shared" si="0"/>
        <v>0.90909090909090906</v>
      </c>
      <c r="R52" s="691"/>
    </row>
    <row r="53" spans="1:18" ht="26.25" thickBot="1" x14ac:dyDescent="0.25">
      <c r="A53" s="529" t="s">
        <v>276</v>
      </c>
      <c r="B53" s="534" t="s">
        <v>871</v>
      </c>
      <c r="C53" s="526" t="s">
        <v>1602</v>
      </c>
      <c r="D53" s="534" t="s">
        <v>109</v>
      </c>
      <c r="E53" s="534" t="s">
        <v>840</v>
      </c>
      <c r="F53" s="527" t="s">
        <v>834</v>
      </c>
      <c r="G53" s="534" t="s">
        <v>790</v>
      </c>
      <c r="H53" s="534" t="s">
        <v>77</v>
      </c>
      <c r="I53" s="693" t="s">
        <v>7</v>
      </c>
      <c r="J53" s="533">
        <v>25</v>
      </c>
      <c r="K53" s="733">
        <v>25</v>
      </c>
      <c r="L53" s="538"/>
      <c r="M53" s="686">
        <v>22</v>
      </c>
      <c r="N53" s="686">
        <v>14</v>
      </c>
      <c r="O53" s="748">
        <f t="shared" si="1"/>
        <v>0.63636363636363635</v>
      </c>
      <c r="P53" s="749">
        <f t="shared" si="2"/>
        <v>254.54545454545453</v>
      </c>
      <c r="Q53" s="750">
        <f t="shared" si="0"/>
        <v>2.5454545454545454</v>
      </c>
      <c r="R53" s="691"/>
    </row>
    <row r="54" spans="1:18" ht="26.25" thickBot="1" x14ac:dyDescent="0.25">
      <c r="A54" s="529" t="s">
        <v>276</v>
      </c>
      <c r="B54" s="534" t="s">
        <v>871</v>
      </c>
      <c r="C54" s="526" t="s">
        <v>1602</v>
      </c>
      <c r="D54" s="534" t="s">
        <v>109</v>
      </c>
      <c r="E54" s="534" t="s">
        <v>841</v>
      </c>
      <c r="F54" s="527" t="s">
        <v>834</v>
      </c>
      <c r="G54" s="534" t="s">
        <v>790</v>
      </c>
      <c r="H54" s="534" t="s">
        <v>77</v>
      </c>
      <c r="I54" s="693" t="s">
        <v>7</v>
      </c>
      <c r="J54" s="533">
        <v>25</v>
      </c>
      <c r="K54" s="733">
        <v>25</v>
      </c>
      <c r="L54" s="538"/>
      <c r="M54" s="686">
        <v>22</v>
      </c>
      <c r="N54" s="686">
        <v>14</v>
      </c>
      <c r="O54" s="748">
        <f t="shared" si="1"/>
        <v>0.63636363636363635</v>
      </c>
      <c r="P54" s="749">
        <f t="shared" si="2"/>
        <v>254.54545454545453</v>
      </c>
      <c r="Q54" s="750">
        <f t="shared" si="0"/>
        <v>2.5454545454545454</v>
      </c>
      <c r="R54" s="691"/>
    </row>
    <row r="55" spans="1:18" ht="13.5" thickBot="1" x14ac:dyDescent="0.25">
      <c r="A55" s="529" t="s">
        <v>276</v>
      </c>
      <c r="B55" s="534" t="s">
        <v>871</v>
      </c>
      <c r="C55" s="526" t="s">
        <v>1602</v>
      </c>
      <c r="D55" s="534" t="s">
        <v>109</v>
      </c>
      <c r="E55" s="534" t="s">
        <v>842</v>
      </c>
      <c r="F55" s="536" t="s">
        <v>843</v>
      </c>
      <c r="G55" s="534" t="s">
        <v>784</v>
      </c>
      <c r="H55" s="534" t="s">
        <v>77</v>
      </c>
      <c r="I55" s="693" t="s">
        <v>7</v>
      </c>
      <c r="J55" s="533">
        <v>100</v>
      </c>
      <c r="K55" s="733">
        <v>100</v>
      </c>
      <c r="L55" s="538"/>
      <c r="M55" s="686">
        <v>22</v>
      </c>
      <c r="N55" s="686">
        <v>20</v>
      </c>
      <c r="O55" s="748">
        <f t="shared" si="1"/>
        <v>0.90909090909090906</v>
      </c>
      <c r="P55" s="749">
        <f t="shared" si="2"/>
        <v>90.909090909090907</v>
      </c>
      <c r="Q55" s="750">
        <f t="shared" si="0"/>
        <v>0.90909090909090906</v>
      </c>
      <c r="R55" s="691"/>
    </row>
    <row r="56" spans="1:18" ht="13.5" thickBot="1" x14ac:dyDescent="0.25">
      <c r="A56" s="529" t="s">
        <v>276</v>
      </c>
      <c r="B56" s="534" t="s">
        <v>871</v>
      </c>
      <c r="C56" s="526" t="s">
        <v>1602</v>
      </c>
      <c r="D56" s="534" t="s">
        <v>109</v>
      </c>
      <c r="E56" s="534" t="s">
        <v>844</v>
      </c>
      <c r="F56" s="536" t="s">
        <v>843</v>
      </c>
      <c r="G56" s="534" t="s">
        <v>784</v>
      </c>
      <c r="H56" s="534" t="s">
        <v>77</v>
      </c>
      <c r="I56" s="693" t="s">
        <v>7</v>
      </c>
      <c r="J56" s="533">
        <v>100</v>
      </c>
      <c r="K56" s="733">
        <v>100</v>
      </c>
      <c r="L56" s="538"/>
      <c r="M56" s="686">
        <v>22</v>
      </c>
      <c r="N56" s="686">
        <v>20</v>
      </c>
      <c r="O56" s="748">
        <f t="shared" si="1"/>
        <v>0.90909090909090906</v>
      </c>
      <c r="P56" s="749">
        <f t="shared" si="2"/>
        <v>90.909090909090907</v>
      </c>
      <c r="Q56" s="750">
        <f t="shared" si="0"/>
        <v>0.90909090909090906</v>
      </c>
      <c r="R56" s="691"/>
    </row>
    <row r="57" spans="1:18" ht="26.25" thickBot="1" x14ac:dyDescent="0.25">
      <c r="A57" s="529" t="s">
        <v>276</v>
      </c>
      <c r="B57" s="534" t="s">
        <v>871</v>
      </c>
      <c r="C57" s="526" t="s">
        <v>1602</v>
      </c>
      <c r="D57" s="534" t="s">
        <v>109</v>
      </c>
      <c r="E57" s="534" t="s">
        <v>845</v>
      </c>
      <c r="F57" s="536" t="s">
        <v>830</v>
      </c>
      <c r="G57" s="534" t="s">
        <v>790</v>
      </c>
      <c r="H57" s="534" t="s">
        <v>77</v>
      </c>
      <c r="I57" s="693" t="s">
        <v>7</v>
      </c>
      <c r="J57" s="533">
        <v>33</v>
      </c>
      <c r="K57" s="733">
        <v>33</v>
      </c>
      <c r="L57" s="538"/>
      <c r="M57" s="686">
        <v>22</v>
      </c>
      <c r="N57" s="686">
        <v>14</v>
      </c>
      <c r="O57" s="748">
        <f t="shared" si="1"/>
        <v>0.63636363636363635</v>
      </c>
      <c r="P57" s="749">
        <f t="shared" si="2"/>
        <v>192.83746556473827</v>
      </c>
      <c r="Q57" s="750">
        <f t="shared" si="0"/>
        <v>1.9283746556473826</v>
      </c>
      <c r="R57" s="691"/>
    </row>
    <row r="58" spans="1:18" ht="26.25" thickBot="1" x14ac:dyDescent="0.25">
      <c r="A58" s="529" t="s">
        <v>276</v>
      </c>
      <c r="B58" s="534" t="s">
        <v>871</v>
      </c>
      <c r="C58" s="526" t="s">
        <v>1602</v>
      </c>
      <c r="D58" s="534" t="s">
        <v>109</v>
      </c>
      <c r="E58" s="534" t="s">
        <v>846</v>
      </c>
      <c r="F58" s="536" t="s">
        <v>830</v>
      </c>
      <c r="G58" s="534" t="s">
        <v>790</v>
      </c>
      <c r="H58" s="534" t="s">
        <v>77</v>
      </c>
      <c r="I58" s="693" t="s">
        <v>7</v>
      </c>
      <c r="J58" s="533">
        <v>33</v>
      </c>
      <c r="K58" s="733">
        <v>33</v>
      </c>
      <c r="L58" s="538"/>
      <c r="M58" s="686">
        <v>22</v>
      </c>
      <c r="N58" s="686">
        <v>14</v>
      </c>
      <c r="O58" s="748">
        <f t="shared" si="1"/>
        <v>0.63636363636363635</v>
      </c>
      <c r="P58" s="749">
        <f t="shared" si="2"/>
        <v>192.83746556473827</v>
      </c>
      <c r="Q58" s="750">
        <f t="shared" si="0"/>
        <v>1.9283746556473826</v>
      </c>
      <c r="R58" s="691"/>
    </row>
    <row r="59" spans="1:18" ht="26.25" thickBot="1" x14ac:dyDescent="0.25">
      <c r="A59" s="529" t="s">
        <v>276</v>
      </c>
      <c r="B59" s="534" t="s">
        <v>871</v>
      </c>
      <c r="C59" s="526" t="s">
        <v>1602</v>
      </c>
      <c r="D59" s="534" t="s">
        <v>109</v>
      </c>
      <c r="E59" s="534" t="s">
        <v>847</v>
      </c>
      <c r="F59" s="536" t="s">
        <v>830</v>
      </c>
      <c r="G59" s="534" t="s">
        <v>790</v>
      </c>
      <c r="H59" s="534" t="s">
        <v>77</v>
      </c>
      <c r="I59" s="693" t="s">
        <v>7</v>
      </c>
      <c r="J59" s="533">
        <v>33</v>
      </c>
      <c r="K59" s="733">
        <v>33</v>
      </c>
      <c r="L59" s="538"/>
      <c r="M59" s="686">
        <v>22</v>
      </c>
      <c r="N59" s="686">
        <v>14</v>
      </c>
      <c r="O59" s="748">
        <f t="shared" si="1"/>
        <v>0.63636363636363635</v>
      </c>
      <c r="P59" s="749">
        <f t="shared" si="2"/>
        <v>192.83746556473827</v>
      </c>
      <c r="Q59" s="750">
        <f t="shared" si="0"/>
        <v>1.9283746556473826</v>
      </c>
      <c r="R59" s="691"/>
    </row>
    <row r="60" spans="1:18" ht="26.25" thickBot="1" x14ac:dyDescent="0.25">
      <c r="A60" s="529" t="s">
        <v>276</v>
      </c>
      <c r="B60" s="534" t="s">
        <v>871</v>
      </c>
      <c r="C60" s="526" t="s">
        <v>1602</v>
      </c>
      <c r="D60" s="534" t="s">
        <v>109</v>
      </c>
      <c r="E60" s="534" t="s">
        <v>848</v>
      </c>
      <c r="F60" s="536" t="s">
        <v>830</v>
      </c>
      <c r="G60" s="534" t="s">
        <v>790</v>
      </c>
      <c r="H60" s="534" t="s">
        <v>77</v>
      </c>
      <c r="I60" s="693" t="s">
        <v>7</v>
      </c>
      <c r="J60" s="533">
        <v>33</v>
      </c>
      <c r="K60" s="733">
        <v>33</v>
      </c>
      <c r="L60" s="538"/>
      <c r="M60" s="686">
        <v>22</v>
      </c>
      <c r="N60" s="686">
        <v>14</v>
      </c>
      <c r="O60" s="748">
        <f t="shared" si="1"/>
        <v>0.63636363636363635</v>
      </c>
      <c r="P60" s="749">
        <f t="shared" si="2"/>
        <v>192.83746556473827</v>
      </c>
      <c r="Q60" s="750">
        <f t="shared" si="0"/>
        <v>1.9283746556473826</v>
      </c>
      <c r="R60" s="691"/>
    </row>
    <row r="61" spans="1:18" ht="26.25" thickBot="1" x14ac:dyDescent="0.25">
      <c r="A61" s="529" t="s">
        <v>276</v>
      </c>
      <c r="B61" s="534" t="s">
        <v>871</v>
      </c>
      <c r="C61" s="526" t="s">
        <v>1602</v>
      </c>
      <c r="D61" s="534" t="s">
        <v>109</v>
      </c>
      <c r="E61" s="534" t="s">
        <v>849</v>
      </c>
      <c r="F61" s="536" t="s">
        <v>830</v>
      </c>
      <c r="G61" s="534" t="s">
        <v>790</v>
      </c>
      <c r="H61" s="534" t="s">
        <v>77</v>
      </c>
      <c r="I61" s="693" t="s">
        <v>7</v>
      </c>
      <c r="J61" s="533">
        <v>33</v>
      </c>
      <c r="K61" s="733">
        <v>33</v>
      </c>
      <c r="L61" s="538"/>
      <c r="M61" s="686">
        <v>22</v>
      </c>
      <c r="N61" s="686">
        <v>14</v>
      </c>
      <c r="O61" s="748">
        <f t="shared" si="1"/>
        <v>0.63636363636363635</v>
      </c>
      <c r="P61" s="749">
        <f t="shared" si="2"/>
        <v>192.83746556473827</v>
      </c>
      <c r="Q61" s="750">
        <f t="shared" si="0"/>
        <v>1.9283746556473826</v>
      </c>
      <c r="R61" s="691"/>
    </row>
    <row r="62" spans="1:18" ht="26.25" thickBot="1" x14ac:dyDescent="0.25">
      <c r="A62" s="529" t="s">
        <v>276</v>
      </c>
      <c r="B62" s="534" t="s">
        <v>871</v>
      </c>
      <c r="C62" s="526" t="s">
        <v>1602</v>
      </c>
      <c r="D62" s="534" t="s">
        <v>109</v>
      </c>
      <c r="E62" s="534" t="s">
        <v>850</v>
      </c>
      <c r="F62" s="536" t="s">
        <v>830</v>
      </c>
      <c r="G62" s="534" t="s">
        <v>790</v>
      </c>
      <c r="H62" s="534" t="s">
        <v>77</v>
      </c>
      <c r="I62" s="693" t="s">
        <v>7</v>
      </c>
      <c r="J62" s="533">
        <v>33</v>
      </c>
      <c r="K62" s="733">
        <v>33</v>
      </c>
      <c r="L62" s="538"/>
      <c r="M62" s="686">
        <v>22</v>
      </c>
      <c r="N62" s="686">
        <v>14</v>
      </c>
      <c r="O62" s="748">
        <f t="shared" si="1"/>
        <v>0.63636363636363635</v>
      </c>
      <c r="P62" s="749">
        <f t="shared" si="2"/>
        <v>192.83746556473827</v>
      </c>
      <c r="Q62" s="750">
        <f t="shared" si="0"/>
        <v>1.9283746556473826</v>
      </c>
      <c r="R62" s="691"/>
    </row>
    <row r="63" spans="1:18" ht="13.5" thickBot="1" x14ac:dyDescent="0.25">
      <c r="A63" s="529" t="s">
        <v>276</v>
      </c>
      <c r="B63" s="534" t="s">
        <v>871</v>
      </c>
      <c r="C63" s="526" t="s">
        <v>1602</v>
      </c>
      <c r="D63" s="534" t="s">
        <v>109</v>
      </c>
      <c r="E63" s="534" t="s">
        <v>851</v>
      </c>
      <c r="F63" s="536" t="s">
        <v>834</v>
      </c>
      <c r="G63" s="534" t="s">
        <v>784</v>
      </c>
      <c r="H63" s="534" t="s">
        <v>77</v>
      </c>
      <c r="I63" s="693" t="s">
        <v>7</v>
      </c>
      <c r="J63" s="533">
        <v>100</v>
      </c>
      <c r="K63" s="733">
        <v>100</v>
      </c>
      <c r="L63" s="538"/>
      <c r="M63" s="686">
        <v>22</v>
      </c>
      <c r="N63" s="686">
        <v>20</v>
      </c>
      <c r="O63" s="748">
        <f t="shared" si="1"/>
        <v>0.90909090909090906</v>
      </c>
      <c r="P63" s="749">
        <f t="shared" si="2"/>
        <v>90.909090909090907</v>
      </c>
      <c r="Q63" s="750">
        <f t="shared" si="0"/>
        <v>0.90909090909090906</v>
      </c>
      <c r="R63" s="691"/>
    </row>
    <row r="64" spans="1:18" ht="13.5" thickBot="1" x14ac:dyDescent="0.25">
      <c r="A64" s="529" t="s">
        <v>276</v>
      </c>
      <c r="B64" s="534" t="s">
        <v>871</v>
      </c>
      <c r="C64" s="526" t="s">
        <v>1602</v>
      </c>
      <c r="D64" s="534" t="s">
        <v>109</v>
      </c>
      <c r="E64" s="534" t="s">
        <v>852</v>
      </c>
      <c r="F64" s="536" t="s">
        <v>834</v>
      </c>
      <c r="G64" s="534" t="s">
        <v>784</v>
      </c>
      <c r="H64" s="534" t="s">
        <v>77</v>
      </c>
      <c r="I64" s="693" t="s">
        <v>7</v>
      </c>
      <c r="J64" s="533">
        <v>100</v>
      </c>
      <c r="K64" s="733">
        <v>100</v>
      </c>
      <c r="L64" s="538"/>
      <c r="M64" s="686">
        <v>22</v>
      </c>
      <c r="N64" s="686">
        <v>20</v>
      </c>
      <c r="O64" s="748">
        <f t="shared" si="1"/>
        <v>0.90909090909090906</v>
      </c>
      <c r="P64" s="749">
        <f t="shared" si="2"/>
        <v>90.909090909090907</v>
      </c>
      <c r="Q64" s="750">
        <f t="shared" si="0"/>
        <v>0.90909090909090906</v>
      </c>
      <c r="R64" s="691"/>
    </row>
    <row r="65" spans="1:18" ht="26.25" thickBot="1" x14ac:dyDescent="0.25">
      <c r="A65" s="529" t="s">
        <v>276</v>
      </c>
      <c r="B65" s="534" t="s">
        <v>871</v>
      </c>
      <c r="C65" s="526" t="s">
        <v>1602</v>
      </c>
      <c r="D65" s="534" t="s">
        <v>109</v>
      </c>
      <c r="E65" s="534" t="s">
        <v>853</v>
      </c>
      <c r="F65" s="536" t="s">
        <v>834</v>
      </c>
      <c r="G65" s="534" t="s">
        <v>784</v>
      </c>
      <c r="H65" s="534" t="s">
        <v>77</v>
      </c>
      <c r="I65" s="693" t="s">
        <v>7</v>
      </c>
      <c r="J65" s="533">
        <v>100</v>
      </c>
      <c r="K65" s="733">
        <v>100</v>
      </c>
      <c r="L65" s="538"/>
      <c r="M65" s="686">
        <v>22</v>
      </c>
      <c r="N65" s="686">
        <v>20</v>
      </c>
      <c r="O65" s="748">
        <f t="shared" si="1"/>
        <v>0.90909090909090906</v>
      </c>
      <c r="P65" s="749">
        <f t="shared" si="2"/>
        <v>90.909090909090907</v>
      </c>
      <c r="Q65" s="750">
        <f t="shared" si="0"/>
        <v>0.90909090909090906</v>
      </c>
      <c r="R65" s="691"/>
    </row>
    <row r="66" spans="1:18" ht="26.25" thickBot="1" x14ac:dyDescent="0.25">
      <c r="A66" s="529" t="s">
        <v>276</v>
      </c>
      <c r="B66" s="534" t="s">
        <v>871</v>
      </c>
      <c r="C66" s="526" t="s">
        <v>1602</v>
      </c>
      <c r="D66" s="534" t="s">
        <v>109</v>
      </c>
      <c r="E66" s="534" t="s">
        <v>854</v>
      </c>
      <c r="F66" s="527" t="s">
        <v>829</v>
      </c>
      <c r="G66" s="534" t="s">
        <v>784</v>
      </c>
      <c r="H66" s="534" t="s">
        <v>77</v>
      </c>
      <c r="I66" s="693" t="s">
        <v>7</v>
      </c>
      <c r="J66" s="533">
        <v>100</v>
      </c>
      <c r="K66" s="733">
        <v>100</v>
      </c>
      <c r="L66" s="538" t="s">
        <v>880</v>
      </c>
      <c r="M66" s="686">
        <v>22</v>
      </c>
      <c r="N66" s="686">
        <v>20</v>
      </c>
      <c r="O66" s="748">
        <f t="shared" si="1"/>
        <v>0.90909090909090906</v>
      </c>
      <c r="P66" s="749">
        <f t="shared" si="2"/>
        <v>90.909090909090907</v>
      </c>
      <c r="Q66" s="750">
        <f t="shared" si="0"/>
        <v>0.90909090909090906</v>
      </c>
      <c r="R66" s="691"/>
    </row>
    <row r="67" spans="1:18" ht="26.25" thickBot="1" x14ac:dyDescent="0.25">
      <c r="A67" s="529" t="s">
        <v>276</v>
      </c>
      <c r="B67" s="534" t="s">
        <v>871</v>
      </c>
      <c r="C67" s="526" t="s">
        <v>1602</v>
      </c>
      <c r="D67" s="534" t="s">
        <v>109</v>
      </c>
      <c r="E67" s="534" t="s">
        <v>854</v>
      </c>
      <c r="F67" s="527" t="s">
        <v>830</v>
      </c>
      <c r="G67" s="534" t="s">
        <v>790</v>
      </c>
      <c r="H67" s="534" t="s">
        <v>77</v>
      </c>
      <c r="I67" s="693" t="s">
        <v>7</v>
      </c>
      <c r="J67" s="533">
        <v>33</v>
      </c>
      <c r="K67" s="733">
        <v>33</v>
      </c>
      <c r="L67" s="538"/>
      <c r="M67" s="686">
        <v>22</v>
      </c>
      <c r="N67" s="686">
        <v>14</v>
      </c>
      <c r="O67" s="748">
        <f t="shared" si="1"/>
        <v>0.63636363636363635</v>
      </c>
      <c r="P67" s="749">
        <f t="shared" si="2"/>
        <v>192.83746556473827</v>
      </c>
      <c r="Q67" s="750">
        <f t="shared" si="0"/>
        <v>1.9283746556473826</v>
      </c>
      <c r="R67" s="691"/>
    </row>
    <row r="68" spans="1:18" ht="26.25" thickBot="1" x14ac:dyDescent="0.25">
      <c r="A68" s="529" t="s">
        <v>276</v>
      </c>
      <c r="B68" s="534" t="s">
        <v>871</v>
      </c>
      <c r="C68" s="526" t="s">
        <v>1602</v>
      </c>
      <c r="D68" s="534" t="s">
        <v>109</v>
      </c>
      <c r="E68" s="534" t="s">
        <v>855</v>
      </c>
      <c r="F68" s="536" t="s">
        <v>834</v>
      </c>
      <c r="G68" s="534" t="s">
        <v>790</v>
      </c>
      <c r="H68" s="534" t="s">
        <v>77</v>
      </c>
      <c r="I68" s="693" t="s">
        <v>7</v>
      </c>
      <c r="J68" s="533">
        <v>25</v>
      </c>
      <c r="K68" s="733">
        <v>25</v>
      </c>
      <c r="L68" s="538"/>
      <c r="M68" s="686">
        <v>22</v>
      </c>
      <c r="N68" s="686">
        <v>14</v>
      </c>
      <c r="O68" s="748">
        <f t="shared" si="1"/>
        <v>0.63636363636363635</v>
      </c>
      <c r="P68" s="749">
        <f t="shared" si="2"/>
        <v>254.54545454545453</v>
      </c>
      <c r="Q68" s="750">
        <f t="shared" si="0"/>
        <v>2.5454545454545454</v>
      </c>
      <c r="R68" s="691"/>
    </row>
    <row r="69" spans="1:18" ht="39" thickBot="1" x14ac:dyDescent="0.25">
      <c r="A69" s="529" t="s">
        <v>276</v>
      </c>
      <c r="B69" s="534" t="s">
        <v>871</v>
      </c>
      <c r="C69" s="526" t="s">
        <v>1602</v>
      </c>
      <c r="D69" s="534" t="s">
        <v>109</v>
      </c>
      <c r="E69" s="534" t="s">
        <v>856</v>
      </c>
      <c r="F69" s="536" t="s">
        <v>834</v>
      </c>
      <c r="G69" s="534" t="s">
        <v>790</v>
      </c>
      <c r="H69" s="534" t="s">
        <v>77</v>
      </c>
      <c r="I69" s="693" t="s">
        <v>7</v>
      </c>
      <c r="J69" s="533">
        <v>25</v>
      </c>
      <c r="K69" s="733">
        <v>25</v>
      </c>
      <c r="L69" s="538"/>
      <c r="M69" s="686">
        <v>22</v>
      </c>
      <c r="N69" s="686">
        <v>14</v>
      </c>
      <c r="O69" s="748">
        <f t="shared" ref="O69:O132" si="3">IFERROR(N69/M69,0)</f>
        <v>0.63636363636363635</v>
      </c>
      <c r="P69" s="749">
        <f t="shared" ref="P69:P132" si="4">IFERROR(N69/(M69*(K69/100))*100,"0")</f>
        <v>254.54545454545453</v>
      </c>
      <c r="Q69" s="750">
        <f t="shared" ref="Q69:Q132" si="5">IFERROR(N69/(M69*(K69/100)),"0")</f>
        <v>2.5454545454545454</v>
      </c>
      <c r="R69" s="691"/>
    </row>
    <row r="70" spans="1:18" ht="39" thickBot="1" x14ac:dyDescent="0.25">
      <c r="A70" s="529" t="s">
        <v>276</v>
      </c>
      <c r="B70" s="534" t="s">
        <v>871</v>
      </c>
      <c r="C70" s="526" t="s">
        <v>1602</v>
      </c>
      <c r="D70" s="534" t="s">
        <v>109</v>
      </c>
      <c r="E70" s="534" t="s">
        <v>857</v>
      </c>
      <c r="F70" s="536" t="s">
        <v>834</v>
      </c>
      <c r="G70" s="534" t="s">
        <v>784</v>
      </c>
      <c r="H70" s="534" t="s">
        <v>77</v>
      </c>
      <c r="I70" s="693" t="s">
        <v>7</v>
      </c>
      <c r="J70" s="533">
        <v>100</v>
      </c>
      <c r="K70" s="733">
        <v>100</v>
      </c>
      <c r="L70" s="538"/>
      <c r="M70" s="686">
        <v>22</v>
      </c>
      <c r="N70" s="686">
        <v>20</v>
      </c>
      <c r="O70" s="748">
        <f t="shared" si="3"/>
        <v>0.90909090909090906</v>
      </c>
      <c r="P70" s="749">
        <f t="shared" si="4"/>
        <v>90.909090909090907</v>
      </c>
      <c r="Q70" s="750">
        <f t="shared" si="5"/>
        <v>0.90909090909090906</v>
      </c>
      <c r="R70" s="691"/>
    </row>
    <row r="71" spans="1:18" ht="13.5" thickBot="1" x14ac:dyDescent="0.25">
      <c r="A71" s="529" t="s">
        <v>276</v>
      </c>
      <c r="B71" s="534" t="s">
        <v>871</v>
      </c>
      <c r="C71" s="526" t="s">
        <v>1602</v>
      </c>
      <c r="D71" s="534" t="s">
        <v>808</v>
      </c>
      <c r="E71" s="534" t="s">
        <v>858</v>
      </c>
      <c r="F71" s="536" t="s">
        <v>834</v>
      </c>
      <c r="G71" s="534" t="s">
        <v>784</v>
      </c>
      <c r="H71" s="534" t="s">
        <v>77</v>
      </c>
      <c r="I71" s="693" t="s">
        <v>7</v>
      </c>
      <c r="J71" s="533">
        <v>100</v>
      </c>
      <c r="K71" s="733">
        <v>100</v>
      </c>
      <c r="L71" s="538"/>
      <c r="M71" s="686">
        <v>22</v>
      </c>
      <c r="N71" s="686">
        <v>20</v>
      </c>
      <c r="O71" s="748">
        <f t="shared" si="3"/>
        <v>0.90909090909090906</v>
      </c>
      <c r="P71" s="749">
        <f t="shared" si="4"/>
        <v>90.909090909090907</v>
      </c>
      <c r="Q71" s="750">
        <f t="shared" si="5"/>
        <v>0.90909090909090906</v>
      </c>
      <c r="R71" s="691"/>
    </row>
    <row r="72" spans="1:18" ht="13.5" thickBot="1" x14ac:dyDescent="0.25">
      <c r="A72" s="529" t="s">
        <v>276</v>
      </c>
      <c r="B72" s="534" t="s">
        <v>871</v>
      </c>
      <c r="C72" s="526" t="s">
        <v>1602</v>
      </c>
      <c r="D72" s="534" t="s">
        <v>808</v>
      </c>
      <c r="E72" s="534" t="s">
        <v>859</v>
      </c>
      <c r="F72" s="536" t="s">
        <v>834</v>
      </c>
      <c r="G72" s="534" t="s">
        <v>784</v>
      </c>
      <c r="H72" s="534" t="s">
        <v>77</v>
      </c>
      <c r="I72" s="693" t="s">
        <v>7</v>
      </c>
      <c r="J72" s="533">
        <v>100</v>
      </c>
      <c r="K72" s="733">
        <v>100</v>
      </c>
      <c r="L72" s="538"/>
      <c r="M72" s="686">
        <v>22</v>
      </c>
      <c r="N72" s="686">
        <v>20</v>
      </c>
      <c r="O72" s="748">
        <f t="shared" si="3"/>
        <v>0.90909090909090906</v>
      </c>
      <c r="P72" s="749">
        <f t="shared" si="4"/>
        <v>90.909090909090907</v>
      </c>
      <c r="Q72" s="750">
        <f t="shared" si="5"/>
        <v>0.90909090909090906</v>
      </c>
      <c r="R72" s="691"/>
    </row>
    <row r="73" spans="1:18" ht="26.25" thickBot="1" x14ac:dyDescent="0.25">
      <c r="A73" s="529" t="s">
        <v>276</v>
      </c>
      <c r="B73" s="534" t="s">
        <v>871</v>
      </c>
      <c r="C73" s="526" t="s">
        <v>1602</v>
      </c>
      <c r="D73" s="534" t="s">
        <v>808</v>
      </c>
      <c r="E73" s="534" t="s">
        <v>860</v>
      </c>
      <c r="F73" s="536" t="s">
        <v>834</v>
      </c>
      <c r="G73" s="534" t="s">
        <v>790</v>
      </c>
      <c r="H73" s="534" t="s">
        <v>77</v>
      </c>
      <c r="I73" s="693" t="s">
        <v>7</v>
      </c>
      <c r="J73" s="533">
        <v>25</v>
      </c>
      <c r="K73" s="733">
        <v>25</v>
      </c>
      <c r="L73" s="538"/>
      <c r="M73" s="686">
        <v>22</v>
      </c>
      <c r="N73" s="686">
        <v>14</v>
      </c>
      <c r="O73" s="748">
        <f t="shared" si="3"/>
        <v>0.63636363636363635</v>
      </c>
      <c r="P73" s="749">
        <f t="shared" si="4"/>
        <v>254.54545454545453</v>
      </c>
      <c r="Q73" s="750">
        <f t="shared" si="5"/>
        <v>2.5454545454545454</v>
      </c>
      <c r="R73" s="691"/>
    </row>
    <row r="74" spans="1:18" ht="26.25" thickBot="1" x14ac:dyDescent="0.25">
      <c r="A74" s="529" t="s">
        <v>276</v>
      </c>
      <c r="B74" s="534" t="s">
        <v>871</v>
      </c>
      <c r="C74" s="526" t="s">
        <v>1602</v>
      </c>
      <c r="D74" s="534" t="s">
        <v>808</v>
      </c>
      <c r="E74" s="534" t="s">
        <v>861</v>
      </c>
      <c r="F74" s="536" t="s">
        <v>834</v>
      </c>
      <c r="G74" s="534" t="s">
        <v>790</v>
      </c>
      <c r="H74" s="534" t="s">
        <v>77</v>
      </c>
      <c r="I74" s="693" t="s">
        <v>7</v>
      </c>
      <c r="J74" s="533">
        <v>25</v>
      </c>
      <c r="K74" s="733">
        <v>25</v>
      </c>
      <c r="L74" s="538"/>
      <c r="M74" s="686">
        <v>22</v>
      </c>
      <c r="N74" s="686">
        <v>14</v>
      </c>
      <c r="O74" s="748">
        <f t="shared" si="3"/>
        <v>0.63636363636363635</v>
      </c>
      <c r="P74" s="749">
        <f t="shared" si="4"/>
        <v>254.54545454545453</v>
      </c>
      <c r="Q74" s="750">
        <f t="shared" si="5"/>
        <v>2.5454545454545454</v>
      </c>
      <c r="R74" s="691"/>
    </row>
    <row r="75" spans="1:18" ht="26.25" thickBot="1" x14ac:dyDescent="0.25">
      <c r="A75" s="529" t="s">
        <v>276</v>
      </c>
      <c r="B75" s="534" t="s">
        <v>871</v>
      </c>
      <c r="C75" s="526" t="s">
        <v>1602</v>
      </c>
      <c r="D75" s="534" t="s">
        <v>808</v>
      </c>
      <c r="E75" s="534" t="s">
        <v>862</v>
      </c>
      <c r="F75" s="536" t="s">
        <v>834</v>
      </c>
      <c r="G75" s="534" t="s">
        <v>790</v>
      </c>
      <c r="H75" s="534" t="s">
        <v>77</v>
      </c>
      <c r="I75" s="693" t="s">
        <v>7</v>
      </c>
      <c r="J75" s="533">
        <v>25</v>
      </c>
      <c r="K75" s="733">
        <v>25</v>
      </c>
      <c r="L75" s="538"/>
      <c r="M75" s="686">
        <v>22</v>
      </c>
      <c r="N75" s="686">
        <v>14</v>
      </c>
      <c r="O75" s="748">
        <f t="shared" si="3"/>
        <v>0.63636363636363635</v>
      </c>
      <c r="P75" s="749">
        <f t="shared" si="4"/>
        <v>254.54545454545453</v>
      </c>
      <c r="Q75" s="750">
        <f t="shared" si="5"/>
        <v>2.5454545454545454</v>
      </c>
      <c r="R75" s="691"/>
    </row>
    <row r="76" spans="1:18" ht="26.25" thickBot="1" x14ac:dyDescent="0.25">
      <c r="A76" s="529" t="s">
        <v>276</v>
      </c>
      <c r="B76" s="534" t="s">
        <v>871</v>
      </c>
      <c r="C76" s="526" t="s">
        <v>1602</v>
      </c>
      <c r="D76" s="534" t="s">
        <v>808</v>
      </c>
      <c r="E76" s="534" t="s">
        <v>863</v>
      </c>
      <c r="F76" s="536" t="s">
        <v>834</v>
      </c>
      <c r="G76" s="534" t="s">
        <v>790</v>
      </c>
      <c r="H76" s="534" t="s">
        <v>77</v>
      </c>
      <c r="I76" s="693" t="s">
        <v>7</v>
      </c>
      <c r="J76" s="533">
        <v>25</v>
      </c>
      <c r="K76" s="733">
        <v>25</v>
      </c>
      <c r="L76" s="538"/>
      <c r="M76" s="686">
        <v>22</v>
      </c>
      <c r="N76" s="686">
        <v>14</v>
      </c>
      <c r="O76" s="748">
        <f t="shared" si="3"/>
        <v>0.63636363636363635</v>
      </c>
      <c r="P76" s="749">
        <f t="shared" si="4"/>
        <v>254.54545454545453</v>
      </c>
      <c r="Q76" s="750">
        <f t="shared" si="5"/>
        <v>2.5454545454545454</v>
      </c>
      <c r="R76" s="691"/>
    </row>
    <row r="77" spans="1:18" ht="26.25" thickBot="1" x14ac:dyDescent="0.25">
      <c r="A77" s="529" t="s">
        <v>276</v>
      </c>
      <c r="B77" s="534" t="s">
        <v>871</v>
      </c>
      <c r="C77" s="526" t="s">
        <v>1602</v>
      </c>
      <c r="D77" s="534" t="s">
        <v>808</v>
      </c>
      <c r="E77" s="534" t="s">
        <v>864</v>
      </c>
      <c r="F77" s="527" t="s">
        <v>834</v>
      </c>
      <c r="G77" s="534" t="s">
        <v>784</v>
      </c>
      <c r="H77" s="534" t="s">
        <v>77</v>
      </c>
      <c r="I77" s="693" t="s">
        <v>7</v>
      </c>
      <c r="J77" s="533">
        <v>100</v>
      </c>
      <c r="K77" s="733">
        <v>100</v>
      </c>
      <c r="L77" s="538"/>
      <c r="M77" s="686">
        <v>22</v>
      </c>
      <c r="N77" s="686">
        <v>20</v>
      </c>
      <c r="O77" s="748">
        <f t="shared" si="3"/>
        <v>0.90909090909090906</v>
      </c>
      <c r="P77" s="749">
        <f t="shared" si="4"/>
        <v>90.909090909090907</v>
      </c>
      <c r="Q77" s="750">
        <f t="shared" si="5"/>
        <v>0.90909090909090906</v>
      </c>
      <c r="R77" s="691"/>
    </row>
    <row r="78" spans="1:18" ht="26.25" thickBot="1" x14ac:dyDescent="0.25">
      <c r="A78" s="529" t="s">
        <v>276</v>
      </c>
      <c r="B78" s="534" t="s">
        <v>871</v>
      </c>
      <c r="C78" s="526" t="s">
        <v>1602</v>
      </c>
      <c r="D78" s="534" t="s">
        <v>808</v>
      </c>
      <c r="E78" s="534" t="s">
        <v>864</v>
      </c>
      <c r="F78" s="527" t="s">
        <v>830</v>
      </c>
      <c r="G78" s="534" t="s">
        <v>865</v>
      </c>
      <c r="H78" s="534" t="s">
        <v>77</v>
      </c>
      <c r="I78" s="693" t="s">
        <v>7</v>
      </c>
      <c r="J78" s="533">
        <v>33</v>
      </c>
      <c r="K78" s="733">
        <v>33</v>
      </c>
      <c r="L78" s="538"/>
      <c r="M78" s="686">
        <v>22</v>
      </c>
      <c r="N78" s="686">
        <v>14</v>
      </c>
      <c r="O78" s="748">
        <f t="shared" si="3"/>
        <v>0.63636363636363635</v>
      </c>
      <c r="P78" s="749">
        <f t="shared" si="4"/>
        <v>192.83746556473827</v>
      </c>
      <c r="Q78" s="750">
        <f t="shared" si="5"/>
        <v>1.9283746556473826</v>
      </c>
      <c r="R78" s="691"/>
    </row>
    <row r="79" spans="1:18" ht="26.25" thickBot="1" x14ac:dyDescent="0.25">
      <c r="A79" s="529" t="s">
        <v>276</v>
      </c>
      <c r="B79" s="534" t="s">
        <v>871</v>
      </c>
      <c r="C79" s="526" t="s">
        <v>1602</v>
      </c>
      <c r="D79" s="534" t="s">
        <v>808</v>
      </c>
      <c r="E79" s="534" t="s">
        <v>815</v>
      </c>
      <c r="F79" s="527" t="s">
        <v>834</v>
      </c>
      <c r="G79" s="534" t="s">
        <v>866</v>
      </c>
      <c r="H79" s="534" t="s">
        <v>77</v>
      </c>
      <c r="I79" s="693" t="s">
        <v>7</v>
      </c>
      <c r="J79" s="533">
        <v>100</v>
      </c>
      <c r="K79" s="733">
        <v>100</v>
      </c>
      <c r="L79" s="538" t="s">
        <v>880</v>
      </c>
      <c r="M79" s="686">
        <v>22</v>
      </c>
      <c r="N79" s="686">
        <v>20</v>
      </c>
      <c r="O79" s="748">
        <f t="shared" si="3"/>
        <v>0.90909090909090906</v>
      </c>
      <c r="P79" s="749">
        <f t="shared" si="4"/>
        <v>90.909090909090907</v>
      </c>
      <c r="Q79" s="750">
        <f t="shared" si="5"/>
        <v>0.90909090909090906</v>
      </c>
      <c r="R79" s="691"/>
    </row>
    <row r="80" spans="1:18" ht="13.5" thickBot="1" x14ac:dyDescent="0.25">
      <c r="A80" s="529" t="s">
        <v>276</v>
      </c>
      <c r="B80" s="534" t="s">
        <v>871</v>
      </c>
      <c r="C80" s="526" t="s">
        <v>1602</v>
      </c>
      <c r="D80" s="534" t="s">
        <v>808</v>
      </c>
      <c r="E80" s="534" t="s">
        <v>815</v>
      </c>
      <c r="F80" s="527" t="s">
        <v>830</v>
      </c>
      <c r="G80" s="534" t="s">
        <v>865</v>
      </c>
      <c r="H80" s="534" t="s">
        <v>77</v>
      </c>
      <c r="I80" s="693" t="s">
        <v>7</v>
      </c>
      <c r="J80" s="533">
        <v>33</v>
      </c>
      <c r="K80" s="733">
        <v>33</v>
      </c>
      <c r="L80" s="538"/>
      <c r="M80" s="686">
        <v>22</v>
      </c>
      <c r="N80" s="686">
        <v>14</v>
      </c>
      <c r="O80" s="748">
        <f t="shared" si="3"/>
        <v>0.63636363636363635</v>
      </c>
      <c r="P80" s="749">
        <f t="shared" si="4"/>
        <v>192.83746556473827</v>
      </c>
      <c r="Q80" s="750">
        <f t="shared" si="5"/>
        <v>1.9283746556473826</v>
      </c>
      <c r="R80" s="691"/>
    </row>
    <row r="81" spans="1:18" ht="26.25" thickBot="1" x14ac:dyDescent="0.25">
      <c r="A81" s="529" t="s">
        <v>276</v>
      </c>
      <c r="B81" s="534" t="s">
        <v>872</v>
      </c>
      <c r="C81" s="529" t="s">
        <v>1603</v>
      </c>
      <c r="D81" s="534" t="s">
        <v>109</v>
      </c>
      <c r="E81" s="534" t="s">
        <v>828</v>
      </c>
      <c r="F81" s="527" t="s">
        <v>829</v>
      </c>
      <c r="G81" s="534" t="s">
        <v>784</v>
      </c>
      <c r="H81" s="534" t="s">
        <v>77</v>
      </c>
      <c r="I81" s="693" t="s">
        <v>7</v>
      </c>
      <c r="J81" s="535">
        <v>100</v>
      </c>
      <c r="K81" s="732">
        <v>100</v>
      </c>
      <c r="L81" s="538" t="s">
        <v>880</v>
      </c>
      <c r="M81" s="686">
        <v>8</v>
      </c>
      <c r="N81" s="686">
        <v>6</v>
      </c>
      <c r="O81" s="748">
        <f t="shared" si="3"/>
        <v>0.75</v>
      </c>
      <c r="P81" s="749">
        <f t="shared" si="4"/>
        <v>75</v>
      </c>
      <c r="Q81" s="750">
        <f t="shared" si="5"/>
        <v>0.75</v>
      </c>
      <c r="R81" s="691"/>
    </row>
    <row r="82" spans="1:18" ht="13.5" thickBot="1" x14ac:dyDescent="0.25">
      <c r="A82" s="529" t="s">
        <v>276</v>
      </c>
      <c r="B82" s="534" t="s">
        <v>872</v>
      </c>
      <c r="C82" s="529" t="s">
        <v>1603</v>
      </c>
      <c r="D82" s="534" t="s">
        <v>109</v>
      </c>
      <c r="E82" s="534" t="s">
        <v>828</v>
      </c>
      <c r="F82" s="527" t="s">
        <v>830</v>
      </c>
      <c r="G82" s="534" t="s">
        <v>831</v>
      </c>
      <c r="H82" s="534" t="s">
        <v>77</v>
      </c>
      <c r="I82" s="693" t="s">
        <v>7</v>
      </c>
      <c r="J82" s="535">
        <v>33</v>
      </c>
      <c r="K82" s="732">
        <v>33</v>
      </c>
      <c r="L82" s="538"/>
      <c r="M82" s="686">
        <v>8</v>
      </c>
      <c r="N82" s="686">
        <v>3</v>
      </c>
      <c r="O82" s="748">
        <f t="shared" si="3"/>
        <v>0.375</v>
      </c>
      <c r="P82" s="749">
        <f t="shared" si="4"/>
        <v>113.63636363636363</v>
      </c>
      <c r="Q82" s="750">
        <f t="shared" si="5"/>
        <v>1.1363636363636362</v>
      </c>
      <c r="R82" s="691"/>
    </row>
    <row r="83" spans="1:18" ht="26.25" thickBot="1" x14ac:dyDescent="0.25">
      <c r="A83" s="529" t="s">
        <v>276</v>
      </c>
      <c r="B83" s="534" t="s">
        <v>872</v>
      </c>
      <c r="C83" s="529" t="s">
        <v>1603</v>
      </c>
      <c r="D83" s="534" t="s">
        <v>109</v>
      </c>
      <c r="E83" s="534" t="s">
        <v>832</v>
      </c>
      <c r="F83" s="527" t="s">
        <v>829</v>
      </c>
      <c r="G83" s="534" t="s">
        <v>790</v>
      </c>
      <c r="H83" s="534" t="s">
        <v>77</v>
      </c>
      <c r="I83" s="693" t="s">
        <v>7</v>
      </c>
      <c r="J83" s="535">
        <v>25</v>
      </c>
      <c r="K83" s="732">
        <v>25</v>
      </c>
      <c r="L83" s="538"/>
      <c r="M83" s="686">
        <v>8</v>
      </c>
      <c r="N83" s="686">
        <v>2</v>
      </c>
      <c r="O83" s="748">
        <f t="shared" si="3"/>
        <v>0.25</v>
      </c>
      <c r="P83" s="749">
        <f t="shared" si="4"/>
        <v>100</v>
      </c>
      <c r="Q83" s="750">
        <f t="shared" si="5"/>
        <v>1</v>
      </c>
      <c r="R83" s="691"/>
    </row>
    <row r="84" spans="1:18" ht="26.25" thickBot="1" x14ac:dyDescent="0.25">
      <c r="A84" s="529" t="s">
        <v>276</v>
      </c>
      <c r="B84" s="534" t="s">
        <v>872</v>
      </c>
      <c r="C84" s="529" t="s">
        <v>1603</v>
      </c>
      <c r="D84" s="534" t="s">
        <v>109</v>
      </c>
      <c r="E84" s="534" t="s">
        <v>832</v>
      </c>
      <c r="F84" s="527" t="s">
        <v>830</v>
      </c>
      <c r="G84" s="534" t="s">
        <v>790</v>
      </c>
      <c r="H84" s="534" t="s">
        <v>77</v>
      </c>
      <c r="I84" s="693" t="s">
        <v>7</v>
      </c>
      <c r="J84" s="535">
        <v>25</v>
      </c>
      <c r="K84" s="732">
        <v>25</v>
      </c>
      <c r="L84" s="538"/>
      <c r="M84" s="686">
        <v>8</v>
      </c>
      <c r="N84" s="686">
        <v>2</v>
      </c>
      <c r="O84" s="748">
        <f t="shared" si="3"/>
        <v>0.25</v>
      </c>
      <c r="P84" s="749">
        <f t="shared" si="4"/>
        <v>100</v>
      </c>
      <c r="Q84" s="750">
        <f t="shared" si="5"/>
        <v>1</v>
      </c>
      <c r="R84" s="691"/>
    </row>
    <row r="85" spans="1:18" ht="39" thickBot="1" x14ac:dyDescent="0.25">
      <c r="A85" s="529" t="s">
        <v>276</v>
      </c>
      <c r="B85" s="534" t="s">
        <v>872</v>
      </c>
      <c r="C85" s="529" t="s">
        <v>1603</v>
      </c>
      <c r="D85" s="534" t="s">
        <v>109</v>
      </c>
      <c r="E85" s="534" t="s">
        <v>833</v>
      </c>
      <c r="F85" s="527" t="s">
        <v>834</v>
      </c>
      <c r="G85" s="534" t="s">
        <v>790</v>
      </c>
      <c r="H85" s="534" t="s">
        <v>77</v>
      </c>
      <c r="I85" s="693" t="s">
        <v>7</v>
      </c>
      <c r="J85" s="535">
        <v>25</v>
      </c>
      <c r="K85" s="732">
        <v>25</v>
      </c>
      <c r="L85" s="538" t="s">
        <v>881</v>
      </c>
      <c r="M85" s="686">
        <v>8</v>
      </c>
      <c r="N85" s="686">
        <v>2</v>
      </c>
      <c r="O85" s="748">
        <f t="shared" si="3"/>
        <v>0.25</v>
      </c>
      <c r="P85" s="749">
        <f t="shared" si="4"/>
        <v>100</v>
      </c>
      <c r="Q85" s="750">
        <f t="shared" si="5"/>
        <v>1</v>
      </c>
      <c r="R85" s="691"/>
    </row>
    <row r="86" spans="1:18" ht="26.25" thickBot="1" x14ac:dyDescent="0.25">
      <c r="A86" s="529" t="s">
        <v>276</v>
      </c>
      <c r="B86" s="534" t="s">
        <v>872</v>
      </c>
      <c r="C86" s="529" t="s">
        <v>1603</v>
      </c>
      <c r="D86" s="534" t="s">
        <v>109</v>
      </c>
      <c r="E86" s="534" t="s">
        <v>833</v>
      </c>
      <c r="F86" s="527" t="s">
        <v>835</v>
      </c>
      <c r="G86" s="534" t="s">
        <v>790</v>
      </c>
      <c r="H86" s="534" t="s">
        <v>77</v>
      </c>
      <c r="I86" s="693" t="s">
        <v>7</v>
      </c>
      <c r="J86" s="535">
        <v>33</v>
      </c>
      <c r="K86" s="732">
        <v>33</v>
      </c>
      <c r="L86" s="538"/>
      <c r="M86" s="686">
        <v>8</v>
      </c>
      <c r="N86" s="686">
        <v>3</v>
      </c>
      <c r="O86" s="748">
        <f t="shared" si="3"/>
        <v>0.375</v>
      </c>
      <c r="P86" s="749">
        <f t="shared" si="4"/>
        <v>113.63636363636363</v>
      </c>
      <c r="Q86" s="750">
        <f t="shared" si="5"/>
        <v>1.1363636363636362</v>
      </c>
      <c r="R86" s="691"/>
    </row>
    <row r="87" spans="1:18" ht="26.25" thickBot="1" x14ac:dyDescent="0.25">
      <c r="A87" s="529" t="s">
        <v>276</v>
      </c>
      <c r="B87" s="534" t="s">
        <v>872</v>
      </c>
      <c r="C87" s="529" t="s">
        <v>1603</v>
      </c>
      <c r="D87" s="534" t="s">
        <v>109</v>
      </c>
      <c r="E87" s="534" t="s">
        <v>836</v>
      </c>
      <c r="F87" s="527" t="s">
        <v>834</v>
      </c>
      <c r="G87" s="534" t="s">
        <v>790</v>
      </c>
      <c r="H87" s="534" t="s">
        <v>77</v>
      </c>
      <c r="I87" s="693" t="s">
        <v>7</v>
      </c>
      <c r="J87" s="535">
        <v>25</v>
      </c>
      <c r="K87" s="732">
        <v>25</v>
      </c>
      <c r="L87" s="538"/>
      <c r="M87" s="686">
        <v>8</v>
      </c>
      <c r="N87" s="686">
        <v>2</v>
      </c>
      <c r="O87" s="748">
        <f t="shared" si="3"/>
        <v>0.25</v>
      </c>
      <c r="P87" s="749">
        <f t="shared" si="4"/>
        <v>100</v>
      </c>
      <c r="Q87" s="750">
        <f t="shared" si="5"/>
        <v>1</v>
      </c>
      <c r="R87" s="691"/>
    </row>
    <row r="88" spans="1:18" ht="26.25" thickBot="1" x14ac:dyDescent="0.25">
      <c r="A88" s="529" t="s">
        <v>276</v>
      </c>
      <c r="B88" s="534" t="s">
        <v>872</v>
      </c>
      <c r="C88" s="529" t="s">
        <v>1603</v>
      </c>
      <c r="D88" s="534" t="s">
        <v>109</v>
      </c>
      <c r="E88" s="534" t="s">
        <v>837</v>
      </c>
      <c r="F88" s="527" t="s">
        <v>834</v>
      </c>
      <c r="G88" s="534" t="s">
        <v>790</v>
      </c>
      <c r="H88" s="534" t="s">
        <v>77</v>
      </c>
      <c r="I88" s="693" t="s">
        <v>7</v>
      </c>
      <c r="J88" s="535">
        <v>25</v>
      </c>
      <c r="K88" s="732">
        <v>25</v>
      </c>
      <c r="L88" s="538"/>
      <c r="M88" s="686">
        <v>8</v>
      </c>
      <c r="N88" s="686">
        <v>0</v>
      </c>
      <c r="O88" s="748">
        <f t="shared" si="3"/>
        <v>0</v>
      </c>
      <c r="P88" s="749">
        <f t="shared" si="4"/>
        <v>0</v>
      </c>
      <c r="Q88" s="750">
        <f t="shared" si="5"/>
        <v>0</v>
      </c>
      <c r="R88" s="691"/>
    </row>
    <row r="89" spans="1:18" ht="13.5" thickBot="1" x14ac:dyDescent="0.25">
      <c r="A89" s="529" t="s">
        <v>276</v>
      </c>
      <c r="B89" s="534" t="s">
        <v>872</v>
      </c>
      <c r="C89" s="529" t="s">
        <v>1603</v>
      </c>
      <c r="D89" s="534" t="s">
        <v>109</v>
      </c>
      <c r="E89" s="534" t="s">
        <v>838</v>
      </c>
      <c r="F89" s="527" t="s">
        <v>834</v>
      </c>
      <c r="G89" s="534" t="s">
        <v>784</v>
      </c>
      <c r="H89" s="534" t="s">
        <v>77</v>
      </c>
      <c r="I89" s="693" t="s">
        <v>7</v>
      </c>
      <c r="J89" s="535">
        <v>100</v>
      </c>
      <c r="K89" s="732">
        <v>100</v>
      </c>
      <c r="L89" s="538"/>
      <c r="M89" s="686">
        <v>8</v>
      </c>
      <c r="N89" s="686">
        <v>6</v>
      </c>
      <c r="O89" s="748">
        <f t="shared" si="3"/>
        <v>0.75</v>
      </c>
      <c r="P89" s="749">
        <f t="shared" si="4"/>
        <v>75</v>
      </c>
      <c r="Q89" s="750">
        <f t="shared" si="5"/>
        <v>0.75</v>
      </c>
      <c r="R89" s="691"/>
    </row>
    <row r="90" spans="1:18" ht="13.5" thickBot="1" x14ac:dyDescent="0.25">
      <c r="A90" s="529" t="s">
        <v>276</v>
      </c>
      <c r="B90" s="534" t="s">
        <v>872</v>
      </c>
      <c r="C90" s="529" t="s">
        <v>1603</v>
      </c>
      <c r="D90" s="534" t="s">
        <v>109</v>
      </c>
      <c r="E90" s="534" t="s">
        <v>839</v>
      </c>
      <c r="F90" s="527" t="s">
        <v>834</v>
      </c>
      <c r="G90" s="534" t="s">
        <v>784</v>
      </c>
      <c r="H90" s="534" t="s">
        <v>77</v>
      </c>
      <c r="I90" s="693" t="s">
        <v>7</v>
      </c>
      <c r="J90" s="533">
        <v>100</v>
      </c>
      <c r="K90" s="733">
        <v>100</v>
      </c>
      <c r="L90" s="538"/>
      <c r="M90" s="686">
        <v>8</v>
      </c>
      <c r="N90" s="686">
        <v>6</v>
      </c>
      <c r="O90" s="748">
        <f t="shared" si="3"/>
        <v>0.75</v>
      </c>
      <c r="P90" s="749">
        <f t="shared" si="4"/>
        <v>75</v>
      </c>
      <c r="Q90" s="750">
        <f t="shared" si="5"/>
        <v>0.75</v>
      </c>
      <c r="R90" s="691"/>
    </row>
    <row r="91" spans="1:18" ht="26.25" thickBot="1" x14ac:dyDescent="0.25">
      <c r="A91" s="529" t="s">
        <v>276</v>
      </c>
      <c r="B91" s="534" t="s">
        <v>872</v>
      </c>
      <c r="C91" s="529" t="s">
        <v>1603</v>
      </c>
      <c r="D91" s="534" t="s">
        <v>109</v>
      </c>
      <c r="E91" s="534" t="s">
        <v>840</v>
      </c>
      <c r="F91" s="527" t="s">
        <v>834</v>
      </c>
      <c r="G91" s="534" t="s">
        <v>790</v>
      </c>
      <c r="H91" s="534" t="s">
        <v>77</v>
      </c>
      <c r="I91" s="693" t="s">
        <v>7</v>
      </c>
      <c r="J91" s="533">
        <v>25</v>
      </c>
      <c r="K91" s="733">
        <v>25</v>
      </c>
      <c r="L91" s="538"/>
      <c r="M91" s="686">
        <v>8</v>
      </c>
      <c r="N91" s="686">
        <v>0</v>
      </c>
      <c r="O91" s="748">
        <f t="shared" si="3"/>
        <v>0</v>
      </c>
      <c r="P91" s="749">
        <f t="shared" si="4"/>
        <v>0</v>
      </c>
      <c r="Q91" s="750">
        <f t="shared" si="5"/>
        <v>0</v>
      </c>
      <c r="R91" s="691"/>
    </row>
    <row r="92" spans="1:18" ht="26.25" thickBot="1" x14ac:dyDescent="0.25">
      <c r="A92" s="529" t="s">
        <v>276</v>
      </c>
      <c r="B92" s="534" t="s">
        <v>872</v>
      </c>
      <c r="C92" s="529" t="s">
        <v>1603</v>
      </c>
      <c r="D92" s="534" t="s">
        <v>109</v>
      </c>
      <c r="E92" s="534" t="s">
        <v>841</v>
      </c>
      <c r="F92" s="527" t="s">
        <v>834</v>
      </c>
      <c r="G92" s="534" t="s">
        <v>790</v>
      </c>
      <c r="H92" s="534" t="s">
        <v>77</v>
      </c>
      <c r="I92" s="693" t="s">
        <v>7</v>
      </c>
      <c r="J92" s="533">
        <v>25</v>
      </c>
      <c r="K92" s="733">
        <v>25</v>
      </c>
      <c r="L92" s="538"/>
      <c r="M92" s="686">
        <v>8</v>
      </c>
      <c r="N92" s="686">
        <v>0</v>
      </c>
      <c r="O92" s="748">
        <f t="shared" si="3"/>
        <v>0</v>
      </c>
      <c r="P92" s="749">
        <f t="shared" si="4"/>
        <v>0</v>
      </c>
      <c r="Q92" s="750">
        <f t="shared" si="5"/>
        <v>0</v>
      </c>
      <c r="R92" s="691"/>
    </row>
    <row r="93" spans="1:18" ht="13.5" thickBot="1" x14ac:dyDescent="0.25">
      <c r="A93" s="529" t="s">
        <v>276</v>
      </c>
      <c r="B93" s="534" t="s">
        <v>872</v>
      </c>
      <c r="C93" s="529" t="s">
        <v>1603</v>
      </c>
      <c r="D93" s="534" t="s">
        <v>109</v>
      </c>
      <c r="E93" s="534" t="s">
        <v>842</v>
      </c>
      <c r="F93" s="536" t="s">
        <v>843</v>
      </c>
      <c r="G93" s="534" t="s">
        <v>784</v>
      </c>
      <c r="H93" s="534" t="s">
        <v>77</v>
      </c>
      <c r="I93" s="693" t="s">
        <v>7</v>
      </c>
      <c r="J93" s="533">
        <v>100</v>
      </c>
      <c r="K93" s="733">
        <v>100</v>
      </c>
      <c r="L93" s="538"/>
      <c r="M93" s="686">
        <v>8</v>
      </c>
      <c r="N93" s="686">
        <v>6</v>
      </c>
      <c r="O93" s="748">
        <f t="shared" si="3"/>
        <v>0.75</v>
      </c>
      <c r="P93" s="749">
        <f t="shared" si="4"/>
        <v>75</v>
      </c>
      <c r="Q93" s="750">
        <f t="shared" si="5"/>
        <v>0.75</v>
      </c>
      <c r="R93" s="691"/>
    </row>
    <row r="94" spans="1:18" ht="13.5" thickBot="1" x14ac:dyDescent="0.25">
      <c r="A94" s="529" t="s">
        <v>276</v>
      </c>
      <c r="B94" s="534" t="s">
        <v>872</v>
      </c>
      <c r="C94" s="529" t="s">
        <v>1603</v>
      </c>
      <c r="D94" s="534" t="s">
        <v>109</v>
      </c>
      <c r="E94" s="534" t="s">
        <v>844</v>
      </c>
      <c r="F94" s="536" t="s">
        <v>843</v>
      </c>
      <c r="G94" s="534" t="s">
        <v>784</v>
      </c>
      <c r="H94" s="534" t="s">
        <v>77</v>
      </c>
      <c r="I94" s="693" t="s">
        <v>7</v>
      </c>
      <c r="J94" s="533">
        <v>100</v>
      </c>
      <c r="K94" s="733">
        <v>100</v>
      </c>
      <c r="L94" s="538"/>
      <c r="M94" s="686">
        <v>8</v>
      </c>
      <c r="N94" s="686">
        <v>6</v>
      </c>
      <c r="O94" s="748">
        <f t="shared" si="3"/>
        <v>0.75</v>
      </c>
      <c r="P94" s="749">
        <f t="shared" si="4"/>
        <v>75</v>
      </c>
      <c r="Q94" s="750">
        <f t="shared" si="5"/>
        <v>0.75</v>
      </c>
      <c r="R94" s="691"/>
    </row>
    <row r="95" spans="1:18" ht="26.25" thickBot="1" x14ac:dyDescent="0.25">
      <c r="A95" s="529" t="s">
        <v>276</v>
      </c>
      <c r="B95" s="534" t="s">
        <v>872</v>
      </c>
      <c r="C95" s="529" t="s">
        <v>1603</v>
      </c>
      <c r="D95" s="534" t="s">
        <v>109</v>
      </c>
      <c r="E95" s="534" t="s">
        <v>845</v>
      </c>
      <c r="F95" s="536" t="s">
        <v>830</v>
      </c>
      <c r="G95" s="534" t="s">
        <v>790</v>
      </c>
      <c r="H95" s="534" t="s">
        <v>77</v>
      </c>
      <c r="I95" s="693" t="s">
        <v>7</v>
      </c>
      <c r="J95" s="533">
        <v>33</v>
      </c>
      <c r="K95" s="733">
        <v>33</v>
      </c>
      <c r="L95" s="538"/>
      <c r="M95" s="686">
        <v>8</v>
      </c>
      <c r="N95" s="686">
        <v>3</v>
      </c>
      <c r="O95" s="748">
        <f t="shared" si="3"/>
        <v>0.375</v>
      </c>
      <c r="P95" s="749">
        <f t="shared" si="4"/>
        <v>113.63636363636363</v>
      </c>
      <c r="Q95" s="750">
        <f t="shared" si="5"/>
        <v>1.1363636363636362</v>
      </c>
      <c r="R95" s="691"/>
    </row>
    <row r="96" spans="1:18" ht="26.25" thickBot="1" x14ac:dyDescent="0.25">
      <c r="A96" s="529" t="s">
        <v>276</v>
      </c>
      <c r="B96" s="534" t="s">
        <v>872</v>
      </c>
      <c r="C96" s="529" t="s">
        <v>1603</v>
      </c>
      <c r="D96" s="534" t="s">
        <v>109</v>
      </c>
      <c r="E96" s="534" t="s">
        <v>846</v>
      </c>
      <c r="F96" s="536" t="s">
        <v>830</v>
      </c>
      <c r="G96" s="534" t="s">
        <v>790</v>
      </c>
      <c r="H96" s="534" t="s">
        <v>77</v>
      </c>
      <c r="I96" s="693" t="s">
        <v>7</v>
      </c>
      <c r="J96" s="533">
        <v>33</v>
      </c>
      <c r="K96" s="733">
        <v>33</v>
      </c>
      <c r="L96" s="538"/>
      <c r="M96" s="686">
        <v>8</v>
      </c>
      <c r="N96" s="686">
        <v>3</v>
      </c>
      <c r="O96" s="748">
        <f t="shared" si="3"/>
        <v>0.375</v>
      </c>
      <c r="P96" s="749">
        <f t="shared" si="4"/>
        <v>113.63636363636363</v>
      </c>
      <c r="Q96" s="750">
        <f t="shared" si="5"/>
        <v>1.1363636363636362</v>
      </c>
      <c r="R96" s="691"/>
    </row>
    <row r="97" spans="1:18" ht="26.25" thickBot="1" x14ac:dyDescent="0.25">
      <c r="A97" s="529" t="s">
        <v>276</v>
      </c>
      <c r="B97" s="534" t="s">
        <v>872</v>
      </c>
      <c r="C97" s="529" t="s">
        <v>1603</v>
      </c>
      <c r="D97" s="534" t="s">
        <v>109</v>
      </c>
      <c r="E97" s="534" t="s">
        <v>847</v>
      </c>
      <c r="F97" s="536" t="s">
        <v>830</v>
      </c>
      <c r="G97" s="534" t="s">
        <v>790</v>
      </c>
      <c r="H97" s="534" t="s">
        <v>77</v>
      </c>
      <c r="I97" s="693" t="s">
        <v>7</v>
      </c>
      <c r="J97" s="533">
        <v>33</v>
      </c>
      <c r="K97" s="733">
        <v>33</v>
      </c>
      <c r="L97" s="538"/>
      <c r="M97" s="686">
        <v>8</v>
      </c>
      <c r="N97" s="686">
        <v>3</v>
      </c>
      <c r="O97" s="748">
        <f t="shared" si="3"/>
        <v>0.375</v>
      </c>
      <c r="P97" s="749">
        <f t="shared" si="4"/>
        <v>113.63636363636363</v>
      </c>
      <c r="Q97" s="750">
        <f t="shared" si="5"/>
        <v>1.1363636363636362</v>
      </c>
      <c r="R97" s="691"/>
    </row>
    <row r="98" spans="1:18" ht="26.25" thickBot="1" x14ac:dyDescent="0.25">
      <c r="A98" s="529" t="s">
        <v>276</v>
      </c>
      <c r="B98" s="534" t="s">
        <v>872</v>
      </c>
      <c r="C98" s="529" t="s">
        <v>1603</v>
      </c>
      <c r="D98" s="534" t="s">
        <v>109</v>
      </c>
      <c r="E98" s="534" t="s">
        <v>848</v>
      </c>
      <c r="F98" s="536" t="s">
        <v>830</v>
      </c>
      <c r="G98" s="534" t="s">
        <v>790</v>
      </c>
      <c r="H98" s="534" t="s">
        <v>77</v>
      </c>
      <c r="I98" s="693" t="s">
        <v>7</v>
      </c>
      <c r="J98" s="533">
        <v>33</v>
      </c>
      <c r="K98" s="733">
        <v>33</v>
      </c>
      <c r="L98" s="538"/>
      <c r="M98" s="686">
        <v>8</v>
      </c>
      <c r="N98" s="686">
        <v>3</v>
      </c>
      <c r="O98" s="748">
        <f t="shared" si="3"/>
        <v>0.375</v>
      </c>
      <c r="P98" s="749">
        <f t="shared" si="4"/>
        <v>113.63636363636363</v>
      </c>
      <c r="Q98" s="750">
        <f t="shared" si="5"/>
        <v>1.1363636363636362</v>
      </c>
      <c r="R98" s="691"/>
    </row>
    <row r="99" spans="1:18" ht="26.25" thickBot="1" x14ac:dyDescent="0.25">
      <c r="A99" s="529" t="s">
        <v>276</v>
      </c>
      <c r="B99" s="534" t="s">
        <v>872</v>
      </c>
      <c r="C99" s="529" t="s">
        <v>1603</v>
      </c>
      <c r="D99" s="534" t="s">
        <v>109</v>
      </c>
      <c r="E99" s="534" t="s">
        <v>849</v>
      </c>
      <c r="F99" s="536" t="s">
        <v>830</v>
      </c>
      <c r="G99" s="534" t="s">
        <v>790</v>
      </c>
      <c r="H99" s="534" t="s">
        <v>77</v>
      </c>
      <c r="I99" s="693" t="s">
        <v>7</v>
      </c>
      <c r="J99" s="533">
        <v>33</v>
      </c>
      <c r="K99" s="733">
        <v>33</v>
      </c>
      <c r="L99" s="538"/>
      <c r="M99" s="686">
        <v>8</v>
      </c>
      <c r="N99" s="686">
        <v>3</v>
      </c>
      <c r="O99" s="748">
        <f t="shared" si="3"/>
        <v>0.375</v>
      </c>
      <c r="P99" s="749">
        <f t="shared" si="4"/>
        <v>113.63636363636363</v>
      </c>
      <c r="Q99" s="750">
        <f t="shared" si="5"/>
        <v>1.1363636363636362</v>
      </c>
      <c r="R99" s="691"/>
    </row>
    <row r="100" spans="1:18" ht="26.25" thickBot="1" x14ac:dyDescent="0.25">
      <c r="A100" s="529" t="s">
        <v>276</v>
      </c>
      <c r="B100" s="534" t="s">
        <v>872</v>
      </c>
      <c r="C100" s="529" t="s">
        <v>1603</v>
      </c>
      <c r="D100" s="534" t="s">
        <v>109</v>
      </c>
      <c r="E100" s="534" t="s">
        <v>850</v>
      </c>
      <c r="F100" s="536" t="s">
        <v>830</v>
      </c>
      <c r="G100" s="534" t="s">
        <v>790</v>
      </c>
      <c r="H100" s="534" t="s">
        <v>77</v>
      </c>
      <c r="I100" s="693" t="s">
        <v>7</v>
      </c>
      <c r="J100" s="533">
        <v>33</v>
      </c>
      <c r="K100" s="733">
        <v>33</v>
      </c>
      <c r="L100" s="538"/>
      <c r="M100" s="686">
        <v>8</v>
      </c>
      <c r="N100" s="686">
        <v>3</v>
      </c>
      <c r="O100" s="748">
        <f t="shared" si="3"/>
        <v>0.375</v>
      </c>
      <c r="P100" s="749">
        <f t="shared" si="4"/>
        <v>113.63636363636363</v>
      </c>
      <c r="Q100" s="750">
        <f t="shared" si="5"/>
        <v>1.1363636363636362</v>
      </c>
      <c r="R100" s="691"/>
    </row>
    <row r="101" spans="1:18" ht="13.5" thickBot="1" x14ac:dyDescent="0.25">
      <c r="A101" s="529" t="s">
        <v>276</v>
      </c>
      <c r="B101" s="534" t="s">
        <v>872</v>
      </c>
      <c r="C101" s="529" t="s">
        <v>1603</v>
      </c>
      <c r="D101" s="534" t="s">
        <v>109</v>
      </c>
      <c r="E101" s="534" t="s">
        <v>851</v>
      </c>
      <c r="F101" s="536" t="s">
        <v>834</v>
      </c>
      <c r="G101" s="534" t="s">
        <v>784</v>
      </c>
      <c r="H101" s="534" t="s">
        <v>77</v>
      </c>
      <c r="I101" s="693" t="s">
        <v>7</v>
      </c>
      <c r="J101" s="533">
        <v>100</v>
      </c>
      <c r="K101" s="733">
        <v>100</v>
      </c>
      <c r="L101" s="538"/>
      <c r="M101" s="686">
        <v>8</v>
      </c>
      <c r="N101" s="686">
        <v>6</v>
      </c>
      <c r="O101" s="748">
        <f t="shared" si="3"/>
        <v>0.75</v>
      </c>
      <c r="P101" s="749">
        <f t="shared" si="4"/>
        <v>75</v>
      </c>
      <c r="Q101" s="750">
        <f t="shared" si="5"/>
        <v>0.75</v>
      </c>
      <c r="R101" s="691"/>
    </row>
    <row r="102" spans="1:18" ht="13.5" thickBot="1" x14ac:dyDescent="0.25">
      <c r="A102" s="529" t="s">
        <v>276</v>
      </c>
      <c r="B102" s="534" t="s">
        <v>872</v>
      </c>
      <c r="C102" s="529" t="s">
        <v>1603</v>
      </c>
      <c r="D102" s="534" t="s">
        <v>109</v>
      </c>
      <c r="E102" s="534" t="s">
        <v>852</v>
      </c>
      <c r="F102" s="536" t="s">
        <v>834</v>
      </c>
      <c r="G102" s="534" t="s">
        <v>784</v>
      </c>
      <c r="H102" s="534" t="s">
        <v>77</v>
      </c>
      <c r="I102" s="693" t="s">
        <v>7</v>
      </c>
      <c r="J102" s="533">
        <v>100</v>
      </c>
      <c r="K102" s="733">
        <v>100</v>
      </c>
      <c r="L102" s="538"/>
      <c r="M102" s="686">
        <v>8</v>
      </c>
      <c r="N102" s="686">
        <v>6</v>
      </c>
      <c r="O102" s="748">
        <f t="shared" si="3"/>
        <v>0.75</v>
      </c>
      <c r="P102" s="749">
        <f t="shared" si="4"/>
        <v>75</v>
      </c>
      <c r="Q102" s="750">
        <f t="shared" si="5"/>
        <v>0.75</v>
      </c>
      <c r="R102" s="691"/>
    </row>
    <row r="103" spans="1:18" ht="26.25" thickBot="1" x14ac:dyDescent="0.25">
      <c r="A103" s="529" t="s">
        <v>276</v>
      </c>
      <c r="B103" s="534" t="s">
        <v>872</v>
      </c>
      <c r="C103" s="529" t="s">
        <v>1603</v>
      </c>
      <c r="D103" s="534" t="s">
        <v>109</v>
      </c>
      <c r="E103" s="534" t="s">
        <v>853</v>
      </c>
      <c r="F103" s="536" t="s">
        <v>834</v>
      </c>
      <c r="G103" s="534" t="s">
        <v>784</v>
      </c>
      <c r="H103" s="534" t="s">
        <v>77</v>
      </c>
      <c r="I103" s="693" t="s">
        <v>7</v>
      </c>
      <c r="J103" s="533">
        <v>100</v>
      </c>
      <c r="K103" s="733">
        <v>100</v>
      </c>
      <c r="L103" s="538"/>
      <c r="M103" s="686">
        <v>8</v>
      </c>
      <c r="N103" s="686">
        <v>6</v>
      </c>
      <c r="O103" s="748">
        <f t="shared" si="3"/>
        <v>0.75</v>
      </c>
      <c r="P103" s="749">
        <f t="shared" si="4"/>
        <v>75</v>
      </c>
      <c r="Q103" s="750">
        <f t="shared" si="5"/>
        <v>0.75</v>
      </c>
      <c r="R103" s="691"/>
    </row>
    <row r="104" spans="1:18" ht="26.25" thickBot="1" x14ac:dyDescent="0.25">
      <c r="A104" s="529" t="s">
        <v>276</v>
      </c>
      <c r="B104" s="534" t="s">
        <v>872</v>
      </c>
      <c r="C104" s="529" t="s">
        <v>1603</v>
      </c>
      <c r="D104" s="534" t="s">
        <v>109</v>
      </c>
      <c r="E104" s="534" t="s">
        <v>854</v>
      </c>
      <c r="F104" s="527" t="s">
        <v>829</v>
      </c>
      <c r="G104" s="534" t="s">
        <v>784</v>
      </c>
      <c r="H104" s="534" t="s">
        <v>77</v>
      </c>
      <c r="I104" s="693" t="s">
        <v>7</v>
      </c>
      <c r="J104" s="533">
        <v>100</v>
      </c>
      <c r="K104" s="733">
        <v>100</v>
      </c>
      <c r="L104" s="538" t="s">
        <v>880</v>
      </c>
      <c r="M104" s="686">
        <v>8</v>
      </c>
      <c r="N104" s="686">
        <v>6</v>
      </c>
      <c r="O104" s="748">
        <f t="shared" si="3"/>
        <v>0.75</v>
      </c>
      <c r="P104" s="749">
        <f t="shared" si="4"/>
        <v>75</v>
      </c>
      <c r="Q104" s="750">
        <f t="shared" si="5"/>
        <v>0.75</v>
      </c>
      <c r="R104" s="691"/>
    </row>
    <row r="105" spans="1:18" ht="26.25" thickBot="1" x14ac:dyDescent="0.25">
      <c r="A105" s="529" t="s">
        <v>276</v>
      </c>
      <c r="B105" s="534" t="s">
        <v>872</v>
      </c>
      <c r="C105" s="529" t="s">
        <v>1603</v>
      </c>
      <c r="D105" s="534" t="s">
        <v>109</v>
      </c>
      <c r="E105" s="534" t="s">
        <v>854</v>
      </c>
      <c r="F105" s="527" t="s">
        <v>830</v>
      </c>
      <c r="G105" s="534" t="s">
        <v>790</v>
      </c>
      <c r="H105" s="534" t="s">
        <v>77</v>
      </c>
      <c r="I105" s="693" t="s">
        <v>7</v>
      </c>
      <c r="J105" s="533">
        <v>33</v>
      </c>
      <c r="K105" s="733">
        <v>33</v>
      </c>
      <c r="L105" s="538"/>
      <c r="M105" s="686">
        <v>8</v>
      </c>
      <c r="N105" s="686">
        <v>3</v>
      </c>
      <c r="O105" s="748">
        <f t="shared" si="3"/>
        <v>0.375</v>
      </c>
      <c r="P105" s="749">
        <f t="shared" si="4"/>
        <v>113.63636363636363</v>
      </c>
      <c r="Q105" s="750">
        <f t="shared" si="5"/>
        <v>1.1363636363636362</v>
      </c>
      <c r="R105" s="691"/>
    </row>
    <row r="106" spans="1:18" ht="26.25" thickBot="1" x14ac:dyDescent="0.25">
      <c r="A106" s="529" t="s">
        <v>276</v>
      </c>
      <c r="B106" s="534" t="s">
        <v>872</v>
      </c>
      <c r="C106" s="529" t="s">
        <v>1603</v>
      </c>
      <c r="D106" s="534" t="s">
        <v>109</v>
      </c>
      <c r="E106" s="534" t="s">
        <v>855</v>
      </c>
      <c r="F106" s="536" t="s">
        <v>834</v>
      </c>
      <c r="G106" s="534" t="s">
        <v>790</v>
      </c>
      <c r="H106" s="534" t="s">
        <v>77</v>
      </c>
      <c r="I106" s="693" t="s">
        <v>7</v>
      </c>
      <c r="J106" s="533">
        <v>25</v>
      </c>
      <c r="K106" s="733">
        <v>25</v>
      </c>
      <c r="L106" s="538"/>
      <c r="M106" s="686">
        <v>8</v>
      </c>
      <c r="N106" s="686">
        <v>0</v>
      </c>
      <c r="O106" s="748">
        <f t="shared" si="3"/>
        <v>0</v>
      </c>
      <c r="P106" s="749">
        <f t="shared" si="4"/>
        <v>0</v>
      </c>
      <c r="Q106" s="750">
        <f t="shared" si="5"/>
        <v>0</v>
      </c>
      <c r="R106" s="691"/>
    </row>
    <row r="107" spans="1:18" ht="39" thickBot="1" x14ac:dyDescent="0.25">
      <c r="A107" s="529" t="s">
        <v>276</v>
      </c>
      <c r="B107" s="534" t="s">
        <v>872</v>
      </c>
      <c r="C107" s="529" t="s">
        <v>1603</v>
      </c>
      <c r="D107" s="534" t="s">
        <v>109</v>
      </c>
      <c r="E107" s="534" t="s">
        <v>856</v>
      </c>
      <c r="F107" s="536" t="s">
        <v>834</v>
      </c>
      <c r="G107" s="534" t="s">
        <v>790</v>
      </c>
      <c r="H107" s="534" t="s">
        <v>77</v>
      </c>
      <c r="I107" s="693" t="s">
        <v>7</v>
      </c>
      <c r="J107" s="533">
        <v>25</v>
      </c>
      <c r="K107" s="733">
        <v>25</v>
      </c>
      <c r="L107" s="538"/>
      <c r="M107" s="686">
        <v>8</v>
      </c>
      <c r="N107" s="686">
        <v>0</v>
      </c>
      <c r="O107" s="748">
        <f t="shared" si="3"/>
        <v>0</v>
      </c>
      <c r="P107" s="749">
        <f t="shared" si="4"/>
        <v>0</v>
      </c>
      <c r="Q107" s="750">
        <f t="shared" si="5"/>
        <v>0</v>
      </c>
      <c r="R107" s="691"/>
    </row>
    <row r="108" spans="1:18" ht="39" thickBot="1" x14ac:dyDescent="0.25">
      <c r="A108" s="529" t="s">
        <v>276</v>
      </c>
      <c r="B108" s="534" t="s">
        <v>872</v>
      </c>
      <c r="C108" s="529" t="s">
        <v>1603</v>
      </c>
      <c r="D108" s="534" t="s">
        <v>109</v>
      </c>
      <c r="E108" s="534" t="s">
        <v>857</v>
      </c>
      <c r="F108" s="536" t="s">
        <v>834</v>
      </c>
      <c r="G108" s="534" t="s">
        <v>784</v>
      </c>
      <c r="H108" s="534" t="s">
        <v>77</v>
      </c>
      <c r="I108" s="693" t="s">
        <v>7</v>
      </c>
      <c r="J108" s="533">
        <v>100</v>
      </c>
      <c r="K108" s="733">
        <v>100</v>
      </c>
      <c r="L108" s="538"/>
      <c r="M108" s="686">
        <v>8</v>
      </c>
      <c r="N108" s="686">
        <v>6</v>
      </c>
      <c r="O108" s="748">
        <f t="shared" si="3"/>
        <v>0.75</v>
      </c>
      <c r="P108" s="749">
        <f t="shared" si="4"/>
        <v>75</v>
      </c>
      <c r="Q108" s="750">
        <f t="shared" si="5"/>
        <v>0.75</v>
      </c>
      <c r="R108" s="691"/>
    </row>
    <row r="109" spans="1:18" ht="13.5" thickBot="1" x14ac:dyDescent="0.25">
      <c r="A109" s="529" t="s">
        <v>276</v>
      </c>
      <c r="B109" s="534" t="s">
        <v>872</v>
      </c>
      <c r="C109" s="529" t="s">
        <v>1603</v>
      </c>
      <c r="D109" s="534" t="s">
        <v>808</v>
      </c>
      <c r="E109" s="534" t="s">
        <v>858</v>
      </c>
      <c r="F109" s="536" t="s">
        <v>834</v>
      </c>
      <c r="G109" s="534" t="s">
        <v>784</v>
      </c>
      <c r="H109" s="534" t="s">
        <v>77</v>
      </c>
      <c r="I109" s="693" t="s">
        <v>7</v>
      </c>
      <c r="J109" s="533">
        <v>100</v>
      </c>
      <c r="K109" s="733">
        <v>100</v>
      </c>
      <c r="L109" s="538"/>
      <c r="M109" s="686">
        <v>8</v>
      </c>
      <c r="N109" s="686">
        <v>6</v>
      </c>
      <c r="O109" s="748">
        <f t="shared" si="3"/>
        <v>0.75</v>
      </c>
      <c r="P109" s="749">
        <f t="shared" si="4"/>
        <v>75</v>
      </c>
      <c r="Q109" s="750">
        <f t="shared" si="5"/>
        <v>0.75</v>
      </c>
      <c r="R109" s="691"/>
    </row>
    <row r="110" spans="1:18" ht="13.5" thickBot="1" x14ac:dyDescent="0.25">
      <c r="A110" s="529" t="s">
        <v>276</v>
      </c>
      <c r="B110" s="534" t="s">
        <v>872</v>
      </c>
      <c r="C110" s="529" t="s">
        <v>1603</v>
      </c>
      <c r="D110" s="534" t="s">
        <v>808</v>
      </c>
      <c r="E110" s="534" t="s">
        <v>859</v>
      </c>
      <c r="F110" s="536" t="s">
        <v>834</v>
      </c>
      <c r="G110" s="534" t="s">
        <v>784</v>
      </c>
      <c r="H110" s="534" t="s">
        <v>77</v>
      </c>
      <c r="I110" s="693" t="s">
        <v>7</v>
      </c>
      <c r="J110" s="533">
        <v>100</v>
      </c>
      <c r="K110" s="733">
        <v>100</v>
      </c>
      <c r="L110" s="538"/>
      <c r="M110" s="686">
        <v>8</v>
      </c>
      <c r="N110" s="686">
        <v>6</v>
      </c>
      <c r="O110" s="748">
        <f t="shared" si="3"/>
        <v>0.75</v>
      </c>
      <c r="P110" s="749">
        <f t="shared" si="4"/>
        <v>75</v>
      </c>
      <c r="Q110" s="750">
        <f t="shared" si="5"/>
        <v>0.75</v>
      </c>
      <c r="R110" s="691"/>
    </row>
    <row r="111" spans="1:18" ht="26.25" thickBot="1" x14ac:dyDescent="0.25">
      <c r="A111" s="529" t="s">
        <v>276</v>
      </c>
      <c r="B111" s="534" t="s">
        <v>872</v>
      </c>
      <c r="C111" s="529" t="s">
        <v>1603</v>
      </c>
      <c r="D111" s="534" t="s">
        <v>808</v>
      </c>
      <c r="E111" s="534" t="s">
        <v>860</v>
      </c>
      <c r="F111" s="536" t="s">
        <v>834</v>
      </c>
      <c r="G111" s="534" t="s">
        <v>790</v>
      </c>
      <c r="H111" s="534" t="s">
        <v>77</v>
      </c>
      <c r="I111" s="693" t="s">
        <v>7</v>
      </c>
      <c r="J111" s="533">
        <v>25</v>
      </c>
      <c r="K111" s="733">
        <v>25</v>
      </c>
      <c r="L111" s="538"/>
      <c r="M111" s="686">
        <v>8</v>
      </c>
      <c r="N111" s="686">
        <v>0</v>
      </c>
      <c r="O111" s="748">
        <f t="shared" si="3"/>
        <v>0</v>
      </c>
      <c r="P111" s="749">
        <f t="shared" si="4"/>
        <v>0</v>
      </c>
      <c r="Q111" s="750">
        <f t="shared" si="5"/>
        <v>0</v>
      </c>
      <c r="R111" s="691"/>
    </row>
    <row r="112" spans="1:18" ht="26.25" thickBot="1" x14ac:dyDescent="0.25">
      <c r="A112" s="529" t="s">
        <v>276</v>
      </c>
      <c r="B112" s="534" t="s">
        <v>872</v>
      </c>
      <c r="C112" s="529" t="s">
        <v>1603</v>
      </c>
      <c r="D112" s="534" t="s">
        <v>808</v>
      </c>
      <c r="E112" s="534" t="s">
        <v>861</v>
      </c>
      <c r="F112" s="536" t="s">
        <v>834</v>
      </c>
      <c r="G112" s="534" t="s">
        <v>790</v>
      </c>
      <c r="H112" s="534" t="s">
        <v>77</v>
      </c>
      <c r="I112" s="693" t="s">
        <v>7</v>
      </c>
      <c r="J112" s="533">
        <v>25</v>
      </c>
      <c r="K112" s="733">
        <v>25</v>
      </c>
      <c r="L112" s="538"/>
      <c r="M112" s="686">
        <v>8</v>
      </c>
      <c r="N112" s="686">
        <v>0</v>
      </c>
      <c r="O112" s="748">
        <f t="shared" si="3"/>
        <v>0</v>
      </c>
      <c r="P112" s="749">
        <f t="shared" si="4"/>
        <v>0</v>
      </c>
      <c r="Q112" s="750">
        <f t="shared" si="5"/>
        <v>0</v>
      </c>
      <c r="R112" s="691"/>
    </row>
    <row r="113" spans="1:18" ht="26.25" thickBot="1" x14ac:dyDescent="0.25">
      <c r="A113" s="529" t="s">
        <v>276</v>
      </c>
      <c r="B113" s="534" t="s">
        <v>872</v>
      </c>
      <c r="C113" s="529" t="s">
        <v>1603</v>
      </c>
      <c r="D113" s="534" t="s">
        <v>808</v>
      </c>
      <c r="E113" s="534" t="s">
        <v>862</v>
      </c>
      <c r="F113" s="536" t="s">
        <v>834</v>
      </c>
      <c r="G113" s="534" t="s">
        <v>790</v>
      </c>
      <c r="H113" s="534" t="s">
        <v>77</v>
      </c>
      <c r="I113" s="693" t="s">
        <v>7</v>
      </c>
      <c r="J113" s="533">
        <v>25</v>
      </c>
      <c r="K113" s="733">
        <v>25</v>
      </c>
      <c r="L113" s="538"/>
      <c r="M113" s="686">
        <v>8</v>
      </c>
      <c r="N113" s="686">
        <v>0</v>
      </c>
      <c r="O113" s="748">
        <f t="shared" si="3"/>
        <v>0</v>
      </c>
      <c r="P113" s="749">
        <f t="shared" si="4"/>
        <v>0</v>
      </c>
      <c r="Q113" s="750">
        <f t="shared" si="5"/>
        <v>0</v>
      </c>
      <c r="R113" s="691"/>
    </row>
    <row r="114" spans="1:18" ht="26.25" thickBot="1" x14ac:dyDescent="0.25">
      <c r="A114" s="529" t="s">
        <v>276</v>
      </c>
      <c r="B114" s="534" t="s">
        <v>872</v>
      </c>
      <c r="C114" s="529" t="s">
        <v>1603</v>
      </c>
      <c r="D114" s="534" t="s">
        <v>808</v>
      </c>
      <c r="E114" s="534" t="s">
        <v>863</v>
      </c>
      <c r="F114" s="536" t="s">
        <v>834</v>
      </c>
      <c r="G114" s="534" t="s">
        <v>790</v>
      </c>
      <c r="H114" s="534" t="s">
        <v>77</v>
      </c>
      <c r="I114" s="693" t="s">
        <v>7</v>
      </c>
      <c r="J114" s="533">
        <v>25</v>
      </c>
      <c r="K114" s="733">
        <v>25</v>
      </c>
      <c r="L114" s="538"/>
      <c r="M114" s="686">
        <v>8</v>
      </c>
      <c r="N114" s="686">
        <v>0</v>
      </c>
      <c r="O114" s="748">
        <f t="shared" si="3"/>
        <v>0</v>
      </c>
      <c r="P114" s="749">
        <f t="shared" si="4"/>
        <v>0</v>
      </c>
      <c r="Q114" s="750">
        <f t="shared" si="5"/>
        <v>0</v>
      </c>
      <c r="R114" s="691"/>
    </row>
    <row r="115" spans="1:18" ht="26.25" thickBot="1" x14ac:dyDescent="0.25">
      <c r="A115" s="529" t="s">
        <v>276</v>
      </c>
      <c r="B115" s="534" t="s">
        <v>872</v>
      </c>
      <c r="C115" s="529" t="s">
        <v>1603</v>
      </c>
      <c r="D115" s="534" t="s">
        <v>808</v>
      </c>
      <c r="E115" s="534" t="s">
        <v>864</v>
      </c>
      <c r="F115" s="527" t="s">
        <v>834</v>
      </c>
      <c r="G115" s="534" t="s">
        <v>784</v>
      </c>
      <c r="H115" s="534" t="s">
        <v>77</v>
      </c>
      <c r="I115" s="693" t="s">
        <v>7</v>
      </c>
      <c r="J115" s="533">
        <v>100</v>
      </c>
      <c r="K115" s="733">
        <v>100</v>
      </c>
      <c r="L115" s="538"/>
      <c r="M115" s="686">
        <v>8</v>
      </c>
      <c r="N115" s="686">
        <v>6</v>
      </c>
      <c r="O115" s="748">
        <f t="shared" si="3"/>
        <v>0.75</v>
      </c>
      <c r="P115" s="749">
        <f t="shared" si="4"/>
        <v>75</v>
      </c>
      <c r="Q115" s="750">
        <f t="shared" si="5"/>
        <v>0.75</v>
      </c>
      <c r="R115" s="691"/>
    </row>
    <row r="116" spans="1:18" ht="26.25" thickBot="1" x14ac:dyDescent="0.25">
      <c r="A116" s="529" t="s">
        <v>276</v>
      </c>
      <c r="B116" s="534" t="s">
        <v>872</v>
      </c>
      <c r="C116" s="529" t="s">
        <v>1603</v>
      </c>
      <c r="D116" s="534" t="s">
        <v>808</v>
      </c>
      <c r="E116" s="534" t="s">
        <v>864</v>
      </c>
      <c r="F116" s="527" t="s">
        <v>830</v>
      </c>
      <c r="G116" s="534" t="s">
        <v>865</v>
      </c>
      <c r="H116" s="534" t="s">
        <v>77</v>
      </c>
      <c r="I116" s="693" t="s">
        <v>7</v>
      </c>
      <c r="J116" s="533">
        <v>33</v>
      </c>
      <c r="K116" s="733">
        <v>33</v>
      </c>
      <c r="L116" s="538"/>
      <c r="M116" s="686">
        <v>8</v>
      </c>
      <c r="N116" s="686">
        <v>3</v>
      </c>
      <c r="O116" s="748">
        <f t="shared" si="3"/>
        <v>0.375</v>
      </c>
      <c r="P116" s="749">
        <f t="shared" si="4"/>
        <v>113.63636363636363</v>
      </c>
      <c r="Q116" s="750">
        <f t="shared" si="5"/>
        <v>1.1363636363636362</v>
      </c>
      <c r="R116" s="691"/>
    </row>
    <row r="117" spans="1:18" ht="26.25" thickBot="1" x14ac:dyDescent="0.25">
      <c r="A117" s="529" t="s">
        <v>276</v>
      </c>
      <c r="B117" s="534" t="s">
        <v>872</v>
      </c>
      <c r="C117" s="529" t="s">
        <v>1603</v>
      </c>
      <c r="D117" s="534" t="s">
        <v>808</v>
      </c>
      <c r="E117" s="534" t="s">
        <v>815</v>
      </c>
      <c r="F117" s="527" t="s">
        <v>834</v>
      </c>
      <c r="G117" s="534" t="s">
        <v>866</v>
      </c>
      <c r="H117" s="534" t="s">
        <v>77</v>
      </c>
      <c r="I117" s="693" t="s">
        <v>7</v>
      </c>
      <c r="J117" s="533">
        <v>100</v>
      </c>
      <c r="K117" s="733">
        <v>100</v>
      </c>
      <c r="L117" s="538" t="s">
        <v>880</v>
      </c>
      <c r="M117" s="686">
        <v>8</v>
      </c>
      <c r="N117" s="686">
        <v>6</v>
      </c>
      <c r="O117" s="748">
        <f t="shared" si="3"/>
        <v>0.75</v>
      </c>
      <c r="P117" s="749">
        <f t="shared" si="4"/>
        <v>75</v>
      </c>
      <c r="Q117" s="750">
        <f t="shared" si="5"/>
        <v>0.75</v>
      </c>
      <c r="R117" s="691"/>
    </row>
    <row r="118" spans="1:18" ht="13.5" thickBot="1" x14ac:dyDescent="0.25">
      <c r="A118" s="529" t="s">
        <v>276</v>
      </c>
      <c r="B118" s="534" t="s">
        <v>872</v>
      </c>
      <c r="C118" s="529" t="s">
        <v>1603</v>
      </c>
      <c r="D118" s="534" t="s">
        <v>808</v>
      </c>
      <c r="E118" s="534" t="s">
        <v>815</v>
      </c>
      <c r="F118" s="527" t="s">
        <v>830</v>
      </c>
      <c r="G118" s="534" t="s">
        <v>865</v>
      </c>
      <c r="H118" s="534" t="s">
        <v>77</v>
      </c>
      <c r="I118" s="693" t="s">
        <v>7</v>
      </c>
      <c r="J118" s="533">
        <v>33</v>
      </c>
      <c r="K118" s="733">
        <v>33</v>
      </c>
      <c r="L118" s="538"/>
      <c r="M118" s="686">
        <v>8</v>
      </c>
      <c r="N118" s="686">
        <v>3</v>
      </c>
      <c r="O118" s="748">
        <f t="shared" si="3"/>
        <v>0.375</v>
      </c>
      <c r="P118" s="749">
        <f t="shared" si="4"/>
        <v>113.63636363636363</v>
      </c>
      <c r="Q118" s="750">
        <f t="shared" si="5"/>
        <v>1.1363636363636362</v>
      </c>
      <c r="R118" s="691"/>
    </row>
    <row r="119" spans="1:18" ht="26.25" thickBot="1" x14ac:dyDescent="0.25">
      <c r="A119" s="526" t="s">
        <v>276</v>
      </c>
      <c r="B119" s="530" t="s">
        <v>873</v>
      </c>
      <c r="C119" s="526" t="s">
        <v>1604</v>
      </c>
      <c r="D119" s="530" t="s">
        <v>109</v>
      </c>
      <c r="E119" s="530" t="s">
        <v>828</v>
      </c>
      <c r="F119" s="528" t="s">
        <v>829</v>
      </c>
      <c r="G119" s="530" t="s">
        <v>784</v>
      </c>
      <c r="H119" s="530" t="s">
        <v>77</v>
      </c>
      <c r="I119" s="693" t="s">
        <v>7</v>
      </c>
      <c r="J119" s="531">
        <v>100</v>
      </c>
      <c r="K119" s="730">
        <v>100</v>
      </c>
      <c r="L119" s="537" t="s">
        <v>880</v>
      </c>
      <c r="M119" s="686">
        <v>61</v>
      </c>
      <c r="N119" s="686">
        <v>47</v>
      </c>
      <c r="O119" s="748">
        <f t="shared" si="3"/>
        <v>0.77049180327868849</v>
      </c>
      <c r="P119" s="749">
        <f t="shared" si="4"/>
        <v>77.049180327868854</v>
      </c>
      <c r="Q119" s="750">
        <f t="shared" si="5"/>
        <v>0.77049180327868849</v>
      </c>
      <c r="R119" s="691"/>
    </row>
    <row r="120" spans="1:18" ht="13.5" thickBot="1" x14ac:dyDescent="0.25">
      <c r="A120" s="526" t="s">
        <v>276</v>
      </c>
      <c r="B120" s="530" t="s">
        <v>873</v>
      </c>
      <c r="C120" s="526" t="s">
        <v>1604</v>
      </c>
      <c r="D120" s="530" t="s">
        <v>109</v>
      </c>
      <c r="E120" s="530" t="s">
        <v>828</v>
      </c>
      <c r="F120" s="528" t="s">
        <v>830</v>
      </c>
      <c r="G120" s="530" t="s">
        <v>831</v>
      </c>
      <c r="H120" s="530" t="s">
        <v>77</v>
      </c>
      <c r="I120" s="693" t="s">
        <v>7</v>
      </c>
      <c r="J120" s="531">
        <v>33</v>
      </c>
      <c r="K120" s="730">
        <v>33</v>
      </c>
      <c r="L120" s="537"/>
      <c r="M120" s="686">
        <v>61</v>
      </c>
      <c r="N120" s="686">
        <v>21</v>
      </c>
      <c r="O120" s="748">
        <f t="shared" si="3"/>
        <v>0.34426229508196721</v>
      </c>
      <c r="P120" s="749">
        <f t="shared" si="4"/>
        <v>104.32190760059612</v>
      </c>
      <c r="Q120" s="750">
        <f t="shared" si="5"/>
        <v>1.0432190760059612</v>
      </c>
      <c r="R120" s="691"/>
    </row>
    <row r="121" spans="1:18" ht="26.25" thickBot="1" x14ac:dyDescent="0.25">
      <c r="A121" s="526" t="s">
        <v>276</v>
      </c>
      <c r="B121" s="530" t="s">
        <v>873</v>
      </c>
      <c r="C121" s="526" t="s">
        <v>1604</v>
      </c>
      <c r="D121" s="530" t="s">
        <v>109</v>
      </c>
      <c r="E121" s="530" t="s">
        <v>832</v>
      </c>
      <c r="F121" s="528" t="s">
        <v>829</v>
      </c>
      <c r="G121" s="530" t="s">
        <v>790</v>
      </c>
      <c r="H121" s="530" t="s">
        <v>77</v>
      </c>
      <c r="I121" s="693" t="s">
        <v>7</v>
      </c>
      <c r="J121" s="531">
        <v>25</v>
      </c>
      <c r="K121" s="730">
        <v>25</v>
      </c>
      <c r="L121" s="537"/>
      <c r="M121" s="686">
        <v>61</v>
      </c>
      <c r="N121" s="686">
        <v>19</v>
      </c>
      <c r="O121" s="748">
        <f t="shared" si="3"/>
        <v>0.31147540983606559</v>
      </c>
      <c r="P121" s="749">
        <f t="shared" si="4"/>
        <v>124.59016393442623</v>
      </c>
      <c r="Q121" s="750">
        <f t="shared" si="5"/>
        <v>1.2459016393442623</v>
      </c>
      <c r="R121" s="691"/>
    </row>
    <row r="122" spans="1:18" ht="26.25" thickBot="1" x14ac:dyDescent="0.25">
      <c r="A122" s="526" t="s">
        <v>276</v>
      </c>
      <c r="B122" s="530" t="s">
        <v>873</v>
      </c>
      <c r="C122" s="526" t="s">
        <v>1604</v>
      </c>
      <c r="D122" s="530" t="s">
        <v>109</v>
      </c>
      <c r="E122" s="530" t="s">
        <v>832</v>
      </c>
      <c r="F122" s="528" t="s">
        <v>830</v>
      </c>
      <c r="G122" s="530" t="s">
        <v>790</v>
      </c>
      <c r="H122" s="530" t="s">
        <v>77</v>
      </c>
      <c r="I122" s="693" t="s">
        <v>7</v>
      </c>
      <c r="J122" s="531">
        <v>25</v>
      </c>
      <c r="K122" s="730">
        <v>25</v>
      </c>
      <c r="L122" s="537"/>
      <c r="M122" s="686">
        <v>61</v>
      </c>
      <c r="N122" s="686">
        <v>19</v>
      </c>
      <c r="O122" s="748">
        <f t="shared" si="3"/>
        <v>0.31147540983606559</v>
      </c>
      <c r="P122" s="749">
        <f t="shared" si="4"/>
        <v>124.59016393442623</v>
      </c>
      <c r="Q122" s="750">
        <f t="shared" si="5"/>
        <v>1.2459016393442623</v>
      </c>
      <c r="R122" s="691"/>
    </row>
    <row r="123" spans="1:18" ht="39" thickBot="1" x14ac:dyDescent="0.25">
      <c r="A123" s="526" t="s">
        <v>276</v>
      </c>
      <c r="B123" s="530" t="s">
        <v>873</v>
      </c>
      <c r="C123" s="526" t="s">
        <v>1604</v>
      </c>
      <c r="D123" s="530" t="s">
        <v>109</v>
      </c>
      <c r="E123" s="530" t="s">
        <v>833</v>
      </c>
      <c r="F123" s="528" t="s">
        <v>834</v>
      </c>
      <c r="G123" s="530" t="s">
        <v>790</v>
      </c>
      <c r="H123" s="530" t="s">
        <v>77</v>
      </c>
      <c r="I123" s="693" t="s">
        <v>7</v>
      </c>
      <c r="J123" s="531">
        <v>25</v>
      </c>
      <c r="K123" s="730">
        <v>25</v>
      </c>
      <c r="L123" s="537" t="s">
        <v>881</v>
      </c>
      <c r="M123" s="686">
        <v>61</v>
      </c>
      <c r="N123" s="686">
        <v>19</v>
      </c>
      <c r="O123" s="748">
        <f t="shared" si="3"/>
        <v>0.31147540983606559</v>
      </c>
      <c r="P123" s="749">
        <f t="shared" si="4"/>
        <v>124.59016393442623</v>
      </c>
      <c r="Q123" s="750">
        <f t="shared" si="5"/>
        <v>1.2459016393442623</v>
      </c>
      <c r="R123" s="691"/>
    </row>
    <row r="124" spans="1:18" ht="26.25" thickBot="1" x14ac:dyDescent="0.25">
      <c r="A124" s="526" t="s">
        <v>276</v>
      </c>
      <c r="B124" s="530" t="s">
        <v>873</v>
      </c>
      <c r="C124" s="526" t="s">
        <v>1604</v>
      </c>
      <c r="D124" s="530" t="s">
        <v>109</v>
      </c>
      <c r="E124" s="530" t="s">
        <v>833</v>
      </c>
      <c r="F124" s="528" t="s">
        <v>835</v>
      </c>
      <c r="G124" s="530" t="s">
        <v>790</v>
      </c>
      <c r="H124" s="530" t="s">
        <v>77</v>
      </c>
      <c r="I124" s="693" t="s">
        <v>7</v>
      </c>
      <c r="J124" s="531">
        <v>33</v>
      </c>
      <c r="K124" s="730">
        <v>33</v>
      </c>
      <c r="L124" s="537"/>
      <c r="M124" s="686">
        <v>61</v>
      </c>
      <c r="N124" s="686">
        <v>21</v>
      </c>
      <c r="O124" s="748">
        <f t="shared" si="3"/>
        <v>0.34426229508196721</v>
      </c>
      <c r="P124" s="749">
        <f t="shared" si="4"/>
        <v>104.32190760059612</v>
      </c>
      <c r="Q124" s="750">
        <f t="shared" si="5"/>
        <v>1.0432190760059612</v>
      </c>
      <c r="R124" s="691"/>
    </row>
    <row r="125" spans="1:18" ht="26.25" thickBot="1" x14ac:dyDescent="0.25">
      <c r="A125" s="526" t="s">
        <v>276</v>
      </c>
      <c r="B125" s="530" t="s">
        <v>873</v>
      </c>
      <c r="C125" s="526" t="s">
        <v>1604</v>
      </c>
      <c r="D125" s="530" t="s">
        <v>109</v>
      </c>
      <c r="E125" s="530" t="s">
        <v>836</v>
      </c>
      <c r="F125" s="528" t="s">
        <v>834</v>
      </c>
      <c r="G125" s="530" t="s">
        <v>790</v>
      </c>
      <c r="H125" s="530" t="s">
        <v>77</v>
      </c>
      <c r="I125" s="693" t="s">
        <v>7</v>
      </c>
      <c r="J125" s="531">
        <v>25</v>
      </c>
      <c r="K125" s="730">
        <v>25</v>
      </c>
      <c r="L125" s="537"/>
      <c r="M125" s="686">
        <v>61</v>
      </c>
      <c r="N125" s="686">
        <v>19</v>
      </c>
      <c r="O125" s="748">
        <f t="shared" si="3"/>
        <v>0.31147540983606559</v>
      </c>
      <c r="P125" s="749">
        <f t="shared" si="4"/>
        <v>124.59016393442623</v>
      </c>
      <c r="Q125" s="750">
        <f t="shared" si="5"/>
        <v>1.2459016393442623</v>
      </c>
      <c r="R125" s="691"/>
    </row>
    <row r="126" spans="1:18" ht="26.25" thickBot="1" x14ac:dyDescent="0.25">
      <c r="A126" s="526" t="s">
        <v>276</v>
      </c>
      <c r="B126" s="530" t="s">
        <v>873</v>
      </c>
      <c r="C126" s="526" t="s">
        <v>1604</v>
      </c>
      <c r="D126" s="530" t="s">
        <v>109</v>
      </c>
      <c r="E126" s="530" t="s">
        <v>837</v>
      </c>
      <c r="F126" s="528" t="s">
        <v>834</v>
      </c>
      <c r="G126" s="530" t="s">
        <v>790</v>
      </c>
      <c r="H126" s="530" t="s">
        <v>77</v>
      </c>
      <c r="I126" s="693" t="s">
        <v>7</v>
      </c>
      <c r="J126" s="531">
        <v>25</v>
      </c>
      <c r="K126" s="730">
        <v>25</v>
      </c>
      <c r="L126" s="537"/>
      <c r="M126" s="686">
        <v>61</v>
      </c>
      <c r="N126" s="686">
        <v>19</v>
      </c>
      <c r="O126" s="748">
        <f t="shared" si="3"/>
        <v>0.31147540983606559</v>
      </c>
      <c r="P126" s="749">
        <f t="shared" si="4"/>
        <v>124.59016393442623</v>
      </c>
      <c r="Q126" s="750">
        <f t="shared" si="5"/>
        <v>1.2459016393442623</v>
      </c>
      <c r="R126" s="691"/>
    </row>
    <row r="127" spans="1:18" ht="13.5" thickBot="1" x14ac:dyDescent="0.25">
      <c r="A127" s="526" t="s">
        <v>276</v>
      </c>
      <c r="B127" s="530" t="s">
        <v>873</v>
      </c>
      <c r="C127" s="526" t="s">
        <v>1604</v>
      </c>
      <c r="D127" s="530" t="s">
        <v>109</v>
      </c>
      <c r="E127" s="530" t="s">
        <v>838</v>
      </c>
      <c r="F127" s="528" t="s">
        <v>834</v>
      </c>
      <c r="G127" s="530" t="s">
        <v>784</v>
      </c>
      <c r="H127" s="530" t="s">
        <v>77</v>
      </c>
      <c r="I127" s="693" t="s">
        <v>7</v>
      </c>
      <c r="J127" s="531">
        <v>100</v>
      </c>
      <c r="K127" s="730">
        <v>100</v>
      </c>
      <c r="L127" s="537"/>
      <c r="M127" s="686">
        <v>61</v>
      </c>
      <c r="N127" s="686">
        <v>47</v>
      </c>
      <c r="O127" s="748">
        <f t="shared" si="3"/>
        <v>0.77049180327868849</v>
      </c>
      <c r="P127" s="749">
        <f t="shared" si="4"/>
        <v>77.049180327868854</v>
      </c>
      <c r="Q127" s="750">
        <f t="shared" si="5"/>
        <v>0.77049180327868849</v>
      </c>
      <c r="R127" s="691"/>
    </row>
    <row r="128" spans="1:18" ht="13.5" thickBot="1" x14ac:dyDescent="0.25">
      <c r="A128" s="526" t="s">
        <v>276</v>
      </c>
      <c r="B128" s="530" t="s">
        <v>873</v>
      </c>
      <c r="C128" s="526" t="s">
        <v>1604</v>
      </c>
      <c r="D128" s="530" t="s">
        <v>109</v>
      </c>
      <c r="E128" s="530" t="s">
        <v>839</v>
      </c>
      <c r="F128" s="528" t="s">
        <v>834</v>
      </c>
      <c r="G128" s="530" t="s">
        <v>784</v>
      </c>
      <c r="H128" s="530" t="s">
        <v>77</v>
      </c>
      <c r="I128" s="693" t="s">
        <v>7</v>
      </c>
      <c r="J128" s="525">
        <v>100</v>
      </c>
      <c r="K128" s="731">
        <v>100</v>
      </c>
      <c r="L128" s="537"/>
      <c r="M128" s="686">
        <v>61</v>
      </c>
      <c r="N128" s="686">
        <v>47</v>
      </c>
      <c r="O128" s="748">
        <f t="shared" si="3"/>
        <v>0.77049180327868849</v>
      </c>
      <c r="P128" s="749">
        <f t="shared" si="4"/>
        <v>77.049180327868854</v>
      </c>
      <c r="Q128" s="750">
        <f t="shared" si="5"/>
        <v>0.77049180327868849</v>
      </c>
      <c r="R128" s="692"/>
    </row>
    <row r="129" spans="1:18" ht="26.25" thickBot="1" x14ac:dyDescent="0.25">
      <c r="A129" s="526" t="s">
        <v>276</v>
      </c>
      <c r="B129" s="530" t="s">
        <v>873</v>
      </c>
      <c r="C129" s="526" t="s">
        <v>1604</v>
      </c>
      <c r="D129" s="530" t="s">
        <v>109</v>
      </c>
      <c r="E129" s="530" t="s">
        <v>840</v>
      </c>
      <c r="F129" s="528" t="s">
        <v>834</v>
      </c>
      <c r="G129" s="530" t="s">
        <v>790</v>
      </c>
      <c r="H129" s="530" t="s">
        <v>77</v>
      </c>
      <c r="I129" s="693" t="s">
        <v>7</v>
      </c>
      <c r="J129" s="525">
        <v>25</v>
      </c>
      <c r="K129" s="731">
        <v>25</v>
      </c>
      <c r="L129" s="537"/>
      <c r="M129" s="686">
        <v>61</v>
      </c>
      <c r="N129" s="686">
        <v>19</v>
      </c>
      <c r="O129" s="748">
        <f t="shared" si="3"/>
        <v>0.31147540983606559</v>
      </c>
      <c r="P129" s="749">
        <f t="shared" si="4"/>
        <v>124.59016393442623</v>
      </c>
      <c r="Q129" s="750">
        <f t="shared" si="5"/>
        <v>1.2459016393442623</v>
      </c>
      <c r="R129" s="692"/>
    </row>
    <row r="130" spans="1:18" ht="26.25" thickBot="1" x14ac:dyDescent="0.25">
      <c r="A130" s="526" t="s">
        <v>276</v>
      </c>
      <c r="B130" s="530" t="s">
        <v>873</v>
      </c>
      <c r="C130" s="526" t="s">
        <v>1604</v>
      </c>
      <c r="D130" s="530" t="s">
        <v>109</v>
      </c>
      <c r="E130" s="530" t="s">
        <v>841</v>
      </c>
      <c r="F130" s="528" t="s">
        <v>834</v>
      </c>
      <c r="G130" s="530" t="s">
        <v>790</v>
      </c>
      <c r="H130" s="530" t="s">
        <v>77</v>
      </c>
      <c r="I130" s="693" t="s">
        <v>7</v>
      </c>
      <c r="J130" s="525">
        <v>25</v>
      </c>
      <c r="K130" s="731">
        <v>25</v>
      </c>
      <c r="L130" s="537"/>
      <c r="M130" s="686">
        <v>61</v>
      </c>
      <c r="N130" s="686">
        <v>19</v>
      </c>
      <c r="O130" s="748">
        <f t="shared" si="3"/>
        <v>0.31147540983606559</v>
      </c>
      <c r="P130" s="749">
        <f t="shared" si="4"/>
        <v>124.59016393442623</v>
      </c>
      <c r="Q130" s="750">
        <f t="shared" si="5"/>
        <v>1.2459016393442623</v>
      </c>
      <c r="R130" s="692"/>
    </row>
    <row r="131" spans="1:18" ht="13.5" thickBot="1" x14ac:dyDescent="0.25">
      <c r="A131" s="526" t="s">
        <v>276</v>
      </c>
      <c r="B131" s="530" t="s">
        <v>873</v>
      </c>
      <c r="C131" s="526" t="s">
        <v>1604</v>
      </c>
      <c r="D131" s="530" t="s">
        <v>109</v>
      </c>
      <c r="E131" s="530" t="s">
        <v>842</v>
      </c>
      <c r="F131" s="532" t="s">
        <v>843</v>
      </c>
      <c r="G131" s="530" t="s">
        <v>784</v>
      </c>
      <c r="H131" s="530" t="s">
        <v>77</v>
      </c>
      <c r="I131" s="693" t="s">
        <v>7</v>
      </c>
      <c r="J131" s="525">
        <v>100</v>
      </c>
      <c r="K131" s="731">
        <v>100</v>
      </c>
      <c r="L131" s="537"/>
      <c r="M131" s="686">
        <v>61</v>
      </c>
      <c r="N131" s="686">
        <v>61</v>
      </c>
      <c r="O131" s="748">
        <f t="shared" si="3"/>
        <v>1</v>
      </c>
      <c r="P131" s="749">
        <f t="shared" si="4"/>
        <v>100</v>
      </c>
      <c r="Q131" s="750">
        <f t="shared" si="5"/>
        <v>1</v>
      </c>
      <c r="R131" s="692"/>
    </row>
    <row r="132" spans="1:18" ht="13.5" thickBot="1" x14ac:dyDescent="0.25">
      <c r="A132" s="526" t="s">
        <v>276</v>
      </c>
      <c r="B132" s="530" t="s">
        <v>873</v>
      </c>
      <c r="C132" s="526" t="s">
        <v>1604</v>
      </c>
      <c r="D132" s="530" t="s">
        <v>109</v>
      </c>
      <c r="E132" s="530" t="s">
        <v>844</v>
      </c>
      <c r="F132" s="532" t="s">
        <v>843</v>
      </c>
      <c r="G132" s="530" t="s">
        <v>784</v>
      </c>
      <c r="H132" s="530" t="s">
        <v>77</v>
      </c>
      <c r="I132" s="693" t="s">
        <v>7</v>
      </c>
      <c r="J132" s="525">
        <v>100</v>
      </c>
      <c r="K132" s="731">
        <v>100</v>
      </c>
      <c r="L132" s="537"/>
      <c r="M132" s="686">
        <v>61</v>
      </c>
      <c r="N132" s="686">
        <v>61</v>
      </c>
      <c r="O132" s="748">
        <f t="shared" si="3"/>
        <v>1</v>
      </c>
      <c r="P132" s="749">
        <f t="shared" si="4"/>
        <v>100</v>
      </c>
      <c r="Q132" s="750">
        <f t="shared" si="5"/>
        <v>1</v>
      </c>
      <c r="R132" s="692"/>
    </row>
    <row r="133" spans="1:18" ht="26.25" thickBot="1" x14ac:dyDescent="0.25">
      <c r="A133" s="526" t="s">
        <v>276</v>
      </c>
      <c r="B133" s="530" t="s">
        <v>873</v>
      </c>
      <c r="C133" s="526" t="s">
        <v>1604</v>
      </c>
      <c r="D133" s="530" t="s">
        <v>109</v>
      </c>
      <c r="E133" s="530" t="s">
        <v>845</v>
      </c>
      <c r="F133" s="532" t="s">
        <v>830</v>
      </c>
      <c r="G133" s="530" t="s">
        <v>790</v>
      </c>
      <c r="H133" s="530" t="s">
        <v>77</v>
      </c>
      <c r="I133" s="693" t="s">
        <v>7</v>
      </c>
      <c r="J133" s="525">
        <v>33</v>
      </c>
      <c r="K133" s="731">
        <v>33</v>
      </c>
      <c r="L133" s="537"/>
      <c r="M133" s="686">
        <v>61</v>
      </c>
      <c r="N133" s="686">
        <v>21</v>
      </c>
      <c r="O133" s="748">
        <f t="shared" ref="O133:O196" si="6">IFERROR(N133/M133,0)</f>
        <v>0.34426229508196721</v>
      </c>
      <c r="P133" s="749">
        <f t="shared" ref="P133:P196" si="7">IFERROR(N133/(M133*(K133/100))*100,"0")</f>
        <v>104.32190760059612</v>
      </c>
      <c r="Q133" s="750">
        <f t="shared" ref="Q133:Q196" si="8">IFERROR(N133/(M133*(K133/100)),"0")</f>
        <v>1.0432190760059612</v>
      </c>
      <c r="R133" s="692"/>
    </row>
    <row r="134" spans="1:18" ht="26.25" thickBot="1" x14ac:dyDescent="0.25">
      <c r="A134" s="526" t="s">
        <v>276</v>
      </c>
      <c r="B134" s="530" t="s">
        <v>873</v>
      </c>
      <c r="C134" s="526" t="s">
        <v>1604</v>
      </c>
      <c r="D134" s="530" t="s">
        <v>109</v>
      </c>
      <c r="E134" s="530" t="s">
        <v>846</v>
      </c>
      <c r="F134" s="532" t="s">
        <v>830</v>
      </c>
      <c r="G134" s="530" t="s">
        <v>790</v>
      </c>
      <c r="H134" s="530" t="s">
        <v>77</v>
      </c>
      <c r="I134" s="693" t="s">
        <v>7</v>
      </c>
      <c r="J134" s="525">
        <v>33</v>
      </c>
      <c r="K134" s="731">
        <v>33</v>
      </c>
      <c r="L134" s="537"/>
      <c r="M134" s="686">
        <v>61</v>
      </c>
      <c r="N134" s="686">
        <v>21</v>
      </c>
      <c r="O134" s="748">
        <f t="shared" si="6"/>
        <v>0.34426229508196721</v>
      </c>
      <c r="P134" s="749">
        <f t="shared" si="7"/>
        <v>104.32190760059612</v>
      </c>
      <c r="Q134" s="750">
        <f t="shared" si="8"/>
        <v>1.0432190760059612</v>
      </c>
      <c r="R134" s="692"/>
    </row>
    <row r="135" spans="1:18" ht="26.25" thickBot="1" x14ac:dyDescent="0.25">
      <c r="A135" s="526" t="s">
        <v>276</v>
      </c>
      <c r="B135" s="530" t="s">
        <v>873</v>
      </c>
      <c r="C135" s="526" t="s">
        <v>1604</v>
      </c>
      <c r="D135" s="530" t="s">
        <v>109</v>
      </c>
      <c r="E135" s="530" t="s">
        <v>847</v>
      </c>
      <c r="F135" s="532" t="s">
        <v>830</v>
      </c>
      <c r="G135" s="530" t="s">
        <v>790</v>
      </c>
      <c r="H135" s="530" t="s">
        <v>77</v>
      </c>
      <c r="I135" s="693" t="s">
        <v>7</v>
      </c>
      <c r="J135" s="525">
        <v>33</v>
      </c>
      <c r="K135" s="731">
        <v>33</v>
      </c>
      <c r="L135" s="537"/>
      <c r="M135" s="686">
        <v>61</v>
      </c>
      <c r="N135" s="686">
        <v>21</v>
      </c>
      <c r="O135" s="748">
        <f t="shared" si="6"/>
        <v>0.34426229508196721</v>
      </c>
      <c r="P135" s="749">
        <f t="shared" si="7"/>
        <v>104.32190760059612</v>
      </c>
      <c r="Q135" s="750">
        <f t="shared" si="8"/>
        <v>1.0432190760059612</v>
      </c>
      <c r="R135" s="692"/>
    </row>
    <row r="136" spans="1:18" ht="26.25" thickBot="1" x14ac:dyDescent="0.25">
      <c r="A136" s="526" t="s">
        <v>276</v>
      </c>
      <c r="B136" s="530" t="s">
        <v>873</v>
      </c>
      <c r="C136" s="526" t="s">
        <v>1604</v>
      </c>
      <c r="D136" s="530" t="s">
        <v>109</v>
      </c>
      <c r="E136" s="530" t="s">
        <v>848</v>
      </c>
      <c r="F136" s="532" t="s">
        <v>830</v>
      </c>
      <c r="G136" s="530" t="s">
        <v>790</v>
      </c>
      <c r="H136" s="530" t="s">
        <v>77</v>
      </c>
      <c r="I136" s="693" t="s">
        <v>7</v>
      </c>
      <c r="J136" s="525">
        <v>33</v>
      </c>
      <c r="K136" s="731">
        <v>33</v>
      </c>
      <c r="L136" s="537"/>
      <c r="M136" s="686">
        <v>61</v>
      </c>
      <c r="N136" s="686">
        <v>21</v>
      </c>
      <c r="O136" s="748">
        <f t="shared" si="6"/>
        <v>0.34426229508196721</v>
      </c>
      <c r="P136" s="749">
        <f t="shared" si="7"/>
        <v>104.32190760059612</v>
      </c>
      <c r="Q136" s="750">
        <f t="shared" si="8"/>
        <v>1.0432190760059612</v>
      </c>
      <c r="R136" s="692"/>
    </row>
    <row r="137" spans="1:18" ht="26.25" thickBot="1" x14ac:dyDescent="0.25">
      <c r="A137" s="526" t="s">
        <v>276</v>
      </c>
      <c r="B137" s="530" t="s">
        <v>873</v>
      </c>
      <c r="C137" s="526" t="s">
        <v>1604</v>
      </c>
      <c r="D137" s="530" t="s">
        <v>109</v>
      </c>
      <c r="E137" s="530" t="s">
        <v>849</v>
      </c>
      <c r="F137" s="532" t="s">
        <v>830</v>
      </c>
      <c r="G137" s="530" t="s">
        <v>790</v>
      </c>
      <c r="H137" s="530" t="s">
        <v>77</v>
      </c>
      <c r="I137" s="693" t="s">
        <v>7</v>
      </c>
      <c r="J137" s="525">
        <v>33</v>
      </c>
      <c r="K137" s="731">
        <v>33</v>
      </c>
      <c r="L137" s="537"/>
      <c r="M137" s="686">
        <v>61</v>
      </c>
      <c r="N137" s="686">
        <v>21</v>
      </c>
      <c r="O137" s="748">
        <f t="shared" si="6"/>
        <v>0.34426229508196721</v>
      </c>
      <c r="P137" s="749">
        <f t="shared" si="7"/>
        <v>104.32190760059612</v>
      </c>
      <c r="Q137" s="750">
        <f t="shared" si="8"/>
        <v>1.0432190760059612</v>
      </c>
      <c r="R137" s="692"/>
    </row>
    <row r="138" spans="1:18" ht="26.25" thickBot="1" x14ac:dyDescent="0.25">
      <c r="A138" s="526" t="s">
        <v>276</v>
      </c>
      <c r="B138" s="530" t="s">
        <v>873</v>
      </c>
      <c r="C138" s="526" t="s">
        <v>1604</v>
      </c>
      <c r="D138" s="530" t="s">
        <v>109</v>
      </c>
      <c r="E138" s="530" t="s">
        <v>850</v>
      </c>
      <c r="F138" s="532" t="s">
        <v>830</v>
      </c>
      <c r="G138" s="530" t="s">
        <v>790</v>
      </c>
      <c r="H138" s="530" t="s">
        <v>77</v>
      </c>
      <c r="I138" s="693" t="s">
        <v>7</v>
      </c>
      <c r="J138" s="525">
        <v>33</v>
      </c>
      <c r="K138" s="731">
        <v>33</v>
      </c>
      <c r="L138" s="537"/>
      <c r="M138" s="686">
        <v>61</v>
      </c>
      <c r="N138" s="686">
        <v>21</v>
      </c>
      <c r="O138" s="748">
        <f t="shared" si="6"/>
        <v>0.34426229508196721</v>
      </c>
      <c r="P138" s="749">
        <f t="shared" si="7"/>
        <v>104.32190760059612</v>
      </c>
      <c r="Q138" s="750">
        <f t="shared" si="8"/>
        <v>1.0432190760059612</v>
      </c>
      <c r="R138" s="692"/>
    </row>
    <row r="139" spans="1:18" ht="13.5" thickBot="1" x14ac:dyDescent="0.25">
      <c r="A139" s="526" t="s">
        <v>276</v>
      </c>
      <c r="B139" s="530" t="s">
        <v>873</v>
      </c>
      <c r="C139" s="526" t="s">
        <v>1604</v>
      </c>
      <c r="D139" s="530" t="s">
        <v>109</v>
      </c>
      <c r="E139" s="530" t="s">
        <v>851</v>
      </c>
      <c r="F139" s="532" t="s">
        <v>834</v>
      </c>
      <c r="G139" s="530" t="s">
        <v>784</v>
      </c>
      <c r="H139" s="530" t="s">
        <v>77</v>
      </c>
      <c r="I139" s="693" t="s">
        <v>7</v>
      </c>
      <c r="J139" s="525">
        <v>100</v>
      </c>
      <c r="K139" s="731">
        <v>100</v>
      </c>
      <c r="L139" s="537"/>
      <c r="M139" s="686">
        <v>61</v>
      </c>
      <c r="N139" s="686">
        <v>47</v>
      </c>
      <c r="O139" s="748">
        <f t="shared" si="6"/>
        <v>0.77049180327868849</v>
      </c>
      <c r="P139" s="749">
        <f t="shared" si="7"/>
        <v>77.049180327868854</v>
      </c>
      <c r="Q139" s="750">
        <f t="shared" si="8"/>
        <v>0.77049180327868849</v>
      </c>
      <c r="R139" s="692"/>
    </row>
    <row r="140" spans="1:18" ht="13.5" thickBot="1" x14ac:dyDescent="0.25">
      <c r="A140" s="526" t="s">
        <v>276</v>
      </c>
      <c r="B140" s="530" t="s">
        <v>873</v>
      </c>
      <c r="C140" s="526" t="s">
        <v>1604</v>
      </c>
      <c r="D140" s="530" t="s">
        <v>109</v>
      </c>
      <c r="E140" s="530" t="s">
        <v>852</v>
      </c>
      <c r="F140" s="532" t="s">
        <v>834</v>
      </c>
      <c r="G140" s="530" t="s">
        <v>784</v>
      </c>
      <c r="H140" s="530" t="s">
        <v>77</v>
      </c>
      <c r="I140" s="693" t="s">
        <v>7</v>
      </c>
      <c r="J140" s="525">
        <v>100</v>
      </c>
      <c r="K140" s="731">
        <v>100</v>
      </c>
      <c r="L140" s="537"/>
      <c r="M140" s="686">
        <v>61</v>
      </c>
      <c r="N140" s="686">
        <v>47</v>
      </c>
      <c r="O140" s="748">
        <f t="shared" si="6"/>
        <v>0.77049180327868849</v>
      </c>
      <c r="P140" s="749">
        <f t="shared" si="7"/>
        <v>77.049180327868854</v>
      </c>
      <c r="Q140" s="750">
        <f t="shared" si="8"/>
        <v>0.77049180327868849</v>
      </c>
      <c r="R140" s="692"/>
    </row>
    <row r="141" spans="1:18" ht="26.25" thickBot="1" x14ac:dyDescent="0.25">
      <c r="A141" s="526" t="s">
        <v>276</v>
      </c>
      <c r="B141" s="530" t="s">
        <v>873</v>
      </c>
      <c r="C141" s="526" t="s">
        <v>1604</v>
      </c>
      <c r="D141" s="530" t="s">
        <v>109</v>
      </c>
      <c r="E141" s="530" t="s">
        <v>853</v>
      </c>
      <c r="F141" s="532" t="s">
        <v>834</v>
      </c>
      <c r="G141" s="530" t="s">
        <v>784</v>
      </c>
      <c r="H141" s="530" t="s">
        <v>77</v>
      </c>
      <c r="I141" s="693" t="s">
        <v>7</v>
      </c>
      <c r="J141" s="525">
        <v>100</v>
      </c>
      <c r="K141" s="731">
        <v>100</v>
      </c>
      <c r="L141" s="537"/>
      <c r="M141" s="686">
        <v>61</v>
      </c>
      <c r="N141" s="686">
        <v>47</v>
      </c>
      <c r="O141" s="748">
        <f t="shared" si="6"/>
        <v>0.77049180327868849</v>
      </c>
      <c r="P141" s="749">
        <f t="shared" si="7"/>
        <v>77.049180327868854</v>
      </c>
      <c r="Q141" s="750">
        <f t="shared" si="8"/>
        <v>0.77049180327868849</v>
      </c>
      <c r="R141" s="692"/>
    </row>
    <row r="142" spans="1:18" ht="26.25" thickBot="1" x14ac:dyDescent="0.25">
      <c r="A142" s="526" t="s">
        <v>276</v>
      </c>
      <c r="B142" s="530" t="s">
        <v>873</v>
      </c>
      <c r="C142" s="526" t="s">
        <v>1604</v>
      </c>
      <c r="D142" s="530" t="s">
        <v>109</v>
      </c>
      <c r="E142" s="530" t="s">
        <v>854</v>
      </c>
      <c r="F142" s="528" t="s">
        <v>829</v>
      </c>
      <c r="G142" s="530" t="s">
        <v>784</v>
      </c>
      <c r="H142" s="530" t="s">
        <v>77</v>
      </c>
      <c r="I142" s="693" t="s">
        <v>7</v>
      </c>
      <c r="J142" s="525">
        <v>100</v>
      </c>
      <c r="K142" s="731">
        <v>100</v>
      </c>
      <c r="L142" s="537" t="s">
        <v>880</v>
      </c>
      <c r="M142" s="686">
        <v>61</v>
      </c>
      <c r="N142" s="686">
        <v>47</v>
      </c>
      <c r="O142" s="748">
        <f t="shared" si="6"/>
        <v>0.77049180327868849</v>
      </c>
      <c r="P142" s="749">
        <f t="shared" si="7"/>
        <v>77.049180327868854</v>
      </c>
      <c r="Q142" s="750">
        <f t="shared" si="8"/>
        <v>0.77049180327868849</v>
      </c>
      <c r="R142" s="692"/>
    </row>
    <row r="143" spans="1:18" ht="26.25" thickBot="1" x14ac:dyDescent="0.25">
      <c r="A143" s="526" t="s">
        <v>276</v>
      </c>
      <c r="B143" s="530" t="s">
        <v>873</v>
      </c>
      <c r="C143" s="526" t="s">
        <v>1604</v>
      </c>
      <c r="D143" s="530" t="s">
        <v>109</v>
      </c>
      <c r="E143" s="530" t="s">
        <v>854</v>
      </c>
      <c r="F143" s="528" t="s">
        <v>830</v>
      </c>
      <c r="G143" s="530" t="s">
        <v>790</v>
      </c>
      <c r="H143" s="530" t="s">
        <v>77</v>
      </c>
      <c r="I143" s="693" t="s">
        <v>7</v>
      </c>
      <c r="J143" s="525">
        <v>33</v>
      </c>
      <c r="K143" s="731">
        <v>33</v>
      </c>
      <c r="L143" s="537"/>
      <c r="M143" s="686">
        <v>61</v>
      </c>
      <c r="N143" s="686">
        <v>21</v>
      </c>
      <c r="O143" s="748">
        <f t="shared" si="6"/>
        <v>0.34426229508196721</v>
      </c>
      <c r="P143" s="749">
        <f t="shared" si="7"/>
        <v>104.32190760059612</v>
      </c>
      <c r="Q143" s="750">
        <f t="shared" si="8"/>
        <v>1.0432190760059612</v>
      </c>
      <c r="R143" s="692"/>
    </row>
    <row r="144" spans="1:18" ht="26.25" thickBot="1" x14ac:dyDescent="0.25">
      <c r="A144" s="526" t="s">
        <v>276</v>
      </c>
      <c r="B144" s="530" t="s">
        <v>873</v>
      </c>
      <c r="C144" s="526" t="s">
        <v>1604</v>
      </c>
      <c r="D144" s="530" t="s">
        <v>109</v>
      </c>
      <c r="E144" s="530" t="s">
        <v>855</v>
      </c>
      <c r="F144" s="532" t="s">
        <v>834</v>
      </c>
      <c r="G144" s="530" t="s">
        <v>790</v>
      </c>
      <c r="H144" s="530" t="s">
        <v>77</v>
      </c>
      <c r="I144" s="693" t="s">
        <v>7</v>
      </c>
      <c r="J144" s="525">
        <v>25</v>
      </c>
      <c r="K144" s="731">
        <v>25</v>
      </c>
      <c r="L144" s="537"/>
      <c r="M144" s="686">
        <v>61</v>
      </c>
      <c r="N144" s="686">
        <v>19</v>
      </c>
      <c r="O144" s="748">
        <f t="shared" si="6"/>
        <v>0.31147540983606559</v>
      </c>
      <c r="P144" s="749">
        <f t="shared" si="7"/>
        <v>124.59016393442623</v>
      </c>
      <c r="Q144" s="750">
        <f t="shared" si="8"/>
        <v>1.2459016393442623</v>
      </c>
      <c r="R144" s="692"/>
    </row>
    <row r="145" spans="1:18" ht="39" thickBot="1" x14ac:dyDescent="0.25">
      <c r="A145" s="526" t="s">
        <v>276</v>
      </c>
      <c r="B145" s="530" t="s">
        <v>873</v>
      </c>
      <c r="C145" s="526" t="s">
        <v>1604</v>
      </c>
      <c r="D145" s="530" t="s">
        <v>109</v>
      </c>
      <c r="E145" s="530" t="s">
        <v>856</v>
      </c>
      <c r="F145" s="532" t="s">
        <v>834</v>
      </c>
      <c r="G145" s="530" t="s">
        <v>790</v>
      </c>
      <c r="H145" s="530" t="s">
        <v>77</v>
      </c>
      <c r="I145" s="693" t="s">
        <v>7</v>
      </c>
      <c r="J145" s="525">
        <v>25</v>
      </c>
      <c r="K145" s="731">
        <v>25</v>
      </c>
      <c r="L145" s="537"/>
      <c r="M145" s="686">
        <v>61</v>
      </c>
      <c r="N145" s="686">
        <v>19</v>
      </c>
      <c r="O145" s="748">
        <f t="shared" si="6"/>
        <v>0.31147540983606559</v>
      </c>
      <c r="P145" s="749">
        <f t="shared" si="7"/>
        <v>124.59016393442623</v>
      </c>
      <c r="Q145" s="750">
        <f t="shared" si="8"/>
        <v>1.2459016393442623</v>
      </c>
      <c r="R145" s="692"/>
    </row>
    <row r="146" spans="1:18" ht="39" thickBot="1" x14ac:dyDescent="0.25">
      <c r="A146" s="526" t="s">
        <v>276</v>
      </c>
      <c r="B146" s="530" t="s">
        <v>873</v>
      </c>
      <c r="C146" s="526" t="s">
        <v>1604</v>
      </c>
      <c r="D146" s="530" t="s">
        <v>109</v>
      </c>
      <c r="E146" s="530" t="s">
        <v>857</v>
      </c>
      <c r="F146" s="532" t="s">
        <v>834</v>
      </c>
      <c r="G146" s="530" t="s">
        <v>784</v>
      </c>
      <c r="H146" s="530" t="s">
        <v>77</v>
      </c>
      <c r="I146" s="693" t="s">
        <v>7</v>
      </c>
      <c r="J146" s="525">
        <v>100</v>
      </c>
      <c r="K146" s="731">
        <v>100</v>
      </c>
      <c r="L146" s="537"/>
      <c r="M146" s="686">
        <v>61</v>
      </c>
      <c r="N146" s="686">
        <v>47</v>
      </c>
      <c r="O146" s="748">
        <f t="shared" si="6"/>
        <v>0.77049180327868849</v>
      </c>
      <c r="P146" s="749">
        <f t="shared" si="7"/>
        <v>77.049180327868854</v>
      </c>
      <c r="Q146" s="750">
        <f t="shared" si="8"/>
        <v>0.77049180327868849</v>
      </c>
      <c r="R146" s="692"/>
    </row>
    <row r="147" spans="1:18" ht="13.5" thickBot="1" x14ac:dyDescent="0.25">
      <c r="A147" s="526" t="s">
        <v>276</v>
      </c>
      <c r="B147" s="530" t="s">
        <v>873</v>
      </c>
      <c r="C147" s="526" t="s">
        <v>1604</v>
      </c>
      <c r="D147" s="530" t="s">
        <v>808</v>
      </c>
      <c r="E147" s="530" t="s">
        <v>858</v>
      </c>
      <c r="F147" s="532" t="s">
        <v>834</v>
      </c>
      <c r="G147" s="530" t="s">
        <v>784</v>
      </c>
      <c r="H147" s="530" t="s">
        <v>77</v>
      </c>
      <c r="I147" s="693" t="s">
        <v>7</v>
      </c>
      <c r="J147" s="525">
        <v>100</v>
      </c>
      <c r="K147" s="731">
        <v>100</v>
      </c>
      <c r="L147" s="537"/>
      <c r="M147" s="686">
        <v>61</v>
      </c>
      <c r="N147" s="686">
        <v>47</v>
      </c>
      <c r="O147" s="748">
        <f t="shared" si="6"/>
        <v>0.77049180327868849</v>
      </c>
      <c r="P147" s="749">
        <f t="shared" si="7"/>
        <v>77.049180327868854</v>
      </c>
      <c r="Q147" s="750">
        <f t="shared" si="8"/>
        <v>0.77049180327868849</v>
      </c>
      <c r="R147" s="692"/>
    </row>
    <row r="148" spans="1:18" ht="13.5" thickBot="1" x14ac:dyDescent="0.25">
      <c r="A148" s="526" t="s">
        <v>276</v>
      </c>
      <c r="B148" s="530" t="s">
        <v>873</v>
      </c>
      <c r="C148" s="526" t="s">
        <v>1604</v>
      </c>
      <c r="D148" s="530" t="s">
        <v>808</v>
      </c>
      <c r="E148" s="530" t="s">
        <v>859</v>
      </c>
      <c r="F148" s="532" t="s">
        <v>834</v>
      </c>
      <c r="G148" s="530" t="s">
        <v>784</v>
      </c>
      <c r="H148" s="530" t="s">
        <v>77</v>
      </c>
      <c r="I148" s="693" t="s">
        <v>7</v>
      </c>
      <c r="J148" s="525">
        <v>100</v>
      </c>
      <c r="K148" s="731">
        <v>100</v>
      </c>
      <c r="L148" s="537"/>
      <c r="M148" s="686">
        <v>61</v>
      </c>
      <c r="N148" s="686">
        <v>47</v>
      </c>
      <c r="O148" s="748">
        <f t="shared" si="6"/>
        <v>0.77049180327868849</v>
      </c>
      <c r="P148" s="749">
        <f t="shared" si="7"/>
        <v>77.049180327868854</v>
      </c>
      <c r="Q148" s="750">
        <f t="shared" si="8"/>
        <v>0.77049180327868849</v>
      </c>
      <c r="R148" s="692"/>
    </row>
    <row r="149" spans="1:18" ht="26.25" thickBot="1" x14ac:dyDescent="0.25">
      <c r="A149" s="526" t="s">
        <v>276</v>
      </c>
      <c r="B149" s="530" t="s">
        <v>873</v>
      </c>
      <c r="C149" s="526" t="s">
        <v>1604</v>
      </c>
      <c r="D149" s="530" t="s">
        <v>808</v>
      </c>
      <c r="E149" s="530" t="s">
        <v>860</v>
      </c>
      <c r="F149" s="532" t="s">
        <v>834</v>
      </c>
      <c r="G149" s="530" t="s">
        <v>790</v>
      </c>
      <c r="H149" s="530" t="s">
        <v>77</v>
      </c>
      <c r="I149" s="693" t="s">
        <v>7</v>
      </c>
      <c r="J149" s="525">
        <v>25</v>
      </c>
      <c r="K149" s="731">
        <v>25</v>
      </c>
      <c r="L149" s="537"/>
      <c r="M149" s="686">
        <v>61</v>
      </c>
      <c r="N149" s="686">
        <v>19</v>
      </c>
      <c r="O149" s="748">
        <f t="shared" si="6"/>
        <v>0.31147540983606559</v>
      </c>
      <c r="P149" s="749">
        <f t="shared" si="7"/>
        <v>124.59016393442623</v>
      </c>
      <c r="Q149" s="750">
        <f t="shared" si="8"/>
        <v>1.2459016393442623</v>
      </c>
      <c r="R149" s="692"/>
    </row>
    <row r="150" spans="1:18" ht="26.25" thickBot="1" x14ac:dyDescent="0.25">
      <c r="A150" s="526" t="s">
        <v>276</v>
      </c>
      <c r="B150" s="530" t="s">
        <v>873</v>
      </c>
      <c r="C150" s="526" t="s">
        <v>1604</v>
      </c>
      <c r="D150" s="530" t="s">
        <v>808</v>
      </c>
      <c r="E150" s="530" t="s">
        <v>861</v>
      </c>
      <c r="F150" s="532" t="s">
        <v>834</v>
      </c>
      <c r="G150" s="530" t="s">
        <v>790</v>
      </c>
      <c r="H150" s="530" t="s">
        <v>77</v>
      </c>
      <c r="I150" s="693" t="s">
        <v>7</v>
      </c>
      <c r="J150" s="525">
        <v>25</v>
      </c>
      <c r="K150" s="731">
        <v>25</v>
      </c>
      <c r="L150" s="537"/>
      <c r="M150" s="686">
        <v>61</v>
      </c>
      <c r="N150" s="686">
        <v>19</v>
      </c>
      <c r="O150" s="748">
        <f t="shared" si="6"/>
        <v>0.31147540983606559</v>
      </c>
      <c r="P150" s="749">
        <f t="shared" si="7"/>
        <v>124.59016393442623</v>
      </c>
      <c r="Q150" s="750">
        <f t="shared" si="8"/>
        <v>1.2459016393442623</v>
      </c>
      <c r="R150" s="692"/>
    </row>
    <row r="151" spans="1:18" ht="26.25" thickBot="1" x14ac:dyDescent="0.25">
      <c r="A151" s="526" t="s">
        <v>276</v>
      </c>
      <c r="B151" s="530" t="s">
        <v>873</v>
      </c>
      <c r="C151" s="526" t="s">
        <v>1604</v>
      </c>
      <c r="D151" s="530" t="s">
        <v>808</v>
      </c>
      <c r="E151" s="530" t="s">
        <v>862</v>
      </c>
      <c r="F151" s="532" t="s">
        <v>834</v>
      </c>
      <c r="G151" s="530" t="s">
        <v>790</v>
      </c>
      <c r="H151" s="530" t="s">
        <v>77</v>
      </c>
      <c r="I151" s="693" t="s">
        <v>7</v>
      </c>
      <c r="J151" s="525">
        <v>25</v>
      </c>
      <c r="K151" s="731">
        <v>25</v>
      </c>
      <c r="L151" s="537"/>
      <c r="M151" s="686">
        <v>61</v>
      </c>
      <c r="N151" s="686">
        <v>19</v>
      </c>
      <c r="O151" s="748">
        <f t="shared" si="6"/>
        <v>0.31147540983606559</v>
      </c>
      <c r="P151" s="749">
        <f t="shared" si="7"/>
        <v>124.59016393442623</v>
      </c>
      <c r="Q151" s="750">
        <f t="shared" si="8"/>
        <v>1.2459016393442623</v>
      </c>
      <c r="R151" s="692"/>
    </row>
    <row r="152" spans="1:18" ht="26.25" thickBot="1" x14ac:dyDescent="0.25">
      <c r="A152" s="526" t="s">
        <v>276</v>
      </c>
      <c r="B152" s="530" t="s">
        <v>873</v>
      </c>
      <c r="C152" s="526" t="s">
        <v>1604</v>
      </c>
      <c r="D152" s="530" t="s">
        <v>808</v>
      </c>
      <c r="E152" s="530" t="s">
        <v>863</v>
      </c>
      <c r="F152" s="532" t="s">
        <v>834</v>
      </c>
      <c r="G152" s="530" t="s">
        <v>790</v>
      </c>
      <c r="H152" s="530" t="s">
        <v>77</v>
      </c>
      <c r="I152" s="693" t="s">
        <v>7</v>
      </c>
      <c r="J152" s="525">
        <v>25</v>
      </c>
      <c r="K152" s="731">
        <v>25</v>
      </c>
      <c r="L152" s="537"/>
      <c r="M152" s="686">
        <v>61</v>
      </c>
      <c r="N152" s="686">
        <v>19</v>
      </c>
      <c r="O152" s="748">
        <f t="shared" si="6"/>
        <v>0.31147540983606559</v>
      </c>
      <c r="P152" s="749">
        <f t="shared" si="7"/>
        <v>124.59016393442623</v>
      </c>
      <c r="Q152" s="750">
        <f t="shared" si="8"/>
        <v>1.2459016393442623</v>
      </c>
      <c r="R152" s="692"/>
    </row>
    <row r="153" spans="1:18" ht="26.25" thickBot="1" x14ac:dyDescent="0.25">
      <c r="A153" s="526" t="s">
        <v>276</v>
      </c>
      <c r="B153" s="530" t="s">
        <v>873</v>
      </c>
      <c r="C153" s="526" t="s">
        <v>1604</v>
      </c>
      <c r="D153" s="530" t="s">
        <v>808</v>
      </c>
      <c r="E153" s="530" t="s">
        <v>864</v>
      </c>
      <c r="F153" s="528" t="s">
        <v>834</v>
      </c>
      <c r="G153" s="530" t="s">
        <v>784</v>
      </c>
      <c r="H153" s="530" t="s">
        <v>77</v>
      </c>
      <c r="I153" s="693" t="s">
        <v>7</v>
      </c>
      <c r="J153" s="525">
        <v>100</v>
      </c>
      <c r="K153" s="731">
        <v>100</v>
      </c>
      <c r="L153" s="537"/>
      <c r="M153" s="686">
        <v>61</v>
      </c>
      <c r="N153" s="686">
        <v>47</v>
      </c>
      <c r="O153" s="748">
        <f t="shared" si="6"/>
        <v>0.77049180327868849</v>
      </c>
      <c r="P153" s="749">
        <f t="shared" si="7"/>
        <v>77.049180327868854</v>
      </c>
      <c r="Q153" s="750">
        <f t="shared" si="8"/>
        <v>0.77049180327868849</v>
      </c>
      <c r="R153" s="692"/>
    </row>
    <row r="154" spans="1:18" ht="26.25" thickBot="1" x14ac:dyDescent="0.25">
      <c r="A154" s="526" t="s">
        <v>276</v>
      </c>
      <c r="B154" s="530" t="s">
        <v>873</v>
      </c>
      <c r="C154" s="526" t="s">
        <v>1604</v>
      </c>
      <c r="D154" s="530" t="s">
        <v>808</v>
      </c>
      <c r="E154" s="530" t="s">
        <v>864</v>
      </c>
      <c r="F154" s="528" t="s">
        <v>830</v>
      </c>
      <c r="G154" s="530" t="s">
        <v>865</v>
      </c>
      <c r="H154" s="530" t="s">
        <v>77</v>
      </c>
      <c r="I154" s="693" t="s">
        <v>7</v>
      </c>
      <c r="J154" s="525">
        <v>33</v>
      </c>
      <c r="K154" s="731">
        <v>33</v>
      </c>
      <c r="L154" s="537"/>
      <c r="M154" s="686">
        <v>61</v>
      </c>
      <c r="N154" s="686">
        <v>21</v>
      </c>
      <c r="O154" s="748">
        <f t="shared" si="6"/>
        <v>0.34426229508196721</v>
      </c>
      <c r="P154" s="749">
        <f t="shared" si="7"/>
        <v>104.32190760059612</v>
      </c>
      <c r="Q154" s="750">
        <f t="shared" si="8"/>
        <v>1.0432190760059612</v>
      </c>
      <c r="R154" s="692"/>
    </row>
    <row r="155" spans="1:18" ht="26.25" thickBot="1" x14ac:dyDescent="0.25">
      <c r="A155" s="526" t="s">
        <v>276</v>
      </c>
      <c r="B155" s="530" t="s">
        <v>873</v>
      </c>
      <c r="C155" s="526" t="s">
        <v>1604</v>
      </c>
      <c r="D155" s="530" t="s">
        <v>808</v>
      </c>
      <c r="E155" s="530" t="s">
        <v>815</v>
      </c>
      <c r="F155" s="528" t="s">
        <v>834</v>
      </c>
      <c r="G155" s="530" t="s">
        <v>866</v>
      </c>
      <c r="H155" s="530" t="s">
        <v>77</v>
      </c>
      <c r="I155" s="693" t="s">
        <v>7</v>
      </c>
      <c r="J155" s="525">
        <v>100</v>
      </c>
      <c r="K155" s="731">
        <v>100</v>
      </c>
      <c r="L155" s="537" t="s">
        <v>880</v>
      </c>
      <c r="M155" s="686">
        <v>61</v>
      </c>
      <c r="N155" s="686">
        <v>47</v>
      </c>
      <c r="O155" s="748">
        <f t="shared" si="6"/>
        <v>0.77049180327868849</v>
      </c>
      <c r="P155" s="749">
        <f t="shared" si="7"/>
        <v>77.049180327868854</v>
      </c>
      <c r="Q155" s="750">
        <f t="shared" si="8"/>
        <v>0.77049180327868849</v>
      </c>
      <c r="R155" s="692"/>
    </row>
    <row r="156" spans="1:18" ht="13.5" thickBot="1" x14ac:dyDescent="0.25">
      <c r="A156" s="526" t="s">
        <v>276</v>
      </c>
      <c r="B156" s="530" t="s">
        <v>873</v>
      </c>
      <c r="C156" s="526" t="s">
        <v>1604</v>
      </c>
      <c r="D156" s="530" t="s">
        <v>808</v>
      </c>
      <c r="E156" s="530" t="s">
        <v>815</v>
      </c>
      <c r="F156" s="528" t="s">
        <v>830</v>
      </c>
      <c r="G156" s="530" t="s">
        <v>865</v>
      </c>
      <c r="H156" s="530" t="s">
        <v>77</v>
      </c>
      <c r="I156" s="693" t="s">
        <v>7</v>
      </c>
      <c r="J156" s="525">
        <v>33</v>
      </c>
      <c r="K156" s="731">
        <v>33</v>
      </c>
      <c r="L156" s="537"/>
      <c r="M156" s="686">
        <v>61</v>
      </c>
      <c r="N156" s="686">
        <v>21</v>
      </c>
      <c r="O156" s="748">
        <f t="shared" si="6"/>
        <v>0.34426229508196721</v>
      </c>
      <c r="P156" s="749">
        <f t="shared" si="7"/>
        <v>104.32190760059612</v>
      </c>
      <c r="Q156" s="750">
        <f t="shared" si="8"/>
        <v>1.0432190760059612</v>
      </c>
      <c r="R156" s="692"/>
    </row>
    <row r="157" spans="1:18" ht="26.25" thickBot="1" x14ac:dyDescent="0.25">
      <c r="A157" s="529" t="s">
        <v>276</v>
      </c>
      <c r="B157" s="534" t="s">
        <v>874</v>
      </c>
      <c r="C157" s="526" t="s">
        <v>1604</v>
      </c>
      <c r="D157" s="534" t="s">
        <v>109</v>
      </c>
      <c r="E157" s="534" t="s">
        <v>828</v>
      </c>
      <c r="F157" s="527" t="s">
        <v>829</v>
      </c>
      <c r="G157" s="534" t="s">
        <v>784</v>
      </c>
      <c r="H157" s="534" t="s">
        <v>77</v>
      </c>
      <c r="I157" s="693" t="s">
        <v>7</v>
      </c>
      <c r="J157" s="535">
        <v>100</v>
      </c>
      <c r="K157" s="732">
        <v>100</v>
      </c>
      <c r="L157" s="538" t="s">
        <v>880</v>
      </c>
      <c r="M157" s="686">
        <v>29</v>
      </c>
      <c r="N157" s="686">
        <v>23</v>
      </c>
      <c r="O157" s="748">
        <f t="shared" si="6"/>
        <v>0.7931034482758621</v>
      </c>
      <c r="P157" s="749">
        <f t="shared" si="7"/>
        <v>79.310344827586206</v>
      </c>
      <c r="Q157" s="750">
        <f t="shared" si="8"/>
        <v>0.7931034482758621</v>
      </c>
      <c r="R157" s="692"/>
    </row>
    <row r="158" spans="1:18" ht="13.5" thickBot="1" x14ac:dyDescent="0.25">
      <c r="A158" s="529" t="s">
        <v>276</v>
      </c>
      <c r="B158" s="534" t="s">
        <v>874</v>
      </c>
      <c r="C158" s="526" t="s">
        <v>1604</v>
      </c>
      <c r="D158" s="534" t="s">
        <v>109</v>
      </c>
      <c r="E158" s="534" t="s">
        <v>828</v>
      </c>
      <c r="F158" s="527" t="s">
        <v>830</v>
      </c>
      <c r="G158" s="534" t="s">
        <v>831</v>
      </c>
      <c r="H158" s="534" t="s">
        <v>77</v>
      </c>
      <c r="I158" s="693" t="s">
        <v>7</v>
      </c>
      <c r="J158" s="535">
        <v>33</v>
      </c>
      <c r="K158" s="732">
        <v>33</v>
      </c>
      <c r="L158" s="538"/>
      <c r="M158" s="686">
        <v>29</v>
      </c>
      <c r="N158" s="686">
        <v>10</v>
      </c>
      <c r="O158" s="748">
        <f t="shared" si="6"/>
        <v>0.34482758620689657</v>
      </c>
      <c r="P158" s="749">
        <f t="shared" si="7"/>
        <v>104.4932079414838</v>
      </c>
      <c r="Q158" s="750">
        <f t="shared" si="8"/>
        <v>1.044932079414838</v>
      </c>
      <c r="R158" s="692"/>
    </row>
    <row r="159" spans="1:18" ht="26.25" thickBot="1" x14ac:dyDescent="0.25">
      <c r="A159" s="529" t="s">
        <v>276</v>
      </c>
      <c r="B159" s="534" t="s">
        <v>874</v>
      </c>
      <c r="C159" s="526" t="s">
        <v>1604</v>
      </c>
      <c r="D159" s="534" t="s">
        <v>109</v>
      </c>
      <c r="E159" s="534" t="s">
        <v>832</v>
      </c>
      <c r="F159" s="527" t="s">
        <v>829</v>
      </c>
      <c r="G159" s="534" t="s">
        <v>790</v>
      </c>
      <c r="H159" s="534" t="s">
        <v>77</v>
      </c>
      <c r="I159" s="693" t="s">
        <v>7</v>
      </c>
      <c r="J159" s="535">
        <v>25</v>
      </c>
      <c r="K159" s="732">
        <v>25</v>
      </c>
      <c r="L159" s="538"/>
      <c r="M159" s="686">
        <v>29</v>
      </c>
      <c r="N159" s="686">
        <v>4</v>
      </c>
      <c r="O159" s="748">
        <f t="shared" si="6"/>
        <v>0.13793103448275862</v>
      </c>
      <c r="P159" s="749">
        <f t="shared" si="7"/>
        <v>55.172413793103445</v>
      </c>
      <c r="Q159" s="750">
        <f t="shared" si="8"/>
        <v>0.55172413793103448</v>
      </c>
      <c r="R159" s="692"/>
    </row>
    <row r="160" spans="1:18" ht="26.25" thickBot="1" x14ac:dyDescent="0.25">
      <c r="A160" s="529" t="s">
        <v>276</v>
      </c>
      <c r="B160" s="534" t="s">
        <v>874</v>
      </c>
      <c r="C160" s="526" t="s">
        <v>1604</v>
      </c>
      <c r="D160" s="534" t="s">
        <v>109</v>
      </c>
      <c r="E160" s="534" t="s">
        <v>832</v>
      </c>
      <c r="F160" s="527" t="s">
        <v>830</v>
      </c>
      <c r="G160" s="534" t="s">
        <v>790</v>
      </c>
      <c r="H160" s="534" t="s">
        <v>77</v>
      </c>
      <c r="I160" s="693" t="s">
        <v>7</v>
      </c>
      <c r="J160" s="535">
        <v>25</v>
      </c>
      <c r="K160" s="732">
        <v>25</v>
      </c>
      <c r="L160" s="538"/>
      <c r="M160" s="686">
        <v>29</v>
      </c>
      <c r="N160" s="686">
        <v>4</v>
      </c>
      <c r="O160" s="748">
        <f t="shared" si="6"/>
        <v>0.13793103448275862</v>
      </c>
      <c r="P160" s="749">
        <f t="shared" si="7"/>
        <v>55.172413793103445</v>
      </c>
      <c r="Q160" s="750">
        <f t="shared" si="8"/>
        <v>0.55172413793103448</v>
      </c>
      <c r="R160" s="692"/>
    </row>
    <row r="161" spans="1:18" ht="39" thickBot="1" x14ac:dyDescent="0.25">
      <c r="A161" s="529" t="s">
        <v>276</v>
      </c>
      <c r="B161" s="534" t="s">
        <v>874</v>
      </c>
      <c r="C161" s="526" t="s">
        <v>1604</v>
      </c>
      <c r="D161" s="534" t="s">
        <v>109</v>
      </c>
      <c r="E161" s="534" t="s">
        <v>833</v>
      </c>
      <c r="F161" s="527" t="s">
        <v>834</v>
      </c>
      <c r="G161" s="534" t="s">
        <v>790</v>
      </c>
      <c r="H161" s="534" t="s">
        <v>77</v>
      </c>
      <c r="I161" s="693" t="s">
        <v>7</v>
      </c>
      <c r="J161" s="535">
        <v>25</v>
      </c>
      <c r="K161" s="732">
        <v>25</v>
      </c>
      <c r="L161" s="538" t="s">
        <v>881</v>
      </c>
      <c r="M161" s="686">
        <v>29</v>
      </c>
      <c r="N161" s="686">
        <v>4</v>
      </c>
      <c r="O161" s="748">
        <f t="shared" si="6"/>
        <v>0.13793103448275862</v>
      </c>
      <c r="P161" s="749">
        <f t="shared" si="7"/>
        <v>55.172413793103445</v>
      </c>
      <c r="Q161" s="750">
        <f t="shared" si="8"/>
        <v>0.55172413793103448</v>
      </c>
      <c r="R161" s="692"/>
    </row>
    <row r="162" spans="1:18" ht="26.25" thickBot="1" x14ac:dyDescent="0.25">
      <c r="A162" s="529" t="s">
        <v>276</v>
      </c>
      <c r="B162" s="534" t="s">
        <v>874</v>
      </c>
      <c r="C162" s="526" t="s">
        <v>1604</v>
      </c>
      <c r="D162" s="534" t="s">
        <v>109</v>
      </c>
      <c r="E162" s="534" t="s">
        <v>833</v>
      </c>
      <c r="F162" s="527" t="s">
        <v>835</v>
      </c>
      <c r="G162" s="534" t="s">
        <v>790</v>
      </c>
      <c r="H162" s="534" t="s">
        <v>77</v>
      </c>
      <c r="I162" s="693" t="s">
        <v>7</v>
      </c>
      <c r="J162" s="535">
        <v>33</v>
      </c>
      <c r="K162" s="732">
        <v>33</v>
      </c>
      <c r="L162" s="538"/>
      <c r="M162" s="686">
        <v>29</v>
      </c>
      <c r="N162" s="686">
        <v>10</v>
      </c>
      <c r="O162" s="748">
        <f t="shared" si="6"/>
        <v>0.34482758620689657</v>
      </c>
      <c r="P162" s="749">
        <f t="shared" si="7"/>
        <v>104.4932079414838</v>
      </c>
      <c r="Q162" s="750">
        <f t="shared" si="8"/>
        <v>1.044932079414838</v>
      </c>
      <c r="R162" s="692"/>
    </row>
    <row r="163" spans="1:18" ht="26.25" thickBot="1" x14ac:dyDescent="0.25">
      <c r="A163" s="529" t="s">
        <v>276</v>
      </c>
      <c r="B163" s="534" t="s">
        <v>874</v>
      </c>
      <c r="C163" s="526" t="s">
        <v>1604</v>
      </c>
      <c r="D163" s="534" t="s">
        <v>109</v>
      </c>
      <c r="E163" s="534" t="s">
        <v>836</v>
      </c>
      <c r="F163" s="527" t="s">
        <v>834</v>
      </c>
      <c r="G163" s="534" t="s">
        <v>790</v>
      </c>
      <c r="H163" s="534" t="s">
        <v>77</v>
      </c>
      <c r="I163" s="693" t="s">
        <v>7</v>
      </c>
      <c r="J163" s="535">
        <v>25</v>
      </c>
      <c r="K163" s="732">
        <v>25</v>
      </c>
      <c r="L163" s="538"/>
      <c r="M163" s="686">
        <v>29</v>
      </c>
      <c r="N163" s="686">
        <v>4</v>
      </c>
      <c r="O163" s="748">
        <f t="shared" si="6"/>
        <v>0.13793103448275862</v>
      </c>
      <c r="P163" s="749">
        <f t="shared" si="7"/>
        <v>55.172413793103445</v>
      </c>
      <c r="Q163" s="750">
        <f t="shared" si="8"/>
        <v>0.55172413793103448</v>
      </c>
      <c r="R163" s="692"/>
    </row>
    <row r="164" spans="1:18" ht="26.25" thickBot="1" x14ac:dyDescent="0.25">
      <c r="A164" s="529" t="s">
        <v>276</v>
      </c>
      <c r="B164" s="534" t="s">
        <v>874</v>
      </c>
      <c r="C164" s="526" t="s">
        <v>1604</v>
      </c>
      <c r="D164" s="534" t="s">
        <v>109</v>
      </c>
      <c r="E164" s="534" t="s">
        <v>837</v>
      </c>
      <c r="F164" s="527" t="s">
        <v>834</v>
      </c>
      <c r="G164" s="534" t="s">
        <v>790</v>
      </c>
      <c r="H164" s="534" t="s">
        <v>77</v>
      </c>
      <c r="I164" s="693" t="s">
        <v>7</v>
      </c>
      <c r="J164" s="535">
        <v>25</v>
      </c>
      <c r="K164" s="732">
        <v>25</v>
      </c>
      <c r="L164" s="538"/>
      <c r="M164" s="686">
        <v>29</v>
      </c>
      <c r="N164" s="686">
        <v>4</v>
      </c>
      <c r="O164" s="748">
        <f t="shared" si="6"/>
        <v>0.13793103448275862</v>
      </c>
      <c r="P164" s="749">
        <f t="shared" si="7"/>
        <v>55.172413793103445</v>
      </c>
      <c r="Q164" s="750">
        <f t="shared" si="8"/>
        <v>0.55172413793103448</v>
      </c>
      <c r="R164" s="692"/>
    </row>
    <row r="165" spans="1:18" ht="13.5" thickBot="1" x14ac:dyDescent="0.25">
      <c r="A165" s="529" t="s">
        <v>276</v>
      </c>
      <c r="B165" s="534" t="s">
        <v>874</v>
      </c>
      <c r="C165" s="526" t="s">
        <v>1604</v>
      </c>
      <c r="D165" s="534" t="s">
        <v>109</v>
      </c>
      <c r="E165" s="534" t="s">
        <v>838</v>
      </c>
      <c r="F165" s="527" t="s">
        <v>834</v>
      </c>
      <c r="G165" s="534" t="s">
        <v>784</v>
      </c>
      <c r="H165" s="534" t="s">
        <v>77</v>
      </c>
      <c r="I165" s="693" t="s">
        <v>7</v>
      </c>
      <c r="J165" s="535">
        <v>100</v>
      </c>
      <c r="K165" s="732">
        <v>100</v>
      </c>
      <c r="L165" s="538"/>
      <c r="M165" s="686">
        <v>29</v>
      </c>
      <c r="N165" s="686">
        <v>23</v>
      </c>
      <c r="O165" s="748">
        <f t="shared" si="6"/>
        <v>0.7931034482758621</v>
      </c>
      <c r="P165" s="749">
        <f t="shared" si="7"/>
        <v>79.310344827586206</v>
      </c>
      <c r="Q165" s="750">
        <f t="shared" si="8"/>
        <v>0.7931034482758621</v>
      </c>
      <c r="R165" s="692"/>
    </row>
    <row r="166" spans="1:18" ht="13.5" thickBot="1" x14ac:dyDescent="0.25">
      <c r="A166" s="529" t="s">
        <v>276</v>
      </c>
      <c r="B166" s="534" t="s">
        <v>874</v>
      </c>
      <c r="C166" s="526" t="s">
        <v>1604</v>
      </c>
      <c r="D166" s="534" t="s">
        <v>109</v>
      </c>
      <c r="E166" s="534" t="s">
        <v>839</v>
      </c>
      <c r="F166" s="527" t="s">
        <v>834</v>
      </c>
      <c r="G166" s="534" t="s">
        <v>784</v>
      </c>
      <c r="H166" s="534" t="s">
        <v>77</v>
      </c>
      <c r="I166" s="693" t="s">
        <v>7</v>
      </c>
      <c r="J166" s="533">
        <v>100</v>
      </c>
      <c r="K166" s="733">
        <v>100</v>
      </c>
      <c r="L166" s="538"/>
      <c r="M166" s="686">
        <v>29</v>
      </c>
      <c r="N166" s="686">
        <v>23</v>
      </c>
      <c r="O166" s="748">
        <f t="shared" si="6"/>
        <v>0.7931034482758621</v>
      </c>
      <c r="P166" s="749">
        <f t="shared" si="7"/>
        <v>79.310344827586206</v>
      </c>
      <c r="Q166" s="750">
        <f t="shared" si="8"/>
        <v>0.7931034482758621</v>
      </c>
      <c r="R166" s="692"/>
    </row>
    <row r="167" spans="1:18" ht="26.25" thickBot="1" x14ac:dyDescent="0.25">
      <c r="A167" s="529" t="s">
        <v>276</v>
      </c>
      <c r="B167" s="534" t="s">
        <v>874</v>
      </c>
      <c r="C167" s="526" t="s">
        <v>1604</v>
      </c>
      <c r="D167" s="534" t="s">
        <v>109</v>
      </c>
      <c r="E167" s="534" t="s">
        <v>840</v>
      </c>
      <c r="F167" s="527" t="s">
        <v>834</v>
      </c>
      <c r="G167" s="534" t="s">
        <v>790</v>
      </c>
      <c r="H167" s="534" t="s">
        <v>77</v>
      </c>
      <c r="I167" s="693" t="s">
        <v>7</v>
      </c>
      <c r="J167" s="533">
        <v>25</v>
      </c>
      <c r="K167" s="733">
        <v>25</v>
      </c>
      <c r="L167" s="538"/>
      <c r="M167" s="686">
        <v>29</v>
      </c>
      <c r="N167" s="686">
        <v>4</v>
      </c>
      <c r="O167" s="748">
        <f t="shared" si="6"/>
        <v>0.13793103448275862</v>
      </c>
      <c r="P167" s="749">
        <f t="shared" si="7"/>
        <v>55.172413793103445</v>
      </c>
      <c r="Q167" s="750">
        <f t="shared" si="8"/>
        <v>0.55172413793103448</v>
      </c>
      <c r="R167" s="692"/>
    </row>
    <row r="168" spans="1:18" ht="26.25" thickBot="1" x14ac:dyDescent="0.25">
      <c r="A168" s="529" t="s">
        <v>276</v>
      </c>
      <c r="B168" s="534" t="s">
        <v>874</v>
      </c>
      <c r="C168" s="526" t="s">
        <v>1604</v>
      </c>
      <c r="D168" s="534" t="s">
        <v>109</v>
      </c>
      <c r="E168" s="534" t="s">
        <v>841</v>
      </c>
      <c r="F168" s="527" t="s">
        <v>834</v>
      </c>
      <c r="G168" s="534" t="s">
        <v>790</v>
      </c>
      <c r="H168" s="534" t="s">
        <v>77</v>
      </c>
      <c r="I168" s="693" t="s">
        <v>7</v>
      </c>
      <c r="J168" s="533">
        <v>25</v>
      </c>
      <c r="K168" s="733">
        <v>25</v>
      </c>
      <c r="L168" s="538"/>
      <c r="M168" s="686">
        <v>29</v>
      </c>
      <c r="N168" s="686">
        <v>4</v>
      </c>
      <c r="O168" s="748">
        <f t="shared" si="6"/>
        <v>0.13793103448275862</v>
      </c>
      <c r="P168" s="749">
        <f t="shared" si="7"/>
        <v>55.172413793103445</v>
      </c>
      <c r="Q168" s="750">
        <f t="shared" si="8"/>
        <v>0.55172413793103448</v>
      </c>
      <c r="R168" s="692"/>
    </row>
    <row r="169" spans="1:18" ht="13.5" thickBot="1" x14ac:dyDescent="0.25">
      <c r="A169" s="529" t="s">
        <v>276</v>
      </c>
      <c r="B169" s="534" t="s">
        <v>874</v>
      </c>
      <c r="C169" s="526" t="s">
        <v>1604</v>
      </c>
      <c r="D169" s="534" t="s">
        <v>109</v>
      </c>
      <c r="E169" s="534" t="s">
        <v>842</v>
      </c>
      <c r="F169" s="536" t="s">
        <v>843</v>
      </c>
      <c r="G169" s="534" t="s">
        <v>784</v>
      </c>
      <c r="H169" s="534" t="s">
        <v>77</v>
      </c>
      <c r="I169" s="693" t="s">
        <v>7</v>
      </c>
      <c r="J169" s="533">
        <v>100</v>
      </c>
      <c r="K169" s="733">
        <v>100</v>
      </c>
      <c r="L169" s="538"/>
      <c r="M169" s="686">
        <v>29</v>
      </c>
      <c r="N169" s="686">
        <v>23</v>
      </c>
      <c r="O169" s="748">
        <f t="shared" si="6"/>
        <v>0.7931034482758621</v>
      </c>
      <c r="P169" s="749">
        <f t="shared" si="7"/>
        <v>79.310344827586206</v>
      </c>
      <c r="Q169" s="750">
        <f t="shared" si="8"/>
        <v>0.7931034482758621</v>
      </c>
      <c r="R169" s="608"/>
    </row>
    <row r="170" spans="1:18" ht="13.5" thickBot="1" x14ac:dyDescent="0.25">
      <c r="A170" s="529" t="s">
        <v>276</v>
      </c>
      <c r="B170" s="534" t="s">
        <v>874</v>
      </c>
      <c r="C170" s="526" t="s">
        <v>1604</v>
      </c>
      <c r="D170" s="534" t="s">
        <v>109</v>
      </c>
      <c r="E170" s="534" t="s">
        <v>844</v>
      </c>
      <c r="F170" s="536" t="s">
        <v>843</v>
      </c>
      <c r="G170" s="534" t="s">
        <v>784</v>
      </c>
      <c r="H170" s="534" t="s">
        <v>77</v>
      </c>
      <c r="I170" s="693" t="s">
        <v>7</v>
      </c>
      <c r="J170" s="533">
        <v>100</v>
      </c>
      <c r="K170" s="733">
        <v>100</v>
      </c>
      <c r="L170" s="538"/>
      <c r="M170" s="686">
        <v>29</v>
      </c>
      <c r="N170" s="686">
        <v>23</v>
      </c>
      <c r="O170" s="748">
        <f t="shared" si="6"/>
        <v>0.7931034482758621</v>
      </c>
      <c r="P170" s="749">
        <f t="shared" si="7"/>
        <v>79.310344827586206</v>
      </c>
      <c r="Q170" s="750">
        <f t="shared" si="8"/>
        <v>0.7931034482758621</v>
      </c>
      <c r="R170" s="608"/>
    </row>
    <row r="171" spans="1:18" ht="26.25" thickBot="1" x14ac:dyDescent="0.25">
      <c r="A171" s="529" t="s">
        <v>276</v>
      </c>
      <c r="B171" s="534" t="s">
        <v>874</v>
      </c>
      <c r="C171" s="526" t="s">
        <v>1604</v>
      </c>
      <c r="D171" s="534" t="s">
        <v>109</v>
      </c>
      <c r="E171" s="534" t="s">
        <v>845</v>
      </c>
      <c r="F171" s="536" t="s">
        <v>830</v>
      </c>
      <c r="G171" s="534" t="s">
        <v>790</v>
      </c>
      <c r="H171" s="534" t="s">
        <v>77</v>
      </c>
      <c r="I171" s="693" t="s">
        <v>7</v>
      </c>
      <c r="J171" s="533">
        <v>33</v>
      </c>
      <c r="K171" s="733">
        <v>33</v>
      </c>
      <c r="L171" s="538"/>
      <c r="M171" s="686">
        <v>29</v>
      </c>
      <c r="N171" s="686">
        <v>10</v>
      </c>
      <c r="O171" s="748">
        <f t="shared" si="6"/>
        <v>0.34482758620689657</v>
      </c>
      <c r="P171" s="749">
        <f t="shared" si="7"/>
        <v>104.4932079414838</v>
      </c>
      <c r="Q171" s="750">
        <f t="shared" si="8"/>
        <v>1.044932079414838</v>
      </c>
      <c r="R171" s="608"/>
    </row>
    <row r="172" spans="1:18" ht="26.25" thickBot="1" x14ac:dyDescent="0.25">
      <c r="A172" s="529" t="s">
        <v>276</v>
      </c>
      <c r="B172" s="534" t="s">
        <v>874</v>
      </c>
      <c r="C172" s="526" t="s">
        <v>1604</v>
      </c>
      <c r="D172" s="534" t="s">
        <v>109</v>
      </c>
      <c r="E172" s="534" t="s">
        <v>846</v>
      </c>
      <c r="F172" s="536" t="s">
        <v>830</v>
      </c>
      <c r="G172" s="534" t="s">
        <v>790</v>
      </c>
      <c r="H172" s="534" t="s">
        <v>77</v>
      </c>
      <c r="I172" s="693" t="s">
        <v>7</v>
      </c>
      <c r="J172" s="533">
        <v>33</v>
      </c>
      <c r="K172" s="733">
        <v>33</v>
      </c>
      <c r="L172" s="538"/>
      <c r="M172" s="686">
        <v>29</v>
      </c>
      <c r="N172" s="686">
        <v>10</v>
      </c>
      <c r="O172" s="748">
        <f t="shared" si="6"/>
        <v>0.34482758620689657</v>
      </c>
      <c r="P172" s="749">
        <f t="shared" si="7"/>
        <v>104.4932079414838</v>
      </c>
      <c r="Q172" s="750">
        <f t="shared" si="8"/>
        <v>1.044932079414838</v>
      </c>
      <c r="R172" s="608"/>
    </row>
    <row r="173" spans="1:18" ht="26.25" thickBot="1" x14ac:dyDescent="0.25">
      <c r="A173" s="529" t="s">
        <v>276</v>
      </c>
      <c r="B173" s="534" t="s">
        <v>874</v>
      </c>
      <c r="C173" s="526" t="s">
        <v>1604</v>
      </c>
      <c r="D173" s="534" t="s">
        <v>109</v>
      </c>
      <c r="E173" s="534" t="s">
        <v>847</v>
      </c>
      <c r="F173" s="536" t="s">
        <v>830</v>
      </c>
      <c r="G173" s="534" t="s">
        <v>790</v>
      </c>
      <c r="H173" s="534" t="s">
        <v>77</v>
      </c>
      <c r="I173" s="693" t="s">
        <v>7</v>
      </c>
      <c r="J173" s="533">
        <v>33</v>
      </c>
      <c r="K173" s="733">
        <v>33</v>
      </c>
      <c r="L173" s="538"/>
      <c r="M173" s="686">
        <v>29</v>
      </c>
      <c r="N173" s="686">
        <v>10</v>
      </c>
      <c r="O173" s="748">
        <f t="shared" si="6"/>
        <v>0.34482758620689657</v>
      </c>
      <c r="P173" s="749">
        <f t="shared" si="7"/>
        <v>104.4932079414838</v>
      </c>
      <c r="Q173" s="750">
        <f t="shared" si="8"/>
        <v>1.044932079414838</v>
      </c>
      <c r="R173" s="608"/>
    </row>
    <row r="174" spans="1:18" ht="26.25" thickBot="1" x14ac:dyDescent="0.25">
      <c r="A174" s="529" t="s">
        <v>276</v>
      </c>
      <c r="B174" s="534" t="s">
        <v>874</v>
      </c>
      <c r="C174" s="526" t="s">
        <v>1604</v>
      </c>
      <c r="D174" s="534" t="s">
        <v>109</v>
      </c>
      <c r="E174" s="534" t="s">
        <v>848</v>
      </c>
      <c r="F174" s="536" t="s">
        <v>830</v>
      </c>
      <c r="G174" s="534" t="s">
        <v>790</v>
      </c>
      <c r="H174" s="534" t="s">
        <v>77</v>
      </c>
      <c r="I174" s="693" t="s">
        <v>7</v>
      </c>
      <c r="J174" s="533">
        <v>33</v>
      </c>
      <c r="K174" s="733">
        <v>33</v>
      </c>
      <c r="L174" s="538"/>
      <c r="M174" s="686">
        <v>29</v>
      </c>
      <c r="N174" s="686">
        <v>10</v>
      </c>
      <c r="O174" s="748">
        <f t="shared" si="6"/>
        <v>0.34482758620689657</v>
      </c>
      <c r="P174" s="749">
        <f t="shared" si="7"/>
        <v>104.4932079414838</v>
      </c>
      <c r="Q174" s="750">
        <f t="shared" si="8"/>
        <v>1.044932079414838</v>
      </c>
      <c r="R174" s="608"/>
    </row>
    <row r="175" spans="1:18" ht="26.25" thickBot="1" x14ac:dyDescent="0.25">
      <c r="A175" s="529" t="s">
        <v>276</v>
      </c>
      <c r="B175" s="534" t="s">
        <v>874</v>
      </c>
      <c r="C175" s="526" t="s">
        <v>1604</v>
      </c>
      <c r="D175" s="534" t="s">
        <v>109</v>
      </c>
      <c r="E175" s="534" t="s">
        <v>849</v>
      </c>
      <c r="F175" s="536" t="s">
        <v>830</v>
      </c>
      <c r="G175" s="534" t="s">
        <v>790</v>
      </c>
      <c r="H175" s="534" t="s">
        <v>77</v>
      </c>
      <c r="I175" s="693" t="s">
        <v>7</v>
      </c>
      <c r="J175" s="533">
        <v>33</v>
      </c>
      <c r="K175" s="733">
        <v>33</v>
      </c>
      <c r="L175" s="538"/>
      <c r="M175" s="686">
        <v>29</v>
      </c>
      <c r="N175" s="686">
        <v>10</v>
      </c>
      <c r="O175" s="748">
        <f t="shared" si="6"/>
        <v>0.34482758620689657</v>
      </c>
      <c r="P175" s="749">
        <f t="shared" si="7"/>
        <v>104.4932079414838</v>
      </c>
      <c r="Q175" s="750">
        <f t="shared" si="8"/>
        <v>1.044932079414838</v>
      </c>
      <c r="R175" s="608"/>
    </row>
    <row r="176" spans="1:18" ht="26.25" thickBot="1" x14ac:dyDescent="0.25">
      <c r="A176" s="529" t="s">
        <v>276</v>
      </c>
      <c r="B176" s="534" t="s">
        <v>874</v>
      </c>
      <c r="C176" s="526" t="s">
        <v>1604</v>
      </c>
      <c r="D176" s="534" t="s">
        <v>109</v>
      </c>
      <c r="E176" s="534" t="s">
        <v>850</v>
      </c>
      <c r="F176" s="536" t="s">
        <v>830</v>
      </c>
      <c r="G176" s="534" t="s">
        <v>790</v>
      </c>
      <c r="H176" s="534" t="s">
        <v>77</v>
      </c>
      <c r="I176" s="693" t="s">
        <v>7</v>
      </c>
      <c r="J176" s="533">
        <v>33</v>
      </c>
      <c r="K176" s="733">
        <v>33</v>
      </c>
      <c r="L176" s="538"/>
      <c r="M176" s="686">
        <v>29</v>
      </c>
      <c r="N176" s="686">
        <v>10</v>
      </c>
      <c r="O176" s="748">
        <f t="shared" si="6"/>
        <v>0.34482758620689657</v>
      </c>
      <c r="P176" s="749">
        <f t="shared" si="7"/>
        <v>104.4932079414838</v>
      </c>
      <c r="Q176" s="750">
        <f t="shared" si="8"/>
        <v>1.044932079414838</v>
      </c>
      <c r="R176" s="608"/>
    </row>
    <row r="177" spans="1:18" ht="13.5" thickBot="1" x14ac:dyDescent="0.25">
      <c r="A177" s="529" t="s">
        <v>276</v>
      </c>
      <c r="B177" s="534" t="s">
        <v>874</v>
      </c>
      <c r="C177" s="526" t="s">
        <v>1604</v>
      </c>
      <c r="D177" s="534" t="s">
        <v>109</v>
      </c>
      <c r="E177" s="534" t="s">
        <v>851</v>
      </c>
      <c r="F177" s="536" t="s">
        <v>834</v>
      </c>
      <c r="G177" s="534" t="s">
        <v>784</v>
      </c>
      <c r="H177" s="534" t="s">
        <v>77</v>
      </c>
      <c r="I177" s="693" t="s">
        <v>7</v>
      </c>
      <c r="J177" s="533">
        <v>100</v>
      </c>
      <c r="K177" s="733">
        <v>100</v>
      </c>
      <c r="L177" s="538"/>
      <c r="M177" s="686">
        <v>29</v>
      </c>
      <c r="N177" s="686">
        <v>23</v>
      </c>
      <c r="O177" s="748">
        <f t="shared" si="6"/>
        <v>0.7931034482758621</v>
      </c>
      <c r="P177" s="749">
        <f t="shared" si="7"/>
        <v>79.310344827586206</v>
      </c>
      <c r="Q177" s="750">
        <f t="shared" si="8"/>
        <v>0.7931034482758621</v>
      </c>
      <c r="R177" s="608"/>
    </row>
    <row r="178" spans="1:18" ht="13.5" thickBot="1" x14ac:dyDescent="0.25">
      <c r="A178" s="529" t="s">
        <v>276</v>
      </c>
      <c r="B178" s="534" t="s">
        <v>874</v>
      </c>
      <c r="C178" s="526" t="s">
        <v>1604</v>
      </c>
      <c r="D178" s="534" t="s">
        <v>109</v>
      </c>
      <c r="E178" s="534" t="s">
        <v>852</v>
      </c>
      <c r="F178" s="536" t="s">
        <v>834</v>
      </c>
      <c r="G178" s="534" t="s">
        <v>784</v>
      </c>
      <c r="H178" s="534" t="s">
        <v>77</v>
      </c>
      <c r="I178" s="693" t="s">
        <v>7</v>
      </c>
      <c r="J178" s="533">
        <v>100</v>
      </c>
      <c r="K178" s="733">
        <v>100</v>
      </c>
      <c r="L178" s="538"/>
      <c r="M178" s="686">
        <v>29</v>
      </c>
      <c r="N178" s="686">
        <v>23</v>
      </c>
      <c r="O178" s="748">
        <f t="shared" si="6"/>
        <v>0.7931034482758621</v>
      </c>
      <c r="P178" s="749">
        <f t="shared" si="7"/>
        <v>79.310344827586206</v>
      </c>
      <c r="Q178" s="750">
        <f t="shared" si="8"/>
        <v>0.7931034482758621</v>
      </c>
      <c r="R178" s="608"/>
    </row>
    <row r="179" spans="1:18" ht="26.25" thickBot="1" x14ac:dyDescent="0.25">
      <c r="A179" s="529" t="s">
        <v>276</v>
      </c>
      <c r="B179" s="534" t="s">
        <v>874</v>
      </c>
      <c r="C179" s="526" t="s">
        <v>1604</v>
      </c>
      <c r="D179" s="534" t="s">
        <v>109</v>
      </c>
      <c r="E179" s="534" t="s">
        <v>853</v>
      </c>
      <c r="F179" s="536" t="s">
        <v>834</v>
      </c>
      <c r="G179" s="534" t="s">
        <v>784</v>
      </c>
      <c r="H179" s="534" t="s">
        <v>77</v>
      </c>
      <c r="I179" s="693" t="s">
        <v>7</v>
      </c>
      <c r="J179" s="533">
        <v>100</v>
      </c>
      <c r="K179" s="733">
        <v>100</v>
      </c>
      <c r="L179" s="538"/>
      <c r="M179" s="686">
        <v>29</v>
      </c>
      <c r="N179" s="686">
        <v>23</v>
      </c>
      <c r="O179" s="748">
        <f t="shared" si="6"/>
        <v>0.7931034482758621</v>
      </c>
      <c r="P179" s="749">
        <f t="shared" si="7"/>
        <v>79.310344827586206</v>
      </c>
      <c r="Q179" s="750">
        <f t="shared" si="8"/>
        <v>0.7931034482758621</v>
      </c>
      <c r="R179" s="608"/>
    </row>
    <row r="180" spans="1:18" ht="26.25" thickBot="1" x14ac:dyDescent="0.25">
      <c r="A180" s="529" t="s">
        <v>276</v>
      </c>
      <c r="B180" s="534" t="s">
        <v>874</v>
      </c>
      <c r="C180" s="526" t="s">
        <v>1604</v>
      </c>
      <c r="D180" s="534" t="s">
        <v>109</v>
      </c>
      <c r="E180" s="534" t="s">
        <v>854</v>
      </c>
      <c r="F180" s="527" t="s">
        <v>829</v>
      </c>
      <c r="G180" s="534" t="s">
        <v>784</v>
      </c>
      <c r="H180" s="534" t="s">
        <v>77</v>
      </c>
      <c r="I180" s="693" t="s">
        <v>7</v>
      </c>
      <c r="J180" s="533">
        <v>100</v>
      </c>
      <c r="K180" s="733">
        <v>100</v>
      </c>
      <c r="L180" s="538" t="s">
        <v>880</v>
      </c>
      <c r="M180" s="686">
        <v>29</v>
      </c>
      <c r="N180" s="686">
        <v>23</v>
      </c>
      <c r="O180" s="748">
        <f t="shared" si="6"/>
        <v>0.7931034482758621</v>
      </c>
      <c r="P180" s="749">
        <f t="shared" si="7"/>
        <v>79.310344827586206</v>
      </c>
      <c r="Q180" s="750">
        <f t="shared" si="8"/>
        <v>0.7931034482758621</v>
      </c>
      <c r="R180" s="608"/>
    </row>
    <row r="181" spans="1:18" ht="26.25" thickBot="1" x14ac:dyDescent="0.25">
      <c r="A181" s="529" t="s">
        <v>276</v>
      </c>
      <c r="B181" s="534" t="s">
        <v>874</v>
      </c>
      <c r="C181" s="526" t="s">
        <v>1604</v>
      </c>
      <c r="D181" s="534" t="s">
        <v>109</v>
      </c>
      <c r="E181" s="534" t="s">
        <v>854</v>
      </c>
      <c r="F181" s="527" t="s">
        <v>830</v>
      </c>
      <c r="G181" s="534" t="s">
        <v>790</v>
      </c>
      <c r="H181" s="534" t="s">
        <v>77</v>
      </c>
      <c r="I181" s="693" t="s">
        <v>7</v>
      </c>
      <c r="J181" s="533">
        <v>33</v>
      </c>
      <c r="K181" s="733">
        <v>33</v>
      </c>
      <c r="L181" s="538"/>
      <c r="M181" s="686">
        <v>29</v>
      </c>
      <c r="N181" s="686">
        <v>10</v>
      </c>
      <c r="O181" s="748">
        <f t="shared" si="6"/>
        <v>0.34482758620689657</v>
      </c>
      <c r="P181" s="749">
        <f t="shared" si="7"/>
        <v>104.4932079414838</v>
      </c>
      <c r="Q181" s="750">
        <f t="shared" si="8"/>
        <v>1.044932079414838</v>
      </c>
      <c r="R181" s="608"/>
    </row>
    <row r="182" spans="1:18" ht="26.25" thickBot="1" x14ac:dyDescent="0.25">
      <c r="A182" s="529" t="s">
        <v>276</v>
      </c>
      <c r="B182" s="534" t="s">
        <v>874</v>
      </c>
      <c r="C182" s="526" t="s">
        <v>1604</v>
      </c>
      <c r="D182" s="534" t="s">
        <v>109</v>
      </c>
      <c r="E182" s="534" t="s">
        <v>855</v>
      </c>
      <c r="F182" s="536" t="s">
        <v>834</v>
      </c>
      <c r="G182" s="534" t="s">
        <v>790</v>
      </c>
      <c r="H182" s="534" t="s">
        <v>77</v>
      </c>
      <c r="I182" s="693" t="s">
        <v>7</v>
      </c>
      <c r="J182" s="533">
        <v>25</v>
      </c>
      <c r="K182" s="733">
        <v>25</v>
      </c>
      <c r="L182" s="538"/>
      <c r="M182" s="686">
        <v>29</v>
      </c>
      <c r="N182" s="686">
        <v>4</v>
      </c>
      <c r="O182" s="748">
        <f t="shared" si="6"/>
        <v>0.13793103448275862</v>
      </c>
      <c r="P182" s="749">
        <f t="shared" si="7"/>
        <v>55.172413793103445</v>
      </c>
      <c r="Q182" s="750">
        <f t="shared" si="8"/>
        <v>0.55172413793103448</v>
      </c>
      <c r="R182" s="608"/>
    </row>
    <row r="183" spans="1:18" ht="39" thickBot="1" x14ac:dyDescent="0.25">
      <c r="A183" s="529" t="s">
        <v>276</v>
      </c>
      <c r="B183" s="534" t="s">
        <v>874</v>
      </c>
      <c r="C183" s="526" t="s">
        <v>1604</v>
      </c>
      <c r="D183" s="534" t="s">
        <v>109</v>
      </c>
      <c r="E183" s="534" t="s">
        <v>856</v>
      </c>
      <c r="F183" s="536" t="s">
        <v>834</v>
      </c>
      <c r="G183" s="534" t="s">
        <v>790</v>
      </c>
      <c r="H183" s="534" t="s">
        <v>77</v>
      </c>
      <c r="I183" s="693" t="s">
        <v>7</v>
      </c>
      <c r="J183" s="533">
        <v>25</v>
      </c>
      <c r="K183" s="733">
        <v>25</v>
      </c>
      <c r="L183" s="538"/>
      <c r="M183" s="686">
        <v>29</v>
      </c>
      <c r="N183" s="686">
        <v>4</v>
      </c>
      <c r="O183" s="748">
        <f t="shared" si="6"/>
        <v>0.13793103448275862</v>
      </c>
      <c r="P183" s="749">
        <f t="shared" si="7"/>
        <v>55.172413793103445</v>
      </c>
      <c r="Q183" s="750">
        <f t="shared" si="8"/>
        <v>0.55172413793103448</v>
      </c>
      <c r="R183" s="608"/>
    </row>
    <row r="184" spans="1:18" ht="39" thickBot="1" x14ac:dyDescent="0.25">
      <c r="A184" s="529" t="s">
        <v>276</v>
      </c>
      <c r="B184" s="534" t="s">
        <v>874</v>
      </c>
      <c r="C184" s="526" t="s">
        <v>1604</v>
      </c>
      <c r="D184" s="534" t="s">
        <v>109</v>
      </c>
      <c r="E184" s="534" t="s">
        <v>857</v>
      </c>
      <c r="F184" s="536" t="s">
        <v>834</v>
      </c>
      <c r="G184" s="534" t="s">
        <v>784</v>
      </c>
      <c r="H184" s="534" t="s">
        <v>77</v>
      </c>
      <c r="I184" s="693" t="s">
        <v>7</v>
      </c>
      <c r="J184" s="533">
        <v>100</v>
      </c>
      <c r="K184" s="733">
        <v>100</v>
      </c>
      <c r="L184" s="538"/>
      <c r="M184" s="686">
        <v>29</v>
      </c>
      <c r="N184" s="686">
        <v>23</v>
      </c>
      <c r="O184" s="748">
        <f t="shared" si="6"/>
        <v>0.7931034482758621</v>
      </c>
      <c r="P184" s="749">
        <f t="shared" si="7"/>
        <v>79.310344827586206</v>
      </c>
      <c r="Q184" s="750">
        <f t="shared" si="8"/>
        <v>0.7931034482758621</v>
      </c>
      <c r="R184" s="608"/>
    </row>
    <row r="185" spans="1:18" ht="13.5" thickBot="1" x14ac:dyDescent="0.25">
      <c r="A185" s="529" t="s">
        <v>276</v>
      </c>
      <c r="B185" s="534" t="s">
        <v>874</v>
      </c>
      <c r="C185" s="526" t="s">
        <v>1604</v>
      </c>
      <c r="D185" s="534" t="s">
        <v>808</v>
      </c>
      <c r="E185" s="534" t="s">
        <v>858</v>
      </c>
      <c r="F185" s="536" t="s">
        <v>834</v>
      </c>
      <c r="G185" s="534" t="s">
        <v>784</v>
      </c>
      <c r="H185" s="534" t="s">
        <v>77</v>
      </c>
      <c r="I185" s="693" t="s">
        <v>7</v>
      </c>
      <c r="J185" s="533">
        <v>100</v>
      </c>
      <c r="K185" s="733">
        <v>100</v>
      </c>
      <c r="L185" s="538"/>
      <c r="M185" s="686">
        <v>29</v>
      </c>
      <c r="N185" s="686">
        <v>23</v>
      </c>
      <c r="O185" s="748">
        <f t="shared" si="6"/>
        <v>0.7931034482758621</v>
      </c>
      <c r="P185" s="749">
        <f t="shared" si="7"/>
        <v>79.310344827586206</v>
      </c>
      <c r="Q185" s="750">
        <f t="shared" si="8"/>
        <v>0.7931034482758621</v>
      </c>
      <c r="R185" s="608"/>
    </row>
    <row r="186" spans="1:18" ht="13.5" thickBot="1" x14ac:dyDescent="0.25">
      <c r="A186" s="529" t="s">
        <v>276</v>
      </c>
      <c r="B186" s="534" t="s">
        <v>874</v>
      </c>
      <c r="C186" s="526" t="s">
        <v>1604</v>
      </c>
      <c r="D186" s="534" t="s">
        <v>808</v>
      </c>
      <c r="E186" s="534" t="s">
        <v>859</v>
      </c>
      <c r="F186" s="536" t="s">
        <v>834</v>
      </c>
      <c r="G186" s="534" t="s">
        <v>784</v>
      </c>
      <c r="H186" s="534" t="s">
        <v>77</v>
      </c>
      <c r="I186" s="693" t="s">
        <v>7</v>
      </c>
      <c r="J186" s="533">
        <v>100</v>
      </c>
      <c r="K186" s="733">
        <v>100</v>
      </c>
      <c r="L186" s="538"/>
      <c r="M186" s="686">
        <v>29</v>
      </c>
      <c r="N186" s="686">
        <v>23</v>
      </c>
      <c r="O186" s="748">
        <f t="shared" si="6"/>
        <v>0.7931034482758621</v>
      </c>
      <c r="P186" s="749">
        <f t="shared" si="7"/>
        <v>79.310344827586206</v>
      </c>
      <c r="Q186" s="750">
        <f t="shared" si="8"/>
        <v>0.7931034482758621</v>
      </c>
      <c r="R186" s="608"/>
    </row>
    <row r="187" spans="1:18" ht="26.25" thickBot="1" x14ac:dyDescent="0.25">
      <c r="A187" s="529" t="s">
        <v>276</v>
      </c>
      <c r="B187" s="534" t="s">
        <v>874</v>
      </c>
      <c r="C187" s="526" t="s">
        <v>1604</v>
      </c>
      <c r="D187" s="534" t="s">
        <v>808</v>
      </c>
      <c r="E187" s="534" t="s">
        <v>860</v>
      </c>
      <c r="F187" s="536" t="s">
        <v>834</v>
      </c>
      <c r="G187" s="534" t="s">
        <v>790</v>
      </c>
      <c r="H187" s="534" t="s">
        <v>77</v>
      </c>
      <c r="I187" s="693" t="s">
        <v>7</v>
      </c>
      <c r="J187" s="533">
        <v>25</v>
      </c>
      <c r="K187" s="733">
        <v>25</v>
      </c>
      <c r="L187" s="538"/>
      <c r="M187" s="686">
        <v>29</v>
      </c>
      <c r="N187" s="686">
        <v>4</v>
      </c>
      <c r="O187" s="748">
        <f t="shared" si="6"/>
        <v>0.13793103448275862</v>
      </c>
      <c r="P187" s="749">
        <f t="shared" si="7"/>
        <v>55.172413793103445</v>
      </c>
      <c r="Q187" s="750">
        <f t="shared" si="8"/>
        <v>0.55172413793103448</v>
      </c>
      <c r="R187" s="608"/>
    </row>
    <row r="188" spans="1:18" ht="26.25" thickBot="1" x14ac:dyDescent="0.25">
      <c r="A188" s="529" t="s">
        <v>276</v>
      </c>
      <c r="B188" s="534" t="s">
        <v>874</v>
      </c>
      <c r="C188" s="526" t="s">
        <v>1604</v>
      </c>
      <c r="D188" s="534" t="s">
        <v>808</v>
      </c>
      <c r="E188" s="534" t="s">
        <v>861</v>
      </c>
      <c r="F188" s="536" t="s">
        <v>834</v>
      </c>
      <c r="G188" s="534" t="s">
        <v>790</v>
      </c>
      <c r="H188" s="534" t="s">
        <v>77</v>
      </c>
      <c r="I188" s="693" t="s">
        <v>7</v>
      </c>
      <c r="J188" s="533">
        <v>25</v>
      </c>
      <c r="K188" s="733">
        <v>25</v>
      </c>
      <c r="L188" s="538"/>
      <c r="M188" s="686">
        <v>29</v>
      </c>
      <c r="N188" s="686">
        <v>4</v>
      </c>
      <c r="O188" s="748">
        <f t="shared" si="6"/>
        <v>0.13793103448275862</v>
      </c>
      <c r="P188" s="749">
        <f t="shared" si="7"/>
        <v>55.172413793103445</v>
      </c>
      <c r="Q188" s="750">
        <f t="shared" si="8"/>
        <v>0.55172413793103448</v>
      </c>
      <c r="R188" s="608"/>
    </row>
    <row r="189" spans="1:18" ht="26.25" thickBot="1" x14ac:dyDescent="0.25">
      <c r="A189" s="529" t="s">
        <v>276</v>
      </c>
      <c r="B189" s="534" t="s">
        <v>874</v>
      </c>
      <c r="C189" s="526" t="s">
        <v>1604</v>
      </c>
      <c r="D189" s="534" t="s">
        <v>808</v>
      </c>
      <c r="E189" s="534" t="s">
        <v>862</v>
      </c>
      <c r="F189" s="536" t="s">
        <v>834</v>
      </c>
      <c r="G189" s="534" t="s">
        <v>790</v>
      </c>
      <c r="H189" s="534" t="s">
        <v>77</v>
      </c>
      <c r="I189" s="693" t="s">
        <v>7</v>
      </c>
      <c r="J189" s="533">
        <v>25</v>
      </c>
      <c r="K189" s="733">
        <v>25</v>
      </c>
      <c r="L189" s="538"/>
      <c r="M189" s="686">
        <v>29</v>
      </c>
      <c r="N189" s="686">
        <v>4</v>
      </c>
      <c r="O189" s="748">
        <f t="shared" si="6"/>
        <v>0.13793103448275862</v>
      </c>
      <c r="P189" s="749">
        <f t="shared" si="7"/>
        <v>55.172413793103445</v>
      </c>
      <c r="Q189" s="750">
        <f t="shared" si="8"/>
        <v>0.55172413793103448</v>
      </c>
      <c r="R189" s="608"/>
    </row>
    <row r="190" spans="1:18" ht="26.25" thickBot="1" x14ac:dyDescent="0.25">
      <c r="A190" s="529" t="s">
        <v>276</v>
      </c>
      <c r="B190" s="534" t="s">
        <v>874</v>
      </c>
      <c r="C190" s="526" t="s">
        <v>1604</v>
      </c>
      <c r="D190" s="534" t="s">
        <v>808</v>
      </c>
      <c r="E190" s="534" t="s">
        <v>863</v>
      </c>
      <c r="F190" s="536" t="s">
        <v>834</v>
      </c>
      <c r="G190" s="534" t="s">
        <v>790</v>
      </c>
      <c r="H190" s="534" t="s">
        <v>77</v>
      </c>
      <c r="I190" s="693" t="s">
        <v>7</v>
      </c>
      <c r="J190" s="533">
        <v>25</v>
      </c>
      <c r="K190" s="733">
        <v>25</v>
      </c>
      <c r="L190" s="538"/>
      <c r="M190" s="686">
        <v>29</v>
      </c>
      <c r="N190" s="686">
        <v>4</v>
      </c>
      <c r="O190" s="748">
        <f t="shared" si="6"/>
        <v>0.13793103448275862</v>
      </c>
      <c r="P190" s="749">
        <f t="shared" si="7"/>
        <v>55.172413793103445</v>
      </c>
      <c r="Q190" s="750">
        <f t="shared" si="8"/>
        <v>0.55172413793103448</v>
      </c>
      <c r="R190" s="608"/>
    </row>
    <row r="191" spans="1:18" ht="26.25" thickBot="1" x14ac:dyDescent="0.25">
      <c r="A191" s="529" t="s">
        <v>276</v>
      </c>
      <c r="B191" s="534" t="s">
        <v>874</v>
      </c>
      <c r="C191" s="526" t="s">
        <v>1604</v>
      </c>
      <c r="D191" s="534" t="s">
        <v>808</v>
      </c>
      <c r="E191" s="534" t="s">
        <v>864</v>
      </c>
      <c r="F191" s="527" t="s">
        <v>834</v>
      </c>
      <c r="G191" s="534" t="s">
        <v>784</v>
      </c>
      <c r="H191" s="534" t="s">
        <v>77</v>
      </c>
      <c r="I191" s="693" t="s">
        <v>7</v>
      </c>
      <c r="J191" s="533">
        <v>100</v>
      </c>
      <c r="K191" s="733">
        <v>100</v>
      </c>
      <c r="L191" s="538"/>
      <c r="M191" s="686">
        <v>29</v>
      </c>
      <c r="N191" s="686">
        <v>23</v>
      </c>
      <c r="O191" s="748">
        <f t="shared" si="6"/>
        <v>0.7931034482758621</v>
      </c>
      <c r="P191" s="749">
        <f t="shared" si="7"/>
        <v>79.310344827586206</v>
      </c>
      <c r="Q191" s="750">
        <f t="shared" si="8"/>
        <v>0.7931034482758621</v>
      </c>
      <c r="R191" s="608"/>
    </row>
    <row r="192" spans="1:18" ht="26.25" thickBot="1" x14ac:dyDescent="0.25">
      <c r="A192" s="529" t="s">
        <v>276</v>
      </c>
      <c r="B192" s="534" t="s">
        <v>874</v>
      </c>
      <c r="C192" s="526" t="s">
        <v>1604</v>
      </c>
      <c r="D192" s="534" t="s">
        <v>808</v>
      </c>
      <c r="E192" s="534" t="s">
        <v>864</v>
      </c>
      <c r="F192" s="527" t="s">
        <v>830</v>
      </c>
      <c r="G192" s="534" t="s">
        <v>865</v>
      </c>
      <c r="H192" s="534" t="s">
        <v>77</v>
      </c>
      <c r="I192" s="693" t="s">
        <v>7</v>
      </c>
      <c r="J192" s="533">
        <v>33</v>
      </c>
      <c r="K192" s="733">
        <v>33</v>
      </c>
      <c r="L192" s="538"/>
      <c r="M192" s="686">
        <v>29</v>
      </c>
      <c r="N192" s="686">
        <v>10</v>
      </c>
      <c r="O192" s="748">
        <f t="shared" si="6"/>
        <v>0.34482758620689657</v>
      </c>
      <c r="P192" s="749">
        <f t="shared" si="7"/>
        <v>104.4932079414838</v>
      </c>
      <c r="Q192" s="750">
        <f t="shared" si="8"/>
        <v>1.044932079414838</v>
      </c>
      <c r="R192" s="608"/>
    </row>
    <row r="193" spans="1:18" ht="26.25" thickBot="1" x14ac:dyDescent="0.25">
      <c r="A193" s="529" t="s">
        <v>276</v>
      </c>
      <c r="B193" s="534" t="s">
        <v>874</v>
      </c>
      <c r="C193" s="526" t="s">
        <v>1604</v>
      </c>
      <c r="D193" s="534" t="s">
        <v>808</v>
      </c>
      <c r="E193" s="534" t="s">
        <v>815</v>
      </c>
      <c r="F193" s="527" t="s">
        <v>834</v>
      </c>
      <c r="G193" s="534" t="s">
        <v>866</v>
      </c>
      <c r="H193" s="534" t="s">
        <v>77</v>
      </c>
      <c r="I193" s="693" t="s">
        <v>7</v>
      </c>
      <c r="J193" s="533">
        <v>100</v>
      </c>
      <c r="K193" s="733">
        <v>100</v>
      </c>
      <c r="L193" s="538" t="s">
        <v>880</v>
      </c>
      <c r="M193" s="686">
        <v>29</v>
      </c>
      <c r="N193" s="686">
        <v>23</v>
      </c>
      <c r="O193" s="748">
        <f t="shared" si="6"/>
        <v>0.7931034482758621</v>
      </c>
      <c r="P193" s="749">
        <f t="shared" si="7"/>
        <v>79.310344827586206</v>
      </c>
      <c r="Q193" s="750">
        <f t="shared" si="8"/>
        <v>0.7931034482758621</v>
      </c>
      <c r="R193" s="608"/>
    </row>
    <row r="194" spans="1:18" ht="13.5" thickBot="1" x14ac:dyDescent="0.25">
      <c r="A194" s="529" t="s">
        <v>276</v>
      </c>
      <c r="B194" s="534" t="s">
        <v>874</v>
      </c>
      <c r="C194" s="526" t="s">
        <v>1604</v>
      </c>
      <c r="D194" s="534" t="s">
        <v>808</v>
      </c>
      <c r="E194" s="534" t="s">
        <v>815</v>
      </c>
      <c r="F194" s="527" t="s">
        <v>830</v>
      </c>
      <c r="G194" s="534" t="s">
        <v>865</v>
      </c>
      <c r="H194" s="534" t="s">
        <v>77</v>
      </c>
      <c r="I194" s="693" t="s">
        <v>7</v>
      </c>
      <c r="J194" s="533">
        <v>33</v>
      </c>
      <c r="K194" s="733">
        <v>33</v>
      </c>
      <c r="L194" s="538"/>
      <c r="M194" s="686">
        <v>29</v>
      </c>
      <c r="N194" s="686">
        <v>10</v>
      </c>
      <c r="O194" s="748">
        <f t="shared" si="6"/>
        <v>0.34482758620689657</v>
      </c>
      <c r="P194" s="749">
        <f t="shared" si="7"/>
        <v>104.4932079414838</v>
      </c>
      <c r="Q194" s="750">
        <f t="shared" si="8"/>
        <v>1.044932079414838</v>
      </c>
      <c r="R194" s="608"/>
    </row>
    <row r="195" spans="1:18" ht="26.25" thickBot="1" x14ac:dyDescent="0.25">
      <c r="A195" s="526" t="s">
        <v>276</v>
      </c>
      <c r="B195" s="530" t="s">
        <v>876</v>
      </c>
      <c r="C195" s="526" t="s">
        <v>1605</v>
      </c>
      <c r="D195" s="530" t="s">
        <v>109</v>
      </c>
      <c r="E195" s="530" t="s">
        <v>828</v>
      </c>
      <c r="F195" s="528" t="s">
        <v>829</v>
      </c>
      <c r="G195" s="530" t="s">
        <v>784</v>
      </c>
      <c r="H195" s="530" t="s">
        <v>77</v>
      </c>
      <c r="I195" s="693" t="s">
        <v>7</v>
      </c>
      <c r="J195" s="531">
        <v>100</v>
      </c>
      <c r="K195" s="730">
        <v>100</v>
      </c>
      <c r="L195" s="537" t="s">
        <v>880</v>
      </c>
      <c r="M195" s="686">
        <v>158</v>
      </c>
      <c r="N195" s="686">
        <v>97</v>
      </c>
      <c r="O195" s="748">
        <f t="shared" si="6"/>
        <v>0.61392405063291144</v>
      </c>
      <c r="P195" s="749">
        <f t="shared" si="7"/>
        <v>61.392405063291143</v>
      </c>
      <c r="Q195" s="750">
        <f t="shared" si="8"/>
        <v>0.61392405063291144</v>
      </c>
      <c r="R195" s="608"/>
    </row>
    <row r="196" spans="1:18" ht="13.5" thickBot="1" x14ac:dyDescent="0.25">
      <c r="A196" s="526" t="s">
        <v>276</v>
      </c>
      <c r="B196" s="530" t="s">
        <v>876</v>
      </c>
      <c r="C196" s="526" t="s">
        <v>1605</v>
      </c>
      <c r="D196" s="530" t="s">
        <v>109</v>
      </c>
      <c r="E196" s="530" t="s">
        <v>828</v>
      </c>
      <c r="F196" s="528" t="s">
        <v>830</v>
      </c>
      <c r="G196" s="530" t="s">
        <v>831</v>
      </c>
      <c r="H196" s="530" t="s">
        <v>77</v>
      </c>
      <c r="I196" s="693" t="s">
        <v>7</v>
      </c>
      <c r="J196" s="531">
        <v>33</v>
      </c>
      <c r="K196" s="730">
        <v>33</v>
      </c>
      <c r="L196" s="537"/>
      <c r="M196" s="686">
        <v>158</v>
      </c>
      <c r="N196" s="686">
        <v>52</v>
      </c>
      <c r="O196" s="748">
        <f t="shared" si="6"/>
        <v>0.32911392405063289</v>
      </c>
      <c r="P196" s="749">
        <f t="shared" si="7"/>
        <v>99.731492136555417</v>
      </c>
      <c r="Q196" s="750">
        <f t="shared" si="8"/>
        <v>0.99731492136555422</v>
      </c>
      <c r="R196" s="608"/>
    </row>
    <row r="197" spans="1:18" ht="26.25" thickBot="1" x14ac:dyDescent="0.25">
      <c r="A197" s="526" t="s">
        <v>276</v>
      </c>
      <c r="B197" s="530" t="s">
        <v>876</v>
      </c>
      <c r="C197" s="526" t="s">
        <v>1605</v>
      </c>
      <c r="D197" s="530" t="s">
        <v>109</v>
      </c>
      <c r="E197" s="530" t="s">
        <v>832</v>
      </c>
      <c r="F197" s="528" t="s">
        <v>829</v>
      </c>
      <c r="G197" s="530" t="s">
        <v>790</v>
      </c>
      <c r="H197" s="530" t="s">
        <v>77</v>
      </c>
      <c r="I197" s="693" t="s">
        <v>7</v>
      </c>
      <c r="J197" s="531">
        <v>25</v>
      </c>
      <c r="K197" s="730">
        <v>25</v>
      </c>
      <c r="L197" s="537"/>
      <c r="M197" s="686">
        <v>158</v>
      </c>
      <c r="N197" s="686">
        <v>38</v>
      </c>
      <c r="O197" s="748">
        <f t="shared" ref="O197:O260" si="9">IFERROR(N197/M197,0)</f>
        <v>0.24050632911392406</v>
      </c>
      <c r="P197" s="749">
        <f t="shared" ref="P197:P260" si="10">IFERROR(N197/(M197*(K197/100))*100,"0")</f>
        <v>96.202531645569621</v>
      </c>
      <c r="Q197" s="750">
        <f t="shared" ref="Q197:Q260" si="11">IFERROR(N197/(M197*(K197/100)),"0")</f>
        <v>0.96202531645569622</v>
      </c>
      <c r="R197" s="608"/>
    </row>
    <row r="198" spans="1:18" ht="26.25" thickBot="1" x14ac:dyDescent="0.25">
      <c r="A198" s="526" t="s">
        <v>276</v>
      </c>
      <c r="B198" s="530" t="s">
        <v>876</v>
      </c>
      <c r="C198" s="526" t="s">
        <v>1605</v>
      </c>
      <c r="D198" s="530" t="s">
        <v>109</v>
      </c>
      <c r="E198" s="530" t="s">
        <v>832</v>
      </c>
      <c r="F198" s="528" t="s">
        <v>830</v>
      </c>
      <c r="G198" s="530" t="s">
        <v>790</v>
      </c>
      <c r="H198" s="530" t="s">
        <v>77</v>
      </c>
      <c r="I198" s="693" t="s">
        <v>7</v>
      </c>
      <c r="J198" s="531">
        <v>25</v>
      </c>
      <c r="K198" s="730">
        <v>25</v>
      </c>
      <c r="L198" s="537"/>
      <c r="M198" s="686">
        <v>158</v>
      </c>
      <c r="N198" s="686">
        <v>38</v>
      </c>
      <c r="O198" s="748">
        <f t="shared" si="9"/>
        <v>0.24050632911392406</v>
      </c>
      <c r="P198" s="749">
        <f t="shared" si="10"/>
        <v>96.202531645569621</v>
      </c>
      <c r="Q198" s="750">
        <f t="shared" si="11"/>
        <v>0.96202531645569622</v>
      </c>
      <c r="R198" s="608"/>
    </row>
    <row r="199" spans="1:18" ht="39" thickBot="1" x14ac:dyDescent="0.25">
      <c r="A199" s="526" t="s">
        <v>276</v>
      </c>
      <c r="B199" s="530" t="s">
        <v>876</v>
      </c>
      <c r="C199" s="526" t="s">
        <v>1605</v>
      </c>
      <c r="D199" s="530" t="s">
        <v>109</v>
      </c>
      <c r="E199" s="530" t="s">
        <v>833</v>
      </c>
      <c r="F199" s="528" t="s">
        <v>834</v>
      </c>
      <c r="G199" s="530" t="s">
        <v>790</v>
      </c>
      <c r="H199" s="530" t="s">
        <v>77</v>
      </c>
      <c r="I199" s="693" t="s">
        <v>7</v>
      </c>
      <c r="J199" s="531">
        <v>25</v>
      </c>
      <c r="K199" s="730">
        <v>25</v>
      </c>
      <c r="L199" s="537" t="s">
        <v>881</v>
      </c>
      <c r="M199" s="686">
        <v>158</v>
      </c>
      <c r="N199" s="686">
        <v>38</v>
      </c>
      <c r="O199" s="748">
        <f t="shared" si="9"/>
        <v>0.24050632911392406</v>
      </c>
      <c r="P199" s="749">
        <f t="shared" si="10"/>
        <v>96.202531645569621</v>
      </c>
      <c r="Q199" s="750">
        <f t="shared" si="11"/>
        <v>0.96202531645569622</v>
      </c>
      <c r="R199" s="608"/>
    </row>
    <row r="200" spans="1:18" ht="26.25" thickBot="1" x14ac:dyDescent="0.25">
      <c r="A200" s="526" t="s">
        <v>276</v>
      </c>
      <c r="B200" s="530" t="s">
        <v>876</v>
      </c>
      <c r="C200" s="526" t="s">
        <v>1605</v>
      </c>
      <c r="D200" s="530" t="s">
        <v>109</v>
      </c>
      <c r="E200" s="530" t="s">
        <v>833</v>
      </c>
      <c r="F200" s="528" t="s">
        <v>835</v>
      </c>
      <c r="G200" s="530" t="s">
        <v>790</v>
      </c>
      <c r="H200" s="530" t="s">
        <v>77</v>
      </c>
      <c r="I200" s="693" t="s">
        <v>7</v>
      </c>
      <c r="J200" s="531">
        <v>33</v>
      </c>
      <c r="K200" s="730">
        <v>33</v>
      </c>
      <c r="L200" s="537"/>
      <c r="M200" s="686">
        <v>158</v>
      </c>
      <c r="N200" s="686">
        <v>52</v>
      </c>
      <c r="O200" s="748">
        <f t="shared" si="9"/>
        <v>0.32911392405063289</v>
      </c>
      <c r="P200" s="749">
        <f t="shared" si="10"/>
        <v>99.731492136555417</v>
      </c>
      <c r="Q200" s="750">
        <f t="shared" si="11"/>
        <v>0.99731492136555422</v>
      </c>
      <c r="R200" s="608"/>
    </row>
    <row r="201" spans="1:18" ht="26.25" thickBot="1" x14ac:dyDescent="0.25">
      <c r="A201" s="526" t="s">
        <v>276</v>
      </c>
      <c r="B201" s="530" t="s">
        <v>876</v>
      </c>
      <c r="C201" s="526" t="s">
        <v>1605</v>
      </c>
      <c r="D201" s="530" t="s">
        <v>109</v>
      </c>
      <c r="E201" s="530" t="s">
        <v>836</v>
      </c>
      <c r="F201" s="528" t="s">
        <v>834</v>
      </c>
      <c r="G201" s="530" t="s">
        <v>790</v>
      </c>
      <c r="H201" s="530" t="s">
        <v>77</v>
      </c>
      <c r="I201" s="693" t="s">
        <v>7</v>
      </c>
      <c r="J201" s="531">
        <v>25</v>
      </c>
      <c r="K201" s="730">
        <v>25</v>
      </c>
      <c r="L201" s="537"/>
      <c r="M201" s="686">
        <v>158</v>
      </c>
      <c r="N201" s="686">
        <v>38</v>
      </c>
      <c r="O201" s="748">
        <f t="shared" si="9"/>
        <v>0.24050632911392406</v>
      </c>
      <c r="P201" s="749">
        <f t="shared" si="10"/>
        <v>96.202531645569621</v>
      </c>
      <c r="Q201" s="750">
        <f t="shared" si="11"/>
        <v>0.96202531645569622</v>
      </c>
      <c r="R201" s="608"/>
    </row>
    <row r="202" spans="1:18" ht="26.25" thickBot="1" x14ac:dyDescent="0.25">
      <c r="A202" s="526" t="s">
        <v>276</v>
      </c>
      <c r="B202" s="530" t="s">
        <v>876</v>
      </c>
      <c r="C202" s="526" t="s">
        <v>1605</v>
      </c>
      <c r="D202" s="530" t="s">
        <v>109</v>
      </c>
      <c r="E202" s="530" t="s">
        <v>837</v>
      </c>
      <c r="F202" s="528" t="s">
        <v>834</v>
      </c>
      <c r="G202" s="530" t="s">
        <v>790</v>
      </c>
      <c r="H202" s="530" t="s">
        <v>77</v>
      </c>
      <c r="I202" s="693" t="s">
        <v>7</v>
      </c>
      <c r="J202" s="531">
        <v>25</v>
      </c>
      <c r="K202" s="730">
        <v>25</v>
      </c>
      <c r="L202" s="537"/>
      <c r="M202" s="686">
        <v>158</v>
      </c>
      <c r="N202" s="686">
        <v>38</v>
      </c>
      <c r="O202" s="748">
        <f t="shared" si="9"/>
        <v>0.24050632911392406</v>
      </c>
      <c r="P202" s="749">
        <f t="shared" si="10"/>
        <v>96.202531645569621</v>
      </c>
      <c r="Q202" s="750">
        <f t="shared" si="11"/>
        <v>0.96202531645569622</v>
      </c>
      <c r="R202" s="608"/>
    </row>
    <row r="203" spans="1:18" ht="13.5" thickBot="1" x14ac:dyDescent="0.25">
      <c r="A203" s="526" t="s">
        <v>276</v>
      </c>
      <c r="B203" s="530" t="s">
        <v>876</v>
      </c>
      <c r="C203" s="526" t="s">
        <v>1605</v>
      </c>
      <c r="D203" s="530" t="s">
        <v>109</v>
      </c>
      <c r="E203" s="530" t="s">
        <v>838</v>
      </c>
      <c r="F203" s="528" t="s">
        <v>834</v>
      </c>
      <c r="G203" s="530" t="s">
        <v>784</v>
      </c>
      <c r="H203" s="530" t="s">
        <v>77</v>
      </c>
      <c r="I203" s="693" t="s">
        <v>7</v>
      </c>
      <c r="J203" s="531">
        <v>100</v>
      </c>
      <c r="K203" s="730">
        <v>100</v>
      </c>
      <c r="L203" s="537"/>
      <c r="M203" s="686">
        <v>158</v>
      </c>
      <c r="N203" s="686">
        <v>97</v>
      </c>
      <c r="O203" s="748">
        <f t="shared" si="9"/>
        <v>0.61392405063291144</v>
      </c>
      <c r="P203" s="749">
        <f t="shared" si="10"/>
        <v>61.392405063291143</v>
      </c>
      <c r="Q203" s="750">
        <f t="shared" si="11"/>
        <v>0.61392405063291144</v>
      </c>
      <c r="R203" s="608"/>
    </row>
    <row r="204" spans="1:18" ht="13.5" thickBot="1" x14ac:dyDescent="0.25">
      <c r="A204" s="526" t="s">
        <v>276</v>
      </c>
      <c r="B204" s="530" t="s">
        <v>876</v>
      </c>
      <c r="C204" s="526" t="s">
        <v>1605</v>
      </c>
      <c r="D204" s="530" t="s">
        <v>109</v>
      </c>
      <c r="E204" s="530" t="s">
        <v>839</v>
      </c>
      <c r="F204" s="528" t="s">
        <v>834</v>
      </c>
      <c r="G204" s="530" t="s">
        <v>784</v>
      </c>
      <c r="H204" s="530" t="s">
        <v>77</v>
      </c>
      <c r="I204" s="693" t="s">
        <v>7</v>
      </c>
      <c r="J204" s="525">
        <v>100</v>
      </c>
      <c r="K204" s="731">
        <v>100</v>
      </c>
      <c r="L204" s="537"/>
      <c r="M204" s="686">
        <v>158</v>
      </c>
      <c r="N204" s="686">
        <v>97</v>
      </c>
      <c r="O204" s="748">
        <f t="shared" si="9"/>
        <v>0.61392405063291144</v>
      </c>
      <c r="P204" s="749">
        <f t="shared" si="10"/>
        <v>61.392405063291143</v>
      </c>
      <c r="Q204" s="750">
        <f t="shared" si="11"/>
        <v>0.61392405063291144</v>
      </c>
      <c r="R204" s="608"/>
    </row>
    <row r="205" spans="1:18" ht="26.25" thickBot="1" x14ac:dyDescent="0.25">
      <c r="A205" s="526" t="s">
        <v>276</v>
      </c>
      <c r="B205" s="530" t="s">
        <v>876</v>
      </c>
      <c r="C205" s="526" t="s">
        <v>1605</v>
      </c>
      <c r="D205" s="530" t="s">
        <v>109</v>
      </c>
      <c r="E205" s="530" t="s">
        <v>840</v>
      </c>
      <c r="F205" s="528" t="s">
        <v>834</v>
      </c>
      <c r="G205" s="530" t="s">
        <v>790</v>
      </c>
      <c r="H205" s="530" t="s">
        <v>77</v>
      </c>
      <c r="I205" s="693" t="s">
        <v>7</v>
      </c>
      <c r="J205" s="525">
        <v>25</v>
      </c>
      <c r="K205" s="731">
        <v>25</v>
      </c>
      <c r="L205" s="537"/>
      <c r="M205" s="686">
        <v>158</v>
      </c>
      <c r="N205" s="686">
        <v>38</v>
      </c>
      <c r="O205" s="748">
        <f t="shared" si="9"/>
        <v>0.24050632911392406</v>
      </c>
      <c r="P205" s="749">
        <f t="shared" si="10"/>
        <v>96.202531645569621</v>
      </c>
      <c r="Q205" s="750">
        <f t="shared" si="11"/>
        <v>0.96202531645569622</v>
      </c>
      <c r="R205" s="608"/>
    </row>
    <row r="206" spans="1:18" ht="26.25" thickBot="1" x14ac:dyDescent="0.25">
      <c r="A206" s="526" t="s">
        <v>276</v>
      </c>
      <c r="B206" s="530" t="s">
        <v>876</v>
      </c>
      <c r="C206" s="526" t="s">
        <v>1605</v>
      </c>
      <c r="D206" s="530" t="s">
        <v>109</v>
      </c>
      <c r="E206" s="530" t="s">
        <v>841</v>
      </c>
      <c r="F206" s="528" t="s">
        <v>834</v>
      </c>
      <c r="G206" s="530" t="s">
        <v>790</v>
      </c>
      <c r="H206" s="530" t="s">
        <v>77</v>
      </c>
      <c r="I206" s="693" t="s">
        <v>7</v>
      </c>
      <c r="J206" s="525">
        <v>25</v>
      </c>
      <c r="K206" s="731">
        <v>25</v>
      </c>
      <c r="L206" s="537"/>
      <c r="M206" s="686">
        <v>158</v>
      </c>
      <c r="N206" s="686">
        <v>38</v>
      </c>
      <c r="O206" s="748">
        <f t="shared" si="9"/>
        <v>0.24050632911392406</v>
      </c>
      <c r="P206" s="749">
        <f t="shared" si="10"/>
        <v>96.202531645569621</v>
      </c>
      <c r="Q206" s="750">
        <f t="shared" si="11"/>
        <v>0.96202531645569622</v>
      </c>
      <c r="R206" s="608"/>
    </row>
    <row r="207" spans="1:18" ht="13.5" thickBot="1" x14ac:dyDescent="0.25">
      <c r="A207" s="526" t="s">
        <v>276</v>
      </c>
      <c r="B207" s="530" t="s">
        <v>876</v>
      </c>
      <c r="C207" s="526" t="s">
        <v>1605</v>
      </c>
      <c r="D207" s="530" t="s">
        <v>109</v>
      </c>
      <c r="E207" s="530" t="s">
        <v>842</v>
      </c>
      <c r="F207" s="532" t="s">
        <v>843</v>
      </c>
      <c r="G207" s="530" t="s">
        <v>784</v>
      </c>
      <c r="H207" s="530" t="s">
        <v>77</v>
      </c>
      <c r="I207" s="693" t="s">
        <v>7</v>
      </c>
      <c r="J207" s="525">
        <v>100</v>
      </c>
      <c r="K207" s="731">
        <v>100</v>
      </c>
      <c r="L207" s="537"/>
      <c r="M207" s="686">
        <v>158</v>
      </c>
      <c r="N207" s="686">
        <v>97</v>
      </c>
      <c r="O207" s="748">
        <f t="shared" si="9"/>
        <v>0.61392405063291144</v>
      </c>
      <c r="P207" s="749">
        <f t="shared" si="10"/>
        <v>61.392405063291143</v>
      </c>
      <c r="Q207" s="750">
        <f t="shared" si="11"/>
        <v>0.61392405063291144</v>
      </c>
      <c r="R207" s="608"/>
    </row>
    <row r="208" spans="1:18" ht="13.5" thickBot="1" x14ac:dyDescent="0.25">
      <c r="A208" s="526" t="s">
        <v>276</v>
      </c>
      <c r="B208" s="530" t="s">
        <v>876</v>
      </c>
      <c r="C208" s="526" t="s">
        <v>1605</v>
      </c>
      <c r="D208" s="530" t="s">
        <v>109</v>
      </c>
      <c r="E208" s="530" t="s">
        <v>844</v>
      </c>
      <c r="F208" s="532" t="s">
        <v>843</v>
      </c>
      <c r="G208" s="530" t="s">
        <v>784</v>
      </c>
      <c r="H208" s="530" t="s">
        <v>77</v>
      </c>
      <c r="I208" s="693" t="s">
        <v>7</v>
      </c>
      <c r="J208" s="525">
        <v>100</v>
      </c>
      <c r="K208" s="731">
        <v>100</v>
      </c>
      <c r="L208" s="537"/>
      <c r="M208" s="686">
        <v>158</v>
      </c>
      <c r="N208" s="686">
        <v>97</v>
      </c>
      <c r="O208" s="748">
        <f t="shared" si="9"/>
        <v>0.61392405063291144</v>
      </c>
      <c r="P208" s="749">
        <f t="shared" si="10"/>
        <v>61.392405063291143</v>
      </c>
      <c r="Q208" s="750">
        <f t="shared" si="11"/>
        <v>0.61392405063291144</v>
      </c>
      <c r="R208" s="608"/>
    </row>
    <row r="209" spans="1:18" ht="26.25" thickBot="1" x14ac:dyDescent="0.25">
      <c r="A209" s="526" t="s">
        <v>276</v>
      </c>
      <c r="B209" s="530" t="s">
        <v>876</v>
      </c>
      <c r="C209" s="526" t="s">
        <v>1605</v>
      </c>
      <c r="D209" s="530" t="s">
        <v>109</v>
      </c>
      <c r="E209" s="530" t="s">
        <v>845</v>
      </c>
      <c r="F209" s="532" t="s">
        <v>830</v>
      </c>
      <c r="G209" s="530" t="s">
        <v>790</v>
      </c>
      <c r="H209" s="530" t="s">
        <v>77</v>
      </c>
      <c r="I209" s="693" t="s">
        <v>7</v>
      </c>
      <c r="J209" s="525">
        <v>33</v>
      </c>
      <c r="K209" s="731">
        <v>33</v>
      </c>
      <c r="L209" s="537"/>
      <c r="M209" s="686">
        <v>158</v>
      </c>
      <c r="N209" s="686">
        <v>52</v>
      </c>
      <c r="O209" s="748">
        <f t="shared" si="9"/>
        <v>0.32911392405063289</v>
      </c>
      <c r="P209" s="749">
        <f t="shared" si="10"/>
        <v>99.731492136555417</v>
      </c>
      <c r="Q209" s="750">
        <f t="shared" si="11"/>
        <v>0.99731492136555422</v>
      </c>
      <c r="R209" s="608"/>
    </row>
    <row r="210" spans="1:18" ht="26.25" thickBot="1" x14ac:dyDescent="0.25">
      <c r="A210" s="526" t="s">
        <v>276</v>
      </c>
      <c r="B210" s="530" t="s">
        <v>876</v>
      </c>
      <c r="C210" s="526" t="s">
        <v>1605</v>
      </c>
      <c r="D210" s="530" t="s">
        <v>109</v>
      </c>
      <c r="E210" s="530" t="s">
        <v>846</v>
      </c>
      <c r="F210" s="532" t="s">
        <v>830</v>
      </c>
      <c r="G210" s="530" t="s">
        <v>790</v>
      </c>
      <c r="H210" s="530" t="s">
        <v>77</v>
      </c>
      <c r="I210" s="693" t="s">
        <v>7</v>
      </c>
      <c r="J210" s="525">
        <v>33</v>
      </c>
      <c r="K210" s="731">
        <v>33</v>
      </c>
      <c r="L210" s="537"/>
      <c r="M210" s="686">
        <v>158</v>
      </c>
      <c r="N210" s="686">
        <v>52</v>
      </c>
      <c r="O210" s="748">
        <f t="shared" si="9"/>
        <v>0.32911392405063289</v>
      </c>
      <c r="P210" s="749">
        <f t="shared" si="10"/>
        <v>99.731492136555417</v>
      </c>
      <c r="Q210" s="750">
        <f t="shared" si="11"/>
        <v>0.99731492136555422</v>
      </c>
      <c r="R210" s="608"/>
    </row>
    <row r="211" spans="1:18" ht="26.25" thickBot="1" x14ac:dyDescent="0.25">
      <c r="A211" s="526" t="s">
        <v>276</v>
      </c>
      <c r="B211" s="530" t="s">
        <v>876</v>
      </c>
      <c r="C211" s="526" t="s">
        <v>1605</v>
      </c>
      <c r="D211" s="530" t="s">
        <v>109</v>
      </c>
      <c r="E211" s="530" t="s">
        <v>847</v>
      </c>
      <c r="F211" s="532" t="s">
        <v>830</v>
      </c>
      <c r="G211" s="530" t="s">
        <v>790</v>
      </c>
      <c r="H211" s="530" t="s">
        <v>77</v>
      </c>
      <c r="I211" s="693" t="s">
        <v>7</v>
      </c>
      <c r="J211" s="525">
        <v>33</v>
      </c>
      <c r="K211" s="731">
        <v>33</v>
      </c>
      <c r="L211" s="537"/>
      <c r="M211" s="686">
        <v>158</v>
      </c>
      <c r="N211" s="686">
        <v>52</v>
      </c>
      <c r="O211" s="748">
        <f t="shared" si="9"/>
        <v>0.32911392405063289</v>
      </c>
      <c r="P211" s="749">
        <f t="shared" si="10"/>
        <v>99.731492136555417</v>
      </c>
      <c r="Q211" s="750">
        <f t="shared" si="11"/>
        <v>0.99731492136555422</v>
      </c>
      <c r="R211" s="608"/>
    </row>
    <row r="212" spans="1:18" ht="26.25" thickBot="1" x14ac:dyDescent="0.25">
      <c r="A212" s="526" t="s">
        <v>276</v>
      </c>
      <c r="B212" s="530" t="s">
        <v>876</v>
      </c>
      <c r="C212" s="526" t="s">
        <v>1605</v>
      </c>
      <c r="D212" s="530" t="s">
        <v>109</v>
      </c>
      <c r="E212" s="530" t="s">
        <v>848</v>
      </c>
      <c r="F212" s="532" t="s">
        <v>830</v>
      </c>
      <c r="G212" s="530" t="s">
        <v>790</v>
      </c>
      <c r="H212" s="530" t="s">
        <v>77</v>
      </c>
      <c r="I212" s="693" t="s">
        <v>7</v>
      </c>
      <c r="J212" s="525">
        <v>33</v>
      </c>
      <c r="K212" s="731">
        <v>33</v>
      </c>
      <c r="L212" s="537"/>
      <c r="M212" s="686">
        <v>158</v>
      </c>
      <c r="N212" s="686">
        <v>52</v>
      </c>
      <c r="O212" s="748">
        <f t="shared" si="9"/>
        <v>0.32911392405063289</v>
      </c>
      <c r="P212" s="749">
        <f t="shared" si="10"/>
        <v>99.731492136555417</v>
      </c>
      <c r="Q212" s="750">
        <f t="shared" si="11"/>
        <v>0.99731492136555422</v>
      </c>
      <c r="R212" s="608"/>
    </row>
    <row r="213" spans="1:18" ht="26.25" thickBot="1" x14ac:dyDescent="0.25">
      <c r="A213" s="526" t="s">
        <v>276</v>
      </c>
      <c r="B213" s="530" t="s">
        <v>876</v>
      </c>
      <c r="C213" s="526" t="s">
        <v>1605</v>
      </c>
      <c r="D213" s="530" t="s">
        <v>109</v>
      </c>
      <c r="E213" s="530" t="s">
        <v>849</v>
      </c>
      <c r="F213" s="532" t="s">
        <v>830</v>
      </c>
      <c r="G213" s="530" t="s">
        <v>790</v>
      </c>
      <c r="H213" s="530" t="s">
        <v>77</v>
      </c>
      <c r="I213" s="693" t="s">
        <v>7</v>
      </c>
      <c r="J213" s="525">
        <v>33</v>
      </c>
      <c r="K213" s="731">
        <v>33</v>
      </c>
      <c r="L213" s="537"/>
      <c r="M213" s="686">
        <v>158</v>
      </c>
      <c r="N213" s="686">
        <v>52</v>
      </c>
      <c r="O213" s="748">
        <f t="shared" si="9"/>
        <v>0.32911392405063289</v>
      </c>
      <c r="P213" s="749">
        <f t="shared" si="10"/>
        <v>99.731492136555417</v>
      </c>
      <c r="Q213" s="750">
        <f t="shared" si="11"/>
        <v>0.99731492136555422</v>
      </c>
      <c r="R213" s="608"/>
    </row>
    <row r="214" spans="1:18" ht="26.25" thickBot="1" x14ac:dyDescent="0.25">
      <c r="A214" s="526" t="s">
        <v>276</v>
      </c>
      <c r="B214" s="530" t="s">
        <v>876</v>
      </c>
      <c r="C214" s="526" t="s">
        <v>1605</v>
      </c>
      <c r="D214" s="530" t="s">
        <v>109</v>
      </c>
      <c r="E214" s="530" t="s">
        <v>850</v>
      </c>
      <c r="F214" s="532" t="s">
        <v>830</v>
      </c>
      <c r="G214" s="530" t="s">
        <v>790</v>
      </c>
      <c r="H214" s="530" t="s">
        <v>77</v>
      </c>
      <c r="I214" s="693" t="s">
        <v>7</v>
      </c>
      <c r="J214" s="525">
        <v>33</v>
      </c>
      <c r="K214" s="731">
        <v>33</v>
      </c>
      <c r="L214" s="537"/>
      <c r="M214" s="686">
        <v>158</v>
      </c>
      <c r="N214" s="686">
        <v>52</v>
      </c>
      <c r="O214" s="748">
        <f t="shared" si="9"/>
        <v>0.32911392405063289</v>
      </c>
      <c r="P214" s="749">
        <f t="shared" si="10"/>
        <v>99.731492136555417</v>
      </c>
      <c r="Q214" s="750">
        <f t="shared" si="11"/>
        <v>0.99731492136555422</v>
      </c>
      <c r="R214" s="608"/>
    </row>
    <row r="215" spans="1:18" ht="13.5" thickBot="1" x14ac:dyDescent="0.25">
      <c r="A215" s="526" t="s">
        <v>276</v>
      </c>
      <c r="B215" s="530" t="s">
        <v>876</v>
      </c>
      <c r="C215" s="526" t="s">
        <v>1605</v>
      </c>
      <c r="D215" s="530" t="s">
        <v>109</v>
      </c>
      <c r="E215" s="530" t="s">
        <v>851</v>
      </c>
      <c r="F215" s="532" t="s">
        <v>834</v>
      </c>
      <c r="G215" s="530" t="s">
        <v>784</v>
      </c>
      <c r="H215" s="530" t="s">
        <v>77</v>
      </c>
      <c r="I215" s="693" t="s">
        <v>7</v>
      </c>
      <c r="J215" s="525">
        <v>100</v>
      </c>
      <c r="K215" s="731">
        <v>100</v>
      </c>
      <c r="L215" s="537"/>
      <c r="M215" s="686">
        <v>158</v>
      </c>
      <c r="N215" s="686">
        <v>97</v>
      </c>
      <c r="O215" s="748">
        <f t="shared" si="9"/>
        <v>0.61392405063291144</v>
      </c>
      <c r="P215" s="749">
        <f t="shared" si="10"/>
        <v>61.392405063291143</v>
      </c>
      <c r="Q215" s="750">
        <f t="shared" si="11"/>
        <v>0.61392405063291144</v>
      </c>
      <c r="R215" s="608"/>
    </row>
    <row r="216" spans="1:18" ht="13.5" thickBot="1" x14ac:dyDescent="0.25">
      <c r="A216" s="526" t="s">
        <v>276</v>
      </c>
      <c r="B216" s="530" t="s">
        <v>876</v>
      </c>
      <c r="C216" s="526" t="s">
        <v>1605</v>
      </c>
      <c r="D216" s="530" t="s">
        <v>109</v>
      </c>
      <c r="E216" s="530" t="s">
        <v>852</v>
      </c>
      <c r="F216" s="532" t="s">
        <v>834</v>
      </c>
      <c r="G216" s="530" t="s">
        <v>784</v>
      </c>
      <c r="H216" s="530" t="s">
        <v>77</v>
      </c>
      <c r="I216" s="693" t="s">
        <v>7</v>
      </c>
      <c r="J216" s="525">
        <v>100</v>
      </c>
      <c r="K216" s="731">
        <v>100</v>
      </c>
      <c r="L216" s="537"/>
      <c r="M216" s="686">
        <v>158</v>
      </c>
      <c r="N216" s="686">
        <v>97</v>
      </c>
      <c r="O216" s="748">
        <f t="shared" si="9"/>
        <v>0.61392405063291144</v>
      </c>
      <c r="P216" s="749">
        <f t="shared" si="10"/>
        <v>61.392405063291143</v>
      </c>
      <c r="Q216" s="750">
        <f t="shared" si="11"/>
        <v>0.61392405063291144</v>
      </c>
      <c r="R216" s="608"/>
    </row>
    <row r="217" spans="1:18" ht="26.25" thickBot="1" x14ac:dyDescent="0.25">
      <c r="A217" s="526" t="s">
        <v>276</v>
      </c>
      <c r="B217" s="530" t="s">
        <v>876</v>
      </c>
      <c r="C217" s="526" t="s">
        <v>1605</v>
      </c>
      <c r="D217" s="530" t="s">
        <v>109</v>
      </c>
      <c r="E217" s="530" t="s">
        <v>853</v>
      </c>
      <c r="F217" s="532" t="s">
        <v>834</v>
      </c>
      <c r="G217" s="530" t="s">
        <v>784</v>
      </c>
      <c r="H217" s="530" t="s">
        <v>77</v>
      </c>
      <c r="I217" s="693" t="s">
        <v>7</v>
      </c>
      <c r="J217" s="525">
        <v>100</v>
      </c>
      <c r="K217" s="731">
        <v>100</v>
      </c>
      <c r="L217" s="537"/>
      <c r="M217" s="686">
        <v>158</v>
      </c>
      <c r="N217" s="686">
        <v>97</v>
      </c>
      <c r="O217" s="748">
        <f t="shared" si="9"/>
        <v>0.61392405063291144</v>
      </c>
      <c r="P217" s="749">
        <f t="shared" si="10"/>
        <v>61.392405063291143</v>
      </c>
      <c r="Q217" s="750">
        <f t="shared" si="11"/>
        <v>0.61392405063291144</v>
      </c>
      <c r="R217" s="608"/>
    </row>
    <row r="218" spans="1:18" ht="26.25" thickBot="1" x14ac:dyDescent="0.25">
      <c r="A218" s="526" t="s">
        <v>276</v>
      </c>
      <c r="B218" s="530" t="s">
        <v>876</v>
      </c>
      <c r="C218" s="526" t="s">
        <v>1605</v>
      </c>
      <c r="D218" s="530" t="s">
        <v>109</v>
      </c>
      <c r="E218" s="530" t="s">
        <v>854</v>
      </c>
      <c r="F218" s="528" t="s">
        <v>829</v>
      </c>
      <c r="G218" s="530" t="s">
        <v>784</v>
      </c>
      <c r="H218" s="530" t="s">
        <v>77</v>
      </c>
      <c r="I218" s="693" t="s">
        <v>7</v>
      </c>
      <c r="J218" s="525">
        <v>100</v>
      </c>
      <c r="K218" s="731">
        <v>100</v>
      </c>
      <c r="L218" s="537" t="s">
        <v>880</v>
      </c>
      <c r="M218" s="686">
        <v>158</v>
      </c>
      <c r="N218" s="686">
        <v>97</v>
      </c>
      <c r="O218" s="748">
        <f t="shared" si="9"/>
        <v>0.61392405063291144</v>
      </c>
      <c r="P218" s="749">
        <f t="shared" si="10"/>
        <v>61.392405063291143</v>
      </c>
      <c r="Q218" s="750">
        <f t="shared" si="11"/>
        <v>0.61392405063291144</v>
      </c>
      <c r="R218" s="608"/>
    </row>
    <row r="219" spans="1:18" ht="26.25" thickBot="1" x14ac:dyDescent="0.25">
      <c r="A219" s="526" t="s">
        <v>276</v>
      </c>
      <c r="B219" s="530" t="s">
        <v>876</v>
      </c>
      <c r="C219" s="526" t="s">
        <v>1605</v>
      </c>
      <c r="D219" s="530" t="s">
        <v>109</v>
      </c>
      <c r="E219" s="530" t="s">
        <v>854</v>
      </c>
      <c r="F219" s="528" t="s">
        <v>830</v>
      </c>
      <c r="G219" s="530" t="s">
        <v>790</v>
      </c>
      <c r="H219" s="530" t="s">
        <v>77</v>
      </c>
      <c r="I219" s="693" t="s">
        <v>7</v>
      </c>
      <c r="J219" s="525">
        <v>33</v>
      </c>
      <c r="K219" s="731">
        <v>33</v>
      </c>
      <c r="L219" s="537"/>
      <c r="M219" s="686">
        <v>158</v>
      </c>
      <c r="N219" s="686">
        <v>52</v>
      </c>
      <c r="O219" s="748">
        <f t="shared" si="9"/>
        <v>0.32911392405063289</v>
      </c>
      <c r="P219" s="749">
        <f t="shared" si="10"/>
        <v>99.731492136555417</v>
      </c>
      <c r="Q219" s="750">
        <f t="shared" si="11"/>
        <v>0.99731492136555422</v>
      </c>
      <c r="R219" s="608"/>
    </row>
    <row r="220" spans="1:18" ht="26.25" thickBot="1" x14ac:dyDescent="0.25">
      <c r="A220" s="526" t="s">
        <v>276</v>
      </c>
      <c r="B220" s="530" t="s">
        <v>876</v>
      </c>
      <c r="C220" s="526" t="s">
        <v>1605</v>
      </c>
      <c r="D220" s="530" t="s">
        <v>109</v>
      </c>
      <c r="E220" s="530" t="s">
        <v>855</v>
      </c>
      <c r="F220" s="532" t="s">
        <v>834</v>
      </c>
      <c r="G220" s="530" t="s">
        <v>790</v>
      </c>
      <c r="H220" s="530" t="s">
        <v>77</v>
      </c>
      <c r="I220" s="693" t="s">
        <v>7</v>
      </c>
      <c r="J220" s="525">
        <v>25</v>
      </c>
      <c r="K220" s="731">
        <v>25</v>
      </c>
      <c r="L220" s="537"/>
      <c r="M220" s="686">
        <v>158</v>
      </c>
      <c r="N220" s="686">
        <v>38</v>
      </c>
      <c r="O220" s="748">
        <f t="shared" si="9"/>
        <v>0.24050632911392406</v>
      </c>
      <c r="P220" s="749">
        <f t="shared" si="10"/>
        <v>96.202531645569621</v>
      </c>
      <c r="Q220" s="750">
        <f t="shared" si="11"/>
        <v>0.96202531645569622</v>
      </c>
      <c r="R220" s="608"/>
    </row>
    <row r="221" spans="1:18" ht="39" thickBot="1" x14ac:dyDescent="0.25">
      <c r="A221" s="526" t="s">
        <v>276</v>
      </c>
      <c r="B221" s="530" t="s">
        <v>876</v>
      </c>
      <c r="C221" s="526" t="s">
        <v>1605</v>
      </c>
      <c r="D221" s="530" t="s">
        <v>109</v>
      </c>
      <c r="E221" s="530" t="s">
        <v>856</v>
      </c>
      <c r="F221" s="532" t="s">
        <v>834</v>
      </c>
      <c r="G221" s="530" t="s">
        <v>790</v>
      </c>
      <c r="H221" s="530" t="s">
        <v>77</v>
      </c>
      <c r="I221" s="693" t="s">
        <v>7</v>
      </c>
      <c r="J221" s="525">
        <v>25</v>
      </c>
      <c r="K221" s="731">
        <v>25</v>
      </c>
      <c r="L221" s="537"/>
      <c r="M221" s="686">
        <v>158</v>
      </c>
      <c r="N221" s="686">
        <v>38</v>
      </c>
      <c r="O221" s="748">
        <f t="shared" si="9"/>
        <v>0.24050632911392406</v>
      </c>
      <c r="P221" s="749">
        <f t="shared" si="10"/>
        <v>96.202531645569621</v>
      </c>
      <c r="Q221" s="750">
        <f t="shared" si="11"/>
        <v>0.96202531645569622</v>
      </c>
      <c r="R221" s="608"/>
    </row>
    <row r="222" spans="1:18" ht="39" thickBot="1" x14ac:dyDescent="0.25">
      <c r="A222" s="526" t="s">
        <v>276</v>
      </c>
      <c r="B222" s="530" t="s">
        <v>876</v>
      </c>
      <c r="C222" s="526" t="s">
        <v>1605</v>
      </c>
      <c r="D222" s="530" t="s">
        <v>109</v>
      </c>
      <c r="E222" s="530" t="s">
        <v>857</v>
      </c>
      <c r="F222" s="532" t="s">
        <v>834</v>
      </c>
      <c r="G222" s="530" t="s">
        <v>784</v>
      </c>
      <c r="H222" s="530" t="s">
        <v>77</v>
      </c>
      <c r="I222" s="693" t="s">
        <v>7</v>
      </c>
      <c r="J222" s="525">
        <v>100</v>
      </c>
      <c r="K222" s="731">
        <v>100</v>
      </c>
      <c r="L222" s="537"/>
      <c r="M222" s="686">
        <v>158</v>
      </c>
      <c r="N222" s="686">
        <v>97</v>
      </c>
      <c r="O222" s="748">
        <f t="shared" si="9"/>
        <v>0.61392405063291144</v>
      </c>
      <c r="P222" s="749">
        <f t="shared" si="10"/>
        <v>61.392405063291143</v>
      </c>
      <c r="Q222" s="750">
        <f t="shared" si="11"/>
        <v>0.61392405063291144</v>
      </c>
      <c r="R222" s="608"/>
    </row>
    <row r="223" spans="1:18" ht="13.5" thickBot="1" x14ac:dyDescent="0.25">
      <c r="A223" s="526" t="s">
        <v>276</v>
      </c>
      <c r="B223" s="530" t="s">
        <v>876</v>
      </c>
      <c r="C223" s="526" t="s">
        <v>1605</v>
      </c>
      <c r="D223" s="530" t="s">
        <v>808</v>
      </c>
      <c r="E223" s="530" t="s">
        <v>858</v>
      </c>
      <c r="F223" s="532" t="s">
        <v>834</v>
      </c>
      <c r="G223" s="530" t="s">
        <v>784</v>
      </c>
      <c r="H223" s="530" t="s">
        <v>77</v>
      </c>
      <c r="I223" s="693" t="s">
        <v>7</v>
      </c>
      <c r="J223" s="525">
        <v>100</v>
      </c>
      <c r="K223" s="731">
        <v>100</v>
      </c>
      <c r="L223" s="537"/>
      <c r="M223" s="686">
        <v>158</v>
      </c>
      <c r="N223" s="686">
        <v>97</v>
      </c>
      <c r="O223" s="748">
        <f t="shared" si="9"/>
        <v>0.61392405063291144</v>
      </c>
      <c r="P223" s="749">
        <f t="shared" si="10"/>
        <v>61.392405063291143</v>
      </c>
      <c r="Q223" s="750">
        <f t="shared" si="11"/>
        <v>0.61392405063291144</v>
      </c>
      <c r="R223" s="608"/>
    </row>
    <row r="224" spans="1:18" ht="13.5" thickBot="1" x14ac:dyDescent="0.25">
      <c r="A224" s="526" t="s">
        <v>276</v>
      </c>
      <c r="B224" s="530" t="s">
        <v>876</v>
      </c>
      <c r="C224" s="526" t="s">
        <v>1605</v>
      </c>
      <c r="D224" s="530" t="s">
        <v>808</v>
      </c>
      <c r="E224" s="530" t="s">
        <v>859</v>
      </c>
      <c r="F224" s="532" t="s">
        <v>834</v>
      </c>
      <c r="G224" s="530" t="s">
        <v>784</v>
      </c>
      <c r="H224" s="530" t="s">
        <v>77</v>
      </c>
      <c r="I224" s="693" t="s">
        <v>7</v>
      </c>
      <c r="J224" s="525">
        <v>100</v>
      </c>
      <c r="K224" s="731">
        <v>100</v>
      </c>
      <c r="L224" s="537"/>
      <c r="M224" s="686">
        <v>158</v>
      </c>
      <c r="N224" s="686">
        <v>97</v>
      </c>
      <c r="O224" s="748">
        <f t="shared" si="9"/>
        <v>0.61392405063291144</v>
      </c>
      <c r="P224" s="749">
        <f t="shared" si="10"/>
        <v>61.392405063291143</v>
      </c>
      <c r="Q224" s="750">
        <f t="shared" si="11"/>
        <v>0.61392405063291144</v>
      </c>
      <c r="R224" s="608"/>
    </row>
    <row r="225" spans="1:18" ht="26.25" thickBot="1" x14ac:dyDescent="0.25">
      <c r="A225" s="526" t="s">
        <v>276</v>
      </c>
      <c r="B225" s="530" t="s">
        <v>876</v>
      </c>
      <c r="C225" s="526" t="s">
        <v>1605</v>
      </c>
      <c r="D225" s="530" t="s">
        <v>808</v>
      </c>
      <c r="E225" s="530" t="s">
        <v>860</v>
      </c>
      <c r="F225" s="532" t="s">
        <v>834</v>
      </c>
      <c r="G225" s="530" t="s">
        <v>790</v>
      </c>
      <c r="H225" s="530" t="s">
        <v>77</v>
      </c>
      <c r="I225" s="693" t="s">
        <v>7</v>
      </c>
      <c r="J225" s="525">
        <v>25</v>
      </c>
      <c r="K225" s="731">
        <v>25</v>
      </c>
      <c r="L225" s="537"/>
      <c r="M225" s="686">
        <v>158</v>
      </c>
      <c r="N225" s="686">
        <v>38</v>
      </c>
      <c r="O225" s="748">
        <f t="shared" si="9"/>
        <v>0.24050632911392406</v>
      </c>
      <c r="P225" s="749">
        <f t="shared" si="10"/>
        <v>96.202531645569621</v>
      </c>
      <c r="Q225" s="750">
        <f t="shared" si="11"/>
        <v>0.96202531645569622</v>
      </c>
      <c r="R225" s="608"/>
    </row>
    <row r="226" spans="1:18" ht="26.25" thickBot="1" x14ac:dyDescent="0.25">
      <c r="A226" s="526" t="s">
        <v>276</v>
      </c>
      <c r="B226" s="530" t="s">
        <v>876</v>
      </c>
      <c r="C226" s="526" t="s">
        <v>1605</v>
      </c>
      <c r="D226" s="530" t="s">
        <v>808</v>
      </c>
      <c r="E226" s="530" t="s">
        <v>861</v>
      </c>
      <c r="F226" s="532" t="s">
        <v>834</v>
      </c>
      <c r="G226" s="530" t="s">
        <v>790</v>
      </c>
      <c r="H226" s="530" t="s">
        <v>77</v>
      </c>
      <c r="I226" s="693" t="s">
        <v>7</v>
      </c>
      <c r="J226" s="525">
        <v>25</v>
      </c>
      <c r="K226" s="731">
        <v>25</v>
      </c>
      <c r="L226" s="537"/>
      <c r="M226" s="686">
        <v>158</v>
      </c>
      <c r="N226" s="686">
        <v>38</v>
      </c>
      <c r="O226" s="748">
        <f t="shared" si="9"/>
        <v>0.24050632911392406</v>
      </c>
      <c r="P226" s="749">
        <f t="shared" si="10"/>
        <v>96.202531645569621</v>
      </c>
      <c r="Q226" s="750">
        <f t="shared" si="11"/>
        <v>0.96202531645569622</v>
      </c>
      <c r="R226" s="608"/>
    </row>
    <row r="227" spans="1:18" ht="26.25" thickBot="1" x14ac:dyDescent="0.25">
      <c r="A227" s="526" t="s">
        <v>276</v>
      </c>
      <c r="B227" s="530" t="s">
        <v>876</v>
      </c>
      <c r="C227" s="526" t="s">
        <v>1605</v>
      </c>
      <c r="D227" s="530" t="s">
        <v>808</v>
      </c>
      <c r="E227" s="530" t="s">
        <v>862</v>
      </c>
      <c r="F227" s="532" t="s">
        <v>834</v>
      </c>
      <c r="G227" s="530" t="s">
        <v>790</v>
      </c>
      <c r="H227" s="530" t="s">
        <v>77</v>
      </c>
      <c r="I227" s="693" t="s">
        <v>7</v>
      </c>
      <c r="J227" s="525">
        <v>25</v>
      </c>
      <c r="K227" s="731">
        <v>25</v>
      </c>
      <c r="L227" s="537"/>
      <c r="M227" s="686">
        <v>158</v>
      </c>
      <c r="N227" s="686">
        <v>38</v>
      </c>
      <c r="O227" s="748">
        <f t="shared" si="9"/>
        <v>0.24050632911392406</v>
      </c>
      <c r="P227" s="749">
        <f t="shared" si="10"/>
        <v>96.202531645569621</v>
      </c>
      <c r="Q227" s="750">
        <f t="shared" si="11"/>
        <v>0.96202531645569622</v>
      </c>
      <c r="R227" s="608"/>
    </row>
    <row r="228" spans="1:18" ht="26.25" thickBot="1" x14ac:dyDescent="0.25">
      <c r="A228" s="526" t="s">
        <v>276</v>
      </c>
      <c r="B228" s="530" t="s">
        <v>876</v>
      </c>
      <c r="C228" s="526" t="s">
        <v>1605</v>
      </c>
      <c r="D228" s="530" t="s">
        <v>808</v>
      </c>
      <c r="E228" s="530" t="s">
        <v>863</v>
      </c>
      <c r="F228" s="532" t="s">
        <v>834</v>
      </c>
      <c r="G228" s="530" t="s">
        <v>790</v>
      </c>
      <c r="H228" s="530" t="s">
        <v>77</v>
      </c>
      <c r="I228" s="693" t="s">
        <v>7</v>
      </c>
      <c r="J228" s="525">
        <v>25</v>
      </c>
      <c r="K228" s="731">
        <v>25</v>
      </c>
      <c r="L228" s="537"/>
      <c r="M228" s="686">
        <v>158</v>
      </c>
      <c r="N228" s="686">
        <v>38</v>
      </c>
      <c r="O228" s="748">
        <f t="shared" si="9"/>
        <v>0.24050632911392406</v>
      </c>
      <c r="P228" s="749">
        <f t="shared" si="10"/>
        <v>96.202531645569621</v>
      </c>
      <c r="Q228" s="750">
        <f t="shared" si="11"/>
        <v>0.96202531645569622</v>
      </c>
      <c r="R228" s="608"/>
    </row>
    <row r="229" spans="1:18" ht="26.25" thickBot="1" x14ac:dyDescent="0.25">
      <c r="A229" s="526" t="s">
        <v>276</v>
      </c>
      <c r="B229" s="530" t="s">
        <v>876</v>
      </c>
      <c r="C229" s="526" t="s">
        <v>1605</v>
      </c>
      <c r="D229" s="530" t="s">
        <v>808</v>
      </c>
      <c r="E229" s="530" t="s">
        <v>864</v>
      </c>
      <c r="F229" s="528" t="s">
        <v>834</v>
      </c>
      <c r="G229" s="530" t="s">
        <v>784</v>
      </c>
      <c r="H229" s="530" t="s">
        <v>77</v>
      </c>
      <c r="I229" s="693" t="s">
        <v>7</v>
      </c>
      <c r="J229" s="525">
        <v>100</v>
      </c>
      <c r="K229" s="731">
        <v>100</v>
      </c>
      <c r="L229" s="537"/>
      <c r="M229" s="686">
        <v>158</v>
      </c>
      <c r="N229" s="686">
        <v>97</v>
      </c>
      <c r="O229" s="748">
        <f t="shared" si="9"/>
        <v>0.61392405063291144</v>
      </c>
      <c r="P229" s="749">
        <f t="shared" si="10"/>
        <v>61.392405063291143</v>
      </c>
      <c r="Q229" s="750">
        <f t="shared" si="11"/>
        <v>0.61392405063291144</v>
      </c>
      <c r="R229" s="608"/>
    </row>
    <row r="230" spans="1:18" ht="26.25" thickBot="1" x14ac:dyDescent="0.25">
      <c r="A230" s="526" t="s">
        <v>276</v>
      </c>
      <c r="B230" s="530" t="s">
        <v>876</v>
      </c>
      <c r="C230" s="526" t="s">
        <v>1605</v>
      </c>
      <c r="D230" s="530" t="s">
        <v>808</v>
      </c>
      <c r="E230" s="530" t="s">
        <v>864</v>
      </c>
      <c r="F230" s="528" t="s">
        <v>830</v>
      </c>
      <c r="G230" s="530" t="s">
        <v>865</v>
      </c>
      <c r="H230" s="530" t="s">
        <v>77</v>
      </c>
      <c r="I230" s="693" t="s">
        <v>7</v>
      </c>
      <c r="J230" s="525">
        <v>33</v>
      </c>
      <c r="K230" s="731">
        <v>33</v>
      </c>
      <c r="L230" s="537"/>
      <c r="M230" s="686">
        <v>158</v>
      </c>
      <c r="N230" s="686">
        <v>52</v>
      </c>
      <c r="O230" s="748">
        <f t="shared" si="9"/>
        <v>0.32911392405063289</v>
      </c>
      <c r="P230" s="749">
        <f t="shared" si="10"/>
        <v>99.731492136555417</v>
      </c>
      <c r="Q230" s="750">
        <f t="shared" si="11"/>
        <v>0.99731492136555422</v>
      </c>
      <c r="R230" s="608"/>
    </row>
    <row r="231" spans="1:18" ht="26.25" thickBot="1" x14ac:dyDescent="0.25">
      <c r="A231" s="526" t="s">
        <v>276</v>
      </c>
      <c r="B231" s="530" t="s">
        <v>876</v>
      </c>
      <c r="C231" s="526" t="s">
        <v>1605</v>
      </c>
      <c r="D231" s="530" t="s">
        <v>808</v>
      </c>
      <c r="E231" s="530" t="s">
        <v>815</v>
      </c>
      <c r="F231" s="528" t="s">
        <v>834</v>
      </c>
      <c r="G231" s="530" t="s">
        <v>866</v>
      </c>
      <c r="H231" s="530" t="s">
        <v>77</v>
      </c>
      <c r="I231" s="693" t="s">
        <v>7</v>
      </c>
      <c r="J231" s="525">
        <v>100</v>
      </c>
      <c r="K231" s="731">
        <v>100</v>
      </c>
      <c r="L231" s="537" t="s">
        <v>880</v>
      </c>
      <c r="M231" s="686">
        <v>158</v>
      </c>
      <c r="N231" s="686">
        <v>97</v>
      </c>
      <c r="O231" s="748">
        <f t="shared" si="9"/>
        <v>0.61392405063291144</v>
      </c>
      <c r="P231" s="749">
        <f t="shared" si="10"/>
        <v>61.392405063291143</v>
      </c>
      <c r="Q231" s="750">
        <f t="shared" si="11"/>
        <v>0.61392405063291144</v>
      </c>
      <c r="R231" s="608"/>
    </row>
    <row r="232" spans="1:18" ht="13.5" thickBot="1" x14ac:dyDescent="0.25">
      <c r="A232" s="526" t="s">
        <v>276</v>
      </c>
      <c r="B232" s="530" t="s">
        <v>876</v>
      </c>
      <c r="C232" s="526" t="s">
        <v>1605</v>
      </c>
      <c r="D232" s="530" t="s">
        <v>808</v>
      </c>
      <c r="E232" s="530" t="s">
        <v>815</v>
      </c>
      <c r="F232" s="528" t="s">
        <v>830</v>
      </c>
      <c r="G232" s="530" t="s">
        <v>865</v>
      </c>
      <c r="H232" s="530" t="s">
        <v>77</v>
      </c>
      <c r="I232" s="693" t="s">
        <v>7</v>
      </c>
      <c r="J232" s="525">
        <v>33</v>
      </c>
      <c r="K232" s="731">
        <v>33</v>
      </c>
      <c r="L232" s="537"/>
      <c r="M232" s="686">
        <v>158</v>
      </c>
      <c r="N232" s="686">
        <v>52</v>
      </c>
      <c r="O232" s="748">
        <f t="shared" si="9"/>
        <v>0.32911392405063289</v>
      </c>
      <c r="P232" s="749">
        <f t="shared" si="10"/>
        <v>99.731492136555417</v>
      </c>
      <c r="Q232" s="750">
        <f t="shared" si="11"/>
        <v>0.99731492136555422</v>
      </c>
      <c r="R232" s="608"/>
    </row>
    <row r="233" spans="1:18" ht="26.25" thickBot="1" x14ac:dyDescent="0.25">
      <c r="A233" s="529" t="s">
        <v>276</v>
      </c>
      <c r="B233" s="534" t="s">
        <v>874</v>
      </c>
      <c r="C233" s="529" t="s">
        <v>877</v>
      </c>
      <c r="D233" s="534" t="s">
        <v>109</v>
      </c>
      <c r="E233" s="534" t="s">
        <v>828</v>
      </c>
      <c r="F233" s="527" t="s">
        <v>829</v>
      </c>
      <c r="G233" s="534" t="s">
        <v>784</v>
      </c>
      <c r="H233" s="534" t="s">
        <v>77</v>
      </c>
      <c r="I233" s="693" t="s">
        <v>7</v>
      </c>
      <c r="J233" s="535">
        <v>100</v>
      </c>
      <c r="K233" s="732">
        <v>100</v>
      </c>
      <c r="L233" s="538" t="s">
        <v>880</v>
      </c>
      <c r="M233" s="686">
        <v>14</v>
      </c>
      <c r="N233" s="686">
        <v>8</v>
      </c>
      <c r="O233" s="748">
        <f t="shared" si="9"/>
        <v>0.5714285714285714</v>
      </c>
      <c r="P233" s="749">
        <f t="shared" si="10"/>
        <v>57.142857142857139</v>
      </c>
      <c r="Q233" s="750">
        <f t="shared" si="11"/>
        <v>0.5714285714285714</v>
      </c>
      <c r="R233" s="608"/>
    </row>
    <row r="234" spans="1:18" ht="13.5" thickBot="1" x14ac:dyDescent="0.25">
      <c r="A234" s="529" t="s">
        <v>276</v>
      </c>
      <c r="B234" s="534" t="s">
        <v>874</v>
      </c>
      <c r="C234" s="529" t="s">
        <v>877</v>
      </c>
      <c r="D234" s="534" t="s">
        <v>109</v>
      </c>
      <c r="E234" s="534" t="s">
        <v>828</v>
      </c>
      <c r="F234" s="527" t="s">
        <v>830</v>
      </c>
      <c r="G234" s="534" t="s">
        <v>831</v>
      </c>
      <c r="H234" s="534" t="s">
        <v>77</v>
      </c>
      <c r="I234" s="693" t="s">
        <v>7</v>
      </c>
      <c r="J234" s="535">
        <v>33</v>
      </c>
      <c r="K234" s="732">
        <v>33</v>
      </c>
      <c r="L234" s="538"/>
      <c r="M234" s="686">
        <v>14</v>
      </c>
      <c r="N234" s="686">
        <v>4</v>
      </c>
      <c r="O234" s="748">
        <f t="shared" si="9"/>
        <v>0.2857142857142857</v>
      </c>
      <c r="P234" s="749">
        <f t="shared" si="10"/>
        <v>86.580086580086572</v>
      </c>
      <c r="Q234" s="750">
        <f t="shared" si="11"/>
        <v>0.86580086580086579</v>
      </c>
      <c r="R234" s="608"/>
    </row>
    <row r="235" spans="1:18" ht="26.25" thickBot="1" x14ac:dyDescent="0.25">
      <c r="A235" s="529" t="s">
        <v>276</v>
      </c>
      <c r="B235" s="534" t="s">
        <v>874</v>
      </c>
      <c r="C235" s="529" t="s">
        <v>877</v>
      </c>
      <c r="D235" s="534" t="s">
        <v>109</v>
      </c>
      <c r="E235" s="534" t="s">
        <v>832</v>
      </c>
      <c r="F235" s="527" t="s">
        <v>829</v>
      </c>
      <c r="G235" s="534" t="s">
        <v>790</v>
      </c>
      <c r="H235" s="534" t="s">
        <v>77</v>
      </c>
      <c r="I235" s="693" t="s">
        <v>7</v>
      </c>
      <c r="J235" s="535">
        <v>25</v>
      </c>
      <c r="K235" s="732">
        <v>25</v>
      </c>
      <c r="L235" s="538"/>
      <c r="M235" s="686">
        <v>14</v>
      </c>
      <c r="N235" s="686">
        <v>0</v>
      </c>
      <c r="O235" s="748">
        <f t="shared" si="9"/>
        <v>0</v>
      </c>
      <c r="P235" s="749">
        <f t="shared" si="10"/>
        <v>0</v>
      </c>
      <c r="Q235" s="750">
        <f t="shared" si="11"/>
        <v>0</v>
      </c>
      <c r="R235" s="608"/>
    </row>
    <row r="236" spans="1:18" ht="26.25" thickBot="1" x14ac:dyDescent="0.25">
      <c r="A236" s="529" t="s">
        <v>276</v>
      </c>
      <c r="B236" s="534" t="s">
        <v>874</v>
      </c>
      <c r="C236" s="529" t="s">
        <v>877</v>
      </c>
      <c r="D236" s="534" t="s">
        <v>109</v>
      </c>
      <c r="E236" s="534" t="s">
        <v>832</v>
      </c>
      <c r="F236" s="527" t="s">
        <v>830</v>
      </c>
      <c r="G236" s="534" t="s">
        <v>790</v>
      </c>
      <c r="H236" s="534" t="s">
        <v>77</v>
      </c>
      <c r="I236" s="693" t="s">
        <v>7</v>
      </c>
      <c r="J236" s="535">
        <v>25</v>
      </c>
      <c r="K236" s="732">
        <v>25</v>
      </c>
      <c r="L236" s="538"/>
      <c r="M236" s="686">
        <v>14</v>
      </c>
      <c r="N236" s="686">
        <v>0</v>
      </c>
      <c r="O236" s="748">
        <f t="shared" si="9"/>
        <v>0</v>
      </c>
      <c r="P236" s="749">
        <f t="shared" si="10"/>
        <v>0</v>
      </c>
      <c r="Q236" s="750">
        <f t="shared" si="11"/>
        <v>0</v>
      </c>
      <c r="R236" s="608"/>
    </row>
    <row r="237" spans="1:18" ht="39" thickBot="1" x14ac:dyDescent="0.25">
      <c r="A237" s="529" t="s">
        <v>276</v>
      </c>
      <c r="B237" s="534" t="s">
        <v>874</v>
      </c>
      <c r="C237" s="529" t="s">
        <v>877</v>
      </c>
      <c r="D237" s="534" t="s">
        <v>109</v>
      </c>
      <c r="E237" s="534" t="s">
        <v>833</v>
      </c>
      <c r="F237" s="527" t="s">
        <v>834</v>
      </c>
      <c r="G237" s="534" t="s">
        <v>790</v>
      </c>
      <c r="H237" s="534" t="s">
        <v>77</v>
      </c>
      <c r="I237" s="693" t="s">
        <v>7</v>
      </c>
      <c r="J237" s="535">
        <v>25</v>
      </c>
      <c r="K237" s="732">
        <v>25</v>
      </c>
      <c r="L237" s="538" t="s">
        <v>881</v>
      </c>
      <c r="M237" s="686">
        <v>14</v>
      </c>
      <c r="N237" s="686">
        <v>0</v>
      </c>
      <c r="O237" s="748">
        <f t="shared" si="9"/>
        <v>0</v>
      </c>
      <c r="P237" s="749">
        <f t="shared" si="10"/>
        <v>0</v>
      </c>
      <c r="Q237" s="750">
        <f t="shared" si="11"/>
        <v>0</v>
      </c>
      <c r="R237" s="608"/>
    </row>
    <row r="238" spans="1:18" ht="26.25" thickBot="1" x14ac:dyDescent="0.25">
      <c r="A238" s="529" t="s">
        <v>276</v>
      </c>
      <c r="B238" s="534" t="s">
        <v>874</v>
      </c>
      <c r="C238" s="529" t="s">
        <v>877</v>
      </c>
      <c r="D238" s="534" t="s">
        <v>109</v>
      </c>
      <c r="E238" s="534" t="s">
        <v>833</v>
      </c>
      <c r="F238" s="527" t="s">
        <v>835</v>
      </c>
      <c r="G238" s="534" t="s">
        <v>790</v>
      </c>
      <c r="H238" s="534" t="s">
        <v>77</v>
      </c>
      <c r="I238" s="693" t="s">
        <v>7</v>
      </c>
      <c r="J238" s="535">
        <v>33</v>
      </c>
      <c r="K238" s="732">
        <v>33</v>
      </c>
      <c r="L238" s="538"/>
      <c r="M238" s="686">
        <v>14</v>
      </c>
      <c r="N238" s="686">
        <v>4</v>
      </c>
      <c r="O238" s="748">
        <f t="shared" si="9"/>
        <v>0.2857142857142857</v>
      </c>
      <c r="P238" s="749">
        <f t="shared" si="10"/>
        <v>86.580086580086572</v>
      </c>
      <c r="Q238" s="750">
        <f t="shared" si="11"/>
        <v>0.86580086580086579</v>
      </c>
      <c r="R238" s="608"/>
    </row>
    <row r="239" spans="1:18" ht="26.25" thickBot="1" x14ac:dyDescent="0.25">
      <c r="A239" s="529" t="s">
        <v>276</v>
      </c>
      <c r="B239" s="534" t="s">
        <v>874</v>
      </c>
      <c r="C239" s="529" t="s">
        <v>877</v>
      </c>
      <c r="D239" s="534" t="s">
        <v>109</v>
      </c>
      <c r="E239" s="534" t="s">
        <v>836</v>
      </c>
      <c r="F239" s="527" t="s">
        <v>834</v>
      </c>
      <c r="G239" s="534" t="s">
        <v>790</v>
      </c>
      <c r="H239" s="534" t="s">
        <v>77</v>
      </c>
      <c r="I239" s="693" t="s">
        <v>7</v>
      </c>
      <c r="J239" s="535">
        <v>25</v>
      </c>
      <c r="K239" s="732">
        <v>25</v>
      </c>
      <c r="L239" s="538"/>
      <c r="M239" s="686">
        <v>14</v>
      </c>
      <c r="N239" s="686">
        <v>0</v>
      </c>
      <c r="O239" s="748">
        <f t="shared" si="9"/>
        <v>0</v>
      </c>
      <c r="P239" s="749">
        <f t="shared" si="10"/>
        <v>0</v>
      </c>
      <c r="Q239" s="750">
        <f t="shared" si="11"/>
        <v>0</v>
      </c>
      <c r="R239" s="608"/>
    </row>
    <row r="240" spans="1:18" ht="26.25" thickBot="1" x14ac:dyDescent="0.25">
      <c r="A240" s="529" t="s">
        <v>276</v>
      </c>
      <c r="B240" s="534" t="s">
        <v>874</v>
      </c>
      <c r="C240" s="529" t="s">
        <v>877</v>
      </c>
      <c r="D240" s="534" t="s">
        <v>109</v>
      </c>
      <c r="E240" s="534" t="s">
        <v>837</v>
      </c>
      <c r="F240" s="527" t="s">
        <v>834</v>
      </c>
      <c r="G240" s="534" t="s">
        <v>790</v>
      </c>
      <c r="H240" s="534" t="s">
        <v>77</v>
      </c>
      <c r="I240" s="693" t="s">
        <v>7</v>
      </c>
      <c r="J240" s="535">
        <v>25</v>
      </c>
      <c r="K240" s="732">
        <v>25</v>
      </c>
      <c r="L240" s="538"/>
      <c r="M240" s="686">
        <v>14</v>
      </c>
      <c r="N240" s="686">
        <v>0</v>
      </c>
      <c r="O240" s="748">
        <f t="shared" si="9"/>
        <v>0</v>
      </c>
      <c r="P240" s="749">
        <f t="shared" si="10"/>
        <v>0</v>
      </c>
      <c r="Q240" s="750">
        <f t="shared" si="11"/>
        <v>0</v>
      </c>
      <c r="R240" s="608"/>
    </row>
    <row r="241" spans="1:18" ht="13.5" thickBot="1" x14ac:dyDescent="0.25">
      <c r="A241" s="529" t="s">
        <v>276</v>
      </c>
      <c r="B241" s="534" t="s">
        <v>874</v>
      </c>
      <c r="C241" s="529" t="s">
        <v>877</v>
      </c>
      <c r="D241" s="534" t="s">
        <v>109</v>
      </c>
      <c r="E241" s="534" t="s">
        <v>838</v>
      </c>
      <c r="F241" s="527" t="s">
        <v>834</v>
      </c>
      <c r="G241" s="534" t="s">
        <v>784</v>
      </c>
      <c r="H241" s="534" t="s">
        <v>77</v>
      </c>
      <c r="I241" s="693" t="s">
        <v>7</v>
      </c>
      <c r="J241" s="535">
        <v>100</v>
      </c>
      <c r="K241" s="732">
        <v>100</v>
      </c>
      <c r="L241" s="538"/>
      <c r="M241" s="686">
        <v>14</v>
      </c>
      <c r="N241" s="686">
        <v>8</v>
      </c>
      <c r="O241" s="748">
        <f t="shared" si="9"/>
        <v>0.5714285714285714</v>
      </c>
      <c r="P241" s="749">
        <f t="shared" si="10"/>
        <v>57.142857142857139</v>
      </c>
      <c r="Q241" s="750">
        <f t="shared" si="11"/>
        <v>0.5714285714285714</v>
      </c>
      <c r="R241" s="608"/>
    </row>
    <row r="242" spans="1:18" ht="13.5" thickBot="1" x14ac:dyDescent="0.25">
      <c r="A242" s="529" t="s">
        <v>276</v>
      </c>
      <c r="B242" s="534" t="s">
        <v>874</v>
      </c>
      <c r="C242" s="529" t="s">
        <v>877</v>
      </c>
      <c r="D242" s="534" t="s">
        <v>109</v>
      </c>
      <c r="E242" s="534" t="s">
        <v>839</v>
      </c>
      <c r="F242" s="527" t="s">
        <v>834</v>
      </c>
      <c r="G242" s="534" t="s">
        <v>784</v>
      </c>
      <c r="H242" s="534" t="s">
        <v>77</v>
      </c>
      <c r="I242" s="693" t="s">
        <v>7</v>
      </c>
      <c r="J242" s="533">
        <v>100</v>
      </c>
      <c r="K242" s="733">
        <v>100</v>
      </c>
      <c r="L242" s="538"/>
      <c r="M242" s="686">
        <v>14</v>
      </c>
      <c r="N242" s="686">
        <v>8</v>
      </c>
      <c r="O242" s="748">
        <f t="shared" si="9"/>
        <v>0.5714285714285714</v>
      </c>
      <c r="P242" s="749">
        <f t="shared" si="10"/>
        <v>57.142857142857139</v>
      </c>
      <c r="Q242" s="750">
        <f t="shared" si="11"/>
        <v>0.5714285714285714</v>
      </c>
      <c r="R242" s="608"/>
    </row>
    <row r="243" spans="1:18" ht="26.25" thickBot="1" x14ac:dyDescent="0.25">
      <c r="A243" s="529" t="s">
        <v>276</v>
      </c>
      <c r="B243" s="534" t="s">
        <v>874</v>
      </c>
      <c r="C243" s="529" t="s">
        <v>877</v>
      </c>
      <c r="D243" s="534" t="s">
        <v>109</v>
      </c>
      <c r="E243" s="534" t="s">
        <v>840</v>
      </c>
      <c r="F243" s="527" t="s">
        <v>834</v>
      </c>
      <c r="G243" s="534" t="s">
        <v>790</v>
      </c>
      <c r="H243" s="534" t="s">
        <v>77</v>
      </c>
      <c r="I243" s="693" t="s">
        <v>7</v>
      </c>
      <c r="J243" s="533">
        <v>25</v>
      </c>
      <c r="K243" s="733">
        <v>25</v>
      </c>
      <c r="L243" s="538"/>
      <c r="M243" s="686">
        <v>14</v>
      </c>
      <c r="N243" s="686">
        <v>0</v>
      </c>
      <c r="O243" s="748">
        <f t="shared" si="9"/>
        <v>0</v>
      </c>
      <c r="P243" s="749">
        <f t="shared" si="10"/>
        <v>0</v>
      </c>
      <c r="Q243" s="750">
        <f t="shared" si="11"/>
        <v>0</v>
      </c>
      <c r="R243" s="608"/>
    </row>
    <row r="244" spans="1:18" ht="26.25" thickBot="1" x14ac:dyDescent="0.25">
      <c r="A244" s="529" t="s">
        <v>276</v>
      </c>
      <c r="B244" s="534" t="s">
        <v>874</v>
      </c>
      <c r="C244" s="529" t="s">
        <v>877</v>
      </c>
      <c r="D244" s="534" t="s">
        <v>109</v>
      </c>
      <c r="E244" s="534" t="s">
        <v>841</v>
      </c>
      <c r="F244" s="527" t="s">
        <v>834</v>
      </c>
      <c r="G244" s="534" t="s">
        <v>790</v>
      </c>
      <c r="H244" s="534" t="s">
        <v>77</v>
      </c>
      <c r="I244" s="693" t="s">
        <v>7</v>
      </c>
      <c r="J244" s="533">
        <v>25</v>
      </c>
      <c r="K244" s="733">
        <v>25</v>
      </c>
      <c r="L244" s="538"/>
      <c r="M244" s="686">
        <v>14</v>
      </c>
      <c r="N244" s="686">
        <v>0</v>
      </c>
      <c r="O244" s="748">
        <f t="shared" si="9"/>
        <v>0</v>
      </c>
      <c r="P244" s="749">
        <f t="shared" si="10"/>
        <v>0</v>
      </c>
      <c r="Q244" s="750">
        <f t="shared" si="11"/>
        <v>0</v>
      </c>
      <c r="R244" s="608"/>
    </row>
    <row r="245" spans="1:18" ht="13.5" thickBot="1" x14ac:dyDescent="0.25">
      <c r="A245" s="529" t="s">
        <v>276</v>
      </c>
      <c r="B245" s="534" t="s">
        <v>874</v>
      </c>
      <c r="C245" s="529" t="s">
        <v>877</v>
      </c>
      <c r="D245" s="534" t="s">
        <v>109</v>
      </c>
      <c r="E245" s="534" t="s">
        <v>842</v>
      </c>
      <c r="F245" s="536" t="s">
        <v>843</v>
      </c>
      <c r="G245" s="534" t="s">
        <v>784</v>
      </c>
      <c r="H245" s="534" t="s">
        <v>77</v>
      </c>
      <c r="I245" s="693" t="s">
        <v>7</v>
      </c>
      <c r="J245" s="533">
        <v>100</v>
      </c>
      <c r="K245" s="733">
        <v>100</v>
      </c>
      <c r="L245" s="538"/>
      <c r="M245" s="686">
        <v>14</v>
      </c>
      <c r="N245" s="686">
        <v>8</v>
      </c>
      <c r="O245" s="748">
        <f t="shared" si="9"/>
        <v>0.5714285714285714</v>
      </c>
      <c r="P245" s="749">
        <f t="shared" si="10"/>
        <v>57.142857142857139</v>
      </c>
      <c r="Q245" s="750">
        <f t="shared" si="11"/>
        <v>0.5714285714285714</v>
      </c>
      <c r="R245" s="608"/>
    </row>
    <row r="246" spans="1:18" ht="13.5" thickBot="1" x14ac:dyDescent="0.25">
      <c r="A246" s="529" t="s">
        <v>276</v>
      </c>
      <c r="B246" s="534" t="s">
        <v>874</v>
      </c>
      <c r="C246" s="529" t="s">
        <v>877</v>
      </c>
      <c r="D246" s="534" t="s">
        <v>109</v>
      </c>
      <c r="E246" s="534" t="s">
        <v>844</v>
      </c>
      <c r="F246" s="536" t="s">
        <v>843</v>
      </c>
      <c r="G246" s="534" t="s">
        <v>784</v>
      </c>
      <c r="H246" s="534" t="s">
        <v>77</v>
      </c>
      <c r="I246" s="693" t="s">
        <v>7</v>
      </c>
      <c r="J246" s="533">
        <v>100</v>
      </c>
      <c r="K246" s="733">
        <v>100</v>
      </c>
      <c r="L246" s="538"/>
      <c r="M246" s="686">
        <v>14</v>
      </c>
      <c r="N246" s="686">
        <v>8</v>
      </c>
      <c r="O246" s="748">
        <f t="shared" si="9"/>
        <v>0.5714285714285714</v>
      </c>
      <c r="P246" s="749">
        <f t="shared" si="10"/>
        <v>57.142857142857139</v>
      </c>
      <c r="Q246" s="750">
        <f t="shared" si="11"/>
        <v>0.5714285714285714</v>
      </c>
      <c r="R246" s="608"/>
    </row>
    <row r="247" spans="1:18" ht="26.25" thickBot="1" x14ac:dyDescent="0.25">
      <c r="A247" s="529" t="s">
        <v>276</v>
      </c>
      <c r="B247" s="534" t="s">
        <v>874</v>
      </c>
      <c r="C247" s="529" t="s">
        <v>877</v>
      </c>
      <c r="D247" s="534" t="s">
        <v>109</v>
      </c>
      <c r="E247" s="534" t="s">
        <v>845</v>
      </c>
      <c r="F247" s="536" t="s">
        <v>830</v>
      </c>
      <c r="G247" s="534" t="s">
        <v>790</v>
      </c>
      <c r="H247" s="534" t="s">
        <v>77</v>
      </c>
      <c r="I247" s="693" t="s">
        <v>7</v>
      </c>
      <c r="J247" s="533">
        <v>33</v>
      </c>
      <c r="K247" s="733">
        <v>33</v>
      </c>
      <c r="L247" s="538"/>
      <c r="M247" s="686">
        <v>14</v>
      </c>
      <c r="N247" s="686">
        <v>4</v>
      </c>
      <c r="O247" s="748">
        <f t="shared" si="9"/>
        <v>0.2857142857142857</v>
      </c>
      <c r="P247" s="749">
        <f t="shared" si="10"/>
        <v>86.580086580086572</v>
      </c>
      <c r="Q247" s="750">
        <f t="shared" si="11"/>
        <v>0.86580086580086579</v>
      </c>
      <c r="R247" s="608"/>
    </row>
    <row r="248" spans="1:18" ht="26.25" thickBot="1" x14ac:dyDescent="0.25">
      <c r="A248" s="529" t="s">
        <v>276</v>
      </c>
      <c r="B248" s="534" t="s">
        <v>874</v>
      </c>
      <c r="C248" s="529" t="s">
        <v>877</v>
      </c>
      <c r="D248" s="534" t="s">
        <v>109</v>
      </c>
      <c r="E248" s="534" t="s">
        <v>846</v>
      </c>
      <c r="F248" s="536" t="s">
        <v>830</v>
      </c>
      <c r="G248" s="534" t="s">
        <v>790</v>
      </c>
      <c r="H248" s="534" t="s">
        <v>77</v>
      </c>
      <c r="I248" s="693" t="s">
        <v>7</v>
      </c>
      <c r="J248" s="533">
        <v>33</v>
      </c>
      <c r="K248" s="733">
        <v>33</v>
      </c>
      <c r="L248" s="538"/>
      <c r="M248" s="686">
        <v>14</v>
      </c>
      <c r="N248" s="686">
        <v>4</v>
      </c>
      <c r="O248" s="748">
        <f t="shared" si="9"/>
        <v>0.2857142857142857</v>
      </c>
      <c r="P248" s="749">
        <f t="shared" si="10"/>
        <v>86.580086580086572</v>
      </c>
      <c r="Q248" s="750">
        <f t="shared" si="11"/>
        <v>0.86580086580086579</v>
      </c>
      <c r="R248" s="608"/>
    </row>
    <row r="249" spans="1:18" ht="26.25" thickBot="1" x14ac:dyDescent="0.25">
      <c r="A249" s="529" t="s">
        <v>276</v>
      </c>
      <c r="B249" s="534" t="s">
        <v>874</v>
      </c>
      <c r="C249" s="529" t="s">
        <v>877</v>
      </c>
      <c r="D249" s="534" t="s">
        <v>109</v>
      </c>
      <c r="E249" s="534" t="s">
        <v>847</v>
      </c>
      <c r="F249" s="536" t="s">
        <v>830</v>
      </c>
      <c r="G249" s="534" t="s">
        <v>790</v>
      </c>
      <c r="H249" s="534" t="s">
        <v>77</v>
      </c>
      <c r="I249" s="693" t="s">
        <v>7</v>
      </c>
      <c r="J249" s="533">
        <v>33</v>
      </c>
      <c r="K249" s="733">
        <v>33</v>
      </c>
      <c r="L249" s="538"/>
      <c r="M249" s="686">
        <v>14</v>
      </c>
      <c r="N249" s="686">
        <v>4</v>
      </c>
      <c r="O249" s="748">
        <f t="shared" si="9"/>
        <v>0.2857142857142857</v>
      </c>
      <c r="P249" s="749">
        <f t="shared" si="10"/>
        <v>86.580086580086572</v>
      </c>
      <c r="Q249" s="750">
        <f t="shared" si="11"/>
        <v>0.86580086580086579</v>
      </c>
      <c r="R249" s="608"/>
    </row>
    <row r="250" spans="1:18" ht="26.25" thickBot="1" x14ac:dyDescent="0.25">
      <c r="A250" s="529" t="s">
        <v>276</v>
      </c>
      <c r="B250" s="534" t="s">
        <v>874</v>
      </c>
      <c r="C250" s="529" t="s">
        <v>877</v>
      </c>
      <c r="D250" s="534" t="s">
        <v>109</v>
      </c>
      <c r="E250" s="534" t="s">
        <v>848</v>
      </c>
      <c r="F250" s="536" t="s">
        <v>830</v>
      </c>
      <c r="G250" s="534" t="s">
        <v>790</v>
      </c>
      <c r="H250" s="534" t="s">
        <v>77</v>
      </c>
      <c r="I250" s="693" t="s">
        <v>7</v>
      </c>
      <c r="J250" s="533">
        <v>33</v>
      </c>
      <c r="K250" s="733">
        <v>33</v>
      </c>
      <c r="L250" s="538"/>
      <c r="M250" s="686">
        <v>14</v>
      </c>
      <c r="N250" s="686">
        <v>4</v>
      </c>
      <c r="O250" s="748">
        <f t="shared" si="9"/>
        <v>0.2857142857142857</v>
      </c>
      <c r="P250" s="749">
        <f t="shared" si="10"/>
        <v>86.580086580086572</v>
      </c>
      <c r="Q250" s="750">
        <f t="shared" si="11"/>
        <v>0.86580086580086579</v>
      </c>
      <c r="R250" s="608"/>
    </row>
    <row r="251" spans="1:18" ht="26.25" thickBot="1" x14ac:dyDescent="0.25">
      <c r="A251" s="529" t="s">
        <v>276</v>
      </c>
      <c r="B251" s="534" t="s">
        <v>874</v>
      </c>
      <c r="C251" s="529" t="s">
        <v>877</v>
      </c>
      <c r="D251" s="534" t="s">
        <v>109</v>
      </c>
      <c r="E251" s="534" t="s">
        <v>849</v>
      </c>
      <c r="F251" s="536" t="s">
        <v>830</v>
      </c>
      <c r="G251" s="534" t="s">
        <v>790</v>
      </c>
      <c r="H251" s="534" t="s">
        <v>77</v>
      </c>
      <c r="I251" s="693" t="s">
        <v>7</v>
      </c>
      <c r="J251" s="533">
        <v>33</v>
      </c>
      <c r="K251" s="733">
        <v>33</v>
      </c>
      <c r="L251" s="538"/>
      <c r="M251" s="686">
        <v>14</v>
      </c>
      <c r="N251" s="686">
        <v>4</v>
      </c>
      <c r="O251" s="748">
        <f t="shared" si="9"/>
        <v>0.2857142857142857</v>
      </c>
      <c r="P251" s="749">
        <f t="shared" si="10"/>
        <v>86.580086580086572</v>
      </c>
      <c r="Q251" s="750">
        <f t="shared" si="11"/>
        <v>0.86580086580086579</v>
      </c>
      <c r="R251" s="608"/>
    </row>
    <row r="252" spans="1:18" ht="26.25" thickBot="1" x14ac:dyDescent="0.25">
      <c r="A252" s="529" t="s">
        <v>276</v>
      </c>
      <c r="B252" s="534" t="s">
        <v>874</v>
      </c>
      <c r="C252" s="529" t="s">
        <v>877</v>
      </c>
      <c r="D252" s="534" t="s">
        <v>109</v>
      </c>
      <c r="E252" s="534" t="s">
        <v>850</v>
      </c>
      <c r="F252" s="536" t="s">
        <v>830</v>
      </c>
      <c r="G252" s="534" t="s">
        <v>790</v>
      </c>
      <c r="H252" s="534" t="s">
        <v>77</v>
      </c>
      <c r="I252" s="693" t="s">
        <v>7</v>
      </c>
      <c r="J252" s="533">
        <v>33</v>
      </c>
      <c r="K252" s="733">
        <v>33</v>
      </c>
      <c r="L252" s="538"/>
      <c r="M252" s="686">
        <v>14</v>
      </c>
      <c r="N252" s="686">
        <v>4</v>
      </c>
      <c r="O252" s="748">
        <f t="shared" si="9"/>
        <v>0.2857142857142857</v>
      </c>
      <c r="P252" s="749">
        <f t="shared" si="10"/>
        <v>86.580086580086572</v>
      </c>
      <c r="Q252" s="750">
        <f t="shared" si="11"/>
        <v>0.86580086580086579</v>
      </c>
      <c r="R252" s="608"/>
    </row>
    <row r="253" spans="1:18" ht="13.5" thickBot="1" x14ac:dyDescent="0.25">
      <c r="A253" s="529" t="s">
        <v>276</v>
      </c>
      <c r="B253" s="534" t="s">
        <v>874</v>
      </c>
      <c r="C253" s="529" t="s">
        <v>877</v>
      </c>
      <c r="D253" s="534" t="s">
        <v>109</v>
      </c>
      <c r="E253" s="534" t="s">
        <v>851</v>
      </c>
      <c r="F253" s="536" t="s">
        <v>834</v>
      </c>
      <c r="G253" s="534" t="s">
        <v>784</v>
      </c>
      <c r="H253" s="534" t="s">
        <v>77</v>
      </c>
      <c r="I253" s="693" t="s">
        <v>7</v>
      </c>
      <c r="J253" s="533">
        <v>100</v>
      </c>
      <c r="K253" s="733">
        <v>100</v>
      </c>
      <c r="L253" s="538"/>
      <c r="M253" s="686">
        <v>14</v>
      </c>
      <c r="N253" s="686">
        <v>8</v>
      </c>
      <c r="O253" s="748">
        <f t="shared" si="9"/>
        <v>0.5714285714285714</v>
      </c>
      <c r="P253" s="749">
        <f t="shared" si="10"/>
        <v>57.142857142857139</v>
      </c>
      <c r="Q253" s="750">
        <f t="shared" si="11"/>
        <v>0.5714285714285714</v>
      </c>
      <c r="R253" s="608"/>
    </row>
    <row r="254" spans="1:18" ht="13.5" thickBot="1" x14ac:dyDescent="0.25">
      <c r="A254" s="529" t="s">
        <v>276</v>
      </c>
      <c r="B254" s="534" t="s">
        <v>874</v>
      </c>
      <c r="C254" s="529" t="s">
        <v>877</v>
      </c>
      <c r="D254" s="534" t="s">
        <v>109</v>
      </c>
      <c r="E254" s="534" t="s">
        <v>852</v>
      </c>
      <c r="F254" s="536" t="s">
        <v>834</v>
      </c>
      <c r="G254" s="534" t="s">
        <v>784</v>
      </c>
      <c r="H254" s="534" t="s">
        <v>77</v>
      </c>
      <c r="I254" s="693" t="s">
        <v>7</v>
      </c>
      <c r="J254" s="533">
        <v>100</v>
      </c>
      <c r="K254" s="733">
        <v>100</v>
      </c>
      <c r="L254" s="538"/>
      <c r="M254" s="686">
        <v>14</v>
      </c>
      <c r="N254" s="686">
        <v>8</v>
      </c>
      <c r="O254" s="748">
        <f t="shared" si="9"/>
        <v>0.5714285714285714</v>
      </c>
      <c r="P254" s="749">
        <f t="shared" si="10"/>
        <v>57.142857142857139</v>
      </c>
      <c r="Q254" s="750">
        <f t="shared" si="11"/>
        <v>0.5714285714285714</v>
      </c>
      <c r="R254" s="608"/>
    </row>
    <row r="255" spans="1:18" ht="26.25" thickBot="1" x14ac:dyDescent="0.25">
      <c r="A255" s="529" t="s">
        <v>276</v>
      </c>
      <c r="B255" s="534" t="s">
        <v>874</v>
      </c>
      <c r="C255" s="529" t="s">
        <v>877</v>
      </c>
      <c r="D255" s="534" t="s">
        <v>109</v>
      </c>
      <c r="E255" s="534" t="s">
        <v>853</v>
      </c>
      <c r="F255" s="536" t="s">
        <v>834</v>
      </c>
      <c r="G255" s="534" t="s">
        <v>784</v>
      </c>
      <c r="H255" s="534" t="s">
        <v>77</v>
      </c>
      <c r="I255" s="693" t="s">
        <v>7</v>
      </c>
      <c r="J255" s="533">
        <v>100</v>
      </c>
      <c r="K255" s="733">
        <v>100</v>
      </c>
      <c r="L255" s="538"/>
      <c r="M255" s="686">
        <v>14</v>
      </c>
      <c r="N255" s="686">
        <v>8</v>
      </c>
      <c r="O255" s="748">
        <f t="shared" si="9"/>
        <v>0.5714285714285714</v>
      </c>
      <c r="P255" s="749">
        <f t="shared" si="10"/>
        <v>57.142857142857139</v>
      </c>
      <c r="Q255" s="750">
        <f t="shared" si="11"/>
        <v>0.5714285714285714</v>
      </c>
      <c r="R255" s="608"/>
    </row>
    <row r="256" spans="1:18" ht="26.25" thickBot="1" x14ac:dyDescent="0.25">
      <c r="A256" s="529" t="s">
        <v>276</v>
      </c>
      <c r="B256" s="534" t="s">
        <v>874</v>
      </c>
      <c r="C256" s="529" t="s">
        <v>877</v>
      </c>
      <c r="D256" s="534" t="s">
        <v>109</v>
      </c>
      <c r="E256" s="534" t="s">
        <v>854</v>
      </c>
      <c r="F256" s="527" t="s">
        <v>829</v>
      </c>
      <c r="G256" s="534" t="s">
        <v>784</v>
      </c>
      <c r="H256" s="534" t="s">
        <v>77</v>
      </c>
      <c r="I256" s="693" t="s">
        <v>7</v>
      </c>
      <c r="J256" s="533">
        <v>100</v>
      </c>
      <c r="K256" s="733">
        <v>100</v>
      </c>
      <c r="L256" s="538" t="s">
        <v>880</v>
      </c>
      <c r="M256" s="686">
        <v>14</v>
      </c>
      <c r="N256" s="686">
        <v>8</v>
      </c>
      <c r="O256" s="748">
        <f t="shared" si="9"/>
        <v>0.5714285714285714</v>
      </c>
      <c r="P256" s="749">
        <f t="shared" si="10"/>
        <v>57.142857142857139</v>
      </c>
      <c r="Q256" s="750">
        <f t="shared" si="11"/>
        <v>0.5714285714285714</v>
      </c>
      <c r="R256" s="608"/>
    </row>
    <row r="257" spans="1:18" ht="26.25" thickBot="1" x14ac:dyDescent="0.25">
      <c r="A257" s="529" t="s">
        <v>276</v>
      </c>
      <c r="B257" s="534" t="s">
        <v>874</v>
      </c>
      <c r="C257" s="529" t="s">
        <v>877</v>
      </c>
      <c r="D257" s="534" t="s">
        <v>109</v>
      </c>
      <c r="E257" s="534" t="s">
        <v>854</v>
      </c>
      <c r="F257" s="527" t="s">
        <v>830</v>
      </c>
      <c r="G257" s="534" t="s">
        <v>790</v>
      </c>
      <c r="H257" s="534" t="s">
        <v>77</v>
      </c>
      <c r="I257" s="693" t="s">
        <v>7</v>
      </c>
      <c r="J257" s="533">
        <v>33</v>
      </c>
      <c r="K257" s="733">
        <v>33</v>
      </c>
      <c r="L257" s="538"/>
      <c r="M257" s="686">
        <v>14</v>
      </c>
      <c r="N257" s="686">
        <v>4</v>
      </c>
      <c r="O257" s="748">
        <f t="shared" si="9"/>
        <v>0.2857142857142857</v>
      </c>
      <c r="P257" s="749">
        <f t="shared" si="10"/>
        <v>86.580086580086572</v>
      </c>
      <c r="Q257" s="750">
        <f t="shared" si="11"/>
        <v>0.86580086580086579</v>
      </c>
      <c r="R257" s="608"/>
    </row>
    <row r="258" spans="1:18" ht="26.25" thickBot="1" x14ac:dyDescent="0.25">
      <c r="A258" s="529" t="s">
        <v>276</v>
      </c>
      <c r="B258" s="534" t="s">
        <v>874</v>
      </c>
      <c r="C258" s="529" t="s">
        <v>877</v>
      </c>
      <c r="D258" s="534" t="s">
        <v>109</v>
      </c>
      <c r="E258" s="534" t="s">
        <v>855</v>
      </c>
      <c r="F258" s="536" t="s">
        <v>834</v>
      </c>
      <c r="G258" s="534" t="s">
        <v>790</v>
      </c>
      <c r="H258" s="534" t="s">
        <v>77</v>
      </c>
      <c r="I258" s="693" t="s">
        <v>7</v>
      </c>
      <c r="J258" s="533">
        <v>25</v>
      </c>
      <c r="K258" s="733">
        <v>25</v>
      </c>
      <c r="L258" s="538"/>
      <c r="M258" s="686">
        <v>14</v>
      </c>
      <c r="N258" s="686">
        <v>0</v>
      </c>
      <c r="O258" s="748">
        <f t="shared" si="9"/>
        <v>0</v>
      </c>
      <c r="P258" s="749">
        <f t="shared" si="10"/>
        <v>0</v>
      </c>
      <c r="Q258" s="750">
        <f t="shared" si="11"/>
        <v>0</v>
      </c>
      <c r="R258" s="608"/>
    </row>
    <row r="259" spans="1:18" ht="39" thickBot="1" x14ac:dyDescent="0.25">
      <c r="A259" s="529" t="s">
        <v>276</v>
      </c>
      <c r="B259" s="534" t="s">
        <v>874</v>
      </c>
      <c r="C259" s="529" t="s">
        <v>877</v>
      </c>
      <c r="D259" s="534" t="s">
        <v>109</v>
      </c>
      <c r="E259" s="534" t="s">
        <v>856</v>
      </c>
      <c r="F259" s="536" t="s">
        <v>834</v>
      </c>
      <c r="G259" s="534" t="s">
        <v>790</v>
      </c>
      <c r="H259" s="534" t="s">
        <v>77</v>
      </c>
      <c r="I259" s="693" t="s">
        <v>7</v>
      </c>
      <c r="J259" s="533">
        <v>25</v>
      </c>
      <c r="K259" s="733">
        <v>25</v>
      </c>
      <c r="L259" s="538"/>
      <c r="M259" s="686">
        <v>14</v>
      </c>
      <c r="N259" s="686">
        <v>0</v>
      </c>
      <c r="O259" s="748">
        <f t="shared" si="9"/>
        <v>0</v>
      </c>
      <c r="P259" s="749">
        <f t="shared" si="10"/>
        <v>0</v>
      </c>
      <c r="Q259" s="750">
        <f t="shared" si="11"/>
        <v>0</v>
      </c>
      <c r="R259" s="608"/>
    </row>
    <row r="260" spans="1:18" ht="39" thickBot="1" x14ac:dyDescent="0.25">
      <c r="A260" s="529" t="s">
        <v>276</v>
      </c>
      <c r="B260" s="534" t="s">
        <v>874</v>
      </c>
      <c r="C260" s="529" t="s">
        <v>877</v>
      </c>
      <c r="D260" s="534" t="s">
        <v>109</v>
      </c>
      <c r="E260" s="534" t="s">
        <v>857</v>
      </c>
      <c r="F260" s="536" t="s">
        <v>834</v>
      </c>
      <c r="G260" s="534" t="s">
        <v>784</v>
      </c>
      <c r="H260" s="534" t="s">
        <v>77</v>
      </c>
      <c r="I260" s="693" t="s">
        <v>7</v>
      </c>
      <c r="J260" s="533">
        <v>100</v>
      </c>
      <c r="K260" s="733">
        <v>100</v>
      </c>
      <c r="L260" s="538"/>
      <c r="M260" s="686">
        <v>14</v>
      </c>
      <c r="N260" s="686">
        <v>8</v>
      </c>
      <c r="O260" s="748">
        <f t="shared" si="9"/>
        <v>0.5714285714285714</v>
      </c>
      <c r="P260" s="749">
        <f t="shared" si="10"/>
        <v>57.142857142857139</v>
      </c>
      <c r="Q260" s="750">
        <f t="shared" si="11"/>
        <v>0.5714285714285714</v>
      </c>
      <c r="R260" s="608"/>
    </row>
    <row r="261" spans="1:18" ht="13.5" thickBot="1" x14ac:dyDescent="0.25">
      <c r="A261" s="529" t="s">
        <v>276</v>
      </c>
      <c r="B261" s="534" t="s">
        <v>874</v>
      </c>
      <c r="C261" s="529" t="s">
        <v>877</v>
      </c>
      <c r="D261" s="534" t="s">
        <v>808</v>
      </c>
      <c r="E261" s="534" t="s">
        <v>858</v>
      </c>
      <c r="F261" s="536" t="s">
        <v>834</v>
      </c>
      <c r="G261" s="534" t="s">
        <v>784</v>
      </c>
      <c r="H261" s="534" t="s">
        <v>77</v>
      </c>
      <c r="I261" s="693" t="s">
        <v>7</v>
      </c>
      <c r="J261" s="533">
        <v>100</v>
      </c>
      <c r="K261" s="733">
        <v>100</v>
      </c>
      <c r="L261" s="538"/>
      <c r="M261" s="686">
        <v>14</v>
      </c>
      <c r="N261" s="686">
        <v>8</v>
      </c>
      <c r="O261" s="748">
        <f t="shared" ref="O261:O308" si="12">IFERROR(N261/M261,0)</f>
        <v>0.5714285714285714</v>
      </c>
      <c r="P261" s="749">
        <f t="shared" ref="P261:P308" si="13">IFERROR(N261/(M261*(K261/100))*100,"0")</f>
        <v>57.142857142857139</v>
      </c>
      <c r="Q261" s="750">
        <f t="shared" ref="Q261:Q308" si="14">IFERROR(N261/(M261*(K261/100)),"0")</f>
        <v>0.5714285714285714</v>
      </c>
      <c r="R261" s="608"/>
    </row>
    <row r="262" spans="1:18" ht="13.5" thickBot="1" x14ac:dyDescent="0.25">
      <c r="A262" s="529" t="s">
        <v>276</v>
      </c>
      <c r="B262" s="534" t="s">
        <v>874</v>
      </c>
      <c r="C262" s="529" t="s">
        <v>877</v>
      </c>
      <c r="D262" s="534" t="s">
        <v>808</v>
      </c>
      <c r="E262" s="534" t="s">
        <v>859</v>
      </c>
      <c r="F262" s="536" t="s">
        <v>834</v>
      </c>
      <c r="G262" s="534" t="s">
        <v>784</v>
      </c>
      <c r="H262" s="534" t="s">
        <v>77</v>
      </c>
      <c r="I262" s="693" t="s">
        <v>7</v>
      </c>
      <c r="J262" s="533">
        <v>100</v>
      </c>
      <c r="K262" s="733">
        <v>100</v>
      </c>
      <c r="L262" s="538"/>
      <c r="M262" s="686">
        <v>14</v>
      </c>
      <c r="N262" s="686">
        <v>8</v>
      </c>
      <c r="O262" s="748">
        <f t="shared" si="12"/>
        <v>0.5714285714285714</v>
      </c>
      <c r="P262" s="749">
        <f t="shared" si="13"/>
        <v>57.142857142857139</v>
      </c>
      <c r="Q262" s="750">
        <f t="shared" si="14"/>
        <v>0.5714285714285714</v>
      </c>
      <c r="R262" s="608"/>
    </row>
    <row r="263" spans="1:18" ht="26.25" thickBot="1" x14ac:dyDescent="0.25">
      <c r="A263" s="529" t="s">
        <v>276</v>
      </c>
      <c r="B263" s="534" t="s">
        <v>874</v>
      </c>
      <c r="C263" s="529" t="s">
        <v>877</v>
      </c>
      <c r="D263" s="534" t="s">
        <v>808</v>
      </c>
      <c r="E263" s="534" t="s">
        <v>860</v>
      </c>
      <c r="F263" s="536" t="s">
        <v>834</v>
      </c>
      <c r="G263" s="534" t="s">
        <v>790</v>
      </c>
      <c r="H263" s="534" t="s">
        <v>77</v>
      </c>
      <c r="I263" s="693" t="s">
        <v>7</v>
      </c>
      <c r="J263" s="533">
        <v>25</v>
      </c>
      <c r="K263" s="733">
        <v>25</v>
      </c>
      <c r="L263" s="538"/>
      <c r="M263" s="686">
        <v>14</v>
      </c>
      <c r="N263" s="686">
        <v>0</v>
      </c>
      <c r="O263" s="748">
        <f t="shared" si="12"/>
        <v>0</v>
      </c>
      <c r="P263" s="749">
        <f t="shared" si="13"/>
        <v>0</v>
      </c>
      <c r="Q263" s="750">
        <f t="shared" si="14"/>
        <v>0</v>
      </c>
      <c r="R263" s="608"/>
    </row>
    <row r="264" spans="1:18" ht="26.25" thickBot="1" x14ac:dyDescent="0.25">
      <c r="A264" s="529" t="s">
        <v>276</v>
      </c>
      <c r="B264" s="534" t="s">
        <v>874</v>
      </c>
      <c r="C264" s="529" t="s">
        <v>877</v>
      </c>
      <c r="D264" s="534" t="s">
        <v>808</v>
      </c>
      <c r="E264" s="534" t="s">
        <v>861</v>
      </c>
      <c r="F264" s="536" t="s">
        <v>834</v>
      </c>
      <c r="G264" s="534" t="s">
        <v>790</v>
      </c>
      <c r="H264" s="534" t="s">
        <v>77</v>
      </c>
      <c r="I264" s="693" t="s">
        <v>7</v>
      </c>
      <c r="J264" s="533">
        <v>25</v>
      </c>
      <c r="K264" s="733">
        <v>25</v>
      </c>
      <c r="L264" s="538"/>
      <c r="M264" s="686">
        <v>14</v>
      </c>
      <c r="N264" s="686">
        <v>0</v>
      </c>
      <c r="O264" s="748">
        <f t="shared" si="12"/>
        <v>0</v>
      </c>
      <c r="P264" s="749">
        <f t="shared" si="13"/>
        <v>0</v>
      </c>
      <c r="Q264" s="750">
        <f t="shared" si="14"/>
        <v>0</v>
      </c>
      <c r="R264" s="608"/>
    </row>
    <row r="265" spans="1:18" ht="26.25" thickBot="1" x14ac:dyDescent="0.25">
      <c r="A265" s="529" t="s">
        <v>276</v>
      </c>
      <c r="B265" s="534" t="s">
        <v>874</v>
      </c>
      <c r="C265" s="529" t="s">
        <v>877</v>
      </c>
      <c r="D265" s="534" t="s">
        <v>808</v>
      </c>
      <c r="E265" s="534" t="s">
        <v>862</v>
      </c>
      <c r="F265" s="536" t="s">
        <v>834</v>
      </c>
      <c r="G265" s="534" t="s">
        <v>790</v>
      </c>
      <c r="H265" s="534" t="s">
        <v>77</v>
      </c>
      <c r="I265" s="693" t="s">
        <v>7</v>
      </c>
      <c r="J265" s="533">
        <v>25</v>
      </c>
      <c r="K265" s="733">
        <v>25</v>
      </c>
      <c r="L265" s="538"/>
      <c r="M265" s="686">
        <v>14</v>
      </c>
      <c r="N265" s="686">
        <v>0</v>
      </c>
      <c r="O265" s="748">
        <f t="shared" si="12"/>
        <v>0</v>
      </c>
      <c r="P265" s="749">
        <f t="shared" si="13"/>
        <v>0</v>
      </c>
      <c r="Q265" s="750">
        <f t="shared" si="14"/>
        <v>0</v>
      </c>
      <c r="R265" s="608"/>
    </row>
    <row r="266" spans="1:18" ht="26.25" thickBot="1" x14ac:dyDescent="0.25">
      <c r="A266" s="529" t="s">
        <v>276</v>
      </c>
      <c r="B266" s="534" t="s">
        <v>874</v>
      </c>
      <c r="C266" s="529" t="s">
        <v>877</v>
      </c>
      <c r="D266" s="534" t="s">
        <v>808</v>
      </c>
      <c r="E266" s="534" t="s">
        <v>863</v>
      </c>
      <c r="F266" s="536" t="s">
        <v>834</v>
      </c>
      <c r="G266" s="534" t="s">
        <v>790</v>
      </c>
      <c r="H266" s="534" t="s">
        <v>77</v>
      </c>
      <c r="I266" s="693" t="s">
        <v>7</v>
      </c>
      <c r="J266" s="533">
        <v>25</v>
      </c>
      <c r="K266" s="733">
        <v>25</v>
      </c>
      <c r="L266" s="538"/>
      <c r="M266" s="686">
        <v>14</v>
      </c>
      <c r="N266" s="686">
        <v>0</v>
      </c>
      <c r="O266" s="748">
        <f t="shared" si="12"/>
        <v>0</v>
      </c>
      <c r="P266" s="749">
        <f t="shared" si="13"/>
        <v>0</v>
      </c>
      <c r="Q266" s="750">
        <f t="shared" si="14"/>
        <v>0</v>
      </c>
      <c r="R266" s="608"/>
    </row>
    <row r="267" spans="1:18" ht="26.25" thickBot="1" x14ac:dyDescent="0.25">
      <c r="A267" s="529" t="s">
        <v>276</v>
      </c>
      <c r="B267" s="534" t="s">
        <v>874</v>
      </c>
      <c r="C267" s="529" t="s">
        <v>877</v>
      </c>
      <c r="D267" s="534" t="s">
        <v>808</v>
      </c>
      <c r="E267" s="534" t="s">
        <v>864</v>
      </c>
      <c r="F267" s="527" t="s">
        <v>834</v>
      </c>
      <c r="G267" s="534" t="s">
        <v>784</v>
      </c>
      <c r="H267" s="534" t="s">
        <v>77</v>
      </c>
      <c r="I267" s="693" t="s">
        <v>7</v>
      </c>
      <c r="J267" s="533">
        <v>100</v>
      </c>
      <c r="K267" s="733">
        <v>100</v>
      </c>
      <c r="L267" s="538"/>
      <c r="M267" s="686">
        <v>14</v>
      </c>
      <c r="N267" s="686">
        <v>8</v>
      </c>
      <c r="O267" s="748">
        <f t="shared" si="12"/>
        <v>0.5714285714285714</v>
      </c>
      <c r="P267" s="749">
        <f t="shared" si="13"/>
        <v>57.142857142857139</v>
      </c>
      <c r="Q267" s="750">
        <f t="shared" si="14"/>
        <v>0.5714285714285714</v>
      </c>
      <c r="R267" s="608"/>
    </row>
    <row r="268" spans="1:18" ht="26.25" thickBot="1" x14ac:dyDescent="0.25">
      <c r="A268" s="529" t="s">
        <v>276</v>
      </c>
      <c r="B268" s="534" t="s">
        <v>874</v>
      </c>
      <c r="C268" s="529" t="s">
        <v>877</v>
      </c>
      <c r="D268" s="534" t="s">
        <v>808</v>
      </c>
      <c r="E268" s="534" t="s">
        <v>864</v>
      </c>
      <c r="F268" s="527" t="s">
        <v>830</v>
      </c>
      <c r="G268" s="534" t="s">
        <v>865</v>
      </c>
      <c r="H268" s="534" t="s">
        <v>77</v>
      </c>
      <c r="I268" s="693" t="s">
        <v>7</v>
      </c>
      <c r="J268" s="533">
        <v>33</v>
      </c>
      <c r="K268" s="733">
        <v>33</v>
      </c>
      <c r="L268" s="538"/>
      <c r="M268" s="686">
        <v>14</v>
      </c>
      <c r="N268" s="686">
        <v>4</v>
      </c>
      <c r="O268" s="748">
        <f t="shared" si="12"/>
        <v>0.2857142857142857</v>
      </c>
      <c r="P268" s="749">
        <f t="shared" si="13"/>
        <v>86.580086580086572</v>
      </c>
      <c r="Q268" s="750">
        <f t="shared" si="14"/>
        <v>0.86580086580086579</v>
      </c>
      <c r="R268" s="608"/>
    </row>
    <row r="269" spans="1:18" ht="26.25" thickBot="1" x14ac:dyDescent="0.25">
      <c r="A269" s="529" t="s">
        <v>276</v>
      </c>
      <c r="B269" s="534" t="s">
        <v>874</v>
      </c>
      <c r="C269" s="529" t="s">
        <v>877</v>
      </c>
      <c r="D269" s="534" t="s">
        <v>808</v>
      </c>
      <c r="E269" s="534" t="s">
        <v>815</v>
      </c>
      <c r="F269" s="527" t="s">
        <v>834</v>
      </c>
      <c r="G269" s="534" t="s">
        <v>866</v>
      </c>
      <c r="H269" s="534" t="s">
        <v>77</v>
      </c>
      <c r="I269" s="693" t="s">
        <v>7</v>
      </c>
      <c r="J269" s="533">
        <v>100</v>
      </c>
      <c r="K269" s="733">
        <v>100</v>
      </c>
      <c r="L269" s="538" t="s">
        <v>880</v>
      </c>
      <c r="M269" s="686">
        <v>14</v>
      </c>
      <c r="N269" s="686">
        <v>8</v>
      </c>
      <c r="O269" s="748">
        <f t="shared" si="12"/>
        <v>0.5714285714285714</v>
      </c>
      <c r="P269" s="749">
        <f t="shared" si="13"/>
        <v>57.142857142857139</v>
      </c>
      <c r="Q269" s="750">
        <f t="shared" si="14"/>
        <v>0.5714285714285714</v>
      </c>
      <c r="R269" s="608"/>
    </row>
    <row r="270" spans="1:18" ht="13.5" thickBot="1" x14ac:dyDescent="0.25">
      <c r="A270" s="529" t="s">
        <v>276</v>
      </c>
      <c r="B270" s="534" t="s">
        <v>874</v>
      </c>
      <c r="C270" s="529" t="s">
        <v>877</v>
      </c>
      <c r="D270" s="534" t="s">
        <v>808</v>
      </c>
      <c r="E270" s="534" t="s">
        <v>815</v>
      </c>
      <c r="F270" s="527" t="s">
        <v>830</v>
      </c>
      <c r="G270" s="534" t="s">
        <v>865</v>
      </c>
      <c r="H270" s="534" t="s">
        <v>77</v>
      </c>
      <c r="I270" s="693" t="s">
        <v>7</v>
      </c>
      <c r="J270" s="533">
        <v>33</v>
      </c>
      <c r="K270" s="733">
        <v>33</v>
      </c>
      <c r="L270" s="538"/>
      <c r="M270" s="686">
        <v>14</v>
      </c>
      <c r="N270" s="686">
        <v>4</v>
      </c>
      <c r="O270" s="748">
        <f t="shared" si="12"/>
        <v>0.2857142857142857</v>
      </c>
      <c r="P270" s="749">
        <f t="shared" si="13"/>
        <v>86.580086580086572</v>
      </c>
      <c r="Q270" s="750">
        <f t="shared" si="14"/>
        <v>0.86580086580086579</v>
      </c>
      <c r="R270" s="608"/>
    </row>
    <row r="271" spans="1:18" ht="26.25" thickBot="1" x14ac:dyDescent="0.25">
      <c r="A271" s="529" t="s">
        <v>276</v>
      </c>
      <c r="B271" s="534" t="s">
        <v>878</v>
      </c>
      <c r="C271" s="529" t="s">
        <v>879</v>
      </c>
      <c r="D271" s="534" t="s">
        <v>109</v>
      </c>
      <c r="E271" s="534" t="s">
        <v>828</v>
      </c>
      <c r="F271" s="527" t="s">
        <v>829</v>
      </c>
      <c r="G271" s="534" t="s">
        <v>784</v>
      </c>
      <c r="H271" s="534" t="s">
        <v>77</v>
      </c>
      <c r="I271" s="693" t="s">
        <v>7</v>
      </c>
      <c r="J271" s="535">
        <v>100</v>
      </c>
      <c r="K271" s="732">
        <v>100</v>
      </c>
      <c r="L271" s="538" t="s">
        <v>880</v>
      </c>
      <c r="M271" s="686">
        <v>11</v>
      </c>
      <c r="N271" s="686">
        <v>5</v>
      </c>
      <c r="O271" s="748">
        <f t="shared" si="12"/>
        <v>0.45454545454545453</v>
      </c>
      <c r="P271" s="749">
        <f t="shared" si="13"/>
        <v>45.454545454545453</v>
      </c>
      <c r="Q271" s="750">
        <f t="shared" si="14"/>
        <v>0.45454545454545453</v>
      </c>
      <c r="R271" s="608"/>
    </row>
    <row r="272" spans="1:18" ht="13.5" thickBot="1" x14ac:dyDescent="0.25">
      <c r="A272" s="529" t="s">
        <v>276</v>
      </c>
      <c r="B272" s="534" t="s">
        <v>878</v>
      </c>
      <c r="C272" s="529" t="s">
        <v>879</v>
      </c>
      <c r="D272" s="534" t="s">
        <v>109</v>
      </c>
      <c r="E272" s="534" t="s">
        <v>828</v>
      </c>
      <c r="F272" s="527" t="s">
        <v>830</v>
      </c>
      <c r="G272" s="534" t="s">
        <v>831</v>
      </c>
      <c r="H272" s="534" t="s">
        <v>77</v>
      </c>
      <c r="I272" s="693" t="s">
        <v>7</v>
      </c>
      <c r="J272" s="535">
        <v>33</v>
      </c>
      <c r="K272" s="732">
        <v>33</v>
      </c>
      <c r="L272" s="538"/>
      <c r="M272" s="686">
        <v>11</v>
      </c>
      <c r="N272" s="686">
        <v>4</v>
      </c>
      <c r="O272" s="748">
        <f t="shared" si="12"/>
        <v>0.36363636363636365</v>
      </c>
      <c r="P272" s="749">
        <f t="shared" si="13"/>
        <v>110.19283746556472</v>
      </c>
      <c r="Q272" s="750">
        <f t="shared" si="14"/>
        <v>1.1019283746556472</v>
      </c>
      <c r="R272" s="608"/>
    </row>
    <row r="273" spans="1:18" ht="26.25" thickBot="1" x14ac:dyDescent="0.25">
      <c r="A273" s="529" t="s">
        <v>276</v>
      </c>
      <c r="B273" s="534" t="s">
        <v>878</v>
      </c>
      <c r="C273" s="529" t="s">
        <v>879</v>
      </c>
      <c r="D273" s="534" t="s">
        <v>109</v>
      </c>
      <c r="E273" s="534" t="s">
        <v>832</v>
      </c>
      <c r="F273" s="527" t="s">
        <v>829</v>
      </c>
      <c r="G273" s="534" t="s">
        <v>790</v>
      </c>
      <c r="H273" s="534" t="s">
        <v>77</v>
      </c>
      <c r="I273" s="693" t="s">
        <v>7</v>
      </c>
      <c r="J273" s="535">
        <v>25</v>
      </c>
      <c r="K273" s="732">
        <v>25</v>
      </c>
      <c r="L273" s="538"/>
      <c r="M273" s="686">
        <v>11</v>
      </c>
      <c r="N273" s="686">
        <v>1</v>
      </c>
      <c r="O273" s="748">
        <f t="shared" si="12"/>
        <v>9.0909090909090912E-2</v>
      </c>
      <c r="P273" s="749">
        <f t="shared" si="13"/>
        <v>36.363636363636367</v>
      </c>
      <c r="Q273" s="750">
        <f t="shared" si="14"/>
        <v>0.36363636363636365</v>
      </c>
      <c r="R273" s="608"/>
    </row>
    <row r="274" spans="1:18" ht="26.25" thickBot="1" x14ac:dyDescent="0.25">
      <c r="A274" s="529" t="s">
        <v>276</v>
      </c>
      <c r="B274" s="534" t="s">
        <v>878</v>
      </c>
      <c r="C274" s="529" t="s">
        <v>879</v>
      </c>
      <c r="D274" s="534" t="s">
        <v>109</v>
      </c>
      <c r="E274" s="534" t="s">
        <v>832</v>
      </c>
      <c r="F274" s="527" t="s">
        <v>830</v>
      </c>
      <c r="G274" s="534" t="s">
        <v>790</v>
      </c>
      <c r="H274" s="534" t="s">
        <v>77</v>
      </c>
      <c r="I274" s="693" t="s">
        <v>7</v>
      </c>
      <c r="J274" s="535">
        <v>25</v>
      </c>
      <c r="K274" s="732">
        <v>25</v>
      </c>
      <c r="L274" s="538"/>
      <c r="M274" s="686">
        <v>11</v>
      </c>
      <c r="N274" s="686">
        <v>1</v>
      </c>
      <c r="O274" s="748">
        <f t="shared" si="12"/>
        <v>9.0909090909090912E-2</v>
      </c>
      <c r="P274" s="749">
        <f t="shared" si="13"/>
        <v>36.363636363636367</v>
      </c>
      <c r="Q274" s="750">
        <f t="shared" si="14"/>
        <v>0.36363636363636365</v>
      </c>
      <c r="R274" s="608"/>
    </row>
    <row r="275" spans="1:18" ht="39" thickBot="1" x14ac:dyDescent="0.25">
      <c r="A275" s="529" t="s">
        <v>276</v>
      </c>
      <c r="B275" s="534" t="s">
        <v>878</v>
      </c>
      <c r="C275" s="529" t="s">
        <v>879</v>
      </c>
      <c r="D275" s="534" t="s">
        <v>109</v>
      </c>
      <c r="E275" s="534" t="s">
        <v>833</v>
      </c>
      <c r="F275" s="527" t="s">
        <v>834</v>
      </c>
      <c r="G275" s="534" t="s">
        <v>790</v>
      </c>
      <c r="H275" s="534" t="s">
        <v>77</v>
      </c>
      <c r="I275" s="693" t="s">
        <v>7</v>
      </c>
      <c r="J275" s="535">
        <v>25</v>
      </c>
      <c r="K275" s="732">
        <v>25</v>
      </c>
      <c r="L275" s="538" t="s">
        <v>881</v>
      </c>
      <c r="M275" s="686">
        <v>11</v>
      </c>
      <c r="N275" s="686">
        <v>1</v>
      </c>
      <c r="O275" s="748">
        <f t="shared" si="12"/>
        <v>9.0909090909090912E-2</v>
      </c>
      <c r="P275" s="749">
        <f t="shared" si="13"/>
        <v>36.363636363636367</v>
      </c>
      <c r="Q275" s="750">
        <f t="shared" si="14"/>
        <v>0.36363636363636365</v>
      </c>
      <c r="R275" s="608"/>
    </row>
    <row r="276" spans="1:18" ht="26.25" thickBot="1" x14ac:dyDescent="0.25">
      <c r="A276" s="529" t="s">
        <v>276</v>
      </c>
      <c r="B276" s="534" t="s">
        <v>878</v>
      </c>
      <c r="C276" s="529" t="s">
        <v>879</v>
      </c>
      <c r="D276" s="534" t="s">
        <v>109</v>
      </c>
      <c r="E276" s="534" t="s">
        <v>833</v>
      </c>
      <c r="F276" s="527" t="s">
        <v>835</v>
      </c>
      <c r="G276" s="534" t="s">
        <v>790</v>
      </c>
      <c r="H276" s="534" t="s">
        <v>77</v>
      </c>
      <c r="I276" s="693" t="s">
        <v>7</v>
      </c>
      <c r="J276" s="535">
        <v>33</v>
      </c>
      <c r="K276" s="732">
        <v>33</v>
      </c>
      <c r="L276" s="538"/>
      <c r="M276" s="686">
        <v>11</v>
      </c>
      <c r="N276" s="686">
        <v>4</v>
      </c>
      <c r="O276" s="748">
        <f t="shared" si="12"/>
        <v>0.36363636363636365</v>
      </c>
      <c r="P276" s="749">
        <f t="shared" si="13"/>
        <v>110.19283746556472</v>
      </c>
      <c r="Q276" s="750">
        <f t="shared" si="14"/>
        <v>1.1019283746556472</v>
      </c>
      <c r="R276" s="608"/>
    </row>
    <row r="277" spans="1:18" ht="26.25" thickBot="1" x14ac:dyDescent="0.25">
      <c r="A277" s="529" t="s">
        <v>276</v>
      </c>
      <c r="B277" s="534" t="s">
        <v>878</v>
      </c>
      <c r="C277" s="529" t="s">
        <v>879</v>
      </c>
      <c r="D277" s="534" t="s">
        <v>109</v>
      </c>
      <c r="E277" s="534" t="s">
        <v>836</v>
      </c>
      <c r="F277" s="527" t="s">
        <v>834</v>
      </c>
      <c r="G277" s="534" t="s">
        <v>790</v>
      </c>
      <c r="H277" s="534" t="s">
        <v>77</v>
      </c>
      <c r="I277" s="693" t="s">
        <v>7</v>
      </c>
      <c r="J277" s="535">
        <v>25</v>
      </c>
      <c r="K277" s="732">
        <v>25</v>
      </c>
      <c r="L277" s="538"/>
      <c r="M277" s="686">
        <v>11</v>
      </c>
      <c r="N277" s="686">
        <v>1</v>
      </c>
      <c r="O277" s="748">
        <f t="shared" si="12"/>
        <v>9.0909090909090912E-2</v>
      </c>
      <c r="P277" s="749">
        <f t="shared" si="13"/>
        <v>36.363636363636367</v>
      </c>
      <c r="Q277" s="750">
        <f t="shared" si="14"/>
        <v>0.36363636363636365</v>
      </c>
      <c r="R277" s="608"/>
    </row>
    <row r="278" spans="1:18" ht="26.25" thickBot="1" x14ac:dyDescent="0.25">
      <c r="A278" s="529" t="s">
        <v>276</v>
      </c>
      <c r="B278" s="534" t="s">
        <v>878</v>
      </c>
      <c r="C278" s="529" t="s">
        <v>879</v>
      </c>
      <c r="D278" s="534" t="s">
        <v>109</v>
      </c>
      <c r="E278" s="534" t="s">
        <v>837</v>
      </c>
      <c r="F278" s="527" t="s">
        <v>834</v>
      </c>
      <c r="G278" s="534" t="s">
        <v>790</v>
      </c>
      <c r="H278" s="534" t="s">
        <v>77</v>
      </c>
      <c r="I278" s="693" t="s">
        <v>7</v>
      </c>
      <c r="J278" s="535">
        <v>25</v>
      </c>
      <c r="K278" s="732">
        <v>25</v>
      </c>
      <c r="L278" s="538"/>
      <c r="M278" s="686">
        <v>11</v>
      </c>
      <c r="N278" s="686">
        <v>1</v>
      </c>
      <c r="O278" s="748">
        <f t="shared" si="12"/>
        <v>9.0909090909090912E-2</v>
      </c>
      <c r="P278" s="749">
        <f t="shared" si="13"/>
        <v>36.363636363636367</v>
      </c>
      <c r="Q278" s="750">
        <f t="shared" si="14"/>
        <v>0.36363636363636365</v>
      </c>
      <c r="R278" s="608"/>
    </row>
    <row r="279" spans="1:18" ht="13.5" thickBot="1" x14ac:dyDescent="0.25">
      <c r="A279" s="529" t="s">
        <v>276</v>
      </c>
      <c r="B279" s="534" t="s">
        <v>878</v>
      </c>
      <c r="C279" s="529" t="s">
        <v>879</v>
      </c>
      <c r="D279" s="534" t="s">
        <v>109</v>
      </c>
      <c r="E279" s="534" t="s">
        <v>838</v>
      </c>
      <c r="F279" s="527" t="s">
        <v>834</v>
      </c>
      <c r="G279" s="534" t="s">
        <v>784</v>
      </c>
      <c r="H279" s="534" t="s">
        <v>77</v>
      </c>
      <c r="I279" s="693" t="s">
        <v>7</v>
      </c>
      <c r="J279" s="535">
        <v>100</v>
      </c>
      <c r="K279" s="732">
        <v>100</v>
      </c>
      <c r="L279" s="538"/>
      <c r="M279" s="686">
        <v>11</v>
      </c>
      <c r="N279" s="686">
        <v>5</v>
      </c>
      <c r="O279" s="748">
        <f t="shared" si="12"/>
        <v>0.45454545454545453</v>
      </c>
      <c r="P279" s="749">
        <f t="shared" si="13"/>
        <v>45.454545454545453</v>
      </c>
      <c r="Q279" s="750">
        <f t="shared" si="14"/>
        <v>0.45454545454545453</v>
      </c>
      <c r="R279" s="608"/>
    </row>
    <row r="280" spans="1:18" ht="13.5" thickBot="1" x14ac:dyDescent="0.25">
      <c r="A280" s="529" t="s">
        <v>276</v>
      </c>
      <c r="B280" s="534" t="s">
        <v>878</v>
      </c>
      <c r="C280" s="529" t="s">
        <v>879</v>
      </c>
      <c r="D280" s="534" t="s">
        <v>109</v>
      </c>
      <c r="E280" s="534" t="s">
        <v>839</v>
      </c>
      <c r="F280" s="527" t="s">
        <v>834</v>
      </c>
      <c r="G280" s="534" t="s">
        <v>784</v>
      </c>
      <c r="H280" s="534" t="s">
        <v>77</v>
      </c>
      <c r="I280" s="693" t="s">
        <v>7</v>
      </c>
      <c r="J280" s="533">
        <v>100</v>
      </c>
      <c r="K280" s="733">
        <v>100</v>
      </c>
      <c r="L280" s="538"/>
      <c r="M280" s="686">
        <v>11</v>
      </c>
      <c r="N280" s="686">
        <v>5</v>
      </c>
      <c r="O280" s="748">
        <f t="shared" si="12"/>
        <v>0.45454545454545453</v>
      </c>
      <c r="P280" s="749">
        <f t="shared" si="13"/>
        <v>45.454545454545453</v>
      </c>
      <c r="Q280" s="750">
        <f t="shared" si="14"/>
        <v>0.45454545454545453</v>
      </c>
      <c r="R280" s="608"/>
    </row>
    <row r="281" spans="1:18" ht="26.25" thickBot="1" x14ac:dyDescent="0.25">
      <c r="A281" s="529" t="s">
        <v>276</v>
      </c>
      <c r="B281" s="534" t="s">
        <v>878</v>
      </c>
      <c r="C281" s="529" t="s">
        <v>879</v>
      </c>
      <c r="D281" s="534" t="s">
        <v>109</v>
      </c>
      <c r="E281" s="534" t="s">
        <v>840</v>
      </c>
      <c r="F281" s="527" t="s">
        <v>834</v>
      </c>
      <c r="G281" s="534" t="s">
        <v>790</v>
      </c>
      <c r="H281" s="534" t="s">
        <v>77</v>
      </c>
      <c r="I281" s="693" t="s">
        <v>7</v>
      </c>
      <c r="J281" s="533">
        <v>25</v>
      </c>
      <c r="K281" s="733">
        <v>25</v>
      </c>
      <c r="L281" s="538"/>
      <c r="M281" s="686">
        <v>11</v>
      </c>
      <c r="N281" s="686">
        <v>1</v>
      </c>
      <c r="O281" s="748">
        <f t="shared" si="12"/>
        <v>9.0909090909090912E-2</v>
      </c>
      <c r="P281" s="749">
        <f t="shared" si="13"/>
        <v>36.363636363636367</v>
      </c>
      <c r="Q281" s="750">
        <f t="shared" si="14"/>
        <v>0.36363636363636365</v>
      </c>
      <c r="R281" s="608"/>
    </row>
    <row r="282" spans="1:18" ht="26.25" thickBot="1" x14ac:dyDescent="0.25">
      <c r="A282" s="529" t="s">
        <v>276</v>
      </c>
      <c r="B282" s="534" t="s">
        <v>878</v>
      </c>
      <c r="C282" s="529" t="s">
        <v>879</v>
      </c>
      <c r="D282" s="534" t="s">
        <v>109</v>
      </c>
      <c r="E282" s="534" t="s">
        <v>841</v>
      </c>
      <c r="F282" s="527" t="s">
        <v>834</v>
      </c>
      <c r="G282" s="534" t="s">
        <v>790</v>
      </c>
      <c r="H282" s="534" t="s">
        <v>77</v>
      </c>
      <c r="I282" s="693" t="s">
        <v>7</v>
      </c>
      <c r="J282" s="533">
        <v>25</v>
      </c>
      <c r="K282" s="733">
        <v>25</v>
      </c>
      <c r="L282" s="538"/>
      <c r="M282" s="686">
        <v>11</v>
      </c>
      <c r="N282" s="686">
        <v>1</v>
      </c>
      <c r="O282" s="748">
        <f t="shared" si="12"/>
        <v>9.0909090909090912E-2</v>
      </c>
      <c r="P282" s="749">
        <f t="shared" si="13"/>
        <v>36.363636363636367</v>
      </c>
      <c r="Q282" s="750">
        <f t="shared" si="14"/>
        <v>0.36363636363636365</v>
      </c>
      <c r="R282" s="608"/>
    </row>
    <row r="283" spans="1:18" ht="13.5" thickBot="1" x14ac:dyDescent="0.25">
      <c r="A283" s="529" t="s">
        <v>276</v>
      </c>
      <c r="B283" s="534" t="s">
        <v>878</v>
      </c>
      <c r="C283" s="529" t="s">
        <v>879</v>
      </c>
      <c r="D283" s="534" t="s">
        <v>109</v>
      </c>
      <c r="E283" s="534" t="s">
        <v>842</v>
      </c>
      <c r="F283" s="536" t="s">
        <v>843</v>
      </c>
      <c r="G283" s="534" t="s">
        <v>784</v>
      </c>
      <c r="H283" s="534" t="s">
        <v>77</v>
      </c>
      <c r="I283" s="693" t="s">
        <v>7</v>
      </c>
      <c r="J283" s="533">
        <v>100</v>
      </c>
      <c r="K283" s="733">
        <v>100</v>
      </c>
      <c r="L283" s="538"/>
      <c r="M283" s="686">
        <v>11</v>
      </c>
      <c r="N283" s="686">
        <v>5</v>
      </c>
      <c r="O283" s="748">
        <f t="shared" si="12"/>
        <v>0.45454545454545453</v>
      </c>
      <c r="P283" s="749">
        <f t="shared" si="13"/>
        <v>45.454545454545453</v>
      </c>
      <c r="Q283" s="750">
        <f t="shared" si="14"/>
        <v>0.45454545454545453</v>
      </c>
      <c r="R283" s="608"/>
    </row>
    <row r="284" spans="1:18" ht="13.5" thickBot="1" x14ac:dyDescent="0.25">
      <c r="A284" s="529" t="s">
        <v>276</v>
      </c>
      <c r="B284" s="534" t="s">
        <v>878</v>
      </c>
      <c r="C284" s="529" t="s">
        <v>879</v>
      </c>
      <c r="D284" s="534" t="s">
        <v>109</v>
      </c>
      <c r="E284" s="534" t="s">
        <v>844</v>
      </c>
      <c r="F284" s="536" t="s">
        <v>843</v>
      </c>
      <c r="G284" s="534" t="s">
        <v>784</v>
      </c>
      <c r="H284" s="534" t="s">
        <v>77</v>
      </c>
      <c r="I284" s="693" t="s">
        <v>7</v>
      </c>
      <c r="J284" s="533">
        <v>100</v>
      </c>
      <c r="K284" s="733">
        <v>100</v>
      </c>
      <c r="L284" s="538"/>
      <c r="M284" s="686">
        <v>11</v>
      </c>
      <c r="N284" s="686">
        <v>5</v>
      </c>
      <c r="O284" s="748">
        <f t="shared" si="12"/>
        <v>0.45454545454545453</v>
      </c>
      <c r="P284" s="749">
        <f t="shared" si="13"/>
        <v>45.454545454545453</v>
      </c>
      <c r="Q284" s="750">
        <f t="shared" si="14"/>
        <v>0.45454545454545453</v>
      </c>
      <c r="R284" s="608"/>
    </row>
    <row r="285" spans="1:18" ht="26.25" thickBot="1" x14ac:dyDescent="0.25">
      <c r="A285" s="529" t="s">
        <v>276</v>
      </c>
      <c r="B285" s="534" t="s">
        <v>878</v>
      </c>
      <c r="C285" s="529" t="s">
        <v>879</v>
      </c>
      <c r="D285" s="534" t="s">
        <v>109</v>
      </c>
      <c r="E285" s="534" t="s">
        <v>845</v>
      </c>
      <c r="F285" s="536" t="s">
        <v>830</v>
      </c>
      <c r="G285" s="534" t="s">
        <v>790</v>
      </c>
      <c r="H285" s="534" t="s">
        <v>77</v>
      </c>
      <c r="I285" s="693" t="s">
        <v>7</v>
      </c>
      <c r="J285" s="533">
        <v>33</v>
      </c>
      <c r="K285" s="733">
        <v>33</v>
      </c>
      <c r="L285" s="538"/>
      <c r="M285" s="686">
        <v>11</v>
      </c>
      <c r="N285" s="686">
        <v>4</v>
      </c>
      <c r="O285" s="748">
        <f t="shared" si="12"/>
        <v>0.36363636363636365</v>
      </c>
      <c r="P285" s="749">
        <f t="shared" si="13"/>
        <v>110.19283746556472</v>
      </c>
      <c r="Q285" s="750">
        <f t="shared" si="14"/>
        <v>1.1019283746556472</v>
      </c>
      <c r="R285" s="608"/>
    </row>
    <row r="286" spans="1:18" ht="26.25" thickBot="1" x14ac:dyDescent="0.25">
      <c r="A286" s="529" t="s">
        <v>276</v>
      </c>
      <c r="B286" s="534" t="s">
        <v>878</v>
      </c>
      <c r="C286" s="529" t="s">
        <v>879</v>
      </c>
      <c r="D286" s="534" t="s">
        <v>109</v>
      </c>
      <c r="E286" s="534" t="s">
        <v>846</v>
      </c>
      <c r="F286" s="536" t="s">
        <v>830</v>
      </c>
      <c r="G286" s="534" t="s">
        <v>790</v>
      </c>
      <c r="H286" s="534" t="s">
        <v>77</v>
      </c>
      <c r="I286" s="693" t="s">
        <v>7</v>
      </c>
      <c r="J286" s="533">
        <v>33</v>
      </c>
      <c r="K286" s="733">
        <v>33</v>
      </c>
      <c r="L286" s="538"/>
      <c r="M286" s="686">
        <v>11</v>
      </c>
      <c r="N286" s="686">
        <v>4</v>
      </c>
      <c r="O286" s="748">
        <f t="shared" si="12"/>
        <v>0.36363636363636365</v>
      </c>
      <c r="P286" s="749">
        <f t="shared" si="13"/>
        <v>110.19283746556472</v>
      </c>
      <c r="Q286" s="750">
        <f t="shared" si="14"/>
        <v>1.1019283746556472</v>
      </c>
      <c r="R286" s="608"/>
    </row>
    <row r="287" spans="1:18" ht="26.25" thickBot="1" x14ac:dyDescent="0.25">
      <c r="A287" s="529" t="s">
        <v>276</v>
      </c>
      <c r="B287" s="534" t="s">
        <v>878</v>
      </c>
      <c r="C287" s="529" t="s">
        <v>879</v>
      </c>
      <c r="D287" s="534" t="s">
        <v>109</v>
      </c>
      <c r="E287" s="534" t="s">
        <v>847</v>
      </c>
      <c r="F287" s="536" t="s">
        <v>830</v>
      </c>
      <c r="G287" s="534" t="s">
        <v>790</v>
      </c>
      <c r="H287" s="534" t="s">
        <v>77</v>
      </c>
      <c r="I287" s="693" t="s">
        <v>7</v>
      </c>
      <c r="J287" s="533">
        <v>33</v>
      </c>
      <c r="K287" s="733">
        <v>33</v>
      </c>
      <c r="L287" s="538"/>
      <c r="M287" s="686">
        <v>11</v>
      </c>
      <c r="N287" s="686">
        <v>4</v>
      </c>
      <c r="O287" s="748">
        <f t="shared" si="12"/>
        <v>0.36363636363636365</v>
      </c>
      <c r="P287" s="749">
        <f t="shared" si="13"/>
        <v>110.19283746556472</v>
      </c>
      <c r="Q287" s="750">
        <f t="shared" si="14"/>
        <v>1.1019283746556472</v>
      </c>
      <c r="R287" s="608"/>
    </row>
    <row r="288" spans="1:18" ht="26.25" thickBot="1" x14ac:dyDescent="0.25">
      <c r="A288" s="529" t="s">
        <v>276</v>
      </c>
      <c r="B288" s="534" t="s">
        <v>878</v>
      </c>
      <c r="C288" s="529" t="s">
        <v>879</v>
      </c>
      <c r="D288" s="534" t="s">
        <v>109</v>
      </c>
      <c r="E288" s="534" t="s">
        <v>848</v>
      </c>
      <c r="F288" s="536" t="s">
        <v>830</v>
      </c>
      <c r="G288" s="534" t="s">
        <v>790</v>
      </c>
      <c r="H288" s="534" t="s">
        <v>77</v>
      </c>
      <c r="I288" s="693" t="s">
        <v>7</v>
      </c>
      <c r="J288" s="533">
        <v>33</v>
      </c>
      <c r="K288" s="733">
        <v>33</v>
      </c>
      <c r="L288" s="538"/>
      <c r="M288" s="686">
        <v>11</v>
      </c>
      <c r="N288" s="686">
        <v>4</v>
      </c>
      <c r="O288" s="748">
        <f t="shared" si="12"/>
        <v>0.36363636363636365</v>
      </c>
      <c r="P288" s="749">
        <f t="shared" si="13"/>
        <v>110.19283746556472</v>
      </c>
      <c r="Q288" s="750">
        <f t="shared" si="14"/>
        <v>1.1019283746556472</v>
      </c>
      <c r="R288" s="608"/>
    </row>
    <row r="289" spans="1:18" ht="26.25" thickBot="1" x14ac:dyDescent="0.25">
      <c r="A289" s="529" t="s">
        <v>276</v>
      </c>
      <c r="B289" s="534" t="s">
        <v>878</v>
      </c>
      <c r="C289" s="529" t="s">
        <v>879</v>
      </c>
      <c r="D289" s="534" t="s">
        <v>109</v>
      </c>
      <c r="E289" s="534" t="s">
        <v>849</v>
      </c>
      <c r="F289" s="536" t="s">
        <v>830</v>
      </c>
      <c r="G289" s="534" t="s">
        <v>790</v>
      </c>
      <c r="H289" s="534" t="s">
        <v>77</v>
      </c>
      <c r="I289" s="693" t="s">
        <v>7</v>
      </c>
      <c r="J289" s="533">
        <v>33</v>
      </c>
      <c r="K289" s="733">
        <v>33</v>
      </c>
      <c r="L289" s="538"/>
      <c r="M289" s="686">
        <v>11</v>
      </c>
      <c r="N289" s="686">
        <v>4</v>
      </c>
      <c r="O289" s="748">
        <f t="shared" si="12"/>
        <v>0.36363636363636365</v>
      </c>
      <c r="P289" s="749">
        <f t="shared" si="13"/>
        <v>110.19283746556472</v>
      </c>
      <c r="Q289" s="750">
        <f t="shared" si="14"/>
        <v>1.1019283746556472</v>
      </c>
      <c r="R289" s="608"/>
    </row>
    <row r="290" spans="1:18" ht="26.25" thickBot="1" x14ac:dyDescent="0.25">
      <c r="A290" s="529" t="s">
        <v>276</v>
      </c>
      <c r="B290" s="534" t="s">
        <v>878</v>
      </c>
      <c r="C290" s="529" t="s">
        <v>879</v>
      </c>
      <c r="D290" s="534" t="s">
        <v>109</v>
      </c>
      <c r="E290" s="534" t="s">
        <v>850</v>
      </c>
      <c r="F290" s="536" t="s">
        <v>830</v>
      </c>
      <c r="G290" s="534" t="s">
        <v>790</v>
      </c>
      <c r="H290" s="534" t="s">
        <v>77</v>
      </c>
      <c r="I290" s="693" t="s">
        <v>7</v>
      </c>
      <c r="J290" s="533">
        <v>33</v>
      </c>
      <c r="K290" s="733">
        <v>33</v>
      </c>
      <c r="L290" s="538"/>
      <c r="M290" s="686">
        <v>11</v>
      </c>
      <c r="N290" s="686">
        <v>4</v>
      </c>
      <c r="O290" s="748">
        <f t="shared" si="12"/>
        <v>0.36363636363636365</v>
      </c>
      <c r="P290" s="749">
        <f t="shared" si="13"/>
        <v>110.19283746556472</v>
      </c>
      <c r="Q290" s="750">
        <f t="shared" si="14"/>
        <v>1.1019283746556472</v>
      </c>
      <c r="R290" s="608"/>
    </row>
    <row r="291" spans="1:18" ht="13.5" thickBot="1" x14ac:dyDescent="0.25">
      <c r="A291" s="529" t="s">
        <v>276</v>
      </c>
      <c r="B291" s="534" t="s">
        <v>878</v>
      </c>
      <c r="C291" s="529" t="s">
        <v>879</v>
      </c>
      <c r="D291" s="534" t="s">
        <v>109</v>
      </c>
      <c r="E291" s="534" t="s">
        <v>851</v>
      </c>
      <c r="F291" s="536" t="s">
        <v>834</v>
      </c>
      <c r="G291" s="534" t="s">
        <v>784</v>
      </c>
      <c r="H291" s="534" t="s">
        <v>77</v>
      </c>
      <c r="I291" s="693" t="s">
        <v>7</v>
      </c>
      <c r="J291" s="533">
        <v>100</v>
      </c>
      <c r="K291" s="733">
        <v>100</v>
      </c>
      <c r="L291" s="538"/>
      <c r="M291" s="686">
        <v>11</v>
      </c>
      <c r="N291" s="686">
        <v>5</v>
      </c>
      <c r="O291" s="748">
        <f t="shared" si="12"/>
        <v>0.45454545454545453</v>
      </c>
      <c r="P291" s="749">
        <f t="shared" si="13"/>
        <v>45.454545454545453</v>
      </c>
      <c r="Q291" s="750">
        <f t="shared" si="14"/>
        <v>0.45454545454545453</v>
      </c>
      <c r="R291" s="608"/>
    </row>
    <row r="292" spans="1:18" ht="13.5" thickBot="1" x14ac:dyDescent="0.25">
      <c r="A292" s="529" t="s">
        <v>276</v>
      </c>
      <c r="B292" s="534" t="s">
        <v>878</v>
      </c>
      <c r="C292" s="529" t="s">
        <v>879</v>
      </c>
      <c r="D292" s="534" t="s">
        <v>109</v>
      </c>
      <c r="E292" s="534" t="s">
        <v>852</v>
      </c>
      <c r="F292" s="536" t="s">
        <v>834</v>
      </c>
      <c r="G292" s="534" t="s">
        <v>784</v>
      </c>
      <c r="H292" s="534" t="s">
        <v>77</v>
      </c>
      <c r="I292" s="693" t="s">
        <v>7</v>
      </c>
      <c r="J292" s="533">
        <v>100</v>
      </c>
      <c r="K292" s="733">
        <v>100</v>
      </c>
      <c r="L292" s="538"/>
      <c r="M292" s="686">
        <v>11</v>
      </c>
      <c r="N292" s="686">
        <v>5</v>
      </c>
      <c r="O292" s="748">
        <f t="shared" si="12"/>
        <v>0.45454545454545453</v>
      </c>
      <c r="P292" s="749">
        <f t="shared" si="13"/>
        <v>45.454545454545453</v>
      </c>
      <c r="Q292" s="750">
        <f t="shared" si="14"/>
        <v>0.45454545454545453</v>
      </c>
      <c r="R292" s="608"/>
    </row>
    <row r="293" spans="1:18" ht="26.25" thickBot="1" x14ac:dyDescent="0.25">
      <c r="A293" s="529" t="s">
        <v>276</v>
      </c>
      <c r="B293" s="534" t="s">
        <v>878</v>
      </c>
      <c r="C293" s="529" t="s">
        <v>879</v>
      </c>
      <c r="D293" s="534" t="s">
        <v>109</v>
      </c>
      <c r="E293" s="534" t="s">
        <v>853</v>
      </c>
      <c r="F293" s="536" t="s">
        <v>834</v>
      </c>
      <c r="G293" s="534" t="s">
        <v>784</v>
      </c>
      <c r="H293" s="534" t="s">
        <v>77</v>
      </c>
      <c r="I293" s="693" t="s">
        <v>7</v>
      </c>
      <c r="J293" s="533">
        <v>100</v>
      </c>
      <c r="K293" s="733">
        <v>100</v>
      </c>
      <c r="L293" s="538"/>
      <c r="M293" s="686">
        <v>11</v>
      </c>
      <c r="N293" s="686">
        <v>5</v>
      </c>
      <c r="O293" s="748">
        <f t="shared" si="12"/>
        <v>0.45454545454545453</v>
      </c>
      <c r="P293" s="749">
        <f t="shared" si="13"/>
        <v>45.454545454545453</v>
      </c>
      <c r="Q293" s="750">
        <f t="shared" si="14"/>
        <v>0.45454545454545453</v>
      </c>
      <c r="R293" s="608"/>
    </row>
    <row r="294" spans="1:18" ht="26.25" thickBot="1" x14ac:dyDescent="0.25">
      <c r="A294" s="529" t="s">
        <v>276</v>
      </c>
      <c r="B294" s="534" t="s">
        <v>878</v>
      </c>
      <c r="C294" s="529" t="s">
        <v>879</v>
      </c>
      <c r="D294" s="534" t="s">
        <v>109</v>
      </c>
      <c r="E294" s="534" t="s">
        <v>854</v>
      </c>
      <c r="F294" s="527" t="s">
        <v>829</v>
      </c>
      <c r="G294" s="534" t="s">
        <v>784</v>
      </c>
      <c r="H294" s="534" t="s">
        <v>77</v>
      </c>
      <c r="I294" s="693" t="s">
        <v>7</v>
      </c>
      <c r="J294" s="533">
        <v>100</v>
      </c>
      <c r="K294" s="733">
        <v>100</v>
      </c>
      <c r="L294" s="538" t="s">
        <v>880</v>
      </c>
      <c r="M294" s="686">
        <v>11</v>
      </c>
      <c r="N294" s="686">
        <v>5</v>
      </c>
      <c r="O294" s="748">
        <f t="shared" si="12"/>
        <v>0.45454545454545453</v>
      </c>
      <c r="P294" s="749">
        <f t="shared" si="13"/>
        <v>45.454545454545453</v>
      </c>
      <c r="Q294" s="750">
        <f t="shared" si="14"/>
        <v>0.45454545454545453</v>
      </c>
      <c r="R294" s="608"/>
    </row>
    <row r="295" spans="1:18" ht="26.25" thickBot="1" x14ac:dyDescent="0.25">
      <c r="A295" s="529" t="s">
        <v>276</v>
      </c>
      <c r="B295" s="534" t="s">
        <v>878</v>
      </c>
      <c r="C295" s="529" t="s">
        <v>879</v>
      </c>
      <c r="D295" s="534" t="s">
        <v>109</v>
      </c>
      <c r="E295" s="534" t="s">
        <v>854</v>
      </c>
      <c r="F295" s="527" t="s">
        <v>830</v>
      </c>
      <c r="G295" s="534" t="s">
        <v>790</v>
      </c>
      <c r="H295" s="534" t="s">
        <v>77</v>
      </c>
      <c r="I295" s="693" t="s">
        <v>7</v>
      </c>
      <c r="J295" s="533">
        <v>33</v>
      </c>
      <c r="K295" s="733">
        <v>33</v>
      </c>
      <c r="L295" s="538"/>
      <c r="M295" s="686">
        <v>11</v>
      </c>
      <c r="N295" s="686">
        <v>4</v>
      </c>
      <c r="O295" s="748">
        <f t="shared" si="12"/>
        <v>0.36363636363636365</v>
      </c>
      <c r="P295" s="749">
        <f t="shared" si="13"/>
        <v>110.19283746556472</v>
      </c>
      <c r="Q295" s="750">
        <f t="shared" si="14"/>
        <v>1.1019283746556472</v>
      </c>
      <c r="R295" s="608"/>
    </row>
    <row r="296" spans="1:18" ht="26.25" thickBot="1" x14ac:dyDescent="0.25">
      <c r="A296" s="529" t="s">
        <v>276</v>
      </c>
      <c r="B296" s="534" t="s">
        <v>878</v>
      </c>
      <c r="C296" s="529" t="s">
        <v>879</v>
      </c>
      <c r="D296" s="534" t="s">
        <v>109</v>
      </c>
      <c r="E296" s="534" t="s">
        <v>855</v>
      </c>
      <c r="F296" s="536" t="s">
        <v>834</v>
      </c>
      <c r="G296" s="534" t="s">
        <v>790</v>
      </c>
      <c r="H296" s="534" t="s">
        <v>77</v>
      </c>
      <c r="I296" s="693" t="s">
        <v>7</v>
      </c>
      <c r="J296" s="533">
        <v>25</v>
      </c>
      <c r="K296" s="733">
        <v>25</v>
      </c>
      <c r="L296" s="538"/>
      <c r="M296" s="686">
        <v>11</v>
      </c>
      <c r="N296" s="686">
        <v>1</v>
      </c>
      <c r="O296" s="748">
        <f t="shared" si="12"/>
        <v>9.0909090909090912E-2</v>
      </c>
      <c r="P296" s="749">
        <f t="shared" si="13"/>
        <v>36.363636363636367</v>
      </c>
      <c r="Q296" s="750">
        <f t="shared" si="14"/>
        <v>0.36363636363636365</v>
      </c>
      <c r="R296" s="608"/>
    </row>
    <row r="297" spans="1:18" ht="39" thickBot="1" x14ac:dyDescent="0.25">
      <c r="A297" s="529" t="s">
        <v>276</v>
      </c>
      <c r="B297" s="534" t="s">
        <v>878</v>
      </c>
      <c r="C297" s="529" t="s">
        <v>879</v>
      </c>
      <c r="D297" s="534" t="s">
        <v>109</v>
      </c>
      <c r="E297" s="534" t="s">
        <v>856</v>
      </c>
      <c r="F297" s="536" t="s">
        <v>834</v>
      </c>
      <c r="G297" s="534" t="s">
        <v>790</v>
      </c>
      <c r="H297" s="534" t="s">
        <v>77</v>
      </c>
      <c r="I297" s="693" t="s">
        <v>7</v>
      </c>
      <c r="J297" s="533">
        <v>25</v>
      </c>
      <c r="K297" s="733">
        <v>25</v>
      </c>
      <c r="L297" s="538"/>
      <c r="M297" s="686">
        <v>11</v>
      </c>
      <c r="N297" s="686">
        <v>1</v>
      </c>
      <c r="O297" s="748">
        <f t="shared" si="12"/>
        <v>9.0909090909090912E-2</v>
      </c>
      <c r="P297" s="749">
        <f t="shared" si="13"/>
        <v>36.363636363636367</v>
      </c>
      <c r="Q297" s="750">
        <f t="shared" si="14"/>
        <v>0.36363636363636365</v>
      </c>
      <c r="R297" s="608"/>
    </row>
    <row r="298" spans="1:18" ht="39" thickBot="1" x14ac:dyDescent="0.25">
      <c r="A298" s="529" t="s">
        <v>276</v>
      </c>
      <c r="B298" s="534" t="s">
        <v>878</v>
      </c>
      <c r="C298" s="529" t="s">
        <v>879</v>
      </c>
      <c r="D298" s="534" t="s">
        <v>109</v>
      </c>
      <c r="E298" s="534" t="s">
        <v>857</v>
      </c>
      <c r="F298" s="536" t="s">
        <v>834</v>
      </c>
      <c r="G298" s="534" t="s">
        <v>784</v>
      </c>
      <c r="H298" s="534" t="s">
        <v>77</v>
      </c>
      <c r="I298" s="693" t="s">
        <v>7</v>
      </c>
      <c r="J298" s="533">
        <v>100</v>
      </c>
      <c r="K298" s="733">
        <v>100</v>
      </c>
      <c r="L298" s="538"/>
      <c r="M298" s="686">
        <v>11</v>
      </c>
      <c r="N298" s="686">
        <v>5</v>
      </c>
      <c r="O298" s="748">
        <f t="shared" si="12"/>
        <v>0.45454545454545453</v>
      </c>
      <c r="P298" s="749">
        <f t="shared" si="13"/>
        <v>45.454545454545453</v>
      </c>
      <c r="Q298" s="750">
        <f t="shared" si="14"/>
        <v>0.45454545454545453</v>
      </c>
      <c r="R298" s="608"/>
    </row>
    <row r="299" spans="1:18" ht="13.5" thickBot="1" x14ac:dyDescent="0.25">
      <c r="A299" s="529" t="s">
        <v>276</v>
      </c>
      <c r="B299" s="534" t="s">
        <v>878</v>
      </c>
      <c r="C299" s="529" t="s">
        <v>879</v>
      </c>
      <c r="D299" s="534" t="s">
        <v>808</v>
      </c>
      <c r="E299" s="534" t="s">
        <v>858</v>
      </c>
      <c r="F299" s="536" t="s">
        <v>834</v>
      </c>
      <c r="G299" s="534" t="s">
        <v>784</v>
      </c>
      <c r="H299" s="534" t="s">
        <v>77</v>
      </c>
      <c r="I299" s="693" t="s">
        <v>7</v>
      </c>
      <c r="J299" s="533">
        <v>100</v>
      </c>
      <c r="K299" s="733">
        <v>100</v>
      </c>
      <c r="L299" s="538"/>
      <c r="M299" s="686">
        <v>11</v>
      </c>
      <c r="N299" s="686">
        <v>5</v>
      </c>
      <c r="O299" s="748">
        <f t="shared" si="12"/>
        <v>0.45454545454545453</v>
      </c>
      <c r="P299" s="749">
        <f t="shared" si="13"/>
        <v>45.454545454545453</v>
      </c>
      <c r="Q299" s="750">
        <f t="shared" si="14"/>
        <v>0.45454545454545453</v>
      </c>
      <c r="R299" s="608"/>
    </row>
    <row r="300" spans="1:18" ht="13.5" thickBot="1" x14ac:dyDescent="0.25">
      <c r="A300" s="529" t="s">
        <v>276</v>
      </c>
      <c r="B300" s="534" t="s">
        <v>878</v>
      </c>
      <c r="C300" s="529" t="s">
        <v>879</v>
      </c>
      <c r="D300" s="534" t="s">
        <v>808</v>
      </c>
      <c r="E300" s="534" t="s">
        <v>859</v>
      </c>
      <c r="F300" s="536" t="s">
        <v>834</v>
      </c>
      <c r="G300" s="534" t="s">
        <v>784</v>
      </c>
      <c r="H300" s="534" t="s">
        <v>77</v>
      </c>
      <c r="I300" s="693" t="s">
        <v>7</v>
      </c>
      <c r="J300" s="533">
        <v>100</v>
      </c>
      <c r="K300" s="733">
        <v>100</v>
      </c>
      <c r="L300" s="538"/>
      <c r="M300" s="686">
        <v>11</v>
      </c>
      <c r="N300" s="686">
        <v>5</v>
      </c>
      <c r="O300" s="748">
        <f t="shared" si="12"/>
        <v>0.45454545454545453</v>
      </c>
      <c r="P300" s="749">
        <f t="shared" si="13"/>
        <v>45.454545454545453</v>
      </c>
      <c r="Q300" s="750">
        <f t="shared" si="14"/>
        <v>0.45454545454545453</v>
      </c>
      <c r="R300" s="608"/>
    </row>
    <row r="301" spans="1:18" ht="26.25" thickBot="1" x14ac:dyDescent="0.25">
      <c r="A301" s="529" t="s">
        <v>276</v>
      </c>
      <c r="B301" s="534" t="s">
        <v>878</v>
      </c>
      <c r="C301" s="529" t="s">
        <v>879</v>
      </c>
      <c r="D301" s="534" t="s">
        <v>808</v>
      </c>
      <c r="E301" s="534" t="s">
        <v>860</v>
      </c>
      <c r="F301" s="536" t="s">
        <v>834</v>
      </c>
      <c r="G301" s="534" t="s">
        <v>790</v>
      </c>
      <c r="H301" s="534" t="s">
        <v>77</v>
      </c>
      <c r="I301" s="693" t="s">
        <v>7</v>
      </c>
      <c r="J301" s="533">
        <v>25</v>
      </c>
      <c r="K301" s="733">
        <v>25</v>
      </c>
      <c r="L301" s="538"/>
      <c r="M301" s="686">
        <v>11</v>
      </c>
      <c r="N301" s="686">
        <v>1</v>
      </c>
      <c r="O301" s="748">
        <f t="shared" si="12"/>
        <v>9.0909090909090912E-2</v>
      </c>
      <c r="P301" s="749">
        <f t="shared" si="13"/>
        <v>36.363636363636367</v>
      </c>
      <c r="Q301" s="750">
        <f t="shared" si="14"/>
        <v>0.36363636363636365</v>
      </c>
      <c r="R301" s="608"/>
    </row>
    <row r="302" spans="1:18" ht="26.25" thickBot="1" x14ac:dyDescent="0.25">
      <c r="A302" s="529" t="s">
        <v>276</v>
      </c>
      <c r="B302" s="534" t="s">
        <v>878</v>
      </c>
      <c r="C302" s="529" t="s">
        <v>879</v>
      </c>
      <c r="D302" s="534" t="s">
        <v>808</v>
      </c>
      <c r="E302" s="534" t="s">
        <v>861</v>
      </c>
      <c r="F302" s="536" t="s">
        <v>834</v>
      </c>
      <c r="G302" s="534" t="s">
        <v>790</v>
      </c>
      <c r="H302" s="534" t="s">
        <v>77</v>
      </c>
      <c r="I302" s="693" t="s">
        <v>7</v>
      </c>
      <c r="J302" s="533">
        <v>25</v>
      </c>
      <c r="K302" s="733">
        <v>25</v>
      </c>
      <c r="L302" s="538"/>
      <c r="M302" s="686">
        <v>11</v>
      </c>
      <c r="N302" s="686">
        <v>1</v>
      </c>
      <c r="O302" s="748">
        <f t="shared" si="12"/>
        <v>9.0909090909090912E-2</v>
      </c>
      <c r="P302" s="749">
        <f t="shared" si="13"/>
        <v>36.363636363636367</v>
      </c>
      <c r="Q302" s="750">
        <f t="shared" si="14"/>
        <v>0.36363636363636365</v>
      </c>
      <c r="R302" s="608"/>
    </row>
    <row r="303" spans="1:18" ht="26.25" thickBot="1" x14ac:dyDescent="0.25">
      <c r="A303" s="529" t="s">
        <v>276</v>
      </c>
      <c r="B303" s="534" t="s">
        <v>878</v>
      </c>
      <c r="C303" s="529" t="s">
        <v>879</v>
      </c>
      <c r="D303" s="534" t="s">
        <v>808</v>
      </c>
      <c r="E303" s="534" t="s">
        <v>862</v>
      </c>
      <c r="F303" s="536" t="s">
        <v>834</v>
      </c>
      <c r="G303" s="534" t="s">
        <v>790</v>
      </c>
      <c r="H303" s="534" t="s">
        <v>77</v>
      </c>
      <c r="I303" s="693" t="s">
        <v>7</v>
      </c>
      <c r="J303" s="533">
        <v>25</v>
      </c>
      <c r="K303" s="733">
        <v>25</v>
      </c>
      <c r="L303" s="538"/>
      <c r="M303" s="686">
        <v>11</v>
      </c>
      <c r="N303" s="686">
        <v>1</v>
      </c>
      <c r="O303" s="748">
        <f t="shared" si="12"/>
        <v>9.0909090909090912E-2</v>
      </c>
      <c r="P303" s="749">
        <f t="shared" si="13"/>
        <v>36.363636363636367</v>
      </c>
      <c r="Q303" s="750">
        <f t="shared" si="14"/>
        <v>0.36363636363636365</v>
      </c>
      <c r="R303" s="608"/>
    </row>
    <row r="304" spans="1:18" ht="26.25" thickBot="1" x14ac:dyDescent="0.25">
      <c r="A304" s="529" t="s">
        <v>276</v>
      </c>
      <c r="B304" s="534" t="s">
        <v>878</v>
      </c>
      <c r="C304" s="529" t="s">
        <v>879</v>
      </c>
      <c r="D304" s="534" t="s">
        <v>808</v>
      </c>
      <c r="E304" s="534" t="s">
        <v>863</v>
      </c>
      <c r="F304" s="536" t="s">
        <v>834</v>
      </c>
      <c r="G304" s="534" t="s">
        <v>790</v>
      </c>
      <c r="H304" s="534" t="s">
        <v>77</v>
      </c>
      <c r="I304" s="693" t="s">
        <v>7</v>
      </c>
      <c r="J304" s="533">
        <v>25</v>
      </c>
      <c r="K304" s="733">
        <v>25</v>
      </c>
      <c r="L304" s="538"/>
      <c r="M304" s="686">
        <v>11</v>
      </c>
      <c r="N304" s="686">
        <v>1</v>
      </c>
      <c r="O304" s="748">
        <f t="shared" si="12"/>
        <v>9.0909090909090912E-2</v>
      </c>
      <c r="P304" s="749">
        <f t="shared" si="13"/>
        <v>36.363636363636367</v>
      </c>
      <c r="Q304" s="750">
        <f t="shared" si="14"/>
        <v>0.36363636363636365</v>
      </c>
      <c r="R304" s="608"/>
    </row>
    <row r="305" spans="1:18" ht="26.25" thickBot="1" x14ac:dyDescent="0.25">
      <c r="A305" s="529" t="s">
        <v>276</v>
      </c>
      <c r="B305" s="534" t="s">
        <v>878</v>
      </c>
      <c r="C305" s="529" t="s">
        <v>879</v>
      </c>
      <c r="D305" s="534" t="s">
        <v>808</v>
      </c>
      <c r="E305" s="534" t="s">
        <v>864</v>
      </c>
      <c r="F305" s="527" t="s">
        <v>834</v>
      </c>
      <c r="G305" s="534" t="s">
        <v>784</v>
      </c>
      <c r="H305" s="534" t="s">
        <v>77</v>
      </c>
      <c r="I305" s="693" t="s">
        <v>7</v>
      </c>
      <c r="J305" s="533">
        <v>100</v>
      </c>
      <c r="K305" s="733">
        <v>100</v>
      </c>
      <c r="L305" s="538"/>
      <c r="M305" s="686">
        <v>11</v>
      </c>
      <c r="N305" s="686">
        <v>5</v>
      </c>
      <c r="O305" s="748">
        <f t="shared" si="12"/>
        <v>0.45454545454545453</v>
      </c>
      <c r="P305" s="749">
        <f t="shared" si="13"/>
        <v>45.454545454545453</v>
      </c>
      <c r="Q305" s="750">
        <f t="shared" si="14"/>
        <v>0.45454545454545453</v>
      </c>
      <c r="R305" s="608"/>
    </row>
    <row r="306" spans="1:18" ht="26.25" thickBot="1" x14ac:dyDescent="0.25">
      <c r="A306" s="529" t="s">
        <v>276</v>
      </c>
      <c r="B306" s="534" t="s">
        <v>878</v>
      </c>
      <c r="C306" s="529" t="s">
        <v>879</v>
      </c>
      <c r="D306" s="534" t="s">
        <v>808</v>
      </c>
      <c r="E306" s="534" t="s">
        <v>864</v>
      </c>
      <c r="F306" s="527" t="s">
        <v>830</v>
      </c>
      <c r="G306" s="534" t="s">
        <v>865</v>
      </c>
      <c r="H306" s="534" t="s">
        <v>77</v>
      </c>
      <c r="I306" s="693" t="s">
        <v>7</v>
      </c>
      <c r="J306" s="533">
        <v>33</v>
      </c>
      <c r="K306" s="733">
        <v>33</v>
      </c>
      <c r="L306" s="538"/>
      <c r="M306" s="686">
        <v>11</v>
      </c>
      <c r="N306" s="686">
        <v>4</v>
      </c>
      <c r="O306" s="748">
        <f t="shared" si="12"/>
        <v>0.36363636363636365</v>
      </c>
      <c r="P306" s="749">
        <f t="shared" si="13"/>
        <v>110.19283746556472</v>
      </c>
      <c r="Q306" s="750">
        <f t="shared" si="14"/>
        <v>1.1019283746556472</v>
      </c>
      <c r="R306" s="608"/>
    </row>
    <row r="307" spans="1:18" ht="26.25" thickBot="1" x14ac:dyDescent="0.25">
      <c r="A307" s="529" t="s">
        <v>276</v>
      </c>
      <c r="B307" s="534" t="s">
        <v>878</v>
      </c>
      <c r="C307" s="529" t="s">
        <v>879</v>
      </c>
      <c r="D307" s="534" t="s">
        <v>808</v>
      </c>
      <c r="E307" s="534" t="s">
        <v>815</v>
      </c>
      <c r="F307" s="527" t="s">
        <v>834</v>
      </c>
      <c r="G307" s="534" t="s">
        <v>866</v>
      </c>
      <c r="H307" s="534" t="s">
        <v>77</v>
      </c>
      <c r="I307" s="693" t="s">
        <v>7</v>
      </c>
      <c r="J307" s="533">
        <v>100</v>
      </c>
      <c r="K307" s="733">
        <v>100</v>
      </c>
      <c r="L307" s="538" t="s">
        <v>880</v>
      </c>
      <c r="M307" s="686">
        <v>11</v>
      </c>
      <c r="N307" s="686">
        <v>5</v>
      </c>
      <c r="O307" s="748">
        <f t="shared" si="12"/>
        <v>0.45454545454545453</v>
      </c>
      <c r="P307" s="749">
        <f t="shared" si="13"/>
        <v>45.454545454545453</v>
      </c>
      <c r="Q307" s="750">
        <f t="shared" si="14"/>
        <v>0.45454545454545453</v>
      </c>
      <c r="R307" s="608"/>
    </row>
    <row r="308" spans="1:18" ht="13.5" thickBot="1" x14ac:dyDescent="0.25">
      <c r="A308" s="529" t="s">
        <v>276</v>
      </c>
      <c r="B308" s="534" t="s">
        <v>878</v>
      </c>
      <c r="C308" s="529" t="s">
        <v>879</v>
      </c>
      <c r="D308" s="534" t="s">
        <v>808</v>
      </c>
      <c r="E308" s="534" t="s">
        <v>815</v>
      </c>
      <c r="F308" s="527" t="s">
        <v>830</v>
      </c>
      <c r="G308" s="534" t="s">
        <v>865</v>
      </c>
      <c r="H308" s="534" t="s">
        <v>77</v>
      </c>
      <c r="I308" s="693" t="s">
        <v>7</v>
      </c>
      <c r="J308" s="533">
        <v>33</v>
      </c>
      <c r="K308" s="733">
        <v>33</v>
      </c>
      <c r="L308" s="355"/>
      <c r="M308" s="686">
        <v>11</v>
      </c>
      <c r="N308" s="686">
        <v>4</v>
      </c>
      <c r="O308" s="748">
        <f t="shared" si="12"/>
        <v>0.36363636363636365</v>
      </c>
      <c r="P308" s="749">
        <f t="shared" si="13"/>
        <v>110.19283746556472</v>
      </c>
      <c r="Q308" s="750">
        <f t="shared" si="14"/>
        <v>1.1019283746556472</v>
      </c>
      <c r="R308" s="608"/>
    </row>
    <row r="309" spans="1:18" ht="26.25" thickBot="1" x14ac:dyDescent="0.25">
      <c r="A309" s="349" t="s">
        <v>276</v>
      </c>
      <c r="B309" s="350" t="s">
        <v>876</v>
      </c>
      <c r="C309" s="349" t="s">
        <v>875</v>
      </c>
      <c r="D309" s="350" t="s">
        <v>109</v>
      </c>
      <c r="E309" s="350" t="s">
        <v>848</v>
      </c>
      <c r="F309" s="357" t="s">
        <v>830</v>
      </c>
      <c r="G309" s="350" t="s">
        <v>790</v>
      </c>
      <c r="H309" s="352" t="s">
        <v>77</v>
      </c>
      <c r="I309" s="693" t="s">
        <v>7</v>
      </c>
      <c r="J309" s="734">
        <v>33</v>
      </c>
      <c r="K309" s="356">
        <v>33</v>
      </c>
      <c r="L309" s="355"/>
      <c r="M309" s="686"/>
      <c r="N309" s="686"/>
      <c r="O309" s="688"/>
      <c r="P309" s="689"/>
      <c r="Q309" s="690"/>
      <c r="R309" s="608"/>
    </row>
    <row r="310" spans="1:18" ht="26.25" thickBot="1" x14ac:dyDescent="0.25">
      <c r="A310" s="349" t="s">
        <v>276</v>
      </c>
      <c r="B310" s="350" t="s">
        <v>876</v>
      </c>
      <c r="C310" s="349" t="s">
        <v>875</v>
      </c>
      <c r="D310" s="350" t="s">
        <v>109</v>
      </c>
      <c r="E310" s="350" t="s">
        <v>849</v>
      </c>
      <c r="F310" s="357" t="s">
        <v>830</v>
      </c>
      <c r="G310" s="350" t="s">
        <v>790</v>
      </c>
      <c r="H310" s="352" t="s">
        <v>77</v>
      </c>
      <c r="I310" s="693" t="s">
        <v>7</v>
      </c>
      <c r="J310" s="734">
        <v>33</v>
      </c>
      <c r="K310" s="356">
        <v>33</v>
      </c>
      <c r="L310" s="355"/>
      <c r="M310" s="686"/>
      <c r="N310" s="686"/>
      <c r="O310" s="688"/>
      <c r="P310" s="689"/>
      <c r="Q310" s="690"/>
      <c r="R310" s="608"/>
    </row>
    <row r="311" spans="1:18" ht="26.25" thickBot="1" x14ac:dyDescent="0.25">
      <c r="A311" s="349" t="s">
        <v>276</v>
      </c>
      <c r="B311" s="350" t="s">
        <v>876</v>
      </c>
      <c r="C311" s="349" t="s">
        <v>875</v>
      </c>
      <c r="D311" s="350" t="s">
        <v>109</v>
      </c>
      <c r="E311" s="350" t="s">
        <v>850</v>
      </c>
      <c r="F311" s="357" t="s">
        <v>830</v>
      </c>
      <c r="G311" s="350" t="s">
        <v>790</v>
      </c>
      <c r="H311" s="352" t="s">
        <v>77</v>
      </c>
      <c r="I311" s="693" t="s">
        <v>7</v>
      </c>
      <c r="J311" s="734">
        <v>33</v>
      </c>
      <c r="K311" s="356">
        <v>33</v>
      </c>
      <c r="L311" s="355"/>
      <c r="M311" s="686"/>
      <c r="N311" s="686"/>
      <c r="O311" s="688"/>
      <c r="P311" s="689"/>
      <c r="Q311" s="690"/>
      <c r="R311" s="608"/>
    </row>
    <row r="312" spans="1:18" ht="13.5" thickBot="1" x14ac:dyDescent="0.25">
      <c r="A312" s="349" t="s">
        <v>276</v>
      </c>
      <c r="B312" s="350" t="s">
        <v>876</v>
      </c>
      <c r="C312" s="349" t="s">
        <v>875</v>
      </c>
      <c r="D312" s="350" t="s">
        <v>109</v>
      </c>
      <c r="E312" s="350" t="s">
        <v>851</v>
      </c>
      <c r="F312" s="357" t="s">
        <v>834</v>
      </c>
      <c r="G312" s="350" t="s">
        <v>784</v>
      </c>
      <c r="H312" s="352" t="s">
        <v>77</v>
      </c>
      <c r="I312" s="693" t="s">
        <v>7</v>
      </c>
      <c r="J312" s="734">
        <v>100</v>
      </c>
      <c r="K312" s="356">
        <v>100</v>
      </c>
      <c r="L312" s="355"/>
      <c r="M312" s="686"/>
      <c r="N312" s="686"/>
      <c r="O312" s="688"/>
      <c r="P312" s="689"/>
      <c r="Q312" s="690"/>
      <c r="R312" s="608"/>
    </row>
    <row r="313" spans="1:18" ht="13.5" thickBot="1" x14ac:dyDescent="0.25">
      <c r="A313" s="349" t="s">
        <v>276</v>
      </c>
      <c r="B313" s="350" t="s">
        <v>876</v>
      </c>
      <c r="C313" s="349" t="s">
        <v>875</v>
      </c>
      <c r="D313" s="350" t="s">
        <v>109</v>
      </c>
      <c r="E313" s="350" t="s">
        <v>852</v>
      </c>
      <c r="F313" s="357" t="s">
        <v>834</v>
      </c>
      <c r="G313" s="350" t="s">
        <v>784</v>
      </c>
      <c r="H313" s="352" t="s">
        <v>77</v>
      </c>
      <c r="I313" s="693" t="s">
        <v>7</v>
      </c>
      <c r="J313" s="734">
        <v>100</v>
      </c>
      <c r="K313" s="356">
        <v>100</v>
      </c>
      <c r="L313" s="355"/>
      <c r="M313" s="686"/>
      <c r="N313" s="686"/>
      <c r="O313" s="688"/>
      <c r="P313" s="689"/>
      <c r="Q313" s="690"/>
      <c r="R313" s="608"/>
    </row>
    <row r="314" spans="1:18" ht="26.25" thickBot="1" x14ac:dyDescent="0.25">
      <c r="A314" s="349" t="s">
        <v>276</v>
      </c>
      <c r="B314" s="350" t="s">
        <v>876</v>
      </c>
      <c r="C314" s="349" t="s">
        <v>875</v>
      </c>
      <c r="D314" s="350" t="s">
        <v>109</v>
      </c>
      <c r="E314" s="350" t="s">
        <v>853</v>
      </c>
      <c r="F314" s="357" t="s">
        <v>834</v>
      </c>
      <c r="G314" s="350" t="s">
        <v>784</v>
      </c>
      <c r="H314" s="352" t="s">
        <v>77</v>
      </c>
      <c r="I314" s="693" t="s">
        <v>7</v>
      </c>
      <c r="J314" s="734">
        <v>100</v>
      </c>
      <c r="K314" s="356">
        <v>100</v>
      </c>
      <c r="L314" s="355"/>
      <c r="M314" s="686"/>
      <c r="N314" s="686"/>
      <c r="O314" s="688"/>
      <c r="P314" s="689"/>
      <c r="Q314" s="690"/>
      <c r="R314" s="608"/>
    </row>
    <row r="315" spans="1:18" ht="13.5" thickBot="1" x14ac:dyDescent="0.25">
      <c r="A315" s="349" t="s">
        <v>276</v>
      </c>
      <c r="B315" s="350" t="s">
        <v>876</v>
      </c>
      <c r="C315" s="349" t="s">
        <v>875</v>
      </c>
      <c r="D315" s="350" t="s">
        <v>109</v>
      </c>
      <c r="E315" s="350" t="s">
        <v>854</v>
      </c>
      <c r="F315" s="351" t="s">
        <v>829</v>
      </c>
      <c r="G315" s="350" t="s">
        <v>784</v>
      </c>
      <c r="H315" s="352" t="s">
        <v>77</v>
      </c>
      <c r="I315" s="693" t="s">
        <v>7</v>
      </c>
      <c r="J315" s="734">
        <v>100</v>
      </c>
      <c r="K315" s="356">
        <v>100</v>
      </c>
      <c r="L315" s="355"/>
      <c r="M315" s="686"/>
      <c r="N315" s="686"/>
      <c r="O315" s="688"/>
      <c r="P315" s="689"/>
      <c r="Q315" s="690"/>
      <c r="R315" s="608"/>
    </row>
    <row r="316" spans="1:18" ht="26.25" thickBot="1" x14ac:dyDescent="0.25">
      <c r="A316" s="349" t="s">
        <v>276</v>
      </c>
      <c r="B316" s="350" t="s">
        <v>876</v>
      </c>
      <c r="C316" s="349" t="s">
        <v>875</v>
      </c>
      <c r="D316" s="350" t="s">
        <v>109</v>
      </c>
      <c r="E316" s="350" t="s">
        <v>854</v>
      </c>
      <c r="F316" s="351" t="s">
        <v>830</v>
      </c>
      <c r="G316" s="350" t="s">
        <v>790</v>
      </c>
      <c r="H316" s="352" t="s">
        <v>77</v>
      </c>
      <c r="I316" s="693" t="s">
        <v>7</v>
      </c>
      <c r="J316" s="734">
        <v>33</v>
      </c>
      <c r="K316" s="356">
        <v>33</v>
      </c>
      <c r="L316" s="354"/>
      <c r="M316" s="686"/>
      <c r="N316" s="686"/>
      <c r="O316" s="688"/>
      <c r="P316" s="689"/>
      <c r="Q316" s="690"/>
      <c r="R316" s="608"/>
    </row>
    <row r="317" spans="1:18" ht="26.25" thickBot="1" x14ac:dyDescent="0.25">
      <c r="A317" s="349" t="s">
        <v>276</v>
      </c>
      <c r="B317" s="350" t="s">
        <v>876</v>
      </c>
      <c r="C317" s="349" t="s">
        <v>875</v>
      </c>
      <c r="D317" s="350" t="s">
        <v>109</v>
      </c>
      <c r="E317" s="350" t="s">
        <v>855</v>
      </c>
      <c r="F317" s="357" t="s">
        <v>834</v>
      </c>
      <c r="G317" s="350" t="s">
        <v>790</v>
      </c>
      <c r="H317" s="352" t="s">
        <v>77</v>
      </c>
      <c r="I317" s="693" t="s">
        <v>7</v>
      </c>
      <c r="J317" s="734">
        <v>25</v>
      </c>
      <c r="K317" s="356">
        <v>25</v>
      </c>
      <c r="L317" s="355"/>
      <c r="M317" s="686"/>
      <c r="N317" s="686"/>
      <c r="O317" s="688"/>
      <c r="P317" s="689"/>
      <c r="Q317" s="690"/>
      <c r="R317" s="608"/>
    </row>
    <row r="318" spans="1:18" ht="39" thickBot="1" x14ac:dyDescent="0.25">
      <c r="A318" s="349" t="s">
        <v>276</v>
      </c>
      <c r="B318" s="350" t="s">
        <v>876</v>
      </c>
      <c r="C318" s="349" t="s">
        <v>875</v>
      </c>
      <c r="D318" s="350" t="s">
        <v>109</v>
      </c>
      <c r="E318" s="350" t="s">
        <v>856</v>
      </c>
      <c r="F318" s="357" t="s">
        <v>834</v>
      </c>
      <c r="G318" s="350" t="s">
        <v>790</v>
      </c>
      <c r="H318" s="352" t="s">
        <v>77</v>
      </c>
      <c r="I318" s="693" t="s">
        <v>7</v>
      </c>
      <c r="J318" s="734">
        <v>25</v>
      </c>
      <c r="K318" s="356">
        <v>25</v>
      </c>
      <c r="L318" s="355"/>
      <c r="M318" s="686"/>
      <c r="N318" s="686"/>
      <c r="O318" s="688"/>
      <c r="P318" s="689"/>
      <c r="Q318" s="690"/>
      <c r="R318" s="608"/>
    </row>
    <row r="319" spans="1:18" ht="39" thickBot="1" x14ac:dyDescent="0.25">
      <c r="A319" s="349" t="s">
        <v>276</v>
      </c>
      <c r="B319" s="350" t="s">
        <v>876</v>
      </c>
      <c r="C319" s="349" t="s">
        <v>875</v>
      </c>
      <c r="D319" s="350" t="s">
        <v>109</v>
      </c>
      <c r="E319" s="350" t="s">
        <v>857</v>
      </c>
      <c r="F319" s="357" t="s">
        <v>834</v>
      </c>
      <c r="G319" s="350" t="s">
        <v>784</v>
      </c>
      <c r="H319" s="352" t="s">
        <v>77</v>
      </c>
      <c r="I319" s="693" t="s">
        <v>7</v>
      </c>
      <c r="J319" s="734">
        <v>100</v>
      </c>
      <c r="K319" s="356">
        <v>100</v>
      </c>
      <c r="L319" s="355"/>
      <c r="M319" s="686"/>
      <c r="N319" s="686"/>
      <c r="O319" s="688"/>
      <c r="P319" s="689"/>
      <c r="Q319" s="690"/>
      <c r="R319" s="608"/>
    </row>
    <row r="320" spans="1:18" ht="13.5" thickBot="1" x14ac:dyDescent="0.25">
      <c r="A320" s="349" t="s">
        <v>276</v>
      </c>
      <c r="B320" s="350" t="s">
        <v>876</v>
      </c>
      <c r="C320" s="349" t="s">
        <v>875</v>
      </c>
      <c r="D320" s="350" t="s">
        <v>808</v>
      </c>
      <c r="E320" s="350" t="s">
        <v>858</v>
      </c>
      <c r="F320" s="357" t="s">
        <v>834</v>
      </c>
      <c r="G320" s="350" t="s">
        <v>784</v>
      </c>
      <c r="H320" s="352" t="s">
        <v>77</v>
      </c>
      <c r="I320" s="693" t="s">
        <v>7</v>
      </c>
      <c r="J320" s="734">
        <v>100</v>
      </c>
      <c r="K320" s="356">
        <v>100</v>
      </c>
      <c r="L320" s="355"/>
      <c r="M320" s="686"/>
      <c r="N320" s="686"/>
      <c r="O320" s="688"/>
      <c r="P320" s="689"/>
      <c r="Q320" s="690"/>
      <c r="R320" s="608"/>
    </row>
    <row r="321" spans="1:18" ht="13.5" thickBot="1" x14ac:dyDescent="0.25">
      <c r="A321" s="349" t="s">
        <v>276</v>
      </c>
      <c r="B321" s="350" t="s">
        <v>876</v>
      </c>
      <c r="C321" s="349" t="s">
        <v>875</v>
      </c>
      <c r="D321" s="350" t="s">
        <v>808</v>
      </c>
      <c r="E321" s="350" t="s">
        <v>859</v>
      </c>
      <c r="F321" s="357" t="s">
        <v>834</v>
      </c>
      <c r="G321" s="350" t="s">
        <v>784</v>
      </c>
      <c r="H321" s="352" t="s">
        <v>77</v>
      </c>
      <c r="I321" s="693" t="s">
        <v>7</v>
      </c>
      <c r="J321" s="734">
        <v>100</v>
      </c>
      <c r="K321" s="356">
        <v>100</v>
      </c>
      <c r="L321" s="355"/>
      <c r="M321" s="686"/>
      <c r="N321" s="686"/>
      <c r="O321" s="688"/>
      <c r="P321" s="689"/>
      <c r="Q321" s="690"/>
      <c r="R321" s="608"/>
    </row>
    <row r="322" spans="1:18" ht="26.25" thickBot="1" x14ac:dyDescent="0.25">
      <c r="A322" s="349" t="s">
        <v>276</v>
      </c>
      <c r="B322" s="350" t="s">
        <v>876</v>
      </c>
      <c r="C322" s="349" t="s">
        <v>875</v>
      </c>
      <c r="D322" s="350" t="s">
        <v>808</v>
      </c>
      <c r="E322" s="350" t="s">
        <v>860</v>
      </c>
      <c r="F322" s="357" t="s">
        <v>834</v>
      </c>
      <c r="G322" s="350" t="s">
        <v>790</v>
      </c>
      <c r="H322" s="352" t="s">
        <v>77</v>
      </c>
      <c r="I322" s="693" t="s">
        <v>7</v>
      </c>
      <c r="J322" s="734">
        <v>25</v>
      </c>
      <c r="K322" s="356">
        <v>25</v>
      </c>
      <c r="L322" s="355"/>
      <c r="M322" s="686"/>
      <c r="N322" s="686"/>
      <c r="O322" s="688"/>
      <c r="P322" s="689"/>
      <c r="Q322" s="690"/>
      <c r="R322" s="608"/>
    </row>
    <row r="323" spans="1:18" ht="26.25" thickBot="1" x14ac:dyDescent="0.25">
      <c r="A323" s="349" t="s">
        <v>276</v>
      </c>
      <c r="B323" s="350" t="s">
        <v>876</v>
      </c>
      <c r="C323" s="349" t="s">
        <v>875</v>
      </c>
      <c r="D323" s="350" t="s">
        <v>808</v>
      </c>
      <c r="E323" s="350" t="s">
        <v>861</v>
      </c>
      <c r="F323" s="357" t="s">
        <v>834</v>
      </c>
      <c r="G323" s="350" t="s">
        <v>790</v>
      </c>
      <c r="H323" s="352" t="s">
        <v>77</v>
      </c>
      <c r="I323" s="693" t="s">
        <v>7</v>
      </c>
      <c r="J323" s="734">
        <v>25</v>
      </c>
      <c r="K323" s="356">
        <v>25</v>
      </c>
      <c r="L323" s="355"/>
      <c r="M323" s="686"/>
      <c r="N323" s="686"/>
      <c r="O323" s="688"/>
      <c r="P323" s="689"/>
      <c r="Q323" s="690"/>
      <c r="R323" s="608"/>
    </row>
    <row r="324" spans="1:18" ht="26.25" thickBot="1" x14ac:dyDescent="0.25">
      <c r="A324" s="349" t="s">
        <v>276</v>
      </c>
      <c r="B324" s="350" t="s">
        <v>876</v>
      </c>
      <c r="C324" s="349" t="s">
        <v>875</v>
      </c>
      <c r="D324" s="350" t="s">
        <v>808</v>
      </c>
      <c r="E324" s="350" t="s">
        <v>862</v>
      </c>
      <c r="F324" s="357" t="s">
        <v>834</v>
      </c>
      <c r="G324" s="350" t="s">
        <v>790</v>
      </c>
      <c r="H324" s="352" t="s">
        <v>77</v>
      </c>
      <c r="I324" s="693" t="s">
        <v>7</v>
      </c>
      <c r="J324" s="734">
        <v>25</v>
      </c>
      <c r="K324" s="356">
        <v>25</v>
      </c>
      <c r="L324" s="355"/>
      <c r="M324" s="686"/>
      <c r="N324" s="686"/>
      <c r="O324" s="688"/>
      <c r="P324" s="689"/>
      <c r="Q324" s="690"/>
      <c r="R324" s="608"/>
    </row>
    <row r="325" spans="1:18" ht="26.25" thickBot="1" x14ac:dyDescent="0.25">
      <c r="A325" s="349" t="s">
        <v>276</v>
      </c>
      <c r="B325" s="350" t="s">
        <v>876</v>
      </c>
      <c r="C325" s="349" t="s">
        <v>875</v>
      </c>
      <c r="D325" s="350" t="s">
        <v>808</v>
      </c>
      <c r="E325" s="350" t="s">
        <v>863</v>
      </c>
      <c r="F325" s="357" t="s">
        <v>834</v>
      </c>
      <c r="G325" s="350" t="s">
        <v>790</v>
      </c>
      <c r="H325" s="352" t="s">
        <v>77</v>
      </c>
      <c r="I325" s="693" t="s">
        <v>7</v>
      </c>
      <c r="J325" s="734">
        <v>25</v>
      </c>
      <c r="K325" s="356">
        <v>25</v>
      </c>
      <c r="L325" s="355"/>
      <c r="M325" s="686"/>
      <c r="N325" s="686"/>
      <c r="O325" s="688"/>
      <c r="P325" s="689"/>
      <c r="Q325" s="690"/>
      <c r="R325" s="608"/>
    </row>
    <row r="326" spans="1:18" ht="26.25" thickBot="1" x14ac:dyDescent="0.25">
      <c r="A326" s="349" t="s">
        <v>276</v>
      </c>
      <c r="B326" s="350" t="s">
        <v>876</v>
      </c>
      <c r="C326" s="349" t="s">
        <v>875</v>
      </c>
      <c r="D326" s="350" t="s">
        <v>808</v>
      </c>
      <c r="E326" s="350" t="s">
        <v>864</v>
      </c>
      <c r="F326" s="351" t="s">
        <v>834</v>
      </c>
      <c r="G326" s="350" t="s">
        <v>784</v>
      </c>
      <c r="H326" s="352" t="s">
        <v>77</v>
      </c>
      <c r="I326" s="693" t="s">
        <v>7</v>
      </c>
      <c r="J326" s="734">
        <v>100</v>
      </c>
      <c r="K326" s="356">
        <v>100</v>
      </c>
      <c r="L326" s="355"/>
      <c r="M326" s="686"/>
      <c r="N326" s="686"/>
      <c r="O326" s="688"/>
      <c r="P326" s="689"/>
      <c r="Q326" s="690"/>
      <c r="R326" s="608"/>
    </row>
    <row r="327" spans="1:18" ht="26.25" thickBot="1" x14ac:dyDescent="0.25">
      <c r="A327" s="349" t="s">
        <v>276</v>
      </c>
      <c r="B327" s="350" t="s">
        <v>876</v>
      </c>
      <c r="C327" s="349" t="s">
        <v>875</v>
      </c>
      <c r="D327" s="350" t="s">
        <v>808</v>
      </c>
      <c r="E327" s="350" t="s">
        <v>864</v>
      </c>
      <c r="F327" s="351" t="s">
        <v>830</v>
      </c>
      <c r="G327" s="350" t="s">
        <v>865</v>
      </c>
      <c r="H327" s="352" t="s">
        <v>77</v>
      </c>
      <c r="I327" s="693" t="s">
        <v>7</v>
      </c>
      <c r="J327" s="734">
        <v>33</v>
      </c>
      <c r="K327" s="356">
        <v>33</v>
      </c>
      <c r="L327" s="355"/>
      <c r="M327" s="686"/>
      <c r="N327" s="686"/>
      <c r="O327" s="688"/>
      <c r="P327" s="689"/>
      <c r="Q327" s="690"/>
      <c r="R327" s="608"/>
    </row>
    <row r="328" spans="1:18" ht="13.5" thickBot="1" x14ac:dyDescent="0.25">
      <c r="A328" s="349" t="s">
        <v>276</v>
      </c>
      <c r="B328" s="350" t="s">
        <v>876</v>
      </c>
      <c r="C328" s="349" t="s">
        <v>875</v>
      </c>
      <c r="D328" s="350" t="s">
        <v>808</v>
      </c>
      <c r="E328" s="350" t="s">
        <v>815</v>
      </c>
      <c r="F328" s="351" t="s">
        <v>834</v>
      </c>
      <c r="G328" s="350" t="s">
        <v>866</v>
      </c>
      <c r="H328" s="352" t="s">
        <v>77</v>
      </c>
      <c r="I328" s="693" t="s">
        <v>7</v>
      </c>
      <c r="J328" s="734">
        <v>100</v>
      </c>
      <c r="K328" s="356">
        <v>100</v>
      </c>
      <c r="L328" s="355"/>
      <c r="M328" s="686"/>
      <c r="N328" s="686"/>
      <c r="O328" s="688"/>
      <c r="P328" s="689"/>
      <c r="Q328" s="690"/>
      <c r="R328" s="608"/>
    </row>
    <row r="329" spans="1:18" ht="13.5" thickBot="1" x14ac:dyDescent="0.25">
      <c r="A329" s="349" t="s">
        <v>276</v>
      </c>
      <c r="B329" s="350" t="s">
        <v>876</v>
      </c>
      <c r="C329" s="349" t="s">
        <v>875</v>
      </c>
      <c r="D329" s="350" t="s">
        <v>808</v>
      </c>
      <c r="E329" s="350" t="s">
        <v>815</v>
      </c>
      <c r="F329" s="351" t="s">
        <v>830</v>
      </c>
      <c r="G329" s="350" t="s">
        <v>865</v>
      </c>
      <c r="H329" s="352" t="s">
        <v>77</v>
      </c>
      <c r="I329" s="693" t="s">
        <v>7</v>
      </c>
      <c r="J329" s="734">
        <v>33</v>
      </c>
      <c r="K329" s="356">
        <v>33</v>
      </c>
      <c r="L329" s="354"/>
      <c r="M329" s="686"/>
      <c r="N329" s="686"/>
      <c r="O329" s="688"/>
      <c r="P329" s="689"/>
      <c r="Q329" s="690"/>
      <c r="R329" s="608"/>
    </row>
    <row r="330" spans="1:18" ht="26.25" thickBot="1" x14ac:dyDescent="0.25">
      <c r="A330" s="349" t="s">
        <v>276</v>
      </c>
      <c r="B330" s="350" t="s">
        <v>876</v>
      </c>
      <c r="C330" s="349" t="s">
        <v>875</v>
      </c>
      <c r="D330" s="350" t="s">
        <v>808</v>
      </c>
      <c r="E330" s="350" t="s">
        <v>867</v>
      </c>
      <c r="F330" s="351" t="s">
        <v>834</v>
      </c>
      <c r="G330" s="350" t="s">
        <v>784</v>
      </c>
      <c r="H330" s="352" t="s">
        <v>77</v>
      </c>
      <c r="I330" s="693" t="s">
        <v>7</v>
      </c>
      <c r="J330" s="734">
        <v>100</v>
      </c>
      <c r="K330" s="356">
        <v>100</v>
      </c>
      <c r="L330" s="355"/>
      <c r="M330" s="686"/>
      <c r="N330" s="686"/>
      <c r="O330" s="688"/>
      <c r="P330" s="689"/>
      <c r="Q330" s="690"/>
      <c r="R330" s="608"/>
    </row>
    <row r="331" spans="1:18" ht="26.25" thickBot="1" x14ac:dyDescent="0.25">
      <c r="A331" s="349" t="s">
        <v>276</v>
      </c>
      <c r="B331" s="350" t="s">
        <v>876</v>
      </c>
      <c r="C331" s="349" t="s">
        <v>875</v>
      </c>
      <c r="D331" s="350" t="s">
        <v>868</v>
      </c>
      <c r="E331" s="350" t="s">
        <v>867</v>
      </c>
      <c r="F331" s="351" t="s">
        <v>869</v>
      </c>
      <c r="G331" s="350" t="s">
        <v>784</v>
      </c>
      <c r="H331" s="352" t="s">
        <v>77</v>
      </c>
      <c r="I331" s="693" t="s">
        <v>7</v>
      </c>
      <c r="J331" s="734">
        <v>100</v>
      </c>
      <c r="K331" s="356">
        <v>100</v>
      </c>
      <c r="L331" s="355"/>
      <c r="M331" s="686"/>
      <c r="N331" s="686"/>
      <c r="O331" s="688"/>
      <c r="P331" s="689"/>
      <c r="Q331" s="690"/>
      <c r="R331" s="608"/>
    </row>
    <row r="332" spans="1:18" ht="13.5" thickBot="1" x14ac:dyDescent="0.25">
      <c r="A332" s="349" t="s">
        <v>276</v>
      </c>
      <c r="B332" s="350" t="s">
        <v>876</v>
      </c>
      <c r="C332" s="349" t="s">
        <v>875</v>
      </c>
      <c r="D332" s="350" t="s">
        <v>868</v>
      </c>
      <c r="E332" s="350" t="s">
        <v>870</v>
      </c>
      <c r="F332" s="351" t="s">
        <v>834</v>
      </c>
      <c r="G332" s="350" t="s">
        <v>784</v>
      </c>
      <c r="H332" s="352" t="s">
        <v>77</v>
      </c>
      <c r="I332" s="693" t="s">
        <v>7</v>
      </c>
      <c r="J332" s="734">
        <v>100</v>
      </c>
      <c r="K332" s="356">
        <v>100</v>
      </c>
      <c r="L332" s="355"/>
      <c r="M332" s="686"/>
      <c r="N332" s="686"/>
      <c r="O332" s="688"/>
      <c r="P332" s="689"/>
      <c r="Q332" s="690"/>
      <c r="R332" s="608"/>
    </row>
    <row r="333" spans="1:18" ht="13.5" thickBot="1" x14ac:dyDescent="0.25">
      <c r="A333" s="349" t="s">
        <v>276</v>
      </c>
      <c r="B333" s="350" t="s">
        <v>874</v>
      </c>
      <c r="C333" s="349" t="s">
        <v>877</v>
      </c>
      <c r="D333" s="350" t="s">
        <v>109</v>
      </c>
      <c r="E333" s="350" t="s">
        <v>828</v>
      </c>
      <c r="F333" s="351" t="s">
        <v>829</v>
      </c>
      <c r="G333" s="350" t="s">
        <v>784</v>
      </c>
      <c r="H333" s="352" t="s">
        <v>77</v>
      </c>
      <c r="I333" s="693" t="s">
        <v>7</v>
      </c>
      <c r="J333" s="735">
        <v>100</v>
      </c>
      <c r="K333" s="353">
        <v>100</v>
      </c>
      <c r="L333" s="355"/>
      <c r="M333" s="686">
        <v>14</v>
      </c>
      <c r="N333" s="686">
        <v>8</v>
      </c>
      <c r="O333" s="688">
        <v>0.57099999999999995</v>
      </c>
      <c r="P333" s="688">
        <v>0.57099999999999995</v>
      </c>
      <c r="Q333" s="690">
        <v>0.56999999999999995</v>
      </c>
      <c r="R333" s="608"/>
    </row>
    <row r="334" spans="1:18" ht="13.5" thickBot="1" x14ac:dyDescent="0.25">
      <c r="A334" s="349" t="s">
        <v>276</v>
      </c>
      <c r="B334" s="350" t="s">
        <v>874</v>
      </c>
      <c r="C334" s="349" t="s">
        <v>877</v>
      </c>
      <c r="D334" s="350" t="s">
        <v>109</v>
      </c>
      <c r="E334" s="350" t="s">
        <v>828</v>
      </c>
      <c r="F334" s="351" t="s">
        <v>830</v>
      </c>
      <c r="G334" s="350" t="s">
        <v>831</v>
      </c>
      <c r="H334" s="352" t="s">
        <v>77</v>
      </c>
      <c r="I334" s="693" t="s">
        <v>7</v>
      </c>
      <c r="J334" s="735">
        <v>33</v>
      </c>
      <c r="K334" s="353">
        <v>33</v>
      </c>
      <c r="L334" s="354"/>
      <c r="M334" s="686">
        <v>14</v>
      </c>
      <c r="N334" s="686">
        <v>4</v>
      </c>
      <c r="O334" s="688">
        <v>0.28570000000000001</v>
      </c>
      <c r="P334" s="688">
        <v>0.28570000000000001</v>
      </c>
      <c r="Q334" s="690">
        <v>0.87</v>
      </c>
      <c r="R334" s="608"/>
    </row>
    <row r="335" spans="1:18" ht="26.25" thickBot="1" x14ac:dyDescent="0.25">
      <c r="A335" s="349" t="s">
        <v>276</v>
      </c>
      <c r="B335" s="350" t="s">
        <v>874</v>
      </c>
      <c r="C335" s="349" t="s">
        <v>877</v>
      </c>
      <c r="D335" s="350" t="s">
        <v>109</v>
      </c>
      <c r="E335" s="350" t="s">
        <v>832</v>
      </c>
      <c r="F335" s="351" t="s">
        <v>829</v>
      </c>
      <c r="G335" s="350" t="s">
        <v>790</v>
      </c>
      <c r="H335" s="352" t="s">
        <v>77</v>
      </c>
      <c r="I335" s="693" t="s">
        <v>7</v>
      </c>
      <c r="J335" s="735">
        <v>25</v>
      </c>
      <c r="K335" s="353">
        <v>25</v>
      </c>
      <c r="L335" s="355"/>
      <c r="M335" s="686">
        <v>14</v>
      </c>
      <c r="N335" s="686">
        <v>0</v>
      </c>
      <c r="O335" s="688">
        <v>0</v>
      </c>
      <c r="P335" s="689">
        <v>0</v>
      </c>
      <c r="Q335" s="690">
        <v>0</v>
      </c>
      <c r="R335" s="608"/>
    </row>
    <row r="336" spans="1:18" ht="26.25" thickBot="1" x14ac:dyDescent="0.25">
      <c r="A336" s="349" t="s">
        <v>276</v>
      </c>
      <c r="B336" s="350" t="s">
        <v>874</v>
      </c>
      <c r="C336" s="349" t="s">
        <v>877</v>
      </c>
      <c r="D336" s="350" t="s">
        <v>109</v>
      </c>
      <c r="E336" s="350" t="s">
        <v>832</v>
      </c>
      <c r="F336" s="351" t="s">
        <v>830</v>
      </c>
      <c r="G336" s="350" t="s">
        <v>790</v>
      </c>
      <c r="H336" s="352" t="s">
        <v>77</v>
      </c>
      <c r="I336" s="693" t="s">
        <v>7</v>
      </c>
      <c r="J336" s="735">
        <v>25</v>
      </c>
      <c r="K336" s="353">
        <v>25</v>
      </c>
      <c r="L336" s="355"/>
      <c r="M336" s="686">
        <v>14</v>
      </c>
      <c r="N336" s="686">
        <v>0</v>
      </c>
      <c r="O336" s="688">
        <v>0</v>
      </c>
      <c r="P336" s="689">
        <v>0</v>
      </c>
      <c r="Q336" s="690">
        <v>0</v>
      </c>
      <c r="R336" s="608"/>
    </row>
    <row r="337" spans="1:18" ht="26.25" thickBot="1" x14ac:dyDescent="0.25">
      <c r="A337" s="349" t="s">
        <v>276</v>
      </c>
      <c r="B337" s="350" t="s">
        <v>874</v>
      </c>
      <c r="C337" s="349" t="s">
        <v>877</v>
      </c>
      <c r="D337" s="350" t="s">
        <v>109</v>
      </c>
      <c r="E337" s="350" t="s">
        <v>833</v>
      </c>
      <c r="F337" s="351" t="s">
        <v>834</v>
      </c>
      <c r="G337" s="350" t="s">
        <v>790</v>
      </c>
      <c r="H337" s="352" t="s">
        <v>77</v>
      </c>
      <c r="I337" s="693" t="s">
        <v>7</v>
      </c>
      <c r="J337" s="735">
        <v>25</v>
      </c>
      <c r="K337" s="353">
        <v>25</v>
      </c>
      <c r="L337" s="355"/>
      <c r="M337" s="686">
        <v>14</v>
      </c>
      <c r="N337" s="686">
        <v>0</v>
      </c>
      <c r="O337" s="688">
        <v>0</v>
      </c>
      <c r="P337" s="689">
        <v>0</v>
      </c>
      <c r="Q337" s="690">
        <v>0</v>
      </c>
      <c r="R337" s="608"/>
    </row>
    <row r="338" spans="1:18" ht="26.25" thickBot="1" x14ac:dyDescent="0.25">
      <c r="A338" s="349" t="s">
        <v>276</v>
      </c>
      <c r="B338" s="350" t="s">
        <v>874</v>
      </c>
      <c r="C338" s="349" t="s">
        <v>877</v>
      </c>
      <c r="D338" s="350" t="s">
        <v>109</v>
      </c>
      <c r="E338" s="350" t="s">
        <v>833</v>
      </c>
      <c r="F338" s="351" t="s">
        <v>835</v>
      </c>
      <c r="G338" s="350" t="s">
        <v>790</v>
      </c>
      <c r="H338" s="352" t="s">
        <v>77</v>
      </c>
      <c r="I338" s="693" t="s">
        <v>7</v>
      </c>
      <c r="J338" s="735">
        <v>33</v>
      </c>
      <c r="K338" s="353">
        <v>33</v>
      </c>
      <c r="L338" s="354"/>
      <c r="M338" s="686">
        <v>14</v>
      </c>
      <c r="N338" s="686">
        <v>4</v>
      </c>
      <c r="O338" s="688">
        <v>0.28570000000000001</v>
      </c>
      <c r="P338" s="688">
        <v>0.28570000000000001</v>
      </c>
      <c r="Q338" s="690">
        <v>0.87</v>
      </c>
      <c r="R338" s="608"/>
    </row>
    <row r="339" spans="1:18" ht="26.25" thickBot="1" x14ac:dyDescent="0.25">
      <c r="A339" s="349" t="s">
        <v>276</v>
      </c>
      <c r="B339" s="350" t="s">
        <v>874</v>
      </c>
      <c r="C339" s="349" t="s">
        <v>877</v>
      </c>
      <c r="D339" s="350" t="s">
        <v>109</v>
      </c>
      <c r="E339" s="350" t="s">
        <v>836</v>
      </c>
      <c r="F339" s="351" t="s">
        <v>834</v>
      </c>
      <c r="G339" s="350" t="s">
        <v>790</v>
      </c>
      <c r="H339" s="352" t="s">
        <v>77</v>
      </c>
      <c r="I339" s="693" t="s">
        <v>7</v>
      </c>
      <c r="J339" s="735">
        <v>25</v>
      </c>
      <c r="K339" s="353">
        <v>25</v>
      </c>
      <c r="L339" s="355"/>
      <c r="M339" s="686">
        <v>14</v>
      </c>
      <c r="N339" s="686">
        <v>0</v>
      </c>
      <c r="O339" s="688">
        <v>0</v>
      </c>
      <c r="P339" s="689">
        <v>0</v>
      </c>
      <c r="Q339" s="690">
        <v>0</v>
      </c>
      <c r="R339" s="608"/>
    </row>
    <row r="340" spans="1:18" ht="26.25" thickBot="1" x14ac:dyDescent="0.25">
      <c r="A340" s="349" t="s">
        <v>276</v>
      </c>
      <c r="B340" s="350" t="s">
        <v>874</v>
      </c>
      <c r="C340" s="349" t="s">
        <v>877</v>
      </c>
      <c r="D340" s="350" t="s">
        <v>109</v>
      </c>
      <c r="E340" s="350" t="s">
        <v>837</v>
      </c>
      <c r="F340" s="351" t="s">
        <v>834</v>
      </c>
      <c r="G340" s="350" t="s">
        <v>790</v>
      </c>
      <c r="H340" s="352" t="s">
        <v>77</v>
      </c>
      <c r="I340" s="693" t="s">
        <v>7</v>
      </c>
      <c r="J340" s="735">
        <v>25</v>
      </c>
      <c r="K340" s="353">
        <v>25</v>
      </c>
      <c r="L340" s="355"/>
      <c r="M340" s="686">
        <v>14</v>
      </c>
      <c r="N340" s="686">
        <v>0</v>
      </c>
      <c r="O340" s="688">
        <v>0</v>
      </c>
      <c r="P340" s="689">
        <v>0</v>
      </c>
      <c r="Q340" s="690">
        <v>0</v>
      </c>
      <c r="R340" s="608"/>
    </row>
    <row r="341" spans="1:18" ht="13.5" thickBot="1" x14ac:dyDescent="0.25">
      <c r="A341" s="349" t="s">
        <v>276</v>
      </c>
      <c r="B341" s="350" t="s">
        <v>874</v>
      </c>
      <c r="C341" s="349" t="s">
        <v>877</v>
      </c>
      <c r="D341" s="350" t="s">
        <v>109</v>
      </c>
      <c r="E341" s="350" t="s">
        <v>838</v>
      </c>
      <c r="F341" s="351" t="s">
        <v>834</v>
      </c>
      <c r="G341" s="350" t="s">
        <v>784</v>
      </c>
      <c r="H341" s="352" t="s">
        <v>77</v>
      </c>
      <c r="I341" s="693" t="s">
        <v>7</v>
      </c>
      <c r="J341" s="735">
        <v>100</v>
      </c>
      <c r="K341" s="353">
        <v>100</v>
      </c>
      <c r="L341" s="355"/>
      <c r="M341" s="686">
        <v>14</v>
      </c>
      <c r="N341" s="686">
        <v>8</v>
      </c>
      <c r="O341" s="688">
        <v>0.57099999999999995</v>
      </c>
      <c r="P341" s="688">
        <v>0.57099999999999995</v>
      </c>
      <c r="Q341" s="690">
        <v>0.56999999999999995</v>
      </c>
      <c r="R341" s="608"/>
    </row>
    <row r="342" spans="1:18" ht="13.5" thickBot="1" x14ac:dyDescent="0.25">
      <c r="A342" s="349" t="s">
        <v>276</v>
      </c>
      <c r="B342" s="350" t="s">
        <v>874</v>
      </c>
      <c r="C342" s="349" t="s">
        <v>877</v>
      </c>
      <c r="D342" s="350" t="s">
        <v>109</v>
      </c>
      <c r="E342" s="350" t="s">
        <v>839</v>
      </c>
      <c r="F342" s="351" t="s">
        <v>834</v>
      </c>
      <c r="G342" s="350" t="s">
        <v>784</v>
      </c>
      <c r="H342" s="352" t="s">
        <v>77</v>
      </c>
      <c r="I342" s="693" t="s">
        <v>7</v>
      </c>
      <c r="J342" s="734">
        <v>100</v>
      </c>
      <c r="K342" s="356">
        <v>100</v>
      </c>
      <c r="L342" s="355"/>
      <c r="M342" s="686">
        <v>14</v>
      </c>
      <c r="N342" s="686">
        <v>8</v>
      </c>
      <c r="O342" s="688">
        <v>0.57099999999999995</v>
      </c>
      <c r="P342" s="688">
        <v>0.57099999999999995</v>
      </c>
      <c r="Q342" s="690">
        <v>0.56999999999999995</v>
      </c>
      <c r="R342" s="608"/>
    </row>
    <row r="343" spans="1:18" ht="26.25" thickBot="1" x14ac:dyDescent="0.25">
      <c r="A343" s="349" t="s">
        <v>276</v>
      </c>
      <c r="B343" s="350" t="s">
        <v>874</v>
      </c>
      <c r="C343" s="349" t="s">
        <v>877</v>
      </c>
      <c r="D343" s="350" t="s">
        <v>109</v>
      </c>
      <c r="E343" s="350" t="s">
        <v>840</v>
      </c>
      <c r="F343" s="351" t="s">
        <v>834</v>
      </c>
      <c r="G343" s="350" t="s">
        <v>790</v>
      </c>
      <c r="H343" s="352" t="s">
        <v>77</v>
      </c>
      <c r="I343" s="693" t="s">
        <v>7</v>
      </c>
      <c r="J343" s="734">
        <v>25</v>
      </c>
      <c r="K343" s="356">
        <v>25</v>
      </c>
      <c r="L343" s="355"/>
      <c r="M343" s="686">
        <v>14</v>
      </c>
      <c r="N343" s="686">
        <v>0</v>
      </c>
      <c r="O343" s="688">
        <v>0</v>
      </c>
      <c r="P343" s="689">
        <v>0</v>
      </c>
      <c r="Q343" s="690">
        <v>0</v>
      </c>
      <c r="R343" s="608"/>
    </row>
    <row r="344" spans="1:18" ht="26.25" thickBot="1" x14ac:dyDescent="0.25">
      <c r="A344" s="349" t="s">
        <v>276</v>
      </c>
      <c r="B344" s="350" t="s">
        <v>874</v>
      </c>
      <c r="C344" s="349" t="s">
        <v>877</v>
      </c>
      <c r="D344" s="350" t="s">
        <v>109</v>
      </c>
      <c r="E344" s="350" t="s">
        <v>841</v>
      </c>
      <c r="F344" s="351" t="s">
        <v>834</v>
      </c>
      <c r="G344" s="350" t="s">
        <v>790</v>
      </c>
      <c r="H344" s="352" t="s">
        <v>77</v>
      </c>
      <c r="I344" s="693" t="s">
        <v>7</v>
      </c>
      <c r="J344" s="734">
        <v>25</v>
      </c>
      <c r="K344" s="356">
        <v>25</v>
      </c>
      <c r="L344" s="355"/>
      <c r="M344" s="686">
        <v>14</v>
      </c>
      <c r="N344" s="686">
        <v>0</v>
      </c>
      <c r="O344" s="688">
        <v>0</v>
      </c>
      <c r="P344" s="689">
        <v>0</v>
      </c>
      <c r="Q344" s="690">
        <v>0</v>
      </c>
      <c r="R344" s="608"/>
    </row>
    <row r="345" spans="1:18" ht="13.5" thickBot="1" x14ac:dyDescent="0.25">
      <c r="A345" s="349" t="s">
        <v>276</v>
      </c>
      <c r="B345" s="350" t="s">
        <v>874</v>
      </c>
      <c r="C345" s="349" t="s">
        <v>877</v>
      </c>
      <c r="D345" s="350" t="s">
        <v>109</v>
      </c>
      <c r="E345" s="350" t="s">
        <v>842</v>
      </c>
      <c r="F345" s="357" t="s">
        <v>843</v>
      </c>
      <c r="G345" s="350" t="s">
        <v>784</v>
      </c>
      <c r="H345" s="352" t="s">
        <v>77</v>
      </c>
      <c r="I345" s="693" t="s">
        <v>7</v>
      </c>
      <c r="J345" s="734">
        <v>100</v>
      </c>
      <c r="K345" s="356">
        <v>100</v>
      </c>
      <c r="L345" s="355"/>
      <c r="M345" s="686">
        <v>14</v>
      </c>
      <c r="N345" s="686">
        <v>8</v>
      </c>
      <c r="O345" s="688">
        <v>0.57099999999999995</v>
      </c>
      <c r="P345" s="688">
        <v>0.57099999999999995</v>
      </c>
      <c r="Q345" s="690">
        <v>0.56999999999999995</v>
      </c>
      <c r="R345" s="608"/>
    </row>
    <row r="346" spans="1:18" ht="13.5" thickBot="1" x14ac:dyDescent="0.25">
      <c r="A346" s="349" t="s">
        <v>276</v>
      </c>
      <c r="B346" s="350" t="s">
        <v>874</v>
      </c>
      <c r="C346" s="349" t="s">
        <v>877</v>
      </c>
      <c r="D346" s="350" t="s">
        <v>109</v>
      </c>
      <c r="E346" s="350" t="s">
        <v>844</v>
      </c>
      <c r="F346" s="357" t="s">
        <v>843</v>
      </c>
      <c r="G346" s="350" t="s">
        <v>784</v>
      </c>
      <c r="H346" s="352" t="s">
        <v>77</v>
      </c>
      <c r="I346" s="693" t="s">
        <v>7</v>
      </c>
      <c r="J346" s="734">
        <v>100</v>
      </c>
      <c r="K346" s="356">
        <v>100</v>
      </c>
      <c r="L346" s="355"/>
      <c r="M346" s="686">
        <v>14</v>
      </c>
      <c r="N346" s="686">
        <v>8</v>
      </c>
      <c r="O346" s="688">
        <v>0.57099999999999995</v>
      </c>
      <c r="P346" s="688">
        <v>0.57099999999999995</v>
      </c>
      <c r="Q346" s="690">
        <v>0.56999999999999995</v>
      </c>
      <c r="R346" s="608"/>
    </row>
    <row r="347" spans="1:18" ht="26.25" thickBot="1" x14ac:dyDescent="0.25">
      <c r="A347" s="349" t="s">
        <v>276</v>
      </c>
      <c r="B347" s="350" t="s">
        <v>874</v>
      </c>
      <c r="C347" s="349" t="s">
        <v>877</v>
      </c>
      <c r="D347" s="350" t="s">
        <v>109</v>
      </c>
      <c r="E347" s="350" t="s">
        <v>845</v>
      </c>
      <c r="F347" s="357" t="s">
        <v>830</v>
      </c>
      <c r="G347" s="350" t="s">
        <v>790</v>
      </c>
      <c r="H347" s="352" t="s">
        <v>77</v>
      </c>
      <c r="I347" s="693" t="s">
        <v>7</v>
      </c>
      <c r="J347" s="734">
        <v>33</v>
      </c>
      <c r="K347" s="356">
        <v>33</v>
      </c>
      <c r="L347" s="355"/>
      <c r="M347" s="686">
        <v>14</v>
      </c>
      <c r="N347" s="686">
        <v>4</v>
      </c>
      <c r="O347" s="688">
        <v>0.28570000000000001</v>
      </c>
      <c r="P347" s="688">
        <v>0.28570000000000001</v>
      </c>
      <c r="Q347" s="690">
        <v>0.87</v>
      </c>
      <c r="R347" s="608"/>
    </row>
    <row r="348" spans="1:18" ht="26.25" thickBot="1" x14ac:dyDescent="0.25">
      <c r="A348" s="349" t="s">
        <v>276</v>
      </c>
      <c r="B348" s="350" t="s">
        <v>874</v>
      </c>
      <c r="C348" s="349" t="s">
        <v>877</v>
      </c>
      <c r="D348" s="350" t="s">
        <v>109</v>
      </c>
      <c r="E348" s="350" t="s">
        <v>846</v>
      </c>
      <c r="F348" s="357" t="s">
        <v>830</v>
      </c>
      <c r="G348" s="350" t="s">
        <v>790</v>
      </c>
      <c r="H348" s="352" t="s">
        <v>77</v>
      </c>
      <c r="I348" s="693" t="s">
        <v>7</v>
      </c>
      <c r="J348" s="734">
        <v>33</v>
      </c>
      <c r="K348" s="356">
        <v>33</v>
      </c>
      <c r="L348" s="355"/>
      <c r="M348" s="686">
        <v>14</v>
      </c>
      <c r="N348" s="686">
        <v>4</v>
      </c>
      <c r="O348" s="688">
        <v>0.28570000000000001</v>
      </c>
      <c r="P348" s="688">
        <v>0.28570000000000001</v>
      </c>
      <c r="Q348" s="690">
        <v>0.87</v>
      </c>
      <c r="R348" s="608"/>
    </row>
    <row r="349" spans="1:18" ht="26.25" thickBot="1" x14ac:dyDescent="0.25">
      <c r="A349" s="349" t="s">
        <v>276</v>
      </c>
      <c r="B349" s="350" t="s">
        <v>874</v>
      </c>
      <c r="C349" s="349" t="s">
        <v>877</v>
      </c>
      <c r="D349" s="350" t="s">
        <v>109</v>
      </c>
      <c r="E349" s="350" t="s">
        <v>847</v>
      </c>
      <c r="F349" s="357" t="s">
        <v>830</v>
      </c>
      <c r="G349" s="350" t="s">
        <v>790</v>
      </c>
      <c r="H349" s="352" t="s">
        <v>77</v>
      </c>
      <c r="I349" s="693" t="s">
        <v>7</v>
      </c>
      <c r="J349" s="734">
        <v>33</v>
      </c>
      <c r="K349" s="356">
        <v>33</v>
      </c>
      <c r="L349" s="355"/>
      <c r="M349" s="686">
        <v>14</v>
      </c>
      <c r="N349" s="686">
        <v>4</v>
      </c>
      <c r="O349" s="688">
        <v>0.28570000000000001</v>
      </c>
      <c r="P349" s="688">
        <v>0.28570000000000001</v>
      </c>
      <c r="Q349" s="690">
        <v>0.87</v>
      </c>
      <c r="R349" s="608"/>
    </row>
    <row r="350" spans="1:18" ht="26.25" thickBot="1" x14ac:dyDescent="0.25">
      <c r="A350" s="349" t="s">
        <v>276</v>
      </c>
      <c r="B350" s="350" t="s">
        <v>874</v>
      </c>
      <c r="C350" s="349" t="s">
        <v>877</v>
      </c>
      <c r="D350" s="350" t="s">
        <v>109</v>
      </c>
      <c r="E350" s="350" t="s">
        <v>848</v>
      </c>
      <c r="F350" s="357" t="s">
        <v>830</v>
      </c>
      <c r="G350" s="350" t="s">
        <v>790</v>
      </c>
      <c r="H350" s="352" t="s">
        <v>77</v>
      </c>
      <c r="I350" s="693" t="s">
        <v>7</v>
      </c>
      <c r="J350" s="734">
        <v>33</v>
      </c>
      <c r="K350" s="356">
        <v>33</v>
      </c>
      <c r="L350" s="355"/>
      <c r="M350" s="686">
        <v>14</v>
      </c>
      <c r="N350" s="686">
        <v>4</v>
      </c>
      <c r="O350" s="688">
        <v>0.28570000000000001</v>
      </c>
      <c r="P350" s="688">
        <v>0.28570000000000001</v>
      </c>
      <c r="Q350" s="690">
        <v>0.87</v>
      </c>
      <c r="R350" s="608"/>
    </row>
    <row r="351" spans="1:18" ht="26.25" thickBot="1" x14ac:dyDescent="0.25">
      <c r="A351" s="349" t="s">
        <v>276</v>
      </c>
      <c r="B351" s="350" t="s">
        <v>874</v>
      </c>
      <c r="C351" s="349" t="s">
        <v>877</v>
      </c>
      <c r="D351" s="350" t="s">
        <v>109</v>
      </c>
      <c r="E351" s="350" t="s">
        <v>849</v>
      </c>
      <c r="F351" s="357" t="s">
        <v>830</v>
      </c>
      <c r="G351" s="350" t="s">
        <v>790</v>
      </c>
      <c r="H351" s="352" t="s">
        <v>77</v>
      </c>
      <c r="I351" s="693" t="s">
        <v>7</v>
      </c>
      <c r="J351" s="734">
        <v>33</v>
      </c>
      <c r="K351" s="356">
        <v>33</v>
      </c>
      <c r="L351" s="355"/>
      <c r="M351" s="686">
        <v>14</v>
      </c>
      <c r="N351" s="686">
        <v>4</v>
      </c>
      <c r="O351" s="688">
        <v>0.28570000000000001</v>
      </c>
      <c r="P351" s="688">
        <v>0.28570000000000001</v>
      </c>
      <c r="Q351" s="690">
        <v>0.87</v>
      </c>
      <c r="R351" s="608"/>
    </row>
    <row r="352" spans="1:18" ht="26.25" thickBot="1" x14ac:dyDescent="0.25">
      <c r="A352" s="349" t="s">
        <v>276</v>
      </c>
      <c r="B352" s="350" t="s">
        <v>874</v>
      </c>
      <c r="C352" s="349" t="s">
        <v>877</v>
      </c>
      <c r="D352" s="350" t="s">
        <v>109</v>
      </c>
      <c r="E352" s="350" t="s">
        <v>850</v>
      </c>
      <c r="F352" s="357" t="s">
        <v>830</v>
      </c>
      <c r="G352" s="350" t="s">
        <v>790</v>
      </c>
      <c r="H352" s="352" t="s">
        <v>77</v>
      </c>
      <c r="I352" s="693" t="s">
        <v>7</v>
      </c>
      <c r="J352" s="734">
        <v>33</v>
      </c>
      <c r="K352" s="356">
        <v>33</v>
      </c>
      <c r="L352" s="355"/>
      <c r="M352" s="686">
        <v>14</v>
      </c>
      <c r="N352" s="686">
        <v>4</v>
      </c>
      <c r="O352" s="688">
        <v>0.28570000000000001</v>
      </c>
      <c r="P352" s="688">
        <v>0.28570000000000001</v>
      </c>
      <c r="Q352" s="690">
        <v>0.87</v>
      </c>
      <c r="R352" s="608"/>
    </row>
    <row r="353" spans="1:18" ht="13.5" thickBot="1" x14ac:dyDescent="0.25">
      <c r="A353" s="349" t="s">
        <v>276</v>
      </c>
      <c r="B353" s="350" t="s">
        <v>874</v>
      </c>
      <c r="C353" s="349" t="s">
        <v>877</v>
      </c>
      <c r="D353" s="350" t="s">
        <v>109</v>
      </c>
      <c r="E353" s="350" t="s">
        <v>851</v>
      </c>
      <c r="F353" s="357" t="s">
        <v>834</v>
      </c>
      <c r="G353" s="350" t="s">
        <v>784</v>
      </c>
      <c r="H353" s="352" t="s">
        <v>77</v>
      </c>
      <c r="I353" s="693" t="s">
        <v>7</v>
      </c>
      <c r="J353" s="734">
        <v>100</v>
      </c>
      <c r="K353" s="356">
        <v>100</v>
      </c>
      <c r="L353" s="355"/>
      <c r="M353" s="686">
        <v>14</v>
      </c>
      <c r="N353" s="686">
        <v>8</v>
      </c>
      <c r="O353" s="688">
        <v>0.57099999999999995</v>
      </c>
      <c r="P353" s="688">
        <v>0.57099999999999995</v>
      </c>
      <c r="Q353" s="690">
        <v>0.56999999999999995</v>
      </c>
      <c r="R353" s="608"/>
    </row>
    <row r="354" spans="1:18" ht="13.5" thickBot="1" x14ac:dyDescent="0.25">
      <c r="A354" s="349" t="s">
        <v>276</v>
      </c>
      <c r="B354" s="350" t="s">
        <v>874</v>
      </c>
      <c r="C354" s="349" t="s">
        <v>877</v>
      </c>
      <c r="D354" s="350" t="s">
        <v>109</v>
      </c>
      <c r="E354" s="350" t="s">
        <v>852</v>
      </c>
      <c r="F354" s="357" t="s">
        <v>834</v>
      </c>
      <c r="G354" s="350" t="s">
        <v>784</v>
      </c>
      <c r="H354" s="352" t="s">
        <v>77</v>
      </c>
      <c r="I354" s="693" t="s">
        <v>7</v>
      </c>
      <c r="J354" s="734">
        <v>100</v>
      </c>
      <c r="K354" s="356">
        <v>100</v>
      </c>
      <c r="L354" s="355"/>
      <c r="M354" s="686">
        <v>14</v>
      </c>
      <c r="N354" s="686">
        <v>8</v>
      </c>
      <c r="O354" s="688">
        <v>0.57099999999999995</v>
      </c>
      <c r="P354" s="688">
        <v>0.57099999999999995</v>
      </c>
      <c r="Q354" s="690">
        <v>0.56999999999999995</v>
      </c>
      <c r="R354" s="608"/>
    </row>
    <row r="355" spans="1:18" ht="26.25" thickBot="1" x14ac:dyDescent="0.25">
      <c r="A355" s="349" t="s">
        <v>276</v>
      </c>
      <c r="B355" s="350" t="s">
        <v>874</v>
      </c>
      <c r="C355" s="349" t="s">
        <v>877</v>
      </c>
      <c r="D355" s="350" t="s">
        <v>109</v>
      </c>
      <c r="E355" s="350" t="s">
        <v>853</v>
      </c>
      <c r="F355" s="357" t="s">
        <v>834</v>
      </c>
      <c r="G355" s="350" t="s">
        <v>784</v>
      </c>
      <c r="H355" s="352" t="s">
        <v>77</v>
      </c>
      <c r="I355" s="693" t="s">
        <v>7</v>
      </c>
      <c r="J355" s="734">
        <v>100</v>
      </c>
      <c r="K355" s="356">
        <v>100</v>
      </c>
      <c r="L355" s="355"/>
      <c r="M355" s="686">
        <v>14</v>
      </c>
      <c r="N355" s="686">
        <v>8</v>
      </c>
      <c r="O355" s="688">
        <v>0.57099999999999995</v>
      </c>
      <c r="P355" s="688">
        <v>0.57099999999999995</v>
      </c>
      <c r="Q355" s="690">
        <v>0.56999999999999995</v>
      </c>
      <c r="R355" s="608"/>
    </row>
    <row r="356" spans="1:18" ht="13.5" thickBot="1" x14ac:dyDescent="0.25">
      <c r="A356" s="349" t="s">
        <v>276</v>
      </c>
      <c r="B356" s="350" t="s">
        <v>874</v>
      </c>
      <c r="C356" s="349" t="s">
        <v>877</v>
      </c>
      <c r="D356" s="350" t="s">
        <v>109</v>
      </c>
      <c r="E356" s="350" t="s">
        <v>854</v>
      </c>
      <c r="F356" s="351" t="s">
        <v>829</v>
      </c>
      <c r="G356" s="350" t="s">
        <v>784</v>
      </c>
      <c r="H356" s="352" t="s">
        <v>77</v>
      </c>
      <c r="I356" s="693" t="s">
        <v>7</v>
      </c>
      <c r="J356" s="734">
        <v>100</v>
      </c>
      <c r="K356" s="356">
        <v>100</v>
      </c>
      <c r="L356" s="355"/>
      <c r="M356" s="686">
        <v>14</v>
      </c>
      <c r="N356" s="686">
        <v>8</v>
      </c>
      <c r="O356" s="688">
        <v>0.57099999999999995</v>
      </c>
      <c r="P356" s="688">
        <v>0.57099999999999995</v>
      </c>
      <c r="Q356" s="690">
        <v>0.56999999999999995</v>
      </c>
      <c r="R356" s="608"/>
    </row>
    <row r="357" spans="1:18" ht="26.25" thickBot="1" x14ac:dyDescent="0.25">
      <c r="A357" s="349" t="s">
        <v>276</v>
      </c>
      <c r="B357" s="350" t="s">
        <v>874</v>
      </c>
      <c r="C357" s="349" t="s">
        <v>877</v>
      </c>
      <c r="D357" s="350" t="s">
        <v>109</v>
      </c>
      <c r="E357" s="350" t="s">
        <v>854</v>
      </c>
      <c r="F357" s="351" t="s">
        <v>830</v>
      </c>
      <c r="G357" s="350" t="s">
        <v>790</v>
      </c>
      <c r="H357" s="352" t="s">
        <v>77</v>
      </c>
      <c r="I357" s="693" t="s">
        <v>7</v>
      </c>
      <c r="J357" s="734">
        <v>33</v>
      </c>
      <c r="K357" s="356">
        <v>33</v>
      </c>
      <c r="L357" s="354"/>
      <c r="M357" s="686">
        <v>14</v>
      </c>
      <c r="N357" s="686">
        <v>4</v>
      </c>
      <c r="O357" s="688">
        <v>0.28570000000000001</v>
      </c>
      <c r="P357" s="688">
        <v>0.28570000000000001</v>
      </c>
      <c r="Q357" s="690">
        <v>0.87</v>
      </c>
      <c r="R357" s="608"/>
    </row>
    <row r="358" spans="1:18" ht="26.25" thickBot="1" x14ac:dyDescent="0.25">
      <c r="A358" s="349" t="s">
        <v>276</v>
      </c>
      <c r="B358" s="350" t="s">
        <v>874</v>
      </c>
      <c r="C358" s="349" t="s">
        <v>877</v>
      </c>
      <c r="D358" s="350" t="s">
        <v>109</v>
      </c>
      <c r="E358" s="350" t="s">
        <v>855</v>
      </c>
      <c r="F358" s="357" t="s">
        <v>834</v>
      </c>
      <c r="G358" s="350" t="s">
        <v>790</v>
      </c>
      <c r="H358" s="352" t="s">
        <v>77</v>
      </c>
      <c r="I358" s="693" t="s">
        <v>7</v>
      </c>
      <c r="J358" s="734">
        <v>25</v>
      </c>
      <c r="K358" s="356">
        <v>25</v>
      </c>
      <c r="L358" s="355"/>
      <c r="M358" s="686">
        <v>14</v>
      </c>
      <c r="N358" s="686">
        <v>0</v>
      </c>
      <c r="O358" s="688">
        <v>0</v>
      </c>
      <c r="P358" s="689">
        <v>0</v>
      </c>
      <c r="Q358" s="690">
        <v>0</v>
      </c>
      <c r="R358" s="608"/>
    </row>
    <row r="359" spans="1:18" ht="39" thickBot="1" x14ac:dyDescent="0.25">
      <c r="A359" s="349" t="s">
        <v>276</v>
      </c>
      <c r="B359" s="350" t="s">
        <v>874</v>
      </c>
      <c r="C359" s="349" t="s">
        <v>877</v>
      </c>
      <c r="D359" s="350" t="s">
        <v>109</v>
      </c>
      <c r="E359" s="350" t="s">
        <v>856</v>
      </c>
      <c r="F359" s="357" t="s">
        <v>834</v>
      </c>
      <c r="G359" s="350" t="s">
        <v>790</v>
      </c>
      <c r="H359" s="352" t="s">
        <v>77</v>
      </c>
      <c r="I359" s="693" t="s">
        <v>7</v>
      </c>
      <c r="J359" s="734">
        <v>25</v>
      </c>
      <c r="K359" s="356">
        <v>25</v>
      </c>
      <c r="L359" s="355"/>
      <c r="M359" s="686">
        <v>14</v>
      </c>
      <c r="N359" s="686">
        <v>0</v>
      </c>
      <c r="O359" s="688">
        <v>0</v>
      </c>
      <c r="P359" s="689">
        <v>0</v>
      </c>
      <c r="Q359" s="690">
        <v>0</v>
      </c>
      <c r="R359" s="608"/>
    </row>
    <row r="360" spans="1:18" ht="39" thickBot="1" x14ac:dyDescent="0.25">
      <c r="A360" s="349" t="s">
        <v>276</v>
      </c>
      <c r="B360" s="350" t="s">
        <v>874</v>
      </c>
      <c r="C360" s="349" t="s">
        <v>877</v>
      </c>
      <c r="D360" s="350" t="s">
        <v>109</v>
      </c>
      <c r="E360" s="350" t="s">
        <v>857</v>
      </c>
      <c r="F360" s="357" t="s">
        <v>834</v>
      </c>
      <c r="G360" s="350" t="s">
        <v>784</v>
      </c>
      <c r="H360" s="352" t="s">
        <v>77</v>
      </c>
      <c r="I360" s="693" t="s">
        <v>7</v>
      </c>
      <c r="J360" s="734">
        <v>100</v>
      </c>
      <c r="K360" s="356">
        <v>100</v>
      </c>
      <c r="L360" s="355"/>
      <c r="M360" s="686">
        <v>14</v>
      </c>
      <c r="N360" s="686">
        <v>8</v>
      </c>
      <c r="O360" s="688">
        <v>0.57099999999999995</v>
      </c>
      <c r="P360" s="688">
        <v>0.57099999999999995</v>
      </c>
      <c r="Q360" s="690">
        <v>0.56999999999999995</v>
      </c>
      <c r="R360" s="608"/>
    </row>
    <row r="361" spans="1:18" ht="13.5" thickBot="1" x14ac:dyDescent="0.25">
      <c r="A361" s="349" t="s">
        <v>276</v>
      </c>
      <c r="B361" s="350" t="s">
        <v>874</v>
      </c>
      <c r="C361" s="349" t="s">
        <v>877</v>
      </c>
      <c r="D361" s="350" t="s">
        <v>808</v>
      </c>
      <c r="E361" s="350" t="s">
        <v>858</v>
      </c>
      <c r="F361" s="357" t="s">
        <v>834</v>
      </c>
      <c r="G361" s="350" t="s">
        <v>784</v>
      </c>
      <c r="H361" s="352" t="s">
        <v>77</v>
      </c>
      <c r="I361" s="693" t="s">
        <v>7</v>
      </c>
      <c r="J361" s="734">
        <v>100</v>
      </c>
      <c r="K361" s="356">
        <v>100</v>
      </c>
      <c r="L361" s="355"/>
      <c r="M361" s="686">
        <v>14</v>
      </c>
      <c r="N361" s="686">
        <v>8</v>
      </c>
      <c r="O361" s="688">
        <v>0.57099999999999995</v>
      </c>
      <c r="P361" s="688">
        <v>0.57099999999999995</v>
      </c>
      <c r="Q361" s="690">
        <v>0.56999999999999995</v>
      </c>
      <c r="R361" s="608"/>
    </row>
    <row r="362" spans="1:18" ht="13.5" thickBot="1" x14ac:dyDescent="0.25">
      <c r="A362" s="349" t="s">
        <v>276</v>
      </c>
      <c r="B362" s="350" t="s">
        <v>874</v>
      </c>
      <c r="C362" s="349" t="s">
        <v>877</v>
      </c>
      <c r="D362" s="350" t="s">
        <v>808</v>
      </c>
      <c r="E362" s="350" t="s">
        <v>859</v>
      </c>
      <c r="F362" s="357" t="s">
        <v>834</v>
      </c>
      <c r="G362" s="350" t="s">
        <v>784</v>
      </c>
      <c r="H362" s="352" t="s">
        <v>77</v>
      </c>
      <c r="I362" s="693" t="s">
        <v>7</v>
      </c>
      <c r="J362" s="734">
        <v>100</v>
      </c>
      <c r="K362" s="356">
        <v>100</v>
      </c>
      <c r="L362" s="355"/>
      <c r="M362" s="686">
        <v>14</v>
      </c>
      <c r="N362" s="686">
        <v>8</v>
      </c>
      <c r="O362" s="688">
        <v>0.57099999999999995</v>
      </c>
      <c r="P362" s="688">
        <v>0.57099999999999995</v>
      </c>
      <c r="Q362" s="690">
        <v>0.56999999999999995</v>
      </c>
      <c r="R362" s="608"/>
    </row>
    <row r="363" spans="1:18" ht="26.25" thickBot="1" x14ac:dyDescent="0.25">
      <c r="A363" s="349" t="s">
        <v>276</v>
      </c>
      <c r="B363" s="350" t="s">
        <v>874</v>
      </c>
      <c r="C363" s="349" t="s">
        <v>877</v>
      </c>
      <c r="D363" s="350" t="s">
        <v>808</v>
      </c>
      <c r="E363" s="350" t="s">
        <v>860</v>
      </c>
      <c r="F363" s="357" t="s">
        <v>834</v>
      </c>
      <c r="G363" s="350" t="s">
        <v>790</v>
      </c>
      <c r="H363" s="352" t="s">
        <v>77</v>
      </c>
      <c r="I363" s="693" t="s">
        <v>7</v>
      </c>
      <c r="J363" s="734">
        <v>25</v>
      </c>
      <c r="K363" s="356">
        <v>25</v>
      </c>
      <c r="L363" s="355"/>
      <c r="M363" s="686">
        <v>14</v>
      </c>
      <c r="N363" s="686">
        <v>0</v>
      </c>
      <c r="O363" s="688">
        <v>0</v>
      </c>
      <c r="P363" s="689">
        <v>0</v>
      </c>
      <c r="Q363" s="690">
        <v>0</v>
      </c>
      <c r="R363" s="608"/>
    </row>
    <row r="364" spans="1:18" ht="26.25" thickBot="1" x14ac:dyDescent="0.25">
      <c r="A364" s="349" t="s">
        <v>276</v>
      </c>
      <c r="B364" s="350" t="s">
        <v>874</v>
      </c>
      <c r="C364" s="349" t="s">
        <v>877</v>
      </c>
      <c r="D364" s="350" t="s">
        <v>808</v>
      </c>
      <c r="E364" s="350" t="s">
        <v>861</v>
      </c>
      <c r="F364" s="357" t="s">
        <v>834</v>
      </c>
      <c r="G364" s="350" t="s">
        <v>790</v>
      </c>
      <c r="H364" s="352" t="s">
        <v>77</v>
      </c>
      <c r="I364" s="693" t="s">
        <v>7</v>
      </c>
      <c r="J364" s="734">
        <v>25</v>
      </c>
      <c r="K364" s="356">
        <v>25</v>
      </c>
      <c r="L364" s="355"/>
      <c r="M364" s="686">
        <v>14</v>
      </c>
      <c r="N364" s="686">
        <v>0</v>
      </c>
      <c r="O364" s="688">
        <v>0</v>
      </c>
      <c r="P364" s="689">
        <v>0</v>
      </c>
      <c r="Q364" s="690">
        <v>0</v>
      </c>
      <c r="R364" s="608"/>
    </row>
    <row r="365" spans="1:18" ht="26.25" thickBot="1" x14ac:dyDescent="0.25">
      <c r="A365" s="349" t="s">
        <v>276</v>
      </c>
      <c r="B365" s="350" t="s">
        <v>874</v>
      </c>
      <c r="C365" s="349" t="s">
        <v>877</v>
      </c>
      <c r="D365" s="350" t="s">
        <v>808</v>
      </c>
      <c r="E365" s="350" t="s">
        <v>862</v>
      </c>
      <c r="F365" s="357" t="s">
        <v>834</v>
      </c>
      <c r="G365" s="350" t="s">
        <v>790</v>
      </c>
      <c r="H365" s="352" t="s">
        <v>77</v>
      </c>
      <c r="I365" s="693" t="s">
        <v>7</v>
      </c>
      <c r="J365" s="734">
        <v>25</v>
      </c>
      <c r="K365" s="356">
        <v>25</v>
      </c>
      <c r="L365" s="355"/>
      <c r="M365" s="686">
        <v>14</v>
      </c>
      <c r="N365" s="686">
        <v>0</v>
      </c>
      <c r="O365" s="688">
        <v>0</v>
      </c>
      <c r="P365" s="689">
        <v>0</v>
      </c>
      <c r="Q365" s="690">
        <v>0</v>
      </c>
      <c r="R365" s="608"/>
    </row>
    <row r="366" spans="1:18" ht="26.25" thickBot="1" x14ac:dyDescent="0.25">
      <c r="A366" s="349" t="s">
        <v>276</v>
      </c>
      <c r="B366" s="350" t="s">
        <v>874</v>
      </c>
      <c r="C366" s="349" t="s">
        <v>877</v>
      </c>
      <c r="D366" s="350" t="s">
        <v>808</v>
      </c>
      <c r="E366" s="350" t="s">
        <v>863</v>
      </c>
      <c r="F366" s="357" t="s">
        <v>834</v>
      </c>
      <c r="G366" s="350" t="s">
        <v>790</v>
      </c>
      <c r="H366" s="352" t="s">
        <v>77</v>
      </c>
      <c r="I366" s="693" t="s">
        <v>7</v>
      </c>
      <c r="J366" s="734">
        <v>25</v>
      </c>
      <c r="K366" s="356">
        <v>25</v>
      </c>
      <c r="L366" s="355"/>
      <c r="M366" s="686">
        <v>14</v>
      </c>
      <c r="N366" s="686">
        <v>0</v>
      </c>
      <c r="O366" s="688">
        <v>0</v>
      </c>
      <c r="P366" s="689">
        <v>0</v>
      </c>
      <c r="Q366" s="690">
        <v>0</v>
      </c>
      <c r="R366" s="608"/>
    </row>
    <row r="367" spans="1:18" ht="26.25" thickBot="1" x14ac:dyDescent="0.25">
      <c r="A367" s="349" t="s">
        <v>276</v>
      </c>
      <c r="B367" s="350" t="s">
        <v>874</v>
      </c>
      <c r="C367" s="349" t="s">
        <v>877</v>
      </c>
      <c r="D367" s="350" t="s">
        <v>808</v>
      </c>
      <c r="E367" s="350" t="s">
        <v>864</v>
      </c>
      <c r="F367" s="351" t="s">
        <v>834</v>
      </c>
      <c r="G367" s="350" t="s">
        <v>784</v>
      </c>
      <c r="H367" s="352" t="s">
        <v>77</v>
      </c>
      <c r="I367" s="693" t="s">
        <v>7</v>
      </c>
      <c r="J367" s="734">
        <v>100</v>
      </c>
      <c r="K367" s="356">
        <v>100</v>
      </c>
      <c r="L367" s="355"/>
      <c r="M367" s="686">
        <v>14</v>
      </c>
      <c r="N367" s="686">
        <v>8</v>
      </c>
      <c r="O367" s="688">
        <v>0.57099999999999995</v>
      </c>
      <c r="P367" s="688">
        <v>0.57099999999999995</v>
      </c>
      <c r="Q367" s="690">
        <v>0.56999999999999995</v>
      </c>
      <c r="R367" s="608"/>
    </row>
    <row r="368" spans="1:18" ht="26.25" thickBot="1" x14ac:dyDescent="0.25">
      <c r="A368" s="349" t="s">
        <v>276</v>
      </c>
      <c r="B368" s="350" t="s">
        <v>874</v>
      </c>
      <c r="C368" s="349" t="s">
        <v>877</v>
      </c>
      <c r="D368" s="350" t="s">
        <v>808</v>
      </c>
      <c r="E368" s="350" t="s">
        <v>864</v>
      </c>
      <c r="F368" s="351" t="s">
        <v>830</v>
      </c>
      <c r="G368" s="350" t="s">
        <v>865</v>
      </c>
      <c r="H368" s="352" t="s">
        <v>77</v>
      </c>
      <c r="I368" s="693" t="s">
        <v>7</v>
      </c>
      <c r="J368" s="734">
        <v>33</v>
      </c>
      <c r="K368" s="356">
        <v>33</v>
      </c>
      <c r="L368" s="355"/>
      <c r="M368" s="686">
        <v>14</v>
      </c>
      <c r="N368" s="686">
        <v>4</v>
      </c>
      <c r="O368" s="688">
        <v>0.28570000000000001</v>
      </c>
      <c r="P368" s="688">
        <v>0.28570000000000001</v>
      </c>
      <c r="Q368" s="690">
        <v>0.87</v>
      </c>
      <c r="R368" s="608"/>
    </row>
    <row r="369" spans="1:18" ht="13.5" thickBot="1" x14ac:dyDescent="0.25">
      <c r="A369" s="349" t="s">
        <v>276</v>
      </c>
      <c r="B369" s="350" t="s">
        <v>874</v>
      </c>
      <c r="C369" s="349" t="s">
        <v>877</v>
      </c>
      <c r="D369" s="350" t="s">
        <v>808</v>
      </c>
      <c r="E369" s="350" t="s">
        <v>815</v>
      </c>
      <c r="F369" s="351" t="s">
        <v>834</v>
      </c>
      <c r="G369" s="350" t="s">
        <v>866</v>
      </c>
      <c r="H369" s="352" t="s">
        <v>77</v>
      </c>
      <c r="I369" s="693" t="s">
        <v>7</v>
      </c>
      <c r="J369" s="734">
        <v>100</v>
      </c>
      <c r="K369" s="356">
        <v>100</v>
      </c>
      <c r="L369" s="355"/>
      <c r="M369" s="686">
        <v>14</v>
      </c>
      <c r="N369" s="686">
        <v>8</v>
      </c>
      <c r="O369" s="688">
        <v>0.57099999999999995</v>
      </c>
      <c r="P369" s="688">
        <v>0.57099999999999995</v>
      </c>
      <c r="Q369" s="690">
        <v>0.56999999999999995</v>
      </c>
      <c r="R369" s="608"/>
    </row>
    <row r="370" spans="1:18" ht="13.5" thickBot="1" x14ac:dyDescent="0.25">
      <c r="A370" s="349" t="s">
        <v>276</v>
      </c>
      <c r="B370" s="350" t="s">
        <v>874</v>
      </c>
      <c r="C370" s="349" t="s">
        <v>877</v>
      </c>
      <c r="D370" s="350" t="s">
        <v>808</v>
      </c>
      <c r="E370" s="350" t="s">
        <v>815</v>
      </c>
      <c r="F370" s="351" t="s">
        <v>830</v>
      </c>
      <c r="G370" s="350" t="s">
        <v>865</v>
      </c>
      <c r="H370" s="352" t="s">
        <v>77</v>
      </c>
      <c r="I370" s="693" t="s">
        <v>7</v>
      </c>
      <c r="J370" s="734">
        <v>33</v>
      </c>
      <c r="K370" s="356">
        <v>33</v>
      </c>
      <c r="L370" s="354"/>
      <c r="M370" s="686">
        <v>14</v>
      </c>
      <c r="N370" s="686">
        <v>4</v>
      </c>
      <c r="O370" s="688">
        <v>0.28570000000000001</v>
      </c>
      <c r="P370" s="688">
        <v>0.28570000000000001</v>
      </c>
      <c r="Q370" s="690">
        <v>0.87</v>
      </c>
      <c r="R370" s="608"/>
    </row>
    <row r="371" spans="1:18" ht="26.25" thickBot="1" x14ac:dyDescent="0.25">
      <c r="A371" s="349" t="s">
        <v>276</v>
      </c>
      <c r="B371" s="350" t="s">
        <v>874</v>
      </c>
      <c r="C371" s="349" t="s">
        <v>877</v>
      </c>
      <c r="D371" s="350" t="s">
        <v>808</v>
      </c>
      <c r="E371" s="350" t="s">
        <v>867</v>
      </c>
      <c r="F371" s="351" t="s">
        <v>834</v>
      </c>
      <c r="G371" s="350" t="s">
        <v>784</v>
      </c>
      <c r="H371" s="352" t="s">
        <v>77</v>
      </c>
      <c r="I371" s="693" t="s">
        <v>7</v>
      </c>
      <c r="J371" s="734">
        <v>100</v>
      </c>
      <c r="K371" s="356">
        <v>100</v>
      </c>
      <c r="L371" s="355"/>
      <c r="M371" s="686">
        <v>14</v>
      </c>
      <c r="N371" s="686">
        <v>8</v>
      </c>
      <c r="O371" s="688">
        <v>0.57099999999999995</v>
      </c>
      <c r="P371" s="688">
        <v>0.57099999999999995</v>
      </c>
      <c r="Q371" s="690">
        <v>0.56999999999999995</v>
      </c>
      <c r="R371" s="608"/>
    </row>
    <row r="372" spans="1:18" ht="26.25" thickBot="1" x14ac:dyDescent="0.25">
      <c r="A372" s="349" t="s">
        <v>276</v>
      </c>
      <c r="B372" s="350" t="s">
        <v>874</v>
      </c>
      <c r="C372" s="349" t="s">
        <v>877</v>
      </c>
      <c r="D372" s="350" t="s">
        <v>868</v>
      </c>
      <c r="E372" s="350" t="s">
        <v>867</v>
      </c>
      <c r="F372" s="351" t="s">
        <v>869</v>
      </c>
      <c r="G372" s="350" t="s">
        <v>784</v>
      </c>
      <c r="H372" s="352" t="s">
        <v>77</v>
      </c>
      <c r="I372" s="693" t="s">
        <v>7</v>
      </c>
      <c r="J372" s="734">
        <v>100</v>
      </c>
      <c r="K372" s="356">
        <v>100</v>
      </c>
      <c r="L372" s="355"/>
      <c r="M372" s="686">
        <v>14</v>
      </c>
      <c r="N372" s="686">
        <v>8</v>
      </c>
      <c r="O372" s="688">
        <v>0.57099999999999995</v>
      </c>
      <c r="P372" s="688">
        <v>0.57099999999999995</v>
      </c>
      <c r="Q372" s="690">
        <v>0.56999999999999995</v>
      </c>
      <c r="R372" s="608"/>
    </row>
    <row r="373" spans="1:18" ht="13.5" thickBot="1" x14ac:dyDescent="0.25">
      <c r="A373" s="349" t="s">
        <v>276</v>
      </c>
      <c r="B373" s="350" t="s">
        <v>874</v>
      </c>
      <c r="C373" s="349" t="s">
        <v>877</v>
      </c>
      <c r="D373" s="350" t="s">
        <v>868</v>
      </c>
      <c r="E373" s="350" t="s">
        <v>870</v>
      </c>
      <c r="F373" s="351" t="s">
        <v>834</v>
      </c>
      <c r="G373" s="350" t="s">
        <v>784</v>
      </c>
      <c r="H373" s="352" t="s">
        <v>77</v>
      </c>
      <c r="I373" s="693" t="s">
        <v>7</v>
      </c>
      <c r="J373" s="734">
        <v>100</v>
      </c>
      <c r="K373" s="356">
        <v>100</v>
      </c>
      <c r="L373" s="355"/>
      <c r="M373" s="686">
        <v>14</v>
      </c>
      <c r="N373" s="686">
        <v>8</v>
      </c>
      <c r="O373" s="688">
        <v>0.57099999999999995</v>
      </c>
      <c r="P373" s="688">
        <v>0.57099999999999995</v>
      </c>
      <c r="Q373" s="690">
        <v>0.56999999999999995</v>
      </c>
      <c r="R373" s="608"/>
    </row>
    <row r="374" spans="1:18" ht="13.5" thickBot="1" x14ac:dyDescent="0.25">
      <c r="A374" s="349" t="s">
        <v>276</v>
      </c>
      <c r="B374" s="350" t="s">
        <v>878</v>
      </c>
      <c r="C374" s="349" t="s">
        <v>879</v>
      </c>
      <c r="D374" s="350" t="s">
        <v>109</v>
      </c>
      <c r="E374" s="350" t="s">
        <v>828</v>
      </c>
      <c r="F374" s="351" t="s">
        <v>829</v>
      </c>
      <c r="G374" s="350" t="s">
        <v>784</v>
      </c>
      <c r="H374" s="352" t="s">
        <v>77</v>
      </c>
      <c r="I374" s="693" t="s">
        <v>7</v>
      </c>
      <c r="J374" s="735">
        <v>100</v>
      </c>
      <c r="K374" s="353">
        <v>100</v>
      </c>
      <c r="L374" s="355"/>
      <c r="M374" s="686">
        <v>11</v>
      </c>
      <c r="N374" s="686">
        <v>5</v>
      </c>
      <c r="O374" s="688">
        <v>0.45450000000000002</v>
      </c>
      <c r="P374" s="688">
        <v>0.45450000000000002</v>
      </c>
      <c r="Q374" s="690">
        <v>0.45</v>
      </c>
      <c r="R374" s="608"/>
    </row>
    <row r="375" spans="1:18" ht="13.5" thickBot="1" x14ac:dyDescent="0.25">
      <c r="A375" s="349" t="s">
        <v>276</v>
      </c>
      <c r="B375" s="350" t="s">
        <v>878</v>
      </c>
      <c r="C375" s="349" t="s">
        <v>879</v>
      </c>
      <c r="D375" s="350" t="s">
        <v>109</v>
      </c>
      <c r="E375" s="350" t="s">
        <v>828</v>
      </c>
      <c r="F375" s="351" t="s">
        <v>830</v>
      </c>
      <c r="G375" s="350" t="s">
        <v>831</v>
      </c>
      <c r="H375" s="352" t="s">
        <v>77</v>
      </c>
      <c r="I375" s="693" t="s">
        <v>7</v>
      </c>
      <c r="J375" s="735">
        <v>33</v>
      </c>
      <c r="K375" s="353">
        <v>33</v>
      </c>
      <c r="L375" s="354"/>
      <c r="M375" s="686">
        <v>11</v>
      </c>
      <c r="N375" s="686">
        <v>4</v>
      </c>
      <c r="O375" s="688">
        <v>0.36399999999999999</v>
      </c>
      <c r="P375" s="689">
        <v>0.36399999999999999</v>
      </c>
      <c r="Q375" s="690">
        <v>1.1000000000000001</v>
      </c>
      <c r="R375" s="608"/>
    </row>
    <row r="376" spans="1:18" ht="26.25" thickBot="1" x14ac:dyDescent="0.25">
      <c r="A376" s="349" t="s">
        <v>276</v>
      </c>
      <c r="B376" s="350" t="s">
        <v>878</v>
      </c>
      <c r="C376" s="349" t="s">
        <v>879</v>
      </c>
      <c r="D376" s="350" t="s">
        <v>109</v>
      </c>
      <c r="E376" s="350" t="s">
        <v>832</v>
      </c>
      <c r="F376" s="351" t="s">
        <v>829</v>
      </c>
      <c r="G376" s="350" t="s">
        <v>790</v>
      </c>
      <c r="H376" s="352" t="s">
        <v>77</v>
      </c>
      <c r="I376" s="693" t="s">
        <v>7</v>
      </c>
      <c r="J376" s="735">
        <v>25</v>
      </c>
      <c r="K376" s="353">
        <v>25</v>
      </c>
      <c r="L376" s="355"/>
      <c r="M376" s="686">
        <v>11</v>
      </c>
      <c r="N376" s="686">
        <v>1</v>
      </c>
      <c r="O376" s="688">
        <v>0.09</v>
      </c>
      <c r="P376" s="689">
        <v>0.09</v>
      </c>
      <c r="Q376" s="690">
        <v>0.36</v>
      </c>
      <c r="R376" s="608"/>
    </row>
    <row r="377" spans="1:18" ht="26.25" thickBot="1" x14ac:dyDescent="0.25">
      <c r="A377" s="349" t="s">
        <v>276</v>
      </c>
      <c r="B377" s="350" t="s">
        <v>878</v>
      </c>
      <c r="C377" s="349" t="s">
        <v>879</v>
      </c>
      <c r="D377" s="350" t="s">
        <v>109</v>
      </c>
      <c r="E377" s="350" t="s">
        <v>832</v>
      </c>
      <c r="F377" s="351" t="s">
        <v>830</v>
      </c>
      <c r="G377" s="350" t="s">
        <v>790</v>
      </c>
      <c r="H377" s="352" t="s">
        <v>77</v>
      </c>
      <c r="I377" s="693" t="s">
        <v>7</v>
      </c>
      <c r="J377" s="735">
        <v>25</v>
      </c>
      <c r="K377" s="353">
        <v>25</v>
      </c>
      <c r="L377" s="355"/>
      <c r="M377" s="686">
        <v>11</v>
      </c>
      <c r="N377" s="686">
        <v>1</v>
      </c>
      <c r="O377" s="688">
        <v>0.09</v>
      </c>
      <c r="P377" s="689">
        <v>0.09</v>
      </c>
      <c r="Q377" s="690">
        <v>0.36</v>
      </c>
      <c r="R377" s="608"/>
    </row>
    <row r="378" spans="1:18" ht="26.25" thickBot="1" x14ac:dyDescent="0.25">
      <c r="A378" s="349" t="s">
        <v>276</v>
      </c>
      <c r="B378" s="350" t="s">
        <v>878</v>
      </c>
      <c r="C378" s="349" t="s">
        <v>879</v>
      </c>
      <c r="D378" s="350" t="s">
        <v>109</v>
      </c>
      <c r="E378" s="350" t="s">
        <v>833</v>
      </c>
      <c r="F378" s="351" t="s">
        <v>834</v>
      </c>
      <c r="G378" s="350" t="s">
        <v>790</v>
      </c>
      <c r="H378" s="352" t="s">
        <v>77</v>
      </c>
      <c r="I378" s="693" t="s">
        <v>7</v>
      </c>
      <c r="J378" s="735">
        <v>25</v>
      </c>
      <c r="K378" s="353">
        <v>25</v>
      </c>
      <c r="L378" s="355"/>
      <c r="M378" s="686">
        <v>11</v>
      </c>
      <c r="N378" s="686">
        <v>1</v>
      </c>
      <c r="O378" s="688">
        <v>0.09</v>
      </c>
      <c r="P378" s="689">
        <v>0.09</v>
      </c>
      <c r="Q378" s="690">
        <v>0.36</v>
      </c>
      <c r="R378" s="608"/>
    </row>
    <row r="379" spans="1:18" ht="26.25" thickBot="1" x14ac:dyDescent="0.25">
      <c r="A379" s="349" t="s">
        <v>276</v>
      </c>
      <c r="B379" s="350" t="s">
        <v>878</v>
      </c>
      <c r="C379" s="349" t="s">
        <v>879</v>
      </c>
      <c r="D379" s="350" t="s">
        <v>109</v>
      </c>
      <c r="E379" s="350" t="s">
        <v>833</v>
      </c>
      <c r="F379" s="351" t="s">
        <v>835</v>
      </c>
      <c r="G379" s="350" t="s">
        <v>790</v>
      </c>
      <c r="H379" s="352" t="s">
        <v>77</v>
      </c>
      <c r="I379" s="693" t="s">
        <v>7</v>
      </c>
      <c r="J379" s="735">
        <v>33</v>
      </c>
      <c r="K379" s="353">
        <v>33</v>
      </c>
      <c r="L379" s="354"/>
      <c r="M379" s="686">
        <v>11</v>
      </c>
      <c r="N379" s="686">
        <v>4</v>
      </c>
      <c r="O379" s="688">
        <v>0.36399999999999999</v>
      </c>
      <c r="P379" s="689">
        <v>0.36399999999999999</v>
      </c>
      <c r="Q379" s="690">
        <v>1.1000000000000001</v>
      </c>
      <c r="R379" s="608"/>
    </row>
    <row r="380" spans="1:18" ht="26.25" thickBot="1" x14ac:dyDescent="0.25">
      <c r="A380" s="349" t="s">
        <v>276</v>
      </c>
      <c r="B380" s="350" t="s">
        <v>878</v>
      </c>
      <c r="C380" s="349" t="s">
        <v>879</v>
      </c>
      <c r="D380" s="350" t="s">
        <v>109</v>
      </c>
      <c r="E380" s="350" t="s">
        <v>836</v>
      </c>
      <c r="F380" s="351" t="s">
        <v>834</v>
      </c>
      <c r="G380" s="350" t="s">
        <v>790</v>
      </c>
      <c r="H380" s="352" t="s">
        <v>77</v>
      </c>
      <c r="I380" s="693" t="s">
        <v>7</v>
      </c>
      <c r="J380" s="735">
        <v>25</v>
      </c>
      <c r="K380" s="353">
        <v>25</v>
      </c>
      <c r="L380" s="355"/>
      <c r="M380" s="686">
        <v>11</v>
      </c>
      <c r="N380" s="686">
        <v>1</v>
      </c>
      <c r="O380" s="688">
        <v>0.09</v>
      </c>
      <c r="P380" s="689">
        <v>0.09</v>
      </c>
      <c r="Q380" s="690">
        <v>0.36</v>
      </c>
      <c r="R380" s="608"/>
    </row>
    <row r="381" spans="1:18" ht="26.25" thickBot="1" x14ac:dyDescent="0.25">
      <c r="A381" s="349" t="s">
        <v>276</v>
      </c>
      <c r="B381" s="350" t="s">
        <v>878</v>
      </c>
      <c r="C381" s="349" t="s">
        <v>879</v>
      </c>
      <c r="D381" s="350" t="s">
        <v>109</v>
      </c>
      <c r="E381" s="350" t="s">
        <v>837</v>
      </c>
      <c r="F381" s="351" t="s">
        <v>834</v>
      </c>
      <c r="G381" s="350" t="s">
        <v>790</v>
      </c>
      <c r="H381" s="352" t="s">
        <v>77</v>
      </c>
      <c r="I381" s="693" t="s">
        <v>7</v>
      </c>
      <c r="J381" s="735">
        <v>25</v>
      </c>
      <c r="K381" s="353">
        <v>25</v>
      </c>
      <c r="L381" s="355"/>
      <c r="M381" s="686">
        <v>11</v>
      </c>
      <c r="N381" s="686">
        <v>1</v>
      </c>
      <c r="O381" s="688">
        <v>0.09</v>
      </c>
      <c r="P381" s="689">
        <v>0.09</v>
      </c>
      <c r="Q381" s="690">
        <v>0.36</v>
      </c>
      <c r="R381" s="608"/>
    </row>
    <row r="382" spans="1:18" ht="13.5" thickBot="1" x14ac:dyDescent="0.25">
      <c r="A382" s="349" t="s">
        <v>276</v>
      </c>
      <c r="B382" s="350" t="s">
        <v>878</v>
      </c>
      <c r="C382" s="349" t="s">
        <v>879</v>
      </c>
      <c r="D382" s="350" t="s">
        <v>109</v>
      </c>
      <c r="E382" s="350" t="s">
        <v>838</v>
      </c>
      <c r="F382" s="351" t="s">
        <v>834</v>
      </c>
      <c r="G382" s="350" t="s">
        <v>784</v>
      </c>
      <c r="H382" s="352" t="s">
        <v>77</v>
      </c>
      <c r="I382" s="693" t="s">
        <v>7</v>
      </c>
      <c r="J382" s="735">
        <v>100</v>
      </c>
      <c r="K382" s="353">
        <v>100</v>
      </c>
      <c r="L382" s="355"/>
      <c r="M382" s="686">
        <v>11</v>
      </c>
      <c r="N382" s="686">
        <v>5</v>
      </c>
      <c r="O382" s="688">
        <v>0.45450000000000002</v>
      </c>
      <c r="P382" s="688">
        <v>0.45450000000000002</v>
      </c>
      <c r="Q382" s="690">
        <v>0.45</v>
      </c>
      <c r="R382" s="608"/>
    </row>
    <row r="383" spans="1:18" ht="13.5" thickBot="1" x14ac:dyDescent="0.25">
      <c r="A383" s="349" t="s">
        <v>276</v>
      </c>
      <c r="B383" s="350" t="s">
        <v>878</v>
      </c>
      <c r="C383" s="349" t="s">
        <v>879</v>
      </c>
      <c r="D383" s="350" t="s">
        <v>109</v>
      </c>
      <c r="E383" s="350" t="s">
        <v>839</v>
      </c>
      <c r="F383" s="351" t="s">
        <v>834</v>
      </c>
      <c r="G383" s="350" t="s">
        <v>784</v>
      </c>
      <c r="H383" s="352" t="s">
        <v>77</v>
      </c>
      <c r="I383" s="693" t="s">
        <v>7</v>
      </c>
      <c r="J383" s="734">
        <v>100</v>
      </c>
      <c r="K383" s="356">
        <v>100</v>
      </c>
      <c r="L383" s="355"/>
      <c r="M383" s="686">
        <v>11</v>
      </c>
      <c r="N383" s="686">
        <v>5</v>
      </c>
      <c r="O383" s="688">
        <v>0.45450000000000002</v>
      </c>
      <c r="P383" s="688">
        <v>0.45450000000000002</v>
      </c>
      <c r="Q383" s="690">
        <v>0.45</v>
      </c>
      <c r="R383" s="608"/>
    </row>
    <row r="384" spans="1:18" ht="26.25" thickBot="1" x14ac:dyDescent="0.25">
      <c r="A384" s="349" t="s">
        <v>276</v>
      </c>
      <c r="B384" s="350" t="s">
        <v>878</v>
      </c>
      <c r="C384" s="349" t="s">
        <v>879</v>
      </c>
      <c r="D384" s="350" t="s">
        <v>109</v>
      </c>
      <c r="E384" s="350" t="s">
        <v>840</v>
      </c>
      <c r="F384" s="351" t="s">
        <v>834</v>
      </c>
      <c r="G384" s="350" t="s">
        <v>790</v>
      </c>
      <c r="H384" s="352" t="s">
        <v>77</v>
      </c>
      <c r="I384" s="693" t="s">
        <v>7</v>
      </c>
      <c r="J384" s="734">
        <v>25</v>
      </c>
      <c r="K384" s="356">
        <v>25</v>
      </c>
      <c r="L384" s="355"/>
      <c r="M384" s="686">
        <v>11</v>
      </c>
      <c r="N384" s="686">
        <v>1</v>
      </c>
      <c r="O384" s="688">
        <v>0.09</v>
      </c>
      <c r="P384" s="689">
        <v>0.09</v>
      </c>
      <c r="Q384" s="690">
        <v>0.36</v>
      </c>
      <c r="R384" s="608"/>
    </row>
    <row r="385" spans="1:18" ht="26.25" thickBot="1" x14ac:dyDescent="0.25">
      <c r="A385" s="349" t="s">
        <v>276</v>
      </c>
      <c r="B385" s="350" t="s">
        <v>878</v>
      </c>
      <c r="C385" s="349" t="s">
        <v>879</v>
      </c>
      <c r="D385" s="350" t="s">
        <v>109</v>
      </c>
      <c r="E385" s="350" t="s">
        <v>841</v>
      </c>
      <c r="F385" s="351" t="s">
        <v>834</v>
      </c>
      <c r="G385" s="350" t="s">
        <v>790</v>
      </c>
      <c r="H385" s="352" t="s">
        <v>77</v>
      </c>
      <c r="I385" s="693" t="s">
        <v>7</v>
      </c>
      <c r="J385" s="734">
        <v>25</v>
      </c>
      <c r="K385" s="356">
        <v>25</v>
      </c>
      <c r="L385" s="355"/>
      <c r="M385" s="686">
        <v>11</v>
      </c>
      <c r="N385" s="686">
        <v>1</v>
      </c>
      <c r="O385" s="688">
        <v>0.09</v>
      </c>
      <c r="P385" s="689">
        <v>0.09</v>
      </c>
      <c r="Q385" s="690">
        <v>0.36</v>
      </c>
      <c r="R385" s="608"/>
    </row>
    <row r="386" spans="1:18" ht="13.5" thickBot="1" x14ac:dyDescent="0.25">
      <c r="A386" s="349" t="s">
        <v>276</v>
      </c>
      <c r="B386" s="350" t="s">
        <v>878</v>
      </c>
      <c r="C386" s="349" t="s">
        <v>879</v>
      </c>
      <c r="D386" s="350" t="s">
        <v>109</v>
      </c>
      <c r="E386" s="350" t="s">
        <v>842</v>
      </c>
      <c r="F386" s="357" t="s">
        <v>843</v>
      </c>
      <c r="G386" s="350" t="s">
        <v>784</v>
      </c>
      <c r="H386" s="352" t="s">
        <v>77</v>
      </c>
      <c r="I386" s="693" t="s">
        <v>7</v>
      </c>
      <c r="J386" s="734">
        <v>100</v>
      </c>
      <c r="K386" s="356">
        <v>100</v>
      </c>
      <c r="L386" s="355"/>
      <c r="M386" s="686">
        <v>11</v>
      </c>
      <c r="N386" s="686">
        <v>5</v>
      </c>
      <c r="O386" s="688">
        <v>0.45450000000000002</v>
      </c>
      <c r="P386" s="688">
        <v>0.45450000000000002</v>
      </c>
      <c r="Q386" s="690">
        <v>0.45</v>
      </c>
      <c r="R386" s="608"/>
    </row>
    <row r="387" spans="1:18" ht="13.5" thickBot="1" x14ac:dyDescent="0.25">
      <c r="A387" s="349" t="s">
        <v>276</v>
      </c>
      <c r="B387" s="350" t="s">
        <v>878</v>
      </c>
      <c r="C387" s="349" t="s">
        <v>879</v>
      </c>
      <c r="D387" s="350" t="s">
        <v>109</v>
      </c>
      <c r="E387" s="350" t="s">
        <v>844</v>
      </c>
      <c r="F387" s="357" t="s">
        <v>843</v>
      </c>
      <c r="G387" s="350" t="s">
        <v>784</v>
      </c>
      <c r="H387" s="352" t="s">
        <v>77</v>
      </c>
      <c r="I387" s="693" t="s">
        <v>7</v>
      </c>
      <c r="J387" s="734">
        <v>100</v>
      </c>
      <c r="K387" s="356">
        <v>100</v>
      </c>
      <c r="L387" s="355"/>
      <c r="M387" s="686">
        <v>11</v>
      </c>
      <c r="N387" s="686">
        <v>5</v>
      </c>
      <c r="O387" s="688">
        <v>0.45450000000000002</v>
      </c>
      <c r="P387" s="688">
        <v>0.45450000000000002</v>
      </c>
      <c r="Q387" s="690">
        <v>0.45</v>
      </c>
      <c r="R387" s="608"/>
    </row>
    <row r="388" spans="1:18" ht="26.25" thickBot="1" x14ac:dyDescent="0.25">
      <c r="A388" s="349" t="s">
        <v>276</v>
      </c>
      <c r="B388" s="350" t="s">
        <v>878</v>
      </c>
      <c r="C388" s="349" t="s">
        <v>879</v>
      </c>
      <c r="D388" s="350" t="s">
        <v>109</v>
      </c>
      <c r="E388" s="350" t="s">
        <v>845</v>
      </c>
      <c r="F388" s="357" t="s">
        <v>830</v>
      </c>
      <c r="G388" s="350" t="s">
        <v>790</v>
      </c>
      <c r="H388" s="352" t="s">
        <v>77</v>
      </c>
      <c r="I388" s="693" t="s">
        <v>7</v>
      </c>
      <c r="J388" s="734">
        <v>33</v>
      </c>
      <c r="K388" s="356">
        <v>33</v>
      </c>
      <c r="L388" s="355"/>
      <c r="M388" s="686">
        <v>11</v>
      </c>
      <c r="N388" s="686">
        <v>4</v>
      </c>
      <c r="O388" s="688">
        <v>0.36399999999999999</v>
      </c>
      <c r="P388" s="689">
        <v>0.36399999999999999</v>
      </c>
      <c r="Q388" s="690">
        <v>1.1000000000000001</v>
      </c>
      <c r="R388" s="608"/>
    </row>
    <row r="389" spans="1:18" ht="26.25" thickBot="1" x14ac:dyDescent="0.25">
      <c r="A389" s="349" t="s">
        <v>276</v>
      </c>
      <c r="B389" s="350" t="s">
        <v>878</v>
      </c>
      <c r="C389" s="349" t="s">
        <v>879</v>
      </c>
      <c r="D389" s="350" t="s">
        <v>109</v>
      </c>
      <c r="E389" s="350" t="s">
        <v>846</v>
      </c>
      <c r="F389" s="357" t="s">
        <v>830</v>
      </c>
      <c r="G389" s="350" t="s">
        <v>790</v>
      </c>
      <c r="H389" s="352" t="s">
        <v>77</v>
      </c>
      <c r="I389" s="693" t="s">
        <v>7</v>
      </c>
      <c r="J389" s="734">
        <v>33</v>
      </c>
      <c r="K389" s="356">
        <v>33</v>
      </c>
      <c r="L389" s="355"/>
      <c r="M389" s="686">
        <v>11</v>
      </c>
      <c r="N389" s="686">
        <v>4</v>
      </c>
      <c r="O389" s="688">
        <v>0.36399999999999999</v>
      </c>
      <c r="P389" s="689">
        <v>0.36399999999999999</v>
      </c>
      <c r="Q389" s="690">
        <v>1.1000000000000001</v>
      </c>
      <c r="R389" s="608"/>
    </row>
    <row r="390" spans="1:18" ht="26.25" thickBot="1" x14ac:dyDescent="0.25">
      <c r="A390" s="349" t="s">
        <v>276</v>
      </c>
      <c r="B390" s="350" t="s">
        <v>878</v>
      </c>
      <c r="C390" s="349" t="s">
        <v>879</v>
      </c>
      <c r="D390" s="350" t="s">
        <v>109</v>
      </c>
      <c r="E390" s="350" t="s">
        <v>847</v>
      </c>
      <c r="F390" s="357" t="s">
        <v>830</v>
      </c>
      <c r="G390" s="350" t="s">
        <v>790</v>
      </c>
      <c r="H390" s="352" t="s">
        <v>77</v>
      </c>
      <c r="I390" s="693" t="s">
        <v>7</v>
      </c>
      <c r="J390" s="734">
        <v>33</v>
      </c>
      <c r="K390" s="356">
        <v>33</v>
      </c>
      <c r="L390" s="355"/>
      <c r="M390" s="686">
        <v>11</v>
      </c>
      <c r="N390" s="686">
        <v>4</v>
      </c>
      <c r="O390" s="688">
        <v>0.36399999999999999</v>
      </c>
      <c r="P390" s="689">
        <v>0.36399999999999999</v>
      </c>
      <c r="Q390" s="690">
        <v>1.1000000000000001</v>
      </c>
      <c r="R390" s="608"/>
    </row>
    <row r="391" spans="1:18" ht="26.25" thickBot="1" x14ac:dyDescent="0.25">
      <c r="A391" s="349" t="s">
        <v>276</v>
      </c>
      <c r="B391" s="350" t="s">
        <v>878</v>
      </c>
      <c r="C391" s="349" t="s">
        <v>879</v>
      </c>
      <c r="D391" s="350" t="s">
        <v>109</v>
      </c>
      <c r="E391" s="350" t="s">
        <v>848</v>
      </c>
      <c r="F391" s="357" t="s">
        <v>830</v>
      </c>
      <c r="G391" s="350" t="s">
        <v>790</v>
      </c>
      <c r="H391" s="352" t="s">
        <v>77</v>
      </c>
      <c r="I391" s="693" t="s">
        <v>7</v>
      </c>
      <c r="J391" s="734">
        <v>33</v>
      </c>
      <c r="K391" s="356">
        <v>33</v>
      </c>
      <c r="L391" s="355"/>
      <c r="M391" s="686">
        <v>11</v>
      </c>
      <c r="N391" s="686">
        <v>4</v>
      </c>
      <c r="O391" s="688">
        <v>0.36399999999999999</v>
      </c>
      <c r="P391" s="689">
        <v>0.36399999999999999</v>
      </c>
      <c r="Q391" s="690">
        <v>1.1000000000000001</v>
      </c>
      <c r="R391" s="608"/>
    </row>
    <row r="392" spans="1:18" ht="26.25" thickBot="1" x14ac:dyDescent="0.25">
      <c r="A392" s="349" t="s">
        <v>276</v>
      </c>
      <c r="B392" s="350" t="s">
        <v>878</v>
      </c>
      <c r="C392" s="349" t="s">
        <v>879</v>
      </c>
      <c r="D392" s="350" t="s">
        <v>109</v>
      </c>
      <c r="E392" s="350" t="s">
        <v>849</v>
      </c>
      <c r="F392" s="357" t="s">
        <v>830</v>
      </c>
      <c r="G392" s="350" t="s">
        <v>790</v>
      </c>
      <c r="H392" s="352" t="s">
        <v>77</v>
      </c>
      <c r="I392" s="693" t="s">
        <v>7</v>
      </c>
      <c r="J392" s="734">
        <v>33</v>
      </c>
      <c r="K392" s="356">
        <v>33</v>
      </c>
      <c r="L392" s="355"/>
      <c r="M392" s="686">
        <v>11</v>
      </c>
      <c r="N392" s="686">
        <v>4</v>
      </c>
      <c r="O392" s="688">
        <v>0.36399999999999999</v>
      </c>
      <c r="P392" s="689">
        <v>0.36399999999999999</v>
      </c>
      <c r="Q392" s="690">
        <v>1.1000000000000001</v>
      </c>
      <c r="R392" s="608"/>
    </row>
    <row r="393" spans="1:18" ht="26.25" thickBot="1" x14ac:dyDescent="0.25">
      <c r="A393" s="349" t="s">
        <v>276</v>
      </c>
      <c r="B393" s="350" t="s">
        <v>878</v>
      </c>
      <c r="C393" s="349" t="s">
        <v>879</v>
      </c>
      <c r="D393" s="350" t="s">
        <v>109</v>
      </c>
      <c r="E393" s="350" t="s">
        <v>850</v>
      </c>
      <c r="F393" s="357" t="s">
        <v>830</v>
      </c>
      <c r="G393" s="350" t="s">
        <v>790</v>
      </c>
      <c r="H393" s="352" t="s">
        <v>77</v>
      </c>
      <c r="I393" s="693" t="s">
        <v>7</v>
      </c>
      <c r="J393" s="734">
        <v>33</v>
      </c>
      <c r="K393" s="356">
        <v>33</v>
      </c>
      <c r="L393" s="355"/>
      <c r="M393" s="686">
        <v>11</v>
      </c>
      <c r="N393" s="686">
        <v>4</v>
      </c>
      <c r="O393" s="688">
        <v>0.36399999999999999</v>
      </c>
      <c r="P393" s="689">
        <v>0.36399999999999999</v>
      </c>
      <c r="Q393" s="690">
        <v>1.1000000000000001</v>
      </c>
      <c r="R393" s="608"/>
    </row>
    <row r="394" spans="1:18" ht="13.5" thickBot="1" x14ac:dyDescent="0.25">
      <c r="A394" s="349" t="s">
        <v>276</v>
      </c>
      <c r="B394" s="350" t="s">
        <v>878</v>
      </c>
      <c r="C394" s="349" t="s">
        <v>879</v>
      </c>
      <c r="D394" s="350" t="s">
        <v>109</v>
      </c>
      <c r="E394" s="350" t="s">
        <v>851</v>
      </c>
      <c r="F394" s="357" t="s">
        <v>834</v>
      </c>
      <c r="G394" s="350" t="s">
        <v>784</v>
      </c>
      <c r="H394" s="352" t="s">
        <v>77</v>
      </c>
      <c r="I394" s="693" t="s">
        <v>7</v>
      </c>
      <c r="J394" s="734">
        <v>100</v>
      </c>
      <c r="K394" s="356">
        <v>100</v>
      </c>
      <c r="L394" s="355"/>
      <c r="M394" s="686">
        <v>11</v>
      </c>
      <c r="N394" s="686">
        <v>5</v>
      </c>
      <c r="O394" s="688">
        <v>0.45450000000000002</v>
      </c>
      <c r="P394" s="688">
        <v>0.45450000000000002</v>
      </c>
      <c r="Q394" s="690">
        <v>0.45</v>
      </c>
      <c r="R394" s="608"/>
    </row>
    <row r="395" spans="1:18" ht="13.5" thickBot="1" x14ac:dyDescent="0.25">
      <c r="A395" s="349" t="s">
        <v>276</v>
      </c>
      <c r="B395" s="350" t="s">
        <v>878</v>
      </c>
      <c r="C395" s="349" t="s">
        <v>879</v>
      </c>
      <c r="D395" s="350" t="s">
        <v>109</v>
      </c>
      <c r="E395" s="350" t="s">
        <v>852</v>
      </c>
      <c r="F395" s="357" t="s">
        <v>834</v>
      </c>
      <c r="G395" s="350" t="s">
        <v>784</v>
      </c>
      <c r="H395" s="352" t="s">
        <v>77</v>
      </c>
      <c r="I395" s="693" t="s">
        <v>7</v>
      </c>
      <c r="J395" s="734">
        <v>100</v>
      </c>
      <c r="K395" s="356">
        <v>100</v>
      </c>
      <c r="L395" s="355"/>
      <c r="M395" s="686">
        <v>11</v>
      </c>
      <c r="N395" s="686">
        <v>5</v>
      </c>
      <c r="O395" s="688">
        <v>0.45450000000000002</v>
      </c>
      <c r="P395" s="688">
        <v>0.45450000000000002</v>
      </c>
      <c r="Q395" s="690">
        <v>0.45</v>
      </c>
      <c r="R395" s="608"/>
    </row>
    <row r="396" spans="1:18" ht="26.25" thickBot="1" x14ac:dyDescent="0.25">
      <c r="A396" s="349" t="s">
        <v>276</v>
      </c>
      <c r="B396" s="350" t="s">
        <v>878</v>
      </c>
      <c r="C396" s="349" t="s">
        <v>879</v>
      </c>
      <c r="D396" s="350" t="s">
        <v>109</v>
      </c>
      <c r="E396" s="350" t="s">
        <v>853</v>
      </c>
      <c r="F396" s="357" t="s">
        <v>834</v>
      </c>
      <c r="G396" s="350" t="s">
        <v>784</v>
      </c>
      <c r="H396" s="352" t="s">
        <v>77</v>
      </c>
      <c r="I396" s="693" t="s">
        <v>7</v>
      </c>
      <c r="J396" s="734">
        <v>100</v>
      </c>
      <c r="K396" s="356">
        <v>100</v>
      </c>
      <c r="L396" s="355"/>
      <c r="M396" s="686">
        <v>11</v>
      </c>
      <c r="N396" s="686">
        <v>5</v>
      </c>
      <c r="O396" s="688">
        <v>0.45450000000000002</v>
      </c>
      <c r="P396" s="688">
        <v>0.45450000000000002</v>
      </c>
      <c r="Q396" s="690">
        <v>0.45</v>
      </c>
      <c r="R396" s="608"/>
    </row>
    <row r="397" spans="1:18" ht="13.5" thickBot="1" x14ac:dyDescent="0.25">
      <c r="A397" s="349" t="s">
        <v>276</v>
      </c>
      <c r="B397" s="350" t="s">
        <v>878</v>
      </c>
      <c r="C397" s="349" t="s">
        <v>879</v>
      </c>
      <c r="D397" s="350" t="s">
        <v>109</v>
      </c>
      <c r="E397" s="350" t="s">
        <v>854</v>
      </c>
      <c r="F397" s="351" t="s">
        <v>829</v>
      </c>
      <c r="G397" s="350" t="s">
        <v>784</v>
      </c>
      <c r="H397" s="352" t="s">
        <v>77</v>
      </c>
      <c r="I397" s="693" t="s">
        <v>7</v>
      </c>
      <c r="J397" s="734">
        <v>100</v>
      </c>
      <c r="K397" s="356">
        <v>100</v>
      </c>
      <c r="L397" s="355"/>
      <c r="M397" s="686">
        <v>11</v>
      </c>
      <c r="N397" s="686">
        <v>5</v>
      </c>
      <c r="O397" s="688">
        <v>0.45450000000000002</v>
      </c>
      <c r="P397" s="688">
        <v>0.45450000000000002</v>
      </c>
      <c r="Q397" s="690">
        <v>0.45</v>
      </c>
      <c r="R397" s="608"/>
    </row>
    <row r="398" spans="1:18" ht="26.25" thickBot="1" x14ac:dyDescent="0.25">
      <c r="A398" s="349" t="s">
        <v>276</v>
      </c>
      <c r="B398" s="350" t="s">
        <v>878</v>
      </c>
      <c r="C398" s="349" t="s">
        <v>879</v>
      </c>
      <c r="D398" s="350" t="s">
        <v>109</v>
      </c>
      <c r="E398" s="350" t="s">
        <v>854</v>
      </c>
      <c r="F398" s="351" t="s">
        <v>830</v>
      </c>
      <c r="G398" s="350" t="s">
        <v>790</v>
      </c>
      <c r="H398" s="352" t="s">
        <v>77</v>
      </c>
      <c r="I398" s="693" t="s">
        <v>7</v>
      </c>
      <c r="J398" s="734">
        <v>33</v>
      </c>
      <c r="K398" s="356">
        <v>33</v>
      </c>
      <c r="L398" s="354"/>
      <c r="M398" s="686">
        <v>11</v>
      </c>
      <c r="N398" s="686">
        <v>4</v>
      </c>
      <c r="O398" s="688">
        <v>0.36399999999999999</v>
      </c>
      <c r="P398" s="689">
        <v>0.36399999999999999</v>
      </c>
      <c r="Q398" s="690">
        <v>1.1000000000000001</v>
      </c>
      <c r="R398" s="608"/>
    </row>
    <row r="399" spans="1:18" ht="26.25" thickBot="1" x14ac:dyDescent="0.25">
      <c r="A399" s="349" t="s">
        <v>276</v>
      </c>
      <c r="B399" s="350" t="s">
        <v>878</v>
      </c>
      <c r="C399" s="349" t="s">
        <v>879</v>
      </c>
      <c r="D399" s="350" t="s">
        <v>109</v>
      </c>
      <c r="E399" s="350" t="s">
        <v>855</v>
      </c>
      <c r="F399" s="357" t="s">
        <v>834</v>
      </c>
      <c r="G399" s="350" t="s">
        <v>790</v>
      </c>
      <c r="H399" s="352" t="s">
        <v>77</v>
      </c>
      <c r="I399" s="693" t="s">
        <v>7</v>
      </c>
      <c r="J399" s="734">
        <v>25</v>
      </c>
      <c r="K399" s="356">
        <v>25</v>
      </c>
      <c r="L399" s="355"/>
      <c r="M399" s="686">
        <v>11</v>
      </c>
      <c r="N399" s="686">
        <v>1</v>
      </c>
      <c r="O399" s="688">
        <v>0.09</v>
      </c>
      <c r="P399" s="689">
        <v>0.09</v>
      </c>
      <c r="Q399" s="690">
        <v>0.36</v>
      </c>
      <c r="R399" s="608"/>
    </row>
    <row r="400" spans="1:18" ht="39" thickBot="1" x14ac:dyDescent="0.25">
      <c r="A400" s="349" t="s">
        <v>276</v>
      </c>
      <c r="B400" s="350" t="s">
        <v>878</v>
      </c>
      <c r="C400" s="349" t="s">
        <v>879</v>
      </c>
      <c r="D400" s="350" t="s">
        <v>109</v>
      </c>
      <c r="E400" s="350" t="s">
        <v>856</v>
      </c>
      <c r="F400" s="357" t="s">
        <v>834</v>
      </c>
      <c r="G400" s="350" t="s">
        <v>790</v>
      </c>
      <c r="H400" s="352" t="s">
        <v>77</v>
      </c>
      <c r="I400" s="693" t="s">
        <v>7</v>
      </c>
      <c r="J400" s="734">
        <v>25</v>
      </c>
      <c r="K400" s="356">
        <v>25</v>
      </c>
      <c r="L400" s="355"/>
      <c r="M400" s="686">
        <v>11</v>
      </c>
      <c r="N400" s="686">
        <v>1</v>
      </c>
      <c r="O400" s="688">
        <v>0.09</v>
      </c>
      <c r="P400" s="689">
        <v>0.09</v>
      </c>
      <c r="Q400" s="690">
        <v>0.36</v>
      </c>
      <c r="R400" s="608"/>
    </row>
    <row r="401" spans="1:18" ht="39" thickBot="1" x14ac:dyDescent="0.25">
      <c r="A401" s="349" t="s">
        <v>276</v>
      </c>
      <c r="B401" s="350" t="s">
        <v>878</v>
      </c>
      <c r="C401" s="349" t="s">
        <v>879</v>
      </c>
      <c r="D401" s="350" t="s">
        <v>109</v>
      </c>
      <c r="E401" s="350" t="s">
        <v>857</v>
      </c>
      <c r="F401" s="357" t="s">
        <v>834</v>
      </c>
      <c r="G401" s="350" t="s">
        <v>784</v>
      </c>
      <c r="H401" s="352" t="s">
        <v>77</v>
      </c>
      <c r="I401" s="693" t="s">
        <v>7</v>
      </c>
      <c r="J401" s="734">
        <v>100</v>
      </c>
      <c r="K401" s="356">
        <v>100</v>
      </c>
      <c r="L401" s="355"/>
      <c r="M401" s="686">
        <v>11</v>
      </c>
      <c r="N401" s="686">
        <v>5</v>
      </c>
      <c r="O401" s="688">
        <v>0.45450000000000002</v>
      </c>
      <c r="P401" s="688">
        <v>0.45450000000000002</v>
      </c>
      <c r="Q401" s="690">
        <v>0.45</v>
      </c>
      <c r="R401" s="608"/>
    </row>
    <row r="402" spans="1:18" ht="13.5" thickBot="1" x14ac:dyDescent="0.25">
      <c r="A402" s="349" t="s">
        <v>276</v>
      </c>
      <c r="B402" s="350" t="s">
        <v>878</v>
      </c>
      <c r="C402" s="349" t="s">
        <v>879</v>
      </c>
      <c r="D402" s="350" t="s">
        <v>808</v>
      </c>
      <c r="E402" s="350" t="s">
        <v>858</v>
      </c>
      <c r="F402" s="357" t="s">
        <v>834</v>
      </c>
      <c r="G402" s="350" t="s">
        <v>784</v>
      </c>
      <c r="H402" s="352" t="s">
        <v>77</v>
      </c>
      <c r="I402" s="693" t="s">
        <v>7</v>
      </c>
      <c r="J402" s="734">
        <v>100</v>
      </c>
      <c r="K402" s="356">
        <v>100</v>
      </c>
      <c r="L402" s="355"/>
      <c r="M402" s="686">
        <v>11</v>
      </c>
      <c r="N402" s="686">
        <v>5</v>
      </c>
      <c r="O402" s="688">
        <v>0.45450000000000002</v>
      </c>
      <c r="P402" s="688">
        <v>0.45450000000000002</v>
      </c>
      <c r="Q402" s="690">
        <v>0.45</v>
      </c>
      <c r="R402" s="608"/>
    </row>
    <row r="403" spans="1:18" ht="13.5" thickBot="1" x14ac:dyDescent="0.25">
      <c r="A403" s="349" t="s">
        <v>276</v>
      </c>
      <c r="B403" s="350" t="s">
        <v>878</v>
      </c>
      <c r="C403" s="349" t="s">
        <v>879</v>
      </c>
      <c r="D403" s="350" t="s">
        <v>808</v>
      </c>
      <c r="E403" s="350" t="s">
        <v>859</v>
      </c>
      <c r="F403" s="357" t="s">
        <v>834</v>
      </c>
      <c r="G403" s="350" t="s">
        <v>784</v>
      </c>
      <c r="H403" s="352" t="s">
        <v>77</v>
      </c>
      <c r="I403" s="693" t="s">
        <v>7</v>
      </c>
      <c r="J403" s="734">
        <v>100</v>
      </c>
      <c r="K403" s="356">
        <v>100</v>
      </c>
      <c r="L403" s="355"/>
      <c r="M403" s="686">
        <v>11</v>
      </c>
      <c r="N403" s="686">
        <v>5</v>
      </c>
      <c r="O403" s="688">
        <v>0.45450000000000002</v>
      </c>
      <c r="P403" s="688">
        <v>0.45450000000000002</v>
      </c>
      <c r="Q403" s="690">
        <v>0.45</v>
      </c>
      <c r="R403" s="608"/>
    </row>
    <row r="404" spans="1:18" ht="26.25" thickBot="1" x14ac:dyDescent="0.25">
      <c r="A404" s="349" t="s">
        <v>276</v>
      </c>
      <c r="B404" s="350" t="s">
        <v>878</v>
      </c>
      <c r="C404" s="349" t="s">
        <v>879</v>
      </c>
      <c r="D404" s="350" t="s">
        <v>808</v>
      </c>
      <c r="E404" s="350" t="s">
        <v>860</v>
      </c>
      <c r="F404" s="357" t="s">
        <v>834</v>
      </c>
      <c r="G404" s="350" t="s">
        <v>790</v>
      </c>
      <c r="H404" s="352" t="s">
        <v>77</v>
      </c>
      <c r="I404" s="693" t="s">
        <v>7</v>
      </c>
      <c r="J404" s="734">
        <v>25</v>
      </c>
      <c r="K404" s="356">
        <v>25</v>
      </c>
      <c r="L404" s="355"/>
      <c r="M404" s="686">
        <v>11</v>
      </c>
      <c r="N404" s="686">
        <v>1</v>
      </c>
      <c r="O404" s="688">
        <v>0.09</v>
      </c>
      <c r="P404" s="689">
        <v>0.09</v>
      </c>
      <c r="Q404" s="690">
        <v>0.36</v>
      </c>
      <c r="R404" s="608"/>
    </row>
    <row r="405" spans="1:18" ht="26.25" thickBot="1" x14ac:dyDescent="0.25">
      <c r="A405" s="349" t="s">
        <v>276</v>
      </c>
      <c r="B405" s="350" t="s">
        <v>878</v>
      </c>
      <c r="C405" s="349" t="s">
        <v>879</v>
      </c>
      <c r="D405" s="350" t="s">
        <v>808</v>
      </c>
      <c r="E405" s="350" t="s">
        <v>861</v>
      </c>
      <c r="F405" s="357" t="s">
        <v>834</v>
      </c>
      <c r="G405" s="350" t="s">
        <v>790</v>
      </c>
      <c r="H405" s="352" t="s">
        <v>77</v>
      </c>
      <c r="I405" s="693" t="s">
        <v>7</v>
      </c>
      <c r="J405" s="734">
        <v>25</v>
      </c>
      <c r="K405" s="356">
        <v>25</v>
      </c>
      <c r="L405" s="355"/>
      <c r="M405" s="686">
        <v>11</v>
      </c>
      <c r="N405" s="686">
        <v>1</v>
      </c>
      <c r="O405" s="688">
        <v>0.09</v>
      </c>
      <c r="P405" s="689">
        <v>0.09</v>
      </c>
      <c r="Q405" s="690">
        <v>0.36</v>
      </c>
      <c r="R405" s="608"/>
    </row>
    <row r="406" spans="1:18" ht="26.25" thickBot="1" x14ac:dyDescent="0.25">
      <c r="A406" s="349" t="s">
        <v>276</v>
      </c>
      <c r="B406" s="350" t="s">
        <v>878</v>
      </c>
      <c r="C406" s="349" t="s">
        <v>879</v>
      </c>
      <c r="D406" s="350" t="s">
        <v>808</v>
      </c>
      <c r="E406" s="350" t="s">
        <v>862</v>
      </c>
      <c r="F406" s="357" t="s">
        <v>834</v>
      </c>
      <c r="G406" s="350" t="s">
        <v>790</v>
      </c>
      <c r="H406" s="352" t="s">
        <v>77</v>
      </c>
      <c r="I406" s="693" t="s">
        <v>7</v>
      </c>
      <c r="J406" s="734">
        <v>25</v>
      </c>
      <c r="K406" s="356">
        <v>25</v>
      </c>
      <c r="L406" s="355"/>
      <c r="M406" s="686">
        <v>11</v>
      </c>
      <c r="N406" s="686">
        <v>1</v>
      </c>
      <c r="O406" s="688">
        <v>0.09</v>
      </c>
      <c r="P406" s="689">
        <v>0.09</v>
      </c>
      <c r="Q406" s="690">
        <v>0.36</v>
      </c>
      <c r="R406" s="608"/>
    </row>
    <row r="407" spans="1:18" ht="26.25" thickBot="1" x14ac:dyDescent="0.25">
      <c r="A407" s="349" t="s">
        <v>276</v>
      </c>
      <c r="B407" s="350" t="s">
        <v>878</v>
      </c>
      <c r="C407" s="349" t="s">
        <v>879</v>
      </c>
      <c r="D407" s="350" t="s">
        <v>808</v>
      </c>
      <c r="E407" s="350" t="s">
        <v>863</v>
      </c>
      <c r="F407" s="357" t="s">
        <v>834</v>
      </c>
      <c r="G407" s="350" t="s">
        <v>790</v>
      </c>
      <c r="H407" s="352" t="s">
        <v>77</v>
      </c>
      <c r="I407" s="693" t="s">
        <v>7</v>
      </c>
      <c r="J407" s="734">
        <v>25</v>
      </c>
      <c r="K407" s="356">
        <v>25</v>
      </c>
      <c r="L407" s="355"/>
      <c r="M407" s="686">
        <v>11</v>
      </c>
      <c r="N407" s="686">
        <v>1</v>
      </c>
      <c r="O407" s="688">
        <v>0.09</v>
      </c>
      <c r="P407" s="689">
        <v>0.09</v>
      </c>
      <c r="Q407" s="690">
        <v>0.36</v>
      </c>
      <c r="R407" s="608"/>
    </row>
    <row r="408" spans="1:18" ht="26.25" thickBot="1" x14ac:dyDescent="0.25">
      <c r="A408" s="349" t="s">
        <v>276</v>
      </c>
      <c r="B408" s="350" t="s">
        <v>878</v>
      </c>
      <c r="C408" s="349" t="s">
        <v>879</v>
      </c>
      <c r="D408" s="350" t="s">
        <v>808</v>
      </c>
      <c r="E408" s="350" t="s">
        <v>864</v>
      </c>
      <c r="F408" s="351" t="s">
        <v>834</v>
      </c>
      <c r="G408" s="350" t="s">
        <v>784</v>
      </c>
      <c r="H408" s="352" t="s">
        <v>77</v>
      </c>
      <c r="I408" s="693" t="s">
        <v>7</v>
      </c>
      <c r="J408" s="734">
        <v>100</v>
      </c>
      <c r="K408" s="356">
        <v>100</v>
      </c>
      <c r="L408" s="355"/>
      <c r="M408" s="686">
        <v>11</v>
      </c>
      <c r="N408" s="686">
        <v>5</v>
      </c>
      <c r="O408" s="688">
        <v>0.45450000000000002</v>
      </c>
      <c r="P408" s="688">
        <v>0.45450000000000002</v>
      </c>
      <c r="Q408" s="690">
        <v>0.45</v>
      </c>
      <c r="R408" s="608"/>
    </row>
    <row r="409" spans="1:18" ht="26.25" thickBot="1" x14ac:dyDescent="0.25">
      <c r="A409" s="349" t="s">
        <v>276</v>
      </c>
      <c r="B409" s="350" t="s">
        <v>878</v>
      </c>
      <c r="C409" s="349" t="s">
        <v>879</v>
      </c>
      <c r="D409" s="350" t="s">
        <v>808</v>
      </c>
      <c r="E409" s="350" t="s">
        <v>864</v>
      </c>
      <c r="F409" s="351" t="s">
        <v>830</v>
      </c>
      <c r="G409" s="350" t="s">
        <v>865</v>
      </c>
      <c r="H409" s="352" t="s">
        <v>77</v>
      </c>
      <c r="I409" s="693" t="s">
        <v>7</v>
      </c>
      <c r="J409" s="734">
        <v>33</v>
      </c>
      <c r="K409" s="356">
        <v>33</v>
      </c>
      <c r="L409" s="355"/>
      <c r="M409" s="686">
        <v>11</v>
      </c>
      <c r="N409" s="686">
        <v>4</v>
      </c>
      <c r="O409" s="688">
        <v>0.36399999999999999</v>
      </c>
      <c r="P409" s="689">
        <v>0.36399999999999999</v>
      </c>
      <c r="Q409" s="690">
        <v>1.1000000000000001</v>
      </c>
      <c r="R409" s="608"/>
    </row>
    <row r="410" spans="1:18" ht="13.5" thickBot="1" x14ac:dyDescent="0.25">
      <c r="A410" s="349" t="s">
        <v>276</v>
      </c>
      <c r="B410" s="350" t="s">
        <v>878</v>
      </c>
      <c r="C410" s="349" t="s">
        <v>879</v>
      </c>
      <c r="D410" s="350" t="s">
        <v>808</v>
      </c>
      <c r="E410" s="350" t="s">
        <v>815</v>
      </c>
      <c r="F410" s="351" t="s">
        <v>834</v>
      </c>
      <c r="G410" s="350" t="s">
        <v>866</v>
      </c>
      <c r="H410" s="352" t="s">
        <v>77</v>
      </c>
      <c r="I410" s="693" t="s">
        <v>7</v>
      </c>
      <c r="J410" s="734">
        <v>100</v>
      </c>
      <c r="K410" s="356">
        <v>100</v>
      </c>
      <c r="L410" s="355"/>
      <c r="M410" s="686">
        <v>11</v>
      </c>
      <c r="N410" s="686">
        <v>5</v>
      </c>
      <c r="O410" s="688">
        <v>0.45450000000000002</v>
      </c>
      <c r="P410" s="688">
        <v>0.45450000000000002</v>
      </c>
      <c r="Q410" s="690">
        <v>0.45</v>
      </c>
      <c r="R410" s="608"/>
    </row>
    <row r="411" spans="1:18" ht="13.5" thickBot="1" x14ac:dyDescent="0.25">
      <c r="A411" s="349" t="s">
        <v>276</v>
      </c>
      <c r="B411" s="350" t="s">
        <v>878</v>
      </c>
      <c r="C411" s="349" t="s">
        <v>879</v>
      </c>
      <c r="D411" s="350" t="s">
        <v>808</v>
      </c>
      <c r="E411" s="350" t="s">
        <v>815</v>
      </c>
      <c r="F411" s="351" t="s">
        <v>830</v>
      </c>
      <c r="G411" s="350" t="s">
        <v>865</v>
      </c>
      <c r="H411" s="352" t="s">
        <v>77</v>
      </c>
      <c r="I411" s="693" t="s">
        <v>7</v>
      </c>
      <c r="J411" s="734">
        <v>33</v>
      </c>
      <c r="K411" s="356">
        <v>33</v>
      </c>
      <c r="L411" s="354"/>
      <c r="M411" s="686">
        <v>11</v>
      </c>
      <c r="N411" s="686">
        <v>4</v>
      </c>
      <c r="O411" s="688">
        <v>0.36399999999999999</v>
      </c>
      <c r="P411" s="689">
        <v>0.36399999999999999</v>
      </c>
      <c r="Q411" s="690">
        <v>1.1000000000000001</v>
      </c>
      <c r="R411" s="608"/>
    </row>
    <row r="412" spans="1:18" ht="26.25" thickBot="1" x14ac:dyDescent="0.25">
      <c r="A412" s="349" t="s">
        <v>276</v>
      </c>
      <c r="B412" s="350" t="s">
        <v>878</v>
      </c>
      <c r="C412" s="349" t="s">
        <v>879</v>
      </c>
      <c r="D412" s="350" t="s">
        <v>808</v>
      </c>
      <c r="E412" s="350" t="s">
        <v>867</v>
      </c>
      <c r="F412" s="351" t="s">
        <v>834</v>
      </c>
      <c r="G412" s="350" t="s">
        <v>784</v>
      </c>
      <c r="H412" s="352" t="s">
        <v>77</v>
      </c>
      <c r="I412" s="693" t="s">
        <v>7</v>
      </c>
      <c r="J412" s="734">
        <v>100</v>
      </c>
      <c r="K412" s="356">
        <v>100</v>
      </c>
      <c r="L412" s="355"/>
      <c r="M412" s="686">
        <v>11</v>
      </c>
      <c r="N412" s="686">
        <v>5</v>
      </c>
      <c r="O412" s="688">
        <v>0.45450000000000002</v>
      </c>
      <c r="P412" s="688">
        <v>0.45450000000000002</v>
      </c>
      <c r="Q412" s="690">
        <v>0.45</v>
      </c>
      <c r="R412" s="608"/>
    </row>
    <row r="413" spans="1:18" ht="26.25" thickBot="1" x14ac:dyDescent="0.25">
      <c r="A413" s="349" t="s">
        <v>276</v>
      </c>
      <c r="B413" s="350" t="s">
        <v>878</v>
      </c>
      <c r="C413" s="349" t="s">
        <v>879</v>
      </c>
      <c r="D413" s="350" t="s">
        <v>868</v>
      </c>
      <c r="E413" s="350" t="s">
        <v>867</v>
      </c>
      <c r="F413" s="351" t="s">
        <v>869</v>
      </c>
      <c r="G413" s="350" t="s">
        <v>784</v>
      </c>
      <c r="H413" s="352" t="s">
        <v>77</v>
      </c>
      <c r="I413" s="693" t="s">
        <v>7</v>
      </c>
      <c r="J413" s="734">
        <v>100</v>
      </c>
      <c r="K413" s="356">
        <v>100</v>
      </c>
      <c r="L413" s="355"/>
      <c r="M413" s="686">
        <v>11</v>
      </c>
      <c r="N413" s="686">
        <v>5</v>
      </c>
      <c r="O413" s="688">
        <v>0.45450000000000002</v>
      </c>
      <c r="P413" s="688">
        <v>0.45450000000000002</v>
      </c>
      <c r="Q413" s="690">
        <v>0.45</v>
      </c>
      <c r="R413" s="608"/>
    </row>
    <row r="414" spans="1:18" x14ac:dyDescent="0.2">
      <c r="A414" s="349" t="s">
        <v>276</v>
      </c>
      <c r="B414" s="350" t="s">
        <v>878</v>
      </c>
      <c r="C414" s="349" t="s">
        <v>879</v>
      </c>
      <c r="D414" s="350" t="s">
        <v>868</v>
      </c>
      <c r="E414" s="350" t="s">
        <v>870</v>
      </c>
      <c r="F414" s="351" t="s">
        <v>834</v>
      </c>
      <c r="G414" s="350" t="s">
        <v>784</v>
      </c>
      <c r="H414" s="352" t="s">
        <v>77</v>
      </c>
      <c r="I414" s="693" t="s">
        <v>7</v>
      </c>
      <c r="J414" s="734">
        <v>100</v>
      </c>
      <c r="K414" s="356">
        <v>100</v>
      </c>
      <c r="L414" s="355"/>
      <c r="M414" s="686">
        <v>11</v>
      </c>
      <c r="N414" s="686">
        <v>5</v>
      </c>
      <c r="O414" s="688">
        <v>0.45450000000000002</v>
      </c>
      <c r="P414" s="688">
        <v>0.45450000000000002</v>
      </c>
      <c r="Q414" s="690">
        <v>0.45</v>
      </c>
      <c r="R414" s="608"/>
    </row>
    <row r="415" spans="1:18" x14ac:dyDescent="0.2">
      <c r="A415" s="203"/>
      <c r="B415" s="203"/>
      <c r="C415" s="203"/>
      <c r="D415" s="203"/>
      <c r="E415" s="203"/>
      <c r="F415" s="203"/>
      <c r="G415" s="203"/>
      <c r="H415" s="203"/>
      <c r="J415" s="203"/>
      <c r="K415" s="203"/>
      <c r="L415" s="203"/>
      <c r="M415" s="203"/>
      <c r="N415" s="203"/>
      <c r="O415" s="203"/>
      <c r="P415" s="203"/>
      <c r="Q415" s="203"/>
      <c r="R415" s="358" t="s">
        <v>1478</v>
      </c>
    </row>
    <row r="416" spans="1:18" x14ac:dyDescent="0.2">
      <c r="J416" s="203"/>
      <c r="K416" s="203"/>
      <c r="L416" s="220"/>
      <c r="M416" s="28"/>
      <c r="N416" s="28"/>
      <c r="O416" s="28"/>
      <c r="P416" s="28"/>
      <c r="Q416" s="28"/>
    </row>
    <row r="417" spans="13:17" x14ac:dyDescent="0.2">
      <c r="M417" s="28"/>
      <c r="N417" s="28"/>
      <c r="O417" s="28"/>
      <c r="P417" s="28"/>
      <c r="Q417" s="28"/>
    </row>
    <row r="418" spans="13:17" x14ac:dyDescent="0.2">
      <c r="M418" s="28"/>
      <c r="N418" s="28"/>
      <c r="O418" s="28"/>
      <c r="P418" s="28"/>
      <c r="Q418" s="28"/>
    </row>
    <row r="419" spans="13:17" x14ac:dyDescent="0.2">
      <c r="M419" s="28"/>
      <c r="N419" s="28"/>
      <c r="O419" s="28"/>
      <c r="P419" s="28"/>
      <c r="Q419" s="28"/>
    </row>
    <row r="420" spans="13:17" x14ac:dyDescent="0.2">
      <c r="M420" s="28"/>
      <c r="N420" s="28"/>
      <c r="O420" s="28"/>
      <c r="P420" s="28"/>
      <c r="Q420" s="28"/>
    </row>
    <row r="421" spans="13:17" x14ac:dyDescent="0.2">
      <c r="M421" s="28"/>
      <c r="N421" s="28"/>
      <c r="O421" s="28"/>
      <c r="P421" s="28"/>
      <c r="Q421" s="28"/>
    </row>
    <row r="422" spans="13:17" x14ac:dyDescent="0.2">
      <c r="M422" s="28"/>
      <c r="N422" s="28"/>
      <c r="O422" s="28"/>
      <c r="P422" s="28"/>
      <c r="Q422" s="28"/>
    </row>
    <row r="423" spans="13:17" x14ac:dyDescent="0.2">
      <c r="M423" s="28"/>
      <c r="N423" s="28"/>
      <c r="O423" s="28"/>
      <c r="P423" s="28"/>
      <c r="Q423" s="28"/>
    </row>
    <row r="424" spans="13:17" x14ac:dyDescent="0.2">
      <c r="M424" s="28"/>
      <c r="N424" s="28"/>
      <c r="O424" s="28"/>
      <c r="P424" s="28"/>
      <c r="Q424" s="28"/>
    </row>
    <row r="425" spans="13:17" x14ac:dyDescent="0.2">
      <c r="M425" s="28"/>
      <c r="N425" s="28"/>
      <c r="O425" s="28"/>
      <c r="P425" s="28"/>
      <c r="Q425" s="28"/>
    </row>
    <row r="426" spans="13:17" x14ac:dyDescent="0.2">
      <c r="M426" s="28"/>
      <c r="N426" s="28"/>
      <c r="O426" s="28"/>
      <c r="P426" s="28"/>
      <c r="Q426" s="28"/>
    </row>
    <row r="427" spans="13:17" x14ac:dyDescent="0.2">
      <c r="M427" s="28"/>
      <c r="N427" s="28"/>
      <c r="O427" s="28"/>
      <c r="P427" s="28"/>
      <c r="Q427" s="28"/>
    </row>
    <row r="428" spans="13:17" x14ac:dyDescent="0.2">
      <c r="M428" s="28"/>
      <c r="N428" s="28"/>
      <c r="O428" s="28"/>
      <c r="P428" s="28"/>
      <c r="Q428" s="28"/>
    </row>
    <row r="429" spans="13:17" x14ac:dyDescent="0.2">
      <c r="M429" s="28"/>
      <c r="N429" s="28"/>
      <c r="O429" s="28"/>
      <c r="P429" s="28"/>
      <c r="Q429" s="28"/>
    </row>
    <row r="430" spans="13:17" x14ac:dyDescent="0.2">
      <c r="M430" s="28"/>
      <c r="N430" s="28"/>
      <c r="O430" s="28"/>
      <c r="P430" s="28"/>
      <c r="Q430" s="28"/>
    </row>
    <row r="431" spans="13:17" x14ac:dyDescent="0.2">
      <c r="M431" s="28"/>
      <c r="N431" s="28"/>
      <c r="O431" s="28"/>
      <c r="P431" s="28"/>
      <c r="Q431" s="28"/>
    </row>
    <row r="432" spans="13:17" x14ac:dyDescent="0.2">
      <c r="M432" s="28"/>
      <c r="N432" s="28"/>
      <c r="O432" s="28"/>
      <c r="P432" s="28"/>
      <c r="Q432" s="28"/>
    </row>
    <row r="433" spans="13:17" x14ac:dyDescent="0.2">
      <c r="M433" s="28"/>
      <c r="N433" s="28"/>
      <c r="O433" s="28"/>
      <c r="P433" s="28"/>
      <c r="Q433" s="28"/>
    </row>
    <row r="434" spans="13:17" x14ac:dyDescent="0.2">
      <c r="M434" s="28"/>
      <c r="N434" s="28"/>
      <c r="O434" s="28"/>
      <c r="P434" s="28"/>
      <c r="Q434" s="28"/>
    </row>
    <row r="435" spans="13:17" x14ac:dyDescent="0.2">
      <c r="M435" s="28"/>
      <c r="N435" s="28"/>
      <c r="O435" s="28"/>
      <c r="P435" s="28"/>
      <c r="Q435" s="28"/>
    </row>
    <row r="436" spans="13:17" x14ac:dyDescent="0.2">
      <c r="M436" s="28"/>
      <c r="N436" s="28"/>
      <c r="O436" s="28"/>
      <c r="P436" s="28"/>
      <c r="Q436" s="28"/>
    </row>
    <row r="437" spans="13:17" x14ac:dyDescent="0.2">
      <c r="M437" s="28"/>
      <c r="N437" s="28"/>
      <c r="O437" s="28"/>
      <c r="P437" s="28"/>
      <c r="Q437" s="28"/>
    </row>
    <row r="438" spans="13:17" x14ac:dyDescent="0.2">
      <c r="M438" s="28"/>
      <c r="N438" s="28"/>
      <c r="O438" s="28"/>
      <c r="P438" s="28"/>
      <c r="Q438" s="28"/>
    </row>
    <row r="439" spans="13:17" x14ac:dyDescent="0.2">
      <c r="M439" s="28"/>
      <c r="N439" s="28"/>
      <c r="O439" s="28"/>
      <c r="P439" s="28"/>
      <c r="Q439" s="28"/>
    </row>
    <row r="440" spans="13:17" x14ac:dyDescent="0.2">
      <c r="M440" s="28"/>
      <c r="N440" s="28"/>
      <c r="O440" s="28"/>
      <c r="P440" s="28"/>
      <c r="Q440" s="28"/>
    </row>
    <row r="441" spans="13:17" x14ac:dyDescent="0.2">
      <c r="M441" s="28"/>
      <c r="N441" s="28"/>
      <c r="O441" s="28"/>
      <c r="P441" s="28"/>
      <c r="Q441" s="28"/>
    </row>
    <row r="442" spans="13:17" x14ac:dyDescent="0.2">
      <c r="M442" s="28"/>
      <c r="N442" s="28"/>
      <c r="O442" s="28"/>
      <c r="P442" s="28"/>
      <c r="Q442" s="28"/>
    </row>
    <row r="443" spans="13:17" x14ac:dyDescent="0.2">
      <c r="M443" s="28"/>
      <c r="N443" s="28"/>
      <c r="O443" s="28"/>
      <c r="P443" s="28"/>
      <c r="Q443" s="28"/>
    </row>
    <row r="444" spans="13:17" x14ac:dyDescent="0.2">
      <c r="M444" s="28"/>
      <c r="N444" s="28"/>
      <c r="O444" s="28"/>
      <c r="P444" s="28"/>
      <c r="Q444" s="28"/>
    </row>
    <row r="445" spans="13:17" x14ac:dyDescent="0.2">
      <c r="M445" s="28"/>
      <c r="N445" s="28"/>
      <c r="O445" s="28"/>
      <c r="P445" s="28"/>
      <c r="Q445" s="28"/>
    </row>
    <row r="446" spans="13:17" x14ac:dyDescent="0.2">
      <c r="M446" s="28"/>
      <c r="N446" s="28"/>
      <c r="O446" s="28"/>
      <c r="P446" s="28"/>
      <c r="Q446" s="28"/>
    </row>
    <row r="447" spans="13:17" x14ac:dyDescent="0.2">
      <c r="M447" s="28"/>
      <c r="N447" s="28"/>
      <c r="O447" s="28"/>
      <c r="P447" s="28"/>
      <c r="Q447" s="28"/>
    </row>
    <row r="448" spans="13:17" x14ac:dyDescent="0.2">
      <c r="M448" s="28"/>
      <c r="N448" s="28"/>
      <c r="O448" s="28"/>
      <c r="P448" s="28"/>
      <c r="Q448" s="28"/>
    </row>
    <row r="449" spans="13:17" x14ac:dyDescent="0.2">
      <c r="M449" s="28"/>
      <c r="N449" s="28"/>
      <c r="O449" s="28"/>
      <c r="P449" s="28"/>
      <c r="Q449" s="28"/>
    </row>
    <row r="450" spans="13:17" x14ac:dyDescent="0.2">
      <c r="M450" s="28"/>
      <c r="N450" s="28"/>
      <c r="O450" s="28"/>
      <c r="P450" s="28"/>
      <c r="Q450" s="28"/>
    </row>
    <row r="451" spans="13:17" x14ac:dyDescent="0.2">
      <c r="M451" s="28"/>
      <c r="N451" s="28"/>
      <c r="O451" s="28"/>
      <c r="P451" s="28"/>
      <c r="Q451" s="28"/>
    </row>
    <row r="452" spans="13:17" x14ac:dyDescent="0.2">
      <c r="M452" s="28"/>
      <c r="N452" s="28"/>
      <c r="O452" s="28"/>
      <c r="P452" s="28"/>
      <c r="Q452" s="28"/>
    </row>
    <row r="453" spans="13:17" x14ac:dyDescent="0.2">
      <c r="M453" s="28"/>
      <c r="N453" s="28"/>
      <c r="O453" s="28"/>
      <c r="P453" s="28"/>
      <c r="Q453" s="28"/>
    </row>
    <row r="454" spans="13:17" x14ac:dyDescent="0.2">
      <c r="M454" s="28"/>
      <c r="N454" s="28"/>
      <c r="O454" s="28"/>
      <c r="P454" s="28"/>
      <c r="Q454" s="28"/>
    </row>
    <row r="455" spans="13:17" x14ac:dyDescent="0.2">
      <c r="M455" s="28"/>
      <c r="N455" s="28"/>
      <c r="O455" s="28"/>
      <c r="P455" s="28"/>
      <c r="Q455" s="28"/>
    </row>
    <row r="456" spans="13:17" x14ac:dyDescent="0.2">
      <c r="M456" s="28"/>
      <c r="N456" s="28"/>
      <c r="O456" s="28"/>
      <c r="P456" s="28"/>
      <c r="Q456" s="28"/>
    </row>
    <row r="457" spans="13:17" x14ac:dyDescent="0.2">
      <c r="M457" s="28"/>
      <c r="N457" s="28"/>
      <c r="O457" s="28"/>
      <c r="P457" s="28"/>
      <c r="Q457" s="28"/>
    </row>
    <row r="458" spans="13:17" x14ac:dyDescent="0.2">
      <c r="M458" s="28"/>
      <c r="N458" s="28"/>
      <c r="O458" s="28"/>
      <c r="P458" s="28"/>
      <c r="Q458" s="28"/>
    </row>
    <row r="459" spans="13:17" x14ac:dyDescent="0.2">
      <c r="M459" s="28"/>
      <c r="N459" s="28"/>
      <c r="O459" s="28"/>
      <c r="P459" s="28"/>
      <c r="Q459" s="28"/>
    </row>
    <row r="460" spans="13:17" x14ac:dyDescent="0.2">
      <c r="M460" s="28"/>
      <c r="N460" s="28"/>
      <c r="O460" s="28"/>
      <c r="P460" s="28"/>
      <c r="Q460" s="28"/>
    </row>
    <row r="461" spans="13:17" x14ac:dyDescent="0.2">
      <c r="M461" s="28"/>
      <c r="N461" s="28"/>
      <c r="O461" s="28"/>
      <c r="P461" s="28"/>
      <c r="Q461" s="28"/>
    </row>
    <row r="462" spans="13:17" x14ac:dyDescent="0.2">
      <c r="M462" s="28"/>
      <c r="N462" s="28"/>
      <c r="O462" s="28"/>
      <c r="P462" s="28"/>
      <c r="Q462" s="28"/>
    </row>
    <row r="463" spans="13:17" x14ac:dyDescent="0.2">
      <c r="M463" s="28"/>
      <c r="N463" s="28"/>
      <c r="O463" s="28"/>
      <c r="P463" s="28"/>
      <c r="Q463" s="28"/>
    </row>
  </sheetData>
  <pageMargins left="0.25" right="0.25" top="0.75" bottom="0.75" header="0.3" footer="0.3"/>
  <pageSetup paperSize="9" scale="42" firstPageNumber="0"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Y463"/>
  <sheetViews>
    <sheetView topLeftCell="C1" zoomScale="70" zoomScaleNormal="70" workbookViewId="0">
      <selection activeCell="W3" sqref="W3"/>
    </sheetView>
  </sheetViews>
  <sheetFormatPr defaultRowHeight="12.75" x14ac:dyDescent="0.2"/>
  <cols>
    <col min="1" max="1" width="30.140625" customWidth="1"/>
    <col min="2" max="2" width="17.42578125" bestFit="1" customWidth="1"/>
    <col min="3" max="3" width="12.5703125" customWidth="1"/>
    <col min="4" max="4" width="18.5703125" customWidth="1"/>
    <col min="5" max="5" width="23.28515625" customWidth="1"/>
    <col min="6" max="6" width="27.85546875" customWidth="1"/>
    <col min="7" max="7" width="29.140625" customWidth="1"/>
    <col min="8" max="8" width="15.5703125" customWidth="1"/>
    <col min="9" max="9" width="25.85546875" customWidth="1"/>
    <col min="10" max="10" width="20.7109375" customWidth="1"/>
    <col min="11" max="11" width="18.7109375" customWidth="1"/>
    <col min="12" max="12" width="30.28515625" customWidth="1"/>
    <col min="13" max="13" width="20.7109375" customWidth="1"/>
    <col min="14" max="14" width="22" bestFit="1" customWidth="1"/>
    <col min="15" max="15" width="75" bestFit="1" customWidth="1"/>
    <col min="25" max="25" width="52.7109375" customWidth="1"/>
  </cols>
  <sheetData>
    <row r="1" spans="1:25" ht="13.5" thickBot="1" x14ac:dyDescent="0.25">
      <c r="A1" s="6" t="s">
        <v>116</v>
      </c>
    </row>
    <row r="2" spans="1:25" x14ac:dyDescent="0.2">
      <c r="A2" s="42"/>
      <c r="B2" s="42"/>
      <c r="C2" s="42"/>
      <c r="D2" s="42"/>
      <c r="E2" s="42"/>
      <c r="F2" s="42"/>
      <c r="G2" s="42"/>
      <c r="H2" s="42"/>
      <c r="I2" s="42"/>
      <c r="J2" s="42"/>
      <c r="K2" s="42"/>
      <c r="L2" s="42"/>
      <c r="N2" s="92" t="s">
        <v>56</v>
      </c>
      <c r="O2" s="85" t="s">
        <v>1484</v>
      </c>
    </row>
    <row r="3" spans="1:25" ht="13.5" thickBot="1" x14ac:dyDescent="0.25">
      <c r="A3" s="42"/>
      <c r="B3" s="42"/>
      <c r="C3" s="42"/>
      <c r="D3" s="42"/>
      <c r="E3" s="42"/>
      <c r="F3" s="42"/>
      <c r="G3" s="42"/>
      <c r="H3" s="42"/>
      <c r="I3" s="42"/>
      <c r="J3" s="42"/>
      <c r="K3" s="42"/>
      <c r="L3" s="42"/>
      <c r="N3" s="269" t="s">
        <v>55</v>
      </c>
      <c r="O3" s="144">
        <v>2020</v>
      </c>
    </row>
    <row r="4" spans="1:25" ht="48.95" customHeight="1" thickBot="1" x14ac:dyDescent="0.25">
      <c r="A4" s="109" t="s">
        <v>0</v>
      </c>
      <c r="B4" s="110" t="s">
        <v>117</v>
      </c>
      <c r="C4" s="100" t="s">
        <v>103</v>
      </c>
      <c r="D4" s="111" t="s">
        <v>118</v>
      </c>
      <c r="E4" s="111" t="s">
        <v>3</v>
      </c>
      <c r="F4" s="109" t="s">
        <v>105</v>
      </c>
      <c r="G4" s="112" t="s">
        <v>9</v>
      </c>
      <c r="H4" s="341" t="s">
        <v>106</v>
      </c>
      <c r="I4" s="113" t="s">
        <v>4</v>
      </c>
      <c r="J4" s="160" t="s">
        <v>239</v>
      </c>
      <c r="K4" s="160" t="s">
        <v>240</v>
      </c>
      <c r="L4" s="159" t="s">
        <v>107</v>
      </c>
      <c r="M4" s="159" t="s">
        <v>241</v>
      </c>
      <c r="N4" s="169" t="s">
        <v>242</v>
      </c>
      <c r="O4" s="161" t="s">
        <v>154</v>
      </c>
    </row>
    <row r="5" spans="1:25" ht="26.25" thickBot="1" x14ac:dyDescent="0.25">
      <c r="A5" s="543" t="s">
        <v>276</v>
      </c>
      <c r="B5" s="541" t="s">
        <v>119</v>
      </c>
      <c r="C5" s="542" t="s">
        <v>109</v>
      </c>
      <c r="D5" s="544" t="s">
        <v>115</v>
      </c>
      <c r="E5" s="544" t="s">
        <v>882</v>
      </c>
      <c r="F5" s="545" t="s">
        <v>790</v>
      </c>
      <c r="G5" s="546" t="s">
        <v>650</v>
      </c>
      <c r="H5" s="547">
        <v>0.1</v>
      </c>
      <c r="I5" s="540"/>
      <c r="J5" s="359">
        <v>82</v>
      </c>
      <c r="K5" s="359">
        <v>10</v>
      </c>
      <c r="L5" s="688">
        <v>0.122</v>
      </c>
      <c r="M5" s="688">
        <v>0.122</v>
      </c>
      <c r="N5" s="694">
        <v>1.22</v>
      </c>
      <c r="O5" s="360"/>
    </row>
    <row r="6" spans="1:25" ht="30.75" customHeight="1" thickBot="1" x14ac:dyDescent="0.25">
      <c r="A6" s="543" t="s">
        <v>276</v>
      </c>
      <c r="B6" s="541" t="s">
        <v>119</v>
      </c>
      <c r="C6" s="542" t="s">
        <v>109</v>
      </c>
      <c r="D6" s="544" t="s">
        <v>832</v>
      </c>
      <c r="E6" s="544" t="s">
        <v>882</v>
      </c>
      <c r="F6" s="545" t="s">
        <v>790</v>
      </c>
      <c r="G6" s="546" t="s">
        <v>650</v>
      </c>
      <c r="H6" s="547">
        <v>0.1</v>
      </c>
      <c r="I6" s="539"/>
      <c r="J6" s="359">
        <v>82</v>
      </c>
      <c r="K6" s="359">
        <v>10</v>
      </c>
      <c r="L6" s="688">
        <v>0.122</v>
      </c>
      <c r="M6" s="688">
        <v>0.122</v>
      </c>
      <c r="N6" s="694">
        <v>1.22</v>
      </c>
      <c r="O6" s="360"/>
    </row>
    <row r="7" spans="1:25" ht="26.25" thickBot="1" x14ac:dyDescent="0.25">
      <c r="A7" s="543" t="s">
        <v>276</v>
      </c>
      <c r="B7" s="541" t="s">
        <v>119</v>
      </c>
      <c r="C7" s="542" t="s">
        <v>109</v>
      </c>
      <c r="D7" s="544" t="s">
        <v>833</v>
      </c>
      <c r="E7" s="544" t="s">
        <v>882</v>
      </c>
      <c r="F7" s="545" t="s">
        <v>790</v>
      </c>
      <c r="G7" s="546" t="s">
        <v>650</v>
      </c>
      <c r="H7" s="547">
        <v>0.1</v>
      </c>
      <c r="I7" s="539"/>
      <c r="J7" s="359">
        <v>82</v>
      </c>
      <c r="K7" s="359">
        <v>10</v>
      </c>
      <c r="L7" s="688">
        <v>0.122</v>
      </c>
      <c r="M7" s="688">
        <v>0.122</v>
      </c>
      <c r="N7" s="694">
        <v>1.22</v>
      </c>
      <c r="O7" s="360"/>
    </row>
    <row r="8" spans="1:25" ht="26.25" thickBot="1" x14ac:dyDescent="0.25">
      <c r="A8" s="543" t="s">
        <v>276</v>
      </c>
      <c r="B8" s="541" t="s">
        <v>119</v>
      </c>
      <c r="C8" s="542" t="s">
        <v>109</v>
      </c>
      <c r="D8" s="544" t="s">
        <v>836</v>
      </c>
      <c r="E8" s="544" t="s">
        <v>882</v>
      </c>
      <c r="F8" s="545" t="s">
        <v>790</v>
      </c>
      <c r="G8" s="546" t="s">
        <v>650</v>
      </c>
      <c r="H8" s="547">
        <v>0.1</v>
      </c>
      <c r="I8" s="539"/>
      <c r="J8" s="359">
        <v>82</v>
      </c>
      <c r="K8" s="359">
        <v>10</v>
      </c>
      <c r="L8" s="688">
        <v>0.122</v>
      </c>
      <c r="M8" s="688">
        <v>0.122</v>
      </c>
      <c r="N8" s="694">
        <v>1.22</v>
      </c>
      <c r="O8" s="360"/>
    </row>
    <row r="9" spans="1:25" ht="39" thickBot="1" x14ac:dyDescent="0.25">
      <c r="A9" s="543" t="s">
        <v>276</v>
      </c>
      <c r="B9" s="541" t="s">
        <v>119</v>
      </c>
      <c r="C9" s="542" t="s">
        <v>109</v>
      </c>
      <c r="D9" s="544" t="s">
        <v>883</v>
      </c>
      <c r="E9" s="544" t="s">
        <v>882</v>
      </c>
      <c r="F9" s="545" t="s">
        <v>790</v>
      </c>
      <c r="G9" s="546" t="s">
        <v>650</v>
      </c>
      <c r="H9" s="547">
        <v>0.1</v>
      </c>
      <c r="I9" s="539"/>
      <c r="J9" s="359">
        <v>82</v>
      </c>
      <c r="K9" s="359">
        <v>10</v>
      </c>
      <c r="L9" s="688">
        <v>0.122</v>
      </c>
      <c r="M9" s="688">
        <v>0.122</v>
      </c>
      <c r="N9" s="694">
        <v>1.22</v>
      </c>
      <c r="O9" s="360"/>
    </row>
    <row r="10" spans="1:25" ht="26.25" thickBot="1" x14ac:dyDescent="0.25">
      <c r="A10" s="543" t="s">
        <v>276</v>
      </c>
      <c r="B10" s="541" t="s">
        <v>119</v>
      </c>
      <c r="C10" s="542" t="s">
        <v>109</v>
      </c>
      <c r="D10" s="544" t="s">
        <v>837</v>
      </c>
      <c r="E10" s="544" t="s">
        <v>882</v>
      </c>
      <c r="F10" s="545" t="s">
        <v>790</v>
      </c>
      <c r="G10" s="546" t="s">
        <v>650</v>
      </c>
      <c r="H10" s="547">
        <v>0.1</v>
      </c>
      <c r="I10" s="539"/>
      <c r="J10" s="359">
        <v>82</v>
      </c>
      <c r="K10" s="359">
        <v>10</v>
      </c>
      <c r="L10" s="688">
        <v>0.122</v>
      </c>
      <c r="M10" s="688">
        <v>0.122</v>
      </c>
      <c r="N10" s="694">
        <v>1.22</v>
      </c>
      <c r="O10" s="360"/>
      <c r="P10" s="185"/>
      <c r="Q10" s="185"/>
      <c r="R10" s="185"/>
      <c r="S10" s="185"/>
      <c r="T10" s="185"/>
      <c r="U10" s="185"/>
      <c r="V10" s="185"/>
      <c r="W10" s="185"/>
      <c r="X10" s="185"/>
      <c r="Y10" s="185"/>
    </row>
    <row r="11" spans="1:25" ht="39" thickBot="1" x14ac:dyDescent="0.25">
      <c r="A11" s="543" t="s">
        <v>276</v>
      </c>
      <c r="B11" s="541" t="s">
        <v>119</v>
      </c>
      <c r="C11" s="542" t="s">
        <v>109</v>
      </c>
      <c r="D11" s="544" t="s">
        <v>884</v>
      </c>
      <c r="E11" s="544" t="s">
        <v>882</v>
      </c>
      <c r="F11" s="545" t="s">
        <v>790</v>
      </c>
      <c r="G11" s="546" t="s">
        <v>650</v>
      </c>
      <c r="H11" s="547">
        <v>0.1</v>
      </c>
      <c r="I11" s="539"/>
      <c r="J11" s="359">
        <v>82</v>
      </c>
      <c r="K11" s="359">
        <v>10</v>
      </c>
      <c r="L11" s="688">
        <v>0.122</v>
      </c>
      <c r="M11" s="688">
        <v>0.122</v>
      </c>
      <c r="N11" s="694">
        <v>1.22</v>
      </c>
      <c r="O11" s="360"/>
      <c r="P11" s="185"/>
      <c r="Q11" s="185"/>
      <c r="R11" s="185"/>
      <c r="S11" s="185"/>
      <c r="T11" s="185"/>
      <c r="U11" s="185"/>
      <c r="V11" s="185"/>
      <c r="W11" s="185"/>
      <c r="X11" s="185"/>
      <c r="Y11" s="185"/>
    </row>
    <row r="12" spans="1:25" ht="26.25" thickBot="1" x14ac:dyDescent="0.25">
      <c r="A12" s="543" t="s">
        <v>276</v>
      </c>
      <c r="B12" s="541" t="s">
        <v>119</v>
      </c>
      <c r="C12" s="542" t="s">
        <v>109</v>
      </c>
      <c r="D12" s="544" t="s">
        <v>885</v>
      </c>
      <c r="E12" s="544" t="s">
        <v>882</v>
      </c>
      <c r="F12" s="545" t="s">
        <v>790</v>
      </c>
      <c r="G12" s="546" t="s">
        <v>650</v>
      </c>
      <c r="H12" s="547">
        <v>0.1</v>
      </c>
      <c r="I12" s="539"/>
      <c r="J12" s="359">
        <v>82</v>
      </c>
      <c r="K12" s="359">
        <v>10</v>
      </c>
      <c r="L12" s="688">
        <v>0.122</v>
      </c>
      <c r="M12" s="688">
        <v>0.122</v>
      </c>
      <c r="N12" s="694">
        <v>1.22</v>
      </c>
      <c r="O12" s="360"/>
      <c r="P12" s="185"/>
      <c r="Q12" s="185"/>
      <c r="R12" s="185"/>
      <c r="S12" s="185"/>
      <c r="T12" s="185"/>
      <c r="U12" s="185"/>
      <c r="V12" s="185"/>
      <c r="W12" s="185"/>
      <c r="X12" s="185"/>
      <c r="Y12" s="185"/>
    </row>
    <row r="13" spans="1:25" ht="26.25" thickBot="1" x14ac:dyDescent="0.25">
      <c r="A13" s="543" t="s">
        <v>276</v>
      </c>
      <c r="B13" s="541" t="s">
        <v>119</v>
      </c>
      <c r="C13" s="542" t="s">
        <v>109</v>
      </c>
      <c r="D13" s="544" t="s">
        <v>842</v>
      </c>
      <c r="E13" s="544" t="s">
        <v>882</v>
      </c>
      <c r="F13" s="545" t="s">
        <v>790</v>
      </c>
      <c r="G13" s="546" t="s">
        <v>650</v>
      </c>
      <c r="H13" s="547">
        <v>0.1</v>
      </c>
      <c r="I13" s="539"/>
      <c r="J13" s="359">
        <v>82</v>
      </c>
      <c r="K13" s="359">
        <v>10</v>
      </c>
      <c r="L13" s="688">
        <v>0.122</v>
      </c>
      <c r="M13" s="688">
        <v>0.122</v>
      </c>
      <c r="N13" s="694">
        <v>1.22</v>
      </c>
      <c r="O13" s="360"/>
      <c r="P13" s="185"/>
      <c r="Q13" s="185"/>
      <c r="R13" s="185"/>
      <c r="S13" s="185"/>
      <c r="T13" s="185"/>
      <c r="U13" s="185"/>
      <c r="V13" s="185"/>
      <c r="W13" s="185"/>
      <c r="X13" s="185"/>
      <c r="Y13" s="185"/>
    </row>
    <row r="14" spans="1:25" ht="26.25" thickBot="1" x14ac:dyDescent="0.25">
      <c r="A14" s="543" t="s">
        <v>276</v>
      </c>
      <c r="B14" s="541" t="s">
        <v>119</v>
      </c>
      <c r="C14" s="542" t="s">
        <v>109</v>
      </c>
      <c r="D14" s="544" t="s">
        <v>844</v>
      </c>
      <c r="E14" s="544" t="s">
        <v>882</v>
      </c>
      <c r="F14" s="545" t="s">
        <v>790</v>
      </c>
      <c r="G14" s="546" t="s">
        <v>650</v>
      </c>
      <c r="H14" s="547">
        <v>0.1</v>
      </c>
      <c r="I14" s="539"/>
      <c r="J14" s="359">
        <v>82</v>
      </c>
      <c r="K14" s="359">
        <v>10</v>
      </c>
      <c r="L14" s="688">
        <v>0.122</v>
      </c>
      <c r="M14" s="688">
        <v>0.122</v>
      </c>
      <c r="N14" s="694">
        <v>1.22</v>
      </c>
      <c r="O14" s="360"/>
      <c r="P14" s="185"/>
      <c r="Q14" s="185"/>
      <c r="R14" s="185"/>
      <c r="S14" s="185"/>
      <c r="T14" s="185"/>
      <c r="U14" s="185"/>
      <c r="V14" s="185"/>
      <c r="W14" s="185"/>
      <c r="X14" s="185"/>
      <c r="Y14" s="185"/>
    </row>
    <row r="15" spans="1:25" ht="26.25" thickBot="1" x14ac:dyDescent="0.25">
      <c r="A15" s="543" t="s">
        <v>276</v>
      </c>
      <c r="B15" s="541" t="s">
        <v>119</v>
      </c>
      <c r="C15" s="542" t="s">
        <v>109</v>
      </c>
      <c r="D15" s="544" t="s">
        <v>845</v>
      </c>
      <c r="E15" s="544" t="s">
        <v>882</v>
      </c>
      <c r="F15" s="545" t="s">
        <v>790</v>
      </c>
      <c r="G15" s="546" t="s">
        <v>650</v>
      </c>
      <c r="H15" s="547">
        <v>0.1</v>
      </c>
      <c r="I15" s="539"/>
      <c r="J15" s="359">
        <v>82</v>
      </c>
      <c r="K15" s="359">
        <v>10</v>
      </c>
      <c r="L15" s="688">
        <v>0.122</v>
      </c>
      <c r="M15" s="688">
        <v>0.122</v>
      </c>
      <c r="N15" s="694">
        <v>1.22</v>
      </c>
      <c r="O15" s="360"/>
      <c r="P15" s="185"/>
      <c r="Q15" s="185"/>
      <c r="R15" s="185"/>
      <c r="S15" s="185"/>
      <c r="T15" s="185"/>
      <c r="U15" s="185"/>
      <c r="V15" s="185"/>
      <c r="W15" s="185"/>
      <c r="X15" s="185"/>
      <c r="Y15" s="185"/>
    </row>
    <row r="16" spans="1:25" ht="26.25" thickBot="1" x14ac:dyDescent="0.25">
      <c r="A16" s="543" t="s">
        <v>276</v>
      </c>
      <c r="B16" s="541" t="s">
        <v>119</v>
      </c>
      <c r="C16" s="542" t="s">
        <v>109</v>
      </c>
      <c r="D16" s="544" t="s">
        <v>846</v>
      </c>
      <c r="E16" s="544" t="s">
        <v>882</v>
      </c>
      <c r="F16" s="545" t="s">
        <v>790</v>
      </c>
      <c r="G16" s="546" t="s">
        <v>650</v>
      </c>
      <c r="H16" s="547">
        <v>0.1</v>
      </c>
      <c r="I16" s="539"/>
      <c r="J16" s="359">
        <v>82</v>
      </c>
      <c r="K16" s="359">
        <v>10</v>
      </c>
      <c r="L16" s="688">
        <v>0.122</v>
      </c>
      <c r="M16" s="688">
        <v>0.122</v>
      </c>
      <c r="N16" s="694">
        <v>1.22</v>
      </c>
      <c r="O16" s="360"/>
      <c r="P16" s="185"/>
      <c r="Q16" s="185"/>
      <c r="R16" s="185"/>
      <c r="S16" s="185"/>
      <c r="T16" s="185"/>
      <c r="U16" s="185"/>
      <c r="V16" s="185"/>
      <c r="W16" s="185"/>
      <c r="X16" s="185"/>
      <c r="Y16" s="185"/>
    </row>
    <row r="17" spans="1:25" ht="26.25" thickBot="1" x14ac:dyDescent="0.25">
      <c r="A17" s="543" t="s">
        <v>276</v>
      </c>
      <c r="B17" s="541" t="s">
        <v>119</v>
      </c>
      <c r="C17" s="542" t="s">
        <v>109</v>
      </c>
      <c r="D17" s="544" t="s">
        <v>847</v>
      </c>
      <c r="E17" s="544" t="s">
        <v>882</v>
      </c>
      <c r="F17" s="545" t="s">
        <v>790</v>
      </c>
      <c r="G17" s="546" t="s">
        <v>650</v>
      </c>
      <c r="H17" s="547">
        <v>0.1</v>
      </c>
      <c r="I17" s="539"/>
      <c r="J17" s="359">
        <v>82</v>
      </c>
      <c r="K17" s="359">
        <v>10</v>
      </c>
      <c r="L17" s="688">
        <v>0.122</v>
      </c>
      <c r="M17" s="688">
        <v>0.122</v>
      </c>
      <c r="N17" s="694">
        <v>1.22</v>
      </c>
      <c r="O17" s="360"/>
      <c r="P17" s="185"/>
      <c r="Q17" s="185"/>
      <c r="R17" s="185"/>
      <c r="S17" s="185"/>
      <c r="T17" s="185"/>
      <c r="U17" s="185"/>
      <c r="V17" s="185"/>
      <c r="W17" s="185"/>
      <c r="X17" s="185"/>
      <c r="Y17" s="185"/>
    </row>
    <row r="18" spans="1:25" ht="26.25" thickBot="1" x14ac:dyDescent="0.25">
      <c r="A18" s="543" t="s">
        <v>276</v>
      </c>
      <c r="B18" s="541" t="s">
        <v>119</v>
      </c>
      <c r="C18" s="542" t="s">
        <v>109</v>
      </c>
      <c r="D18" s="544" t="s">
        <v>886</v>
      </c>
      <c r="E18" s="544" t="s">
        <v>882</v>
      </c>
      <c r="F18" s="545" t="s">
        <v>790</v>
      </c>
      <c r="G18" s="546" t="s">
        <v>650</v>
      </c>
      <c r="H18" s="547">
        <v>0.1</v>
      </c>
      <c r="I18" s="539"/>
      <c r="J18" s="359">
        <v>82</v>
      </c>
      <c r="K18" s="359">
        <v>10</v>
      </c>
      <c r="L18" s="688">
        <v>0.122</v>
      </c>
      <c r="M18" s="688">
        <v>0.122</v>
      </c>
      <c r="N18" s="694">
        <v>1.22</v>
      </c>
      <c r="O18" s="360"/>
      <c r="P18" s="185"/>
      <c r="Q18" s="185"/>
      <c r="R18" s="185"/>
      <c r="S18" s="185"/>
      <c r="T18" s="185"/>
      <c r="U18" s="185"/>
      <c r="V18" s="185"/>
      <c r="W18" s="185"/>
      <c r="X18" s="185"/>
      <c r="Y18" s="185"/>
    </row>
    <row r="19" spans="1:25" ht="26.25" thickBot="1" x14ac:dyDescent="0.25">
      <c r="A19" s="543" t="s">
        <v>276</v>
      </c>
      <c r="B19" s="541" t="s">
        <v>119</v>
      </c>
      <c r="C19" s="542" t="s">
        <v>109</v>
      </c>
      <c r="D19" s="544" t="s">
        <v>887</v>
      </c>
      <c r="E19" s="544" t="s">
        <v>882</v>
      </c>
      <c r="F19" s="545" t="s">
        <v>790</v>
      </c>
      <c r="G19" s="546" t="s">
        <v>650</v>
      </c>
      <c r="H19" s="547">
        <v>0.1</v>
      </c>
      <c r="I19" s="539"/>
      <c r="J19" s="359">
        <v>82</v>
      </c>
      <c r="K19" s="359">
        <v>10</v>
      </c>
      <c r="L19" s="688">
        <v>0.122</v>
      </c>
      <c r="M19" s="688">
        <v>0.122</v>
      </c>
      <c r="N19" s="694">
        <v>1.22</v>
      </c>
      <c r="O19" s="360"/>
      <c r="P19" s="185"/>
      <c r="Q19" s="185"/>
      <c r="R19" s="185"/>
      <c r="S19" s="185"/>
      <c r="T19" s="185"/>
      <c r="U19" s="185"/>
      <c r="V19" s="185"/>
      <c r="W19" s="185"/>
      <c r="X19" s="185"/>
      <c r="Y19" s="185"/>
    </row>
    <row r="20" spans="1:25" ht="26.25" thickBot="1" x14ac:dyDescent="0.25">
      <c r="A20" s="543" t="s">
        <v>276</v>
      </c>
      <c r="B20" s="541" t="s">
        <v>119</v>
      </c>
      <c r="C20" s="542" t="s">
        <v>109</v>
      </c>
      <c r="D20" s="544" t="s">
        <v>850</v>
      </c>
      <c r="E20" s="544" t="s">
        <v>882</v>
      </c>
      <c r="F20" s="545" t="s">
        <v>790</v>
      </c>
      <c r="G20" s="546" t="s">
        <v>650</v>
      </c>
      <c r="H20" s="547">
        <v>0.1</v>
      </c>
      <c r="I20" s="539"/>
      <c r="J20" s="359">
        <v>82</v>
      </c>
      <c r="K20" s="359">
        <v>10</v>
      </c>
      <c r="L20" s="688">
        <v>0.122</v>
      </c>
      <c r="M20" s="688">
        <v>0.122</v>
      </c>
      <c r="N20" s="694">
        <v>1.22</v>
      </c>
      <c r="O20" s="360"/>
      <c r="P20" s="185"/>
      <c r="Q20" s="185"/>
      <c r="R20" s="185"/>
      <c r="S20" s="185"/>
      <c r="T20" s="185"/>
      <c r="U20" s="185"/>
      <c r="V20" s="185"/>
      <c r="W20" s="185"/>
      <c r="X20" s="185"/>
      <c r="Y20" s="185"/>
    </row>
    <row r="21" spans="1:25" ht="26.25" thickBot="1" x14ac:dyDescent="0.25">
      <c r="A21" s="543" t="s">
        <v>276</v>
      </c>
      <c r="B21" s="541" t="s">
        <v>119</v>
      </c>
      <c r="C21" s="542" t="s">
        <v>109</v>
      </c>
      <c r="D21" s="544" t="s">
        <v>888</v>
      </c>
      <c r="E21" s="544" t="s">
        <v>882</v>
      </c>
      <c r="F21" s="545" t="s">
        <v>790</v>
      </c>
      <c r="G21" s="546" t="s">
        <v>650</v>
      </c>
      <c r="H21" s="547">
        <v>0.1</v>
      </c>
      <c r="I21" s="539"/>
      <c r="J21" s="359">
        <v>82</v>
      </c>
      <c r="K21" s="359">
        <v>10</v>
      </c>
      <c r="L21" s="688">
        <v>0.122</v>
      </c>
      <c r="M21" s="688">
        <v>0.122</v>
      </c>
      <c r="N21" s="694">
        <v>1.22</v>
      </c>
      <c r="O21" s="360"/>
      <c r="P21" s="185"/>
      <c r="Q21" s="185"/>
      <c r="R21" s="185"/>
      <c r="S21" s="185"/>
      <c r="T21" s="185"/>
      <c r="U21" s="185"/>
      <c r="V21" s="185"/>
      <c r="W21" s="185"/>
      <c r="X21" s="185"/>
      <c r="Y21" s="185"/>
    </row>
    <row r="22" spans="1:25" ht="26.25" thickBot="1" x14ac:dyDescent="0.25">
      <c r="A22" s="543" t="s">
        <v>276</v>
      </c>
      <c r="B22" s="541" t="s">
        <v>119</v>
      </c>
      <c r="C22" s="542" t="s">
        <v>109</v>
      </c>
      <c r="D22" s="544" t="s">
        <v>815</v>
      </c>
      <c r="E22" s="544" t="s">
        <v>882</v>
      </c>
      <c r="F22" s="545" t="s">
        <v>790</v>
      </c>
      <c r="G22" s="546" t="s">
        <v>650</v>
      </c>
      <c r="H22" s="547">
        <v>0.1</v>
      </c>
      <c r="I22" s="539"/>
      <c r="J22" s="359">
        <v>82</v>
      </c>
      <c r="K22" s="359">
        <v>10</v>
      </c>
      <c r="L22" s="688">
        <v>0.122</v>
      </c>
      <c r="M22" s="688">
        <v>0.122</v>
      </c>
      <c r="N22" s="694">
        <v>1.22</v>
      </c>
      <c r="O22" s="360"/>
      <c r="P22" s="185"/>
      <c r="Q22" s="185"/>
      <c r="R22" s="185"/>
      <c r="S22" s="185"/>
      <c r="T22" s="185"/>
      <c r="U22" s="185"/>
      <c r="V22" s="185"/>
      <c r="W22" s="185"/>
      <c r="X22" s="185"/>
      <c r="Y22" s="185"/>
    </row>
    <row r="23" spans="1:25" ht="26.25" thickBot="1" x14ac:dyDescent="0.25">
      <c r="A23" s="543" t="s">
        <v>276</v>
      </c>
      <c r="B23" s="541" t="s">
        <v>119</v>
      </c>
      <c r="C23" s="542" t="s">
        <v>109</v>
      </c>
      <c r="D23" s="544" t="s">
        <v>889</v>
      </c>
      <c r="E23" s="544" t="s">
        <v>882</v>
      </c>
      <c r="F23" s="545" t="s">
        <v>790</v>
      </c>
      <c r="G23" s="546" t="s">
        <v>650</v>
      </c>
      <c r="H23" s="547">
        <v>0.1</v>
      </c>
      <c r="I23" s="539"/>
      <c r="J23" s="359">
        <v>82</v>
      </c>
      <c r="K23" s="359">
        <v>10</v>
      </c>
      <c r="L23" s="688">
        <v>0.122</v>
      </c>
      <c r="M23" s="688">
        <v>0.122</v>
      </c>
      <c r="N23" s="694">
        <v>1.22</v>
      </c>
      <c r="O23" s="360"/>
      <c r="P23" s="185"/>
      <c r="Q23" s="185"/>
      <c r="R23" s="185"/>
      <c r="S23" s="185"/>
      <c r="T23" s="185"/>
      <c r="U23" s="185"/>
    </row>
    <row r="24" spans="1:25" ht="51.75" thickBot="1" x14ac:dyDescent="0.25">
      <c r="A24" s="543" t="s">
        <v>276</v>
      </c>
      <c r="B24" s="541" t="s">
        <v>119</v>
      </c>
      <c r="C24" s="542" t="s">
        <v>109</v>
      </c>
      <c r="D24" s="544" t="s">
        <v>856</v>
      </c>
      <c r="E24" s="544" t="s">
        <v>882</v>
      </c>
      <c r="F24" s="545" t="s">
        <v>790</v>
      </c>
      <c r="G24" s="546" t="s">
        <v>650</v>
      </c>
      <c r="H24" s="547">
        <v>0.1</v>
      </c>
      <c r="I24" s="539"/>
      <c r="J24" s="359">
        <v>82</v>
      </c>
      <c r="K24" s="359">
        <v>10</v>
      </c>
      <c r="L24" s="688">
        <v>0.122</v>
      </c>
      <c r="M24" s="688">
        <v>0.122</v>
      </c>
      <c r="N24" s="694">
        <v>1.22</v>
      </c>
      <c r="O24" s="360"/>
      <c r="P24" s="185"/>
      <c r="Q24" s="185"/>
      <c r="R24" s="185"/>
      <c r="S24" s="185"/>
      <c r="T24" s="185"/>
      <c r="U24" s="185"/>
    </row>
    <row r="25" spans="1:25" ht="26.25" thickBot="1" x14ac:dyDescent="0.25">
      <c r="A25" s="543" t="s">
        <v>276</v>
      </c>
      <c r="B25" s="541" t="s">
        <v>119</v>
      </c>
      <c r="C25" s="542" t="s">
        <v>109</v>
      </c>
      <c r="D25" s="544" t="s">
        <v>890</v>
      </c>
      <c r="E25" s="544" t="s">
        <v>882</v>
      </c>
      <c r="F25" s="545" t="s">
        <v>790</v>
      </c>
      <c r="G25" s="546" t="s">
        <v>650</v>
      </c>
      <c r="H25" s="547">
        <v>0.1</v>
      </c>
      <c r="I25" s="539"/>
      <c r="J25" s="359">
        <v>82</v>
      </c>
      <c r="K25" s="359">
        <v>10</v>
      </c>
      <c r="L25" s="688">
        <v>0.122</v>
      </c>
      <c r="M25" s="688">
        <v>0.122</v>
      </c>
      <c r="N25" s="694">
        <v>1.22</v>
      </c>
      <c r="O25" s="360"/>
      <c r="P25" s="185"/>
      <c r="Q25" s="185"/>
      <c r="R25" s="185"/>
      <c r="S25" s="185"/>
      <c r="T25" s="185"/>
      <c r="U25" s="185"/>
    </row>
    <row r="26" spans="1:25" ht="26.25" thickBot="1" x14ac:dyDescent="0.25">
      <c r="A26" s="543" t="s">
        <v>276</v>
      </c>
      <c r="B26" s="541" t="s">
        <v>119</v>
      </c>
      <c r="C26" s="542" t="s">
        <v>808</v>
      </c>
      <c r="D26" s="544" t="s">
        <v>858</v>
      </c>
      <c r="E26" s="544" t="s">
        <v>882</v>
      </c>
      <c r="F26" s="545" t="s">
        <v>790</v>
      </c>
      <c r="G26" s="546" t="s">
        <v>650</v>
      </c>
      <c r="H26" s="547">
        <v>0.1</v>
      </c>
      <c r="I26" s="539"/>
      <c r="J26" s="359">
        <v>82</v>
      </c>
      <c r="K26" s="359">
        <v>10</v>
      </c>
      <c r="L26" s="688">
        <v>0.122</v>
      </c>
      <c r="M26" s="688">
        <v>0.122</v>
      </c>
      <c r="N26" s="694">
        <v>1.22</v>
      </c>
      <c r="O26" s="360"/>
      <c r="P26" s="185"/>
      <c r="Q26" s="185"/>
      <c r="R26" s="185"/>
      <c r="S26" s="185"/>
      <c r="T26" s="185"/>
      <c r="U26" s="185"/>
    </row>
    <row r="27" spans="1:25" ht="26.25" thickBot="1" x14ac:dyDescent="0.25">
      <c r="A27" s="543" t="s">
        <v>276</v>
      </c>
      <c r="B27" s="541" t="s">
        <v>119</v>
      </c>
      <c r="C27" s="542" t="s">
        <v>808</v>
      </c>
      <c r="D27" s="544" t="s">
        <v>861</v>
      </c>
      <c r="E27" s="544" t="s">
        <v>882</v>
      </c>
      <c r="F27" s="545" t="s">
        <v>790</v>
      </c>
      <c r="G27" s="546" t="s">
        <v>650</v>
      </c>
      <c r="H27" s="547">
        <v>0.1</v>
      </c>
      <c r="I27" s="539"/>
      <c r="J27" s="359">
        <v>82</v>
      </c>
      <c r="K27" s="359">
        <v>10</v>
      </c>
      <c r="L27" s="688">
        <v>0.122</v>
      </c>
      <c r="M27" s="688">
        <v>0.122</v>
      </c>
      <c r="N27" s="694">
        <v>1.22</v>
      </c>
      <c r="O27" s="360"/>
      <c r="P27" s="185"/>
      <c r="Q27" s="185"/>
      <c r="R27" s="185"/>
      <c r="S27" s="185"/>
      <c r="T27" s="185"/>
      <c r="U27" s="185"/>
    </row>
    <row r="28" spans="1:25" ht="26.25" thickBot="1" x14ac:dyDescent="0.25">
      <c r="A28" s="543" t="s">
        <v>276</v>
      </c>
      <c r="B28" s="541" t="s">
        <v>119</v>
      </c>
      <c r="C28" s="542" t="s">
        <v>808</v>
      </c>
      <c r="D28" s="544" t="s">
        <v>862</v>
      </c>
      <c r="E28" s="544" t="s">
        <v>882</v>
      </c>
      <c r="F28" s="545" t="s">
        <v>790</v>
      </c>
      <c r="G28" s="546" t="s">
        <v>650</v>
      </c>
      <c r="H28" s="547">
        <v>0.1</v>
      </c>
      <c r="I28" s="539"/>
      <c r="J28" s="359">
        <v>82</v>
      </c>
      <c r="K28" s="359">
        <v>10</v>
      </c>
      <c r="L28" s="688">
        <v>0.122</v>
      </c>
      <c r="M28" s="688">
        <v>0.122</v>
      </c>
      <c r="N28" s="694">
        <v>1.22</v>
      </c>
      <c r="O28" s="360"/>
      <c r="P28" s="185"/>
      <c r="Q28" s="185"/>
      <c r="R28" s="185"/>
      <c r="S28" s="185"/>
      <c r="T28" s="185"/>
      <c r="U28" s="185"/>
    </row>
    <row r="29" spans="1:25" ht="26.25" thickBot="1" x14ac:dyDescent="0.25">
      <c r="A29" s="543" t="s">
        <v>276</v>
      </c>
      <c r="B29" s="541" t="s">
        <v>119</v>
      </c>
      <c r="C29" s="542" t="s">
        <v>808</v>
      </c>
      <c r="D29" s="544" t="s">
        <v>863</v>
      </c>
      <c r="E29" s="544" t="s">
        <v>882</v>
      </c>
      <c r="F29" s="545" t="s">
        <v>790</v>
      </c>
      <c r="G29" s="546" t="s">
        <v>650</v>
      </c>
      <c r="H29" s="547">
        <v>0.1</v>
      </c>
      <c r="I29" s="539"/>
      <c r="J29" s="359">
        <v>82</v>
      </c>
      <c r="K29" s="359">
        <v>10</v>
      </c>
      <c r="L29" s="688">
        <v>0.122</v>
      </c>
      <c r="M29" s="688">
        <v>0.122</v>
      </c>
      <c r="N29" s="694">
        <v>1.22</v>
      </c>
      <c r="O29" s="360"/>
      <c r="P29" s="185"/>
      <c r="Q29" s="185"/>
      <c r="R29" s="185"/>
      <c r="S29" s="185"/>
      <c r="T29" s="185"/>
      <c r="U29" s="185"/>
    </row>
    <row r="30" spans="1:25" ht="26.25" thickBot="1" x14ac:dyDescent="0.25">
      <c r="A30" s="543" t="s">
        <v>276</v>
      </c>
      <c r="B30" s="541" t="s">
        <v>119</v>
      </c>
      <c r="C30" s="542" t="s">
        <v>808</v>
      </c>
      <c r="D30" s="544" t="s">
        <v>815</v>
      </c>
      <c r="E30" s="544" t="s">
        <v>882</v>
      </c>
      <c r="F30" s="545" t="s">
        <v>790</v>
      </c>
      <c r="G30" s="546" t="s">
        <v>650</v>
      </c>
      <c r="H30" s="547">
        <v>0.1</v>
      </c>
      <c r="I30" s="539"/>
      <c r="J30" s="359">
        <v>82</v>
      </c>
      <c r="K30" s="359">
        <v>10</v>
      </c>
      <c r="L30" s="688">
        <v>0.122</v>
      </c>
      <c r="M30" s="688">
        <v>0.122</v>
      </c>
      <c r="N30" s="694">
        <v>1.22</v>
      </c>
      <c r="O30" s="360"/>
      <c r="P30" s="185"/>
      <c r="Q30" s="185"/>
      <c r="R30" s="185"/>
      <c r="S30" s="185"/>
      <c r="T30" s="185"/>
      <c r="U30" s="185"/>
    </row>
    <row r="31" spans="1:25" ht="26.25" thickBot="1" x14ac:dyDescent="0.25">
      <c r="A31" s="543" t="s">
        <v>276</v>
      </c>
      <c r="B31" s="541" t="s">
        <v>891</v>
      </c>
      <c r="C31" s="542" t="s">
        <v>109</v>
      </c>
      <c r="D31" s="544" t="s">
        <v>115</v>
      </c>
      <c r="E31" s="544" t="s">
        <v>882</v>
      </c>
      <c r="F31" s="545" t="s">
        <v>790</v>
      </c>
      <c r="G31" s="546" t="s">
        <v>650</v>
      </c>
      <c r="H31" s="547">
        <v>0.3</v>
      </c>
      <c r="I31" s="539"/>
      <c r="J31" s="359">
        <v>50</v>
      </c>
      <c r="K31" s="359">
        <v>9</v>
      </c>
      <c r="L31" s="688">
        <v>0.18</v>
      </c>
      <c r="M31" s="689">
        <v>0.18</v>
      </c>
      <c r="N31" s="694">
        <v>0.6</v>
      </c>
      <c r="O31" s="360"/>
      <c r="P31" s="185"/>
      <c r="Q31" s="185"/>
    </row>
    <row r="32" spans="1:25" ht="26.25" thickBot="1" x14ac:dyDescent="0.25">
      <c r="A32" s="543" t="s">
        <v>276</v>
      </c>
      <c r="B32" s="541" t="s">
        <v>891</v>
      </c>
      <c r="C32" s="542" t="s">
        <v>109</v>
      </c>
      <c r="D32" s="544" t="s">
        <v>832</v>
      </c>
      <c r="E32" s="544" t="s">
        <v>882</v>
      </c>
      <c r="F32" s="545" t="s">
        <v>790</v>
      </c>
      <c r="G32" s="546" t="s">
        <v>650</v>
      </c>
      <c r="H32" s="547">
        <v>0.3</v>
      </c>
      <c r="I32" s="539"/>
      <c r="J32" s="359">
        <v>50</v>
      </c>
      <c r="K32" s="359">
        <v>9</v>
      </c>
      <c r="L32" s="688">
        <v>0.18</v>
      </c>
      <c r="M32" s="689">
        <v>0.18</v>
      </c>
      <c r="N32" s="694">
        <v>0.6</v>
      </c>
      <c r="O32" s="360"/>
      <c r="P32" s="185"/>
      <c r="Q32" s="185"/>
    </row>
    <row r="33" spans="1:17" ht="26.25" thickBot="1" x14ac:dyDescent="0.25">
      <c r="A33" s="543" t="s">
        <v>276</v>
      </c>
      <c r="B33" s="541" t="s">
        <v>891</v>
      </c>
      <c r="C33" s="542" t="s">
        <v>109</v>
      </c>
      <c r="D33" s="544" t="s">
        <v>833</v>
      </c>
      <c r="E33" s="544" t="s">
        <v>882</v>
      </c>
      <c r="F33" s="545" t="s">
        <v>790</v>
      </c>
      <c r="G33" s="546" t="s">
        <v>650</v>
      </c>
      <c r="H33" s="547">
        <v>0.3</v>
      </c>
      <c r="I33" s="539"/>
      <c r="J33" s="359">
        <v>50</v>
      </c>
      <c r="K33" s="359">
        <v>9</v>
      </c>
      <c r="L33" s="688">
        <v>0.18</v>
      </c>
      <c r="M33" s="689">
        <v>0.18</v>
      </c>
      <c r="N33" s="694">
        <v>0.6</v>
      </c>
      <c r="O33" s="360"/>
      <c r="P33" s="185"/>
      <c r="Q33" s="185"/>
    </row>
    <row r="34" spans="1:17" ht="26.25" thickBot="1" x14ac:dyDescent="0.25">
      <c r="A34" s="543" t="s">
        <v>276</v>
      </c>
      <c r="B34" s="541" t="s">
        <v>891</v>
      </c>
      <c r="C34" s="542" t="s">
        <v>109</v>
      </c>
      <c r="D34" s="544" t="s">
        <v>836</v>
      </c>
      <c r="E34" s="544" t="s">
        <v>882</v>
      </c>
      <c r="F34" s="545" t="s">
        <v>790</v>
      </c>
      <c r="G34" s="546" t="s">
        <v>650</v>
      </c>
      <c r="H34" s="547">
        <v>0.3</v>
      </c>
      <c r="I34" s="539"/>
      <c r="J34" s="359">
        <v>50</v>
      </c>
      <c r="K34" s="359">
        <v>9</v>
      </c>
      <c r="L34" s="688">
        <v>0.18</v>
      </c>
      <c r="M34" s="689">
        <v>0.18</v>
      </c>
      <c r="N34" s="694">
        <v>0.6</v>
      </c>
      <c r="O34" s="360"/>
      <c r="P34" s="185"/>
      <c r="Q34" s="185"/>
    </row>
    <row r="35" spans="1:17" ht="39" thickBot="1" x14ac:dyDescent="0.25">
      <c r="A35" s="543" t="s">
        <v>276</v>
      </c>
      <c r="B35" s="541" t="s">
        <v>891</v>
      </c>
      <c r="C35" s="542" t="s">
        <v>109</v>
      </c>
      <c r="D35" s="544" t="s">
        <v>883</v>
      </c>
      <c r="E35" s="544" t="s">
        <v>882</v>
      </c>
      <c r="F35" s="545" t="s">
        <v>790</v>
      </c>
      <c r="G35" s="546" t="s">
        <v>650</v>
      </c>
      <c r="H35" s="547">
        <v>0.3</v>
      </c>
      <c r="I35" s="539"/>
      <c r="J35" s="359">
        <v>50</v>
      </c>
      <c r="K35" s="359">
        <v>9</v>
      </c>
      <c r="L35" s="688">
        <v>0.18</v>
      </c>
      <c r="M35" s="689">
        <v>0.18</v>
      </c>
      <c r="N35" s="694">
        <v>0.6</v>
      </c>
      <c r="O35" s="360"/>
      <c r="P35" s="185"/>
      <c r="Q35" s="185"/>
    </row>
    <row r="36" spans="1:17" ht="26.25" thickBot="1" x14ac:dyDescent="0.25">
      <c r="A36" s="543" t="s">
        <v>276</v>
      </c>
      <c r="B36" s="541" t="s">
        <v>891</v>
      </c>
      <c r="C36" s="542" t="s">
        <v>109</v>
      </c>
      <c r="D36" s="544" t="s">
        <v>837</v>
      </c>
      <c r="E36" s="544" t="s">
        <v>882</v>
      </c>
      <c r="F36" s="545" t="s">
        <v>790</v>
      </c>
      <c r="G36" s="546" t="s">
        <v>650</v>
      </c>
      <c r="H36" s="547">
        <v>0.3</v>
      </c>
      <c r="I36" s="539"/>
      <c r="J36" s="359">
        <v>50</v>
      </c>
      <c r="K36" s="359">
        <v>9</v>
      </c>
      <c r="L36" s="688">
        <v>0.18</v>
      </c>
      <c r="M36" s="689">
        <v>0.18</v>
      </c>
      <c r="N36" s="694">
        <v>0.6</v>
      </c>
      <c r="O36" s="360"/>
      <c r="P36" s="185"/>
      <c r="Q36" s="185"/>
    </row>
    <row r="37" spans="1:17" ht="39" thickBot="1" x14ac:dyDescent="0.25">
      <c r="A37" s="543" t="s">
        <v>276</v>
      </c>
      <c r="B37" s="541" t="s">
        <v>891</v>
      </c>
      <c r="C37" s="542" t="s">
        <v>109</v>
      </c>
      <c r="D37" s="544" t="s">
        <v>884</v>
      </c>
      <c r="E37" s="544" t="s">
        <v>882</v>
      </c>
      <c r="F37" s="545" t="s">
        <v>790</v>
      </c>
      <c r="G37" s="546" t="s">
        <v>650</v>
      </c>
      <c r="H37" s="547">
        <v>0.3</v>
      </c>
      <c r="I37" s="539"/>
      <c r="J37" s="359">
        <v>50</v>
      </c>
      <c r="K37" s="359">
        <v>9</v>
      </c>
      <c r="L37" s="688">
        <v>0.18</v>
      </c>
      <c r="M37" s="689">
        <v>0.18</v>
      </c>
      <c r="N37" s="694">
        <v>0.6</v>
      </c>
      <c r="O37" s="360"/>
      <c r="P37" s="185"/>
      <c r="Q37" s="185"/>
    </row>
    <row r="38" spans="1:17" ht="26.25" thickBot="1" x14ac:dyDescent="0.25">
      <c r="A38" s="543" t="s">
        <v>276</v>
      </c>
      <c r="B38" s="541" t="s">
        <v>891</v>
      </c>
      <c r="C38" s="542" t="s">
        <v>109</v>
      </c>
      <c r="D38" s="544" t="s">
        <v>885</v>
      </c>
      <c r="E38" s="544" t="s">
        <v>882</v>
      </c>
      <c r="F38" s="545" t="s">
        <v>790</v>
      </c>
      <c r="G38" s="546" t="s">
        <v>650</v>
      </c>
      <c r="H38" s="547">
        <v>0.3</v>
      </c>
      <c r="I38" s="539"/>
      <c r="J38" s="359">
        <v>50</v>
      </c>
      <c r="K38" s="359">
        <v>9</v>
      </c>
      <c r="L38" s="688">
        <v>0.18</v>
      </c>
      <c r="M38" s="689">
        <v>0.18</v>
      </c>
      <c r="N38" s="694">
        <v>0.6</v>
      </c>
      <c r="O38" s="360"/>
      <c r="P38" s="185"/>
      <c r="Q38" s="185"/>
    </row>
    <row r="39" spans="1:17" ht="26.25" thickBot="1" x14ac:dyDescent="0.25">
      <c r="A39" s="543" t="s">
        <v>276</v>
      </c>
      <c r="B39" s="541" t="s">
        <v>891</v>
      </c>
      <c r="C39" s="542" t="s">
        <v>109</v>
      </c>
      <c r="D39" s="544" t="s">
        <v>842</v>
      </c>
      <c r="E39" s="544" t="s">
        <v>882</v>
      </c>
      <c r="F39" s="545" t="s">
        <v>790</v>
      </c>
      <c r="G39" s="546" t="s">
        <v>650</v>
      </c>
      <c r="H39" s="547">
        <v>0.3</v>
      </c>
      <c r="I39" s="539"/>
      <c r="J39" s="359">
        <v>50</v>
      </c>
      <c r="K39" s="359">
        <v>9</v>
      </c>
      <c r="L39" s="688">
        <v>0.18</v>
      </c>
      <c r="M39" s="689">
        <v>0.18</v>
      </c>
      <c r="N39" s="694">
        <v>0.6</v>
      </c>
      <c r="O39" s="360"/>
      <c r="P39" s="185"/>
      <c r="Q39" s="185"/>
    </row>
    <row r="40" spans="1:17" ht="26.25" thickBot="1" x14ac:dyDescent="0.25">
      <c r="A40" s="543" t="s">
        <v>276</v>
      </c>
      <c r="B40" s="541" t="s">
        <v>891</v>
      </c>
      <c r="C40" s="542" t="s">
        <v>109</v>
      </c>
      <c r="D40" s="544" t="s">
        <v>844</v>
      </c>
      <c r="E40" s="544" t="s">
        <v>882</v>
      </c>
      <c r="F40" s="545" t="s">
        <v>790</v>
      </c>
      <c r="G40" s="546" t="s">
        <v>650</v>
      </c>
      <c r="H40" s="547">
        <v>0.3</v>
      </c>
      <c r="I40" s="539"/>
      <c r="J40" s="359">
        <v>50</v>
      </c>
      <c r="K40" s="359">
        <v>9</v>
      </c>
      <c r="L40" s="688">
        <v>0.18</v>
      </c>
      <c r="M40" s="689">
        <v>0.18</v>
      </c>
      <c r="N40" s="694">
        <v>0.6</v>
      </c>
      <c r="O40" s="360"/>
      <c r="P40" s="185"/>
      <c r="Q40" s="185"/>
    </row>
    <row r="41" spans="1:17" ht="26.25" thickBot="1" x14ac:dyDescent="0.25">
      <c r="A41" s="543" t="s">
        <v>276</v>
      </c>
      <c r="B41" s="541" t="s">
        <v>891</v>
      </c>
      <c r="C41" s="542" t="s">
        <v>109</v>
      </c>
      <c r="D41" s="544" t="s">
        <v>845</v>
      </c>
      <c r="E41" s="544" t="s">
        <v>882</v>
      </c>
      <c r="F41" s="545" t="s">
        <v>790</v>
      </c>
      <c r="G41" s="546" t="s">
        <v>650</v>
      </c>
      <c r="H41" s="547">
        <v>0.3</v>
      </c>
      <c r="I41" s="539"/>
      <c r="J41" s="359">
        <v>50</v>
      </c>
      <c r="K41" s="359">
        <v>9</v>
      </c>
      <c r="L41" s="688">
        <v>0.18</v>
      </c>
      <c r="M41" s="689">
        <v>0.18</v>
      </c>
      <c r="N41" s="694">
        <v>0.6</v>
      </c>
      <c r="O41" s="360"/>
      <c r="P41" s="185"/>
      <c r="Q41" s="185"/>
    </row>
    <row r="42" spans="1:17" ht="26.25" thickBot="1" x14ac:dyDescent="0.25">
      <c r="A42" s="543" t="s">
        <v>276</v>
      </c>
      <c r="B42" s="541" t="s">
        <v>891</v>
      </c>
      <c r="C42" s="542" t="s">
        <v>109</v>
      </c>
      <c r="D42" s="544" t="s">
        <v>846</v>
      </c>
      <c r="E42" s="544" t="s">
        <v>882</v>
      </c>
      <c r="F42" s="545" t="s">
        <v>790</v>
      </c>
      <c r="G42" s="546" t="s">
        <v>650</v>
      </c>
      <c r="H42" s="547">
        <v>0.3</v>
      </c>
      <c r="I42" s="539"/>
      <c r="J42" s="359">
        <v>50</v>
      </c>
      <c r="K42" s="359">
        <v>9</v>
      </c>
      <c r="L42" s="688">
        <v>0.18</v>
      </c>
      <c r="M42" s="689">
        <v>0.18</v>
      </c>
      <c r="N42" s="694">
        <v>0.6</v>
      </c>
      <c r="O42" s="360"/>
      <c r="P42" s="185"/>
      <c r="Q42" s="185"/>
    </row>
    <row r="43" spans="1:17" ht="26.25" thickBot="1" x14ac:dyDescent="0.25">
      <c r="A43" s="543" t="s">
        <v>276</v>
      </c>
      <c r="B43" s="541" t="s">
        <v>891</v>
      </c>
      <c r="C43" s="542" t="s">
        <v>109</v>
      </c>
      <c r="D43" s="544" t="s">
        <v>847</v>
      </c>
      <c r="E43" s="544" t="s">
        <v>882</v>
      </c>
      <c r="F43" s="545" t="s">
        <v>790</v>
      </c>
      <c r="G43" s="546" t="s">
        <v>650</v>
      </c>
      <c r="H43" s="547">
        <v>0.3</v>
      </c>
      <c r="I43" s="539"/>
      <c r="J43" s="359">
        <v>50</v>
      </c>
      <c r="K43" s="359">
        <v>9</v>
      </c>
      <c r="L43" s="688">
        <v>0.18</v>
      </c>
      <c r="M43" s="689">
        <v>0.18</v>
      </c>
      <c r="N43" s="694">
        <v>0.6</v>
      </c>
      <c r="O43" s="360"/>
      <c r="P43" s="185"/>
      <c r="Q43" s="185"/>
    </row>
    <row r="44" spans="1:17" ht="26.25" thickBot="1" x14ac:dyDescent="0.25">
      <c r="A44" s="543" t="s">
        <v>276</v>
      </c>
      <c r="B44" s="541" t="s">
        <v>891</v>
      </c>
      <c r="C44" s="542" t="s">
        <v>109</v>
      </c>
      <c r="D44" s="544" t="s">
        <v>886</v>
      </c>
      <c r="E44" s="544" t="s">
        <v>882</v>
      </c>
      <c r="F44" s="545" t="s">
        <v>790</v>
      </c>
      <c r="G44" s="546" t="s">
        <v>650</v>
      </c>
      <c r="H44" s="547">
        <v>0.3</v>
      </c>
      <c r="I44" s="539"/>
      <c r="J44" s="359">
        <v>50</v>
      </c>
      <c r="K44" s="359">
        <v>9</v>
      </c>
      <c r="L44" s="688">
        <v>0.18</v>
      </c>
      <c r="M44" s="689">
        <v>0.18</v>
      </c>
      <c r="N44" s="694">
        <v>0.6</v>
      </c>
      <c r="O44" s="360"/>
      <c r="P44" s="185"/>
      <c r="Q44" s="185"/>
    </row>
    <row r="45" spans="1:17" ht="26.25" thickBot="1" x14ac:dyDescent="0.25">
      <c r="A45" s="543" t="s">
        <v>276</v>
      </c>
      <c r="B45" s="541" t="s">
        <v>891</v>
      </c>
      <c r="C45" s="542" t="s">
        <v>109</v>
      </c>
      <c r="D45" s="544" t="s">
        <v>887</v>
      </c>
      <c r="E45" s="544" t="s">
        <v>882</v>
      </c>
      <c r="F45" s="545" t="s">
        <v>790</v>
      </c>
      <c r="G45" s="546" t="s">
        <v>650</v>
      </c>
      <c r="H45" s="547">
        <v>0.3</v>
      </c>
      <c r="I45" s="539"/>
      <c r="J45" s="359">
        <v>50</v>
      </c>
      <c r="K45" s="359">
        <v>9</v>
      </c>
      <c r="L45" s="688">
        <v>0.18</v>
      </c>
      <c r="M45" s="689">
        <v>0.18</v>
      </c>
      <c r="N45" s="694">
        <v>0.6</v>
      </c>
      <c r="O45" s="360"/>
      <c r="P45" s="185"/>
      <c r="Q45" s="185"/>
    </row>
    <row r="46" spans="1:17" ht="26.25" thickBot="1" x14ac:dyDescent="0.25">
      <c r="A46" s="543" t="s">
        <v>276</v>
      </c>
      <c r="B46" s="541" t="s">
        <v>891</v>
      </c>
      <c r="C46" s="542" t="s">
        <v>109</v>
      </c>
      <c r="D46" s="544" t="s">
        <v>850</v>
      </c>
      <c r="E46" s="544" t="s">
        <v>882</v>
      </c>
      <c r="F46" s="545" t="s">
        <v>790</v>
      </c>
      <c r="G46" s="546" t="s">
        <v>650</v>
      </c>
      <c r="H46" s="547">
        <v>0.3</v>
      </c>
      <c r="I46" s="539"/>
      <c r="J46" s="359">
        <v>50</v>
      </c>
      <c r="K46" s="359">
        <v>9</v>
      </c>
      <c r="L46" s="688">
        <v>0.18</v>
      </c>
      <c r="M46" s="689">
        <v>0.18</v>
      </c>
      <c r="N46" s="694">
        <v>0.6</v>
      </c>
      <c r="O46" s="360"/>
      <c r="P46" s="185"/>
      <c r="Q46" s="185"/>
    </row>
    <row r="47" spans="1:17" ht="26.25" thickBot="1" x14ac:dyDescent="0.25">
      <c r="A47" s="543" t="s">
        <v>276</v>
      </c>
      <c r="B47" s="541" t="s">
        <v>891</v>
      </c>
      <c r="C47" s="542" t="s">
        <v>109</v>
      </c>
      <c r="D47" s="544" t="s">
        <v>888</v>
      </c>
      <c r="E47" s="544" t="s">
        <v>882</v>
      </c>
      <c r="F47" s="545" t="s">
        <v>790</v>
      </c>
      <c r="G47" s="546" t="s">
        <v>650</v>
      </c>
      <c r="H47" s="547">
        <v>0.3</v>
      </c>
      <c r="I47" s="539"/>
      <c r="J47" s="359">
        <v>50</v>
      </c>
      <c r="K47" s="359">
        <v>9</v>
      </c>
      <c r="L47" s="688">
        <v>0.18</v>
      </c>
      <c r="M47" s="689">
        <v>0.18</v>
      </c>
      <c r="N47" s="694">
        <v>0.6</v>
      </c>
      <c r="O47" s="360"/>
      <c r="P47" s="185"/>
      <c r="Q47" s="185"/>
    </row>
    <row r="48" spans="1:17" ht="26.25" thickBot="1" x14ac:dyDescent="0.25">
      <c r="A48" s="543" t="s">
        <v>276</v>
      </c>
      <c r="B48" s="541" t="s">
        <v>891</v>
      </c>
      <c r="C48" s="542" t="s">
        <v>109</v>
      </c>
      <c r="D48" s="544" t="s">
        <v>815</v>
      </c>
      <c r="E48" s="544" t="s">
        <v>882</v>
      </c>
      <c r="F48" s="545" t="s">
        <v>790</v>
      </c>
      <c r="G48" s="546" t="s">
        <v>650</v>
      </c>
      <c r="H48" s="547">
        <v>0.3</v>
      </c>
      <c r="I48" s="539"/>
      <c r="J48" s="359">
        <v>50</v>
      </c>
      <c r="K48" s="359">
        <v>9</v>
      </c>
      <c r="L48" s="688">
        <v>0.18</v>
      </c>
      <c r="M48" s="689">
        <v>0.18</v>
      </c>
      <c r="N48" s="694">
        <v>0.6</v>
      </c>
      <c r="O48" s="360"/>
      <c r="P48" s="185"/>
      <c r="Q48" s="185"/>
    </row>
    <row r="49" spans="1:17" ht="26.25" thickBot="1" x14ac:dyDescent="0.25">
      <c r="A49" s="543" t="s">
        <v>276</v>
      </c>
      <c r="B49" s="541" t="s">
        <v>891</v>
      </c>
      <c r="C49" s="542" t="s">
        <v>109</v>
      </c>
      <c r="D49" s="544" t="s">
        <v>889</v>
      </c>
      <c r="E49" s="544" t="s">
        <v>882</v>
      </c>
      <c r="F49" s="545" t="s">
        <v>790</v>
      </c>
      <c r="G49" s="546" t="s">
        <v>650</v>
      </c>
      <c r="H49" s="547">
        <v>0.3</v>
      </c>
      <c r="I49" s="539"/>
      <c r="J49" s="359">
        <v>50</v>
      </c>
      <c r="K49" s="359">
        <v>9</v>
      </c>
      <c r="L49" s="688">
        <v>0.18</v>
      </c>
      <c r="M49" s="689">
        <v>0.18</v>
      </c>
      <c r="N49" s="694">
        <v>0.6</v>
      </c>
      <c r="O49" s="360"/>
      <c r="P49" s="185"/>
      <c r="Q49" s="185"/>
    </row>
    <row r="50" spans="1:17" ht="51.75" thickBot="1" x14ac:dyDescent="0.25">
      <c r="A50" s="543" t="s">
        <v>276</v>
      </c>
      <c r="B50" s="541" t="s">
        <v>891</v>
      </c>
      <c r="C50" s="542" t="s">
        <v>109</v>
      </c>
      <c r="D50" s="544" t="s">
        <v>856</v>
      </c>
      <c r="E50" s="544" t="s">
        <v>882</v>
      </c>
      <c r="F50" s="545" t="s">
        <v>790</v>
      </c>
      <c r="G50" s="546" t="s">
        <v>650</v>
      </c>
      <c r="H50" s="547">
        <v>0.3</v>
      </c>
      <c r="I50" s="539"/>
      <c r="J50" s="359">
        <v>50</v>
      </c>
      <c r="K50" s="359">
        <v>9</v>
      </c>
      <c r="L50" s="688">
        <v>0.18</v>
      </c>
      <c r="M50" s="689">
        <v>0.18</v>
      </c>
      <c r="N50" s="694">
        <v>0.6</v>
      </c>
      <c r="O50" s="360"/>
      <c r="P50" s="185"/>
      <c r="Q50" s="185"/>
    </row>
    <row r="51" spans="1:17" ht="26.25" thickBot="1" x14ac:dyDescent="0.25">
      <c r="A51" s="543" t="s">
        <v>276</v>
      </c>
      <c r="B51" s="541" t="s">
        <v>891</v>
      </c>
      <c r="C51" s="542" t="s">
        <v>109</v>
      </c>
      <c r="D51" s="544" t="s">
        <v>890</v>
      </c>
      <c r="E51" s="544" t="s">
        <v>882</v>
      </c>
      <c r="F51" s="545" t="s">
        <v>790</v>
      </c>
      <c r="G51" s="546" t="s">
        <v>650</v>
      </c>
      <c r="H51" s="547">
        <v>0.3</v>
      </c>
      <c r="I51" s="539"/>
      <c r="J51" s="359">
        <v>50</v>
      </c>
      <c r="K51" s="359">
        <v>9</v>
      </c>
      <c r="L51" s="688">
        <v>0.18</v>
      </c>
      <c r="M51" s="689">
        <v>0.18</v>
      </c>
      <c r="N51" s="694">
        <v>0.6</v>
      </c>
      <c r="O51" s="360"/>
      <c r="P51" s="185"/>
      <c r="Q51" s="185"/>
    </row>
    <row r="52" spans="1:17" ht="26.25" thickBot="1" x14ac:dyDescent="0.25">
      <c r="A52" s="543" t="s">
        <v>276</v>
      </c>
      <c r="B52" s="541" t="s">
        <v>891</v>
      </c>
      <c r="C52" s="542" t="s">
        <v>808</v>
      </c>
      <c r="D52" s="544" t="s">
        <v>858</v>
      </c>
      <c r="E52" s="544" t="s">
        <v>882</v>
      </c>
      <c r="F52" s="545" t="s">
        <v>790</v>
      </c>
      <c r="G52" s="546" t="s">
        <v>650</v>
      </c>
      <c r="H52" s="547">
        <v>0.3</v>
      </c>
      <c r="I52" s="539"/>
      <c r="J52" s="359">
        <v>50</v>
      </c>
      <c r="K52" s="359">
        <v>9</v>
      </c>
      <c r="L52" s="688">
        <v>0.18</v>
      </c>
      <c r="M52" s="689">
        <v>0.18</v>
      </c>
      <c r="N52" s="694">
        <v>0.6</v>
      </c>
      <c r="O52" s="360"/>
      <c r="P52" s="185"/>
      <c r="Q52" s="185"/>
    </row>
    <row r="53" spans="1:17" ht="26.25" thickBot="1" x14ac:dyDescent="0.25">
      <c r="A53" s="543" t="s">
        <v>276</v>
      </c>
      <c r="B53" s="541" t="s">
        <v>891</v>
      </c>
      <c r="C53" s="542" t="s">
        <v>808</v>
      </c>
      <c r="D53" s="544" t="s">
        <v>861</v>
      </c>
      <c r="E53" s="544" t="s">
        <v>882</v>
      </c>
      <c r="F53" s="545" t="s">
        <v>790</v>
      </c>
      <c r="G53" s="546" t="s">
        <v>650</v>
      </c>
      <c r="H53" s="547">
        <v>0.3</v>
      </c>
      <c r="I53" s="539"/>
      <c r="J53" s="359">
        <v>50</v>
      </c>
      <c r="K53" s="359">
        <v>9</v>
      </c>
      <c r="L53" s="688">
        <v>0.18</v>
      </c>
      <c r="M53" s="689">
        <v>0.18</v>
      </c>
      <c r="N53" s="694">
        <v>0.6</v>
      </c>
      <c r="O53" s="360"/>
      <c r="P53" s="185"/>
      <c r="Q53" s="185"/>
    </row>
    <row r="54" spans="1:17" ht="26.25" thickBot="1" x14ac:dyDescent="0.25">
      <c r="A54" s="543" t="s">
        <v>276</v>
      </c>
      <c r="B54" s="541" t="s">
        <v>891</v>
      </c>
      <c r="C54" s="542" t="s">
        <v>808</v>
      </c>
      <c r="D54" s="544" t="s">
        <v>862</v>
      </c>
      <c r="E54" s="544" t="s">
        <v>882</v>
      </c>
      <c r="F54" s="545" t="s">
        <v>790</v>
      </c>
      <c r="G54" s="546" t="s">
        <v>650</v>
      </c>
      <c r="H54" s="547">
        <v>0.3</v>
      </c>
      <c r="I54" s="539"/>
      <c r="J54" s="359">
        <v>50</v>
      </c>
      <c r="K54" s="359">
        <v>9</v>
      </c>
      <c r="L54" s="688">
        <v>0.18</v>
      </c>
      <c r="M54" s="689">
        <v>0.18</v>
      </c>
      <c r="N54" s="694">
        <v>0.6</v>
      </c>
      <c r="O54" s="360"/>
      <c r="P54" s="185"/>
      <c r="Q54" s="185"/>
    </row>
    <row r="55" spans="1:17" ht="26.25" thickBot="1" x14ac:dyDescent="0.25">
      <c r="A55" s="543" t="s">
        <v>276</v>
      </c>
      <c r="B55" s="541" t="s">
        <v>891</v>
      </c>
      <c r="C55" s="542" t="s">
        <v>808</v>
      </c>
      <c r="D55" s="544" t="s">
        <v>863</v>
      </c>
      <c r="E55" s="544" t="s">
        <v>882</v>
      </c>
      <c r="F55" s="545" t="s">
        <v>790</v>
      </c>
      <c r="G55" s="546" t="s">
        <v>650</v>
      </c>
      <c r="H55" s="547">
        <v>0.3</v>
      </c>
      <c r="I55" s="539"/>
      <c r="J55" s="359">
        <v>50</v>
      </c>
      <c r="K55" s="359">
        <v>9</v>
      </c>
      <c r="L55" s="688">
        <v>0.18</v>
      </c>
      <c r="M55" s="689">
        <v>0.18</v>
      </c>
      <c r="N55" s="694">
        <v>0.6</v>
      </c>
      <c r="O55" s="360"/>
      <c r="P55" s="185"/>
      <c r="Q55" s="185"/>
    </row>
    <row r="56" spans="1:17" ht="26.25" thickBot="1" x14ac:dyDescent="0.25">
      <c r="A56" s="543" t="s">
        <v>276</v>
      </c>
      <c r="B56" s="541" t="s">
        <v>891</v>
      </c>
      <c r="C56" s="542" t="s">
        <v>808</v>
      </c>
      <c r="D56" s="544" t="s">
        <v>815</v>
      </c>
      <c r="E56" s="544" t="s">
        <v>882</v>
      </c>
      <c r="F56" s="545" t="s">
        <v>790</v>
      </c>
      <c r="G56" s="546" t="s">
        <v>650</v>
      </c>
      <c r="H56" s="547">
        <v>0.3</v>
      </c>
      <c r="I56" s="539"/>
      <c r="J56" s="359">
        <v>50</v>
      </c>
      <c r="K56" s="359">
        <v>9</v>
      </c>
      <c r="L56" s="688">
        <v>0.18</v>
      </c>
      <c r="M56" s="689">
        <v>0.18</v>
      </c>
      <c r="N56" s="694">
        <v>0.6</v>
      </c>
      <c r="O56" s="360"/>
      <c r="P56" s="185"/>
      <c r="Q56" s="185"/>
    </row>
    <row r="57" spans="1:17" ht="26.25" thickBot="1" x14ac:dyDescent="0.25">
      <c r="A57" s="543" t="s">
        <v>276</v>
      </c>
      <c r="B57" s="541" t="s">
        <v>892</v>
      </c>
      <c r="C57" s="542" t="s">
        <v>109</v>
      </c>
      <c r="D57" s="544" t="s">
        <v>115</v>
      </c>
      <c r="E57" s="544" t="s">
        <v>882</v>
      </c>
      <c r="F57" s="545" t="s">
        <v>790</v>
      </c>
      <c r="G57" s="546" t="s">
        <v>650</v>
      </c>
      <c r="H57" s="547">
        <v>0.35</v>
      </c>
      <c r="I57" s="539"/>
      <c r="J57" s="359">
        <v>28</v>
      </c>
      <c r="K57" s="359">
        <v>5</v>
      </c>
      <c r="L57" s="688">
        <v>0.17899999999999999</v>
      </c>
      <c r="M57" s="688">
        <v>0.17899999999999999</v>
      </c>
      <c r="N57" s="694">
        <v>0.51</v>
      </c>
      <c r="O57" s="360"/>
      <c r="P57" s="185"/>
      <c r="Q57" s="185"/>
    </row>
    <row r="58" spans="1:17" ht="26.25" thickBot="1" x14ac:dyDescent="0.25">
      <c r="A58" s="543" t="s">
        <v>276</v>
      </c>
      <c r="B58" s="541" t="s">
        <v>892</v>
      </c>
      <c r="C58" s="542" t="s">
        <v>109</v>
      </c>
      <c r="D58" s="544" t="s">
        <v>832</v>
      </c>
      <c r="E58" s="544" t="s">
        <v>882</v>
      </c>
      <c r="F58" s="545" t="s">
        <v>790</v>
      </c>
      <c r="G58" s="546" t="s">
        <v>650</v>
      </c>
      <c r="H58" s="547">
        <v>0.35</v>
      </c>
      <c r="I58" s="539"/>
      <c r="J58" s="359">
        <v>28</v>
      </c>
      <c r="K58" s="359">
        <v>5</v>
      </c>
      <c r="L58" s="688">
        <v>0.17899999999999999</v>
      </c>
      <c r="M58" s="688">
        <v>0.17899999999999999</v>
      </c>
      <c r="N58" s="694">
        <v>0.51</v>
      </c>
      <c r="O58" s="360"/>
      <c r="P58" s="185"/>
      <c r="Q58" s="185"/>
    </row>
    <row r="59" spans="1:17" ht="26.25" thickBot="1" x14ac:dyDescent="0.25">
      <c r="A59" s="543" t="s">
        <v>276</v>
      </c>
      <c r="B59" s="541" t="s">
        <v>892</v>
      </c>
      <c r="C59" s="542" t="s">
        <v>109</v>
      </c>
      <c r="D59" s="544" t="s">
        <v>833</v>
      </c>
      <c r="E59" s="544" t="s">
        <v>882</v>
      </c>
      <c r="F59" s="545" t="s">
        <v>790</v>
      </c>
      <c r="G59" s="546" t="s">
        <v>650</v>
      </c>
      <c r="H59" s="547">
        <v>0.35</v>
      </c>
      <c r="I59" s="539"/>
      <c r="J59" s="359">
        <v>28</v>
      </c>
      <c r="K59" s="359">
        <v>5</v>
      </c>
      <c r="L59" s="688">
        <v>0.17899999999999999</v>
      </c>
      <c r="M59" s="688">
        <v>0.17899999999999999</v>
      </c>
      <c r="N59" s="694">
        <v>0.51</v>
      </c>
      <c r="O59" s="360"/>
      <c r="P59" s="185"/>
      <c r="Q59" s="185"/>
    </row>
    <row r="60" spans="1:17" ht="26.25" thickBot="1" x14ac:dyDescent="0.25">
      <c r="A60" s="543" t="s">
        <v>276</v>
      </c>
      <c r="B60" s="541" t="s">
        <v>892</v>
      </c>
      <c r="C60" s="542" t="s">
        <v>109</v>
      </c>
      <c r="D60" s="544" t="s">
        <v>836</v>
      </c>
      <c r="E60" s="544" t="s">
        <v>882</v>
      </c>
      <c r="F60" s="545" t="s">
        <v>790</v>
      </c>
      <c r="G60" s="546" t="s">
        <v>650</v>
      </c>
      <c r="H60" s="547">
        <v>0.35</v>
      </c>
      <c r="I60" s="539"/>
      <c r="J60" s="359">
        <v>28</v>
      </c>
      <c r="K60" s="359">
        <v>5</v>
      </c>
      <c r="L60" s="688">
        <v>0.17899999999999999</v>
      </c>
      <c r="M60" s="688">
        <v>0.17899999999999999</v>
      </c>
      <c r="N60" s="694">
        <v>0.51</v>
      </c>
      <c r="O60" s="360"/>
      <c r="P60" s="185"/>
      <c r="Q60" s="185"/>
    </row>
    <row r="61" spans="1:17" ht="39" thickBot="1" x14ac:dyDescent="0.25">
      <c r="A61" s="543" t="s">
        <v>276</v>
      </c>
      <c r="B61" s="541" t="s">
        <v>892</v>
      </c>
      <c r="C61" s="542" t="s">
        <v>109</v>
      </c>
      <c r="D61" s="544" t="s">
        <v>883</v>
      </c>
      <c r="E61" s="544" t="s">
        <v>882</v>
      </c>
      <c r="F61" s="545" t="s">
        <v>790</v>
      </c>
      <c r="G61" s="546" t="s">
        <v>650</v>
      </c>
      <c r="H61" s="547">
        <v>0.35</v>
      </c>
      <c r="I61" s="539"/>
      <c r="J61" s="359">
        <v>28</v>
      </c>
      <c r="K61" s="359">
        <v>5</v>
      </c>
      <c r="L61" s="688">
        <v>0.17899999999999999</v>
      </c>
      <c r="M61" s="688">
        <v>0.17899999999999999</v>
      </c>
      <c r="N61" s="694">
        <v>0.51</v>
      </c>
      <c r="O61" s="360"/>
      <c r="P61" s="185"/>
      <c r="Q61" s="185"/>
    </row>
    <row r="62" spans="1:17" ht="26.25" thickBot="1" x14ac:dyDescent="0.25">
      <c r="A62" s="543" t="s">
        <v>276</v>
      </c>
      <c r="B62" s="541" t="s">
        <v>892</v>
      </c>
      <c r="C62" s="542" t="s">
        <v>109</v>
      </c>
      <c r="D62" s="544" t="s">
        <v>837</v>
      </c>
      <c r="E62" s="544" t="s">
        <v>882</v>
      </c>
      <c r="F62" s="545" t="s">
        <v>790</v>
      </c>
      <c r="G62" s="546" t="s">
        <v>650</v>
      </c>
      <c r="H62" s="547">
        <v>0.35</v>
      </c>
      <c r="I62" s="539"/>
      <c r="J62" s="359">
        <v>28</v>
      </c>
      <c r="K62" s="359">
        <v>5</v>
      </c>
      <c r="L62" s="688">
        <v>0.17899999999999999</v>
      </c>
      <c r="M62" s="688">
        <v>0.17899999999999999</v>
      </c>
      <c r="N62" s="694">
        <v>0.51</v>
      </c>
      <c r="O62" s="360"/>
      <c r="P62" s="185"/>
      <c r="Q62" s="185"/>
    </row>
    <row r="63" spans="1:17" ht="39" thickBot="1" x14ac:dyDescent="0.25">
      <c r="A63" s="543" t="s">
        <v>276</v>
      </c>
      <c r="B63" s="541" t="s">
        <v>892</v>
      </c>
      <c r="C63" s="542" t="s">
        <v>109</v>
      </c>
      <c r="D63" s="544" t="s">
        <v>884</v>
      </c>
      <c r="E63" s="544" t="s">
        <v>882</v>
      </c>
      <c r="F63" s="545" t="s">
        <v>790</v>
      </c>
      <c r="G63" s="546" t="s">
        <v>650</v>
      </c>
      <c r="H63" s="547">
        <v>0.35</v>
      </c>
      <c r="I63" s="539"/>
      <c r="J63" s="359">
        <v>28</v>
      </c>
      <c r="K63" s="359">
        <v>5</v>
      </c>
      <c r="L63" s="688">
        <v>0.17899999999999999</v>
      </c>
      <c r="M63" s="688">
        <v>0.17899999999999999</v>
      </c>
      <c r="N63" s="694">
        <v>0.51</v>
      </c>
      <c r="O63" s="360"/>
      <c r="P63" s="185"/>
      <c r="Q63" s="185"/>
    </row>
    <row r="64" spans="1:17" ht="26.25" thickBot="1" x14ac:dyDescent="0.25">
      <c r="A64" s="543" t="s">
        <v>276</v>
      </c>
      <c r="B64" s="541" t="s">
        <v>892</v>
      </c>
      <c r="C64" s="542" t="s">
        <v>109</v>
      </c>
      <c r="D64" s="544" t="s">
        <v>885</v>
      </c>
      <c r="E64" s="544" t="s">
        <v>882</v>
      </c>
      <c r="F64" s="545" t="s">
        <v>790</v>
      </c>
      <c r="G64" s="546" t="s">
        <v>650</v>
      </c>
      <c r="H64" s="547">
        <v>0.35</v>
      </c>
      <c r="I64" s="539"/>
      <c r="J64" s="359">
        <v>28</v>
      </c>
      <c r="K64" s="359">
        <v>5</v>
      </c>
      <c r="L64" s="688">
        <v>0.17899999999999999</v>
      </c>
      <c r="M64" s="688">
        <v>0.17899999999999999</v>
      </c>
      <c r="N64" s="694">
        <v>0.51</v>
      </c>
      <c r="O64" s="360"/>
      <c r="P64" s="185"/>
      <c r="Q64" s="185"/>
    </row>
    <row r="65" spans="1:17" ht="26.25" thickBot="1" x14ac:dyDescent="0.25">
      <c r="A65" s="543" t="s">
        <v>276</v>
      </c>
      <c r="B65" s="541" t="s">
        <v>892</v>
      </c>
      <c r="C65" s="542" t="s">
        <v>109</v>
      </c>
      <c r="D65" s="544" t="s">
        <v>842</v>
      </c>
      <c r="E65" s="544" t="s">
        <v>882</v>
      </c>
      <c r="F65" s="545" t="s">
        <v>790</v>
      </c>
      <c r="G65" s="546" t="s">
        <v>650</v>
      </c>
      <c r="H65" s="547">
        <v>0.35</v>
      </c>
      <c r="I65" s="539"/>
      <c r="J65" s="359">
        <v>28</v>
      </c>
      <c r="K65" s="359">
        <v>5</v>
      </c>
      <c r="L65" s="688">
        <v>0.17899999999999999</v>
      </c>
      <c r="M65" s="688">
        <v>0.17899999999999999</v>
      </c>
      <c r="N65" s="694">
        <v>0.51</v>
      </c>
      <c r="O65" s="360"/>
      <c r="P65" s="185"/>
      <c r="Q65" s="185"/>
    </row>
    <row r="66" spans="1:17" ht="26.25" thickBot="1" x14ac:dyDescent="0.25">
      <c r="A66" s="543" t="s">
        <v>276</v>
      </c>
      <c r="B66" s="541" t="s">
        <v>892</v>
      </c>
      <c r="C66" s="542" t="s">
        <v>109</v>
      </c>
      <c r="D66" s="544" t="s">
        <v>844</v>
      </c>
      <c r="E66" s="544" t="s">
        <v>882</v>
      </c>
      <c r="F66" s="545" t="s">
        <v>790</v>
      </c>
      <c r="G66" s="546" t="s">
        <v>650</v>
      </c>
      <c r="H66" s="547">
        <v>0.35</v>
      </c>
      <c r="I66" s="539"/>
      <c r="J66" s="359">
        <v>28</v>
      </c>
      <c r="K66" s="359">
        <v>5</v>
      </c>
      <c r="L66" s="688">
        <v>0.17899999999999999</v>
      </c>
      <c r="M66" s="688">
        <v>0.17899999999999999</v>
      </c>
      <c r="N66" s="694">
        <v>0.51</v>
      </c>
      <c r="O66" s="360"/>
      <c r="P66" s="185"/>
      <c r="Q66" s="185"/>
    </row>
    <row r="67" spans="1:17" ht="26.25" thickBot="1" x14ac:dyDescent="0.25">
      <c r="A67" s="543" t="s">
        <v>276</v>
      </c>
      <c r="B67" s="541" t="s">
        <v>892</v>
      </c>
      <c r="C67" s="542" t="s">
        <v>109</v>
      </c>
      <c r="D67" s="544" t="s">
        <v>845</v>
      </c>
      <c r="E67" s="544" t="s">
        <v>882</v>
      </c>
      <c r="F67" s="545" t="s">
        <v>790</v>
      </c>
      <c r="G67" s="546" t="s">
        <v>650</v>
      </c>
      <c r="H67" s="547">
        <v>0.35</v>
      </c>
      <c r="I67" s="539"/>
      <c r="J67" s="359">
        <v>28</v>
      </c>
      <c r="K67" s="359">
        <v>5</v>
      </c>
      <c r="L67" s="688">
        <v>0.17899999999999999</v>
      </c>
      <c r="M67" s="688">
        <v>0.17899999999999999</v>
      </c>
      <c r="N67" s="694">
        <v>0.51</v>
      </c>
      <c r="O67" s="360"/>
      <c r="P67" s="185"/>
      <c r="Q67" s="185"/>
    </row>
    <row r="68" spans="1:17" ht="26.25" thickBot="1" x14ac:dyDescent="0.25">
      <c r="A68" s="543" t="s">
        <v>276</v>
      </c>
      <c r="B68" s="541" t="s">
        <v>892</v>
      </c>
      <c r="C68" s="542" t="s">
        <v>109</v>
      </c>
      <c r="D68" s="544" t="s">
        <v>846</v>
      </c>
      <c r="E68" s="544" t="s">
        <v>882</v>
      </c>
      <c r="F68" s="545" t="s">
        <v>790</v>
      </c>
      <c r="G68" s="546" t="s">
        <v>650</v>
      </c>
      <c r="H68" s="547">
        <v>0.35</v>
      </c>
      <c r="I68" s="539"/>
      <c r="J68" s="359">
        <v>28</v>
      </c>
      <c r="K68" s="359">
        <v>5</v>
      </c>
      <c r="L68" s="688">
        <v>0.17899999999999999</v>
      </c>
      <c r="M68" s="688">
        <v>0.17899999999999999</v>
      </c>
      <c r="N68" s="694">
        <v>0.51</v>
      </c>
      <c r="O68" s="360"/>
      <c r="P68" s="185"/>
      <c r="Q68" s="185"/>
    </row>
    <row r="69" spans="1:17" ht="26.25" thickBot="1" x14ac:dyDescent="0.25">
      <c r="A69" s="543" t="s">
        <v>276</v>
      </c>
      <c r="B69" s="541" t="s">
        <v>892</v>
      </c>
      <c r="C69" s="542" t="s">
        <v>109</v>
      </c>
      <c r="D69" s="544" t="s">
        <v>847</v>
      </c>
      <c r="E69" s="544" t="s">
        <v>882</v>
      </c>
      <c r="F69" s="545" t="s">
        <v>790</v>
      </c>
      <c r="G69" s="546" t="s">
        <v>650</v>
      </c>
      <c r="H69" s="547">
        <v>0.35</v>
      </c>
      <c r="I69" s="539"/>
      <c r="J69" s="359">
        <v>28</v>
      </c>
      <c r="K69" s="359">
        <v>5</v>
      </c>
      <c r="L69" s="688">
        <v>0.17899999999999999</v>
      </c>
      <c r="M69" s="688">
        <v>0.17899999999999999</v>
      </c>
      <c r="N69" s="694">
        <v>0.51</v>
      </c>
      <c r="O69" s="360"/>
      <c r="P69" s="185"/>
      <c r="Q69" s="185"/>
    </row>
    <row r="70" spans="1:17" ht="26.25" thickBot="1" x14ac:dyDescent="0.25">
      <c r="A70" s="543" t="s">
        <v>276</v>
      </c>
      <c r="B70" s="541" t="s">
        <v>892</v>
      </c>
      <c r="C70" s="542" t="s">
        <v>109</v>
      </c>
      <c r="D70" s="544" t="s">
        <v>886</v>
      </c>
      <c r="E70" s="544" t="s">
        <v>882</v>
      </c>
      <c r="F70" s="545" t="s">
        <v>790</v>
      </c>
      <c r="G70" s="546" t="s">
        <v>650</v>
      </c>
      <c r="H70" s="547">
        <v>0.35</v>
      </c>
      <c r="I70" s="539"/>
      <c r="J70" s="359">
        <v>28</v>
      </c>
      <c r="K70" s="359">
        <v>5</v>
      </c>
      <c r="L70" s="688">
        <v>0.17899999999999999</v>
      </c>
      <c r="M70" s="688">
        <v>0.17899999999999999</v>
      </c>
      <c r="N70" s="694">
        <v>0.51</v>
      </c>
      <c r="O70" s="360"/>
      <c r="P70" s="185"/>
      <c r="Q70" s="185"/>
    </row>
    <row r="71" spans="1:17" ht="26.25" thickBot="1" x14ac:dyDescent="0.25">
      <c r="A71" s="543" t="s">
        <v>276</v>
      </c>
      <c r="B71" s="541" t="s">
        <v>892</v>
      </c>
      <c r="C71" s="542" t="s">
        <v>109</v>
      </c>
      <c r="D71" s="544" t="s">
        <v>887</v>
      </c>
      <c r="E71" s="544" t="s">
        <v>882</v>
      </c>
      <c r="F71" s="545" t="s">
        <v>790</v>
      </c>
      <c r="G71" s="546" t="s">
        <v>650</v>
      </c>
      <c r="H71" s="547">
        <v>0.35</v>
      </c>
      <c r="I71" s="539"/>
      <c r="J71" s="359">
        <v>28</v>
      </c>
      <c r="K71" s="359">
        <v>5</v>
      </c>
      <c r="L71" s="688">
        <v>0.17899999999999999</v>
      </c>
      <c r="M71" s="688">
        <v>0.17899999999999999</v>
      </c>
      <c r="N71" s="694">
        <v>0.51</v>
      </c>
      <c r="O71" s="360"/>
      <c r="P71" s="185"/>
      <c r="Q71" s="185"/>
    </row>
    <row r="72" spans="1:17" ht="26.25" thickBot="1" x14ac:dyDescent="0.25">
      <c r="A72" s="543" t="s">
        <v>276</v>
      </c>
      <c r="B72" s="541" t="s">
        <v>892</v>
      </c>
      <c r="C72" s="542" t="s">
        <v>109</v>
      </c>
      <c r="D72" s="544" t="s">
        <v>850</v>
      </c>
      <c r="E72" s="544" t="s">
        <v>882</v>
      </c>
      <c r="F72" s="545" t="s">
        <v>790</v>
      </c>
      <c r="G72" s="546" t="s">
        <v>650</v>
      </c>
      <c r="H72" s="547">
        <v>0.35</v>
      </c>
      <c r="I72" s="539"/>
      <c r="J72" s="359">
        <v>28</v>
      </c>
      <c r="K72" s="359">
        <v>5</v>
      </c>
      <c r="L72" s="688">
        <v>0.17899999999999999</v>
      </c>
      <c r="M72" s="688">
        <v>0.17899999999999999</v>
      </c>
      <c r="N72" s="694">
        <v>0.51</v>
      </c>
      <c r="O72" s="360"/>
      <c r="P72" s="185"/>
      <c r="Q72" s="185"/>
    </row>
    <row r="73" spans="1:17" ht="26.25" thickBot="1" x14ac:dyDescent="0.25">
      <c r="A73" s="543" t="s">
        <v>276</v>
      </c>
      <c r="B73" s="541" t="s">
        <v>892</v>
      </c>
      <c r="C73" s="542" t="s">
        <v>109</v>
      </c>
      <c r="D73" s="544" t="s">
        <v>888</v>
      </c>
      <c r="E73" s="544" t="s">
        <v>882</v>
      </c>
      <c r="F73" s="545" t="s">
        <v>790</v>
      </c>
      <c r="G73" s="546" t="s">
        <v>650</v>
      </c>
      <c r="H73" s="547">
        <v>0.35</v>
      </c>
      <c r="I73" s="539"/>
      <c r="J73" s="359">
        <v>28</v>
      </c>
      <c r="K73" s="359">
        <v>5</v>
      </c>
      <c r="L73" s="688">
        <v>0.17899999999999999</v>
      </c>
      <c r="M73" s="688">
        <v>0.17899999999999999</v>
      </c>
      <c r="N73" s="694">
        <v>0.51</v>
      </c>
      <c r="O73" s="360"/>
      <c r="P73" s="185"/>
      <c r="Q73" s="185"/>
    </row>
    <row r="74" spans="1:17" ht="26.25" thickBot="1" x14ac:dyDescent="0.25">
      <c r="A74" s="543" t="s">
        <v>276</v>
      </c>
      <c r="B74" s="541" t="s">
        <v>892</v>
      </c>
      <c r="C74" s="542" t="s">
        <v>109</v>
      </c>
      <c r="D74" s="544" t="s">
        <v>815</v>
      </c>
      <c r="E74" s="544" t="s">
        <v>882</v>
      </c>
      <c r="F74" s="545" t="s">
        <v>790</v>
      </c>
      <c r="G74" s="546" t="s">
        <v>650</v>
      </c>
      <c r="H74" s="547">
        <v>0.35</v>
      </c>
      <c r="I74" s="539"/>
      <c r="J74" s="359">
        <v>28</v>
      </c>
      <c r="K74" s="359">
        <v>5</v>
      </c>
      <c r="L74" s="688">
        <v>0.17899999999999999</v>
      </c>
      <c r="M74" s="688">
        <v>0.17899999999999999</v>
      </c>
      <c r="N74" s="694">
        <v>0.51</v>
      </c>
      <c r="O74" s="360"/>
      <c r="P74" s="185"/>
      <c r="Q74" s="185"/>
    </row>
    <row r="75" spans="1:17" ht="26.25" thickBot="1" x14ac:dyDescent="0.25">
      <c r="A75" s="543" t="s">
        <v>276</v>
      </c>
      <c r="B75" s="541" t="s">
        <v>892</v>
      </c>
      <c r="C75" s="542" t="s">
        <v>109</v>
      </c>
      <c r="D75" s="544" t="s">
        <v>889</v>
      </c>
      <c r="E75" s="544" t="s">
        <v>882</v>
      </c>
      <c r="F75" s="545" t="s">
        <v>790</v>
      </c>
      <c r="G75" s="546" t="s">
        <v>650</v>
      </c>
      <c r="H75" s="547">
        <v>0.35</v>
      </c>
      <c r="I75" s="539"/>
      <c r="J75" s="359">
        <v>28</v>
      </c>
      <c r="K75" s="359">
        <v>5</v>
      </c>
      <c r="L75" s="688">
        <v>0.17899999999999999</v>
      </c>
      <c r="M75" s="688">
        <v>0.17899999999999999</v>
      </c>
      <c r="N75" s="694">
        <v>0.51</v>
      </c>
      <c r="O75" s="360"/>
      <c r="P75" s="185"/>
      <c r="Q75" s="185"/>
    </row>
    <row r="76" spans="1:17" ht="51.75" thickBot="1" x14ac:dyDescent="0.25">
      <c r="A76" s="543" t="s">
        <v>276</v>
      </c>
      <c r="B76" s="541" t="s">
        <v>892</v>
      </c>
      <c r="C76" s="542" t="s">
        <v>109</v>
      </c>
      <c r="D76" s="544" t="s">
        <v>856</v>
      </c>
      <c r="E76" s="544" t="s">
        <v>882</v>
      </c>
      <c r="F76" s="545" t="s">
        <v>790</v>
      </c>
      <c r="G76" s="546" t="s">
        <v>650</v>
      </c>
      <c r="H76" s="547">
        <v>0.35</v>
      </c>
      <c r="I76" s="539"/>
      <c r="J76" s="359">
        <v>28</v>
      </c>
      <c r="K76" s="359">
        <v>5</v>
      </c>
      <c r="L76" s="688">
        <v>0.17899999999999999</v>
      </c>
      <c r="M76" s="688">
        <v>0.17899999999999999</v>
      </c>
      <c r="N76" s="694">
        <v>0.51</v>
      </c>
      <c r="O76" s="360"/>
      <c r="P76" s="185"/>
      <c r="Q76" s="185"/>
    </row>
    <row r="77" spans="1:17" ht="26.25" thickBot="1" x14ac:dyDescent="0.25">
      <c r="A77" s="543" t="s">
        <v>276</v>
      </c>
      <c r="B77" s="541" t="s">
        <v>892</v>
      </c>
      <c r="C77" s="542" t="s">
        <v>109</v>
      </c>
      <c r="D77" s="544" t="s">
        <v>890</v>
      </c>
      <c r="E77" s="544" t="s">
        <v>882</v>
      </c>
      <c r="F77" s="545" t="s">
        <v>790</v>
      </c>
      <c r="G77" s="546" t="s">
        <v>650</v>
      </c>
      <c r="H77" s="547">
        <v>0.35</v>
      </c>
      <c r="I77" s="539"/>
      <c r="J77" s="359">
        <v>28</v>
      </c>
      <c r="K77" s="359">
        <v>5</v>
      </c>
      <c r="L77" s="688">
        <v>0.17899999999999999</v>
      </c>
      <c r="M77" s="688">
        <v>0.17899999999999999</v>
      </c>
      <c r="N77" s="694">
        <v>0.51</v>
      </c>
      <c r="O77" s="360"/>
      <c r="P77" s="185"/>
      <c r="Q77" s="185"/>
    </row>
    <row r="78" spans="1:17" ht="26.25" thickBot="1" x14ac:dyDescent="0.25">
      <c r="A78" s="543" t="s">
        <v>276</v>
      </c>
      <c r="B78" s="541" t="s">
        <v>892</v>
      </c>
      <c r="C78" s="542" t="s">
        <v>808</v>
      </c>
      <c r="D78" s="544" t="s">
        <v>858</v>
      </c>
      <c r="E78" s="544" t="s">
        <v>882</v>
      </c>
      <c r="F78" s="545" t="s">
        <v>790</v>
      </c>
      <c r="G78" s="546" t="s">
        <v>650</v>
      </c>
      <c r="H78" s="547">
        <v>0.35</v>
      </c>
      <c r="I78" s="539"/>
      <c r="J78" s="359">
        <v>28</v>
      </c>
      <c r="K78" s="359">
        <v>5</v>
      </c>
      <c r="L78" s="688">
        <v>0.17899999999999999</v>
      </c>
      <c r="M78" s="688">
        <v>0.17899999999999999</v>
      </c>
      <c r="N78" s="694">
        <v>0.51</v>
      </c>
      <c r="O78" s="360"/>
      <c r="P78" s="185"/>
      <c r="Q78" s="185"/>
    </row>
    <row r="79" spans="1:17" ht="26.25" thickBot="1" x14ac:dyDescent="0.25">
      <c r="A79" s="543" t="s">
        <v>276</v>
      </c>
      <c r="B79" s="541" t="s">
        <v>892</v>
      </c>
      <c r="C79" s="542" t="s">
        <v>808</v>
      </c>
      <c r="D79" s="544" t="s">
        <v>861</v>
      </c>
      <c r="E79" s="544" t="s">
        <v>882</v>
      </c>
      <c r="F79" s="545" t="s">
        <v>790</v>
      </c>
      <c r="G79" s="546" t="s">
        <v>650</v>
      </c>
      <c r="H79" s="547">
        <v>0.35</v>
      </c>
      <c r="I79" s="539"/>
      <c r="J79" s="359">
        <v>28</v>
      </c>
      <c r="K79" s="359">
        <v>5</v>
      </c>
      <c r="L79" s="688">
        <v>0.17899999999999999</v>
      </c>
      <c r="M79" s="688">
        <v>0.17899999999999999</v>
      </c>
      <c r="N79" s="694">
        <v>0.51</v>
      </c>
      <c r="O79" s="360"/>
      <c r="P79" s="185"/>
      <c r="Q79" s="185"/>
    </row>
    <row r="80" spans="1:17" ht="26.25" thickBot="1" x14ac:dyDescent="0.25">
      <c r="A80" s="543" t="s">
        <v>276</v>
      </c>
      <c r="B80" s="541" t="s">
        <v>892</v>
      </c>
      <c r="C80" s="542" t="s">
        <v>808</v>
      </c>
      <c r="D80" s="544" t="s">
        <v>862</v>
      </c>
      <c r="E80" s="544" t="s">
        <v>882</v>
      </c>
      <c r="F80" s="545" t="s">
        <v>790</v>
      </c>
      <c r="G80" s="546" t="s">
        <v>650</v>
      </c>
      <c r="H80" s="547">
        <v>0.35</v>
      </c>
      <c r="I80" s="539"/>
      <c r="J80" s="359">
        <v>28</v>
      </c>
      <c r="K80" s="359">
        <v>5</v>
      </c>
      <c r="L80" s="688">
        <v>0.17899999999999999</v>
      </c>
      <c r="M80" s="688">
        <v>0.17899999999999999</v>
      </c>
      <c r="N80" s="694">
        <v>0.51</v>
      </c>
      <c r="O80" s="360"/>
      <c r="P80" s="185"/>
      <c r="Q80" s="185"/>
    </row>
    <row r="81" spans="1:17" ht="26.25" thickBot="1" x14ac:dyDescent="0.25">
      <c r="A81" s="543" t="s">
        <v>276</v>
      </c>
      <c r="B81" s="541" t="s">
        <v>892</v>
      </c>
      <c r="C81" s="542" t="s">
        <v>808</v>
      </c>
      <c r="D81" s="544" t="s">
        <v>863</v>
      </c>
      <c r="E81" s="544" t="s">
        <v>882</v>
      </c>
      <c r="F81" s="545" t="s">
        <v>790</v>
      </c>
      <c r="G81" s="546" t="s">
        <v>650</v>
      </c>
      <c r="H81" s="547">
        <v>0.35</v>
      </c>
      <c r="I81" s="539"/>
      <c r="J81" s="359">
        <v>28</v>
      </c>
      <c r="K81" s="359">
        <v>5</v>
      </c>
      <c r="L81" s="688">
        <v>0.17899999999999999</v>
      </c>
      <c r="M81" s="688">
        <v>0.17899999999999999</v>
      </c>
      <c r="N81" s="694">
        <v>0.51</v>
      </c>
      <c r="O81" s="360"/>
      <c r="P81" s="185"/>
      <c r="Q81" s="185"/>
    </row>
    <row r="82" spans="1:17" ht="26.25" thickBot="1" x14ac:dyDescent="0.25">
      <c r="A82" s="543" t="s">
        <v>276</v>
      </c>
      <c r="B82" s="541" t="s">
        <v>892</v>
      </c>
      <c r="C82" s="542" t="s">
        <v>808</v>
      </c>
      <c r="D82" s="544" t="s">
        <v>815</v>
      </c>
      <c r="E82" s="544" t="s">
        <v>882</v>
      </c>
      <c r="F82" s="545" t="s">
        <v>790</v>
      </c>
      <c r="G82" s="546" t="s">
        <v>650</v>
      </c>
      <c r="H82" s="547">
        <v>0.35</v>
      </c>
      <c r="I82" s="539"/>
      <c r="J82" s="359">
        <v>28</v>
      </c>
      <c r="K82" s="359">
        <v>5</v>
      </c>
      <c r="L82" s="688">
        <v>0.17899999999999999</v>
      </c>
      <c r="M82" s="688">
        <v>0.17899999999999999</v>
      </c>
      <c r="N82" s="694">
        <v>0.51</v>
      </c>
      <c r="O82" s="360"/>
      <c r="P82" s="185"/>
      <c r="Q82" s="185"/>
    </row>
    <row r="83" spans="1:17" x14ac:dyDescent="0.2">
      <c r="M83" s="185"/>
      <c r="N83" s="185"/>
      <c r="O83" s="185"/>
      <c r="P83" s="185"/>
      <c r="Q83" s="185"/>
    </row>
    <row r="84" spans="1:17" x14ac:dyDescent="0.2">
      <c r="M84" s="185"/>
      <c r="N84" s="185"/>
      <c r="O84" s="185"/>
      <c r="P84" s="185"/>
      <c r="Q84" s="185"/>
    </row>
    <row r="85" spans="1:17" x14ac:dyDescent="0.2">
      <c r="M85" s="185"/>
      <c r="N85" s="185"/>
      <c r="O85" s="185"/>
      <c r="P85" s="185"/>
      <c r="Q85" s="185"/>
    </row>
    <row r="86" spans="1:17" x14ac:dyDescent="0.2">
      <c r="M86" s="185"/>
      <c r="N86" s="185"/>
      <c r="O86" s="185"/>
      <c r="P86" s="185"/>
      <c r="Q86" s="185"/>
    </row>
    <row r="87" spans="1:17" x14ac:dyDescent="0.2">
      <c r="M87" s="185"/>
      <c r="N87" s="185"/>
      <c r="O87" s="185"/>
      <c r="P87" s="185"/>
      <c r="Q87" s="185"/>
    </row>
    <row r="88" spans="1:17" x14ac:dyDescent="0.2">
      <c r="M88" s="185"/>
      <c r="N88" s="185"/>
      <c r="O88" s="185"/>
      <c r="P88" s="185"/>
      <c r="Q88" s="185"/>
    </row>
    <row r="89" spans="1:17" x14ac:dyDescent="0.2">
      <c r="M89" s="185"/>
      <c r="N89" s="185"/>
      <c r="O89" s="185"/>
      <c r="P89" s="185"/>
      <c r="Q89" s="185"/>
    </row>
    <row r="90" spans="1:17" x14ac:dyDescent="0.2">
      <c r="M90" s="185"/>
      <c r="N90" s="185"/>
      <c r="O90" s="185"/>
      <c r="P90" s="185"/>
      <c r="Q90" s="185"/>
    </row>
    <row r="91" spans="1:17" x14ac:dyDescent="0.2">
      <c r="M91" s="185"/>
      <c r="N91" s="185"/>
      <c r="O91" s="185"/>
      <c r="P91" s="185"/>
      <c r="Q91" s="185"/>
    </row>
    <row r="92" spans="1:17" x14ac:dyDescent="0.2">
      <c r="M92" s="185"/>
      <c r="N92" s="185"/>
      <c r="O92" s="185"/>
      <c r="P92" s="185"/>
      <c r="Q92" s="185"/>
    </row>
    <row r="93" spans="1:17" x14ac:dyDescent="0.2">
      <c r="M93" s="185"/>
      <c r="N93" s="185"/>
      <c r="O93" s="185"/>
      <c r="P93" s="185"/>
      <c r="Q93" s="185"/>
    </row>
    <row r="94" spans="1:17" x14ac:dyDescent="0.2">
      <c r="M94" s="185"/>
      <c r="N94" s="185"/>
      <c r="O94" s="185"/>
      <c r="P94" s="185"/>
      <c r="Q94" s="185"/>
    </row>
    <row r="95" spans="1:17" x14ac:dyDescent="0.2">
      <c r="M95" s="185"/>
      <c r="N95" s="185"/>
      <c r="O95" s="185"/>
      <c r="P95" s="185"/>
      <c r="Q95" s="185"/>
    </row>
    <row r="96" spans="1:17" x14ac:dyDescent="0.2">
      <c r="M96" s="185"/>
      <c r="N96" s="185"/>
      <c r="O96" s="185"/>
      <c r="P96" s="185"/>
      <c r="Q96" s="185"/>
    </row>
    <row r="97" spans="13:17" x14ac:dyDescent="0.2">
      <c r="M97" s="185"/>
      <c r="N97" s="185"/>
      <c r="O97" s="185"/>
      <c r="P97" s="185"/>
      <c r="Q97" s="185"/>
    </row>
    <row r="98" spans="13:17" x14ac:dyDescent="0.2">
      <c r="M98" s="185"/>
      <c r="N98" s="185"/>
      <c r="O98" s="185"/>
      <c r="P98" s="185"/>
      <c r="Q98" s="185"/>
    </row>
    <row r="99" spans="13:17" x14ac:dyDescent="0.2">
      <c r="M99" s="185"/>
      <c r="N99" s="185"/>
      <c r="O99" s="185"/>
      <c r="P99" s="185"/>
      <c r="Q99" s="185"/>
    </row>
    <row r="100" spans="13:17" x14ac:dyDescent="0.2">
      <c r="M100" s="185"/>
      <c r="N100" s="185"/>
      <c r="O100" s="185"/>
      <c r="P100" s="185"/>
      <c r="Q100" s="185"/>
    </row>
    <row r="101" spans="13:17" x14ac:dyDescent="0.2">
      <c r="M101" s="185"/>
      <c r="N101" s="185"/>
      <c r="O101" s="185"/>
      <c r="P101" s="185"/>
      <c r="Q101" s="185"/>
    </row>
    <row r="102" spans="13:17" x14ac:dyDescent="0.2">
      <c r="M102" s="185"/>
      <c r="N102" s="185"/>
      <c r="O102" s="185"/>
      <c r="P102" s="185"/>
      <c r="Q102" s="185"/>
    </row>
    <row r="103" spans="13:17" x14ac:dyDescent="0.2">
      <c r="M103" s="185"/>
      <c r="N103" s="185"/>
      <c r="O103" s="185"/>
      <c r="P103" s="185"/>
      <c r="Q103" s="185"/>
    </row>
    <row r="104" spans="13:17" x14ac:dyDescent="0.2">
      <c r="M104" s="185"/>
      <c r="N104" s="185"/>
      <c r="O104" s="185"/>
      <c r="P104" s="185"/>
      <c r="Q104" s="185"/>
    </row>
    <row r="105" spans="13:17" x14ac:dyDescent="0.2">
      <c r="M105" s="185"/>
      <c r="N105" s="185"/>
      <c r="O105" s="185"/>
      <c r="P105" s="185"/>
      <c r="Q105" s="185"/>
    </row>
    <row r="106" spans="13:17" x14ac:dyDescent="0.2">
      <c r="M106" s="185"/>
      <c r="N106" s="185"/>
      <c r="O106" s="185"/>
      <c r="P106" s="185"/>
      <c r="Q106" s="185"/>
    </row>
    <row r="107" spans="13:17" x14ac:dyDescent="0.2">
      <c r="M107" s="185"/>
      <c r="N107" s="185"/>
      <c r="O107" s="185"/>
      <c r="P107" s="185"/>
      <c r="Q107" s="185"/>
    </row>
    <row r="108" spans="13:17" x14ac:dyDescent="0.2">
      <c r="M108" s="185"/>
      <c r="N108" s="185"/>
      <c r="O108" s="185"/>
      <c r="P108" s="185"/>
      <c r="Q108" s="185"/>
    </row>
    <row r="109" spans="13:17" x14ac:dyDescent="0.2">
      <c r="M109" s="185"/>
      <c r="N109" s="185"/>
      <c r="O109" s="185"/>
      <c r="P109" s="185"/>
      <c r="Q109" s="185"/>
    </row>
    <row r="110" spans="13:17" x14ac:dyDescent="0.2">
      <c r="M110" s="185"/>
      <c r="N110" s="185"/>
      <c r="O110" s="185"/>
      <c r="P110" s="185"/>
      <c r="Q110" s="185"/>
    </row>
    <row r="111" spans="13:17" x14ac:dyDescent="0.2">
      <c r="M111" s="185"/>
      <c r="N111" s="185"/>
      <c r="O111" s="185"/>
      <c r="P111" s="185"/>
      <c r="Q111" s="185"/>
    </row>
    <row r="112" spans="13:17" x14ac:dyDescent="0.2">
      <c r="M112" s="185"/>
      <c r="N112" s="185"/>
      <c r="O112" s="185"/>
      <c r="P112" s="185"/>
      <c r="Q112" s="185"/>
    </row>
    <row r="113" spans="13:17" x14ac:dyDescent="0.2">
      <c r="M113" s="185"/>
      <c r="N113" s="185"/>
      <c r="O113" s="185"/>
      <c r="P113" s="185"/>
      <c r="Q113" s="185"/>
    </row>
    <row r="114" spans="13:17" x14ac:dyDescent="0.2">
      <c r="M114" s="185"/>
      <c r="N114" s="185"/>
      <c r="O114" s="185"/>
      <c r="P114" s="185"/>
      <c r="Q114" s="185"/>
    </row>
    <row r="115" spans="13:17" x14ac:dyDescent="0.2">
      <c r="M115" s="185"/>
      <c r="N115" s="185"/>
      <c r="O115" s="185"/>
      <c r="P115" s="185"/>
      <c r="Q115" s="185"/>
    </row>
    <row r="116" spans="13:17" x14ac:dyDescent="0.2">
      <c r="M116" s="185"/>
      <c r="N116" s="185"/>
      <c r="O116" s="185"/>
      <c r="P116" s="185"/>
      <c r="Q116" s="185"/>
    </row>
    <row r="117" spans="13:17" x14ac:dyDescent="0.2">
      <c r="M117" s="185"/>
      <c r="N117" s="185"/>
      <c r="O117" s="185"/>
      <c r="P117" s="185"/>
      <c r="Q117" s="185"/>
    </row>
    <row r="118" spans="13:17" x14ac:dyDescent="0.2">
      <c r="M118" s="185"/>
      <c r="N118" s="185"/>
      <c r="O118" s="185"/>
      <c r="P118" s="185"/>
      <c r="Q118" s="185"/>
    </row>
    <row r="119" spans="13:17" x14ac:dyDescent="0.2">
      <c r="M119" s="185"/>
      <c r="N119" s="185"/>
      <c r="O119" s="185"/>
      <c r="P119" s="185"/>
      <c r="Q119" s="185"/>
    </row>
    <row r="120" spans="13:17" x14ac:dyDescent="0.2">
      <c r="M120" s="185"/>
      <c r="N120" s="185"/>
      <c r="O120" s="185"/>
      <c r="P120" s="185"/>
      <c r="Q120" s="185"/>
    </row>
    <row r="121" spans="13:17" x14ac:dyDescent="0.2">
      <c r="M121" s="185"/>
      <c r="N121" s="185"/>
      <c r="O121" s="185"/>
      <c r="P121" s="185"/>
      <c r="Q121" s="185"/>
    </row>
    <row r="122" spans="13:17" x14ac:dyDescent="0.2">
      <c r="M122" s="185"/>
      <c r="N122" s="185"/>
      <c r="O122" s="185"/>
      <c r="P122" s="185"/>
      <c r="Q122" s="185"/>
    </row>
    <row r="123" spans="13:17" x14ac:dyDescent="0.2">
      <c r="M123" s="185"/>
      <c r="N123" s="185"/>
      <c r="O123" s="185"/>
      <c r="P123" s="185"/>
      <c r="Q123" s="185"/>
    </row>
    <row r="124" spans="13:17" x14ac:dyDescent="0.2">
      <c r="M124" s="185"/>
      <c r="N124" s="185"/>
      <c r="O124" s="185"/>
      <c r="P124" s="185"/>
      <c r="Q124" s="185"/>
    </row>
    <row r="125" spans="13:17" x14ac:dyDescent="0.2">
      <c r="M125" s="185"/>
      <c r="N125" s="185"/>
      <c r="O125" s="185"/>
      <c r="P125" s="185"/>
      <c r="Q125" s="185"/>
    </row>
    <row r="126" spans="13:17" x14ac:dyDescent="0.2">
      <c r="M126" s="185"/>
      <c r="N126" s="185"/>
      <c r="O126" s="185"/>
      <c r="P126" s="185"/>
      <c r="Q126" s="185"/>
    </row>
    <row r="127" spans="13:17" x14ac:dyDescent="0.2">
      <c r="M127" s="185"/>
      <c r="N127" s="185"/>
      <c r="O127" s="185"/>
      <c r="P127" s="185"/>
      <c r="Q127" s="185"/>
    </row>
    <row r="128" spans="13:17" x14ac:dyDescent="0.2">
      <c r="M128" s="185"/>
      <c r="N128" s="185"/>
      <c r="O128" s="185"/>
      <c r="P128" s="185"/>
      <c r="Q128" s="185"/>
    </row>
    <row r="129" spans="13:17" x14ac:dyDescent="0.2">
      <c r="M129" s="185"/>
      <c r="N129" s="185"/>
      <c r="O129" s="185"/>
      <c r="P129" s="185"/>
      <c r="Q129" s="185"/>
    </row>
    <row r="130" spans="13:17" x14ac:dyDescent="0.2">
      <c r="M130" s="185"/>
      <c r="N130" s="185"/>
      <c r="O130" s="185"/>
      <c r="P130" s="185"/>
      <c r="Q130" s="185"/>
    </row>
    <row r="131" spans="13:17" x14ac:dyDescent="0.2">
      <c r="M131" s="185"/>
      <c r="N131" s="185"/>
      <c r="O131" s="185"/>
      <c r="P131" s="185"/>
      <c r="Q131" s="185"/>
    </row>
    <row r="132" spans="13:17" x14ac:dyDescent="0.2">
      <c r="M132" s="185"/>
      <c r="N132" s="185"/>
      <c r="O132" s="185"/>
      <c r="P132" s="185"/>
      <c r="Q132" s="185"/>
    </row>
    <row r="133" spans="13:17" x14ac:dyDescent="0.2">
      <c r="M133" s="185"/>
      <c r="N133" s="185"/>
      <c r="O133" s="185"/>
      <c r="P133" s="185"/>
      <c r="Q133" s="185"/>
    </row>
    <row r="134" spans="13:17" x14ac:dyDescent="0.2">
      <c r="M134" s="185"/>
      <c r="N134" s="185"/>
      <c r="O134" s="185"/>
      <c r="P134" s="185"/>
      <c r="Q134" s="185"/>
    </row>
    <row r="135" spans="13:17" x14ac:dyDescent="0.2">
      <c r="M135" s="185"/>
      <c r="N135" s="185"/>
      <c r="O135" s="185"/>
      <c r="P135" s="185"/>
      <c r="Q135" s="185"/>
    </row>
    <row r="136" spans="13:17" x14ac:dyDescent="0.2">
      <c r="M136" s="185"/>
      <c r="N136" s="185"/>
      <c r="O136" s="185"/>
      <c r="P136" s="185"/>
      <c r="Q136" s="185"/>
    </row>
    <row r="137" spans="13:17" x14ac:dyDescent="0.2">
      <c r="M137" s="185"/>
      <c r="N137" s="185"/>
      <c r="O137" s="185"/>
      <c r="P137" s="185"/>
      <c r="Q137" s="185"/>
    </row>
    <row r="138" spans="13:17" x14ac:dyDescent="0.2">
      <c r="M138" s="185"/>
      <c r="N138" s="185"/>
      <c r="O138" s="185"/>
      <c r="P138" s="185"/>
      <c r="Q138" s="185"/>
    </row>
    <row r="139" spans="13:17" x14ac:dyDescent="0.2">
      <c r="M139" s="185"/>
      <c r="N139" s="185"/>
      <c r="O139" s="185"/>
      <c r="P139" s="185"/>
      <c r="Q139" s="185"/>
    </row>
    <row r="140" spans="13:17" x14ac:dyDescent="0.2">
      <c r="M140" s="185"/>
      <c r="N140" s="185"/>
      <c r="O140" s="185"/>
      <c r="P140" s="185"/>
      <c r="Q140" s="185"/>
    </row>
    <row r="141" spans="13:17" x14ac:dyDescent="0.2">
      <c r="M141" s="185"/>
      <c r="N141" s="185"/>
      <c r="O141" s="185"/>
      <c r="P141" s="185"/>
      <c r="Q141" s="185"/>
    </row>
    <row r="142" spans="13:17" x14ac:dyDescent="0.2">
      <c r="M142" s="185"/>
      <c r="N142" s="185"/>
      <c r="O142" s="185"/>
      <c r="P142" s="185"/>
      <c r="Q142" s="185"/>
    </row>
    <row r="143" spans="13:17" x14ac:dyDescent="0.2">
      <c r="M143" s="185"/>
      <c r="N143" s="185"/>
      <c r="O143" s="185"/>
      <c r="P143" s="185"/>
      <c r="Q143" s="185"/>
    </row>
    <row r="144" spans="13:17" x14ac:dyDescent="0.2">
      <c r="M144" s="185"/>
      <c r="N144" s="185"/>
      <c r="O144" s="185"/>
      <c r="P144" s="185"/>
      <c r="Q144" s="185"/>
    </row>
    <row r="145" spans="13:17" x14ac:dyDescent="0.2">
      <c r="M145" s="185"/>
      <c r="N145" s="185"/>
      <c r="O145" s="185"/>
      <c r="P145" s="185"/>
      <c r="Q145" s="185"/>
    </row>
    <row r="146" spans="13:17" x14ac:dyDescent="0.2">
      <c r="M146" s="185"/>
      <c r="N146" s="185"/>
      <c r="O146" s="185"/>
      <c r="P146" s="185"/>
      <c r="Q146" s="185"/>
    </row>
    <row r="147" spans="13:17" x14ac:dyDescent="0.2">
      <c r="M147" s="185"/>
      <c r="N147" s="185"/>
      <c r="O147" s="185"/>
      <c r="P147" s="185"/>
      <c r="Q147" s="185"/>
    </row>
    <row r="148" spans="13:17" x14ac:dyDescent="0.2">
      <c r="M148" s="185"/>
      <c r="N148" s="185"/>
      <c r="O148" s="185"/>
      <c r="P148" s="185"/>
      <c r="Q148" s="185"/>
    </row>
    <row r="149" spans="13:17" x14ac:dyDescent="0.2">
      <c r="M149" s="185"/>
      <c r="N149" s="185"/>
      <c r="O149" s="185"/>
      <c r="P149" s="185"/>
      <c r="Q149" s="185"/>
    </row>
    <row r="150" spans="13:17" x14ac:dyDescent="0.2">
      <c r="M150" s="185"/>
      <c r="N150" s="185"/>
      <c r="O150" s="185"/>
      <c r="P150" s="185"/>
      <c r="Q150" s="185"/>
    </row>
    <row r="151" spans="13:17" x14ac:dyDescent="0.2">
      <c r="M151" s="185"/>
      <c r="N151" s="185"/>
      <c r="O151" s="185"/>
      <c r="P151" s="185"/>
      <c r="Q151" s="185"/>
    </row>
    <row r="152" spans="13:17" x14ac:dyDescent="0.2">
      <c r="M152" s="185"/>
      <c r="N152" s="185"/>
      <c r="O152" s="185"/>
      <c r="P152" s="185"/>
      <c r="Q152" s="185"/>
    </row>
    <row r="153" spans="13:17" x14ac:dyDescent="0.2">
      <c r="M153" s="185"/>
      <c r="N153" s="185"/>
      <c r="O153" s="185"/>
      <c r="P153" s="185"/>
      <c r="Q153" s="185"/>
    </row>
    <row r="154" spans="13:17" x14ac:dyDescent="0.2">
      <c r="M154" s="185"/>
      <c r="N154" s="185"/>
      <c r="O154" s="185"/>
      <c r="P154" s="185"/>
      <c r="Q154" s="185"/>
    </row>
    <row r="155" spans="13:17" x14ac:dyDescent="0.2">
      <c r="M155" s="185"/>
      <c r="N155" s="185"/>
      <c r="O155" s="185"/>
      <c r="P155" s="185"/>
      <c r="Q155" s="185"/>
    </row>
    <row r="156" spans="13:17" x14ac:dyDescent="0.2">
      <c r="M156" s="185"/>
      <c r="N156" s="185"/>
      <c r="O156" s="185"/>
      <c r="P156" s="185"/>
      <c r="Q156" s="185"/>
    </row>
    <row r="157" spans="13:17" x14ac:dyDescent="0.2">
      <c r="M157" s="185"/>
      <c r="N157" s="185"/>
      <c r="O157" s="185"/>
      <c r="P157" s="185"/>
      <c r="Q157" s="185"/>
    </row>
    <row r="158" spans="13:17" x14ac:dyDescent="0.2">
      <c r="M158" s="185"/>
      <c r="N158" s="185"/>
      <c r="O158" s="185"/>
      <c r="P158" s="185"/>
      <c r="Q158" s="185"/>
    </row>
    <row r="159" spans="13:17" x14ac:dyDescent="0.2">
      <c r="M159" s="185"/>
      <c r="N159" s="185"/>
      <c r="O159" s="185"/>
      <c r="P159" s="185"/>
      <c r="Q159" s="185"/>
    </row>
    <row r="160" spans="13:17" x14ac:dyDescent="0.2">
      <c r="M160" s="185"/>
      <c r="N160" s="185"/>
      <c r="O160" s="185"/>
      <c r="P160" s="185"/>
      <c r="Q160" s="185"/>
    </row>
    <row r="161" spans="13:17" x14ac:dyDescent="0.2">
      <c r="M161" s="185"/>
      <c r="N161" s="185"/>
      <c r="O161" s="185"/>
      <c r="P161" s="185"/>
      <c r="Q161" s="185"/>
    </row>
    <row r="162" spans="13:17" x14ac:dyDescent="0.2">
      <c r="M162" s="185"/>
      <c r="N162" s="185"/>
      <c r="O162" s="185"/>
      <c r="P162" s="185"/>
      <c r="Q162" s="185"/>
    </row>
    <row r="163" spans="13:17" x14ac:dyDescent="0.2">
      <c r="M163" s="185"/>
      <c r="N163" s="185"/>
      <c r="O163" s="185"/>
      <c r="P163" s="185"/>
      <c r="Q163" s="185"/>
    </row>
    <row r="164" spans="13:17" x14ac:dyDescent="0.2">
      <c r="M164" s="185"/>
      <c r="N164" s="185"/>
      <c r="O164" s="185"/>
      <c r="P164" s="185"/>
      <c r="Q164" s="185"/>
    </row>
    <row r="165" spans="13:17" x14ac:dyDescent="0.2">
      <c r="M165" s="185"/>
      <c r="N165" s="185"/>
      <c r="O165" s="185"/>
      <c r="P165" s="185"/>
      <c r="Q165" s="185"/>
    </row>
    <row r="166" spans="13:17" x14ac:dyDescent="0.2">
      <c r="M166" s="185"/>
      <c r="N166" s="185"/>
      <c r="O166" s="185"/>
      <c r="P166" s="185"/>
      <c r="Q166" s="185"/>
    </row>
    <row r="167" spans="13:17" x14ac:dyDescent="0.2">
      <c r="M167" s="185"/>
      <c r="N167" s="185"/>
      <c r="O167" s="185"/>
      <c r="P167" s="185"/>
      <c r="Q167" s="185"/>
    </row>
    <row r="168" spans="13:17" x14ac:dyDescent="0.2">
      <c r="M168" s="185"/>
      <c r="N168" s="185"/>
      <c r="O168" s="185"/>
      <c r="P168" s="185"/>
      <c r="Q168" s="185"/>
    </row>
    <row r="169" spans="13:17" x14ac:dyDescent="0.2">
      <c r="M169" s="185"/>
      <c r="N169" s="185"/>
      <c r="O169" s="185"/>
      <c r="P169" s="185"/>
      <c r="Q169" s="185"/>
    </row>
    <row r="170" spans="13:17" x14ac:dyDescent="0.2">
      <c r="M170" s="185"/>
      <c r="N170" s="185"/>
      <c r="O170" s="185"/>
      <c r="P170" s="185"/>
      <c r="Q170" s="185"/>
    </row>
    <row r="171" spans="13:17" x14ac:dyDescent="0.2">
      <c r="M171" s="185"/>
      <c r="N171" s="185"/>
      <c r="O171" s="185"/>
      <c r="P171" s="185"/>
      <c r="Q171" s="185"/>
    </row>
    <row r="172" spans="13:17" x14ac:dyDescent="0.2">
      <c r="M172" s="185"/>
      <c r="N172" s="185"/>
      <c r="O172" s="185"/>
      <c r="P172" s="185"/>
      <c r="Q172" s="185"/>
    </row>
    <row r="173" spans="13:17" x14ac:dyDescent="0.2">
      <c r="M173" s="185"/>
      <c r="N173" s="185"/>
      <c r="O173" s="185"/>
      <c r="P173" s="185"/>
      <c r="Q173" s="185"/>
    </row>
    <row r="174" spans="13:17" x14ac:dyDescent="0.2">
      <c r="M174" s="185"/>
      <c r="N174" s="185"/>
      <c r="O174" s="185"/>
      <c r="P174" s="185"/>
      <c r="Q174" s="185"/>
    </row>
    <row r="175" spans="13:17" x14ac:dyDescent="0.2">
      <c r="M175" s="185"/>
      <c r="N175" s="185"/>
      <c r="O175" s="185"/>
      <c r="P175" s="185"/>
      <c r="Q175" s="185"/>
    </row>
    <row r="176" spans="13:17" x14ac:dyDescent="0.2">
      <c r="M176" s="185"/>
      <c r="N176" s="185"/>
      <c r="O176" s="185"/>
      <c r="P176" s="185"/>
      <c r="Q176" s="185"/>
    </row>
    <row r="177" spans="13:17" x14ac:dyDescent="0.2">
      <c r="M177" s="185"/>
      <c r="N177" s="185"/>
      <c r="O177" s="185"/>
      <c r="P177" s="185"/>
      <c r="Q177" s="185"/>
    </row>
    <row r="178" spans="13:17" x14ac:dyDescent="0.2">
      <c r="M178" s="185"/>
      <c r="N178" s="185"/>
      <c r="O178" s="185"/>
      <c r="P178" s="185"/>
      <c r="Q178" s="185"/>
    </row>
    <row r="179" spans="13:17" x14ac:dyDescent="0.2">
      <c r="M179" s="185"/>
      <c r="N179" s="185"/>
      <c r="O179" s="185"/>
      <c r="P179" s="185"/>
      <c r="Q179" s="185"/>
    </row>
    <row r="180" spans="13:17" x14ac:dyDescent="0.2">
      <c r="M180" s="185"/>
      <c r="N180" s="185"/>
      <c r="O180" s="185"/>
      <c r="P180" s="185"/>
      <c r="Q180" s="185"/>
    </row>
    <row r="181" spans="13:17" x14ac:dyDescent="0.2">
      <c r="M181" s="185"/>
      <c r="N181" s="185"/>
      <c r="O181" s="185"/>
      <c r="P181" s="185"/>
      <c r="Q181" s="185"/>
    </row>
    <row r="182" spans="13:17" x14ac:dyDescent="0.2">
      <c r="M182" s="185"/>
      <c r="N182" s="185"/>
      <c r="O182" s="185"/>
      <c r="P182" s="185"/>
      <c r="Q182" s="185"/>
    </row>
    <row r="183" spans="13:17" x14ac:dyDescent="0.2">
      <c r="M183" s="185"/>
      <c r="N183" s="185"/>
      <c r="O183" s="185"/>
      <c r="P183" s="185"/>
      <c r="Q183" s="185"/>
    </row>
    <row r="184" spans="13:17" x14ac:dyDescent="0.2">
      <c r="M184" s="185"/>
      <c r="N184" s="185"/>
      <c r="O184" s="185"/>
      <c r="P184" s="185"/>
      <c r="Q184" s="185"/>
    </row>
    <row r="185" spans="13:17" x14ac:dyDescent="0.2">
      <c r="M185" s="185"/>
      <c r="N185" s="185"/>
      <c r="O185" s="185"/>
      <c r="P185" s="185"/>
      <c r="Q185" s="185"/>
    </row>
    <row r="186" spans="13:17" x14ac:dyDescent="0.2">
      <c r="M186" s="185"/>
      <c r="N186" s="185"/>
      <c r="O186" s="185"/>
      <c r="P186" s="185"/>
      <c r="Q186" s="185"/>
    </row>
    <row r="187" spans="13:17" x14ac:dyDescent="0.2">
      <c r="M187" s="185"/>
      <c r="N187" s="185"/>
      <c r="O187" s="185"/>
      <c r="P187" s="185"/>
      <c r="Q187" s="185"/>
    </row>
    <row r="188" spans="13:17" x14ac:dyDescent="0.2">
      <c r="M188" s="185"/>
      <c r="N188" s="185"/>
      <c r="O188" s="185"/>
      <c r="P188" s="185"/>
      <c r="Q188" s="185"/>
    </row>
    <row r="189" spans="13:17" x14ac:dyDescent="0.2">
      <c r="M189" s="185"/>
      <c r="N189" s="185"/>
      <c r="O189" s="185"/>
      <c r="P189" s="185"/>
      <c r="Q189" s="185"/>
    </row>
    <row r="190" spans="13:17" x14ac:dyDescent="0.2">
      <c r="M190" s="185"/>
      <c r="N190" s="185"/>
      <c r="O190" s="185"/>
      <c r="P190" s="185"/>
      <c r="Q190" s="185"/>
    </row>
    <row r="191" spans="13:17" x14ac:dyDescent="0.2">
      <c r="M191" s="185"/>
      <c r="N191" s="185"/>
      <c r="O191" s="185"/>
      <c r="P191" s="185"/>
      <c r="Q191" s="185"/>
    </row>
    <row r="192" spans="13:17" x14ac:dyDescent="0.2">
      <c r="M192" s="185"/>
      <c r="N192" s="185"/>
      <c r="O192" s="185"/>
      <c r="P192" s="185"/>
      <c r="Q192" s="185"/>
    </row>
    <row r="193" spans="13:17" x14ac:dyDescent="0.2">
      <c r="M193" s="185"/>
      <c r="N193" s="185"/>
      <c r="O193" s="185"/>
      <c r="P193" s="185"/>
      <c r="Q193" s="185"/>
    </row>
    <row r="194" spans="13:17" x14ac:dyDescent="0.2">
      <c r="M194" s="185"/>
      <c r="N194" s="185"/>
      <c r="O194" s="185"/>
      <c r="P194" s="185"/>
      <c r="Q194" s="185"/>
    </row>
    <row r="195" spans="13:17" x14ac:dyDescent="0.2">
      <c r="M195" s="185"/>
      <c r="N195" s="185"/>
      <c r="O195" s="185"/>
      <c r="P195" s="185"/>
      <c r="Q195" s="185"/>
    </row>
    <row r="196" spans="13:17" x14ac:dyDescent="0.2">
      <c r="M196" s="185"/>
      <c r="N196" s="185"/>
      <c r="O196" s="185"/>
      <c r="P196" s="185"/>
      <c r="Q196" s="185"/>
    </row>
    <row r="197" spans="13:17" x14ac:dyDescent="0.2">
      <c r="M197" s="185"/>
      <c r="N197" s="185"/>
      <c r="O197" s="185"/>
      <c r="P197" s="185"/>
      <c r="Q197" s="185"/>
    </row>
    <row r="198" spans="13:17" x14ac:dyDescent="0.2">
      <c r="M198" s="185"/>
      <c r="N198" s="185"/>
      <c r="O198" s="185"/>
      <c r="P198" s="185"/>
      <c r="Q198" s="185"/>
    </row>
    <row r="199" spans="13:17" x14ac:dyDescent="0.2">
      <c r="M199" s="185"/>
      <c r="N199" s="185"/>
      <c r="O199" s="185"/>
      <c r="P199" s="185"/>
      <c r="Q199" s="185"/>
    </row>
    <row r="200" spans="13:17" x14ac:dyDescent="0.2">
      <c r="M200" s="185"/>
      <c r="N200" s="185"/>
      <c r="O200" s="185"/>
      <c r="P200" s="185"/>
      <c r="Q200" s="185"/>
    </row>
    <row r="201" spans="13:17" x14ac:dyDescent="0.2">
      <c r="M201" s="185"/>
      <c r="N201" s="185"/>
      <c r="O201" s="185"/>
      <c r="P201" s="185"/>
      <c r="Q201" s="185"/>
    </row>
    <row r="202" spans="13:17" x14ac:dyDescent="0.2">
      <c r="M202" s="185"/>
      <c r="N202" s="185"/>
      <c r="O202" s="185"/>
      <c r="P202" s="185"/>
      <c r="Q202" s="185"/>
    </row>
    <row r="203" spans="13:17" x14ac:dyDescent="0.2">
      <c r="M203" s="185"/>
      <c r="N203" s="185"/>
      <c r="O203" s="185"/>
      <c r="P203" s="185"/>
      <c r="Q203" s="185"/>
    </row>
    <row r="204" spans="13:17" x14ac:dyDescent="0.2">
      <c r="M204" s="185"/>
      <c r="N204" s="185"/>
      <c r="O204" s="185"/>
      <c r="P204" s="185"/>
      <c r="Q204" s="185"/>
    </row>
    <row r="205" spans="13:17" x14ac:dyDescent="0.2">
      <c r="M205" s="185"/>
      <c r="N205" s="185"/>
      <c r="O205" s="185"/>
      <c r="P205" s="185"/>
      <c r="Q205" s="185"/>
    </row>
    <row r="206" spans="13:17" x14ac:dyDescent="0.2">
      <c r="M206" s="185"/>
      <c r="N206" s="185"/>
      <c r="O206" s="185"/>
      <c r="P206" s="185"/>
      <c r="Q206" s="185"/>
    </row>
    <row r="207" spans="13:17" x14ac:dyDescent="0.2">
      <c r="M207" s="185"/>
      <c r="N207" s="185"/>
      <c r="O207" s="185"/>
      <c r="P207" s="185"/>
      <c r="Q207" s="185"/>
    </row>
    <row r="208" spans="13:17" x14ac:dyDescent="0.2">
      <c r="M208" s="185"/>
      <c r="N208" s="185"/>
      <c r="O208" s="185"/>
      <c r="P208" s="185"/>
      <c r="Q208" s="185"/>
    </row>
    <row r="209" spans="13:17" x14ac:dyDescent="0.2">
      <c r="M209" s="185"/>
      <c r="N209" s="185"/>
      <c r="O209" s="185"/>
      <c r="P209" s="185"/>
      <c r="Q209" s="185"/>
    </row>
    <row r="210" spans="13:17" x14ac:dyDescent="0.2">
      <c r="M210" s="185"/>
      <c r="N210" s="185"/>
      <c r="O210" s="185"/>
      <c r="P210" s="185"/>
      <c r="Q210" s="185"/>
    </row>
    <row r="211" spans="13:17" x14ac:dyDescent="0.2">
      <c r="M211" s="185"/>
      <c r="N211" s="185"/>
      <c r="O211" s="185"/>
      <c r="P211" s="185"/>
      <c r="Q211" s="185"/>
    </row>
    <row r="212" spans="13:17" x14ac:dyDescent="0.2">
      <c r="M212" s="185"/>
      <c r="N212" s="185"/>
      <c r="O212" s="185"/>
      <c r="P212" s="185"/>
      <c r="Q212" s="185"/>
    </row>
    <row r="213" spans="13:17" x14ac:dyDescent="0.2">
      <c r="M213" s="185"/>
      <c r="N213" s="185"/>
      <c r="O213" s="185"/>
      <c r="P213" s="185"/>
      <c r="Q213" s="185"/>
    </row>
    <row r="214" spans="13:17" x14ac:dyDescent="0.2">
      <c r="M214" s="185"/>
      <c r="N214" s="185"/>
      <c r="O214" s="185"/>
      <c r="P214" s="185"/>
      <c r="Q214" s="185"/>
    </row>
    <row r="215" spans="13:17" x14ac:dyDescent="0.2">
      <c r="M215" s="185"/>
      <c r="N215" s="185"/>
      <c r="O215" s="185"/>
      <c r="P215" s="185"/>
      <c r="Q215" s="185"/>
    </row>
    <row r="216" spans="13:17" x14ac:dyDescent="0.2">
      <c r="M216" s="185"/>
      <c r="N216" s="185"/>
      <c r="O216" s="185"/>
      <c r="P216" s="185"/>
      <c r="Q216" s="185"/>
    </row>
    <row r="217" spans="13:17" x14ac:dyDescent="0.2">
      <c r="M217" s="185"/>
      <c r="N217" s="185"/>
      <c r="O217" s="185"/>
      <c r="P217" s="185"/>
      <c r="Q217" s="185"/>
    </row>
    <row r="218" spans="13:17" x14ac:dyDescent="0.2">
      <c r="M218" s="185"/>
      <c r="N218" s="185"/>
      <c r="O218" s="185"/>
      <c r="P218" s="185"/>
      <c r="Q218" s="185"/>
    </row>
    <row r="219" spans="13:17" x14ac:dyDescent="0.2">
      <c r="M219" s="185"/>
      <c r="N219" s="185"/>
      <c r="O219" s="185"/>
      <c r="P219" s="185"/>
      <c r="Q219" s="185"/>
    </row>
    <row r="220" spans="13:17" x14ac:dyDescent="0.2">
      <c r="M220" s="185"/>
      <c r="N220" s="185"/>
      <c r="O220" s="185"/>
      <c r="P220" s="185"/>
      <c r="Q220" s="185"/>
    </row>
    <row r="221" spans="13:17" x14ac:dyDescent="0.2">
      <c r="M221" s="185"/>
      <c r="N221" s="185"/>
      <c r="O221" s="185"/>
      <c r="P221" s="185"/>
      <c r="Q221" s="185"/>
    </row>
    <row r="222" spans="13:17" x14ac:dyDescent="0.2">
      <c r="M222" s="185"/>
      <c r="N222" s="185"/>
      <c r="O222" s="185"/>
      <c r="P222" s="185"/>
      <c r="Q222" s="185"/>
    </row>
    <row r="223" spans="13:17" x14ac:dyDescent="0.2">
      <c r="M223" s="185"/>
      <c r="N223" s="185"/>
      <c r="O223" s="185"/>
      <c r="P223" s="185"/>
      <c r="Q223" s="185"/>
    </row>
    <row r="224" spans="13:17" x14ac:dyDescent="0.2">
      <c r="M224" s="185"/>
      <c r="N224" s="185"/>
      <c r="O224" s="185"/>
      <c r="P224" s="185"/>
      <c r="Q224" s="185"/>
    </row>
    <row r="225" spans="13:17" x14ac:dyDescent="0.2">
      <c r="M225" s="185"/>
      <c r="N225" s="185"/>
      <c r="O225" s="185"/>
      <c r="P225" s="185"/>
      <c r="Q225" s="185"/>
    </row>
    <row r="226" spans="13:17" x14ac:dyDescent="0.2">
      <c r="M226" s="185"/>
      <c r="N226" s="185"/>
      <c r="O226" s="185"/>
      <c r="P226" s="185"/>
      <c r="Q226" s="185"/>
    </row>
    <row r="227" spans="13:17" x14ac:dyDescent="0.2">
      <c r="M227" s="185"/>
      <c r="N227" s="185"/>
      <c r="O227" s="185"/>
      <c r="P227" s="185"/>
      <c r="Q227" s="185"/>
    </row>
    <row r="228" spans="13:17" x14ac:dyDescent="0.2">
      <c r="M228" s="185"/>
      <c r="N228" s="185"/>
      <c r="O228" s="185"/>
      <c r="P228" s="185"/>
      <c r="Q228" s="185"/>
    </row>
    <row r="229" spans="13:17" x14ac:dyDescent="0.2">
      <c r="M229" s="185"/>
      <c r="N229" s="185"/>
      <c r="O229" s="185"/>
      <c r="P229" s="185"/>
      <c r="Q229" s="185"/>
    </row>
    <row r="230" spans="13:17" x14ac:dyDescent="0.2">
      <c r="M230" s="185"/>
      <c r="N230" s="185"/>
      <c r="O230" s="185"/>
      <c r="P230" s="185"/>
      <c r="Q230" s="185"/>
    </row>
    <row r="231" spans="13:17" x14ac:dyDescent="0.2">
      <c r="M231" s="185"/>
      <c r="N231" s="185"/>
      <c r="O231" s="185"/>
      <c r="P231" s="185"/>
      <c r="Q231" s="185"/>
    </row>
    <row r="232" spans="13:17" x14ac:dyDescent="0.2">
      <c r="M232" s="185"/>
      <c r="N232" s="185"/>
      <c r="O232" s="185"/>
      <c r="P232" s="185"/>
      <c r="Q232" s="185"/>
    </row>
    <row r="233" spans="13:17" x14ac:dyDescent="0.2">
      <c r="M233" s="185"/>
      <c r="N233" s="185"/>
      <c r="O233" s="185"/>
      <c r="P233" s="185"/>
      <c r="Q233" s="185"/>
    </row>
    <row r="234" spans="13:17" x14ac:dyDescent="0.2">
      <c r="M234" s="185"/>
      <c r="N234" s="185"/>
      <c r="O234" s="185"/>
      <c r="P234" s="185"/>
      <c r="Q234" s="185"/>
    </row>
    <row r="235" spans="13:17" x14ac:dyDescent="0.2">
      <c r="M235" s="185"/>
      <c r="N235" s="185"/>
      <c r="O235" s="185"/>
      <c r="P235" s="185"/>
      <c r="Q235" s="185"/>
    </row>
    <row r="236" spans="13:17" x14ac:dyDescent="0.2">
      <c r="M236" s="185"/>
      <c r="N236" s="185"/>
      <c r="O236" s="185"/>
      <c r="P236" s="185"/>
      <c r="Q236" s="185"/>
    </row>
    <row r="237" spans="13:17" x14ac:dyDescent="0.2">
      <c r="M237" s="185"/>
      <c r="N237" s="185"/>
      <c r="O237" s="185"/>
      <c r="P237" s="185"/>
      <c r="Q237" s="185"/>
    </row>
    <row r="238" spans="13:17" x14ac:dyDescent="0.2">
      <c r="M238" s="185"/>
      <c r="N238" s="185"/>
      <c r="O238" s="185"/>
      <c r="P238" s="185"/>
      <c r="Q238" s="185"/>
    </row>
    <row r="239" spans="13:17" x14ac:dyDescent="0.2">
      <c r="M239" s="185"/>
      <c r="N239" s="185"/>
      <c r="O239" s="185"/>
      <c r="P239" s="185"/>
      <c r="Q239" s="185"/>
    </row>
    <row r="240" spans="13:17" x14ac:dyDescent="0.2">
      <c r="M240" s="185"/>
      <c r="N240" s="185"/>
      <c r="O240" s="185"/>
      <c r="P240" s="185"/>
      <c r="Q240" s="185"/>
    </row>
    <row r="241" spans="13:17" x14ac:dyDescent="0.2">
      <c r="M241" s="185"/>
      <c r="N241" s="185"/>
      <c r="O241" s="185"/>
      <c r="P241" s="185"/>
      <c r="Q241" s="185"/>
    </row>
    <row r="242" spans="13:17" x14ac:dyDescent="0.2">
      <c r="M242" s="185"/>
      <c r="N242" s="185"/>
      <c r="O242" s="185"/>
      <c r="P242" s="185"/>
      <c r="Q242" s="185"/>
    </row>
    <row r="243" spans="13:17" x14ac:dyDescent="0.2">
      <c r="M243" s="185"/>
      <c r="N243" s="185"/>
      <c r="O243" s="185"/>
      <c r="P243" s="185"/>
      <c r="Q243" s="185"/>
    </row>
    <row r="244" spans="13:17" x14ac:dyDescent="0.2">
      <c r="M244" s="185"/>
      <c r="N244" s="185"/>
      <c r="O244" s="185"/>
      <c r="P244" s="185"/>
      <c r="Q244" s="185"/>
    </row>
    <row r="245" spans="13:17" x14ac:dyDescent="0.2">
      <c r="M245" s="185"/>
      <c r="N245" s="185"/>
      <c r="O245" s="185"/>
      <c r="P245" s="185"/>
      <c r="Q245" s="185"/>
    </row>
    <row r="246" spans="13:17" x14ac:dyDescent="0.2">
      <c r="M246" s="185"/>
      <c r="N246" s="185"/>
      <c r="O246" s="185"/>
      <c r="P246" s="185"/>
      <c r="Q246" s="185"/>
    </row>
    <row r="247" spans="13:17" x14ac:dyDescent="0.2">
      <c r="M247" s="185"/>
      <c r="N247" s="185"/>
      <c r="O247" s="185"/>
      <c r="P247" s="185"/>
      <c r="Q247" s="185"/>
    </row>
    <row r="248" spans="13:17" x14ac:dyDescent="0.2">
      <c r="M248" s="185"/>
      <c r="N248" s="185"/>
      <c r="O248" s="185"/>
      <c r="P248" s="185"/>
      <c r="Q248" s="185"/>
    </row>
    <row r="249" spans="13:17" x14ac:dyDescent="0.2">
      <c r="M249" s="185"/>
      <c r="N249" s="185"/>
      <c r="O249" s="185"/>
      <c r="P249" s="185"/>
      <c r="Q249" s="185"/>
    </row>
    <row r="250" spans="13:17" x14ac:dyDescent="0.2">
      <c r="M250" s="185"/>
      <c r="N250" s="185"/>
      <c r="O250" s="185"/>
      <c r="P250" s="185"/>
      <c r="Q250" s="185"/>
    </row>
    <row r="251" spans="13:17" x14ac:dyDescent="0.2">
      <c r="M251" s="185"/>
      <c r="N251" s="185"/>
      <c r="O251" s="185"/>
      <c r="P251" s="185"/>
      <c r="Q251" s="185"/>
    </row>
    <row r="252" spans="13:17" x14ac:dyDescent="0.2">
      <c r="M252" s="185"/>
      <c r="N252" s="185"/>
      <c r="O252" s="185"/>
      <c r="P252" s="185"/>
      <c r="Q252" s="185"/>
    </row>
    <row r="253" spans="13:17" x14ac:dyDescent="0.2">
      <c r="M253" s="185"/>
      <c r="N253" s="185"/>
      <c r="O253" s="185"/>
      <c r="P253" s="185"/>
      <c r="Q253" s="185"/>
    </row>
    <row r="254" spans="13:17" x14ac:dyDescent="0.2">
      <c r="M254" s="185"/>
      <c r="N254" s="185"/>
      <c r="O254" s="185"/>
      <c r="P254" s="185"/>
      <c r="Q254" s="185"/>
    </row>
    <row r="255" spans="13:17" x14ac:dyDescent="0.2">
      <c r="M255" s="185"/>
      <c r="N255" s="185"/>
      <c r="O255" s="185"/>
      <c r="P255" s="185"/>
      <c r="Q255" s="185"/>
    </row>
    <row r="256" spans="13:17" x14ac:dyDescent="0.2">
      <c r="M256" s="185"/>
      <c r="N256" s="185"/>
      <c r="O256" s="185"/>
      <c r="P256" s="185"/>
      <c r="Q256" s="185"/>
    </row>
    <row r="257" spans="13:17" x14ac:dyDescent="0.2">
      <c r="M257" s="185"/>
      <c r="N257" s="185"/>
      <c r="O257" s="185"/>
      <c r="P257" s="185"/>
      <c r="Q257" s="185"/>
    </row>
    <row r="258" spans="13:17" x14ac:dyDescent="0.2">
      <c r="M258" s="185"/>
      <c r="N258" s="185"/>
      <c r="O258" s="185"/>
      <c r="P258" s="185"/>
      <c r="Q258" s="185"/>
    </row>
    <row r="259" spans="13:17" x14ac:dyDescent="0.2">
      <c r="M259" s="185"/>
      <c r="N259" s="185"/>
      <c r="O259" s="185"/>
      <c r="P259" s="185"/>
      <c r="Q259" s="185"/>
    </row>
    <row r="260" spans="13:17" x14ac:dyDescent="0.2">
      <c r="M260" s="185"/>
      <c r="N260" s="185"/>
      <c r="O260" s="185"/>
      <c r="P260" s="185"/>
      <c r="Q260" s="185"/>
    </row>
    <row r="261" spans="13:17" x14ac:dyDescent="0.2">
      <c r="M261" s="185"/>
      <c r="N261" s="185"/>
      <c r="O261" s="185"/>
      <c r="P261" s="185"/>
      <c r="Q261" s="185"/>
    </row>
    <row r="262" spans="13:17" x14ac:dyDescent="0.2">
      <c r="M262" s="185"/>
      <c r="N262" s="185"/>
      <c r="O262" s="185"/>
      <c r="P262" s="185"/>
      <c r="Q262" s="185"/>
    </row>
    <row r="263" spans="13:17" x14ac:dyDescent="0.2">
      <c r="M263" s="185"/>
      <c r="N263" s="185"/>
      <c r="O263" s="185"/>
      <c r="P263" s="185"/>
      <c r="Q263" s="185"/>
    </row>
    <row r="264" spans="13:17" x14ac:dyDescent="0.2">
      <c r="M264" s="185"/>
      <c r="N264" s="185"/>
      <c r="O264" s="185"/>
      <c r="P264" s="185"/>
      <c r="Q264" s="185"/>
    </row>
    <row r="265" spans="13:17" x14ac:dyDescent="0.2">
      <c r="M265" s="185"/>
      <c r="N265" s="185"/>
      <c r="O265" s="185"/>
      <c r="P265" s="185"/>
      <c r="Q265" s="185"/>
    </row>
    <row r="266" spans="13:17" x14ac:dyDescent="0.2">
      <c r="M266" s="185"/>
      <c r="N266" s="185"/>
      <c r="O266" s="185"/>
      <c r="P266" s="185"/>
      <c r="Q266" s="185"/>
    </row>
    <row r="267" spans="13:17" x14ac:dyDescent="0.2">
      <c r="M267" s="185"/>
      <c r="N267" s="185"/>
      <c r="O267" s="185"/>
      <c r="P267" s="185"/>
      <c r="Q267" s="185"/>
    </row>
    <row r="268" spans="13:17" x14ac:dyDescent="0.2">
      <c r="M268" s="185"/>
      <c r="N268" s="185"/>
      <c r="O268" s="185"/>
      <c r="P268" s="185"/>
      <c r="Q268" s="185"/>
    </row>
    <row r="269" spans="13:17" x14ac:dyDescent="0.2">
      <c r="M269" s="185"/>
      <c r="N269" s="185"/>
      <c r="O269" s="185"/>
      <c r="P269" s="185"/>
      <c r="Q269" s="185"/>
    </row>
    <row r="270" spans="13:17" x14ac:dyDescent="0.2">
      <c r="M270" s="185"/>
      <c r="N270" s="185"/>
      <c r="O270" s="185"/>
      <c r="P270" s="185"/>
      <c r="Q270" s="185"/>
    </row>
    <row r="271" spans="13:17" x14ac:dyDescent="0.2">
      <c r="M271" s="185"/>
      <c r="N271" s="185"/>
      <c r="O271" s="185"/>
      <c r="P271" s="185"/>
      <c r="Q271" s="185"/>
    </row>
    <row r="272" spans="13:17" x14ac:dyDescent="0.2">
      <c r="M272" s="185"/>
      <c r="N272" s="185"/>
      <c r="O272" s="185"/>
      <c r="P272" s="185"/>
      <c r="Q272" s="185"/>
    </row>
    <row r="273" spans="13:17" x14ac:dyDescent="0.2">
      <c r="M273" s="185"/>
      <c r="N273" s="185"/>
      <c r="O273" s="185"/>
      <c r="P273" s="185"/>
      <c r="Q273" s="185"/>
    </row>
    <row r="274" spans="13:17" x14ac:dyDescent="0.2">
      <c r="M274" s="185"/>
      <c r="N274" s="185"/>
      <c r="O274" s="185"/>
      <c r="P274" s="185"/>
      <c r="Q274" s="185"/>
    </row>
    <row r="275" spans="13:17" x14ac:dyDescent="0.2">
      <c r="M275" s="185"/>
      <c r="N275" s="185"/>
      <c r="O275" s="185"/>
      <c r="P275" s="185"/>
      <c r="Q275" s="185"/>
    </row>
    <row r="276" spans="13:17" x14ac:dyDescent="0.2">
      <c r="M276" s="185"/>
      <c r="N276" s="185"/>
      <c r="O276" s="185"/>
      <c r="P276" s="185"/>
      <c r="Q276" s="185"/>
    </row>
    <row r="277" spans="13:17" x14ac:dyDescent="0.2">
      <c r="M277" s="185"/>
      <c r="N277" s="185"/>
      <c r="O277" s="185"/>
      <c r="P277" s="185"/>
      <c r="Q277" s="185"/>
    </row>
    <row r="278" spans="13:17" x14ac:dyDescent="0.2">
      <c r="M278" s="185"/>
      <c r="N278" s="185"/>
      <c r="O278" s="185"/>
      <c r="P278" s="185"/>
      <c r="Q278" s="185"/>
    </row>
    <row r="279" spans="13:17" x14ac:dyDescent="0.2">
      <c r="M279" s="185"/>
      <c r="N279" s="185"/>
      <c r="O279" s="185"/>
      <c r="P279" s="185"/>
      <c r="Q279" s="185"/>
    </row>
    <row r="280" spans="13:17" x14ac:dyDescent="0.2">
      <c r="M280" s="185"/>
      <c r="N280" s="185"/>
      <c r="O280" s="185"/>
      <c r="P280" s="185"/>
      <c r="Q280" s="185"/>
    </row>
    <row r="281" spans="13:17" x14ac:dyDescent="0.2">
      <c r="M281" s="185"/>
      <c r="N281" s="185"/>
      <c r="O281" s="185"/>
      <c r="P281" s="185"/>
      <c r="Q281" s="185"/>
    </row>
    <row r="282" spans="13:17" x14ac:dyDescent="0.2">
      <c r="M282" s="185"/>
      <c r="N282" s="185"/>
      <c r="O282" s="185"/>
      <c r="P282" s="185"/>
      <c r="Q282" s="185"/>
    </row>
    <row r="283" spans="13:17" x14ac:dyDescent="0.2">
      <c r="M283" s="185"/>
      <c r="N283" s="185"/>
      <c r="O283" s="185"/>
      <c r="P283" s="185"/>
      <c r="Q283" s="185"/>
    </row>
    <row r="284" spans="13:17" x14ac:dyDescent="0.2">
      <c r="M284" s="185"/>
      <c r="N284" s="185"/>
      <c r="O284" s="185"/>
      <c r="P284" s="185"/>
      <c r="Q284" s="185"/>
    </row>
    <row r="285" spans="13:17" x14ac:dyDescent="0.2">
      <c r="M285" s="185"/>
      <c r="N285" s="185"/>
      <c r="O285" s="185"/>
      <c r="P285" s="185"/>
      <c r="Q285" s="185"/>
    </row>
    <row r="286" spans="13:17" x14ac:dyDescent="0.2">
      <c r="M286" s="185"/>
      <c r="N286" s="185"/>
      <c r="O286" s="185"/>
      <c r="P286" s="185"/>
      <c r="Q286" s="185"/>
    </row>
    <row r="287" spans="13:17" x14ac:dyDescent="0.2">
      <c r="M287" s="185"/>
      <c r="N287" s="185"/>
      <c r="O287" s="185"/>
      <c r="P287" s="185"/>
      <c r="Q287" s="185"/>
    </row>
    <row r="288" spans="13:17" x14ac:dyDescent="0.2">
      <c r="M288" s="185"/>
      <c r="N288" s="185"/>
      <c r="O288" s="185"/>
      <c r="P288" s="185"/>
      <c r="Q288" s="185"/>
    </row>
    <row r="289" spans="13:17" x14ac:dyDescent="0.2">
      <c r="M289" s="185"/>
      <c r="N289" s="185"/>
      <c r="O289" s="185"/>
      <c r="P289" s="185"/>
      <c r="Q289" s="185"/>
    </row>
    <row r="290" spans="13:17" x14ac:dyDescent="0.2">
      <c r="M290" s="185"/>
      <c r="N290" s="185"/>
      <c r="O290" s="185"/>
      <c r="P290" s="185"/>
      <c r="Q290" s="185"/>
    </row>
    <row r="291" spans="13:17" x14ac:dyDescent="0.2">
      <c r="M291" s="185"/>
      <c r="N291" s="185"/>
      <c r="O291" s="185"/>
      <c r="P291" s="185"/>
      <c r="Q291" s="185"/>
    </row>
    <row r="292" spans="13:17" x14ac:dyDescent="0.2">
      <c r="M292" s="185"/>
      <c r="N292" s="185"/>
      <c r="O292" s="185"/>
      <c r="P292" s="185"/>
      <c r="Q292" s="185"/>
    </row>
    <row r="293" spans="13:17" x14ac:dyDescent="0.2">
      <c r="M293" s="185"/>
      <c r="N293" s="185"/>
      <c r="O293" s="185"/>
      <c r="P293" s="185"/>
      <c r="Q293" s="185"/>
    </row>
    <row r="294" spans="13:17" x14ac:dyDescent="0.2">
      <c r="M294" s="185"/>
      <c r="N294" s="185"/>
      <c r="O294" s="185"/>
      <c r="P294" s="185"/>
      <c r="Q294" s="185"/>
    </row>
    <row r="295" spans="13:17" x14ac:dyDescent="0.2">
      <c r="M295" s="185"/>
      <c r="N295" s="185"/>
      <c r="O295" s="185"/>
      <c r="P295" s="185"/>
      <c r="Q295" s="185"/>
    </row>
    <row r="296" spans="13:17" x14ac:dyDescent="0.2">
      <c r="M296" s="185"/>
      <c r="N296" s="185"/>
      <c r="O296" s="185"/>
      <c r="P296" s="185"/>
      <c r="Q296" s="185"/>
    </row>
    <row r="297" spans="13:17" x14ac:dyDescent="0.2">
      <c r="M297" s="185"/>
      <c r="N297" s="185"/>
      <c r="O297" s="185"/>
      <c r="P297" s="185"/>
      <c r="Q297" s="185"/>
    </row>
    <row r="298" spans="13:17" x14ac:dyDescent="0.2">
      <c r="M298" s="185"/>
      <c r="N298" s="185"/>
      <c r="O298" s="185"/>
      <c r="P298" s="185"/>
      <c r="Q298" s="185"/>
    </row>
    <row r="299" spans="13:17" x14ac:dyDescent="0.2">
      <c r="M299" s="185"/>
      <c r="N299" s="185"/>
      <c r="O299" s="185"/>
      <c r="P299" s="185"/>
      <c r="Q299" s="185"/>
    </row>
    <row r="300" spans="13:17" x14ac:dyDescent="0.2">
      <c r="M300" s="185"/>
      <c r="N300" s="185"/>
      <c r="O300" s="185"/>
      <c r="P300" s="185"/>
      <c r="Q300" s="185"/>
    </row>
    <row r="301" spans="13:17" x14ac:dyDescent="0.2">
      <c r="M301" s="185"/>
      <c r="N301" s="185"/>
      <c r="O301" s="185"/>
      <c r="P301" s="185"/>
      <c r="Q301" s="185"/>
    </row>
    <row r="302" spans="13:17" x14ac:dyDescent="0.2">
      <c r="M302" s="185"/>
      <c r="N302" s="185"/>
      <c r="O302" s="185"/>
      <c r="P302" s="185"/>
      <c r="Q302" s="185"/>
    </row>
    <row r="303" spans="13:17" x14ac:dyDescent="0.2">
      <c r="M303" s="185"/>
      <c r="N303" s="185"/>
      <c r="O303" s="185"/>
      <c r="P303" s="185"/>
      <c r="Q303" s="185"/>
    </row>
    <row r="304" spans="13:17" x14ac:dyDescent="0.2">
      <c r="M304" s="185"/>
      <c r="N304" s="185"/>
      <c r="O304" s="185"/>
      <c r="P304" s="185"/>
      <c r="Q304" s="185"/>
    </row>
    <row r="305" spans="13:17" x14ac:dyDescent="0.2">
      <c r="M305" s="185"/>
      <c r="N305" s="185"/>
      <c r="O305" s="185"/>
      <c r="P305" s="185"/>
      <c r="Q305" s="185"/>
    </row>
    <row r="306" spans="13:17" x14ac:dyDescent="0.2">
      <c r="M306" s="185"/>
      <c r="N306" s="185"/>
      <c r="O306" s="185"/>
      <c r="P306" s="185"/>
      <c r="Q306" s="185"/>
    </row>
    <row r="307" spans="13:17" x14ac:dyDescent="0.2">
      <c r="M307" s="185"/>
      <c r="N307" s="185"/>
      <c r="O307" s="185"/>
      <c r="P307" s="185"/>
      <c r="Q307" s="185"/>
    </row>
    <row r="308" spans="13:17" x14ac:dyDescent="0.2">
      <c r="M308" s="185"/>
      <c r="N308" s="185"/>
      <c r="O308" s="185"/>
      <c r="P308" s="185"/>
      <c r="Q308" s="185"/>
    </row>
    <row r="309" spans="13:17" x14ac:dyDescent="0.2">
      <c r="M309" s="185"/>
      <c r="N309" s="185"/>
      <c r="O309" s="185"/>
      <c r="P309" s="185"/>
      <c r="Q309" s="185"/>
    </row>
    <row r="310" spans="13:17" x14ac:dyDescent="0.2">
      <c r="M310" s="185"/>
      <c r="N310" s="185"/>
      <c r="O310" s="185"/>
      <c r="P310" s="185"/>
      <c r="Q310" s="185"/>
    </row>
    <row r="311" spans="13:17" x14ac:dyDescent="0.2">
      <c r="M311" s="185"/>
      <c r="N311" s="185"/>
      <c r="O311" s="185"/>
      <c r="P311" s="185"/>
      <c r="Q311" s="185"/>
    </row>
    <row r="312" spans="13:17" x14ac:dyDescent="0.2">
      <c r="M312" s="185"/>
      <c r="N312" s="185"/>
      <c r="O312" s="185"/>
      <c r="P312" s="185"/>
      <c r="Q312" s="185"/>
    </row>
    <row r="313" spans="13:17" x14ac:dyDescent="0.2">
      <c r="M313" s="185"/>
      <c r="N313" s="185"/>
      <c r="O313" s="185"/>
      <c r="P313" s="185"/>
      <c r="Q313" s="185"/>
    </row>
    <row r="314" spans="13:17" x14ac:dyDescent="0.2">
      <c r="M314" s="185"/>
      <c r="N314" s="185"/>
      <c r="O314" s="185"/>
      <c r="P314" s="185"/>
      <c r="Q314" s="185"/>
    </row>
    <row r="315" spans="13:17" x14ac:dyDescent="0.2">
      <c r="M315" s="185"/>
      <c r="N315" s="185"/>
      <c r="O315" s="185"/>
      <c r="P315" s="185"/>
      <c r="Q315" s="185"/>
    </row>
    <row r="316" spans="13:17" x14ac:dyDescent="0.2">
      <c r="M316" s="185"/>
      <c r="N316" s="185"/>
      <c r="O316" s="185"/>
      <c r="P316" s="185"/>
      <c r="Q316" s="185"/>
    </row>
    <row r="317" spans="13:17" x14ac:dyDescent="0.2">
      <c r="M317" s="185"/>
      <c r="N317" s="185"/>
      <c r="O317" s="185"/>
      <c r="P317" s="185"/>
      <c r="Q317" s="185"/>
    </row>
    <row r="318" spans="13:17" x14ac:dyDescent="0.2">
      <c r="M318" s="185"/>
      <c r="N318" s="185"/>
      <c r="O318" s="185"/>
      <c r="P318" s="185"/>
      <c r="Q318" s="185"/>
    </row>
    <row r="319" spans="13:17" x14ac:dyDescent="0.2">
      <c r="M319" s="185"/>
      <c r="N319" s="185"/>
      <c r="O319" s="185"/>
      <c r="P319" s="185"/>
      <c r="Q319" s="185"/>
    </row>
    <row r="320" spans="13:17" x14ac:dyDescent="0.2">
      <c r="M320" s="185"/>
      <c r="N320" s="185"/>
      <c r="O320" s="185"/>
      <c r="P320" s="185"/>
      <c r="Q320" s="185"/>
    </row>
    <row r="321" spans="13:17" x14ac:dyDescent="0.2">
      <c r="M321" s="185"/>
      <c r="N321" s="185"/>
      <c r="O321" s="185"/>
      <c r="P321" s="185"/>
      <c r="Q321" s="185"/>
    </row>
    <row r="322" spans="13:17" x14ac:dyDescent="0.2">
      <c r="M322" s="185"/>
      <c r="N322" s="185"/>
      <c r="O322" s="185"/>
      <c r="P322" s="185"/>
      <c r="Q322" s="185"/>
    </row>
    <row r="323" spans="13:17" x14ac:dyDescent="0.2">
      <c r="M323" s="185"/>
      <c r="N323" s="185"/>
      <c r="O323" s="185"/>
      <c r="P323" s="185"/>
      <c r="Q323" s="185"/>
    </row>
    <row r="324" spans="13:17" x14ac:dyDescent="0.2">
      <c r="M324" s="185"/>
      <c r="N324" s="185"/>
      <c r="O324" s="185"/>
      <c r="P324" s="185"/>
      <c r="Q324" s="185"/>
    </row>
    <row r="325" spans="13:17" x14ac:dyDescent="0.2">
      <c r="M325" s="185"/>
      <c r="N325" s="185"/>
      <c r="O325" s="185"/>
      <c r="P325" s="185"/>
      <c r="Q325" s="185"/>
    </row>
    <row r="326" spans="13:17" x14ac:dyDescent="0.2">
      <c r="M326" s="185"/>
      <c r="N326" s="185"/>
      <c r="O326" s="185"/>
      <c r="P326" s="185"/>
      <c r="Q326" s="185"/>
    </row>
    <row r="327" spans="13:17" x14ac:dyDescent="0.2">
      <c r="M327" s="185"/>
      <c r="N327" s="185"/>
      <c r="O327" s="185"/>
      <c r="P327" s="185"/>
      <c r="Q327" s="185"/>
    </row>
    <row r="328" spans="13:17" x14ac:dyDescent="0.2">
      <c r="M328" s="185"/>
      <c r="N328" s="185"/>
      <c r="O328" s="185"/>
      <c r="P328" s="185"/>
      <c r="Q328" s="185"/>
    </row>
    <row r="329" spans="13:17" x14ac:dyDescent="0.2">
      <c r="M329" s="185"/>
      <c r="N329" s="185"/>
      <c r="O329" s="185"/>
      <c r="P329" s="185"/>
      <c r="Q329" s="185"/>
    </row>
    <row r="330" spans="13:17" x14ac:dyDescent="0.2">
      <c r="M330" s="185"/>
      <c r="N330" s="185"/>
      <c r="O330" s="185"/>
      <c r="P330" s="185"/>
      <c r="Q330" s="185"/>
    </row>
    <row r="331" spans="13:17" x14ac:dyDescent="0.2">
      <c r="M331" s="185"/>
      <c r="N331" s="185"/>
      <c r="O331" s="185"/>
      <c r="P331" s="185"/>
      <c r="Q331" s="185"/>
    </row>
    <row r="332" spans="13:17" x14ac:dyDescent="0.2">
      <c r="M332" s="185"/>
      <c r="N332" s="185"/>
      <c r="O332" s="185"/>
      <c r="P332" s="185"/>
      <c r="Q332" s="185"/>
    </row>
    <row r="333" spans="13:17" x14ac:dyDescent="0.2">
      <c r="M333" s="185"/>
      <c r="N333" s="185"/>
      <c r="O333" s="185"/>
      <c r="P333" s="185"/>
      <c r="Q333" s="185"/>
    </row>
    <row r="334" spans="13:17" x14ac:dyDescent="0.2">
      <c r="M334" s="185"/>
      <c r="N334" s="185"/>
      <c r="O334" s="185"/>
      <c r="P334" s="185"/>
      <c r="Q334" s="185"/>
    </row>
    <row r="335" spans="13:17" x14ac:dyDescent="0.2">
      <c r="M335" s="185"/>
      <c r="N335" s="185"/>
      <c r="O335" s="185"/>
      <c r="P335" s="185"/>
      <c r="Q335" s="185"/>
    </row>
    <row r="336" spans="13:17" x14ac:dyDescent="0.2">
      <c r="M336" s="185"/>
      <c r="N336" s="185"/>
      <c r="O336" s="185"/>
      <c r="P336" s="185"/>
      <c r="Q336" s="185"/>
    </row>
    <row r="337" spans="13:17" x14ac:dyDescent="0.2">
      <c r="M337" s="185"/>
      <c r="N337" s="185"/>
      <c r="O337" s="185"/>
      <c r="P337" s="185"/>
      <c r="Q337" s="185"/>
    </row>
    <row r="338" spans="13:17" x14ac:dyDescent="0.2">
      <c r="M338" s="185"/>
      <c r="N338" s="185"/>
      <c r="O338" s="185"/>
      <c r="P338" s="185"/>
      <c r="Q338" s="185"/>
    </row>
    <row r="339" spans="13:17" x14ac:dyDescent="0.2">
      <c r="M339" s="185"/>
      <c r="N339" s="185"/>
      <c r="O339" s="185"/>
      <c r="P339" s="185"/>
      <c r="Q339" s="185"/>
    </row>
    <row r="340" spans="13:17" x14ac:dyDescent="0.2">
      <c r="M340" s="185"/>
      <c r="N340" s="185"/>
      <c r="O340" s="185"/>
      <c r="P340" s="185"/>
      <c r="Q340" s="185"/>
    </row>
    <row r="341" spans="13:17" x14ac:dyDescent="0.2">
      <c r="M341" s="185"/>
      <c r="N341" s="185"/>
      <c r="O341" s="185"/>
      <c r="P341" s="185"/>
      <c r="Q341" s="185"/>
    </row>
    <row r="342" spans="13:17" x14ac:dyDescent="0.2">
      <c r="M342" s="185"/>
      <c r="N342" s="185"/>
      <c r="O342" s="185"/>
      <c r="P342" s="185"/>
      <c r="Q342" s="185"/>
    </row>
    <row r="343" spans="13:17" x14ac:dyDescent="0.2">
      <c r="M343" s="185"/>
      <c r="N343" s="185"/>
      <c r="O343" s="185"/>
      <c r="P343" s="185"/>
      <c r="Q343" s="185"/>
    </row>
    <row r="344" spans="13:17" x14ac:dyDescent="0.2">
      <c r="M344" s="185"/>
      <c r="N344" s="185"/>
      <c r="O344" s="185"/>
      <c r="P344" s="185"/>
      <c r="Q344" s="185"/>
    </row>
    <row r="345" spans="13:17" x14ac:dyDescent="0.2">
      <c r="M345" s="185"/>
      <c r="N345" s="185"/>
      <c r="O345" s="185"/>
      <c r="P345" s="185"/>
      <c r="Q345" s="185"/>
    </row>
    <row r="346" spans="13:17" x14ac:dyDescent="0.2">
      <c r="M346" s="185"/>
      <c r="N346" s="185"/>
      <c r="O346" s="185"/>
      <c r="P346" s="185"/>
      <c r="Q346" s="185"/>
    </row>
    <row r="347" spans="13:17" x14ac:dyDescent="0.2">
      <c r="M347" s="185"/>
      <c r="N347" s="185"/>
      <c r="O347" s="185"/>
      <c r="P347" s="185"/>
      <c r="Q347" s="185"/>
    </row>
    <row r="348" spans="13:17" x14ac:dyDescent="0.2">
      <c r="M348" s="185"/>
      <c r="N348" s="185"/>
      <c r="O348" s="185"/>
      <c r="P348" s="185"/>
      <c r="Q348" s="185"/>
    </row>
    <row r="349" spans="13:17" x14ac:dyDescent="0.2">
      <c r="M349" s="185"/>
      <c r="N349" s="185"/>
      <c r="O349" s="185"/>
      <c r="P349" s="185"/>
      <c r="Q349" s="185"/>
    </row>
    <row r="350" spans="13:17" x14ac:dyDescent="0.2">
      <c r="M350" s="185"/>
      <c r="N350" s="185"/>
      <c r="O350" s="185"/>
      <c r="P350" s="185"/>
      <c r="Q350" s="185"/>
    </row>
    <row r="351" spans="13:17" x14ac:dyDescent="0.2">
      <c r="M351" s="185"/>
      <c r="N351" s="185"/>
      <c r="O351" s="185"/>
      <c r="P351" s="185"/>
      <c r="Q351" s="185"/>
    </row>
    <row r="352" spans="13:17" x14ac:dyDescent="0.2">
      <c r="M352" s="185"/>
      <c r="N352" s="185"/>
      <c r="O352" s="185"/>
      <c r="P352" s="185"/>
      <c r="Q352" s="185"/>
    </row>
    <row r="353" spans="13:17" x14ac:dyDescent="0.2">
      <c r="M353" s="185"/>
      <c r="N353" s="185"/>
      <c r="O353" s="185"/>
      <c r="P353" s="185"/>
      <c r="Q353" s="185"/>
    </row>
    <row r="354" spans="13:17" x14ac:dyDescent="0.2">
      <c r="M354" s="185"/>
      <c r="N354" s="185"/>
      <c r="O354" s="185"/>
      <c r="P354" s="185"/>
      <c r="Q354" s="185"/>
    </row>
    <row r="355" spans="13:17" x14ac:dyDescent="0.2">
      <c r="M355" s="185"/>
      <c r="N355" s="185"/>
      <c r="O355" s="185"/>
      <c r="P355" s="185"/>
      <c r="Q355" s="185"/>
    </row>
    <row r="356" spans="13:17" x14ac:dyDescent="0.2">
      <c r="M356" s="185"/>
      <c r="N356" s="185"/>
      <c r="O356" s="185"/>
      <c r="P356" s="185"/>
      <c r="Q356" s="185"/>
    </row>
    <row r="357" spans="13:17" x14ac:dyDescent="0.2">
      <c r="M357" s="185"/>
      <c r="N357" s="185"/>
      <c r="O357" s="185"/>
      <c r="P357" s="185"/>
      <c r="Q357" s="185"/>
    </row>
    <row r="358" spans="13:17" x14ac:dyDescent="0.2">
      <c r="M358" s="185"/>
      <c r="N358" s="185"/>
      <c r="O358" s="185"/>
      <c r="P358" s="185"/>
      <c r="Q358" s="185"/>
    </row>
    <row r="359" spans="13:17" x14ac:dyDescent="0.2">
      <c r="M359" s="185"/>
      <c r="N359" s="185"/>
      <c r="O359" s="185"/>
      <c r="P359" s="185"/>
      <c r="Q359" s="185"/>
    </row>
    <row r="360" spans="13:17" x14ac:dyDescent="0.2">
      <c r="M360" s="185"/>
      <c r="N360" s="185"/>
      <c r="O360" s="185"/>
      <c r="P360" s="185"/>
      <c r="Q360" s="185"/>
    </row>
    <row r="361" spans="13:17" x14ac:dyDescent="0.2">
      <c r="M361" s="185"/>
      <c r="N361" s="185"/>
      <c r="O361" s="185"/>
      <c r="P361" s="185"/>
      <c r="Q361" s="185"/>
    </row>
    <row r="362" spans="13:17" x14ac:dyDescent="0.2">
      <c r="M362" s="185"/>
      <c r="N362" s="185"/>
      <c r="O362" s="185"/>
      <c r="P362" s="185"/>
      <c r="Q362" s="185"/>
    </row>
    <row r="363" spans="13:17" x14ac:dyDescent="0.2">
      <c r="M363" s="185"/>
      <c r="N363" s="185"/>
      <c r="O363" s="185"/>
      <c r="P363" s="185"/>
      <c r="Q363" s="185"/>
    </row>
    <row r="364" spans="13:17" x14ac:dyDescent="0.2">
      <c r="M364" s="185"/>
      <c r="N364" s="185"/>
      <c r="O364" s="185"/>
      <c r="P364" s="185"/>
      <c r="Q364" s="185"/>
    </row>
    <row r="365" spans="13:17" x14ac:dyDescent="0.2">
      <c r="M365" s="185"/>
      <c r="N365" s="185"/>
      <c r="O365" s="185"/>
      <c r="P365" s="185"/>
      <c r="Q365" s="185"/>
    </row>
    <row r="366" spans="13:17" x14ac:dyDescent="0.2">
      <c r="M366" s="185"/>
      <c r="N366" s="185"/>
      <c r="O366" s="185"/>
      <c r="P366" s="185"/>
      <c r="Q366" s="185"/>
    </row>
    <row r="367" spans="13:17" x14ac:dyDescent="0.2">
      <c r="M367" s="185"/>
      <c r="N367" s="185"/>
      <c r="O367" s="185"/>
      <c r="P367" s="185"/>
      <c r="Q367" s="185"/>
    </row>
    <row r="368" spans="13:17" x14ac:dyDescent="0.2">
      <c r="M368" s="185"/>
      <c r="N368" s="185"/>
      <c r="O368" s="185"/>
      <c r="P368" s="185"/>
      <c r="Q368" s="185"/>
    </row>
    <row r="369" spans="13:17" x14ac:dyDescent="0.2">
      <c r="M369" s="185"/>
      <c r="N369" s="185"/>
      <c r="O369" s="185"/>
      <c r="P369" s="185"/>
      <c r="Q369" s="185"/>
    </row>
    <row r="370" spans="13:17" x14ac:dyDescent="0.2">
      <c r="M370" s="185"/>
      <c r="N370" s="185"/>
      <c r="O370" s="185"/>
      <c r="P370" s="185"/>
      <c r="Q370" s="185"/>
    </row>
    <row r="371" spans="13:17" x14ac:dyDescent="0.2">
      <c r="M371" s="185"/>
      <c r="N371" s="185"/>
      <c r="O371" s="185"/>
      <c r="P371" s="185"/>
      <c r="Q371" s="185"/>
    </row>
    <row r="372" spans="13:17" x14ac:dyDescent="0.2">
      <c r="M372" s="185"/>
      <c r="N372" s="185"/>
      <c r="O372" s="185"/>
      <c r="P372" s="185"/>
      <c r="Q372" s="185"/>
    </row>
    <row r="373" spans="13:17" x14ac:dyDescent="0.2">
      <c r="M373" s="185"/>
      <c r="N373" s="185"/>
      <c r="O373" s="185"/>
      <c r="P373" s="185"/>
      <c r="Q373" s="185"/>
    </row>
    <row r="374" spans="13:17" x14ac:dyDescent="0.2">
      <c r="M374" s="185"/>
      <c r="N374" s="185"/>
      <c r="O374" s="185"/>
      <c r="P374" s="185"/>
      <c r="Q374" s="185"/>
    </row>
    <row r="375" spans="13:17" x14ac:dyDescent="0.2">
      <c r="M375" s="185"/>
      <c r="N375" s="185"/>
      <c r="O375" s="185"/>
      <c r="P375" s="185"/>
      <c r="Q375" s="185"/>
    </row>
    <row r="376" spans="13:17" x14ac:dyDescent="0.2">
      <c r="M376" s="185"/>
      <c r="N376" s="185"/>
      <c r="O376" s="185"/>
      <c r="P376" s="185"/>
      <c r="Q376" s="185"/>
    </row>
    <row r="377" spans="13:17" x14ac:dyDescent="0.2">
      <c r="M377" s="185"/>
      <c r="N377" s="185"/>
      <c r="O377" s="185"/>
      <c r="P377" s="185"/>
      <c r="Q377" s="185"/>
    </row>
    <row r="378" spans="13:17" x14ac:dyDescent="0.2">
      <c r="M378" s="185"/>
      <c r="N378" s="185"/>
      <c r="O378" s="185"/>
      <c r="P378" s="185"/>
      <c r="Q378" s="185"/>
    </row>
    <row r="379" spans="13:17" x14ac:dyDescent="0.2">
      <c r="M379" s="185"/>
      <c r="N379" s="185"/>
      <c r="O379" s="185"/>
      <c r="P379" s="185"/>
      <c r="Q379" s="185"/>
    </row>
    <row r="380" spans="13:17" x14ac:dyDescent="0.2">
      <c r="M380" s="185"/>
      <c r="N380" s="185"/>
      <c r="O380" s="185"/>
      <c r="P380" s="185"/>
      <c r="Q380" s="185"/>
    </row>
    <row r="381" spans="13:17" x14ac:dyDescent="0.2">
      <c r="M381" s="185"/>
      <c r="N381" s="185"/>
      <c r="O381" s="185"/>
      <c r="P381" s="185"/>
      <c r="Q381" s="185"/>
    </row>
    <row r="382" spans="13:17" x14ac:dyDescent="0.2">
      <c r="M382" s="185"/>
      <c r="N382" s="185"/>
      <c r="O382" s="185"/>
      <c r="P382" s="185"/>
      <c r="Q382" s="185"/>
    </row>
    <row r="383" spans="13:17" x14ac:dyDescent="0.2">
      <c r="M383" s="185"/>
      <c r="N383" s="185"/>
      <c r="O383" s="185"/>
      <c r="P383" s="185"/>
      <c r="Q383" s="185"/>
    </row>
    <row r="384" spans="13:17" x14ac:dyDescent="0.2">
      <c r="M384" s="185"/>
      <c r="N384" s="185"/>
      <c r="O384" s="185"/>
      <c r="P384" s="185"/>
      <c r="Q384" s="185"/>
    </row>
    <row r="385" spans="13:17" x14ac:dyDescent="0.2">
      <c r="M385" s="185"/>
      <c r="N385" s="185"/>
      <c r="O385" s="185"/>
      <c r="P385" s="185"/>
      <c r="Q385" s="185"/>
    </row>
    <row r="386" spans="13:17" x14ac:dyDescent="0.2">
      <c r="M386" s="185"/>
      <c r="N386" s="185"/>
      <c r="O386" s="185"/>
      <c r="P386" s="185"/>
      <c r="Q386" s="185"/>
    </row>
    <row r="387" spans="13:17" x14ac:dyDescent="0.2">
      <c r="M387" s="185"/>
      <c r="N387" s="185"/>
      <c r="O387" s="185"/>
      <c r="P387" s="185"/>
      <c r="Q387" s="185"/>
    </row>
    <row r="388" spans="13:17" x14ac:dyDescent="0.2">
      <c r="M388" s="185"/>
      <c r="N388" s="185"/>
      <c r="O388" s="185"/>
      <c r="P388" s="185"/>
      <c r="Q388" s="185"/>
    </row>
    <row r="389" spans="13:17" x14ac:dyDescent="0.2">
      <c r="M389" s="185"/>
      <c r="N389" s="185"/>
      <c r="O389" s="185"/>
      <c r="P389" s="185"/>
      <c r="Q389" s="185"/>
    </row>
    <row r="390" spans="13:17" x14ac:dyDescent="0.2">
      <c r="M390" s="185"/>
      <c r="N390" s="185"/>
      <c r="O390" s="185"/>
      <c r="P390" s="185"/>
      <c r="Q390" s="185"/>
    </row>
    <row r="391" spans="13:17" x14ac:dyDescent="0.2">
      <c r="M391" s="185"/>
      <c r="N391" s="185"/>
      <c r="O391" s="185"/>
      <c r="P391" s="185"/>
      <c r="Q391" s="185"/>
    </row>
    <row r="392" spans="13:17" x14ac:dyDescent="0.2">
      <c r="M392" s="185"/>
      <c r="N392" s="185"/>
      <c r="O392" s="185"/>
      <c r="P392" s="185"/>
      <c r="Q392" s="185"/>
    </row>
    <row r="393" spans="13:17" x14ac:dyDescent="0.2">
      <c r="M393" s="185"/>
      <c r="N393" s="185"/>
      <c r="O393" s="185"/>
      <c r="P393" s="185"/>
      <c r="Q393" s="185"/>
    </row>
    <row r="394" spans="13:17" x14ac:dyDescent="0.2">
      <c r="M394" s="185"/>
      <c r="N394" s="185"/>
      <c r="O394" s="185"/>
      <c r="P394" s="185"/>
      <c r="Q394" s="185"/>
    </row>
    <row r="395" spans="13:17" x14ac:dyDescent="0.2">
      <c r="M395" s="185"/>
      <c r="N395" s="185"/>
      <c r="O395" s="185"/>
      <c r="P395" s="185"/>
      <c r="Q395" s="185"/>
    </row>
    <row r="396" spans="13:17" x14ac:dyDescent="0.2">
      <c r="M396" s="185"/>
      <c r="N396" s="185"/>
      <c r="O396" s="185"/>
      <c r="P396" s="185"/>
      <c r="Q396" s="185"/>
    </row>
    <row r="397" spans="13:17" x14ac:dyDescent="0.2">
      <c r="M397" s="185"/>
      <c r="N397" s="185"/>
      <c r="O397" s="185"/>
      <c r="P397" s="185"/>
      <c r="Q397" s="185"/>
    </row>
    <row r="398" spans="13:17" x14ac:dyDescent="0.2">
      <c r="M398" s="185"/>
      <c r="N398" s="185"/>
      <c r="O398" s="185"/>
      <c r="P398" s="185"/>
      <c r="Q398" s="185"/>
    </row>
    <row r="399" spans="13:17" x14ac:dyDescent="0.2">
      <c r="M399" s="185"/>
      <c r="N399" s="185"/>
      <c r="O399" s="185"/>
      <c r="P399" s="185"/>
      <c r="Q399" s="185"/>
    </row>
    <row r="400" spans="13:17" x14ac:dyDescent="0.2">
      <c r="M400" s="185"/>
      <c r="N400" s="185"/>
      <c r="O400" s="185"/>
      <c r="P400" s="185"/>
      <c r="Q400" s="185"/>
    </row>
    <row r="401" spans="13:17" x14ac:dyDescent="0.2">
      <c r="M401" s="185"/>
      <c r="N401" s="185"/>
      <c r="O401" s="185"/>
      <c r="P401" s="185"/>
      <c r="Q401" s="185"/>
    </row>
    <row r="402" spans="13:17" x14ac:dyDescent="0.2">
      <c r="M402" s="185"/>
      <c r="N402" s="185"/>
      <c r="O402" s="185"/>
      <c r="P402" s="185"/>
      <c r="Q402" s="185"/>
    </row>
    <row r="403" spans="13:17" x14ac:dyDescent="0.2">
      <c r="M403" s="185"/>
      <c r="N403" s="185"/>
      <c r="O403" s="185"/>
      <c r="P403" s="185"/>
      <c r="Q403" s="185"/>
    </row>
    <row r="404" spans="13:17" x14ac:dyDescent="0.2">
      <c r="M404" s="185"/>
      <c r="N404" s="185"/>
      <c r="O404" s="185"/>
      <c r="P404" s="185"/>
      <c r="Q404" s="185"/>
    </row>
    <row r="405" spans="13:17" x14ac:dyDescent="0.2">
      <c r="M405" s="185"/>
      <c r="N405" s="185"/>
      <c r="O405" s="185"/>
      <c r="P405" s="185"/>
      <c r="Q405" s="185"/>
    </row>
    <row r="406" spans="13:17" x14ac:dyDescent="0.2">
      <c r="M406" s="185"/>
      <c r="N406" s="185"/>
      <c r="O406" s="185"/>
      <c r="P406" s="185"/>
      <c r="Q406" s="185"/>
    </row>
    <row r="407" spans="13:17" x14ac:dyDescent="0.2">
      <c r="M407" s="185"/>
      <c r="N407" s="185"/>
      <c r="O407" s="185"/>
      <c r="P407" s="185"/>
      <c r="Q407" s="185"/>
    </row>
    <row r="408" spans="13:17" x14ac:dyDescent="0.2">
      <c r="M408" s="185"/>
      <c r="N408" s="185"/>
      <c r="O408" s="185"/>
      <c r="P408" s="185"/>
      <c r="Q408" s="185"/>
    </row>
    <row r="409" spans="13:17" x14ac:dyDescent="0.2">
      <c r="M409" s="185"/>
      <c r="N409" s="185"/>
      <c r="O409" s="185"/>
      <c r="P409" s="185"/>
      <c r="Q409" s="185"/>
    </row>
    <row r="410" spans="13:17" x14ac:dyDescent="0.2">
      <c r="M410" s="185"/>
      <c r="N410" s="185"/>
      <c r="O410" s="185"/>
      <c r="P410" s="185"/>
      <c r="Q410" s="185"/>
    </row>
    <row r="411" spans="13:17" x14ac:dyDescent="0.2">
      <c r="M411" s="185"/>
      <c r="N411" s="185"/>
      <c r="O411" s="185"/>
      <c r="P411" s="185"/>
      <c r="Q411" s="185"/>
    </row>
    <row r="412" spans="13:17" x14ac:dyDescent="0.2">
      <c r="M412" s="185"/>
      <c r="N412" s="185"/>
      <c r="O412" s="185"/>
      <c r="P412" s="185"/>
      <c r="Q412" s="185"/>
    </row>
    <row r="413" spans="13:17" x14ac:dyDescent="0.2">
      <c r="M413" s="185"/>
      <c r="N413" s="185"/>
      <c r="O413" s="185"/>
      <c r="P413" s="185"/>
      <c r="Q413" s="185"/>
    </row>
    <row r="414" spans="13:17" x14ac:dyDescent="0.2">
      <c r="M414" s="185"/>
      <c r="N414" s="185"/>
      <c r="O414" s="185"/>
      <c r="P414" s="185"/>
      <c r="Q414" s="185"/>
    </row>
    <row r="415" spans="13:17" x14ac:dyDescent="0.2">
      <c r="M415" s="185"/>
      <c r="N415" s="185"/>
      <c r="O415" s="185"/>
      <c r="P415" s="185"/>
      <c r="Q415" s="185"/>
    </row>
    <row r="416" spans="13:17" x14ac:dyDescent="0.2">
      <c r="M416" s="185"/>
      <c r="N416" s="185"/>
      <c r="O416" s="185"/>
      <c r="P416" s="185"/>
      <c r="Q416" s="185"/>
    </row>
    <row r="417" spans="13:17" x14ac:dyDescent="0.2">
      <c r="M417" s="185"/>
      <c r="N417" s="185"/>
      <c r="O417" s="185"/>
      <c r="P417" s="185"/>
      <c r="Q417" s="185"/>
    </row>
    <row r="418" spans="13:17" x14ac:dyDescent="0.2">
      <c r="M418" s="185"/>
      <c r="N418" s="185"/>
      <c r="O418" s="185"/>
      <c r="P418" s="185"/>
      <c r="Q418" s="185"/>
    </row>
    <row r="419" spans="13:17" x14ac:dyDescent="0.2">
      <c r="M419" s="185"/>
      <c r="N419" s="185"/>
      <c r="O419" s="185"/>
      <c r="P419" s="185"/>
      <c r="Q419" s="185"/>
    </row>
    <row r="420" spans="13:17" x14ac:dyDescent="0.2">
      <c r="M420" s="185"/>
      <c r="N420" s="185"/>
      <c r="O420" s="185"/>
      <c r="P420" s="185"/>
      <c r="Q420" s="185"/>
    </row>
    <row r="421" spans="13:17" x14ac:dyDescent="0.2">
      <c r="M421" s="185"/>
      <c r="N421" s="185"/>
      <c r="O421" s="185"/>
      <c r="P421" s="185"/>
      <c r="Q421" s="185"/>
    </row>
    <row r="422" spans="13:17" x14ac:dyDescent="0.2">
      <c r="M422" s="185"/>
      <c r="N422" s="185"/>
      <c r="O422" s="185"/>
      <c r="P422" s="185"/>
      <c r="Q422" s="185"/>
    </row>
    <row r="423" spans="13:17" x14ac:dyDescent="0.2">
      <c r="M423" s="185"/>
      <c r="N423" s="185"/>
      <c r="O423" s="185"/>
      <c r="P423" s="185"/>
      <c r="Q423" s="185"/>
    </row>
    <row r="424" spans="13:17" x14ac:dyDescent="0.2">
      <c r="M424" s="185"/>
      <c r="N424" s="185"/>
      <c r="O424" s="185"/>
      <c r="P424" s="185"/>
      <c r="Q424" s="185"/>
    </row>
    <row r="425" spans="13:17" x14ac:dyDescent="0.2">
      <c r="M425" s="185"/>
      <c r="N425" s="185"/>
      <c r="O425" s="185"/>
      <c r="P425" s="185"/>
      <c r="Q425" s="185"/>
    </row>
    <row r="426" spans="13:17" x14ac:dyDescent="0.2">
      <c r="M426" s="185"/>
      <c r="N426" s="185"/>
      <c r="O426" s="185"/>
      <c r="P426" s="185"/>
      <c r="Q426" s="185"/>
    </row>
    <row r="427" spans="13:17" x14ac:dyDescent="0.2">
      <c r="M427" s="185"/>
      <c r="N427" s="185"/>
      <c r="O427" s="185"/>
      <c r="P427" s="185"/>
      <c r="Q427" s="185"/>
    </row>
    <row r="428" spans="13:17" x14ac:dyDescent="0.2">
      <c r="M428" s="185"/>
      <c r="N428" s="185"/>
      <c r="O428" s="185"/>
      <c r="P428" s="185"/>
      <c r="Q428" s="185"/>
    </row>
    <row r="429" spans="13:17" x14ac:dyDescent="0.2">
      <c r="M429" s="185"/>
      <c r="N429" s="185"/>
      <c r="O429" s="185"/>
      <c r="P429" s="185"/>
      <c r="Q429" s="185"/>
    </row>
    <row r="430" spans="13:17" x14ac:dyDescent="0.2">
      <c r="M430" s="185"/>
      <c r="N430" s="185"/>
      <c r="O430" s="185"/>
      <c r="P430" s="185"/>
      <c r="Q430" s="185"/>
    </row>
    <row r="431" spans="13:17" x14ac:dyDescent="0.2">
      <c r="M431" s="185"/>
      <c r="N431" s="185"/>
      <c r="O431" s="185"/>
      <c r="P431" s="185"/>
      <c r="Q431" s="185"/>
    </row>
    <row r="432" spans="13:17" x14ac:dyDescent="0.2">
      <c r="M432" s="185"/>
      <c r="N432" s="185"/>
      <c r="O432" s="185"/>
      <c r="P432" s="185"/>
      <c r="Q432" s="185"/>
    </row>
    <row r="433" spans="13:17" x14ac:dyDescent="0.2">
      <c r="M433" s="185"/>
      <c r="N433" s="185"/>
      <c r="O433" s="185"/>
      <c r="P433" s="185"/>
      <c r="Q433" s="185"/>
    </row>
    <row r="434" spans="13:17" x14ac:dyDescent="0.2">
      <c r="M434" s="185"/>
      <c r="N434" s="185"/>
      <c r="O434" s="185"/>
      <c r="P434" s="185"/>
      <c r="Q434" s="185"/>
    </row>
    <row r="435" spans="13:17" x14ac:dyDescent="0.2">
      <c r="M435" s="185"/>
      <c r="N435" s="185"/>
      <c r="O435" s="185"/>
      <c r="P435" s="185"/>
      <c r="Q435" s="185"/>
    </row>
    <row r="436" spans="13:17" x14ac:dyDescent="0.2">
      <c r="M436" s="185"/>
      <c r="N436" s="185"/>
      <c r="O436" s="185"/>
      <c r="P436" s="185"/>
      <c r="Q436" s="185"/>
    </row>
    <row r="437" spans="13:17" x14ac:dyDescent="0.2">
      <c r="M437" s="185"/>
      <c r="N437" s="185"/>
      <c r="O437" s="185"/>
      <c r="P437" s="185"/>
      <c r="Q437" s="185"/>
    </row>
    <row r="438" spans="13:17" x14ac:dyDescent="0.2">
      <c r="M438" s="185"/>
      <c r="N438" s="185"/>
      <c r="O438" s="185"/>
      <c r="P438" s="185"/>
      <c r="Q438" s="185"/>
    </row>
    <row r="439" spans="13:17" x14ac:dyDescent="0.2">
      <c r="M439" s="185"/>
      <c r="N439" s="185"/>
      <c r="O439" s="185"/>
      <c r="P439" s="185"/>
      <c r="Q439" s="185"/>
    </row>
    <row r="440" spans="13:17" x14ac:dyDescent="0.2">
      <c r="M440" s="185"/>
      <c r="N440" s="185"/>
      <c r="O440" s="185"/>
      <c r="P440" s="185"/>
      <c r="Q440" s="185"/>
    </row>
    <row r="441" spans="13:17" x14ac:dyDescent="0.2">
      <c r="M441" s="185"/>
      <c r="N441" s="185"/>
      <c r="O441" s="185"/>
      <c r="P441" s="185"/>
      <c r="Q441" s="185"/>
    </row>
    <row r="442" spans="13:17" x14ac:dyDescent="0.2">
      <c r="M442" s="185"/>
      <c r="N442" s="185"/>
      <c r="O442" s="185"/>
      <c r="P442" s="185"/>
      <c r="Q442" s="185"/>
    </row>
    <row r="443" spans="13:17" x14ac:dyDescent="0.2">
      <c r="M443" s="185"/>
      <c r="N443" s="185"/>
      <c r="O443" s="185"/>
      <c r="P443" s="185"/>
      <c r="Q443" s="185"/>
    </row>
    <row r="444" spans="13:17" x14ac:dyDescent="0.2">
      <c r="M444" s="185"/>
      <c r="N444" s="185"/>
      <c r="O444" s="185"/>
      <c r="P444" s="185"/>
      <c r="Q444" s="185"/>
    </row>
    <row r="445" spans="13:17" x14ac:dyDescent="0.2">
      <c r="M445" s="185"/>
      <c r="N445" s="185"/>
      <c r="O445" s="185"/>
      <c r="P445" s="185"/>
      <c r="Q445" s="185"/>
    </row>
    <row r="446" spans="13:17" x14ac:dyDescent="0.2">
      <c r="M446" s="185"/>
      <c r="N446" s="185"/>
      <c r="O446" s="185"/>
      <c r="P446" s="185"/>
      <c r="Q446" s="185"/>
    </row>
    <row r="447" spans="13:17" x14ac:dyDescent="0.2">
      <c r="M447" s="185"/>
      <c r="N447" s="185"/>
      <c r="O447" s="185"/>
      <c r="P447" s="185"/>
      <c r="Q447" s="185"/>
    </row>
    <row r="448" spans="13:17" x14ac:dyDescent="0.2">
      <c r="M448" s="185"/>
      <c r="N448" s="185"/>
      <c r="O448" s="185"/>
      <c r="P448" s="185"/>
      <c r="Q448" s="185"/>
    </row>
    <row r="449" spans="13:17" x14ac:dyDescent="0.2">
      <c r="M449" s="185"/>
      <c r="N449" s="185"/>
      <c r="O449" s="185"/>
      <c r="P449" s="185"/>
      <c r="Q449" s="185"/>
    </row>
    <row r="450" spans="13:17" x14ac:dyDescent="0.2">
      <c r="M450" s="185"/>
      <c r="N450" s="185"/>
      <c r="O450" s="185"/>
      <c r="P450" s="185"/>
      <c r="Q450" s="185"/>
    </row>
    <row r="451" spans="13:17" x14ac:dyDescent="0.2">
      <c r="M451" s="185"/>
      <c r="N451" s="185"/>
      <c r="O451" s="185"/>
      <c r="P451" s="185"/>
      <c r="Q451" s="185"/>
    </row>
    <row r="452" spans="13:17" x14ac:dyDescent="0.2">
      <c r="M452" s="185"/>
      <c r="N452" s="185"/>
      <c r="O452" s="185"/>
      <c r="P452" s="185"/>
      <c r="Q452" s="185"/>
    </row>
    <row r="453" spans="13:17" x14ac:dyDescent="0.2">
      <c r="M453" s="185"/>
      <c r="N453" s="185"/>
      <c r="O453" s="185"/>
      <c r="P453" s="185"/>
      <c r="Q453" s="185"/>
    </row>
    <row r="454" spans="13:17" x14ac:dyDescent="0.2">
      <c r="M454" s="185"/>
      <c r="N454" s="185"/>
      <c r="O454" s="185"/>
      <c r="P454" s="185"/>
      <c r="Q454" s="185"/>
    </row>
    <row r="455" spans="13:17" x14ac:dyDescent="0.2">
      <c r="M455" s="185"/>
      <c r="N455" s="185"/>
      <c r="O455" s="185"/>
      <c r="P455" s="185"/>
      <c r="Q455" s="185"/>
    </row>
    <row r="456" spans="13:17" x14ac:dyDescent="0.2">
      <c r="M456" s="185"/>
      <c r="N456" s="185"/>
      <c r="O456" s="185"/>
      <c r="P456" s="185"/>
      <c r="Q456" s="185"/>
    </row>
    <row r="457" spans="13:17" x14ac:dyDescent="0.2">
      <c r="M457" s="185"/>
      <c r="N457" s="185"/>
      <c r="O457" s="185"/>
      <c r="P457" s="185"/>
      <c r="Q457" s="185"/>
    </row>
    <row r="458" spans="13:17" x14ac:dyDescent="0.2">
      <c r="M458" s="185"/>
      <c r="N458" s="185"/>
      <c r="O458" s="185"/>
      <c r="P458" s="185"/>
      <c r="Q458" s="185"/>
    </row>
    <row r="459" spans="13:17" x14ac:dyDescent="0.2">
      <c r="M459" s="185"/>
      <c r="N459" s="185"/>
      <c r="O459" s="185"/>
      <c r="P459" s="185"/>
      <c r="Q459" s="185"/>
    </row>
    <row r="460" spans="13:17" x14ac:dyDescent="0.2">
      <c r="M460" s="185"/>
      <c r="N460" s="185"/>
      <c r="O460" s="185"/>
      <c r="P460" s="185"/>
      <c r="Q460" s="185"/>
    </row>
    <row r="461" spans="13:17" x14ac:dyDescent="0.2">
      <c r="M461" s="185"/>
      <c r="N461" s="185"/>
      <c r="O461" s="185"/>
      <c r="P461" s="185"/>
      <c r="Q461" s="185"/>
    </row>
    <row r="462" spans="13:17" x14ac:dyDescent="0.2">
      <c r="M462" s="185"/>
      <c r="N462" s="185"/>
      <c r="O462" s="185"/>
      <c r="P462" s="185"/>
      <c r="Q462" s="185"/>
    </row>
    <row r="463" spans="13:17" x14ac:dyDescent="0.2">
      <c r="M463" s="185"/>
      <c r="N463" s="185"/>
      <c r="O463" s="185"/>
      <c r="P463" s="185"/>
      <c r="Q463" s="185"/>
    </row>
  </sheetData>
  <dataValidations count="2">
    <dataValidation type="list" allowBlank="1" showInputMessage="1" showErrorMessage="1" sqref="D5:D8">
      <formula1>$BU$8:$BU$12</formula1>
    </dataValidation>
    <dataValidation type="list" allowBlank="1" showInputMessage="1" showErrorMessage="1" sqref="F5:G8">
      <formula1>#REF!</formula1>
    </dataValidation>
  </dataValidations>
  <pageMargins left="0.7" right="0.7" top="0.75" bottom="0.75" header="0.3" footer="0.3"/>
  <pageSetup paperSize="9" scale="46"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Z401"/>
  <sheetViews>
    <sheetView topLeftCell="I1" zoomScale="80" zoomScaleNormal="80" workbookViewId="0">
      <pane ySplit="5" topLeftCell="A6" activePane="bottomLeft" state="frozen"/>
      <selection activeCell="L1" sqref="L1"/>
      <selection pane="bottomLeft" activeCell="T5" sqref="T5"/>
    </sheetView>
  </sheetViews>
  <sheetFormatPr defaultColWidth="9.140625" defaultRowHeight="15" x14ac:dyDescent="0.25"/>
  <cols>
    <col min="1" max="1" width="9.140625" style="43"/>
    <col min="2" max="2" width="16.7109375" style="43" customWidth="1"/>
    <col min="3" max="3" width="24" style="43" customWidth="1"/>
    <col min="4" max="4" width="15.28515625" style="43" customWidth="1"/>
    <col min="5" max="5" width="16.5703125" style="43" customWidth="1"/>
    <col min="6" max="6" width="18.140625" style="43" customWidth="1"/>
    <col min="7" max="7" width="13.85546875" style="43" customWidth="1"/>
    <col min="8" max="8" width="14.28515625" style="43" customWidth="1"/>
    <col min="9" max="9" width="11" style="43" customWidth="1"/>
    <col min="10" max="10" width="23.140625" style="43" customWidth="1"/>
    <col min="11" max="11" width="16.85546875" style="43" customWidth="1"/>
    <col min="12" max="12" width="16.42578125" style="43" customWidth="1"/>
    <col min="13" max="13" width="23" style="43" customWidth="1"/>
    <col min="14" max="14" width="16.42578125" style="43" customWidth="1"/>
    <col min="15" max="15" width="41.85546875" style="43" customWidth="1"/>
    <col min="16" max="16" width="13.28515625" style="43" customWidth="1"/>
    <col min="17" max="17" width="13.5703125" style="43" customWidth="1"/>
    <col min="18" max="18" width="14" style="43" customWidth="1"/>
    <col min="19" max="24" width="10.5703125" style="43" customWidth="1"/>
    <col min="25" max="25" width="77.5703125" style="393" customWidth="1"/>
    <col min="26" max="26" width="40.140625" style="43" customWidth="1"/>
    <col min="27" max="30" width="10.5703125" style="43" customWidth="1"/>
    <col min="31" max="16384" width="9.140625" style="43"/>
  </cols>
  <sheetData>
    <row r="1" spans="1:26" ht="26.25" customHeight="1" x14ac:dyDescent="0.25">
      <c r="A1" s="44" t="s">
        <v>205</v>
      </c>
    </row>
    <row r="2" spans="1:26" x14ac:dyDescent="0.25">
      <c r="X2" s="41" t="s">
        <v>56</v>
      </c>
      <c r="Y2" s="395" t="s">
        <v>1484</v>
      </c>
    </row>
    <row r="3" spans="1:26" ht="15.75" thickBot="1" x14ac:dyDescent="0.3">
      <c r="X3" s="49" t="s">
        <v>55</v>
      </c>
      <c r="Y3" s="396">
        <v>2020</v>
      </c>
    </row>
    <row r="4" spans="1:26" ht="15.75" thickBot="1" x14ac:dyDescent="0.3">
      <c r="A4" s="114"/>
      <c r="B4" s="114"/>
      <c r="C4" s="114"/>
      <c r="D4" s="114"/>
      <c r="E4" s="114"/>
      <c r="F4" s="114"/>
      <c r="G4" s="114"/>
      <c r="H4" s="114"/>
      <c r="I4" s="114"/>
      <c r="J4" s="114"/>
      <c r="K4" s="114"/>
      <c r="L4" s="114"/>
      <c r="M4" s="114"/>
      <c r="N4" s="114"/>
      <c r="O4" s="115"/>
      <c r="P4" s="849" t="s">
        <v>197</v>
      </c>
      <c r="Q4" s="850"/>
      <c r="R4" s="851"/>
      <c r="S4" s="852" t="s">
        <v>256</v>
      </c>
      <c r="T4" s="852"/>
      <c r="U4" s="852"/>
      <c r="V4" s="852"/>
      <c r="W4" s="852"/>
      <c r="X4" s="852"/>
      <c r="Y4" s="853"/>
    </row>
    <row r="5" spans="1:26" ht="113.25" customHeight="1" thickBot="1" x14ac:dyDescent="0.3">
      <c r="A5" s="190" t="s">
        <v>0</v>
      </c>
      <c r="B5" s="117" t="s">
        <v>10</v>
      </c>
      <c r="C5" s="116" t="s">
        <v>1</v>
      </c>
      <c r="D5" s="117" t="s">
        <v>5</v>
      </c>
      <c r="E5" s="117" t="s">
        <v>169</v>
      </c>
      <c r="F5" s="117" t="s">
        <v>170</v>
      </c>
      <c r="G5" s="117" t="s">
        <v>198</v>
      </c>
      <c r="H5" s="116" t="s">
        <v>199</v>
      </c>
      <c r="I5" s="118" t="s">
        <v>200</v>
      </c>
      <c r="J5" s="118" t="s">
        <v>201</v>
      </c>
      <c r="K5" s="119" t="s">
        <v>202</v>
      </c>
      <c r="L5" s="120" t="s">
        <v>58</v>
      </c>
      <c r="M5" s="117" t="s">
        <v>203</v>
      </c>
      <c r="N5" s="119" t="s">
        <v>174</v>
      </c>
      <c r="O5" s="119" t="s">
        <v>4</v>
      </c>
      <c r="P5" s="162" t="s">
        <v>262</v>
      </c>
      <c r="Q5" s="162" t="s">
        <v>263</v>
      </c>
      <c r="R5" s="170" t="s">
        <v>257</v>
      </c>
      <c r="S5" s="162" t="s">
        <v>206</v>
      </c>
      <c r="T5" s="162" t="s">
        <v>204</v>
      </c>
      <c r="U5" s="162" t="s">
        <v>258</v>
      </c>
      <c r="V5" s="162" t="s">
        <v>259</v>
      </c>
      <c r="W5" s="162" t="s">
        <v>272</v>
      </c>
      <c r="X5" s="162" t="s">
        <v>273</v>
      </c>
      <c r="Y5" s="397" t="s">
        <v>261</v>
      </c>
    </row>
    <row r="6" spans="1:26" ht="39" x14ac:dyDescent="0.25">
      <c r="A6" s="568" t="s">
        <v>276</v>
      </c>
      <c r="B6" s="568" t="s">
        <v>276</v>
      </c>
      <c r="C6" s="569" t="s">
        <v>362</v>
      </c>
      <c r="D6" s="568" t="s">
        <v>74</v>
      </c>
      <c r="E6" s="569" t="s">
        <v>893</v>
      </c>
      <c r="F6" s="548" t="s">
        <v>899</v>
      </c>
      <c r="G6" s="660" t="s">
        <v>900</v>
      </c>
      <c r="H6" s="548" t="s">
        <v>895</v>
      </c>
      <c r="I6" s="569" t="s">
        <v>896</v>
      </c>
      <c r="J6" s="569" t="s">
        <v>897</v>
      </c>
      <c r="K6" s="568" t="s">
        <v>898</v>
      </c>
      <c r="L6" s="568" t="s">
        <v>292</v>
      </c>
      <c r="M6" s="568">
        <v>188</v>
      </c>
      <c r="N6" s="568">
        <v>9</v>
      </c>
      <c r="O6" s="569" t="s">
        <v>901</v>
      </c>
      <c r="P6" s="171">
        <v>268</v>
      </c>
      <c r="Q6" s="171">
        <v>4</v>
      </c>
      <c r="R6" s="657">
        <f t="shared" ref="R6:R31" si="0">Q6/N6</f>
        <v>0.44444444444444442</v>
      </c>
      <c r="S6" s="171">
        <v>41</v>
      </c>
      <c r="T6" s="171">
        <v>2</v>
      </c>
      <c r="U6" s="171">
        <v>268</v>
      </c>
      <c r="V6" s="171">
        <v>2</v>
      </c>
      <c r="W6" s="171">
        <v>3</v>
      </c>
      <c r="X6" s="171">
        <v>509</v>
      </c>
      <c r="Y6" s="406" t="s">
        <v>1849</v>
      </c>
    </row>
    <row r="7" spans="1:26" ht="39" x14ac:dyDescent="0.25">
      <c r="A7" s="568" t="s">
        <v>276</v>
      </c>
      <c r="B7" s="568" t="s">
        <v>276</v>
      </c>
      <c r="C7" s="569" t="s">
        <v>362</v>
      </c>
      <c r="D7" s="568" t="s">
        <v>74</v>
      </c>
      <c r="E7" s="569" t="s">
        <v>893</v>
      </c>
      <c r="F7" s="548" t="s">
        <v>902</v>
      </c>
      <c r="G7" s="568" t="s">
        <v>903</v>
      </c>
      <c r="H7" s="548" t="s">
        <v>904</v>
      </c>
      <c r="I7" s="569" t="s">
        <v>896</v>
      </c>
      <c r="J7" s="569" t="s">
        <v>897</v>
      </c>
      <c r="K7" s="568" t="s">
        <v>898</v>
      </c>
      <c r="L7" s="568" t="s">
        <v>292</v>
      </c>
      <c r="M7" s="568">
        <v>5217</v>
      </c>
      <c r="N7" s="568">
        <v>10</v>
      </c>
      <c r="O7" s="569" t="s">
        <v>905</v>
      </c>
      <c r="P7" s="601">
        <v>1407</v>
      </c>
      <c r="Q7" s="601">
        <v>11</v>
      </c>
      <c r="R7" s="657">
        <f t="shared" si="0"/>
        <v>1.1000000000000001</v>
      </c>
      <c r="S7" s="601">
        <v>23</v>
      </c>
      <c r="T7" s="601">
        <v>4</v>
      </c>
      <c r="U7" s="601">
        <v>1407</v>
      </c>
      <c r="V7" s="601">
        <v>11</v>
      </c>
      <c r="W7" s="601">
        <v>4</v>
      </c>
      <c r="X7" s="601">
        <v>3232</v>
      </c>
      <c r="Y7" s="293"/>
      <c r="Z7" s="291"/>
    </row>
    <row r="8" spans="1:26" ht="48.75" customHeight="1" x14ac:dyDescent="0.25">
      <c r="A8" s="568" t="s">
        <v>276</v>
      </c>
      <c r="B8" s="568" t="s">
        <v>911</v>
      </c>
      <c r="C8" s="569" t="s">
        <v>362</v>
      </c>
      <c r="D8" s="568" t="s">
        <v>74</v>
      </c>
      <c r="E8" s="569" t="s">
        <v>893</v>
      </c>
      <c r="F8" s="548" t="s">
        <v>906</v>
      </c>
      <c r="G8" s="568" t="s">
        <v>912</v>
      </c>
      <c r="H8" s="548" t="s">
        <v>908</v>
      </c>
      <c r="I8" s="568" t="s">
        <v>909</v>
      </c>
      <c r="J8" s="569" t="s">
        <v>910</v>
      </c>
      <c r="K8" s="568" t="s">
        <v>898</v>
      </c>
      <c r="L8" s="568" t="s">
        <v>292</v>
      </c>
      <c r="M8" s="568">
        <v>76</v>
      </c>
      <c r="N8" s="568">
        <v>30</v>
      </c>
      <c r="O8" s="569" t="s">
        <v>913</v>
      </c>
      <c r="P8" s="292">
        <v>336</v>
      </c>
      <c r="Q8" s="292">
        <v>121</v>
      </c>
      <c r="R8" s="657">
        <f t="shared" si="0"/>
        <v>4.0333333333333332</v>
      </c>
      <c r="S8" s="292">
        <v>55</v>
      </c>
      <c r="T8" s="292">
        <v>54</v>
      </c>
      <c r="U8" s="292">
        <v>336</v>
      </c>
      <c r="V8" s="292">
        <v>95</v>
      </c>
      <c r="W8" s="292">
        <v>5</v>
      </c>
      <c r="X8" s="292">
        <v>26306</v>
      </c>
      <c r="Y8" s="293"/>
    </row>
    <row r="9" spans="1:26" ht="39" x14ac:dyDescent="0.25">
      <c r="A9" s="568" t="s">
        <v>276</v>
      </c>
      <c r="B9" s="568" t="s">
        <v>645</v>
      </c>
      <c r="C9" s="569" t="s">
        <v>362</v>
      </c>
      <c r="D9" s="568" t="s">
        <v>74</v>
      </c>
      <c r="E9" s="569" t="s">
        <v>893</v>
      </c>
      <c r="F9" s="548" t="s">
        <v>906</v>
      </c>
      <c r="G9" s="660" t="s">
        <v>914</v>
      </c>
      <c r="H9" s="548" t="s">
        <v>908</v>
      </c>
      <c r="I9" s="568" t="s">
        <v>909</v>
      </c>
      <c r="J9" s="569" t="s">
        <v>910</v>
      </c>
      <c r="K9" s="568" t="s">
        <v>898</v>
      </c>
      <c r="L9" s="568" t="s">
        <v>292</v>
      </c>
      <c r="M9" s="568">
        <v>714</v>
      </c>
      <c r="N9" s="568">
        <v>5</v>
      </c>
      <c r="O9" s="569" t="s">
        <v>915</v>
      </c>
      <c r="P9" s="601">
        <v>1407</v>
      </c>
      <c r="Q9" s="601">
        <v>0</v>
      </c>
      <c r="R9" s="657">
        <f t="shared" si="0"/>
        <v>0</v>
      </c>
      <c r="S9" s="601">
        <v>23</v>
      </c>
      <c r="T9" s="601">
        <v>0</v>
      </c>
      <c r="U9" s="601">
        <v>1407</v>
      </c>
      <c r="V9" s="601">
        <v>0</v>
      </c>
      <c r="W9" s="601">
        <v>0</v>
      </c>
      <c r="X9" s="601">
        <v>0</v>
      </c>
      <c r="Y9" s="659" t="s">
        <v>1848</v>
      </c>
    </row>
    <row r="10" spans="1:26" ht="39" x14ac:dyDescent="0.25">
      <c r="A10" s="568" t="s">
        <v>276</v>
      </c>
      <c r="B10" s="568" t="s">
        <v>645</v>
      </c>
      <c r="C10" s="569" t="s">
        <v>362</v>
      </c>
      <c r="D10" s="568" t="s">
        <v>74</v>
      </c>
      <c r="E10" s="569" t="s">
        <v>893</v>
      </c>
      <c r="F10" s="548" t="s">
        <v>906</v>
      </c>
      <c r="G10" s="568" t="s">
        <v>916</v>
      </c>
      <c r="H10" s="548" t="s">
        <v>908</v>
      </c>
      <c r="I10" s="568" t="s">
        <v>909</v>
      </c>
      <c r="J10" s="569" t="s">
        <v>917</v>
      </c>
      <c r="K10" s="568" t="s">
        <v>898</v>
      </c>
      <c r="L10" s="568" t="s">
        <v>292</v>
      </c>
      <c r="M10" s="568">
        <v>173</v>
      </c>
      <c r="N10" s="568">
        <v>5</v>
      </c>
      <c r="O10" s="569" t="s">
        <v>918</v>
      </c>
      <c r="P10" s="601">
        <v>86</v>
      </c>
      <c r="Q10" s="601">
        <v>0</v>
      </c>
      <c r="R10" s="657">
        <f t="shared" si="0"/>
        <v>0</v>
      </c>
      <c r="S10" s="601">
        <v>4</v>
      </c>
      <c r="T10" s="601">
        <v>0</v>
      </c>
      <c r="U10" s="601">
        <v>86</v>
      </c>
      <c r="V10" s="601">
        <v>0</v>
      </c>
      <c r="W10" s="601">
        <v>0</v>
      </c>
      <c r="X10" s="601">
        <v>0</v>
      </c>
      <c r="Y10" s="659" t="s">
        <v>1848</v>
      </c>
    </row>
    <row r="11" spans="1:26" ht="39" x14ac:dyDescent="0.25">
      <c r="A11" s="568" t="s">
        <v>276</v>
      </c>
      <c r="B11" s="568" t="s">
        <v>276</v>
      </c>
      <c r="C11" s="569" t="s">
        <v>362</v>
      </c>
      <c r="D11" s="568" t="s">
        <v>74</v>
      </c>
      <c r="E11" s="569" t="s">
        <v>919</v>
      </c>
      <c r="F11" s="548" t="s">
        <v>899</v>
      </c>
      <c r="G11" s="568" t="s">
        <v>921</v>
      </c>
      <c r="H11" s="548" t="s">
        <v>895</v>
      </c>
      <c r="I11" s="569" t="s">
        <v>896</v>
      </c>
      <c r="J11" s="569" t="s">
        <v>897</v>
      </c>
      <c r="K11" s="568" t="s">
        <v>898</v>
      </c>
      <c r="L11" s="568" t="s">
        <v>292</v>
      </c>
      <c r="M11" s="568">
        <v>165</v>
      </c>
      <c r="N11" s="568">
        <v>4</v>
      </c>
      <c r="O11" s="569" t="s">
        <v>922</v>
      </c>
      <c r="P11" s="292">
        <v>153</v>
      </c>
      <c r="Q11" s="292">
        <v>0</v>
      </c>
      <c r="R11" s="657">
        <f t="shared" si="0"/>
        <v>0</v>
      </c>
      <c r="S11" s="292">
        <v>16</v>
      </c>
      <c r="T11" s="292">
        <v>0</v>
      </c>
      <c r="U11" s="292">
        <v>153</v>
      </c>
      <c r="V11" s="292">
        <v>0</v>
      </c>
      <c r="W11" s="292">
        <v>0</v>
      </c>
      <c r="X11" s="292">
        <v>0</v>
      </c>
      <c r="Y11" s="659" t="s">
        <v>1847</v>
      </c>
    </row>
    <row r="12" spans="1:26" ht="35.25" customHeight="1" x14ac:dyDescent="0.25">
      <c r="A12" s="568" t="s">
        <v>276</v>
      </c>
      <c r="B12" s="568" t="s">
        <v>276</v>
      </c>
      <c r="C12" s="569" t="s">
        <v>362</v>
      </c>
      <c r="D12" s="568" t="s">
        <v>74</v>
      </c>
      <c r="E12" s="569" t="s">
        <v>919</v>
      </c>
      <c r="F12" s="548" t="s">
        <v>924</v>
      </c>
      <c r="G12" s="568" t="s">
        <v>925</v>
      </c>
      <c r="H12" s="548" t="s">
        <v>895</v>
      </c>
      <c r="I12" s="569" t="s">
        <v>896</v>
      </c>
      <c r="J12" s="569" t="s">
        <v>897</v>
      </c>
      <c r="K12" s="568" t="s">
        <v>898</v>
      </c>
      <c r="L12" s="568" t="s">
        <v>292</v>
      </c>
      <c r="M12" s="568">
        <v>2144</v>
      </c>
      <c r="N12" s="568">
        <v>5</v>
      </c>
      <c r="O12" s="569" t="s">
        <v>926</v>
      </c>
      <c r="P12" s="601">
        <v>2511</v>
      </c>
      <c r="Q12" s="601">
        <v>192</v>
      </c>
      <c r="R12" s="657">
        <f t="shared" si="0"/>
        <v>38.4</v>
      </c>
      <c r="S12" s="727">
        <v>44</v>
      </c>
      <c r="T12" s="727">
        <v>32</v>
      </c>
      <c r="U12" s="601">
        <v>2511</v>
      </c>
      <c r="V12" s="601">
        <v>192</v>
      </c>
      <c r="W12" s="601">
        <v>1</v>
      </c>
      <c r="X12" s="601">
        <v>15737</v>
      </c>
      <c r="Y12" s="293"/>
    </row>
    <row r="13" spans="1:26" ht="45" x14ac:dyDescent="0.25">
      <c r="A13" s="568" t="s">
        <v>276</v>
      </c>
      <c r="B13" s="568" t="s">
        <v>276</v>
      </c>
      <c r="C13" s="569" t="s">
        <v>362</v>
      </c>
      <c r="D13" s="568" t="s">
        <v>74</v>
      </c>
      <c r="E13" s="569" t="s">
        <v>919</v>
      </c>
      <c r="F13" s="548" t="s">
        <v>924</v>
      </c>
      <c r="G13" s="568" t="s">
        <v>927</v>
      </c>
      <c r="H13" s="548" t="s">
        <v>895</v>
      </c>
      <c r="I13" s="569" t="s">
        <v>896</v>
      </c>
      <c r="J13" s="569" t="s">
        <v>897</v>
      </c>
      <c r="K13" s="568" t="s">
        <v>898</v>
      </c>
      <c r="L13" s="568" t="s">
        <v>292</v>
      </c>
      <c r="M13" s="568">
        <v>2485</v>
      </c>
      <c r="N13" s="569">
        <v>5</v>
      </c>
      <c r="O13" s="569" t="s">
        <v>928</v>
      </c>
      <c r="P13" s="601">
        <v>2513</v>
      </c>
      <c r="Q13" s="601">
        <v>46</v>
      </c>
      <c r="R13" s="657">
        <f t="shared" si="0"/>
        <v>9.1999999999999993</v>
      </c>
      <c r="S13" s="601">
        <v>41</v>
      </c>
      <c r="T13" s="601">
        <v>16</v>
      </c>
      <c r="U13" s="601">
        <v>2513</v>
      </c>
      <c r="V13" s="601">
        <v>46</v>
      </c>
      <c r="W13" s="601">
        <v>3</v>
      </c>
      <c r="X13" s="601">
        <v>36045</v>
      </c>
      <c r="Y13" s="293" t="s">
        <v>1690</v>
      </c>
      <c r="Z13" s="291"/>
    </row>
    <row r="14" spans="1:26" ht="39" x14ac:dyDescent="0.25">
      <c r="A14" s="568" t="s">
        <v>276</v>
      </c>
      <c r="B14" s="568" t="s">
        <v>276</v>
      </c>
      <c r="C14" s="569" t="s">
        <v>362</v>
      </c>
      <c r="D14" s="568" t="s">
        <v>74</v>
      </c>
      <c r="E14" s="569" t="s">
        <v>919</v>
      </c>
      <c r="F14" s="548" t="s">
        <v>902</v>
      </c>
      <c r="G14" s="568" t="s">
        <v>929</v>
      </c>
      <c r="H14" s="548" t="s">
        <v>904</v>
      </c>
      <c r="I14" s="569" t="s">
        <v>896</v>
      </c>
      <c r="J14" s="569" t="s">
        <v>897</v>
      </c>
      <c r="K14" s="568" t="s">
        <v>898</v>
      </c>
      <c r="L14" s="568" t="s">
        <v>292</v>
      </c>
      <c r="M14" s="568">
        <v>480</v>
      </c>
      <c r="N14" s="568">
        <v>10</v>
      </c>
      <c r="O14" s="569" t="s">
        <v>930</v>
      </c>
      <c r="P14" s="601">
        <v>574</v>
      </c>
      <c r="Q14" s="601">
        <v>5</v>
      </c>
      <c r="R14" s="657">
        <f t="shared" si="0"/>
        <v>0.5</v>
      </c>
      <c r="S14" s="601">
        <v>12</v>
      </c>
      <c r="T14" s="601">
        <v>2</v>
      </c>
      <c r="U14" s="601">
        <v>574</v>
      </c>
      <c r="V14" s="601">
        <v>5</v>
      </c>
      <c r="W14" s="601">
        <v>4</v>
      </c>
      <c r="X14" s="601">
        <v>1231</v>
      </c>
      <c r="Y14" s="406" t="s">
        <v>1849</v>
      </c>
      <c r="Z14" s="291"/>
    </row>
    <row r="15" spans="1:26" ht="39" x14ac:dyDescent="0.25">
      <c r="A15" s="568" t="s">
        <v>276</v>
      </c>
      <c r="B15" s="568" t="s">
        <v>276</v>
      </c>
      <c r="C15" s="569" t="s">
        <v>362</v>
      </c>
      <c r="D15" s="568" t="s">
        <v>74</v>
      </c>
      <c r="E15" s="569" t="s">
        <v>919</v>
      </c>
      <c r="F15" s="548" t="s">
        <v>906</v>
      </c>
      <c r="G15" s="568" t="s">
        <v>932</v>
      </c>
      <c r="H15" s="548" t="s">
        <v>895</v>
      </c>
      <c r="I15" s="569" t="s">
        <v>896</v>
      </c>
      <c r="J15" s="569" t="s">
        <v>897</v>
      </c>
      <c r="K15" s="568" t="s">
        <v>898</v>
      </c>
      <c r="L15" s="568" t="s">
        <v>292</v>
      </c>
      <c r="M15" s="568">
        <v>1111</v>
      </c>
      <c r="N15" s="568">
        <v>55</v>
      </c>
      <c r="O15" s="569" t="s">
        <v>933</v>
      </c>
      <c r="P15" s="658">
        <v>496</v>
      </c>
      <c r="Q15" s="658">
        <v>36</v>
      </c>
      <c r="R15" s="657">
        <f t="shared" si="0"/>
        <v>0.65454545454545454</v>
      </c>
      <c r="S15" s="658">
        <v>36</v>
      </c>
      <c r="T15" s="658">
        <v>7</v>
      </c>
      <c r="U15" s="658">
        <v>496</v>
      </c>
      <c r="V15" s="658">
        <v>18</v>
      </c>
      <c r="W15" s="658">
        <v>1</v>
      </c>
      <c r="X15" s="658">
        <v>13943</v>
      </c>
      <c r="Y15" s="406" t="s">
        <v>1845</v>
      </c>
    </row>
    <row r="16" spans="1:26" ht="64.5" customHeight="1" x14ac:dyDescent="0.25">
      <c r="A16" s="568" t="s">
        <v>276</v>
      </c>
      <c r="B16" s="568" t="s">
        <v>276</v>
      </c>
      <c r="C16" s="569" t="s">
        <v>362</v>
      </c>
      <c r="D16" s="568" t="s">
        <v>74</v>
      </c>
      <c r="E16" s="569" t="s">
        <v>934</v>
      </c>
      <c r="F16" s="548" t="s">
        <v>899</v>
      </c>
      <c r="G16" s="568" t="s">
        <v>938</v>
      </c>
      <c r="H16" s="548" t="s">
        <v>895</v>
      </c>
      <c r="I16" s="569" t="s">
        <v>896</v>
      </c>
      <c r="J16" s="569" t="s">
        <v>897</v>
      </c>
      <c r="K16" s="568" t="s">
        <v>898</v>
      </c>
      <c r="L16" s="568" t="s">
        <v>292</v>
      </c>
      <c r="M16" s="568">
        <v>217</v>
      </c>
      <c r="N16" s="568">
        <v>10</v>
      </c>
      <c r="O16" s="569" t="s">
        <v>939</v>
      </c>
      <c r="P16" s="292">
        <v>17</v>
      </c>
      <c r="Q16" s="292">
        <v>0</v>
      </c>
      <c r="R16" s="657">
        <f t="shared" si="0"/>
        <v>0</v>
      </c>
      <c r="S16" s="292">
        <v>12</v>
      </c>
      <c r="T16" s="292">
        <v>0</v>
      </c>
      <c r="U16" s="292">
        <v>17</v>
      </c>
      <c r="V16" s="292">
        <v>0</v>
      </c>
      <c r="W16" s="292">
        <v>0</v>
      </c>
      <c r="X16" s="292">
        <v>0</v>
      </c>
      <c r="Y16" s="659" t="s">
        <v>1847</v>
      </c>
      <c r="Z16" s="291"/>
    </row>
    <row r="17" spans="1:26" ht="39" x14ac:dyDescent="0.25">
      <c r="A17" s="568" t="s">
        <v>276</v>
      </c>
      <c r="B17" s="568" t="s">
        <v>276</v>
      </c>
      <c r="C17" s="569" t="s">
        <v>362</v>
      </c>
      <c r="D17" s="568" t="s">
        <v>74</v>
      </c>
      <c r="E17" s="569" t="s">
        <v>934</v>
      </c>
      <c r="F17" s="548" t="s">
        <v>924</v>
      </c>
      <c r="G17" s="568" t="s">
        <v>942</v>
      </c>
      <c r="H17" s="548" t="s">
        <v>895</v>
      </c>
      <c r="I17" s="569" t="s">
        <v>896</v>
      </c>
      <c r="J17" s="569" t="s">
        <v>897</v>
      </c>
      <c r="K17" s="568" t="s">
        <v>898</v>
      </c>
      <c r="L17" s="568" t="s">
        <v>292</v>
      </c>
      <c r="M17" s="568">
        <v>98</v>
      </c>
      <c r="N17" s="568">
        <v>4</v>
      </c>
      <c r="O17" s="569" t="s">
        <v>943</v>
      </c>
      <c r="P17" s="601">
        <v>600</v>
      </c>
      <c r="Q17" s="601">
        <v>0</v>
      </c>
      <c r="R17" s="657">
        <f t="shared" si="0"/>
        <v>0</v>
      </c>
      <c r="S17" s="601">
        <v>8</v>
      </c>
      <c r="T17" s="601">
        <v>0</v>
      </c>
      <c r="U17" s="601">
        <v>600</v>
      </c>
      <c r="V17" s="601">
        <v>0</v>
      </c>
      <c r="W17" s="601">
        <v>0</v>
      </c>
      <c r="X17" s="601">
        <v>0</v>
      </c>
      <c r="Y17" s="659" t="s">
        <v>1847</v>
      </c>
      <c r="Z17" s="405"/>
    </row>
    <row r="18" spans="1:26" ht="39" x14ac:dyDescent="0.25">
      <c r="A18" s="568" t="s">
        <v>276</v>
      </c>
      <c r="B18" s="568" t="s">
        <v>276</v>
      </c>
      <c r="C18" s="569" t="s">
        <v>362</v>
      </c>
      <c r="D18" s="568" t="s">
        <v>74</v>
      </c>
      <c r="E18" s="569" t="s">
        <v>934</v>
      </c>
      <c r="F18" s="548" t="s">
        <v>902</v>
      </c>
      <c r="G18" s="568" t="s">
        <v>944</v>
      </c>
      <c r="H18" s="548" t="s">
        <v>904</v>
      </c>
      <c r="I18" s="569" t="s">
        <v>896</v>
      </c>
      <c r="J18" s="569" t="s">
        <v>897</v>
      </c>
      <c r="K18" s="568" t="s">
        <v>898</v>
      </c>
      <c r="L18" s="568" t="s">
        <v>292</v>
      </c>
      <c r="M18" s="568">
        <v>263</v>
      </c>
      <c r="N18" s="568">
        <v>10</v>
      </c>
      <c r="O18" s="569" t="s">
        <v>945</v>
      </c>
      <c r="P18" s="601">
        <v>206</v>
      </c>
      <c r="Q18" s="601">
        <v>0</v>
      </c>
      <c r="R18" s="657">
        <f t="shared" si="0"/>
        <v>0</v>
      </c>
      <c r="S18" s="601">
        <v>9</v>
      </c>
      <c r="T18" s="601">
        <v>0</v>
      </c>
      <c r="U18" s="601">
        <v>206</v>
      </c>
      <c r="V18" s="601">
        <v>0</v>
      </c>
      <c r="W18" s="601">
        <v>0</v>
      </c>
      <c r="X18" s="601">
        <v>0</v>
      </c>
      <c r="Y18" s="659" t="s">
        <v>1847</v>
      </c>
    </row>
    <row r="19" spans="1:26" ht="39" x14ac:dyDescent="0.25">
      <c r="A19" s="568" t="s">
        <v>276</v>
      </c>
      <c r="B19" s="568" t="s">
        <v>276</v>
      </c>
      <c r="C19" s="569" t="s">
        <v>362</v>
      </c>
      <c r="D19" s="568" t="s">
        <v>74</v>
      </c>
      <c r="E19" s="569" t="s">
        <v>934</v>
      </c>
      <c r="F19" s="548" t="s">
        <v>906</v>
      </c>
      <c r="G19" s="568" t="s">
        <v>947</v>
      </c>
      <c r="H19" s="548" t="s">
        <v>908</v>
      </c>
      <c r="I19" s="568" t="s">
        <v>909</v>
      </c>
      <c r="J19" s="569" t="s">
        <v>910</v>
      </c>
      <c r="K19" s="568" t="s">
        <v>898</v>
      </c>
      <c r="L19" s="568" t="s">
        <v>292</v>
      </c>
      <c r="M19" s="568">
        <v>127</v>
      </c>
      <c r="N19" s="568">
        <v>30</v>
      </c>
      <c r="O19" s="569" t="s">
        <v>948</v>
      </c>
      <c r="P19" s="658">
        <v>139</v>
      </c>
      <c r="Q19" s="658">
        <v>18</v>
      </c>
      <c r="R19" s="657">
        <f t="shared" si="0"/>
        <v>0.6</v>
      </c>
      <c r="S19" s="658">
        <v>28</v>
      </c>
      <c r="T19" s="658">
        <v>12</v>
      </c>
      <c r="U19" s="658">
        <v>255</v>
      </c>
      <c r="V19" s="658">
        <v>17</v>
      </c>
      <c r="W19" s="658">
        <v>3</v>
      </c>
      <c r="X19" s="658">
        <v>4804</v>
      </c>
      <c r="Y19" s="406" t="s">
        <v>1846</v>
      </c>
    </row>
    <row r="20" spans="1:26" ht="51.75" x14ac:dyDescent="0.25">
      <c r="A20" s="568" t="s">
        <v>276</v>
      </c>
      <c r="B20" s="568" t="s">
        <v>276</v>
      </c>
      <c r="C20" s="569" t="s">
        <v>362</v>
      </c>
      <c r="D20" s="568" t="s">
        <v>74</v>
      </c>
      <c r="E20" s="569" t="s">
        <v>949</v>
      </c>
      <c r="F20" s="548" t="s">
        <v>906</v>
      </c>
      <c r="G20" s="568" t="s">
        <v>950</v>
      </c>
      <c r="H20" s="548" t="s">
        <v>895</v>
      </c>
      <c r="I20" s="568" t="s">
        <v>909</v>
      </c>
      <c r="J20" s="569" t="s">
        <v>897</v>
      </c>
      <c r="K20" s="568" t="s">
        <v>898</v>
      </c>
      <c r="L20" s="568" t="s">
        <v>292</v>
      </c>
      <c r="M20" s="568">
        <v>794</v>
      </c>
      <c r="N20" s="568">
        <v>100</v>
      </c>
      <c r="O20" s="569" t="s">
        <v>951</v>
      </c>
      <c r="P20" s="658">
        <v>861</v>
      </c>
      <c r="Q20" s="658">
        <v>119</v>
      </c>
      <c r="R20" s="657">
        <f t="shared" si="0"/>
        <v>1.19</v>
      </c>
      <c r="S20" s="658">
        <v>80</v>
      </c>
      <c r="T20" s="658">
        <v>22</v>
      </c>
      <c r="U20" s="658">
        <v>861</v>
      </c>
      <c r="V20" s="658">
        <v>59</v>
      </c>
      <c r="W20" s="658">
        <v>1</v>
      </c>
      <c r="X20" s="658">
        <v>40761</v>
      </c>
      <c r="Y20" s="403"/>
    </row>
    <row r="21" spans="1:26" ht="39" x14ac:dyDescent="0.25">
      <c r="A21" s="568" t="s">
        <v>276</v>
      </c>
      <c r="B21" s="568" t="s">
        <v>276</v>
      </c>
      <c r="C21" s="569" t="s">
        <v>362</v>
      </c>
      <c r="D21" s="568" t="s">
        <v>74</v>
      </c>
      <c r="E21" s="569" t="s">
        <v>934</v>
      </c>
      <c r="F21" s="548" t="s">
        <v>906</v>
      </c>
      <c r="G21" s="568" t="s">
        <v>952</v>
      </c>
      <c r="H21" s="548" t="s">
        <v>908</v>
      </c>
      <c r="I21" s="568" t="s">
        <v>909</v>
      </c>
      <c r="J21" s="569" t="s">
        <v>953</v>
      </c>
      <c r="K21" s="568" t="s">
        <v>898</v>
      </c>
      <c r="L21" s="568" t="s">
        <v>292</v>
      </c>
      <c r="M21" s="568">
        <v>637</v>
      </c>
      <c r="N21" s="568">
        <v>15</v>
      </c>
      <c r="O21" s="661" t="s">
        <v>954</v>
      </c>
      <c r="P21" s="601">
        <v>906</v>
      </c>
      <c r="Q21" s="601">
        <v>8</v>
      </c>
      <c r="R21" s="657">
        <f t="shared" si="0"/>
        <v>0.53333333333333333</v>
      </c>
      <c r="S21" s="601">
        <v>21</v>
      </c>
      <c r="T21" s="601">
        <v>4</v>
      </c>
      <c r="U21" s="601">
        <v>906</v>
      </c>
      <c r="V21" s="601">
        <v>8</v>
      </c>
      <c r="W21" s="601">
        <v>2</v>
      </c>
      <c r="X21" s="601">
        <v>3755</v>
      </c>
      <c r="Y21" s="406" t="s">
        <v>1846</v>
      </c>
      <c r="Z21" s="603"/>
    </row>
    <row r="22" spans="1:26" ht="39" x14ac:dyDescent="0.25">
      <c r="A22" s="568" t="s">
        <v>276</v>
      </c>
      <c r="B22" s="568" t="s">
        <v>276</v>
      </c>
      <c r="C22" s="569" t="s">
        <v>362</v>
      </c>
      <c r="D22" s="568" t="s">
        <v>74</v>
      </c>
      <c r="E22" s="569" t="s">
        <v>955</v>
      </c>
      <c r="F22" s="548" t="s">
        <v>899</v>
      </c>
      <c r="G22" s="660" t="s">
        <v>962</v>
      </c>
      <c r="H22" s="548" t="s">
        <v>895</v>
      </c>
      <c r="I22" s="569" t="s">
        <v>896</v>
      </c>
      <c r="J22" s="569" t="s">
        <v>897</v>
      </c>
      <c r="K22" s="568" t="s">
        <v>898</v>
      </c>
      <c r="L22" s="568" t="s">
        <v>292</v>
      </c>
      <c r="M22" s="568">
        <v>359</v>
      </c>
      <c r="N22" s="568">
        <v>6</v>
      </c>
      <c r="O22" s="569" t="s">
        <v>963</v>
      </c>
      <c r="P22" s="658">
        <v>500</v>
      </c>
      <c r="Q22" s="658">
        <v>5</v>
      </c>
      <c r="R22" s="657">
        <f t="shared" si="0"/>
        <v>0.83333333333333337</v>
      </c>
      <c r="S22" s="658">
        <v>49</v>
      </c>
      <c r="T22" s="658">
        <v>2</v>
      </c>
      <c r="U22" s="658">
        <v>500</v>
      </c>
      <c r="V22" s="658">
        <v>5</v>
      </c>
      <c r="W22" s="658">
        <v>5</v>
      </c>
      <c r="X22" s="658">
        <v>4221</v>
      </c>
      <c r="Y22" s="406" t="s">
        <v>1849</v>
      </c>
    </row>
    <row r="23" spans="1:26" ht="39" x14ac:dyDescent="0.25">
      <c r="A23" s="568" t="s">
        <v>276</v>
      </c>
      <c r="B23" s="568" t="s">
        <v>276</v>
      </c>
      <c r="C23" s="569" t="s">
        <v>362</v>
      </c>
      <c r="D23" s="568" t="s">
        <v>74</v>
      </c>
      <c r="E23" s="569" t="s">
        <v>955</v>
      </c>
      <c r="F23" s="548" t="s">
        <v>902</v>
      </c>
      <c r="G23" s="568" t="s">
        <v>965</v>
      </c>
      <c r="H23" s="548" t="s">
        <v>904</v>
      </c>
      <c r="I23" s="569" t="s">
        <v>896</v>
      </c>
      <c r="J23" s="569" t="s">
        <v>897</v>
      </c>
      <c r="K23" s="568" t="s">
        <v>898</v>
      </c>
      <c r="L23" s="568" t="s">
        <v>292</v>
      </c>
      <c r="M23" s="568">
        <v>1987</v>
      </c>
      <c r="N23" s="568">
        <v>40</v>
      </c>
      <c r="O23" s="569" t="s">
        <v>966</v>
      </c>
      <c r="P23" s="601">
        <v>1818</v>
      </c>
      <c r="Q23" s="601">
        <v>22</v>
      </c>
      <c r="R23" s="657">
        <f t="shared" si="0"/>
        <v>0.55000000000000004</v>
      </c>
      <c r="S23" s="601">
        <v>50</v>
      </c>
      <c r="T23" s="601">
        <v>12</v>
      </c>
      <c r="U23" s="601">
        <v>1818</v>
      </c>
      <c r="V23" s="601">
        <v>22</v>
      </c>
      <c r="W23" s="601">
        <v>4</v>
      </c>
      <c r="X23" s="601">
        <v>8953</v>
      </c>
      <c r="Y23" s="406" t="s">
        <v>1846</v>
      </c>
      <c r="Z23" s="291"/>
    </row>
    <row r="24" spans="1:26" ht="39" x14ac:dyDescent="0.25">
      <c r="A24" s="568" t="s">
        <v>276</v>
      </c>
      <c r="B24" s="568" t="s">
        <v>968</v>
      </c>
      <c r="C24" s="569" t="s">
        <v>362</v>
      </c>
      <c r="D24" s="568" t="s">
        <v>74</v>
      </c>
      <c r="E24" s="569" t="s">
        <v>955</v>
      </c>
      <c r="F24" s="548" t="s">
        <v>906</v>
      </c>
      <c r="G24" s="568" t="s">
        <v>969</v>
      </c>
      <c r="H24" s="548" t="s">
        <v>908</v>
      </c>
      <c r="I24" s="568" t="s">
        <v>909</v>
      </c>
      <c r="J24" s="569" t="s">
        <v>910</v>
      </c>
      <c r="K24" s="568" t="s">
        <v>898</v>
      </c>
      <c r="L24" s="568" t="s">
        <v>292</v>
      </c>
      <c r="M24" s="568">
        <v>161</v>
      </c>
      <c r="N24" s="568">
        <v>44</v>
      </c>
      <c r="O24" s="569" t="s">
        <v>970</v>
      </c>
      <c r="P24" s="658">
        <v>286</v>
      </c>
      <c r="Q24" s="658">
        <v>45</v>
      </c>
      <c r="R24" s="657">
        <f t="shared" si="0"/>
        <v>1.0227272727272727</v>
      </c>
      <c r="S24" s="658">
        <v>61</v>
      </c>
      <c r="T24" s="658">
        <v>22</v>
      </c>
      <c r="U24" s="658">
        <v>580</v>
      </c>
      <c r="V24" s="658">
        <v>40</v>
      </c>
      <c r="W24" s="658">
        <v>4</v>
      </c>
      <c r="X24" s="658">
        <v>8787</v>
      </c>
      <c r="Y24" s="406"/>
    </row>
    <row r="25" spans="1:26" ht="39" x14ac:dyDescent="0.25">
      <c r="A25" s="568" t="s">
        <v>276</v>
      </c>
      <c r="B25" s="568" t="s">
        <v>276</v>
      </c>
      <c r="C25" s="569" t="s">
        <v>362</v>
      </c>
      <c r="D25" s="568" t="s">
        <v>74</v>
      </c>
      <c r="E25" s="569" t="s">
        <v>955</v>
      </c>
      <c r="F25" s="548" t="s">
        <v>906</v>
      </c>
      <c r="G25" s="568" t="s">
        <v>971</v>
      </c>
      <c r="H25" s="548" t="s">
        <v>895</v>
      </c>
      <c r="I25" s="569" t="s">
        <v>896</v>
      </c>
      <c r="J25" s="569" t="s">
        <v>897</v>
      </c>
      <c r="K25" s="568" t="s">
        <v>898</v>
      </c>
      <c r="L25" s="568" t="s">
        <v>292</v>
      </c>
      <c r="M25" s="568">
        <v>1072</v>
      </c>
      <c r="N25" s="568">
        <v>30</v>
      </c>
      <c r="O25" s="569" t="s">
        <v>972</v>
      </c>
      <c r="P25" s="658">
        <v>534</v>
      </c>
      <c r="Q25" s="658">
        <v>16</v>
      </c>
      <c r="R25" s="657">
        <f t="shared" si="0"/>
        <v>0.53333333333333333</v>
      </c>
      <c r="S25" s="658">
        <v>68</v>
      </c>
      <c r="T25" s="658">
        <v>8</v>
      </c>
      <c r="U25" s="658">
        <v>534</v>
      </c>
      <c r="V25" s="658">
        <v>18</v>
      </c>
      <c r="W25" s="658">
        <v>1</v>
      </c>
      <c r="X25" s="658">
        <v>13942</v>
      </c>
      <c r="Y25" s="406" t="s">
        <v>1845</v>
      </c>
    </row>
    <row r="26" spans="1:26" ht="47.25" customHeight="1" x14ac:dyDescent="0.25">
      <c r="A26" s="568" t="s">
        <v>276</v>
      </c>
      <c r="B26" s="568" t="s">
        <v>276</v>
      </c>
      <c r="C26" s="569" t="s">
        <v>362</v>
      </c>
      <c r="D26" s="568" t="s">
        <v>74</v>
      </c>
      <c r="E26" s="569" t="s">
        <v>955</v>
      </c>
      <c r="F26" s="548" t="s">
        <v>906</v>
      </c>
      <c r="G26" s="568" t="s">
        <v>973</v>
      </c>
      <c r="H26" s="548" t="s">
        <v>908</v>
      </c>
      <c r="I26" s="568" t="s">
        <v>909</v>
      </c>
      <c r="J26" s="569" t="s">
        <v>953</v>
      </c>
      <c r="K26" s="568" t="s">
        <v>898</v>
      </c>
      <c r="L26" s="568" t="s">
        <v>292</v>
      </c>
      <c r="M26" s="568">
        <v>1428</v>
      </c>
      <c r="N26" s="568">
        <v>5</v>
      </c>
      <c r="O26" s="568" t="s">
        <v>974</v>
      </c>
      <c r="P26" s="601">
        <v>1818</v>
      </c>
      <c r="Q26" s="601">
        <v>4</v>
      </c>
      <c r="R26" s="657">
        <f t="shared" si="0"/>
        <v>0.8</v>
      </c>
      <c r="S26" s="601">
        <v>50</v>
      </c>
      <c r="T26" s="601">
        <v>3</v>
      </c>
      <c r="U26" s="601">
        <v>1818</v>
      </c>
      <c r="V26" s="601">
        <v>3</v>
      </c>
      <c r="W26" s="601">
        <v>1</v>
      </c>
      <c r="X26" s="601">
        <v>902</v>
      </c>
      <c r="Y26" s="602" t="s">
        <v>1689</v>
      </c>
      <c r="Z26" s="291"/>
    </row>
    <row r="27" spans="1:26" ht="39" x14ac:dyDescent="0.25">
      <c r="A27" s="568" t="s">
        <v>276</v>
      </c>
      <c r="B27" s="568" t="s">
        <v>276</v>
      </c>
      <c r="C27" s="569" t="s">
        <v>293</v>
      </c>
      <c r="D27" s="568" t="s">
        <v>74</v>
      </c>
      <c r="E27" s="569" t="s">
        <v>975</v>
      </c>
      <c r="F27" s="548" t="s">
        <v>899</v>
      </c>
      <c r="G27" s="660" t="s">
        <v>976</v>
      </c>
      <c r="H27" s="548" t="s">
        <v>895</v>
      </c>
      <c r="I27" s="569" t="s">
        <v>896</v>
      </c>
      <c r="J27" s="569" t="s">
        <v>897</v>
      </c>
      <c r="K27" s="568" t="s">
        <v>898</v>
      </c>
      <c r="L27" s="568" t="s">
        <v>292</v>
      </c>
      <c r="M27" s="568">
        <v>65</v>
      </c>
      <c r="N27" s="568">
        <v>3</v>
      </c>
      <c r="O27" s="569" t="s">
        <v>977</v>
      </c>
      <c r="P27" s="292">
        <v>31</v>
      </c>
      <c r="Q27" s="292">
        <v>1</v>
      </c>
      <c r="R27" s="657">
        <f t="shared" si="0"/>
        <v>0.33333333333333331</v>
      </c>
      <c r="S27" s="292">
        <v>19</v>
      </c>
      <c r="T27" s="292">
        <v>0</v>
      </c>
      <c r="U27" s="292">
        <v>31</v>
      </c>
      <c r="V27" s="292">
        <v>0</v>
      </c>
      <c r="W27" s="292">
        <v>0</v>
      </c>
      <c r="X27" s="292">
        <v>0</v>
      </c>
      <c r="Y27" s="406" t="s">
        <v>1849</v>
      </c>
    </row>
    <row r="28" spans="1:26" ht="39" x14ac:dyDescent="0.25">
      <c r="A28" s="568" t="s">
        <v>276</v>
      </c>
      <c r="B28" s="568" t="s">
        <v>276</v>
      </c>
      <c r="C28" s="569" t="s">
        <v>293</v>
      </c>
      <c r="D28" s="568" t="s">
        <v>74</v>
      </c>
      <c r="E28" s="569" t="s">
        <v>975</v>
      </c>
      <c r="F28" s="548" t="s">
        <v>906</v>
      </c>
      <c r="G28" s="568" t="s">
        <v>978</v>
      </c>
      <c r="H28" s="548" t="s">
        <v>908</v>
      </c>
      <c r="I28" s="568" t="s">
        <v>909</v>
      </c>
      <c r="J28" s="569" t="s">
        <v>910</v>
      </c>
      <c r="K28" s="568" t="s">
        <v>898</v>
      </c>
      <c r="L28" s="568" t="s">
        <v>292</v>
      </c>
      <c r="M28" s="568">
        <v>13</v>
      </c>
      <c r="N28" s="568">
        <v>20</v>
      </c>
      <c r="O28" s="569" t="s">
        <v>979</v>
      </c>
      <c r="P28" s="658">
        <v>20</v>
      </c>
      <c r="Q28" s="658">
        <v>18</v>
      </c>
      <c r="R28" s="657">
        <f t="shared" si="0"/>
        <v>0.9</v>
      </c>
      <c r="S28" s="658">
        <v>19</v>
      </c>
      <c r="T28" s="658">
        <v>15</v>
      </c>
      <c r="U28" s="658">
        <v>31</v>
      </c>
      <c r="V28" s="658">
        <v>15</v>
      </c>
      <c r="W28" s="658">
        <v>1</v>
      </c>
      <c r="X28" s="658">
        <v>3225</v>
      </c>
      <c r="Y28" s="406" t="s">
        <v>1846</v>
      </c>
    </row>
    <row r="29" spans="1:26" ht="39" x14ac:dyDescent="0.25">
      <c r="A29" s="568" t="s">
        <v>276</v>
      </c>
      <c r="B29" s="568" t="s">
        <v>276</v>
      </c>
      <c r="C29" s="569" t="s">
        <v>293</v>
      </c>
      <c r="D29" s="568" t="s">
        <v>74</v>
      </c>
      <c r="E29" s="569" t="s">
        <v>975</v>
      </c>
      <c r="F29" s="569" t="s">
        <v>980</v>
      </c>
      <c r="G29" s="568" t="s">
        <v>981</v>
      </c>
      <c r="H29" s="548" t="s">
        <v>895</v>
      </c>
      <c r="I29" s="548" t="s">
        <v>895</v>
      </c>
      <c r="J29" s="569" t="s">
        <v>910</v>
      </c>
      <c r="K29" s="568" t="s">
        <v>898</v>
      </c>
      <c r="L29" s="568" t="s">
        <v>292</v>
      </c>
      <c r="M29" s="568">
        <v>73</v>
      </c>
      <c r="N29" s="568">
        <v>0</v>
      </c>
      <c r="O29" s="568" t="s">
        <v>982</v>
      </c>
      <c r="P29" s="601">
        <v>773</v>
      </c>
      <c r="Q29" s="601">
        <v>0</v>
      </c>
      <c r="R29" s="657">
        <v>0</v>
      </c>
      <c r="S29" s="601">
        <v>6</v>
      </c>
      <c r="T29" s="601">
        <v>0</v>
      </c>
      <c r="U29" s="601">
        <v>773</v>
      </c>
      <c r="V29" s="601">
        <v>0</v>
      </c>
      <c r="W29" s="601">
        <v>0</v>
      </c>
      <c r="X29" s="601">
        <v>0</v>
      </c>
      <c r="Y29" s="659" t="s">
        <v>1847</v>
      </c>
    </row>
    <row r="30" spans="1:26" ht="39" x14ac:dyDescent="0.25">
      <c r="A30" s="568" t="s">
        <v>276</v>
      </c>
      <c r="B30" s="568" t="s">
        <v>276</v>
      </c>
      <c r="C30" s="569" t="s">
        <v>293</v>
      </c>
      <c r="D30" s="568" t="s">
        <v>74</v>
      </c>
      <c r="E30" s="569" t="s">
        <v>983</v>
      </c>
      <c r="F30" s="548" t="s">
        <v>899</v>
      </c>
      <c r="G30" s="568" t="s">
        <v>984</v>
      </c>
      <c r="H30" s="548" t="s">
        <v>895</v>
      </c>
      <c r="I30" s="569" t="s">
        <v>896</v>
      </c>
      <c r="J30" s="569" t="s">
        <v>897</v>
      </c>
      <c r="K30" s="568" t="s">
        <v>898</v>
      </c>
      <c r="L30" s="568" t="s">
        <v>292</v>
      </c>
      <c r="M30" s="568">
        <v>7</v>
      </c>
      <c r="N30" s="568">
        <v>1</v>
      </c>
      <c r="O30" s="569" t="s">
        <v>985</v>
      </c>
      <c r="P30" s="658">
        <v>12</v>
      </c>
      <c r="Q30" s="658">
        <v>0</v>
      </c>
      <c r="R30" s="657">
        <f t="shared" si="0"/>
        <v>0</v>
      </c>
      <c r="S30" s="658">
        <v>7</v>
      </c>
      <c r="T30" s="658">
        <v>0</v>
      </c>
      <c r="U30" s="658">
        <v>12</v>
      </c>
      <c r="V30" s="658">
        <v>0</v>
      </c>
      <c r="W30" s="658">
        <v>0</v>
      </c>
      <c r="X30" s="658">
        <v>0</v>
      </c>
      <c r="Y30" s="699" t="s">
        <v>2015</v>
      </c>
    </row>
    <row r="31" spans="1:26" ht="39" x14ac:dyDescent="0.25">
      <c r="A31" s="568" t="s">
        <v>276</v>
      </c>
      <c r="B31" s="568" t="s">
        <v>276</v>
      </c>
      <c r="C31" s="569" t="s">
        <v>293</v>
      </c>
      <c r="D31" s="568" t="s">
        <v>74</v>
      </c>
      <c r="E31" s="569" t="s">
        <v>983</v>
      </c>
      <c r="F31" s="548" t="s">
        <v>906</v>
      </c>
      <c r="G31" s="568" t="s">
        <v>986</v>
      </c>
      <c r="H31" s="548" t="s">
        <v>908</v>
      </c>
      <c r="I31" s="568" t="s">
        <v>909</v>
      </c>
      <c r="J31" s="569" t="s">
        <v>910</v>
      </c>
      <c r="K31" s="568" t="s">
        <v>898</v>
      </c>
      <c r="L31" s="568" t="s">
        <v>292</v>
      </c>
      <c r="M31" s="568">
        <v>4</v>
      </c>
      <c r="N31" s="568">
        <v>4</v>
      </c>
      <c r="O31" s="569" t="s">
        <v>979</v>
      </c>
      <c r="P31" s="292">
        <v>7</v>
      </c>
      <c r="Q31" s="292">
        <v>2</v>
      </c>
      <c r="R31" s="657">
        <f t="shared" si="0"/>
        <v>0.5</v>
      </c>
      <c r="S31" s="292">
        <v>7</v>
      </c>
      <c r="T31" s="292">
        <v>2</v>
      </c>
      <c r="U31" s="292">
        <v>12</v>
      </c>
      <c r="V31" s="292">
        <v>2</v>
      </c>
      <c r="W31" s="292">
        <v>1</v>
      </c>
      <c r="X31" s="294">
        <v>191</v>
      </c>
      <c r="Y31" s="406" t="s">
        <v>1846</v>
      </c>
    </row>
    <row r="32" spans="1:26" ht="39" x14ac:dyDescent="0.25">
      <c r="A32" s="568" t="s">
        <v>276</v>
      </c>
      <c r="B32" s="568" t="s">
        <v>276</v>
      </c>
      <c r="C32" s="569" t="s">
        <v>293</v>
      </c>
      <c r="D32" s="568" t="s">
        <v>74</v>
      </c>
      <c r="E32" s="569" t="s">
        <v>983</v>
      </c>
      <c r="F32" s="569" t="s">
        <v>980</v>
      </c>
      <c r="G32" s="568" t="s">
        <v>987</v>
      </c>
      <c r="H32" s="548" t="s">
        <v>895</v>
      </c>
      <c r="I32" s="568" t="s">
        <v>909</v>
      </c>
      <c r="J32" s="569" t="s">
        <v>910</v>
      </c>
      <c r="K32" s="568" t="s">
        <v>898</v>
      </c>
      <c r="L32" s="568" t="s">
        <v>292</v>
      </c>
      <c r="M32" s="568">
        <v>1</v>
      </c>
      <c r="N32" s="568">
        <v>0</v>
      </c>
      <c r="O32" s="568" t="s">
        <v>982</v>
      </c>
      <c r="P32" s="601">
        <v>0</v>
      </c>
      <c r="Q32" s="601">
        <v>0</v>
      </c>
      <c r="R32" s="657">
        <v>0</v>
      </c>
      <c r="S32" s="601">
        <v>0</v>
      </c>
      <c r="T32" s="601">
        <v>0</v>
      </c>
      <c r="U32" s="601">
        <v>0</v>
      </c>
      <c r="V32" s="601">
        <v>0</v>
      </c>
      <c r="W32" s="601">
        <v>0</v>
      </c>
      <c r="X32" s="601">
        <v>0</v>
      </c>
      <c r="Y32" s="659" t="s">
        <v>1847</v>
      </c>
    </row>
    <row r="33" spans="1:25" ht="39" customHeight="1" x14ac:dyDescent="0.25">
      <c r="A33" s="569" t="s">
        <v>276</v>
      </c>
      <c r="B33" s="569" t="s">
        <v>276</v>
      </c>
      <c r="C33" s="569" t="s">
        <v>362</v>
      </c>
      <c r="D33" s="569" t="s">
        <v>74</v>
      </c>
      <c r="E33" s="569" t="s">
        <v>1606</v>
      </c>
      <c r="F33" s="548" t="s">
        <v>638</v>
      </c>
      <c r="G33" s="569" t="s">
        <v>1607</v>
      </c>
      <c r="H33" s="548" t="s">
        <v>1608</v>
      </c>
      <c r="I33" s="569" t="s">
        <v>1609</v>
      </c>
      <c r="J33" s="569" t="s">
        <v>1610</v>
      </c>
      <c r="K33" s="569" t="s">
        <v>1611</v>
      </c>
      <c r="L33" s="569" t="s">
        <v>1612</v>
      </c>
      <c r="M33" s="569">
        <v>1396</v>
      </c>
      <c r="N33" s="569">
        <v>40</v>
      </c>
      <c r="O33" s="857" t="s">
        <v>1613</v>
      </c>
      <c r="P33" s="658">
        <v>498</v>
      </c>
      <c r="Q33" s="658">
        <v>9</v>
      </c>
      <c r="R33" s="657">
        <f t="shared" ref="R33:R42" si="1">Q33/N33</f>
        <v>0.22500000000000001</v>
      </c>
      <c r="S33" s="658">
        <v>61</v>
      </c>
      <c r="T33" s="658">
        <v>4</v>
      </c>
      <c r="U33" s="658">
        <v>498</v>
      </c>
      <c r="V33" s="658">
        <v>9</v>
      </c>
      <c r="W33" s="658">
        <v>65</v>
      </c>
      <c r="X33" s="658">
        <v>8104</v>
      </c>
      <c r="Y33" s="406" t="s">
        <v>1846</v>
      </c>
    </row>
    <row r="34" spans="1:25" ht="39" x14ac:dyDescent="0.25">
      <c r="A34" s="569" t="s">
        <v>276</v>
      </c>
      <c r="B34" s="569" t="s">
        <v>276</v>
      </c>
      <c r="C34" s="569" t="s">
        <v>362</v>
      </c>
      <c r="D34" s="569" t="s">
        <v>74</v>
      </c>
      <c r="E34" s="569" t="s">
        <v>1606</v>
      </c>
      <c r="F34" s="548" t="s">
        <v>638</v>
      </c>
      <c r="G34" s="569" t="s">
        <v>1614</v>
      </c>
      <c r="H34" s="548" t="s">
        <v>1608</v>
      </c>
      <c r="I34" s="569" t="s">
        <v>1609</v>
      </c>
      <c r="J34" s="569" t="s">
        <v>1610</v>
      </c>
      <c r="K34" s="569" t="s">
        <v>1611</v>
      </c>
      <c r="L34" s="569" t="s">
        <v>1612</v>
      </c>
      <c r="M34" s="569">
        <v>2423</v>
      </c>
      <c r="N34" s="569">
        <v>40</v>
      </c>
      <c r="O34" s="858"/>
      <c r="P34" s="658">
        <v>1009</v>
      </c>
      <c r="Q34" s="658">
        <v>4</v>
      </c>
      <c r="R34" s="657">
        <f t="shared" si="1"/>
        <v>0.1</v>
      </c>
      <c r="S34" s="658">
        <v>77</v>
      </c>
      <c r="T34" s="658">
        <v>3</v>
      </c>
      <c r="U34" s="658">
        <v>1009</v>
      </c>
      <c r="V34" s="658">
        <v>4</v>
      </c>
      <c r="W34" s="658">
        <v>51</v>
      </c>
      <c r="X34" s="658">
        <v>6185</v>
      </c>
      <c r="Y34" s="406" t="s">
        <v>1846</v>
      </c>
    </row>
    <row r="35" spans="1:25" ht="39" x14ac:dyDescent="0.25">
      <c r="A35" s="569" t="s">
        <v>276</v>
      </c>
      <c r="B35" s="569" t="s">
        <v>276</v>
      </c>
      <c r="C35" s="569" t="s">
        <v>362</v>
      </c>
      <c r="D35" s="569" t="s">
        <v>74</v>
      </c>
      <c r="E35" s="569" t="s">
        <v>1606</v>
      </c>
      <c r="F35" s="548" t="s">
        <v>638</v>
      </c>
      <c r="G35" s="569" t="s">
        <v>1615</v>
      </c>
      <c r="H35" s="548" t="s">
        <v>1608</v>
      </c>
      <c r="I35" s="569" t="s">
        <v>1609</v>
      </c>
      <c r="J35" s="569" t="s">
        <v>1610</v>
      </c>
      <c r="K35" s="569" t="s">
        <v>1611</v>
      </c>
      <c r="L35" s="569" t="s">
        <v>1612</v>
      </c>
      <c r="M35" s="569">
        <v>5938</v>
      </c>
      <c r="N35" s="569">
        <v>40</v>
      </c>
      <c r="O35" s="859"/>
      <c r="P35" s="658">
        <v>5008</v>
      </c>
      <c r="Q35" s="658">
        <v>28</v>
      </c>
      <c r="R35" s="657">
        <f t="shared" si="1"/>
        <v>0.7</v>
      </c>
      <c r="S35" s="658">
        <v>196</v>
      </c>
      <c r="T35" s="658">
        <v>20</v>
      </c>
      <c r="U35" s="658">
        <v>5008</v>
      </c>
      <c r="V35" s="658">
        <v>28</v>
      </c>
      <c r="W35" s="658">
        <v>85</v>
      </c>
      <c r="X35" s="658">
        <v>32214</v>
      </c>
      <c r="Y35" s="406" t="s">
        <v>1846</v>
      </c>
    </row>
    <row r="36" spans="1:25" ht="39" x14ac:dyDescent="0.25">
      <c r="A36" s="569" t="s">
        <v>276</v>
      </c>
      <c r="B36" s="569" t="s">
        <v>276</v>
      </c>
      <c r="C36" s="569" t="s">
        <v>362</v>
      </c>
      <c r="D36" s="569" t="s">
        <v>74</v>
      </c>
      <c r="E36" s="569" t="s">
        <v>1606</v>
      </c>
      <c r="F36" s="548" t="s">
        <v>906</v>
      </c>
      <c r="G36" s="569" t="s">
        <v>1616</v>
      </c>
      <c r="H36" s="548" t="s">
        <v>1617</v>
      </c>
      <c r="I36" s="569" t="s">
        <v>98</v>
      </c>
      <c r="J36" s="569" t="s">
        <v>1610</v>
      </c>
      <c r="K36" s="569" t="s">
        <v>1611</v>
      </c>
      <c r="L36" s="569" t="s">
        <v>1618</v>
      </c>
      <c r="M36" s="569">
        <v>218</v>
      </c>
      <c r="N36" s="569">
        <v>40</v>
      </c>
      <c r="O36" s="854" t="s">
        <v>1619</v>
      </c>
      <c r="P36" s="658">
        <v>280</v>
      </c>
      <c r="Q36" s="658">
        <v>59</v>
      </c>
      <c r="R36" s="657">
        <f t="shared" si="1"/>
        <v>1.4750000000000001</v>
      </c>
      <c r="S36" s="658">
        <v>36</v>
      </c>
      <c r="T36" s="658">
        <v>10</v>
      </c>
      <c r="U36" s="658">
        <v>385</v>
      </c>
      <c r="V36" s="658">
        <v>63</v>
      </c>
      <c r="W36" s="658">
        <v>11</v>
      </c>
      <c r="X36" s="658">
        <v>16878</v>
      </c>
      <c r="Y36" s="394"/>
    </row>
    <row r="37" spans="1:25" ht="39" x14ac:dyDescent="0.25">
      <c r="A37" s="569" t="s">
        <v>276</v>
      </c>
      <c r="B37" s="569" t="s">
        <v>276</v>
      </c>
      <c r="C37" s="569" t="s">
        <v>362</v>
      </c>
      <c r="D37" s="569" t="s">
        <v>74</v>
      </c>
      <c r="E37" s="569" t="s">
        <v>1606</v>
      </c>
      <c r="F37" s="548" t="s">
        <v>906</v>
      </c>
      <c r="G37" s="569" t="s">
        <v>1620</v>
      </c>
      <c r="H37" s="548" t="s">
        <v>1617</v>
      </c>
      <c r="I37" s="569" t="s">
        <v>98</v>
      </c>
      <c r="J37" s="569" t="s">
        <v>1610</v>
      </c>
      <c r="K37" s="569" t="s">
        <v>1611</v>
      </c>
      <c r="L37" s="569" t="s">
        <v>1618</v>
      </c>
      <c r="M37" s="569">
        <v>190</v>
      </c>
      <c r="N37" s="569">
        <v>13</v>
      </c>
      <c r="O37" s="855"/>
      <c r="P37" s="658">
        <v>146</v>
      </c>
      <c r="Q37" s="658">
        <v>26</v>
      </c>
      <c r="R37" s="657">
        <f t="shared" si="1"/>
        <v>2</v>
      </c>
      <c r="S37" s="658">
        <v>34</v>
      </c>
      <c r="T37" s="658">
        <v>11</v>
      </c>
      <c r="U37" s="658">
        <v>271</v>
      </c>
      <c r="V37" s="658">
        <v>27</v>
      </c>
      <c r="W37" s="658">
        <v>11</v>
      </c>
      <c r="X37" s="658">
        <v>3096</v>
      </c>
      <c r="Y37" s="392"/>
    </row>
    <row r="38" spans="1:25" ht="39" x14ac:dyDescent="0.25">
      <c r="A38" s="569" t="s">
        <v>276</v>
      </c>
      <c r="B38" s="569" t="s">
        <v>276</v>
      </c>
      <c r="C38" s="569" t="s">
        <v>362</v>
      </c>
      <c r="D38" s="569" t="s">
        <v>74</v>
      </c>
      <c r="E38" s="569" t="s">
        <v>1606</v>
      </c>
      <c r="F38" s="548" t="s">
        <v>906</v>
      </c>
      <c r="G38" s="569" t="s">
        <v>1621</v>
      </c>
      <c r="H38" s="548" t="s">
        <v>1617</v>
      </c>
      <c r="I38" s="569" t="s">
        <v>98</v>
      </c>
      <c r="J38" s="569" t="s">
        <v>1610</v>
      </c>
      <c r="K38" s="569" t="s">
        <v>1611</v>
      </c>
      <c r="L38" s="569" t="s">
        <v>1618</v>
      </c>
      <c r="M38" s="569">
        <v>1560</v>
      </c>
      <c r="N38" s="569">
        <v>100</v>
      </c>
      <c r="O38" s="855"/>
      <c r="P38" s="658">
        <v>1327</v>
      </c>
      <c r="Q38" s="658">
        <v>127</v>
      </c>
      <c r="R38" s="657">
        <f t="shared" si="1"/>
        <v>1.27</v>
      </c>
      <c r="S38" s="658">
        <v>121</v>
      </c>
      <c r="T38" s="658">
        <v>53</v>
      </c>
      <c r="U38" s="658">
        <v>2862</v>
      </c>
      <c r="V38" s="658">
        <v>137</v>
      </c>
      <c r="W38" s="658">
        <v>16</v>
      </c>
      <c r="X38" s="658">
        <v>27573</v>
      </c>
      <c r="Y38" s="406"/>
    </row>
    <row r="39" spans="1:25" ht="39" x14ac:dyDescent="0.25">
      <c r="A39" s="569" t="s">
        <v>276</v>
      </c>
      <c r="B39" s="569" t="s">
        <v>276</v>
      </c>
      <c r="C39" s="569" t="s">
        <v>362</v>
      </c>
      <c r="D39" s="569" t="s">
        <v>74</v>
      </c>
      <c r="E39" s="569" t="s">
        <v>1606</v>
      </c>
      <c r="F39" s="548" t="s">
        <v>906</v>
      </c>
      <c r="G39" s="569" t="s">
        <v>1622</v>
      </c>
      <c r="H39" s="548" t="s">
        <v>1617</v>
      </c>
      <c r="I39" s="569" t="s">
        <v>98</v>
      </c>
      <c r="J39" s="569" t="s">
        <v>1610</v>
      </c>
      <c r="K39" s="569" t="s">
        <v>1611</v>
      </c>
      <c r="L39" s="569" t="s">
        <v>1618</v>
      </c>
      <c r="M39" s="569">
        <v>855</v>
      </c>
      <c r="N39" s="569">
        <v>80</v>
      </c>
      <c r="O39" s="855"/>
      <c r="P39" s="292">
        <v>535</v>
      </c>
      <c r="Q39" s="292">
        <v>85</v>
      </c>
      <c r="R39" s="657">
        <f t="shared" si="1"/>
        <v>1.0625</v>
      </c>
      <c r="S39" s="292">
        <v>69</v>
      </c>
      <c r="T39" s="292">
        <v>30</v>
      </c>
      <c r="U39" s="292">
        <v>1119</v>
      </c>
      <c r="V39" s="292">
        <v>91</v>
      </c>
      <c r="W39" s="292">
        <v>15</v>
      </c>
      <c r="X39" s="292">
        <v>13506</v>
      </c>
      <c r="Y39" s="705"/>
    </row>
    <row r="40" spans="1:25" ht="39" x14ac:dyDescent="0.25">
      <c r="A40" s="569" t="s">
        <v>276</v>
      </c>
      <c r="B40" s="569" t="s">
        <v>276</v>
      </c>
      <c r="C40" s="569" t="s">
        <v>362</v>
      </c>
      <c r="D40" s="569" t="s">
        <v>74</v>
      </c>
      <c r="E40" s="569" t="s">
        <v>1606</v>
      </c>
      <c r="F40" s="548" t="s">
        <v>906</v>
      </c>
      <c r="G40" s="569" t="s">
        <v>1623</v>
      </c>
      <c r="H40" s="548" t="s">
        <v>1617</v>
      </c>
      <c r="I40" s="569" t="s">
        <v>98</v>
      </c>
      <c r="J40" s="569" t="s">
        <v>1610</v>
      </c>
      <c r="K40" s="569" t="s">
        <v>1611</v>
      </c>
      <c r="L40" s="569" t="s">
        <v>1618</v>
      </c>
      <c r="M40" s="569">
        <v>351</v>
      </c>
      <c r="N40" s="569">
        <v>19</v>
      </c>
      <c r="O40" s="856"/>
      <c r="P40" s="658">
        <v>273</v>
      </c>
      <c r="Q40" s="658">
        <v>25</v>
      </c>
      <c r="R40" s="657">
        <f t="shared" si="1"/>
        <v>1.3157894736842106</v>
      </c>
      <c r="S40" s="658">
        <v>40</v>
      </c>
      <c r="T40" s="658">
        <v>5</v>
      </c>
      <c r="U40" s="658">
        <v>521</v>
      </c>
      <c r="V40" s="658">
        <v>25</v>
      </c>
      <c r="W40" s="658">
        <v>8</v>
      </c>
      <c r="X40" s="658">
        <v>1747</v>
      </c>
      <c r="Y40" s="709"/>
    </row>
    <row r="41" spans="1:25" ht="26.25" x14ac:dyDescent="0.25">
      <c r="A41" s="569" t="s">
        <v>276</v>
      </c>
      <c r="B41" s="569" t="s">
        <v>276</v>
      </c>
      <c r="C41" s="661" t="s">
        <v>500</v>
      </c>
      <c r="D41" s="661" t="s">
        <v>501</v>
      </c>
      <c r="E41" s="661" t="s">
        <v>2017</v>
      </c>
      <c r="F41" s="597" t="s">
        <v>899</v>
      </c>
      <c r="G41" s="706" t="s">
        <v>960</v>
      </c>
      <c r="H41" s="597" t="s">
        <v>895</v>
      </c>
      <c r="I41" s="569" t="s">
        <v>896</v>
      </c>
      <c r="J41" s="569" t="s">
        <v>897</v>
      </c>
      <c r="K41" s="703" t="s">
        <v>898</v>
      </c>
      <c r="L41" s="661" t="s">
        <v>1612</v>
      </c>
      <c r="M41" s="704">
        <v>70</v>
      </c>
      <c r="N41" s="704">
        <v>2</v>
      </c>
      <c r="O41" s="710" t="s">
        <v>961</v>
      </c>
      <c r="P41" s="658">
        <v>95</v>
      </c>
      <c r="Q41" s="658">
        <v>4</v>
      </c>
      <c r="R41" s="657">
        <f t="shared" si="1"/>
        <v>2</v>
      </c>
      <c r="S41" s="658">
        <v>28</v>
      </c>
      <c r="T41" s="658">
        <v>2</v>
      </c>
      <c r="U41" s="658">
        <v>95</v>
      </c>
      <c r="V41" s="658">
        <v>4</v>
      </c>
      <c r="W41" s="658">
        <v>3</v>
      </c>
      <c r="X41" s="658">
        <v>1253</v>
      </c>
      <c r="Y41" s="709" t="s">
        <v>2021</v>
      </c>
    </row>
    <row r="42" spans="1:25" ht="45" x14ac:dyDescent="0.25">
      <c r="A42" s="569" t="s">
        <v>276</v>
      </c>
      <c r="B42" s="569" t="s">
        <v>276</v>
      </c>
      <c r="C42" s="661" t="s">
        <v>500</v>
      </c>
      <c r="D42" s="661" t="s">
        <v>501</v>
      </c>
      <c r="E42" s="661" t="s">
        <v>2017</v>
      </c>
      <c r="F42" s="548" t="s">
        <v>906</v>
      </c>
      <c r="G42" s="706" t="s">
        <v>960</v>
      </c>
      <c r="H42" s="548" t="s">
        <v>1617</v>
      </c>
      <c r="I42" s="569" t="s">
        <v>98</v>
      </c>
      <c r="J42" s="703" t="s">
        <v>2016</v>
      </c>
      <c r="K42" s="703" t="s">
        <v>898</v>
      </c>
      <c r="L42" s="661" t="s">
        <v>1612</v>
      </c>
      <c r="M42" s="704">
        <v>15</v>
      </c>
      <c r="N42" s="704">
        <v>5</v>
      </c>
      <c r="O42" s="707" t="s">
        <v>2023</v>
      </c>
      <c r="P42" s="658">
        <v>12</v>
      </c>
      <c r="Q42" s="658">
        <v>5</v>
      </c>
      <c r="R42" s="657">
        <f t="shared" si="1"/>
        <v>1</v>
      </c>
      <c r="S42" s="658">
        <v>17</v>
      </c>
      <c r="T42" s="658">
        <v>5</v>
      </c>
      <c r="U42" s="658">
        <v>23</v>
      </c>
      <c r="V42" s="658">
        <v>5</v>
      </c>
      <c r="W42" s="658">
        <v>1</v>
      </c>
      <c r="X42" s="658">
        <v>836</v>
      </c>
      <c r="Y42" s="708" t="s">
        <v>2022</v>
      </c>
    </row>
    <row r="43" spans="1:25" x14ac:dyDescent="0.25">
      <c r="M43" s="187"/>
      <c r="N43" s="187"/>
    </row>
    <row r="44" spans="1:25" x14ac:dyDescent="0.25">
      <c r="M44" s="187"/>
      <c r="N44" s="187"/>
    </row>
    <row r="45" spans="1:25" x14ac:dyDescent="0.25">
      <c r="M45" s="187"/>
      <c r="N45" s="187"/>
    </row>
    <row r="46" spans="1:25" x14ac:dyDescent="0.25">
      <c r="M46" s="187"/>
      <c r="N46" s="187"/>
    </row>
    <row r="47" spans="1:25" x14ac:dyDescent="0.25">
      <c r="M47" s="187"/>
      <c r="N47" s="187"/>
      <c r="O47" s="187"/>
    </row>
    <row r="48" spans="1:25" x14ac:dyDescent="0.25">
      <c r="M48" s="187"/>
      <c r="N48" s="187"/>
      <c r="O48" s="187"/>
      <c r="P48" s="187"/>
      <c r="Q48" s="187"/>
    </row>
    <row r="49" spans="13:17" x14ac:dyDescent="0.25">
      <c r="M49" s="187"/>
      <c r="N49" s="187"/>
      <c r="O49" s="187"/>
    </row>
    <row r="50" spans="13:17" x14ac:dyDescent="0.25">
      <c r="M50" s="187"/>
      <c r="N50" s="187"/>
      <c r="O50" s="187"/>
    </row>
    <row r="51" spans="13:17" x14ac:dyDescent="0.25">
      <c r="M51" s="187"/>
      <c r="N51" s="187"/>
      <c r="O51" s="187"/>
      <c r="P51" s="187"/>
      <c r="Q51" s="187"/>
    </row>
    <row r="52" spans="13:17" x14ac:dyDescent="0.25">
      <c r="M52" s="187"/>
      <c r="N52" s="187"/>
      <c r="O52" s="187"/>
      <c r="P52" s="187"/>
      <c r="Q52" s="187"/>
    </row>
    <row r="53" spans="13:17" x14ac:dyDescent="0.25">
      <c r="M53" s="187"/>
      <c r="N53" s="187"/>
      <c r="O53" s="187"/>
    </row>
    <row r="54" spans="13:17" x14ac:dyDescent="0.25">
      <c r="M54" s="187"/>
      <c r="N54" s="187"/>
      <c r="O54" s="187"/>
      <c r="P54" s="187"/>
      <c r="Q54" s="187"/>
    </row>
    <row r="55" spans="13:17" x14ac:dyDescent="0.25">
      <c r="M55" s="187"/>
      <c r="N55" s="187"/>
      <c r="O55" s="187"/>
    </row>
    <row r="56" spans="13:17" x14ac:dyDescent="0.25">
      <c r="M56" s="187"/>
      <c r="N56" s="187"/>
      <c r="O56" s="187"/>
    </row>
    <row r="57" spans="13:17" x14ac:dyDescent="0.25">
      <c r="M57" s="187"/>
      <c r="N57" s="187"/>
      <c r="O57" s="187"/>
    </row>
    <row r="58" spans="13:17" x14ac:dyDescent="0.25">
      <c r="M58" s="187"/>
      <c r="N58" s="187"/>
      <c r="O58" s="187"/>
      <c r="P58" s="187"/>
      <c r="Q58" s="187"/>
    </row>
    <row r="59" spans="13:17" x14ac:dyDescent="0.25">
      <c r="M59" s="187"/>
      <c r="N59" s="187"/>
      <c r="O59" s="187"/>
      <c r="P59" s="187"/>
      <c r="Q59" s="187"/>
    </row>
    <row r="60" spans="13:17" x14ac:dyDescent="0.25">
      <c r="M60" s="187"/>
      <c r="N60" s="187"/>
      <c r="O60" s="187"/>
      <c r="P60" s="187"/>
      <c r="Q60" s="187"/>
    </row>
    <row r="61" spans="13:17" x14ac:dyDescent="0.25">
      <c r="M61" s="187"/>
      <c r="N61" s="187"/>
      <c r="O61" s="187"/>
      <c r="P61" s="187"/>
      <c r="Q61" s="187"/>
    </row>
    <row r="62" spans="13:17" x14ac:dyDescent="0.25">
      <c r="M62" s="187"/>
      <c r="N62" s="187"/>
      <c r="O62" s="187"/>
      <c r="P62" s="187"/>
      <c r="Q62" s="187"/>
    </row>
    <row r="63" spans="13:17" x14ac:dyDescent="0.25">
      <c r="M63" s="187"/>
      <c r="N63" s="187"/>
      <c r="O63" s="187"/>
      <c r="P63" s="187"/>
      <c r="Q63" s="187"/>
    </row>
    <row r="64" spans="13:17" x14ac:dyDescent="0.25">
      <c r="M64" s="187"/>
      <c r="N64" s="187"/>
      <c r="O64" s="187"/>
      <c r="P64" s="187"/>
      <c r="Q64" s="187"/>
    </row>
    <row r="65" spans="13:17" x14ac:dyDescent="0.25">
      <c r="M65" s="187"/>
      <c r="N65" s="187"/>
      <c r="O65" s="187"/>
      <c r="P65" s="187"/>
      <c r="Q65" s="187"/>
    </row>
    <row r="66" spans="13:17" x14ac:dyDescent="0.25">
      <c r="M66" s="187"/>
      <c r="N66" s="187"/>
      <c r="O66" s="187"/>
      <c r="P66" s="187"/>
      <c r="Q66" s="187"/>
    </row>
    <row r="67" spans="13:17" x14ac:dyDescent="0.25">
      <c r="M67" s="187"/>
      <c r="N67" s="187"/>
      <c r="O67" s="187"/>
      <c r="P67" s="187"/>
      <c r="Q67" s="187"/>
    </row>
    <row r="68" spans="13:17" x14ac:dyDescent="0.25">
      <c r="M68" s="187"/>
      <c r="N68" s="187"/>
      <c r="O68" s="187"/>
      <c r="P68" s="187"/>
      <c r="Q68" s="187"/>
    </row>
    <row r="69" spans="13:17" x14ac:dyDescent="0.25">
      <c r="M69" s="187"/>
      <c r="N69" s="187"/>
      <c r="O69" s="187"/>
      <c r="P69" s="187"/>
      <c r="Q69" s="187"/>
    </row>
    <row r="70" spans="13:17" x14ac:dyDescent="0.25">
      <c r="M70" s="187"/>
      <c r="N70" s="187"/>
      <c r="O70" s="187"/>
      <c r="P70" s="187"/>
      <c r="Q70" s="187"/>
    </row>
    <row r="71" spans="13:17" x14ac:dyDescent="0.25">
      <c r="M71" s="187"/>
      <c r="N71" s="187"/>
      <c r="O71" s="187"/>
      <c r="P71" s="187"/>
      <c r="Q71" s="187"/>
    </row>
    <row r="72" spans="13:17" x14ac:dyDescent="0.25">
      <c r="M72" s="187"/>
      <c r="N72" s="187"/>
      <c r="O72" s="187"/>
      <c r="P72" s="187"/>
      <c r="Q72" s="187"/>
    </row>
    <row r="73" spans="13:17" x14ac:dyDescent="0.25">
      <c r="M73" s="187"/>
      <c r="N73" s="187"/>
      <c r="O73" s="187"/>
      <c r="P73" s="187"/>
      <c r="Q73" s="187"/>
    </row>
    <row r="74" spans="13:17" x14ac:dyDescent="0.25">
      <c r="M74" s="187"/>
      <c r="N74" s="187"/>
      <c r="O74" s="187"/>
      <c r="P74" s="187"/>
      <c r="Q74" s="187"/>
    </row>
    <row r="75" spans="13:17" x14ac:dyDescent="0.25">
      <c r="M75" s="187"/>
      <c r="N75" s="187"/>
      <c r="O75" s="187"/>
      <c r="P75" s="187"/>
      <c r="Q75" s="187"/>
    </row>
    <row r="76" spans="13:17" x14ac:dyDescent="0.25">
      <c r="M76" s="187"/>
      <c r="N76" s="187"/>
      <c r="O76" s="187"/>
      <c r="P76" s="187"/>
      <c r="Q76" s="187"/>
    </row>
    <row r="77" spans="13:17" x14ac:dyDescent="0.25">
      <c r="M77" s="187"/>
      <c r="N77" s="187"/>
      <c r="O77" s="187"/>
      <c r="P77" s="187"/>
      <c r="Q77" s="187"/>
    </row>
    <row r="78" spans="13:17" x14ac:dyDescent="0.25">
      <c r="M78" s="187"/>
      <c r="N78" s="187"/>
      <c r="O78" s="187"/>
      <c r="P78" s="187"/>
      <c r="Q78" s="187"/>
    </row>
    <row r="79" spans="13:17" x14ac:dyDescent="0.25">
      <c r="M79" s="187"/>
      <c r="N79" s="187"/>
      <c r="O79" s="187"/>
      <c r="P79" s="187"/>
      <c r="Q79" s="187"/>
    </row>
    <row r="80" spans="13:17" x14ac:dyDescent="0.25">
      <c r="M80" s="187"/>
      <c r="N80" s="187"/>
      <c r="O80" s="187"/>
      <c r="P80" s="187"/>
      <c r="Q80" s="187"/>
    </row>
    <row r="81" spans="13:17" x14ac:dyDescent="0.25">
      <c r="M81" s="187"/>
      <c r="N81" s="187"/>
      <c r="O81" s="187"/>
      <c r="P81" s="187"/>
      <c r="Q81" s="187"/>
    </row>
    <row r="82" spans="13:17" x14ac:dyDescent="0.25">
      <c r="M82" s="187"/>
      <c r="N82" s="187"/>
      <c r="O82" s="187"/>
      <c r="P82" s="187"/>
      <c r="Q82" s="187"/>
    </row>
    <row r="83" spans="13:17" x14ac:dyDescent="0.25">
      <c r="M83" s="187"/>
      <c r="N83" s="187"/>
      <c r="O83" s="187"/>
      <c r="P83" s="187"/>
      <c r="Q83" s="187"/>
    </row>
    <row r="84" spans="13:17" x14ac:dyDescent="0.25">
      <c r="M84" s="187"/>
      <c r="N84" s="187"/>
      <c r="O84" s="187"/>
      <c r="P84" s="187"/>
      <c r="Q84" s="187"/>
    </row>
    <row r="85" spans="13:17" x14ac:dyDescent="0.25">
      <c r="M85" s="187"/>
      <c r="N85" s="187"/>
      <c r="O85" s="187"/>
      <c r="P85" s="187"/>
      <c r="Q85" s="187"/>
    </row>
    <row r="86" spans="13:17" x14ac:dyDescent="0.25">
      <c r="M86" s="187"/>
      <c r="N86" s="187"/>
      <c r="O86" s="187"/>
      <c r="P86" s="187"/>
      <c r="Q86" s="187"/>
    </row>
    <row r="87" spans="13:17" x14ac:dyDescent="0.25">
      <c r="M87" s="187"/>
      <c r="N87" s="187"/>
      <c r="O87" s="187"/>
      <c r="P87" s="187"/>
      <c r="Q87" s="187"/>
    </row>
    <row r="88" spans="13:17" x14ac:dyDescent="0.25">
      <c r="M88" s="187"/>
      <c r="N88" s="187"/>
      <c r="O88" s="187"/>
      <c r="P88" s="187"/>
      <c r="Q88" s="187"/>
    </row>
    <row r="89" spans="13:17" x14ac:dyDescent="0.25">
      <c r="M89" s="187"/>
      <c r="N89" s="187"/>
      <c r="O89" s="187"/>
      <c r="P89" s="187"/>
      <c r="Q89" s="187"/>
    </row>
    <row r="90" spans="13:17" x14ac:dyDescent="0.25">
      <c r="M90" s="187"/>
      <c r="N90" s="187"/>
      <c r="O90" s="187"/>
      <c r="P90" s="187"/>
      <c r="Q90" s="187"/>
    </row>
    <row r="91" spans="13:17" x14ac:dyDescent="0.25">
      <c r="M91" s="187"/>
      <c r="N91" s="187"/>
      <c r="O91" s="187"/>
      <c r="P91" s="187"/>
      <c r="Q91" s="187"/>
    </row>
    <row r="92" spans="13:17" x14ac:dyDescent="0.25">
      <c r="M92" s="187"/>
      <c r="N92" s="187"/>
      <c r="O92" s="187"/>
      <c r="P92" s="187"/>
      <c r="Q92" s="187"/>
    </row>
    <row r="93" spans="13:17" x14ac:dyDescent="0.25">
      <c r="M93" s="187"/>
      <c r="N93" s="187"/>
      <c r="O93" s="187"/>
      <c r="P93" s="187"/>
      <c r="Q93" s="187"/>
    </row>
    <row r="94" spans="13:17" x14ac:dyDescent="0.25">
      <c r="M94" s="187"/>
      <c r="N94" s="187"/>
      <c r="O94" s="187"/>
      <c r="P94" s="187"/>
      <c r="Q94" s="187"/>
    </row>
    <row r="95" spans="13:17" x14ac:dyDescent="0.25">
      <c r="M95" s="187"/>
      <c r="N95" s="187"/>
      <c r="O95" s="187"/>
      <c r="P95" s="187"/>
      <c r="Q95" s="187"/>
    </row>
    <row r="96" spans="13:17" x14ac:dyDescent="0.25">
      <c r="M96" s="187"/>
      <c r="N96" s="187"/>
      <c r="O96" s="187"/>
      <c r="P96" s="187"/>
      <c r="Q96" s="187"/>
    </row>
    <row r="97" spans="13:17" x14ac:dyDescent="0.25">
      <c r="M97" s="187"/>
      <c r="N97" s="187"/>
      <c r="O97" s="187"/>
      <c r="P97" s="187"/>
      <c r="Q97" s="187"/>
    </row>
    <row r="98" spans="13:17" x14ac:dyDescent="0.25">
      <c r="M98" s="187"/>
      <c r="N98" s="187"/>
      <c r="O98" s="187"/>
      <c r="P98" s="187"/>
      <c r="Q98" s="187"/>
    </row>
    <row r="99" spans="13:17" x14ac:dyDescent="0.25">
      <c r="M99" s="187"/>
      <c r="N99" s="187"/>
      <c r="O99" s="187"/>
      <c r="P99" s="187"/>
      <c r="Q99" s="187"/>
    </row>
    <row r="100" spans="13:17" x14ac:dyDescent="0.25">
      <c r="M100" s="187"/>
      <c r="N100" s="187"/>
      <c r="O100" s="187"/>
      <c r="P100" s="187"/>
      <c r="Q100" s="187"/>
    </row>
    <row r="101" spans="13:17" x14ac:dyDescent="0.25">
      <c r="M101" s="187"/>
      <c r="N101" s="187"/>
      <c r="O101" s="187"/>
      <c r="P101" s="187"/>
      <c r="Q101" s="187"/>
    </row>
    <row r="102" spans="13:17" x14ac:dyDescent="0.25">
      <c r="M102" s="187"/>
      <c r="N102" s="187"/>
      <c r="O102" s="187"/>
      <c r="P102" s="187"/>
      <c r="Q102" s="187"/>
    </row>
    <row r="103" spans="13:17" x14ac:dyDescent="0.25">
      <c r="M103" s="187"/>
      <c r="N103" s="187"/>
      <c r="O103" s="187"/>
      <c r="P103" s="187"/>
      <c r="Q103" s="187"/>
    </row>
    <row r="104" spans="13:17" x14ac:dyDescent="0.25">
      <c r="M104" s="187"/>
      <c r="N104" s="187"/>
      <c r="O104" s="187"/>
      <c r="P104" s="187"/>
      <c r="Q104" s="187"/>
    </row>
    <row r="105" spans="13:17" x14ac:dyDescent="0.25">
      <c r="M105" s="187"/>
      <c r="N105" s="187"/>
      <c r="O105" s="187"/>
      <c r="P105" s="187"/>
      <c r="Q105" s="187"/>
    </row>
    <row r="106" spans="13:17" x14ac:dyDescent="0.25">
      <c r="M106" s="187"/>
      <c r="N106" s="187"/>
      <c r="O106" s="187"/>
      <c r="P106" s="187"/>
      <c r="Q106" s="187"/>
    </row>
    <row r="107" spans="13:17" x14ac:dyDescent="0.25">
      <c r="M107" s="187"/>
      <c r="N107" s="187"/>
      <c r="O107" s="187"/>
      <c r="P107" s="187"/>
      <c r="Q107" s="187"/>
    </row>
    <row r="108" spans="13:17" x14ac:dyDescent="0.25">
      <c r="M108" s="187"/>
      <c r="N108" s="187"/>
      <c r="O108" s="187"/>
      <c r="P108" s="187"/>
      <c r="Q108" s="187"/>
    </row>
    <row r="109" spans="13:17" x14ac:dyDescent="0.25">
      <c r="M109" s="187"/>
      <c r="N109" s="187"/>
      <c r="O109" s="187"/>
      <c r="P109" s="187"/>
      <c r="Q109" s="187"/>
    </row>
    <row r="110" spans="13:17" x14ac:dyDescent="0.25">
      <c r="M110" s="187"/>
      <c r="N110" s="187"/>
      <c r="O110" s="187"/>
      <c r="P110" s="187"/>
      <c r="Q110" s="187"/>
    </row>
    <row r="111" spans="13:17" x14ac:dyDescent="0.25">
      <c r="M111" s="187"/>
      <c r="N111" s="187"/>
      <c r="O111" s="187"/>
      <c r="P111" s="187"/>
      <c r="Q111" s="187"/>
    </row>
    <row r="112" spans="13:17" x14ac:dyDescent="0.25">
      <c r="M112" s="187"/>
      <c r="N112" s="187"/>
      <c r="O112" s="187"/>
      <c r="P112" s="187"/>
      <c r="Q112" s="187"/>
    </row>
    <row r="113" spans="13:17" x14ac:dyDescent="0.25">
      <c r="M113" s="187"/>
      <c r="N113" s="187"/>
      <c r="O113" s="187"/>
      <c r="P113" s="187"/>
      <c r="Q113" s="187"/>
    </row>
    <row r="114" spans="13:17" x14ac:dyDescent="0.25">
      <c r="M114" s="187"/>
      <c r="N114" s="187"/>
      <c r="O114" s="187"/>
      <c r="P114" s="187"/>
      <c r="Q114" s="187"/>
    </row>
    <row r="115" spans="13:17" x14ac:dyDescent="0.25">
      <c r="M115" s="187"/>
      <c r="N115" s="187"/>
      <c r="O115" s="187"/>
      <c r="P115" s="187"/>
      <c r="Q115" s="187"/>
    </row>
    <row r="116" spans="13:17" x14ac:dyDescent="0.25">
      <c r="M116" s="187"/>
      <c r="N116" s="187"/>
      <c r="O116" s="187"/>
      <c r="P116" s="187"/>
      <c r="Q116" s="187"/>
    </row>
    <row r="117" spans="13:17" x14ac:dyDescent="0.25">
      <c r="M117" s="187"/>
      <c r="N117" s="187"/>
      <c r="O117" s="187"/>
      <c r="P117" s="187"/>
      <c r="Q117" s="187"/>
    </row>
    <row r="118" spans="13:17" x14ac:dyDescent="0.25">
      <c r="M118" s="187"/>
      <c r="N118" s="187"/>
      <c r="O118" s="187"/>
      <c r="P118" s="187"/>
      <c r="Q118" s="187"/>
    </row>
    <row r="119" spans="13:17" x14ac:dyDescent="0.25">
      <c r="M119" s="187"/>
      <c r="N119" s="187"/>
      <c r="O119" s="187"/>
      <c r="P119" s="187"/>
      <c r="Q119" s="187"/>
    </row>
    <row r="120" spans="13:17" x14ac:dyDescent="0.25">
      <c r="M120" s="187"/>
      <c r="N120" s="187"/>
      <c r="O120" s="187"/>
      <c r="P120" s="187"/>
      <c r="Q120" s="187"/>
    </row>
    <row r="121" spans="13:17" x14ac:dyDescent="0.25">
      <c r="M121" s="187"/>
      <c r="N121" s="187"/>
      <c r="O121" s="187"/>
      <c r="P121" s="187"/>
      <c r="Q121" s="187"/>
    </row>
    <row r="122" spans="13:17" x14ac:dyDescent="0.25">
      <c r="M122" s="187"/>
      <c r="N122" s="187"/>
      <c r="O122" s="187"/>
      <c r="P122" s="187"/>
      <c r="Q122" s="187"/>
    </row>
    <row r="123" spans="13:17" x14ac:dyDescent="0.25">
      <c r="M123" s="187"/>
      <c r="N123" s="187"/>
      <c r="O123" s="187"/>
      <c r="P123" s="187"/>
      <c r="Q123" s="187"/>
    </row>
    <row r="124" spans="13:17" x14ac:dyDescent="0.25">
      <c r="M124" s="187"/>
      <c r="N124" s="187"/>
      <c r="O124" s="187"/>
      <c r="P124" s="187"/>
      <c r="Q124" s="187"/>
    </row>
    <row r="125" spans="13:17" x14ac:dyDescent="0.25">
      <c r="M125" s="187"/>
      <c r="N125" s="187"/>
      <c r="O125" s="187"/>
      <c r="P125" s="187"/>
      <c r="Q125" s="187"/>
    </row>
    <row r="126" spans="13:17" x14ac:dyDescent="0.25">
      <c r="M126" s="187"/>
      <c r="N126" s="187"/>
      <c r="O126" s="187"/>
      <c r="P126" s="187"/>
      <c r="Q126" s="187"/>
    </row>
    <row r="127" spans="13:17" x14ac:dyDescent="0.25">
      <c r="M127" s="187"/>
      <c r="N127" s="187"/>
      <c r="O127" s="187"/>
      <c r="P127" s="187"/>
      <c r="Q127" s="187"/>
    </row>
    <row r="128" spans="13:17" x14ac:dyDescent="0.25">
      <c r="M128" s="187"/>
      <c r="N128" s="187"/>
      <c r="O128" s="187"/>
      <c r="P128" s="187"/>
      <c r="Q128" s="187"/>
    </row>
    <row r="129" spans="13:17" x14ac:dyDescent="0.25">
      <c r="M129" s="187"/>
      <c r="N129" s="187"/>
      <c r="O129" s="187"/>
      <c r="P129" s="187"/>
      <c r="Q129" s="187"/>
    </row>
    <row r="130" spans="13:17" x14ac:dyDescent="0.25">
      <c r="M130" s="187"/>
      <c r="N130" s="187"/>
      <c r="O130" s="187"/>
      <c r="P130" s="187"/>
      <c r="Q130" s="187"/>
    </row>
    <row r="131" spans="13:17" x14ac:dyDescent="0.25">
      <c r="M131" s="187"/>
      <c r="N131" s="187"/>
      <c r="O131" s="187"/>
      <c r="P131" s="187"/>
      <c r="Q131" s="187"/>
    </row>
    <row r="132" spans="13:17" x14ac:dyDescent="0.25">
      <c r="M132" s="187"/>
      <c r="N132" s="187"/>
      <c r="O132" s="187"/>
      <c r="P132" s="187"/>
      <c r="Q132" s="187"/>
    </row>
    <row r="133" spans="13:17" x14ac:dyDescent="0.25">
      <c r="M133" s="187"/>
      <c r="N133" s="187"/>
      <c r="O133" s="187"/>
      <c r="P133" s="187"/>
      <c r="Q133" s="187"/>
    </row>
    <row r="134" spans="13:17" x14ac:dyDescent="0.25">
      <c r="M134" s="187"/>
      <c r="N134" s="187"/>
      <c r="O134" s="187"/>
      <c r="P134" s="187"/>
      <c r="Q134" s="187"/>
    </row>
    <row r="135" spans="13:17" x14ac:dyDescent="0.25">
      <c r="M135" s="187"/>
      <c r="N135" s="187"/>
      <c r="O135" s="187"/>
      <c r="P135" s="187"/>
      <c r="Q135" s="187"/>
    </row>
    <row r="136" spans="13:17" x14ac:dyDescent="0.25">
      <c r="M136" s="187"/>
      <c r="N136" s="187"/>
      <c r="O136" s="187"/>
      <c r="P136" s="187"/>
      <c r="Q136" s="187"/>
    </row>
    <row r="137" spans="13:17" x14ac:dyDescent="0.25">
      <c r="M137" s="187"/>
      <c r="N137" s="187"/>
      <c r="O137" s="187"/>
      <c r="P137" s="187"/>
      <c r="Q137" s="187"/>
    </row>
    <row r="138" spans="13:17" x14ac:dyDescent="0.25">
      <c r="M138" s="187"/>
      <c r="N138" s="187"/>
      <c r="O138" s="187"/>
      <c r="P138" s="187"/>
      <c r="Q138" s="187"/>
    </row>
    <row r="139" spans="13:17" x14ac:dyDescent="0.25">
      <c r="M139" s="187"/>
      <c r="N139" s="187"/>
      <c r="O139" s="187"/>
      <c r="P139" s="187"/>
      <c r="Q139" s="187"/>
    </row>
    <row r="140" spans="13:17" x14ac:dyDescent="0.25">
      <c r="M140" s="187"/>
      <c r="N140" s="187"/>
      <c r="O140" s="187"/>
      <c r="P140" s="187"/>
      <c r="Q140" s="187"/>
    </row>
    <row r="141" spans="13:17" x14ac:dyDescent="0.25">
      <c r="M141" s="187"/>
      <c r="N141" s="187"/>
      <c r="O141" s="187"/>
      <c r="P141" s="187"/>
      <c r="Q141" s="187"/>
    </row>
    <row r="142" spans="13:17" x14ac:dyDescent="0.25">
      <c r="M142" s="187"/>
      <c r="N142" s="187"/>
      <c r="O142" s="187"/>
      <c r="P142" s="187"/>
      <c r="Q142" s="187"/>
    </row>
    <row r="143" spans="13:17" x14ac:dyDescent="0.25">
      <c r="M143" s="187"/>
      <c r="N143" s="187"/>
      <c r="O143" s="187"/>
      <c r="P143" s="187"/>
      <c r="Q143" s="187"/>
    </row>
    <row r="144" spans="13:17" x14ac:dyDescent="0.25">
      <c r="M144" s="187"/>
      <c r="N144" s="187"/>
      <c r="O144" s="187"/>
      <c r="P144" s="187"/>
      <c r="Q144" s="187"/>
    </row>
    <row r="145" spans="13:17" x14ac:dyDescent="0.25">
      <c r="M145" s="187"/>
      <c r="N145" s="187"/>
      <c r="O145" s="187"/>
      <c r="P145" s="187"/>
      <c r="Q145" s="187"/>
    </row>
    <row r="146" spans="13:17" x14ac:dyDescent="0.25">
      <c r="M146" s="187"/>
      <c r="N146" s="187"/>
      <c r="O146" s="187"/>
      <c r="P146" s="187"/>
      <c r="Q146" s="187"/>
    </row>
    <row r="147" spans="13:17" x14ac:dyDescent="0.25">
      <c r="M147" s="187"/>
      <c r="N147" s="187"/>
      <c r="O147" s="187"/>
      <c r="P147" s="187"/>
      <c r="Q147" s="187"/>
    </row>
    <row r="148" spans="13:17" x14ac:dyDescent="0.25">
      <c r="M148" s="187"/>
      <c r="N148" s="187"/>
      <c r="O148" s="187"/>
      <c r="P148" s="187"/>
      <c r="Q148" s="187"/>
    </row>
    <row r="149" spans="13:17" x14ac:dyDescent="0.25">
      <c r="M149" s="187"/>
      <c r="N149" s="187"/>
      <c r="O149" s="187"/>
      <c r="P149" s="187"/>
      <c r="Q149" s="187"/>
    </row>
    <row r="150" spans="13:17" x14ac:dyDescent="0.25">
      <c r="M150" s="187"/>
      <c r="N150" s="187"/>
      <c r="O150" s="187"/>
      <c r="P150" s="187"/>
      <c r="Q150" s="187"/>
    </row>
    <row r="151" spans="13:17" x14ac:dyDescent="0.25">
      <c r="M151" s="187"/>
      <c r="N151" s="187"/>
      <c r="O151" s="187"/>
      <c r="P151" s="187"/>
      <c r="Q151" s="187"/>
    </row>
    <row r="152" spans="13:17" x14ac:dyDescent="0.25">
      <c r="M152" s="187"/>
      <c r="N152" s="187"/>
      <c r="O152" s="187"/>
      <c r="P152" s="187"/>
      <c r="Q152" s="187"/>
    </row>
    <row r="153" spans="13:17" x14ac:dyDescent="0.25">
      <c r="M153" s="187"/>
      <c r="N153" s="187"/>
      <c r="O153" s="187"/>
      <c r="P153" s="187"/>
      <c r="Q153" s="187"/>
    </row>
    <row r="154" spans="13:17" x14ac:dyDescent="0.25">
      <c r="M154" s="187"/>
      <c r="N154" s="187"/>
      <c r="O154" s="187"/>
      <c r="P154" s="187"/>
      <c r="Q154" s="187"/>
    </row>
    <row r="155" spans="13:17" x14ac:dyDescent="0.25">
      <c r="M155" s="187"/>
      <c r="N155" s="187"/>
      <c r="O155" s="187"/>
      <c r="P155" s="187"/>
      <c r="Q155" s="187"/>
    </row>
    <row r="156" spans="13:17" x14ac:dyDescent="0.25">
      <c r="M156" s="187"/>
      <c r="N156" s="187"/>
      <c r="O156" s="187"/>
      <c r="P156" s="187"/>
      <c r="Q156" s="187"/>
    </row>
    <row r="157" spans="13:17" x14ac:dyDescent="0.25">
      <c r="M157" s="187"/>
      <c r="N157" s="187"/>
      <c r="O157" s="187"/>
      <c r="P157" s="187"/>
      <c r="Q157" s="187"/>
    </row>
    <row r="158" spans="13:17" x14ac:dyDescent="0.25">
      <c r="M158" s="187"/>
      <c r="N158" s="187"/>
      <c r="O158" s="187"/>
      <c r="P158" s="187"/>
      <c r="Q158" s="187"/>
    </row>
    <row r="159" spans="13:17" x14ac:dyDescent="0.25">
      <c r="M159" s="187"/>
      <c r="N159" s="187"/>
      <c r="O159" s="187"/>
      <c r="P159" s="187"/>
      <c r="Q159" s="187"/>
    </row>
    <row r="160" spans="13:17" x14ac:dyDescent="0.25">
      <c r="M160" s="187"/>
      <c r="N160" s="187"/>
      <c r="O160" s="187"/>
      <c r="P160" s="187"/>
      <c r="Q160" s="187"/>
    </row>
    <row r="161" spans="13:17" x14ac:dyDescent="0.25">
      <c r="M161" s="187"/>
      <c r="N161" s="187"/>
      <c r="O161" s="187"/>
      <c r="P161" s="187"/>
      <c r="Q161" s="187"/>
    </row>
    <row r="162" spans="13:17" x14ac:dyDescent="0.25">
      <c r="M162" s="187"/>
      <c r="N162" s="187"/>
      <c r="O162" s="187"/>
      <c r="P162" s="187"/>
      <c r="Q162" s="187"/>
    </row>
    <row r="163" spans="13:17" x14ac:dyDescent="0.25">
      <c r="M163" s="187"/>
      <c r="N163" s="187"/>
      <c r="O163" s="187"/>
      <c r="P163" s="187"/>
      <c r="Q163" s="187"/>
    </row>
    <row r="164" spans="13:17" x14ac:dyDescent="0.25">
      <c r="M164" s="187"/>
      <c r="N164" s="187"/>
      <c r="O164" s="187"/>
      <c r="P164" s="187"/>
      <c r="Q164" s="187"/>
    </row>
    <row r="165" spans="13:17" x14ac:dyDescent="0.25">
      <c r="M165" s="187"/>
      <c r="N165" s="187"/>
      <c r="O165" s="187"/>
      <c r="P165" s="187"/>
      <c r="Q165" s="187"/>
    </row>
    <row r="166" spans="13:17" x14ac:dyDescent="0.25">
      <c r="M166" s="187"/>
      <c r="N166" s="187"/>
      <c r="O166" s="187"/>
      <c r="P166" s="187"/>
      <c r="Q166" s="187"/>
    </row>
    <row r="167" spans="13:17" x14ac:dyDescent="0.25">
      <c r="M167" s="187"/>
      <c r="N167" s="187"/>
      <c r="O167" s="187"/>
      <c r="P167" s="187"/>
      <c r="Q167" s="187"/>
    </row>
    <row r="168" spans="13:17" x14ac:dyDescent="0.25">
      <c r="M168" s="187"/>
      <c r="N168" s="187"/>
      <c r="O168" s="187"/>
      <c r="P168" s="187"/>
      <c r="Q168" s="187"/>
    </row>
    <row r="169" spans="13:17" x14ac:dyDescent="0.25">
      <c r="M169" s="187"/>
      <c r="N169" s="187"/>
      <c r="O169" s="187"/>
      <c r="P169" s="187"/>
      <c r="Q169" s="187"/>
    </row>
    <row r="170" spans="13:17" x14ac:dyDescent="0.25">
      <c r="M170" s="187"/>
      <c r="N170" s="187"/>
      <c r="O170" s="187"/>
      <c r="P170" s="187"/>
      <c r="Q170" s="187"/>
    </row>
    <row r="171" spans="13:17" x14ac:dyDescent="0.25">
      <c r="M171" s="187"/>
      <c r="N171" s="187"/>
      <c r="O171" s="187"/>
      <c r="P171" s="187"/>
      <c r="Q171" s="187"/>
    </row>
    <row r="172" spans="13:17" x14ac:dyDescent="0.25">
      <c r="M172" s="187"/>
      <c r="N172" s="187"/>
      <c r="O172" s="187"/>
      <c r="P172" s="187"/>
      <c r="Q172" s="187"/>
    </row>
    <row r="173" spans="13:17" x14ac:dyDescent="0.25">
      <c r="M173" s="187"/>
      <c r="N173" s="187"/>
      <c r="O173" s="187"/>
      <c r="P173" s="187"/>
      <c r="Q173" s="187"/>
    </row>
    <row r="174" spans="13:17" x14ac:dyDescent="0.25">
      <c r="M174" s="187"/>
      <c r="N174" s="187"/>
      <c r="O174" s="187"/>
      <c r="P174" s="187"/>
      <c r="Q174" s="187"/>
    </row>
    <row r="175" spans="13:17" x14ac:dyDescent="0.25">
      <c r="M175" s="187"/>
      <c r="N175" s="187"/>
      <c r="O175" s="187"/>
      <c r="P175" s="187"/>
      <c r="Q175" s="187"/>
    </row>
    <row r="176" spans="13:17" x14ac:dyDescent="0.25">
      <c r="M176" s="187"/>
      <c r="N176" s="187"/>
      <c r="O176" s="187"/>
      <c r="P176" s="187"/>
      <c r="Q176" s="187"/>
    </row>
    <row r="177" spans="13:17" x14ac:dyDescent="0.25">
      <c r="M177" s="187"/>
      <c r="N177" s="187"/>
      <c r="O177" s="187"/>
      <c r="P177" s="187"/>
      <c r="Q177" s="187"/>
    </row>
    <row r="178" spans="13:17" x14ac:dyDescent="0.25">
      <c r="M178" s="187"/>
      <c r="N178" s="187"/>
      <c r="O178" s="187"/>
      <c r="P178" s="187"/>
      <c r="Q178" s="187"/>
    </row>
    <row r="179" spans="13:17" x14ac:dyDescent="0.25">
      <c r="M179" s="187"/>
      <c r="N179" s="187"/>
      <c r="O179" s="187"/>
      <c r="P179" s="187"/>
      <c r="Q179" s="187"/>
    </row>
    <row r="180" spans="13:17" x14ac:dyDescent="0.25">
      <c r="M180" s="187"/>
      <c r="N180" s="187"/>
      <c r="O180" s="187"/>
      <c r="P180" s="187"/>
      <c r="Q180" s="187"/>
    </row>
    <row r="181" spans="13:17" x14ac:dyDescent="0.25">
      <c r="M181" s="187"/>
      <c r="N181" s="187"/>
      <c r="O181" s="187"/>
      <c r="P181" s="187"/>
      <c r="Q181" s="187"/>
    </row>
    <row r="182" spans="13:17" x14ac:dyDescent="0.25">
      <c r="M182" s="187"/>
      <c r="N182" s="187"/>
      <c r="O182" s="187"/>
      <c r="P182" s="187"/>
      <c r="Q182" s="187"/>
    </row>
    <row r="183" spans="13:17" x14ac:dyDescent="0.25">
      <c r="M183" s="187"/>
      <c r="N183" s="187"/>
      <c r="O183" s="187"/>
      <c r="P183" s="187"/>
      <c r="Q183" s="187"/>
    </row>
    <row r="184" spans="13:17" x14ac:dyDescent="0.25">
      <c r="M184" s="187"/>
      <c r="N184" s="187"/>
      <c r="O184" s="187"/>
      <c r="P184" s="187"/>
      <c r="Q184" s="187"/>
    </row>
    <row r="185" spans="13:17" x14ac:dyDescent="0.25">
      <c r="M185" s="187"/>
      <c r="N185" s="187"/>
      <c r="O185" s="187"/>
      <c r="P185" s="187"/>
      <c r="Q185" s="187"/>
    </row>
    <row r="186" spans="13:17" x14ac:dyDescent="0.25">
      <c r="M186" s="187"/>
      <c r="N186" s="187"/>
      <c r="O186" s="187"/>
      <c r="P186" s="187"/>
      <c r="Q186" s="187"/>
    </row>
    <row r="187" spans="13:17" x14ac:dyDescent="0.25">
      <c r="M187" s="187"/>
      <c r="N187" s="187"/>
      <c r="O187" s="187"/>
      <c r="P187" s="187"/>
      <c r="Q187" s="187"/>
    </row>
    <row r="188" spans="13:17" x14ac:dyDescent="0.25">
      <c r="M188" s="187"/>
      <c r="N188" s="187"/>
      <c r="O188" s="187"/>
      <c r="P188" s="187"/>
      <c r="Q188" s="187"/>
    </row>
    <row r="189" spans="13:17" x14ac:dyDescent="0.25">
      <c r="M189" s="187"/>
      <c r="N189" s="187"/>
      <c r="O189" s="187"/>
      <c r="P189" s="187"/>
      <c r="Q189" s="187"/>
    </row>
    <row r="190" spans="13:17" x14ac:dyDescent="0.25">
      <c r="M190" s="187"/>
      <c r="N190" s="187"/>
      <c r="O190" s="187"/>
      <c r="P190" s="187"/>
      <c r="Q190" s="187"/>
    </row>
    <row r="191" spans="13:17" x14ac:dyDescent="0.25">
      <c r="M191" s="187"/>
      <c r="N191" s="187"/>
      <c r="O191" s="187"/>
      <c r="P191" s="187"/>
      <c r="Q191" s="187"/>
    </row>
    <row r="192" spans="13:17" x14ac:dyDescent="0.25">
      <c r="M192" s="187"/>
      <c r="N192" s="187"/>
      <c r="O192" s="187"/>
      <c r="P192" s="187"/>
      <c r="Q192" s="187"/>
    </row>
    <row r="193" spans="13:17" x14ac:dyDescent="0.25">
      <c r="M193" s="187"/>
      <c r="N193" s="187"/>
      <c r="O193" s="187"/>
      <c r="P193" s="187"/>
      <c r="Q193" s="187"/>
    </row>
    <row r="194" spans="13:17" x14ac:dyDescent="0.25">
      <c r="M194" s="187"/>
      <c r="N194" s="187"/>
      <c r="O194" s="187"/>
      <c r="P194" s="187"/>
      <c r="Q194" s="187"/>
    </row>
    <row r="195" spans="13:17" x14ac:dyDescent="0.25">
      <c r="M195" s="187"/>
      <c r="N195" s="187"/>
      <c r="O195" s="187"/>
      <c r="P195" s="187"/>
      <c r="Q195" s="187"/>
    </row>
    <row r="196" spans="13:17" x14ac:dyDescent="0.25">
      <c r="M196" s="187"/>
      <c r="N196" s="187"/>
      <c r="O196" s="187"/>
      <c r="P196" s="187"/>
      <c r="Q196" s="187"/>
    </row>
    <row r="197" spans="13:17" x14ac:dyDescent="0.25">
      <c r="M197" s="187"/>
      <c r="N197" s="187"/>
      <c r="O197" s="187"/>
      <c r="P197" s="187"/>
      <c r="Q197" s="187"/>
    </row>
    <row r="198" spans="13:17" x14ac:dyDescent="0.25">
      <c r="M198" s="187"/>
      <c r="N198" s="187"/>
      <c r="O198" s="187"/>
      <c r="P198" s="187"/>
      <c r="Q198" s="187"/>
    </row>
    <row r="199" spans="13:17" x14ac:dyDescent="0.25">
      <c r="M199" s="187"/>
      <c r="N199" s="187"/>
      <c r="O199" s="187"/>
      <c r="P199" s="187"/>
      <c r="Q199" s="187"/>
    </row>
    <row r="200" spans="13:17" x14ac:dyDescent="0.25">
      <c r="M200" s="187"/>
      <c r="N200" s="187"/>
      <c r="O200" s="187"/>
      <c r="P200" s="187"/>
      <c r="Q200" s="187"/>
    </row>
    <row r="201" spans="13:17" x14ac:dyDescent="0.25">
      <c r="M201" s="187"/>
      <c r="N201" s="187"/>
      <c r="O201" s="187"/>
      <c r="P201" s="187"/>
      <c r="Q201" s="187"/>
    </row>
    <row r="202" spans="13:17" x14ac:dyDescent="0.25">
      <c r="M202" s="187"/>
      <c r="N202" s="187"/>
      <c r="O202" s="187"/>
      <c r="P202" s="187"/>
      <c r="Q202" s="187"/>
    </row>
    <row r="203" spans="13:17" x14ac:dyDescent="0.25">
      <c r="M203" s="187"/>
      <c r="N203" s="187"/>
      <c r="O203" s="187"/>
      <c r="P203" s="187"/>
      <c r="Q203" s="187"/>
    </row>
    <row r="204" spans="13:17" x14ac:dyDescent="0.25">
      <c r="M204" s="187"/>
      <c r="N204" s="187"/>
      <c r="O204" s="187"/>
      <c r="P204" s="187"/>
      <c r="Q204" s="187"/>
    </row>
    <row r="205" spans="13:17" x14ac:dyDescent="0.25">
      <c r="M205" s="187"/>
      <c r="N205" s="187"/>
      <c r="O205" s="187"/>
      <c r="P205" s="187"/>
      <c r="Q205" s="187"/>
    </row>
    <row r="206" spans="13:17" x14ac:dyDescent="0.25">
      <c r="M206" s="187"/>
      <c r="N206" s="187"/>
      <c r="O206" s="187"/>
      <c r="P206" s="187"/>
      <c r="Q206" s="187"/>
    </row>
    <row r="207" spans="13:17" x14ac:dyDescent="0.25">
      <c r="M207" s="187"/>
      <c r="N207" s="187"/>
      <c r="O207" s="187"/>
      <c r="P207" s="187"/>
      <c r="Q207" s="187"/>
    </row>
    <row r="208" spans="13:17" x14ac:dyDescent="0.25">
      <c r="M208" s="187"/>
      <c r="N208" s="187"/>
      <c r="O208" s="187"/>
      <c r="P208" s="187"/>
      <c r="Q208" s="187"/>
    </row>
    <row r="209" spans="13:17" x14ac:dyDescent="0.25">
      <c r="M209" s="187"/>
      <c r="N209" s="187"/>
      <c r="O209" s="187"/>
      <c r="P209" s="187"/>
      <c r="Q209" s="187"/>
    </row>
    <row r="210" spans="13:17" x14ac:dyDescent="0.25">
      <c r="M210" s="187"/>
      <c r="N210" s="187"/>
      <c r="O210" s="187"/>
      <c r="P210" s="187"/>
      <c r="Q210" s="187"/>
    </row>
    <row r="211" spans="13:17" x14ac:dyDescent="0.25">
      <c r="M211" s="187"/>
      <c r="N211" s="187"/>
      <c r="O211" s="187"/>
      <c r="P211" s="187"/>
      <c r="Q211" s="187"/>
    </row>
    <row r="212" spans="13:17" x14ac:dyDescent="0.25">
      <c r="M212" s="187"/>
      <c r="N212" s="187"/>
      <c r="O212" s="187"/>
      <c r="P212" s="187"/>
      <c r="Q212" s="187"/>
    </row>
    <row r="213" spans="13:17" x14ac:dyDescent="0.25">
      <c r="M213" s="187"/>
      <c r="N213" s="187"/>
      <c r="O213" s="187"/>
      <c r="P213" s="187"/>
      <c r="Q213" s="187"/>
    </row>
    <row r="214" spans="13:17" x14ac:dyDescent="0.25">
      <c r="M214" s="187"/>
      <c r="N214" s="187"/>
      <c r="O214" s="187"/>
      <c r="P214" s="187"/>
      <c r="Q214" s="187"/>
    </row>
    <row r="215" spans="13:17" x14ac:dyDescent="0.25">
      <c r="M215" s="187"/>
      <c r="N215" s="187"/>
      <c r="O215" s="187"/>
      <c r="P215" s="187"/>
      <c r="Q215" s="187"/>
    </row>
    <row r="216" spans="13:17" x14ac:dyDescent="0.25">
      <c r="M216" s="187"/>
      <c r="N216" s="187"/>
      <c r="O216" s="187"/>
      <c r="P216" s="187"/>
      <c r="Q216" s="187"/>
    </row>
    <row r="217" spans="13:17" x14ac:dyDescent="0.25">
      <c r="M217" s="187"/>
      <c r="N217" s="187"/>
      <c r="O217" s="187"/>
      <c r="P217" s="187"/>
      <c r="Q217" s="187"/>
    </row>
    <row r="218" spans="13:17" x14ac:dyDescent="0.25">
      <c r="M218" s="187"/>
      <c r="N218" s="187"/>
      <c r="O218" s="187"/>
      <c r="P218" s="187"/>
      <c r="Q218" s="187"/>
    </row>
    <row r="219" spans="13:17" x14ac:dyDescent="0.25">
      <c r="M219" s="187"/>
      <c r="N219" s="187"/>
      <c r="O219" s="187"/>
      <c r="P219" s="187"/>
      <c r="Q219" s="187"/>
    </row>
    <row r="220" spans="13:17" x14ac:dyDescent="0.25">
      <c r="M220" s="187"/>
      <c r="N220" s="187"/>
      <c r="O220" s="187"/>
      <c r="P220" s="187"/>
      <c r="Q220" s="187"/>
    </row>
    <row r="221" spans="13:17" x14ac:dyDescent="0.25">
      <c r="M221" s="187"/>
      <c r="N221" s="187"/>
      <c r="O221" s="187"/>
      <c r="P221" s="187"/>
      <c r="Q221" s="187"/>
    </row>
    <row r="222" spans="13:17" x14ac:dyDescent="0.25">
      <c r="M222" s="187"/>
      <c r="N222" s="187"/>
      <c r="O222" s="187"/>
      <c r="P222" s="187"/>
      <c r="Q222" s="187"/>
    </row>
    <row r="223" spans="13:17" x14ac:dyDescent="0.25">
      <c r="M223" s="187"/>
      <c r="N223" s="187"/>
      <c r="O223" s="187"/>
      <c r="P223" s="187"/>
      <c r="Q223" s="187"/>
    </row>
    <row r="224" spans="13:17" x14ac:dyDescent="0.25">
      <c r="M224" s="187"/>
      <c r="N224" s="187"/>
      <c r="O224" s="187"/>
      <c r="P224" s="187"/>
      <c r="Q224" s="187"/>
    </row>
    <row r="225" spans="13:17" x14ac:dyDescent="0.25">
      <c r="M225" s="187"/>
      <c r="N225" s="187"/>
      <c r="O225" s="187"/>
      <c r="P225" s="187"/>
      <c r="Q225" s="187"/>
    </row>
    <row r="226" spans="13:17" x14ac:dyDescent="0.25">
      <c r="M226" s="187"/>
      <c r="N226" s="187"/>
      <c r="O226" s="187"/>
      <c r="P226" s="187"/>
      <c r="Q226" s="187"/>
    </row>
    <row r="227" spans="13:17" x14ac:dyDescent="0.25">
      <c r="M227" s="187"/>
      <c r="N227" s="187"/>
      <c r="O227" s="187"/>
      <c r="P227" s="187"/>
      <c r="Q227" s="187"/>
    </row>
    <row r="228" spans="13:17" x14ac:dyDescent="0.25">
      <c r="M228" s="187"/>
      <c r="N228" s="187"/>
      <c r="O228" s="187"/>
      <c r="P228" s="187"/>
      <c r="Q228" s="187"/>
    </row>
    <row r="229" spans="13:17" x14ac:dyDescent="0.25">
      <c r="M229" s="187"/>
      <c r="N229" s="187"/>
      <c r="O229" s="187"/>
      <c r="P229" s="187"/>
      <c r="Q229" s="187"/>
    </row>
    <row r="230" spans="13:17" x14ac:dyDescent="0.25">
      <c r="M230" s="187"/>
      <c r="N230" s="187"/>
      <c r="O230" s="187"/>
      <c r="P230" s="187"/>
      <c r="Q230" s="187"/>
    </row>
    <row r="231" spans="13:17" x14ac:dyDescent="0.25">
      <c r="M231" s="187"/>
      <c r="N231" s="187"/>
      <c r="O231" s="187"/>
      <c r="P231" s="187"/>
      <c r="Q231" s="187"/>
    </row>
    <row r="232" spans="13:17" x14ac:dyDescent="0.25">
      <c r="M232" s="187"/>
      <c r="N232" s="187"/>
      <c r="O232" s="187"/>
      <c r="P232" s="187"/>
      <c r="Q232" s="187"/>
    </row>
    <row r="233" spans="13:17" x14ac:dyDescent="0.25">
      <c r="M233" s="187"/>
      <c r="N233" s="187"/>
      <c r="O233" s="187"/>
      <c r="P233" s="187"/>
      <c r="Q233" s="187"/>
    </row>
    <row r="234" spans="13:17" x14ac:dyDescent="0.25">
      <c r="M234" s="187"/>
      <c r="N234" s="187"/>
      <c r="O234" s="187"/>
      <c r="P234" s="187"/>
      <c r="Q234" s="187"/>
    </row>
    <row r="235" spans="13:17" x14ac:dyDescent="0.25">
      <c r="M235" s="187"/>
      <c r="N235" s="187"/>
      <c r="O235" s="187"/>
      <c r="P235" s="187"/>
      <c r="Q235" s="187"/>
    </row>
    <row r="236" spans="13:17" x14ac:dyDescent="0.25">
      <c r="M236" s="187"/>
      <c r="N236" s="187"/>
      <c r="O236" s="187"/>
      <c r="P236" s="187"/>
      <c r="Q236" s="187"/>
    </row>
    <row r="237" spans="13:17" x14ac:dyDescent="0.25">
      <c r="M237" s="187"/>
      <c r="N237" s="187"/>
      <c r="O237" s="187"/>
      <c r="P237" s="187"/>
      <c r="Q237" s="187"/>
    </row>
    <row r="238" spans="13:17" x14ac:dyDescent="0.25">
      <c r="M238" s="187"/>
      <c r="N238" s="187"/>
      <c r="O238" s="187"/>
      <c r="P238" s="187"/>
      <c r="Q238" s="187"/>
    </row>
    <row r="239" spans="13:17" x14ac:dyDescent="0.25">
      <c r="M239" s="187"/>
      <c r="N239" s="187"/>
      <c r="O239" s="187"/>
      <c r="P239" s="187"/>
      <c r="Q239" s="187"/>
    </row>
    <row r="240" spans="13:17" x14ac:dyDescent="0.25">
      <c r="M240" s="187"/>
      <c r="N240" s="187"/>
      <c r="O240" s="187"/>
      <c r="P240" s="187"/>
      <c r="Q240" s="187"/>
    </row>
    <row r="241" spans="13:17" x14ac:dyDescent="0.25">
      <c r="M241" s="187"/>
      <c r="N241" s="187"/>
      <c r="O241" s="187"/>
      <c r="P241" s="187"/>
      <c r="Q241" s="187"/>
    </row>
    <row r="242" spans="13:17" x14ac:dyDescent="0.25">
      <c r="M242" s="187"/>
      <c r="N242" s="187"/>
      <c r="O242" s="187"/>
      <c r="P242" s="187"/>
      <c r="Q242" s="187"/>
    </row>
    <row r="243" spans="13:17" x14ac:dyDescent="0.25">
      <c r="M243" s="187"/>
      <c r="N243" s="187"/>
      <c r="O243" s="187"/>
      <c r="P243" s="187"/>
      <c r="Q243" s="187"/>
    </row>
    <row r="244" spans="13:17" x14ac:dyDescent="0.25">
      <c r="M244" s="187"/>
      <c r="N244" s="187"/>
      <c r="O244" s="187"/>
      <c r="P244" s="187"/>
      <c r="Q244" s="187"/>
    </row>
    <row r="245" spans="13:17" x14ac:dyDescent="0.25">
      <c r="M245" s="187"/>
      <c r="N245" s="187"/>
      <c r="O245" s="187"/>
      <c r="P245" s="187"/>
      <c r="Q245" s="187"/>
    </row>
    <row r="246" spans="13:17" x14ac:dyDescent="0.25">
      <c r="M246" s="187"/>
      <c r="N246" s="187"/>
      <c r="O246" s="187"/>
      <c r="P246" s="187"/>
      <c r="Q246" s="187"/>
    </row>
    <row r="247" spans="13:17" x14ac:dyDescent="0.25">
      <c r="M247" s="187"/>
      <c r="N247" s="187"/>
      <c r="O247" s="187"/>
      <c r="P247" s="187"/>
      <c r="Q247" s="187"/>
    </row>
    <row r="248" spans="13:17" x14ac:dyDescent="0.25">
      <c r="M248" s="187"/>
      <c r="N248" s="187"/>
      <c r="O248" s="187"/>
      <c r="P248" s="187"/>
      <c r="Q248" s="187"/>
    </row>
    <row r="249" spans="13:17" x14ac:dyDescent="0.25">
      <c r="M249" s="187"/>
      <c r="N249" s="187"/>
      <c r="O249" s="187"/>
      <c r="P249" s="187"/>
      <c r="Q249" s="187"/>
    </row>
    <row r="250" spans="13:17" x14ac:dyDescent="0.25">
      <c r="M250" s="187"/>
      <c r="N250" s="187"/>
      <c r="O250" s="187"/>
      <c r="P250" s="187"/>
      <c r="Q250" s="187"/>
    </row>
    <row r="251" spans="13:17" x14ac:dyDescent="0.25">
      <c r="M251" s="187"/>
      <c r="N251" s="187"/>
      <c r="O251" s="187"/>
      <c r="P251" s="187"/>
      <c r="Q251" s="187"/>
    </row>
    <row r="252" spans="13:17" x14ac:dyDescent="0.25">
      <c r="M252" s="187"/>
      <c r="N252" s="187"/>
      <c r="O252" s="187"/>
      <c r="P252" s="187"/>
      <c r="Q252" s="187"/>
    </row>
    <row r="253" spans="13:17" x14ac:dyDescent="0.25">
      <c r="M253" s="187"/>
      <c r="N253" s="187"/>
      <c r="O253" s="187"/>
      <c r="P253" s="187"/>
      <c r="Q253" s="187"/>
    </row>
    <row r="254" spans="13:17" x14ac:dyDescent="0.25">
      <c r="M254" s="187"/>
      <c r="N254" s="187"/>
      <c r="O254" s="187"/>
      <c r="P254" s="187"/>
      <c r="Q254" s="187"/>
    </row>
    <row r="255" spans="13:17" x14ac:dyDescent="0.25">
      <c r="M255" s="187"/>
      <c r="N255" s="187"/>
      <c r="O255" s="187"/>
      <c r="P255" s="187"/>
      <c r="Q255" s="187"/>
    </row>
    <row r="256" spans="13:17" x14ac:dyDescent="0.25">
      <c r="M256" s="187"/>
      <c r="N256" s="187"/>
      <c r="O256" s="187"/>
      <c r="P256" s="187"/>
      <c r="Q256" s="187"/>
    </row>
    <row r="257" spans="13:17" x14ac:dyDescent="0.25">
      <c r="M257" s="187"/>
      <c r="N257" s="187"/>
      <c r="O257" s="187"/>
      <c r="P257" s="187"/>
      <c r="Q257" s="187"/>
    </row>
    <row r="258" spans="13:17" x14ac:dyDescent="0.25">
      <c r="M258" s="187"/>
      <c r="N258" s="187"/>
      <c r="O258" s="187"/>
      <c r="P258" s="187"/>
      <c r="Q258" s="187"/>
    </row>
    <row r="259" spans="13:17" x14ac:dyDescent="0.25">
      <c r="M259" s="187"/>
      <c r="N259" s="187"/>
      <c r="O259" s="187"/>
      <c r="P259" s="187"/>
      <c r="Q259" s="187"/>
    </row>
    <row r="260" spans="13:17" x14ac:dyDescent="0.25">
      <c r="M260" s="187"/>
      <c r="N260" s="187"/>
      <c r="O260" s="187"/>
      <c r="P260" s="187"/>
      <c r="Q260" s="187"/>
    </row>
    <row r="261" spans="13:17" x14ac:dyDescent="0.25">
      <c r="M261" s="187"/>
      <c r="N261" s="187"/>
      <c r="O261" s="187"/>
      <c r="P261" s="187"/>
      <c r="Q261" s="187"/>
    </row>
    <row r="262" spans="13:17" x14ac:dyDescent="0.25">
      <c r="M262" s="187"/>
      <c r="N262" s="187"/>
      <c r="O262" s="187"/>
      <c r="P262" s="187"/>
      <c r="Q262" s="187"/>
    </row>
    <row r="263" spans="13:17" x14ac:dyDescent="0.25">
      <c r="M263" s="187"/>
      <c r="N263" s="187"/>
      <c r="O263" s="187"/>
      <c r="P263" s="187"/>
      <c r="Q263" s="187"/>
    </row>
    <row r="264" spans="13:17" x14ac:dyDescent="0.25">
      <c r="M264" s="187"/>
      <c r="N264" s="187"/>
      <c r="O264" s="187"/>
      <c r="P264" s="187"/>
      <c r="Q264" s="187"/>
    </row>
    <row r="265" spans="13:17" x14ac:dyDescent="0.25">
      <c r="M265" s="187"/>
      <c r="N265" s="187"/>
      <c r="O265" s="187"/>
      <c r="P265" s="187"/>
      <c r="Q265" s="187"/>
    </row>
    <row r="266" spans="13:17" x14ac:dyDescent="0.25">
      <c r="M266" s="187"/>
      <c r="N266" s="187"/>
      <c r="O266" s="187"/>
      <c r="P266" s="187"/>
      <c r="Q266" s="187"/>
    </row>
    <row r="267" spans="13:17" x14ac:dyDescent="0.25">
      <c r="M267" s="187"/>
      <c r="N267" s="187"/>
      <c r="O267" s="187"/>
      <c r="P267" s="187"/>
      <c r="Q267" s="187"/>
    </row>
    <row r="268" spans="13:17" x14ac:dyDescent="0.25">
      <c r="M268" s="187"/>
      <c r="N268" s="187"/>
      <c r="O268" s="187"/>
      <c r="P268" s="187"/>
      <c r="Q268" s="187"/>
    </row>
    <row r="269" spans="13:17" x14ac:dyDescent="0.25">
      <c r="M269" s="187"/>
      <c r="N269" s="187"/>
      <c r="O269" s="187"/>
      <c r="P269" s="187"/>
      <c r="Q269" s="187"/>
    </row>
    <row r="270" spans="13:17" x14ac:dyDescent="0.25">
      <c r="M270" s="187"/>
      <c r="N270" s="187"/>
      <c r="O270" s="187"/>
      <c r="P270" s="187"/>
      <c r="Q270" s="187"/>
    </row>
    <row r="271" spans="13:17" x14ac:dyDescent="0.25">
      <c r="M271" s="187"/>
      <c r="N271" s="187"/>
      <c r="O271" s="187"/>
      <c r="P271" s="187"/>
      <c r="Q271" s="187"/>
    </row>
    <row r="272" spans="13:17" x14ac:dyDescent="0.25">
      <c r="M272" s="187"/>
      <c r="N272" s="187"/>
      <c r="O272" s="187"/>
      <c r="P272" s="187"/>
      <c r="Q272" s="187"/>
    </row>
    <row r="273" spans="13:17" x14ac:dyDescent="0.25">
      <c r="M273" s="187"/>
      <c r="N273" s="187"/>
      <c r="O273" s="187"/>
      <c r="P273" s="187"/>
      <c r="Q273" s="187"/>
    </row>
    <row r="274" spans="13:17" x14ac:dyDescent="0.25">
      <c r="M274" s="187"/>
      <c r="N274" s="187"/>
      <c r="O274" s="187"/>
      <c r="P274" s="187"/>
      <c r="Q274" s="187"/>
    </row>
    <row r="275" spans="13:17" x14ac:dyDescent="0.25">
      <c r="M275" s="187"/>
      <c r="N275" s="187"/>
      <c r="O275" s="187"/>
      <c r="P275" s="187"/>
      <c r="Q275" s="187"/>
    </row>
    <row r="276" spans="13:17" x14ac:dyDescent="0.25">
      <c r="M276" s="187"/>
      <c r="N276" s="187"/>
      <c r="O276" s="187"/>
      <c r="P276" s="187"/>
      <c r="Q276" s="187"/>
    </row>
    <row r="277" spans="13:17" x14ac:dyDescent="0.25">
      <c r="M277" s="187"/>
      <c r="N277" s="187"/>
      <c r="O277" s="187"/>
      <c r="P277" s="187"/>
      <c r="Q277" s="187"/>
    </row>
    <row r="278" spans="13:17" x14ac:dyDescent="0.25">
      <c r="M278" s="187"/>
      <c r="N278" s="187"/>
      <c r="O278" s="187"/>
      <c r="P278" s="187"/>
      <c r="Q278" s="187"/>
    </row>
    <row r="279" spans="13:17" x14ac:dyDescent="0.25">
      <c r="M279" s="187"/>
      <c r="N279" s="187"/>
      <c r="O279" s="187"/>
      <c r="P279" s="187"/>
      <c r="Q279" s="187"/>
    </row>
    <row r="280" spans="13:17" x14ac:dyDescent="0.25">
      <c r="M280" s="187"/>
      <c r="N280" s="187"/>
      <c r="O280" s="187"/>
      <c r="P280" s="187"/>
      <c r="Q280" s="187"/>
    </row>
    <row r="281" spans="13:17" x14ac:dyDescent="0.25">
      <c r="M281" s="187"/>
      <c r="N281" s="187"/>
      <c r="O281" s="187"/>
      <c r="P281" s="187"/>
      <c r="Q281" s="187"/>
    </row>
    <row r="282" spans="13:17" x14ac:dyDescent="0.25">
      <c r="M282" s="187"/>
      <c r="N282" s="187"/>
      <c r="O282" s="187"/>
      <c r="P282" s="187"/>
      <c r="Q282" s="187"/>
    </row>
    <row r="283" spans="13:17" x14ac:dyDescent="0.25">
      <c r="M283" s="187"/>
      <c r="N283" s="187"/>
      <c r="O283" s="187"/>
      <c r="P283" s="187"/>
      <c r="Q283" s="187"/>
    </row>
    <row r="284" spans="13:17" x14ac:dyDescent="0.25">
      <c r="M284" s="187"/>
      <c r="N284" s="187"/>
      <c r="O284" s="187"/>
      <c r="P284" s="187"/>
      <c r="Q284" s="187"/>
    </row>
    <row r="285" spans="13:17" x14ac:dyDescent="0.25">
      <c r="M285" s="187"/>
      <c r="N285" s="187"/>
      <c r="O285" s="187"/>
      <c r="P285" s="187"/>
      <c r="Q285" s="187"/>
    </row>
    <row r="286" spans="13:17" x14ac:dyDescent="0.25">
      <c r="M286" s="187"/>
      <c r="N286" s="187"/>
      <c r="O286" s="187"/>
      <c r="P286" s="187"/>
      <c r="Q286" s="187"/>
    </row>
    <row r="287" spans="13:17" x14ac:dyDescent="0.25">
      <c r="M287" s="187"/>
      <c r="N287" s="187"/>
      <c r="O287" s="187"/>
      <c r="P287" s="187"/>
      <c r="Q287" s="187"/>
    </row>
    <row r="288" spans="13:17" x14ac:dyDescent="0.25">
      <c r="M288" s="187"/>
      <c r="N288" s="187"/>
      <c r="O288" s="187"/>
      <c r="P288" s="187"/>
      <c r="Q288" s="187"/>
    </row>
    <row r="289" spans="13:17" x14ac:dyDescent="0.25">
      <c r="M289" s="187"/>
      <c r="N289" s="187"/>
      <c r="O289" s="187"/>
      <c r="P289" s="187"/>
      <c r="Q289" s="187"/>
    </row>
    <row r="290" spans="13:17" x14ac:dyDescent="0.25">
      <c r="M290" s="187"/>
      <c r="N290" s="187"/>
      <c r="O290" s="187"/>
      <c r="P290" s="187"/>
      <c r="Q290" s="187"/>
    </row>
    <row r="291" spans="13:17" x14ac:dyDescent="0.25">
      <c r="M291" s="187"/>
      <c r="N291" s="187"/>
      <c r="O291" s="187"/>
      <c r="P291" s="187"/>
      <c r="Q291" s="187"/>
    </row>
    <row r="292" spans="13:17" x14ac:dyDescent="0.25">
      <c r="M292" s="187"/>
      <c r="N292" s="187"/>
      <c r="O292" s="187"/>
      <c r="P292" s="187"/>
      <c r="Q292" s="187"/>
    </row>
    <row r="293" spans="13:17" x14ac:dyDescent="0.25">
      <c r="M293" s="187"/>
      <c r="N293" s="187"/>
      <c r="O293" s="187"/>
      <c r="P293" s="187"/>
      <c r="Q293" s="187"/>
    </row>
    <row r="294" spans="13:17" x14ac:dyDescent="0.25">
      <c r="M294" s="187"/>
      <c r="N294" s="187"/>
      <c r="O294" s="187"/>
      <c r="P294" s="187"/>
      <c r="Q294" s="187"/>
    </row>
    <row r="295" spans="13:17" x14ac:dyDescent="0.25">
      <c r="M295" s="187"/>
      <c r="N295" s="187"/>
      <c r="O295" s="187"/>
      <c r="P295" s="187"/>
      <c r="Q295" s="187"/>
    </row>
    <row r="296" spans="13:17" x14ac:dyDescent="0.25">
      <c r="M296" s="187"/>
      <c r="N296" s="187"/>
      <c r="O296" s="187"/>
      <c r="P296" s="187"/>
      <c r="Q296" s="187"/>
    </row>
    <row r="297" spans="13:17" x14ac:dyDescent="0.25">
      <c r="M297" s="187"/>
      <c r="N297" s="187"/>
      <c r="O297" s="187"/>
      <c r="P297" s="187"/>
      <c r="Q297" s="187"/>
    </row>
    <row r="298" spans="13:17" x14ac:dyDescent="0.25">
      <c r="M298" s="187"/>
      <c r="N298" s="187"/>
      <c r="O298" s="187"/>
      <c r="P298" s="187"/>
      <c r="Q298" s="187"/>
    </row>
    <row r="299" spans="13:17" x14ac:dyDescent="0.25">
      <c r="M299" s="187"/>
      <c r="N299" s="187"/>
      <c r="O299" s="187"/>
      <c r="P299" s="187"/>
      <c r="Q299" s="187"/>
    </row>
    <row r="300" spans="13:17" x14ac:dyDescent="0.25">
      <c r="M300" s="187"/>
      <c r="N300" s="187"/>
      <c r="O300" s="187"/>
      <c r="P300" s="187"/>
      <c r="Q300" s="187"/>
    </row>
    <row r="301" spans="13:17" x14ac:dyDescent="0.25">
      <c r="M301" s="187"/>
      <c r="N301" s="187"/>
      <c r="O301" s="187"/>
      <c r="P301" s="187"/>
      <c r="Q301" s="187"/>
    </row>
    <row r="302" spans="13:17" x14ac:dyDescent="0.25">
      <c r="M302" s="187"/>
      <c r="N302" s="187"/>
      <c r="O302" s="187"/>
      <c r="P302" s="187"/>
      <c r="Q302" s="187"/>
    </row>
    <row r="303" spans="13:17" x14ac:dyDescent="0.25">
      <c r="M303" s="187"/>
      <c r="N303" s="187"/>
      <c r="O303" s="187"/>
      <c r="P303" s="187"/>
      <c r="Q303" s="187"/>
    </row>
    <row r="304" spans="13:17" x14ac:dyDescent="0.25">
      <c r="M304" s="187"/>
      <c r="N304" s="187"/>
      <c r="O304" s="187"/>
      <c r="P304" s="187"/>
      <c r="Q304" s="187"/>
    </row>
    <row r="305" spans="13:17" x14ac:dyDescent="0.25">
      <c r="M305" s="187"/>
      <c r="N305" s="187"/>
      <c r="O305" s="187"/>
      <c r="P305" s="187"/>
      <c r="Q305" s="187"/>
    </row>
    <row r="306" spans="13:17" x14ac:dyDescent="0.25">
      <c r="M306" s="187"/>
      <c r="N306" s="187"/>
      <c r="O306" s="187"/>
      <c r="P306" s="187"/>
      <c r="Q306" s="187"/>
    </row>
    <row r="307" spans="13:17" x14ac:dyDescent="0.25">
      <c r="M307" s="187"/>
      <c r="N307" s="187"/>
      <c r="O307" s="187"/>
      <c r="P307" s="187"/>
      <c r="Q307" s="187"/>
    </row>
    <row r="308" spans="13:17" x14ac:dyDescent="0.25">
      <c r="M308" s="187"/>
      <c r="N308" s="187"/>
      <c r="O308" s="187"/>
      <c r="P308" s="187"/>
      <c r="Q308" s="187"/>
    </row>
    <row r="309" spans="13:17" x14ac:dyDescent="0.25">
      <c r="M309" s="187"/>
      <c r="N309" s="187"/>
      <c r="O309" s="187"/>
      <c r="P309" s="187"/>
      <c r="Q309" s="187"/>
    </row>
    <row r="310" spans="13:17" x14ac:dyDescent="0.25">
      <c r="M310" s="187"/>
      <c r="N310" s="187"/>
      <c r="O310" s="187"/>
      <c r="P310" s="187"/>
      <c r="Q310" s="187"/>
    </row>
    <row r="311" spans="13:17" x14ac:dyDescent="0.25">
      <c r="M311" s="187"/>
      <c r="N311" s="187"/>
      <c r="O311" s="187"/>
      <c r="P311" s="187"/>
      <c r="Q311" s="187"/>
    </row>
    <row r="312" spans="13:17" x14ac:dyDescent="0.25">
      <c r="M312" s="187"/>
      <c r="N312" s="187"/>
      <c r="O312" s="187"/>
      <c r="P312" s="187"/>
      <c r="Q312" s="187"/>
    </row>
    <row r="313" spans="13:17" x14ac:dyDescent="0.25">
      <c r="M313" s="187"/>
      <c r="N313" s="187"/>
      <c r="O313" s="187"/>
      <c r="P313" s="187"/>
      <c r="Q313" s="187"/>
    </row>
    <row r="314" spans="13:17" x14ac:dyDescent="0.25">
      <c r="M314" s="187"/>
      <c r="N314" s="187"/>
      <c r="O314" s="187"/>
      <c r="P314" s="187"/>
      <c r="Q314" s="187"/>
    </row>
    <row r="315" spans="13:17" x14ac:dyDescent="0.25">
      <c r="M315" s="187"/>
      <c r="N315" s="187"/>
      <c r="O315" s="187"/>
      <c r="P315" s="187"/>
      <c r="Q315" s="187"/>
    </row>
    <row r="316" spans="13:17" x14ac:dyDescent="0.25">
      <c r="M316" s="187"/>
      <c r="N316" s="187"/>
      <c r="O316" s="187"/>
      <c r="P316" s="187"/>
      <c r="Q316" s="187"/>
    </row>
    <row r="317" spans="13:17" x14ac:dyDescent="0.25">
      <c r="M317" s="187"/>
      <c r="N317" s="187"/>
      <c r="O317" s="187"/>
      <c r="P317" s="187"/>
      <c r="Q317" s="187"/>
    </row>
    <row r="318" spans="13:17" x14ac:dyDescent="0.25">
      <c r="M318" s="187"/>
      <c r="N318" s="187"/>
      <c r="O318" s="187"/>
      <c r="P318" s="187"/>
      <c r="Q318" s="187"/>
    </row>
    <row r="319" spans="13:17" x14ac:dyDescent="0.25">
      <c r="M319" s="187"/>
      <c r="N319" s="187"/>
      <c r="O319" s="187"/>
      <c r="P319" s="187"/>
      <c r="Q319" s="187"/>
    </row>
    <row r="320" spans="13:17" x14ac:dyDescent="0.25">
      <c r="M320" s="187"/>
      <c r="N320" s="187"/>
      <c r="O320" s="187"/>
      <c r="P320" s="187"/>
      <c r="Q320" s="187"/>
    </row>
    <row r="321" spans="13:17" x14ac:dyDescent="0.25">
      <c r="M321" s="187"/>
      <c r="N321" s="187"/>
      <c r="O321" s="187"/>
      <c r="P321" s="187"/>
      <c r="Q321" s="187"/>
    </row>
    <row r="322" spans="13:17" x14ac:dyDescent="0.25">
      <c r="M322" s="187"/>
      <c r="N322" s="187"/>
      <c r="O322" s="187"/>
      <c r="P322" s="187"/>
      <c r="Q322" s="187"/>
    </row>
    <row r="323" spans="13:17" x14ac:dyDescent="0.25">
      <c r="M323" s="187"/>
      <c r="N323" s="187"/>
      <c r="O323" s="187"/>
      <c r="P323" s="187"/>
      <c r="Q323" s="187"/>
    </row>
    <row r="324" spans="13:17" x14ac:dyDescent="0.25">
      <c r="M324" s="187"/>
      <c r="N324" s="187"/>
      <c r="O324" s="187"/>
      <c r="P324" s="187"/>
      <c r="Q324" s="187"/>
    </row>
    <row r="325" spans="13:17" x14ac:dyDescent="0.25">
      <c r="M325" s="187"/>
      <c r="N325" s="187"/>
      <c r="O325" s="187"/>
      <c r="P325" s="187"/>
      <c r="Q325" s="187"/>
    </row>
    <row r="326" spans="13:17" x14ac:dyDescent="0.25">
      <c r="M326" s="187"/>
      <c r="N326" s="187"/>
      <c r="O326" s="187"/>
      <c r="P326" s="187"/>
      <c r="Q326" s="187"/>
    </row>
    <row r="327" spans="13:17" x14ac:dyDescent="0.25">
      <c r="M327" s="187"/>
      <c r="N327" s="187"/>
      <c r="O327" s="187"/>
      <c r="P327" s="187"/>
      <c r="Q327" s="187"/>
    </row>
    <row r="328" spans="13:17" x14ac:dyDescent="0.25">
      <c r="M328" s="187"/>
      <c r="N328" s="187"/>
      <c r="O328" s="187"/>
      <c r="P328" s="187"/>
      <c r="Q328" s="187"/>
    </row>
    <row r="329" spans="13:17" x14ac:dyDescent="0.25">
      <c r="M329" s="187"/>
      <c r="N329" s="187"/>
      <c r="O329" s="187"/>
      <c r="P329" s="187"/>
      <c r="Q329" s="187"/>
    </row>
    <row r="330" spans="13:17" x14ac:dyDescent="0.25">
      <c r="M330" s="187"/>
      <c r="N330" s="187"/>
      <c r="O330" s="187"/>
      <c r="P330" s="187"/>
      <c r="Q330" s="187"/>
    </row>
    <row r="331" spans="13:17" x14ac:dyDescent="0.25">
      <c r="M331" s="187"/>
      <c r="N331" s="187"/>
      <c r="O331" s="187"/>
      <c r="P331" s="187"/>
      <c r="Q331" s="187"/>
    </row>
    <row r="332" spans="13:17" x14ac:dyDescent="0.25">
      <c r="M332" s="187"/>
      <c r="N332" s="187"/>
      <c r="O332" s="187"/>
      <c r="P332" s="187"/>
      <c r="Q332" s="187"/>
    </row>
    <row r="333" spans="13:17" x14ac:dyDescent="0.25">
      <c r="M333" s="187"/>
      <c r="N333" s="187"/>
      <c r="O333" s="187"/>
      <c r="P333" s="187"/>
      <c r="Q333" s="187"/>
    </row>
    <row r="334" spans="13:17" x14ac:dyDescent="0.25">
      <c r="M334" s="187"/>
      <c r="N334" s="187"/>
      <c r="O334" s="187"/>
      <c r="P334" s="187"/>
      <c r="Q334" s="187"/>
    </row>
    <row r="335" spans="13:17" x14ac:dyDescent="0.25">
      <c r="M335" s="187"/>
      <c r="N335" s="187"/>
      <c r="O335" s="187"/>
      <c r="P335" s="187"/>
      <c r="Q335" s="187"/>
    </row>
    <row r="336" spans="13:17" x14ac:dyDescent="0.25">
      <c r="M336" s="187"/>
      <c r="N336" s="187"/>
      <c r="O336" s="187"/>
      <c r="P336" s="187"/>
      <c r="Q336" s="187"/>
    </row>
    <row r="337" spans="13:17" x14ac:dyDescent="0.25">
      <c r="M337" s="187"/>
      <c r="N337" s="187"/>
      <c r="O337" s="187"/>
      <c r="P337" s="187"/>
      <c r="Q337" s="187"/>
    </row>
    <row r="338" spans="13:17" x14ac:dyDescent="0.25">
      <c r="M338" s="187"/>
      <c r="N338" s="187"/>
      <c r="O338" s="187"/>
      <c r="P338" s="187"/>
      <c r="Q338" s="187"/>
    </row>
    <row r="339" spans="13:17" x14ac:dyDescent="0.25">
      <c r="M339" s="187"/>
      <c r="N339" s="187"/>
      <c r="O339" s="187"/>
      <c r="P339" s="187"/>
      <c r="Q339" s="187"/>
    </row>
    <row r="340" spans="13:17" x14ac:dyDescent="0.25">
      <c r="M340" s="187"/>
      <c r="N340" s="187"/>
      <c r="O340" s="187"/>
      <c r="P340" s="187"/>
      <c r="Q340" s="187"/>
    </row>
    <row r="341" spans="13:17" x14ac:dyDescent="0.25">
      <c r="M341" s="187"/>
      <c r="N341" s="187"/>
      <c r="O341" s="187"/>
      <c r="P341" s="187"/>
      <c r="Q341" s="187"/>
    </row>
    <row r="342" spans="13:17" x14ac:dyDescent="0.25">
      <c r="M342" s="187"/>
      <c r="N342" s="187"/>
      <c r="O342" s="187"/>
      <c r="P342" s="187"/>
      <c r="Q342" s="187"/>
    </row>
    <row r="343" spans="13:17" x14ac:dyDescent="0.25">
      <c r="M343" s="187"/>
      <c r="N343" s="187"/>
      <c r="O343" s="187"/>
      <c r="P343" s="187"/>
      <c r="Q343" s="187"/>
    </row>
    <row r="344" spans="13:17" x14ac:dyDescent="0.25">
      <c r="M344" s="187"/>
      <c r="N344" s="187"/>
      <c r="O344" s="187"/>
      <c r="P344" s="187"/>
      <c r="Q344" s="187"/>
    </row>
    <row r="345" spans="13:17" x14ac:dyDescent="0.25">
      <c r="M345" s="187"/>
      <c r="N345" s="187"/>
      <c r="O345" s="187"/>
      <c r="P345" s="187"/>
      <c r="Q345" s="187"/>
    </row>
    <row r="346" spans="13:17" x14ac:dyDescent="0.25">
      <c r="M346" s="187"/>
      <c r="N346" s="187"/>
      <c r="O346" s="187"/>
      <c r="P346" s="187"/>
      <c r="Q346" s="187"/>
    </row>
    <row r="347" spans="13:17" x14ac:dyDescent="0.25">
      <c r="M347" s="187"/>
      <c r="N347" s="187"/>
      <c r="O347" s="187"/>
      <c r="P347" s="187"/>
      <c r="Q347" s="187"/>
    </row>
    <row r="348" spans="13:17" x14ac:dyDescent="0.25">
      <c r="M348" s="187"/>
      <c r="N348" s="187"/>
      <c r="O348" s="187"/>
      <c r="P348" s="187"/>
      <c r="Q348" s="187"/>
    </row>
    <row r="349" spans="13:17" x14ac:dyDescent="0.25">
      <c r="M349" s="187"/>
      <c r="N349" s="187"/>
      <c r="O349" s="187"/>
      <c r="P349" s="187"/>
      <c r="Q349" s="187"/>
    </row>
    <row r="350" spans="13:17" x14ac:dyDescent="0.25">
      <c r="M350" s="187"/>
      <c r="N350" s="187"/>
      <c r="O350" s="187"/>
      <c r="P350" s="187"/>
      <c r="Q350" s="187"/>
    </row>
    <row r="351" spans="13:17" x14ac:dyDescent="0.25">
      <c r="M351" s="187"/>
      <c r="N351" s="187"/>
      <c r="O351" s="187"/>
      <c r="P351" s="187"/>
      <c r="Q351" s="187"/>
    </row>
    <row r="352" spans="13:17" x14ac:dyDescent="0.25">
      <c r="M352" s="187"/>
      <c r="N352" s="187"/>
      <c r="O352" s="187"/>
      <c r="P352" s="187"/>
      <c r="Q352" s="187"/>
    </row>
    <row r="353" spans="13:17" x14ac:dyDescent="0.25">
      <c r="M353" s="187"/>
      <c r="N353" s="187"/>
      <c r="O353" s="187"/>
      <c r="P353" s="187"/>
      <c r="Q353" s="187"/>
    </row>
    <row r="354" spans="13:17" x14ac:dyDescent="0.25">
      <c r="M354" s="187"/>
      <c r="N354" s="187"/>
      <c r="O354" s="187"/>
      <c r="P354" s="187"/>
      <c r="Q354" s="187"/>
    </row>
    <row r="355" spans="13:17" x14ac:dyDescent="0.25">
      <c r="M355" s="187"/>
      <c r="N355" s="187"/>
      <c r="O355" s="187"/>
      <c r="P355" s="187"/>
      <c r="Q355" s="187"/>
    </row>
    <row r="356" spans="13:17" x14ac:dyDescent="0.25">
      <c r="M356" s="187"/>
      <c r="N356" s="187"/>
      <c r="O356" s="187"/>
      <c r="P356" s="187"/>
      <c r="Q356" s="187"/>
    </row>
    <row r="357" spans="13:17" x14ac:dyDescent="0.25">
      <c r="M357" s="187"/>
      <c r="N357" s="187"/>
      <c r="O357" s="187"/>
      <c r="P357" s="187"/>
      <c r="Q357" s="187"/>
    </row>
    <row r="358" spans="13:17" x14ac:dyDescent="0.25">
      <c r="M358" s="187"/>
      <c r="N358" s="187"/>
      <c r="O358" s="187"/>
      <c r="P358" s="187"/>
      <c r="Q358" s="187"/>
    </row>
    <row r="359" spans="13:17" x14ac:dyDescent="0.25">
      <c r="M359" s="187"/>
      <c r="N359" s="187"/>
      <c r="O359" s="187"/>
      <c r="P359" s="187"/>
      <c r="Q359" s="187"/>
    </row>
    <row r="360" spans="13:17" x14ac:dyDescent="0.25">
      <c r="M360" s="187"/>
      <c r="N360" s="187"/>
      <c r="O360" s="187"/>
      <c r="P360" s="187"/>
      <c r="Q360" s="187"/>
    </row>
    <row r="361" spans="13:17" x14ac:dyDescent="0.25">
      <c r="M361" s="187"/>
      <c r="N361" s="187"/>
      <c r="O361" s="187"/>
      <c r="P361" s="187"/>
      <c r="Q361" s="187"/>
    </row>
    <row r="362" spans="13:17" x14ac:dyDescent="0.25">
      <c r="M362" s="187"/>
      <c r="N362" s="187"/>
      <c r="O362" s="187"/>
      <c r="P362" s="187"/>
      <c r="Q362" s="187"/>
    </row>
    <row r="363" spans="13:17" x14ac:dyDescent="0.25">
      <c r="M363" s="187"/>
      <c r="N363" s="187"/>
      <c r="O363" s="187"/>
      <c r="P363" s="187"/>
      <c r="Q363" s="187"/>
    </row>
    <row r="364" spans="13:17" x14ac:dyDescent="0.25">
      <c r="M364" s="187"/>
      <c r="N364" s="187"/>
      <c r="O364" s="187"/>
      <c r="P364" s="187"/>
      <c r="Q364" s="187"/>
    </row>
    <row r="365" spans="13:17" x14ac:dyDescent="0.25">
      <c r="M365" s="187"/>
      <c r="N365" s="187"/>
      <c r="O365" s="187"/>
      <c r="P365" s="187"/>
      <c r="Q365" s="187"/>
    </row>
    <row r="366" spans="13:17" x14ac:dyDescent="0.25">
      <c r="M366" s="187"/>
      <c r="N366" s="187"/>
      <c r="O366" s="187"/>
      <c r="P366" s="187"/>
      <c r="Q366" s="187"/>
    </row>
    <row r="367" spans="13:17" x14ac:dyDescent="0.25">
      <c r="M367" s="187"/>
      <c r="N367" s="187"/>
      <c r="O367" s="187"/>
      <c r="P367" s="187"/>
      <c r="Q367" s="187"/>
    </row>
    <row r="368" spans="13:17" x14ac:dyDescent="0.25">
      <c r="M368" s="187"/>
      <c r="N368" s="187"/>
      <c r="O368" s="187"/>
      <c r="P368" s="187"/>
      <c r="Q368" s="187"/>
    </row>
    <row r="369" spans="13:17" x14ac:dyDescent="0.25">
      <c r="M369" s="187"/>
      <c r="N369" s="187"/>
      <c r="O369" s="187"/>
      <c r="P369" s="187"/>
      <c r="Q369" s="187"/>
    </row>
    <row r="370" spans="13:17" x14ac:dyDescent="0.25">
      <c r="M370" s="187"/>
      <c r="N370" s="187"/>
      <c r="O370" s="187"/>
      <c r="P370" s="187"/>
      <c r="Q370" s="187"/>
    </row>
    <row r="371" spans="13:17" x14ac:dyDescent="0.25">
      <c r="M371" s="187"/>
      <c r="N371" s="187"/>
      <c r="O371" s="187"/>
      <c r="P371" s="187"/>
      <c r="Q371" s="187"/>
    </row>
    <row r="372" spans="13:17" x14ac:dyDescent="0.25">
      <c r="M372" s="187"/>
      <c r="N372" s="187"/>
      <c r="O372" s="187"/>
      <c r="P372" s="187"/>
      <c r="Q372" s="187"/>
    </row>
    <row r="373" spans="13:17" x14ac:dyDescent="0.25">
      <c r="M373" s="187"/>
      <c r="N373" s="187"/>
      <c r="O373" s="187"/>
      <c r="P373" s="187"/>
      <c r="Q373" s="187"/>
    </row>
    <row r="374" spans="13:17" x14ac:dyDescent="0.25">
      <c r="M374" s="187"/>
      <c r="N374" s="187"/>
      <c r="O374" s="187"/>
      <c r="P374" s="187"/>
      <c r="Q374" s="187"/>
    </row>
    <row r="375" spans="13:17" x14ac:dyDescent="0.25">
      <c r="M375" s="187"/>
      <c r="N375" s="187"/>
      <c r="O375" s="187"/>
      <c r="P375" s="187"/>
      <c r="Q375" s="187"/>
    </row>
    <row r="376" spans="13:17" x14ac:dyDescent="0.25">
      <c r="M376" s="187"/>
      <c r="N376" s="187"/>
      <c r="O376" s="187"/>
      <c r="P376" s="187"/>
      <c r="Q376" s="187"/>
    </row>
    <row r="377" spans="13:17" x14ac:dyDescent="0.25">
      <c r="M377" s="187"/>
      <c r="N377" s="187"/>
      <c r="O377" s="187"/>
      <c r="P377" s="187"/>
      <c r="Q377" s="187"/>
    </row>
    <row r="378" spans="13:17" x14ac:dyDescent="0.25">
      <c r="M378" s="187"/>
      <c r="N378" s="187"/>
      <c r="O378" s="187"/>
      <c r="P378" s="187"/>
      <c r="Q378" s="187"/>
    </row>
    <row r="379" spans="13:17" x14ac:dyDescent="0.25">
      <c r="M379" s="187"/>
      <c r="N379" s="187"/>
      <c r="O379" s="187"/>
      <c r="P379" s="187"/>
      <c r="Q379" s="187"/>
    </row>
    <row r="380" spans="13:17" x14ac:dyDescent="0.25">
      <c r="M380" s="187"/>
      <c r="N380" s="187"/>
      <c r="O380" s="187"/>
      <c r="P380" s="187"/>
      <c r="Q380" s="187"/>
    </row>
    <row r="381" spans="13:17" x14ac:dyDescent="0.25">
      <c r="M381" s="187"/>
      <c r="N381" s="187"/>
      <c r="O381" s="187"/>
      <c r="P381" s="187"/>
      <c r="Q381" s="187"/>
    </row>
    <row r="382" spans="13:17" x14ac:dyDescent="0.25">
      <c r="M382" s="187"/>
      <c r="N382" s="187"/>
      <c r="O382" s="187"/>
      <c r="P382" s="187"/>
      <c r="Q382" s="187"/>
    </row>
    <row r="383" spans="13:17" x14ac:dyDescent="0.25">
      <c r="M383" s="187"/>
      <c r="N383" s="187"/>
      <c r="O383" s="187"/>
      <c r="P383" s="187"/>
      <c r="Q383" s="187"/>
    </row>
    <row r="384" spans="13:17" x14ac:dyDescent="0.25">
      <c r="M384" s="187"/>
      <c r="N384" s="187"/>
      <c r="O384" s="187"/>
      <c r="P384" s="187"/>
      <c r="Q384" s="187"/>
    </row>
    <row r="385" spans="13:17" x14ac:dyDescent="0.25">
      <c r="M385" s="187"/>
      <c r="N385" s="187"/>
      <c r="O385" s="187"/>
      <c r="P385" s="187"/>
      <c r="Q385" s="187"/>
    </row>
    <row r="386" spans="13:17" x14ac:dyDescent="0.25">
      <c r="M386" s="187"/>
      <c r="N386" s="187"/>
      <c r="O386" s="187"/>
      <c r="P386" s="187"/>
      <c r="Q386" s="187"/>
    </row>
    <row r="387" spans="13:17" x14ac:dyDescent="0.25">
      <c r="M387" s="187"/>
      <c r="N387" s="187"/>
      <c r="O387" s="187"/>
      <c r="P387" s="187"/>
      <c r="Q387" s="187"/>
    </row>
    <row r="388" spans="13:17" x14ac:dyDescent="0.25">
      <c r="M388" s="187"/>
      <c r="N388" s="187"/>
      <c r="O388" s="187"/>
      <c r="P388" s="187"/>
      <c r="Q388" s="187"/>
    </row>
    <row r="389" spans="13:17" x14ac:dyDescent="0.25">
      <c r="M389" s="187"/>
      <c r="N389" s="187"/>
      <c r="O389" s="187"/>
      <c r="P389" s="187"/>
      <c r="Q389" s="187"/>
    </row>
    <row r="390" spans="13:17" x14ac:dyDescent="0.25">
      <c r="M390" s="187"/>
      <c r="N390" s="187"/>
      <c r="O390" s="187"/>
      <c r="P390" s="187"/>
      <c r="Q390" s="187"/>
    </row>
    <row r="391" spans="13:17" x14ac:dyDescent="0.25">
      <c r="M391" s="187"/>
      <c r="N391" s="187"/>
      <c r="O391" s="187"/>
      <c r="P391" s="187"/>
      <c r="Q391" s="187"/>
    </row>
    <row r="392" spans="13:17" x14ac:dyDescent="0.25">
      <c r="M392" s="187"/>
      <c r="N392" s="187"/>
      <c r="O392" s="187"/>
      <c r="P392" s="187"/>
      <c r="Q392" s="187"/>
    </row>
    <row r="393" spans="13:17" x14ac:dyDescent="0.25">
      <c r="M393" s="187"/>
      <c r="N393" s="187"/>
      <c r="O393" s="187"/>
      <c r="P393" s="187"/>
      <c r="Q393" s="187"/>
    </row>
    <row r="394" spans="13:17" x14ac:dyDescent="0.25">
      <c r="M394" s="187"/>
      <c r="N394" s="187"/>
      <c r="O394" s="187"/>
      <c r="P394" s="187"/>
      <c r="Q394" s="187"/>
    </row>
    <row r="395" spans="13:17" x14ac:dyDescent="0.25">
      <c r="M395" s="187"/>
      <c r="N395" s="187"/>
      <c r="O395" s="187"/>
      <c r="P395" s="187"/>
      <c r="Q395" s="187"/>
    </row>
    <row r="396" spans="13:17" x14ac:dyDescent="0.25">
      <c r="M396" s="187"/>
      <c r="N396" s="187"/>
      <c r="O396" s="187"/>
      <c r="P396" s="187"/>
      <c r="Q396" s="187"/>
    </row>
    <row r="397" spans="13:17" x14ac:dyDescent="0.25">
      <c r="M397" s="187"/>
      <c r="N397" s="187"/>
      <c r="O397" s="187"/>
      <c r="P397" s="187"/>
      <c r="Q397" s="187"/>
    </row>
    <row r="398" spans="13:17" x14ac:dyDescent="0.25">
      <c r="M398" s="187"/>
      <c r="N398" s="187"/>
      <c r="O398" s="187"/>
      <c r="P398" s="187"/>
      <c r="Q398" s="187"/>
    </row>
    <row r="399" spans="13:17" x14ac:dyDescent="0.25">
      <c r="M399" s="187"/>
      <c r="N399" s="187"/>
      <c r="O399" s="187"/>
      <c r="P399" s="187"/>
      <c r="Q399" s="187"/>
    </row>
    <row r="400" spans="13:17" x14ac:dyDescent="0.25">
      <c r="M400" s="187"/>
      <c r="N400" s="187"/>
      <c r="O400" s="187"/>
      <c r="P400" s="187"/>
      <c r="Q400" s="187"/>
    </row>
    <row r="401" spans="13:17" x14ac:dyDescent="0.25">
      <c r="M401" s="187"/>
      <c r="N401" s="187"/>
      <c r="O401" s="187"/>
      <c r="P401" s="187"/>
      <c r="Q401" s="187"/>
    </row>
  </sheetData>
  <mergeCells count="4">
    <mergeCell ref="P4:R4"/>
    <mergeCell ref="S4:Y4"/>
    <mergeCell ref="O36:O40"/>
    <mergeCell ref="O33:O35"/>
  </mergeCells>
  <pageMargins left="0.7" right="0.7" top="0.75" bottom="0.75" header="0.3" footer="0.3"/>
  <pageSetup paperSize="9" scale="50"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Y463"/>
  <sheetViews>
    <sheetView zoomScale="90" zoomScaleNormal="90" workbookViewId="0">
      <selection activeCell="A36" sqref="A36:F36"/>
    </sheetView>
  </sheetViews>
  <sheetFormatPr defaultRowHeight="12.75" x14ac:dyDescent="0.2"/>
  <cols>
    <col min="2" max="2" width="13" customWidth="1"/>
    <col min="3" max="3" width="16.7109375" customWidth="1"/>
    <col min="4" max="4" width="31.42578125" customWidth="1"/>
    <col min="5" max="5" width="27.42578125" customWidth="1"/>
    <col min="6" max="6" width="63.5703125" customWidth="1"/>
    <col min="7" max="7" width="17.140625" customWidth="1"/>
    <col min="9" max="9" width="11" customWidth="1"/>
    <col min="10" max="10" width="12.28515625" customWidth="1"/>
    <col min="12" max="12" width="16.28515625" customWidth="1"/>
    <col min="13" max="13" width="14.28515625" customWidth="1"/>
    <col min="15" max="15" width="12.7109375" customWidth="1"/>
    <col min="25" max="25" width="52.7109375" customWidth="1"/>
  </cols>
  <sheetData>
    <row r="1" spans="1:25" ht="13.5" thickBot="1" x14ac:dyDescent="0.25">
      <c r="A1" s="44" t="s">
        <v>207</v>
      </c>
      <c r="B1" s="121"/>
      <c r="C1" s="121"/>
      <c r="D1" s="121"/>
      <c r="E1" s="50"/>
      <c r="F1" s="50"/>
    </row>
    <row r="2" spans="1:25" x14ac:dyDescent="0.2">
      <c r="A2" s="122"/>
      <c r="B2" s="78"/>
      <c r="C2" s="78"/>
      <c r="D2" s="78"/>
      <c r="E2" s="92" t="s">
        <v>56</v>
      </c>
      <c r="F2" s="85" t="s">
        <v>1484</v>
      </c>
    </row>
    <row r="3" spans="1:25" ht="13.5" thickBot="1" x14ac:dyDescent="0.25">
      <c r="A3" s="75"/>
      <c r="B3" s="76"/>
      <c r="C3" s="76"/>
      <c r="D3" s="76"/>
      <c r="E3" s="93" t="s">
        <v>55</v>
      </c>
      <c r="F3" s="144">
        <v>2020</v>
      </c>
    </row>
    <row r="4" spans="1:25" ht="26.25" thickBot="1" x14ac:dyDescent="0.25">
      <c r="A4" s="123" t="s">
        <v>0</v>
      </c>
      <c r="B4" s="123" t="s">
        <v>208</v>
      </c>
      <c r="C4" s="123" t="s">
        <v>209</v>
      </c>
      <c r="D4" s="123" t="s">
        <v>210</v>
      </c>
      <c r="E4" s="123" t="s">
        <v>211</v>
      </c>
      <c r="F4" s="101" t="s">
        <v>4</v>
      </c>
    </row>
    <row r="5" spans="1:25" ht="38.25" x14ac:dyDescent="0.2">
      <c r="A5" s="235" t="s">
        <v>276</v>
      </c>
      <c r="B5" s="235" t="s">
        <v>894</v>
      </c>
      <c r="C5" s="235" t="s">
        <v>988</v>
      </c>
      <c r="D5" s="235" t="s">
        <v>989</v>
      </c>
      <c r="E5" s="235" t="s">
        <v>990</v>
      </c>
      <c r="F5" s="235" t="s">
        <v>991</v>
      </c>
      <c r="G5" s="185"/>
      <c r="H5" s="185"/>
      <c r="I5" s="185"/>
      <c r="J5" s="185"/>
      <c r="K5" s="185"/>
      <c r="L5" s="185"/>
      <c r="M5" s="185"/>
      <c r="N5" s="185"/>
      <c r="O5" s="185"/>
      <c r="P5" s="185"/>
      <c r="Q5" s="185"/>
      <c r="R5" s="185"/>
      <c r="S5" s="185"/>
      <c r="T5" s="185"/>
      <c r="U5" s="185"/>
      <c r="V5" s="185"/>
      <c r="W5" s="185"/>
      <c r="X5" s="185"/>
      <c r="Y5" s="185"/>
    </row>
    <row r="6" spans="1:25" ht="25.5" x14ac:dyDescent="0.2">
      <c r="A6" s="235" t="s">
        <v>276</v>
      </c>
      <c r="B6" s="235" t="s">
        <v>900</v>
      </c>
      <c r="C6" s="235" t="s">
        <v>992</v>
      </c>
      <c r="D6" s="235" t="s">
        <v>993</v>
      </c>
      <c r="E6" s="235" t="s">
        <v>990</v>
      </c>
      <c r="F6" s="235" t="s">
        <v>994</v>
      </c>
      <c r="G6" s="231"/>
      <c r="H6" s="231"/>
      <c r="I6" s="205"/>
      <c r="J6" s="205"/>
      <c r="K6" s="222"/>
      <c r="L6" s="223"/>
      <c r="M6" s="224"/>
      <c r="N6" s="232"/>
      <c r="O6" s="233"/>
      <c r="P6" s="185"/>
      <c r="Q6" s="185"/>
      <c r="R6" s="185"/>
      <c r="S6" s="185"/>
      <c r="T6" s="185"/>
      <c r="U6" s="185"/>
      <c r="V6" s="185"/>
      <c r="W6" s="185"/>
      <c r="X6" s="185"/>
      <c r="Y6" s="185"/>
    </row>
    <row r="7" spans="1:25" ht="25.5" x14ac:dyDescent="0.2">
      <c r="A7" s="235" t="s">
        <v>276</v>
      </c>
      <c r="B7" s="235" t="s">
        <v>903</v>
      </c>
      <c r="C7" s="235" t="s">
        <v>995</v>
      </c>
      <c r="D7" s="235" t="s">
        <v>996</v>
      </c>
      <c r="E7" s="235" t="s">
        <v>990</v>
      </c>
      <c r="F7" s="235" t="s">
        <v>997</v>
      </c>
      <c r="G7" s="206"/>
      <c r="H7" s="205"/>
      <c r="I7" s="205"/>
      <c r="J7" s="206"/>
      <c r="K7" s="222"/>
      <c r="L7" s="223"/>
      <c r="M7" s="224"/>
      <c r="N7" s="232"/>
      <c r="O7" s="233"/>
      <c r="P7" s="185"/>
      <c r="Q7" s="185"/>
      <c r="R7" s="185"/>
      <c r="S7" s="185"/>
      <c r="T7" s="185"/>
      <c r="U7" s="185"/>
      <c r="V7" s="185"/>
      <c r="W7" s="185"/>
      <c r="X7" s="185"/>
      <c r="Y7" s="185"/>
    </row>
    <row r="8" spans="1:25" ht="38.25" x14ac:dyDescent="0.2">
      <c r="A8" s="235" t="s">
        <v>276</v>
      </c>
      <c r="B8" s="235" t="s">
        <v>907</v>
      </c>
      <c r="C8" s="235" t="s">
        <v>998</v>
      </c>
      <c r="D8" s="235" t="s">
        <v>999</v>
      </c>
      <c r="E8" s="235" t="s">
        <v>1000</v>
      </c>
      <c r="F8" s="235" t="s">
        <v>1001</v>
      </c>
      <c r="G8" s="206"/>
      <c r="H8" s="205"/>
      <c r="I8" s="205"/>
      <c r="J8" s="206"/>
      <c r="K8" s="222"/>
      <c r="L8" s="223"/>
      <c r="M8" s="224"/>
      <c r="N8" s="232"/>
      <c r="O8" s="233"/>
      <c r="P8" s="185"/>
      <c r="Q8" s="185"/>
      <c r="R8" s="185"/>
      <c r="S8" s="185"/>
      <c r="T8" s="185"/>
      <c r="U8" s="185"/>
      <c r="V8" s="185"/>
      <c r="W8" s="185"/>
      <c r="X8" s="185"/>
      <c r="Y8" s="185"/>
    </row>
    <row r="9" spans="1:25" ht="51" x14ac:dyDescent="0.2">
      <c r="A9" s="235" t="s">
        <v>276</v>
      </c>
      <c r="B9" s="235" t="s">
        <v>912</v>
      </c>
      <c r="C9" s="235" t="s">
        <v>998</v>
      </c>
      <c r="D9" s="235" t="s">
        <v>1002</v>
      </c>
      <c r="E9" s="235" t="s">
        <v>1000</v>
      </c>
      <c r="F9" s="235" t="s">
        <v>1003</v>
      </c>
      <c r="G9" s="206"/>
      <c r="H9" s="205"/>
      <c r="I9" s="205"/>
      <c r="J9" s="206"/>
      <c r="K9" s="222"/>
      <c r="L9" s="223"/>
      <c r="M9" s="224"/>
      <c r="N9" s="232"/>
      <c r="O9" s="233"/>
      <c r="P9" s="185"/>
      <c r="Q9" s="185"/>
      <c r="R9" s="185"/>
      <c r="S9" s="185"/>
      <c r="T9" s="185"/>
      <c r="U9" s="185"/>
      <c r="V9" s="185"/>
      <c r="W9" s="185"/>
      <c r="X9" s="185"/>
      <c r="Y9" s="185"/>
    </row>
    <row r="10" spans="1:25" ht="38.25" x14ac:dyDescent="0.2">
      <c r="A10" s="235" t="s">
        <v>276</v>
      </c>
      <c r="B10" s="235" t="s">
        <v>914</v>
      </c>
      <c r="C10" s="235" t="s">
        <v>998</v>
      </c>
      <c r="D10" s="235" t="s">
        <v>1004</v>
      </c>
      <c r="E10" s="235" t="s">
        <v>1005</v>
      </c>
      <c r="F10" s="235" t="s">
        <v>1006</v>
      </c>
      <c r="G10" s="206"/>
      <c r="H10" s="205"/>
      <c r="I10" s="205"/>
      <c r="J10" s="206"/>
      <c r="K10" s="222"/>
      <c r="L10" s="223"/>
      <c r="M10" s="224"/>
      <c r="N10" s="232"/>
      <c r="O10" s="233"/>
      <c r="P10" s="185"/>
      <c r="Q10" s="185"/>
      <c r="R10" s="185"/>
      <c r="S10" s="185"/>
      <c r="T10" s="185"/>
      <c r="U10" s="185"/>
      <c r="V10" s="185"/>
      <c r="W10" s="185"/>
      <c r="X10" s="185"/>
      <c r="Y10" s="185"/>
    </row>
    <row r="11" spans="1:25" ht="25.5" x14ac:dyDescent="0.2">
      <c r="A11" s="235" t="s">
        <v>276</v>
      </c>
      <c r="B11" s="235" t="s">
        <v>916</v>
      </c>
      <c r="C11" s="235" t="s">
        <v>998</v>
      </c>
      <c r="D11" s="235" t="s">
        <v>1007</v>
      </c>
      <c r="E11" s="235" t="s">
        <v>1005</v>
      </c>
      <c r="F11" s="235" t="s">
        <v>1008</v>
      </c>
      <c r="G11" s="206"/>
      <c r="H11" s="205"/>
      <c r="I11" s="205"/>
      <c r="J11" s="206"/>
      <c r="K11" s="222"/>
      <c r="L11" s="223"/>
      <c r="M11" s="224"/>
      <c r="N11" s="232"/>
      <c r="O11" s="233"/>
      <c r="P11" s="185"/>
      <c r="Q11" s="185"/>
      <c r="R11" s="185"/>
      <c r="S11" s="185"/>
      <c r="T11" s="185"/>
      <c r="U11" s="185"/>
      <c r="V11" s="185"/>
      <c r="W11" s="185"/>
      <c r="X11" s="185"/>
      <c r="Y11" s="185"/>
    </row>
    <row r="12" spans="1:25" ht="25.5" x14ac:dyDescent="0.2">
      <c r="A12" s="235" t="s">
        <v>276</v>
      </c>
      <c r="B12" s="235" t="s">
        <v>920</v>
      </c>
      <c r="C12" s="235" t="s">
        <v>1009</v>
      </c>
      <c r="D12" s="235" t="s">
        <v>1010</v>
      </c>
      <c r="E12" s="235" t="s">
        <v>990</v>
      </c>
      <c r="F12" s="235" t="s">
        <v>1011</v>
      </c>
      <c r="G12" s="206"/>
      <c r="H12" s="205"/>
      <c r="I12" s="205"/>
      <c r="J12" s="206"/>
      <c r="K12" s="222"/>
      <c r="L12" s="223"/>
      <c r="M12" s="224"/>
      <c r="N12" s="232"/>
      <c r="O12" s="233"/>
      <c r="P12" s="185"/>
      <c r="Q12" s="185"/>
      <c r="R12" s="185"/>
      <c r="S12" s="185"/>
      <c r="T12" s="185"/>
      <c r="U12" s="185"/>
      <c r="V12" s="185"/>
      <c r="W12" s="185"/>
      <c r="X12" s="185"/>
      <c r="Y12" s="185"/>
    </row>
    <row r="13" spans="1:25" ht="38.25" x14ac:dyDescent="0.2">
      <c r="A13" s="235" t="s">
        <v>276</v>
      </c>
      <c r="B13" s="235" t="s">
        <v>921</v>
      </c>
      <c r="C13" s="235" t="s">
        <v>1012</v>
      </c>
      <c r="D13" s="235" t="s">
        <v>1013</v>
      </c>
      <c r="E13" s="235" t="s">
        <v>990</v>
      </c>
      <c r="F13" s="235" t="s">
        <v>1014</v>
      </c>
      <c r="G13" s="205"/>
      <c r="H13" s="205"/>
      <c r="I13" s="205"/>
      <c r="J13" s="205"/>
      <c r="K13" s="222"/>
      <c r="L13" s="222"/>
      <c r="M13" s="224"/>
      <c r="N13" s="232"/>
      <c r="O13" s="233"/>
      <c r="P13" s="185"/>
      <c r="Q13" s="185"/>
      <c r="R13" s="185"/>
      <c r="S13" s="185"/>
      <c r="T13" s="185"/>
      <c r="U13" s="185"/>
      <c r="V13" s="185"/>
      <c r="W13" s="185"/>
      <c r="X13" s="185"/>
      <c r="Y13" s="185"/>
    </row>
    <row r="14" spans="1:25" ht="25.5" x14ac:dyDescent="0.2">
      <c r="A14" s="235" t="s">
        <v>276</v>
      </c>
      <c r="B14" s="235" t="s">
        <v>923</v>
      </c>
      <c r="C14" s="235" t="s">
        <v>1015</v>
      </c>
      <c r="D14" s="235" t="s">
        <v>1016</v>
      </c>
      <c r="E14" s="235" t="s">
        <v>990</v>
      </c>
      <c r="F14" s="235" t="s">
        <v>1017</v>
      </c>
      <c r="G14" s="205"/>
      <c r="H14" s="205"/>
      <c r="I14" s="205"/>
      <c r="J14" s="205"/>
      <c r="K14" s="222"/>
      <c r="L14" s="222"/>
      <c r="M14" s="224"/>
      <c r="N14" s="232"/>
      <c r="O14" s="233"/>
      <c r="P14" s="185"/>
      <c r="Q14" s="185"/>
      <c r="R14" s="185"/>
      <c r="S14" s="185"/>
      <c r="T14" s="185"/>
      <c r="U14" s="185"/>
      <c r="V14" s="185"/>
      <c r="W14" s="185"/>
      <c r="X14" s="185"/>
      <c r="Y14" s="185"/>
    </row>
    <row r="15" spans="1:25" ht="25.5" x14ac:dyDescent="0.2">
      <c r="A15" s="235" t="s">
        <v>276</v>
      </c>
      <c r="B15" s="235" t="s">
        <v>925</v>
      </c>
      <c r="C15" s="235" t="s">
        <v>1018</v>
      </c>
      <c r="D15" s="235" t="s">
        <v>1019</v>
      </c>
      <c r="E15" s="235" t="s">
        <v>990</v>
      </c>
      <c r="F15" s="235" t="s">
        <v>1020</v>
      </c>
      <c r="G15" s="205"/>
      <c r="H15" s="205"/>
      <c r="I15" s="205"/>
      <c r="J15" s="205"/>
      <c r="K15" s="222"/>
      <c r="L15" s="222"/>
      <c r="M15" s="224"/>
      <c r="N15" s="232"/>
      <c r="O15" s="233"/>
      <c r="P15" s="185"/>
      <c r="Q15" s="185"/>
      <c r="R15" s="185"/>
      <c r="S15" s="185"/>
      <c r="T15" s="185"/>
      <c r="U15" s="185"/>
      <c r="V15" s="185"/>
      <c r="W15" s="185"/>
      <c r="X15" s="185"/>
      <c r="Y15" s="185"/>
    </row>
    <row r="16" spans="1:25" ht="229.5" x14ac:dyDescent="0.2">
      <c r="A16" s="235" t="s">
        <v>276</v>
      </c>
      <c r="B16" s="235" t="s">
        <v>927</v>
      </c>
      <c r="C16" s="235" t="s">
        <v>1021</v>
      </c>
      <c r="D16" s="235" t="s">
        <v>924</v>
      </c>
      <c r="E16" s="235" t="s">
        <v>990</v>
      </c>
      <c r="F16" s="235" t="s">
        <v>1022</v>
      </c>
      <c r="G16" s="205"/>
      <c r="H16" s="205"/>
      <c r="I16" s="205"/>
      <c r="J16" s="206"/>
      <c r="K16" s="222"/>
      <c r="L16" s="222"/>
      <c r="M16" s="224"/>
      <c r="N16" s="232"/>
      <c r="O16" s="233"/>
      <c r="P16" s="185"/>
      <c r="Q16" s="185"/>
      <c r="R16" s="185"/>
      <c r="S16" s="185"/>
      <c r="T16" s="185"/>
      <c r="U16" s="185"/>
      <c r="V16" s="185"/>
      <c r="W16" s="185"/>
      <c r="X16" s="185"/>
      <c r="Y16" s="185"/>
    </row>
    <row r="17" spans="1:25" ht="25.5" x14ac:dyDescent="0.2">
      <c r="A17" s="235" t="s">
        <v>276</v>
      </c>
      <c r="B17" s="235" t="s">
        <v>929</v>
      </c>
      <c r="C17" s="235" t="s">
        <v>1018</v>
      </c>
      <c r="D17" s="235" t="s">
        <v>902</v>
      </c>
      <c r="E17" s="235" t="s">
        <v>990</v>
      </c>
      <c r="F17" s="235" t="s">
        <v>1023</v>
      </c>
      <c r="G17" s="205"/>
      <c r="H17" s="205"/>
      <c r="I17" s="205"/>
      <c r="J17" s="206"/>
      <c r="K17" s="225"/>
      <c r="L17" s="223"/>
      <c r="M17" s="225"/>
      <c r="N17" s="223"/>
      <c r="O17" s="233"/>
      <c r="P17" s="185"/>
      <c r="Q17" s="185"/>
      <c r="R17" s="185"/>
      <c r="S17" s="185"/>
      <c r="T17" s="185"/>
      <c r="U17" s="185"/>
      <c r="V17" s="185"/>
      <c r="W17" s="185"/>
      <c r="X17" s="185"/>
      <c r="Y17" s="185"/>
    </row>
    <row r="18" spans="1:25" ht="38.25" x14ac:dyDescent="0.2">
      <c r="A18" s="235" t="s">
        <v>276</v>
      </c>
      <c r="B18" s="235" t="s">
        <v>931</v>
      </c>
      <c r="C18" s="235" t="s">
        <v>1024</v>
      </c>
      <c r="D18" s="235" t="s">
        <v>1025</v>
      </c>
      <c r="E18" s="235" t="s">
        <v>1026</v>
      </c>
      <c r="F18" s="235" t="s">
        <v>1027</v>
      </c>
      <c r="G18" s="205"/>
      <c r="H18" s="205"/>
      <c r="I18" s="205"/>
      <c r="J18" s="206"/>
      <c r="K18" s="225"/>
      <c r="L18" s="223"/>
      <c r="M18" s="225"/>
      <c r="N18" s="223"/>
      <c r="O18" s="233"/>
      <c r="P18" s="185"/>
      <c r="Q18" s="185"/>
      <c r="R18" s="185"/>
      <c r="S18" s="185"/>
      <c r="T18" s="185"/>
      <c r="U18" s="185"/>
      <c r="V18" s="185"/>
      <c r="W18" s="185"/>
      <c r="X18" s="185"/>
      <c r="Y18" s="185"/>
    </row>
    <row r="19" spans="1:25" ht="25.5" x14ac:dyDescent="0.2">
      <c r="A19" s="235" t="s">
        <v>276</v>
      </c>
      <c r="B19" s="235" t="s">
        <v>932</v>
      </c>
      <c r="C19" s="235" t="s">
        <v>1024</v>
      </c>
      <c r="D19" s="235" t="s">
        <v>1028</v>
      </c>
      <c r="E19" s="235" t="s">
        <v>1026</v>
      </c>
      <c r="F19" s="235" t="s">
        <v>1029</v>
      </c>
      <c r="G19" s="205"/>
      <c r="H19" s="205"/>
      <c r="I19" s="205"/>
      <c r="J19" s="206"/>
      <c r="K19" s="225"/>
      <c r="L19" s="223"/>
      <c r="M19" s="225"/>
      <c r="N19" s="223"/>
      <c r="O19" s="233"/>
      <c r="P19" s="185"/>
      <c r="Q19" s="185"/>
      <c r="R19" s="185"/>
      <c r="S19" s="185"/>
      <c r="T19" s="185"/>
      <c r="U19" s="185"/>
      <c r="V19" s="185"/>
      <c r="W19" s="185"/>
      <c r="X19" s="185"/>
      <c r="Y19" s="185"/>
    </row>
    <row r="20" spans="1:25" ht="38.25" x14ac:dyDescent="0.2">
      <c r="A20" s="235" t="s">
        <v>276</v>
      </c>
      <c r="B20" s="235" t="s">
        <v>935</v>
      </c>
      <c r="C20" s="235" t="s">
        <v>1030</v>
      </c>
      <c r="D20" s="235" t="s">
        <v>1031</v>
      </c>
      <c r="E20" s="235" t="s">
        <v>990</v>
      </c>
      <c r="F20" s="235" t="s">
        <v>1032</v>
      </c>
      <c r="G20" s="205"/>
      <c r="H20" s="205"/>
      <c r="I20" s="205"/>
      <c r="J20" s="206"/>
      <c r="K20" s="225"/>
      <c r="L20" s="223"/>
      <c r="M20" s="225"/>
      <c r="N20" s="223"/>
      <c r="O20" s="233"/>
      <c r="P20" s="185"/>
      <c r="Q20" s="185"/>
      <c r="R20" s="185"/>
      <c r="S20" s="185"/>
      <c r="T20" s="185"/>
      <c r="U20" s="185"/>
      <c r="V20" s="185"/>
      <c r="W20" s="185"/>
      <c r="X20" s="185"/>
      <c r="Y20" s="185"/>
    </row>
    <row r="21" spans="1:25" ht="38.25" x14ac:dyDescent="0.2">
      <c r="A21" s="235" t="s">
        <v>276</v>
      </c>
      <c r="B21" s="235" t="s">
        <v>936</v>
      </c>
      <c r="C21" s="235" t="s">
        <v>1033</v>
      </c>
      <c r="D21" s="235" t="s">
        <v>1034</v>
      </c>
      <c r="E21" s="235" t="s">
        <v>1035</v>
      </c>
      <c r="F21" s="235" t="s">
        <v>1036</v>
      </c>
      <c r="G21" s="231"/>
      <c r="H21" s="234"/>
      <c r="I21" s="225"/>
      <c r="J21" s="223"/>
      <c r="K21" s="225"/>
      <c r="L21" s="223"/>
      <c r="M21" s="225"/>
      <c r="N21" s="223"/>
      <c r="O21" s="233"/>
      <c r="P21" s="185"/>
      <c r="Q21" s="185"/>
      <c r="R21" s="185"/>
      <c r="S21" s="185"/>
      <c r="T21" s="185"/>
      <c r="U21" s="185"/>
      <c r="V21" s="185"/>
      <c r="W21" s="185"/>
      <c r="X21" s="185"/>
      <c r="Y21" s="185"/>
    </row>
    <row r="22" spans="1:25" ht="25.5" x14ac:dyDescent="0.2">
      <c r="A22" s="235" t="s">
        <v>276</v>
      </c>
      <c r="B22" s="235" t="s">
        <v>937</v>
      </c>
      <c r="C22" s="235" t="s">
        <v>1037</v>
      </c>
      <c r="D22" s="235" t="s">
        <v>1038</v>
      </c>
      <c r="E22" s="235" t="s">
        <v>990</v>
      </c>
      <c r="F22" s="235" t="s">
        <v>1039</v>
      </c>
      <c r="G22" s="231"/>
      <c r="H22" s="234"/>
      <c r="I22" s="225"/>
      <c r="J22" s="223"/>
      <c r="K22" s="225"/>
      <c r="L22" s="223"/>
      <c r="M22" s="225"/>
      <c r="N22" s="223"/>
      <c r="O22" s="233"/>
      <c r="P22" s="185"/>
      <c r="Q22" s="185"/>
      <c r="R22" s="185"/>
      <c r="S22" s="185"/>
      <c r="T22" s="185"/>
      <c r="U22" s="185"/>
      <c r="V22" s="185"/>
      <c r="W22" s="185"/>
      <c r="X22" s="185"/>
      <c r="Y22" s="185"/>
    </row>
    <row r="23" spans="1:25" ht="25.5" x14ac:dyDescent="0.2">
      <c r="A23" s="235" t="s">
        <v>276</v>
      </c>
      <c r="B23" s="235" t="s">
        <v>938</v>
      </c>
      <c r="C23" s="235" t="s">
        <v>1040</v>
      </c>
      <c r="D23" s="235" t="s">
        <v>1041</v>
      </c>
      <c r="E23" s="235"/>
      <c r="F23" s="235" t="s">
        <v>1042</v>
      </c>
      <c r="G23" s="231"/>
      <c r="H23" s="234"/>
      <c r="I23" s="225"/>
      <c r="J23" s="223"/>
      <c r="K23" s="225"/>
      <c r="L23" s="223"/>
      <c r="M23" s="225"/>
      <c r="N23" s="223"/>
      <c r="O23" s="233"/>
      <c r="P23" s="185"/>
      <c r="Q23" s="185"/>
      <c r="R23" s="185"/>
      <c r="S23" s="185"/>
      <c r="T23" s="185"/>
      <c r="U23" s="185"/>
      <c r="V23" s="185"/>
      <c r="W23" s="185"/>
      <c r="X23" s="185"/>
      <c r="Y23" s="185"/>
    </row>
    <row r="24" spans="1:25" ht="25.5" x14ac:dyDescent="0.2">
      <c r="A24" s="235" t="s">
        <v>276</v>
      </c>
      <c r="B24" s="235" t="s">
        <v>940</v>
      </c>
      <c r="C24" s="235" t="s">
        <v>1043</v>
      </c>
      <c r="D24" s="235" t="s">
        <v>1044</v>
      </c>
      <c r="E24" s="235" t="s">
        <v>990</v>
      </c>
      <c r="F24" s="235" t="s">
        <v>1045</v>
      </c>
      <c r="G24" s="231"/>
      <c r="H24" s="234"/>
      <c r="I24" s="225"/>
      <c r="J24" s="223"/>
      <c r="K24" s="225"/>
      <c r="L24" s="223"/>
      <c r="M24" s="225"/>
      <c r="N24" s="223"/>
      <c r="O24" s="233"/>
      <c r="P24" s="185"/>
      <c r="Q24" s="185"/>
      <c r="R24" s="185"/>
      <c r="S24" s="185"/>
      <c r="T24" s="185"/>
      <c r="U24" s="185"/>
      <c r="V24" s="185"/>
      <c r="W24" s="185"/>
      <c r="X24" s="185"/>
      <c r="Y24" s="185"/>
    </row>
    <row r="25" spans="1:25" ht="25.5" x14ac:dyDescent="0.2">
      <c r="A25" s="235" t="s">
        <v>276</v>
      </c>
      <c r="B25" s="235" t="s">
        <v>941</v>
      </c>
      <c r="C25" s="235" t="s">
        <v>1046</v>
      </c>
      <c r="D25" s="235" t="s">
        <v>1047</v>
      </c>
      <c r="E25" s="235" t="s">
        <v>990</v>
      </c>
      <c r="F25" s="235" t="s">
        <v>1048</v>
      </c>
      <c r="G25" s="226"/>
      <c r="H25" s="226"/>
      <c r="I25" s="227"/>
      <c r="J25" s="227"/>
      <c r="K25" s="228"/>
      <c r="L25" s="228"/>
      <c r="M25" s="229"/>
      <c r="N25" s="230"/>
      <c r="O25" s="233"/>
      <c r="P25" s="185"/>
      <c r="Q25" s="185"/>
      <c r="R25" s="185"/>
      <c r="S25" s="185"/>
      <c r="T25" s="185"/>
      <c r="U25" s="185"/>
      <c r="V25" s="185"/>
      <c r="W25" s="185"/>
      <c r="X25" s="185"/>
      <c r="Y25" s="185"/>
    </row>
    <row r="26" spans="1:25" ht="25.5" x14ac:dyDescent="0.2">
      <c r="A26" s="235" t="s">
        <v>276</v>
      </c>
      <c r="B26" s="235" t="s">
        <v>942</v>
      </c>
      <c r="C26" s="235" t="s">
        <v>1049</v>
      </c>
      <c r="D26" s="235" t="s">
        <v>1050</v>
      </c>
      <c r="E26" s="235" t="s">
        <v>990</v>
      </c>
      <c r="F26" s="235" t="s">
        <v>1051</v>
      </c>
      <c r="G26" s="225"/>
      <c r="H26" s="225"/>
      <c r="I26" s="225"/>
      <c r="J26" s="225"/>
      <c r="K26" s="225"/>
      <c r="L26" s="225"/>
      <c r="M26" s="225"/>
      <c r="N26" s="225"/>
      <c r="O26" s="233"/>
      <c r="P26" s="185"/>
      <c r="Q26" s="185"/>
      <c r="R26" s="185"/>
      <c r="S26" s="185"/>
      <c r="T26" s="185"/>
      <c r="U26" s="185"/>
      <c r="V26" s="185"/>
      <c r="W26" s="185"/>
      <c r="X26" s="185"/>
      <c r="Y26" s="185"/>
    </row>
    <row r="27" spans="1:25" ht="25.5" x14ac:dyDescent="0.2">
      <c r="A27" s="235" t="s">
        <v>276</v>
      </c>
      <c r="B27" s="235" t="s">
        <v>944</v>
      </c>
      <c r="C27" s="235" t="s">
        <v>1052</v>
      </c>
      <c r="D27" s="235" t="s">
        <v>1053</v>
      </c>
      <c r="E27" s="235" t="s">
        <v>990</v>
      </c>
      <c r="F27" s="235" t="s">
        <v>997</v>
      </c>
      <c r="G27" s="225"/>
      <c r="H27" s="225"/>
      <c r="I27" s="225"/>
      <c r="J27" s="225"/>
      <c r="K27" s="225"/>
      <c r="L27" s="225"/>
      <c r="M27" s="225"/>
      <c r="N27" s="225"/>
      <c r="O27" s="233"/>
      <c r="P27" s="185"/>
      <c r="Q27" s="185"/>
      <c r="R27" s="185"/>
      <c r="S27" s="185"/>
      <c r="T27" s="185"/>
      <c r="U27" s="185"/>
      <c r="V27" s="185"/>
      <c r="W27" s="185"/>
      <c r="X27" s="185"/>
      <c r="Y27" s="185"/>
    </row>
    <row r="28" spans="1:25" ht="25.5" x14ac:dyDescent="0.2">
      <c r="A28" s="235" t="s">
        <v>276</v>
      </c>
      <c r="B28" s="235" t="s">
        <v>946</v>
      </c>
      <c r="C28" s="235" t="s">
        <v>1024</v>
      </c>
      <c r="D28" s="235" t="s">
        <v>1054</v>
      </c>
      <c r="E28" s="235" t="s">
        <v>1026</v>
      </c>
      <c r="F28" s="235" t="s">
        <v>1055</v>
      </c>
      <c r="G28" s="225"/>
      <c r="H28" s="225"/>
      <c r="I28" s="225"/>
      <c r="J28" s="225"/>
      <c r="K28" s="225"/>
      <c r="L28" s="225"/>
      <c r="M28" s="225"/>
      <c r="N28" s="225"/>
      <c r="O28" s="233"/>
      <c r="P28" s="185"/>
      <c r="Q28" s="185"/>
      <c r="R28" s="185"/>
      <c r="S28" s="185"/>
      <c r="T28" s="185"/>
      <c r="U28" s="185"/>
      <c r="V28" s="185"/>
      <c r="W28" s="185"/>
      <c r="X28" s="185"/>
      <c r="Y28" s="185"/>
    </row>
    <row r="29" spans="1:25" ht="25.5" x14ac:dyDescent="0.2">
      <c r="A29" s="235" t="s">
        <v>276</v>
      </c>
      <c r="B29" s="235" t="s">
        <v>947</v>
      </c>
      <c r="C29" s="235" t="s">
        <v>1024</v>
      </c>
      <c r="D29" s="235" t="s">
        <v>1056</v>
      </c>
      <c r="E29" s="235" t="s">
        <v>1026</v>
      </c>
      <c r="F29" s="221" t="s">
        <v>1057</v>
      </c>
      <c r="G29" s="225"/>
      <c r="H29" s="225"/>
      <c r="I29" s="225"/>
      <c r="J29" s="225"/>
      <c r="K29" s="225"/>
      <c r="L29" s="225"/>
      <c r="M29" s="225"/>
      <c r="N29" s="225"/>
      <c r="O29" s="233"/>
      <c r="P29" s="185"/>
      <c r="Q29" s="185"/>
      <c r="R29" s="185"/>
      <c r="S29" s="185"/>
      <c r="T29" s="185"/>
      <c r="U29" s="185"/>
      <c r="V29" s="185"/>
      <c r="W29" s="185"/>
      <c r="X29" s="185"/>
      <c r="Y29" s="185"/>
    </row>
    <row r="30" spans="1:25" ht="25.5" x14ac:dyDescent="0.2">
      <c r="A30" s="235" t="s">
        <v>276</v>
      </c>
      <c r="B30" s="235" t="s">
        <v>950</v>
      </c>
      <c r="C30" s="235" t="s">
        <v>1024</v>
      </c>
      <c r="D30" s="235" t="s">
        <v>1058</v>
      </c>
      <c r="E30" s="235" t="s">
        <v>1026</v>
      </c>
      <c r="F30" s="235" t="s">
        <v>1059</v>
      </c>
      <c r="G30" s="185"/>
      <c r="H30" s="185"/>
      <c r="I30" s="185"/>
      <c r="J30" s="185"/>
      <c r="K30" s="185"/>
      <c r="L30" s="185"/>
      <c r="M30" s="185"/>
      <c r="N30" s="185"/>
      <c r="O30" s="185"/>
      <c r="P30" s="185"/>
      <c r="Q30" s="185"/>
      <c r="R30" s="185"/>
      <c r="S30" s="185"/>
      <c r="T30" s="185"/>
      <c r="U30" s="185"/>
      <c r="V30" s="185"/>
      <c r="W30" s="185"/>
      <c r="X30" s="185"/>
      <c r="Y30" s="185"/>
    </row>
    <row r="31" spans="1:25" ht="38.25" x14ac:dyDescent="0.2">
      <c r="A31" s="235" t="s">
        <v>276</v>
      </c>
      <c r="B31" s="235" t="s">
        <v>952</v>
      </c>
      <c r="C31" s="235" t="s">
        <v>1024</v>
      </c>
      <c r="D31" s="235" t="s">
        <v>1060</v>
      </c>
      <c r="E31" s="235" t="s">
        <v>1026</v>
      </c>
      <c r="F31" s="235" t="s">
        <v>1061</v>
      </c>
      <c r="G31" s="185"/>
      <c r="H31" s="185"/>
      <c r="I31" s="185"/>
      <c r="J31" s="185"/>
      <c r="K31" s="185"/>
      <c r="L31" s="185"/>
      <c r="M31" s="185"/>
      <c r="N31" s="185"/>
      <c r="O31" s="185"/>
      <c r="P31" s="185"/>
      <c r="Q31" s="185"/>
      <c r="R31" s="185"/>
      <c r="S31" s="185"/>
      <c r="T31" s="185"/>
      <c r="U31" s="185"/>
      <c r="V31" s="185"/>
      <c r="W31" s="185"/>
      <c r="X31" s="185"/>
      <c r="Y31" s="185"/>
    </row>
    <row r="32" spans="1:25" ht="39.75" customHeight="1" x14ac:dyDescent="0.2">
      <c r="A32" s="235" t="s">
        <v>276</v>
      </c>
      <c r="B32" s="235" t="s">
        <v>956</v>
      </c>
      <c r="C32" s="235" t="s">
        <v>1062</v>
      </c>
      <c r="D32" s="235" t="s">
        <v>1063</v>
      </c>
      <c r="E32" s="235" t="s">
        <v>990</v>
      </c>
      <c r="F32" s="235" t="s">
        <v>1064</v>
      </c>
      <c r="G32" s="185"/>
      <c r="H32" s="185"/>
      <c r="I32" s="185"/>
      <c r="J32" s="185"/>
      <c r="K32" s="185"/>
      <c r="L32" s="185"/>
      <c r="M32" s="185"/>
      <c r="N32" s="185"/>
      <c r="O32" s="185"/>
      <c r="P32" s="185"/>
      <c r="Q32" s="185"/>
      <c r="R32" s="185"/>
      <c r="S32" s="185"/>
      <c r="T32" s="185"/>
      <c r="U32" s="185"/>
      <c r="V32" s="185"/>
      <c r="W32" s="185"/>
      <c r="X32" s="185"/>
      <c r="Y32" s="185"/>
    </row>
    <row r="33" spans="1:25" ht="36.75" customHeight="1" x14ac:dyDescent="0.2">
      <c r="A33" s="235" t="s">
        <v>276</v>
      </c>
      <c r="B33" s="235" t="s">
        <v>957</v>
      </c>
      <c r="C33" s="235" t="s">
        <v>1062</v>
      </c>
      <c r="D33" s="235" t="s">
        <v>1065</v>
      </c>
      <c r="E33" s="235" t="s">
        <v>990</v>
      </c>
      <c r="F33" s="235" t="s">
        <v>1066</v>
      </c>
      <c r="G33" s="185"/>
      <c r="H33" s="185"/>
      <c r="I33" s="185"/>
      <c r="J33" s="185"/>
      <c r="K33" s="185"/>
      <c r="L33" s="185"/>
      <c r="M33" s="185"/>
      <c r="N33" s="185"/>
      <c r="O33" s="185"/>
      <c r="P33" s="185"/>
      <c r="Q33" s="185"/>
      <c r="R33" s="185"/>
      <c r="S33" s="185"/>
      <c r="T33" s="185"/>
      <c r="U33" s="185"/>
      <c r="V33" s="185"/>
      <c r="W33" s="185"/>
      <c r="X33" s="185"/>
      <c r="Y33" s="185"/>
    </row>
    <row r="34" spans="1:25" ht="39" customHeight="1" x14ac:dyDescent="0.2">
      <c r="A34" s="235" t="s">
        <v>276</v>
      </c>
      <c r="B34" s="235" t="s">
        <v>958</v>
      </c>
      <c r="C34" s="235" t="s">
        <v>1067</v>
      </c>
      <c r="D34" s="235" t="s">
        <v>1068</v>
      </c>
      <c r="E34" s="235" t="s">
        <v>990</v>
      </c>
      <c r="F34" s="235" t="s">
        <v>1069</v>
      </c>
      <c r="M34" s="185"/>
      <c r="N34" s="185"/>
      <c r="O34" s="185"/>
      <c r="P34" s="185"/>
      <c r="Q34" s="185"/>
    </row>
    <row r="35" spans="1:25" ht="38.25" x14ac:dyDescent="0.2">
      <c r="A35" s="235" t="s">
        <v>276</v>
      </c>
      <c r="B35" s="235" t="s">
        <v>959</v>
      </c>
      <c r="C35" s="235" t="s">
        <v>1070</v>
      </c>
      <c r="D35" s="235" t="s">
        <v>1071</v>
      </c>
      <c r="E35" s="235" t="s">
        <v>990</v>
      </c>
      <c r="F35" s="235" t="s">
        <v>1072</v>
      </c>
      <c r="M35" s="185"/>
      <c r="N35" s="185"/>
      <c r="O35" s="185"/>
      <c r="P35" s="185"/>
      <c r="Q35" s="185"/>
    </row>
    <row r="36" spans="1:25" ht="25.5" x14ac:dyDescent="0.2">
      <c r="A36" s="235" t="s">
        <v>276</v>
      </c>
      <c r="B36" s="235" t="s">
        <v>960</v>
      </c>
      <c r="C36" s="235" t="s">
        <v>1073</v>
      </c>
      <c r="D36" s="235" t="s">
        <v>1074</v>
      </c>
      <c r="E36" s="235" t="s">
        <v>990</v>
      </c>
      <c r="F36" s="235" t="s">
        <v>1075</v>
      </c>
      <c r="M36" s="185"/>
      <c r="N36" s="185"/>
      <c r="O36" s="185"/>
      <c r="P36" s="185"/>
      <c r="Q36" s="185"/>
    </row>
    <row r="37" spans="1:25" ht="25.5" x14ac:dyDescent="0.2">
      <c r="A37" s="235" t="s">
        <v>276</v>
      </c>
      <c r="B37" s="235" t="s">
        <v>962</v>
      </c>
      <c r="C37" s="235" t="s">
        <v>1076</v>
      </c>
      <c r="D37" s="235" t="s">
        <v>1077</v>
      </c>
      <c r="E37" s="235" t="s">
        <v>990</v>
      </c>
      <c r="F37" s="235" t="s">
        <v>1078</v>
      </c>
      <c r="M37" s="185"/>
      <c r="N37" s="185"/>
      <c r="O37" s="185"/>
      <c r="P37" s="185"/>
      <c r="Q37" s="185"/>
    </row>
    <row r="38" spans="1:25" ht="38.25" x14ac:dyDescent="0.2">
      <c r="A38" s="235" t="s">
        <v>276</v>
      </c>
      <c r="B38" s="235" t="s">
        <v>964</v>
      </c>
      <c r="C38" s="235" t="s">
        <v>1079</v>
      </c>
      <c r="D38" s="235" t="s">
        <v>1047</v>
      </c>
      <c r="E38" s="235" t="s">
        <v>990</v>
      </c>
      <c r="F38" s="235" t="s">
        <v>1080</v>
      </c>
      <c r="M38" s="185"/>
      <c r="N38" s="185"/>
      <c r="O38" s="185"/>
      <c r="P38" s="185"/>
      <c r="Q38" s="185"/>
    </row>
    <row r="39" spans="1:25" ht="38.25" x14ac:dyDescent="0.2">
      <c r="A39" s="235" t="s">
        <v>276</v>
      </c>
      <c r="B39" s="235" t="s">
        <v>965</v>
      </c>
      <c r="C39" s="235" t="s">
        <v>1081</v>
      </c>
      <c r="D39" s="235" t="s">
        <v>1053</v>
      </c>
      <c r="E39" s="235" t="s">
        <v>990</v>
      </c>
      <c r="F39" s="235" t="s">
        <v>1082</v>
      </c>
      <c r="M39" s="185"/>
      <c r="N39" s="185"/>
      <c r="O39" s="185"/>
      <c r="P39" s="185"/>
      <c r="Q39" s="185"/>
    </row>
    <row r="40" spans="1:25" ht="38.25" x14ac:dyDescent="0.2">
      <c r="A40" s="235" t="s">
        <v>276</v>
      </c>
      <c r="B40" s="235" t="s">
        <v>967</v>
      </c>
      <c r="C40" s="235" t="s">
        <v>1024</v>
      </c>
      <c r="D40" s="235" t="s">
        <v>1083</v>
      </c>
      <c r="E40" s="235" t="s">
        <v>1026</v>
      </c>
      <c r="F40" s="235" t="s">
        <v>1084</v>
      </c>
      <c r="M40" s="185"/>
      <c r="N40" s="185"/>
      <c r="O40" s="185"/>
      <c r="P40" s="185"/>
      <c r="Q40" s="185"/>
    </row>
    <row r="41" spans="1:25" ht="25.5" x14ac:dyDescent="0.2">
      <c r="A41" s="235" t="s">
        <v>276</v>
      </c>
      <c r="B41" s="235" t="s">
        <v>969</v>
      </c>
      <c r="C41" s="235" t="s">
        <v>1024</v>
      </c>
      <c r="D41" s="235" t="s">
        <v>1056</v>
      </c>
      <c r="E41" s="235" t="s">
        <v>1026</v>
      </c>
      <c r="F41" s="235" t="s">
        <v>1085</v>
      </c>
      <c r="M41" s="185"/>
      <c r="N41" s="185"/>
      <c r="O41" s="185"/>
      <c r="P41" s="185"/>
      <c r="Q41" s="185"/>
    </row>
    <row r="42" spans="1:25" ht="25.5" x14ac:dyDescent="0.2">
      <c r="A42" s="235" t="s">
        <v>276</v>
      </c>
      <c r="B42" s="235" t="s">
        <v>971</v>
      </c>
      <c r="C42" s="235" t="s">
        <v>1024</v>
      </c>
      <c r="D42" s="235" t="s">
        <v>1058</v>
      </c>
      <c r="E42" s="235" t="s">
        <v>1026</v>
      </c>
      <c r="F42" s="235" t="s">
        <v>1086</v>
      </c>
      <c r="M42" s="185"/>
      <c r="N42" s="185"/>
      <c r="O42" s="185"/>
      <c r="P42" s="185"/>
      <c r="Q42" s="185"/>
    </row>
    <row r="43" spans="1:25" ht="25.5" x14ac:dyDescent="0.2">
      <c r="A43" s="235" t="s">
        <v>276</v>
      </c>
      <c r="B43" s="235" t="s">
        <v>973</v>
      </c>
      <c r="C43" s="235" t="s">
        <v>1024</v>
      </c>
      <c r="D43" s="235" t="s">
        <v>1060</v>
      </c>
      <c r="E43" s="235" t="s">
        <v>1026</v>
      </c>
      <c r="F43" s="235" t="s">
        <v>1087</v>
      </c>
      <c r="M43" s="185"/>
      <c r="N43" s="185"/>
      <c r="O43" s="185"/>
      <c r="P43" s="185"/>
      <c r="Q43" s="185"/>
    </row>
    <row r="44" spans="1:25" ht="38.25" x14ac:dyDescent="0.2">
      <c r="A44" s="235" t="s">
        <v>276</v>
      </c>
      <c r="B44" s="235" t="s">
        <v>976</v>
      </c>
      <c r="C44" s="235" t="s">
        <v>1088</v>
      </c>
      <c r="D44" s="235" t="s">
        <v>1089</v>
      </c>
      <c r="E44" s="235" t="s">
        <v>990</v>
      </c>
      <c r="F44" s="235" t="s">
        <v>1090</v>
      </c>
      <c r="M44" s="185"/>
      <c r="N44" s="185"/>
      <c r="O44" s="185"/>
      <c r="P44" s="185"/>
      <c r="Q44" s="185"/>
    </row>
    <row r="45" spans="1:25" ht="25.5" x14ac:dyDescent="0.2">
      <c r="A45" s="235" t="s">
        <v>276</v>
      </c>
      <c r="B45" s="235" t="s">
        <v>978</v>
      </c>
      <c r="C45" s="235" t="s">
        <v>1024</v>
      </c>
      <c r="D45" s="235" t="s">
        <v>1056</v>
      </c>
      <c r="E45" s="235" t="s">
        <v>1026</v>
      </c>
      <c r="F45" s="235" t="s">
        <v>1091</v>
      </c>
      <c r="M45" s="185"/>
      <c r="N45" s="185"/>
      <c r="O45" s="185"/>
      <c r="P45" s="185"/>
      <c r="Q45" s="185"/>
    </row>
    <row r="46" spans="1:25" ht="38.25" x14ac:dyDescent="0.2">
      <c r="A46" s="235" t="s">
        <v>276</v>
      </c>
      <c r="B46" s="235" t="s">
        <v>981</v>
      </c>
      <c r="C46" s="235" t="s">
        <v>1024</v>
      </c>
      <c r="D46" s="236" t="s">
        <v>1092</v>
      </c>
      <c r="E46" s="235" t="s">
        <v>1005</v>
      </c>
      <c r="F46" s="236" t="s">
        <v>1093</v>
      </c>
      <c r="M46" s="185"/>
      <c r="N46" s="185"/>
      <c r="O46" s="185"/>
      <c r="P46" s="185"/>
      <c r="Q46" s="185"/>
    </row>
    <row r="47" spans="1:25" ht="38.25" x14ac:dyDescent="0.2">
      <c r="A47" s="235" t="s">
        <v>276</v>
      </c>
      <c r="B47" s="235" t="s">
        <v>984</v>
      </c>
      <c r="C47" s="235" t="s">
        <v>1088</v>
      </c>
      <c r="D47" s="235" t="s">
        <v>1089</v>
      </c>
      <c r="E47" s="235" t="s">
        <v>990</v>
      </c>
      <c r="F47" s="235" t="s">
        <v>1094</v>
      </c>
      <c r="M47" s="185"/>
      <c r="N47" s="185"/>
      <c r="O47" s="185"/>
      <c r="P47" s="185"/>
      <c r="Q47" s="185"/>
    </row>
    <row r="48" spans="1:25" ht="25.5" x14ac:dyDescent="0.2">
      <c r="A48" s="235" t="s">
        <v>276</v>
      </c>
      <c r="B48" s="235" t="s">
        <v>986</v>
      </c>
      <c r="C48" s="235" t="s">
        <v>1024</v>
      </c>
      <c r="D48" s="235" t="s">
        <v>1056</v>
      </c>
      <c r="E48" s="235" t="s">
        <v>1026</v>
      </c>
      <c r="F48" s="235" t="s">
        <v>1095</v>
      </c>
      <c r="M48" s="185"/>
      <c r="N48" s="185"/>
      <c r="O48" s="185"/>
      <c r="P48" s="185"/>
      <c r="Q48" s="185"/>
    </row>
    <row r="49" spans="1:17" x14ac:dyDescent="0.2">
      <c r="A49" s="235" t="s">
        <v>276</v>
      </c>
      <c r="B49" s="235" t="s">
        <v>987</v>
      </c>
      <c r="C49" s="235" t="s">
        <v>1024</v>
      </c>
      <c r="D49" s="236" t="s">
        <v>1096</v>
      </c>
      <c r="E49" s="235" t="s">
        <v>1005</v>
      </c>
      <c r="F49" s="236" t="s">
        <v>1097</v>
      </c>
      <c r="M49" s="185"/>
      <c r="N49" s="185"/>
      <c r="O49" s="185"/>
      <c r="P49" s="185"/>
      <c r="Q49" s="185"/>
    </row>
    <row r="50" spans="1:17" ht="25.5" x14ac:dyDescent="0.2">
      <c r="A50" s="235" t="s">
        <v>276</v>
      </c>
      <c r="B50" s="235" t="s">
        <v>1098</v>
      </c>
      <c r="C50" s="235" t="s">
        <v>1024</v>
      </c>
      <c r="D50" s="236" t="s">
        <v>1099</v>
      </c>
      <c r="E50" s="235" t="s">
        <v>1100</v>
      </c>
      <c r="F50" s="236" t="s">
        <v>1101</v>
      </c>
      <c r="M50" s="185"/>
      <c r="N50" s="185"/>
      <c r="O50" s="185"/>
      <c r="P50" s="185"/>
      <c r="Q50" s="185"/>
    </row>
    <row r="51" spans="1:17" x14ac:dyDescent="0.2">
      <c r="A51" s="237"/>
      <c r="B51" s="237"/>
      <c r="C51" s="237"/>
      <c r="D51" s="237"/>
      <c r="E51" s="237"/>
      <c r="F51" s="237"/>
      <c r="M51" s="185"/>
      <c r="N51" s="185"/>
      <c r="O51" s="185"/>
      <c r="P51" s="185"/>
      <c r="Q51" s="185"/>
    </row>
    <row r="52" spans="1:17" x14ac:dyDescent="0.2">
      <c r="M52" s="185"/>
      <c r="N52" s="185"/>
      <c r="O52" s="185"/>
      <c r="P52" s="185"/>
      <c r="Q52" s="185"/>
    </row>
    <row r="53" spans="1:17" x14ac:dyDescent="0.2">
      <c r="M53" s="185"/>
      <c r="N53" s="185"/>
      <c r="O53" s="185"/>
      <c r="P53" s="185"/>
      <c r="Q53" s="185"/>
    </row>
    <row r="54" spans="1:17" x14ac:dyDescent="0.2">
      <c r="M54" s="185"/>
      <c r="N54" s="185"/>
      <c r="O54" s="185"/>
      <c r="P54" s="185"/>
      <c r="Q54" s="185"/>
    </row>
    <row r="55" spans="1:17" x14ac:dyDescent="0.2">
      <c r="M55" s="185"/>
      <c r="N55" s="185"/>
      <c r="O55" s="185"/>
      <c r="P55" s="185"/>
      <c r="Q55" s="185"/>
    </row>
    <row r="56" spans="1:17" x14ac:dyDescent="0.2">
      <c r="M56" s="185"/>
      <c r="N56" s="185"/>
      <c r="O56" s="185"/>
      <c r="P56" s="185"/>
      <c r="Q56" s="185"/>
    </row>
    <row r="57" spans="1:17" x14ac:dyDescent="0.2">
      <c r="M57" s="185"/>
      <c r="N57" s="185"/>
      <c r="O57" s="185"/>
      <c r="P57" s="185"/>
      <c r="Q57" s="185"/>
    </row>
    <row r="58" spans="1:17" x14ac:dyDescent="0.2">
      <c r="M58" s="185"/>
      <c r="N58" s="185"/>
      <c r="O58" s="185"/>
      <c r="P58" s="185"/>
      <c r="Q58" s="185"/>
    </row>
    <row r="59" spans="1:17" x14ac:dyDescent="0.2">
      <c r="M59" s="185"/>
      <c r="N59" s="185"/>
      <c r="O59" s="185"/>
      <c r="P59" s="185"/>
      <c r="Q59" s="185"/>
    </row>
    <row r="60" spans="1:17" x14ac:dyDescent="0.2">
      <c r="M60" s="185"/>
      <c r="N60" s="185"/>
      <c r="O60" s="185"/>
      <c r="P60" s="185"/>
      <c r="Q60" s="185"/>
    </row>
    <row r="61" spans="1:17" x14ac:dyDescent="0.2">
      <c r="M61" s="185"/>
      <c r="N61" s="185"/>
      <c r="O61" s="185"/>
      <c r="P61" s="185"/>
      <c r="Q61" s="185"/>
    </row>
    <row r="62" spans="1:17" x14ac:dyDescent="0.2">
      <c r="M62" s="185"/>
      <c r="N62" s="185"/>
      <c r="O62" s="185"/>
      <c r="P62" s="185"/>
      <c r="Q62" s="185"/>
    </row>
    <row r="63" spans="1:17" x14ac:dyDescent="0.2">
      <c r="M63" s="185"/>
      <c r="N63" s="185"/>
      <c r="O63" s="185"/>
      <c r="P63" s="185"/>
      <c r="Q63" s="185"/>
    </row>
    <row r="64" spans="1:17" x14ac:dyDescent="0.2">
      <c r="M64" s="185"/>
      <c r="N64" s="185"/>
      <c r="O64" s="185"/>
      <c r="P64" s="185"/>
      <c r="Q64" s="185"/>
    </row>
    <row r="65" spans="13:17" x14ac:dyDescent="0.2">
      <c r="M65" s="185"/>
      <c r="N65" s="185"/>
      <c r="O65" s="185"/>
      <c r="P65" s="185"/>
      <c r="Q65" s="185"/>
    </row>
    <row r="66" spans="13:17" x14ac:dyDescent="0.2">
      <c r="M66" s="185"/>
      <c r="N66" s="185"/>
      <c r="O66" s="185"/>
      <c r="P66" s="185"/>
      <c r="Q66" s="185"/>
    </row>
    <row r="67" spans="13:17" x14ac:dyDescent="0.2">
      <c r="M67" s="185"/>
      <c r="N67" s="185"/>
      <c r="O67" s="185"/>
      <c r="P67" s="185"/>
      <c r="Q67" s="185"/>
    </row>
    <row r="68" spans="13:17" x14ac:dyDescent="0.2">
      <c r="M68" s="185"/>
      <c r="N68" s="185"/>
      <c r="O68" s="185"/>
      <c r="P68" s="185"/>
      <c r="Q68" s="185"/>
    </row>
    <row r="69" spans="13:17" x14ac:dyDescent="0.2">
      <c r="M69" s="185"/>
      <c r="N69" s="185"/>
      <c r="O69" s="185"/>
      <c r="P69" s="185"/>
      <c r="Q69" s="185"/>
    </row>
    <row r="70" spans="13:17" x14ac:dyDescent="0.2">
      <c r="M70" s="185"/>
      <c r="N70" s="185"/>
      <c r="O70" s="185"/>
      <c r="P70" s="185"/>
      <c r="Q70" s="185"/>
    </row>
    <row r="71" spans="13:17" x14ac:dyDescent="0.2">
      <c r="M71" s="185"/>
      <c r="N71" s="185"/>
      <c r="O71" s="185"/>
      <c r="P71" s="185"/>
      <c r="Q71" s="185"/>
    </row>
    <row r="72" spans="13:17" x14ac:dyDescent="0.2">
      <c r="M72" s="185"/>
      <c r="N72" s="185"/>
      <c r="O72" s="185"/>
      <c r="P72" s="185"/>
      <c r="Q72" s="185"/>
    </row>
    <row r="73" spans="13:17" x14ac:dyDescent="0.2">
      <c r="M73" s="185"/>
      <c r="N73" s="185"/>
      <c r="O73" s="185"/>
      <c r="P73" s="185"/>
      <c r="Q73" s="185"/>
    </row>
    <row r="74" spans="13:17" x14ac:dyDescent="0.2">
      <c r="M74" s="185"/>
      <c r="N74" s="185"/>
      <c r="O74" s="185"/>
      <c r="P74" s="185"/>
      <c r="Q74" s="185"/>
    </row>
    <row r="75" spans="13:17" x14ac:dyDescent="0.2">
      <c r="M75" s="185"/>
      <c r="N75" s="185"/>
      <c r="O75" s="185"/>
      <c r="P75" s="185"/>
      <c r="Q75" s="185"/>
    </row>
    <row r="76" spans="13:17" x14ac:dyDescent="0.2">
      <c r="M76" s="185"/>
      <c r="N76" s="185"/>
      <c r="O76" s="185"/>
      <c r="P76" s="185"/>
      <c r="Q76" s="185"/>
    </row>
    <row r="77" spans="13:17" x14ac:dyDescent="0.2">
      <c r="M77" s="185"/>
      <c r="N77" s="185"/>
      <c r="O77" s="185"/>
      <c r="P77" s="185"/>
      <c r="Q77" s="185"/>
    </row>
    <row r="78" spans="13:17" x14ac:dyDescent="0.2">
      <c r="M78" s="185"/>
      <c r="N78" s="185"/>
      <c r="O78" s="185"/>
      <c r="P78" s="185"/>
      <c r="Q78" s="185"/>
    </row>
    <row r="79" spans="13:17" x14ac:dyDescent="0.2">
      <c r="M79" s="185"/>
      <c r="N79" s="185"/>
      <c r="O79" s="185"/>
      <c r="P79" s="185"/>
      <c r="Q79" s="185"/>
    </row>
    <row r="80" spans="13:17" x14ac:dyDescent="0.2">
      <c r="M80" s="185"/>
      <c r="N80" s="185"/>
      <c r="O80" s="185"/>
      <c r="P80" s="185"/>
      <c r="Q80" s="185"/>
    </row>
    <row r="81" spans="13:17" x14ac:dyDescent="0.2">
      <c r="M81" s="185"/>
      <c r="N81" s="185"/>
      <c r="O81" s="185"/>
      <c r="P81" s="185"/>
      <c r="Q81" s="185"/>
    </row>
    <row r="82" spans="13:17" x14ac:dyDescent="0.2">
      <c r="M82" s="185"/>
      <c r="N82" s="185"/>
      <c r="O82" s="185"/>
      <c r="P82" s="185"/>
      <c r="Q82" s="185"/>
    </row>
    <row r="83" spans="13:17" x14ac:dyDescent="0.2">
      <c r="M83" s="185"/>
      <c r="N83" s="185"/>
      <c r="O83" s="185"/>
      <c r="P83" s="185"/>
      <c r="Q83" s="185"/>
    </row>
    <row r="84" spans="13:17" x14ac:dyDescent="0.2">
      <c r="M84" s="185"/>
      <c r="N84" s="185"/>
      <c r="O84" s="185"/>
      <c r="P84" s="185"/>
      <c r="Q84" s="185"/>
    </row>
    <row r="85" spans="13:17" x14ac:dyDescent="0.2">
      <c r="M85" s="185"/>
      <c r="N85" s="185"/>
      <c r="O85" s="185"/>
      <c r="P85" s="185"/>
      <c r="Q85" s="185"/>
    </row>
    <row r="86" spans="13:17" x14ac:dyDescent="0.2">
      <c r="M86" s="185"/>
      <c r="N86" s="185"/>
      <c r="O86" s="185"/>
      <c r="P86" s="185"/>
      <c r="Q86" s="185"/>
    </row>
    <row r="87" spans="13:17" x14ac:dyDescent="0.2">
      <c r="M87" s="185"/>
      <c r="N87" s="185"/>
      <c r="O87" s="185"/>
      <c r="P87" s="185"/>
      <c r="Q87" s="185"/>
    </row>
    <row r="88" spans="13:17" x14ac:dyDescent="0.2">
      <c r="M88" s="185"/>
      <c r="N88" s="185"/>
      <c r="O88" s="185"/>
      <c r="P88" s="185"/>
      <c r="Q88" s="185"/>
    </row>
    <row r="89" spans="13:17" x14ac:dyDescent="0.2">
      <c r="M89" s="185"/>
      <c r="N89" s="185"/>
      <c r="O89" s="185"/>
      <c r="P89" s="185"/>
      <c r="Q89" s="185"/>
    </row>
    <row r="90" spans="13:17" x14ac:dyDescent="0.2">
      <c r="M90" s="185"/>
      <c r="N90" s="185"/>
      <c r="O90" s="185"/>
      <c r="P90" s="185"/>
      <c r="Q90" s="185"/>
    </row>
    <row r="91" spans="13:17" x14ac:dyDescent="0.2">
      <c r="M91" s="185"/>
      <c r="N91" s="185"/>
      <c r="O91" s="185"/>
      <c r="P91" s="185"/>
      <c r="Q91" s="185"/>
    </row>
    <row r="92" spans="13:17" x14ac:dyDescent="0.2">
      <c r="M92" s="185"/>
      <c r="N92" s="185"/>
      <c r="O92" s="185"/>
      <c r="P92" s="185"/>
      <c r="Q92" s="185"/>
    </row>
    <row r="93" spans="13:17" x14ac:dyDescent="0.2">
      <c r="M93" s="185"/>
      <c r="N93" s="185"/>
      <c r="O93" s="185"/>
      <c r="P93" s="185"/>
      <c r="Q93" s="185"/>
    </row>
    <row r="94" spans="13:17" x14ac:dyDescent="0.2">
      <c r="M94" s="185"/>
      <c r="N94" s="185"/>
      <c r="O94" s="185"/>
      <c r="P94" s="185"/>
      <c r="Q94" s="185"/>
    </row>
    <row r="95" spans="13:17" x14ac:dyDescent="0.2">
      <c r="M95" s="185"/>
      <c r="N95" s="185"/>
      <c r="O95" s="185"/>
      <c r="P95" s="185"/>
      <c r="Q95" s="185"/>
    </row>
    <row r="96" spans="13:17" x14ac:dyDescent="0.2">
      <c r="M96" s="185"/>
      <c r="N96" s="185"/>
      <c r="O96" s="185"/>
      <c r="P96" s="185"/>
      <c r="Q96" s="185"/>
    </row>
    <row r="97" spans="13:17" x14ac:dyDescent="0.2">
      <c r="M97" s="185"/>
      <c r="N97" s="185"/>
      <c r="O97" s="185"/>
      <c r="P97" s="185"/>
      <c r="Q97" s="185"/>
    </row>
    <row r="98" spans="13:17" x14ac:dyDescent="0.2">
      <c r="M98" s="185"/>
      <c r="N98" s="185"/>
      <c r="O98" s="185"/>
      <c r="P98" s="185"/>
      <c r="Q98" s="185"/>
    </row>
    <row r="99" spans="13:17" x14ac:dyDescent="0.2">
      <c r="M99" s="185"/>
      <c r="N99" s="185"/>
      <c r="O99" s="185"/>
      <c r="P99" s="185"/>
      <c r="Q99" s="185"/>
    </row>
    <row r="100" spans="13:17" x14ac:dyDescent="0.2">
      <c r="M100" s="185"/>
      <c r="N100" s="185"/>
      <c r="O100" s="185"/>
      <c r="P100" s="185"/>
      <c r="Q100" s="185"/>
    </row>
    <row r="101" spans="13:17" x14ac:dyDescent="0.2">
      <c r="M101" s="185"/>
      <c r="N101" s="185"/>
      <c r="O101" s="185"/>
      <c r="P101" s="185"/>
      <c r="Q101" s="185"/>
    </row>
    <row r="102" spans="13:17" x14ac:dyDescent="0.2">
      <c r="M102" s="185"/>
      <c r="N102" s="185"/>
      <c r="O102" s="185"/>
      <c r="P102" s="185"/>
      <c r="Q102" s="185"/>
    </row>
    <row r="103" spans="13:17" x14ac:dyDescent="0.2">
      <c r="M103" s="185"/>
      <c r="N103" s="185"/>
      <c r="O103" s="185"/>
      <c r="P103" s="185"/>
      <c r="Q103" s="185"/>
    </row>
    <row r="104" spans="13:17" x14ac:dyDescent="0.2">
      <c r="M104" s="185"/>
      <c r="N104" s="185"/>
      <c r="O104" s="185"/>
      <c r="P104" s="185"/>
      <c r="Q104" s="185"/>
    </row>
    <row r="105" spans="13:17" x14ac:dyDescent="0.2">
      <c r="M105" s="185"/>
      <c r="N105" s="185"/>
      <c r="O105" s="185"/>
      <c r="P105" s="185"/>
      <c r="Q105" s="185"/>
    </row>
    <row r="106" spans="13:17" x14ac:dyDescent="0.2">
      <c r="M106" s="185"/>
      <c r="N106" s="185"/>
      <c r="O106" s="185"/>
      <c r="P106" s="185"/>
      <c r="Q106" s="185"/>
    </row>
    <row r="107" spans="13:17" x14ac:dyDescent="0.2">
      <c r="M107" s="185"/>
      <c r="N107" s="185"/>
      <c r="O107" s="185"/>
      <c r="P107" s="185"/>
      <c r="Q107" s="185"/>
    </row>
    <row r="108" spans="13:17" x14ac:dyDescent="0.2">
      <c r="M108" s="185"/>
      <c r="N108" s="185"/>
      <c r="O108" s="185"/>
      <c r="P108" s="185"/>
      <c r="Q108" s="185"/>
    </row>
    <row r="109" spans="13:17" x14ac:dyDescent="0.2">
      <c r="M109" s="185"/>
      <c r="N109" s="185"/>
      <c r="O109" s="185"/>
      <c r="P109" s="185"/>
      <c r="Q109" s="185"/>
    </row>
    <row r="110" spans="13:17" x14ac:dyDescent="0.2">
      <c r="M110" s="185"/>
      <c r="N110" s="185"/>
      <c r="O110" s="185"/>
      <c r="P110" s="185"/>
      <c r="Q110" s="185"/>
    </row>
    <row r="111" spans="13:17" x14ac:dyDescent="0.2">
      <c r="M111" s="185"/>
      <c r="N111" s="185"/>
      <c r="O111" s="185"/>
      <c r="P111" s="185"/>
      <c r="Q111" s="185"/>
    </row>
    <row r="112" spans="13:17" x14ac:dyDescent="0.2">
      <c r="M112" s="185"/>
      <c r="N112" s="185"/>
      <c r="O112" s="185"/>
      <c r="P112" s="185"/>
      <c r="Q112" s="185"/>
    </row>
    <row r="113" spans="13:17" x14ac:dyDescent="0.2">
      <c r="M113" s="185"/>
      <c r="N113" s="185"/>
      <c r="O113" s="185"/>
      <c r="P113" s="185"/>
      <c r="Q113" s="185"/>
    </row>
    <row r="114" spans="13:17" x14ac:dyDescent="0.2">
      <c r="M114" s="185"/>
      <c r="N114" s="185"/>
      <c r="O114" s="185"/>
      <c r="P114" s="185"/>
      <c r="Q114" s="185"/>
    </row>
    <row r="115" spans="13:17" x14ac:dyDescent="0.2">
      <c r="M115" s="185"/>
      <c r="N115" s="185"/>
      <c r="O115" s="185"/>
      <c r="P115" s="185"/>
      <c r="Q115" s="185"/>
    </row>
    <row r="116" spans="13:17" x14ac:dyDescent="0.2">
      <c r="M116" s="185"/>
      <c r="N116" s="185"/>
      <c r="O116" s="185"/>
      <c r="P116" s="185"/>
      <c r="Q116" s="185"/>
    </row>
    <row r="117" spans="13:17" x14ac:dyDescent="0.2">
      <c r="M117" s="185"/>
      <c r="N117" s="185"/>
      <c r="O117" s="185"/>
      <c r="P117" s="185"/>
      <c r="Q117" s="185"/>
    </row>
    <row r="118" spans="13:17" x14ac:dyDescent="0.2">
      <c r="M118" s="185"/>
      <c r="N118" s="185"/>
      <c r="O118" s="185"/>
      <c r="P118" s="185"/>
      <c r="Q118" s="185"/>
    </row>
    <row r="119" spans="13:17" x14ac:dyDescent="0.2">
      <c r="M119" s="185"/>
      <c r="N119" s="185"/>
      <c r="O119" s="185"/>
      <c r="P119" s="185"/>
      <c r="Q119" s="185"/>
    </row>
    <row r="120" spans="13:17" x14ac:dyDescent="0.2">
      <c r="M120" s="185"/>
      <c r="N120" s="185"/>
      <c r="O120" s="185"/>
      <c r="P120" s="185"/>
      <c r="Q120" s="185"/>
    </row>
    <row r="121" spans="13:17" x14ac:dyDescent="0.2">
      <c r="M121" s="185"/>
      <c r="N121" s="185"/>
      <c r="O121" s="185"/>
      <c r="P121" s="185"/>
      <c r="Q121" s="185"/>
    </row>
    <row r="122" spans="13:17" x14ac:dyDescent="0.2">
      <c r="M122" s="185"/>
      <c r="N122" s="185"/>
      <c r="O122" s="185"/>
      <c r="P122" s="185"/>
      <c r="Q122" s="185"/>
    </row>
    <row r="123" spans="13:17" x14ac:dyDescent="0.2">
      <c r="M123" s="185"/>
      <c r="N123" s="185"/>
      <c r="O123" s="185"/>
      <c r="P123" s="185"/>
      <c r="Q123" s="185"/>
    </row>
    <row r="124" spans="13:17" x14ac:dyDescent="0.2">
      <c r="M124" s="185"/>
      <c r="N124" s="185"/>
      <c r="O124" s="185"/>
      <c r="P124" s="185"/>
      <c r="Q124" s="185"/>
    </row>
    <row r="125" spans="13:17" x14ac:dyDescent="0.2">
      <c r="M125" s="185"/>
      <c r="N125" s="185"/>
      <c r="O125" s="185"/>
      <c r="P125" s="185"/>
      <c r="Q125" s="185"/>
    </row>
    <row r="126" spans="13:17" x14ac:dyDescent="0.2">
      <c r="M126" s="185"/>
      <c r="N126" s="185"/>
      <c r="O126" s="185"/>
      <c r="P126" s="185"/>
      <c r="Q126" s="185"/>
    </row>
    <row r="127" spans="13:17" x14ac:dyDescent="0.2">
      <c r="M127" s="185"/>
      <c r="N127" s="185"/>
      <c r="O127" s="185"/>
      <c r="P127" s="185"/>
      <c r="Q127" s="185"/>
    </row>
    <row r="128" spans="13:17" x14ac:dyDescent="0.2">
      <c r="M128" s="185"/>
      <c r="N128" s="185"/>
      <c r="O128" s="185"/>
      <c r="P128" s="185"/>
      <c r="Q128" s="185"/>
    </row>
    <row r="129" spans="13:17" x14ac:dyDescent="0.2">
      <c r="M129" s="185"/>
      <c r="N129" s="185"/>
      <c r="O129" s="185"/>
      <c r="P129" s="185"/>
      <c r="Q129" s="185"/>
    </row>
    <row r="130" spans="13:17" x14ac:dyDescent="0.2">
      <c r="M130" s="185"/>
      <c r="N130" s="185"/>
      <c r="O130" s="185"/>
      <c r="P130" s="185"/>
      <c r="Q130" s="185"/>
    </row>
    <row r="131" spans="13:17" x14ac:dyDescent="0.2">
      <c r="M131" s="185"/>
      <c r="N131" s="185"/>
      <c r="O131" s="185"/>
      <c r="P131" s="185"/>
      <c r="Q131" s="185"/>
    </row>
    <row r="132" spans="13:17" x14ac:dyDescent="0.2">
      <c r="M132" s="185"/>
      <c r="N132" s="185"/>
      <c r="O132" s="185"/>
      <c r="P132" s="185"/>
      <c r="Q132" s="185"/>
    </row>
    <row r="133" spans="13:17" x14ac:dyDescent="0.2">
      <c r="M133" s="185"/>
      <c r="N133" s="185"/>
      <c r="O133" s="185"/>
      <c r="P133" s="185"/>
      <c r="Q133" s="185"/>
    </row>
    <row r="134" spans="13:17" x14ac:dyDescent="0.2">
      <c r="M134" s="185"/>
      <c r="N134" s="185"/>
      <c r="O134" s="185"/>
      <c r="P134" s="185"/>
      <c r="Q134" s="185"/>
    </row>
    <row r="135" spans="13:17" x14ac:dyDescent="0.2">
      <c r="M135" s="185"/>
      <c r="N135" s="185"/>
      <c r="O135" s="185"/>
      <c r="P135" s="185"/>
      <c r="Q135" s="185"/>
    </row>
    <row r="136" spans="13:17" x14ac:dyDescent="0.2">
      <c r="M136" s="185"/>
      <c r="N136" s="185"/>
      <c r="O136" s="185"/>
      <c r="P136" s="185"/>
      <c r="Q136" s="185"/>
    </row>
    <row r="137" spans="13:17" x14ac:dyDescent="0.2">
      <c r="M137" s="185"/>
      <c r="N137" s="185"/>
      <c r="O137" s="185"/>
      <c r="P137" s="185"/>
      <c r="Q137" s="185"/>
    </row>
    <row r="138" spans="13:17" x14ac:dyDescent="0.2">
      <c r="M138" s="185"/>
      <c r="N138" s="185"/>
      <c r="O138" s="185"/>
      <c r="P138" s="185"/>
      <c r="Q138" s="185"/>
    </row>
    <row r="139" spans="13:17" x14ac:dyDescent="0.2">
      <c r="M139" s="185"/>
      <c r="N139" s="185"/>
      <c r="O139" s="185"/>
      <c r="P139" s="185"/>
      <c r="Q139" s="185"/>
    </row>
    <row r="140" spans="13:17" x14ac:dyDescent="0.2">
      <c r="M140" s="185"/>
      <c r="N140" s="185"/>
      <c r="O140" s="185"/>
      <c r="P140" s="185"/>
      <c r="Q140" s="185"/>
    </row>
    <row r="141" spans="13:17" x14ac:dyDescent="0.2">
      <c r="M141" s="185"/>
      <c r="N141" s="185"/>
      <c r="O141" s="185"/>
      <c r="P141" s="185"/>
      <c r="Q141" s="185"/>
    </row>
    <row r="142" spans="13:17" x14ac:dyDescent="0.2">
      <c r="M142" s="185"/>
      <c r="N142" s="185"/>
      <c r="O142" s="185"/>
      <c r="P142" s="185"/>
      <c r="Q142" s="185"/>
    </row>
    <row r="143" spans="13:17" x14ac:dyDescent="0.2">
      <c r="M143" s="185"/>
      <c r="N143" s="185"/>
      <c r="O143" s="185"/>
      <c r="P143" s="185"/>
      <c r="Q143" s="185"/>
    </row>
    <row r="144" spans="13:17" x14ac:dyDescent="0.2">
      <c r="M144" s="185"/>
      <c r="N144" s="185"/>
      <c r="O144" s="185"/>
      <c r="P144" s="185"/>
      <c r="Q144" s="185"/>
    </row>
    <row r="145" spans="13:17" x14ac:dyDescent="0.2">
      <c r="M145" s="185"/>
      <c r="N145" s="185"/>
      <c r="O145" s="185"/>
      <c r="P145" s="185"/>
      <c r="Q145" s="185"/>
    </row>
    <row r="146" spans="13:17" x14ac:dyDescent="0.2">
      <c r="M146" s="185"/>
      <c r="N146" s="185"/>
      <c r="O146" s="185"/>
      <c r="P146" s="185"/>
      <c r="Q146" s="185"/>
    </row>
    <row r="147" spans="13:17" x14ac:dyDescent="0.2">
      <c r="M147" s="185"/>
      <c r="N147" s="185"/>
      <c r="O147" s="185"/>
      <c r="P147" s="185"/>
      <c r="Q147" s="185"/>
    </row>
    <row r="148" spans="13:17" x14ac:dyDescent="0.2">
      <c r="M148" s="185"/>
      <c r="N148" s="185"/>
      <c r="O148" s="185"/>
      <c r="P148" s="185"/>
      <c r="Q148" s="185"/>
    </row>
    <row r="149" spans="13:17" x14ac:dyDescent="0.2">
      <c r="M149" s="185"/>
      <c r="N149" s="185"/>
      <c r="O149" s="185"/>
      <c r="P149" s="185"/>
      <c r="Q149" s="185"/>
    </row>
    <row r="150" spans="13:17" x14ac:dyDescent="0.2">
      <c r="M150" s="185"/>
      <c r="N150" s="185"/>
      <c r="O150" s="185"/>
      <c r="P150" s="185"/>
      <c r="Q150" s="185"/>
    </row>
    <row r="151" spans="13:17" x14ac:dyDescent="0.2">
      <c r="M151" s="185"/>
      <c r="N151" s="185"/>
      <c r="O151" s="185"/>
      <c r="P151" s="185"/>
      <c r="Q151" s="185"/>
    </row>
    <row r="152" spans="13:17" x14ac:dyDescent="0.2">
      <c r="M152" s="185"/>
      <c r="N152" s="185"/>
      <c r="O152" s="185"/>
      <c r="P152" s="185"/>
      <c r="Q152" s="185"/>
    </row>
    <row r="153" spans="13:17" x14ac:dyDescent="0.2">
      <c r="M153" s="185"/>
      <c r="N153" s="185"/>
      <c r="O153" s="185"/>
      <c r="P153" s="185"/>
      <c r="Q153" s="185"/>
    </row>
    <row r="154" spans="13:17" x14ac:dyDescent="0.2">
      <c r="M154" s="185"/>
      <c r="N154" s="185"/>
      <c r="O154" s="185"/>
      <c r="P154" s="185"/>
      <c r="Q154" s="185"/>
    </row>
    <row r="155" spans="13:17" x14ac:dyDescent="0.2">
      <c r="M155" s="185"/>
      <c r="N155" s="185"/>
      <c r="O155" s="185"/>
      <c r="P155" s="185"/>
      <c r="Q155" s="185"/>
    </row>
    <row r="156" spans="13:17" x14ac:dyDescent="0.2">
      <c r="M156" s="185"/>
      <c r="N156" s="185"/>
      <c r="O156" s="185"/>
      <c r="P156" s="185"/>
      <c r="Q156" s="185"/>
    </row>
    <row r="157" spans="13:17" x14ac:dyDescent="0.2">
      <c r="M157" s="185"/>
      <c r="N157" s="185"/>
      <c r="O157" s="185"/>
      <c r="P157" s="185"/>
      <c r="Q157" s="185"/>
    </row>
    <row r="158" spans="13:17" x14ac:dyDescent="0.2">
      <c r="M158" s="185"/>
      <c r="N158" s="185"/>
      <c r="O158" s="185"/>
      <c r="P158" s="185"/>
      <c r="Q158" s="185"/>
    </row>
    <row r="159" spans="13:17" x14ac:dyDescent="0.2">
      <c r="M159" s="185"/>
      <c r="N159" s="185"/>
      <c r="O159" s="185"/>
      <c r="P159" s="185"/>
      <c r="Q159" s="185"/>
    </row>
    <row r="160" spans="13:17" x14ac:dyDescent="0.2">
      <c r="M160" s="185"/>
      <c r="N160" s="185"/>
      <c r="O160" s="185"/>
      <c r="P160" s="185"/>
      <c r="Q160" s="185"/>
    </row>
    <row r="161" spans="13:17" x14ac:dyDescent="0.2">
      <c r="M161" s="185"/>
      <c r="N161" s="185"/>
      <c r="O161" s="185"/>
      <c r="P161" s="185"/>
      <c r="Q161" s="185"/>
    </row>
    <row r="162" spans="13:17" x14ac:dyDescent="0.2">
      <c r="M162" s="185"/>
      <c r="N162" s="185"/>
      <c r="O162" s="185"/>
      <c r="P162" s="185"/>
      <c r="Q162" s="185"/>
    </row>
    <row r="163" spans="13:17" x14ac:dyDescent="0.2">
      <c r="M163" s="185"/>
      <c r="N163" s="185"/>
      <c r="O163" s="185"/>
      <c r="P163" s="185"/>
      <c r="Q163" s="185"/>
    </row>
    <row r="164" spans="13:17" x14ac:dyDescent="0.2">
      <c r="M164" s="185"/>
      <c r="N164" s="185"/>
      <c r="O164" s="185"/>
      <c r="P164" s="185"/>
      <c r="Q164" s="185"/>
    </row>
    <row r="165" spans="13:17" x14ac:dyDescent="0.2">
      <c r="M165" s="185"/>
      <c r="N165" s="185"/>
      <c r="O165" s="185"/>
      <c r="P165" s="185"/>
      <c r="Q165" s="185"/>
    </row>
    <row r="166" spans="13:17" x14ac:dyDescent="0.2">
      <c r="M166" s="185"/>
      <c r="N166" s="185"/>
      <c r="O166" s="185"/>
      <c r="P166" s="185"/>
      <c r="Q166" s="185"/>
    </row>
    <row r="167" spans="13:17" x14ac:dyDescent="0.2">
      <c r="M167" s="185"/>
      <c r="N167" s="185"/>
      <c r="O167" s="185"/>
      <c r="P167" s="185"/>
      <c r="Q167" s="185"/>
    </row>
    <row r="168" spans="13:17" x14ac:dyDescent="0.2">
      <c r="M168" s="185"/>
      <c r="N168" s="185"/>
      <c r="O168" s="185"/>
      <c r="P168" s="185"/>
      <c r="Q168" s="185"/>
    </row>
    <row r="169" spans="13:17" x14ac:dyDescent="0.2">
      <c r="M169" s="185"/>
      <c r="N169" s="185"/>
      <c r="O169" s="185"/>
      <c r="P169" s="185"/>
      <c r="Q169" s="185"/>
    </row>
    <row r="170" spans="13:17" x14ac:dyDescent="0.2">
      <c r="M170" s="185"/>
      <c r="N170" s="185"/>
      <c r="O170" s="185"/>
      <c r="P170" s="185"/>
      <c r="Q170" s="185"/>
    </row>
    <row r="171" spans="13:17" x14ac:dyDescent="0.2">
      <c r="M171" s="185"/>
      <c r="N171" s="185"/>
      <c r="O171" s="185"/>
      <c r="P171" s="185"/>
      <c r="Q171" s="185"/>
    </row>
    <row r="172" spans="13:17" x14ac:dyDescent="0.2">
      <c r="M172" s="185"/>
      <c r="N172" s="185"/>
      <c r="O172" s="185"/>
      <c r="P172" s="185"/>
      <c r="Q172" s="185"/>
    </row>
    <row r="173" spans="13:17" x14ac:dyDescent="0.2">
      <c r="M173" s="185"/>
      <c r="N173" s="185"/>
      <c r="O173" s="185"/>
      <c r="P173" s="185"/>
      <c r="Q173" s="185"/>
    </row>
    <row r="174" spans="13:17" x14ac:dyDescent="0.2">
      <c r="M174" s="185"/>
      <c r="N174" s="185"/>
      <c r="O174" s="185"/>
      <c r="P174" s="185"/>
      <c r="Q174" s="185"/>
    </row>
    <row r="175" spans="13:17" x14ac:dyDescent="0.2">
      <c r="M175" s="185"/>
      <c r="N175" s="185"/>
      <c r="O175" s="185"/>
      <c r="P175" s="185"/>
      <c r="Q175" s="185"/>
    </row>
    <row r="176" spans="13:17" x14ac:dyDescent="0.2">
      <c r="M176" s="185"/>
      <c r="N176" s="185"/>
      <c r="O176" s="185"/>
      <c r="P176" s="185"/>
      <c r="Q176" s="185"/>
    </row>
    <row r="177" spans="13:17" x14ac:dyDescent="0.2">
      <c r="M177" s="185"/>
      <c r="N177" s="185"/>
      <c r="O177" s="185"/>
      <c r="P177" s="185"/>
      <c r="Q177" s="185"/>
    </row>
    <row r="178" spans="13:17" x14ac:dyDescent="0.2">
      <c r="M178" s="185"/>
      <c r="N178" s="185"/>
      <c r="O178" s="185"/>
      <c r="P178" s="185"/>
      <c r="Q178" s="185"/>
    </row>
    <row r="179" spans="13:17" x14ac:dyDescent="0.2">
      <c r="M179" s="185"/>
      <c r="N179" s="185"/>
      <c r="O179" s="185"/>
      <c r="P179" s="185"/>
      <c r="Q179" s="185"/>
    </row>
    <row r="180" spans="13:17" x14ac:dyDescent="0.2">
      <c r="M180" s="185"/>
      <c r="N180" s="185"/>
      <c r="O180" s="185"/>
      <c r="P180" s="185"/>
      <c r="Q180" s="185"/>
    </row>
    <row r="181" spans="13:17" x14ac:dyDescent="0.2">
      <c r="M181" s="185"/>
      <c r="N181" s="185"/>
      <c r="O181" s="185"/>
      <c r="P181" s="185"/>
      <c r="Q181" s="185"/>
    </row>
    <row r="182" spans="13:17" x14ac:dyDescent="0.2">
      <c r="M182" s="185"/>
      <c r="N182" s="185"/>
      <c r="O182" s="185"/>
      <c r="P182" s="185"/>
      <c r="Q182" s="185"/>
    </row>
    <row r="183" spans="13:17" x14ac:dyDescent="0.2">
      <c r="M183" s="185"/>
      <c r="N183" s="185"/>
      <c r="O183" s="185"/>
      <c r="P183" s="185"/>
      <c r="Q183" s="185"/>
    </row>
    <row r="184" spans="13:17" x14ac:dyDescent="0.2">
      <c r="M184" s="185"/>
      <c r="N184" s="185"/>
      <c r="O184" s="185"/>
      <c r="P184" s="185"/>
      <c r="Q184" s="185"/>
    </row>
    <row r="185" spans="13:17" x14ac:dyDescent="0.2">
      <c r="M185" s="185"/>
      <c r="N185" s="185"/>
      <c r="O185" s="185"/>
      <c r="P185" s="185"/>
      <c r="Q185" s="185"/>
    </row>
    <row r="186" spans="13:17" x14ac:dyDescent="0.2">
      <c r="M186" s="185"/>
      <c r="N186" s="185"/>
      <c r="O186" s="185"/>
      <c r="P186" s="185"/>
      <c r="Q186" s="185"/>
    </row>
    <row r="187" spans="13:17" x14ac:dyDescent="0.2">
      <c r="M187" s="185"/>
      <c r="N187" s="185"/>
      <c r="O187" s="185"/>
      <c r="P187" s="185"/>
      <c r="Q187" s="185"/>
    </row>
    <row r="188" spans="13:17" x14ac:dyDescent="0.2">
      <c r="M188" s="185"/>
      <c r="N188" s="185"/>
      <c r="O188" s="185"/>
      <c r="P188" s="185"/>
      <c r="Q188" s="185"/>
    </row>
    <row r="189" spans="13:17" x14ac:dyDescent="0.2">
      <c r="M189" s="185"/>
      <c r="N189" s="185"/>
      <c r="O189" s="185"/>
      <c r="P189" s="185"/>
      <c r="Q189" s="185"/>
    </row>
    <row r="190" spans="13:17" x14ac:dyDescent="0.2">
      <c r="M190" s="185"/>
      <c r="N190" s="185"/>
      <c r="O190" s="185"/>
      <c r="P190" s="185"/>
      <c r="Q190" s="185"/>
    </row>
    <row r="191" spans="13:17" x14ac:dyDescent="0.2">
      <c r="M191" s="185"/>
      <c r="N191" s="185"/>
      <c r="O191" s="185"/>
      <c r="P191" s="185"/>
      <c r="Q191" s="185"/>
    </row>
    <row r="192" spans="13:17" x14ac:dyDescent="0.2">
      <c r="M192" s="185"/>
      <c r="N192" s="185"/>
      <c r="O192" s="185"/>
      <c r="P192" s="185"/>
      <c r="Q192" s="185"/>
    </row>
    <row r="193" spans="13:17" x14ac:dyDescent="0.2">
      <c r="M193" s="185"/>
      <c r="N193" s="185"/>
      <c r="O193" s="185"/>
      <c r="P193" s="185"/>
      <c r="Q193" s="185"/>
    </row>
    <row r="194" spans="13:17" x14ac:dyDescent="0.2">
      <c r="M194" s="185"/>
      <c r="N194" s="185"/>
      <c r="O194" s="185"/>
      <c r="P194" s="185"/>
      <c r="Q194" s="185"/>
    </row>
    <row r="195" spans="13:17" x14ac:dyDescent="0.2">
      <c r="M195" s="185"/>
      <c r="N195" s="185"/>
      <c r="O195" s="185"/>
      <c r="P195" s="185"/>
      <c r="Q195" s="185"/>
    </row>
    <row r="196" spans="13:17" x14ac:dyDescent="0.2">
      <c r="M196" s="185"/>
      <c r="N196" s="185"/>
      <c r="O196" s="185"/>
      <c r="P196" s="185"/>
      <c r="Q196" s="185"/>
    </row>
    <row r="197" spans="13:17" x14ac:dyDescent="0.2">
      <c r="M197" s="185"/>
      <c r="N197" s="185"/>
      <c r="O197" s="185"/>
      <c r="P197" s="185"/>
      <c r="Q197" s="185"/>
    </row>
    <row r="198" spans="13:17" x14ac:dyDescent="0.2">
      <c r="M198" s="185"/>
      <c r="N198" s="185"/>
      <c r="O198" s="185"/>
      <c r="P198" s="185"/>
      <c r="Q198" s="185"/>
    </row>
    <row r="199" spans="13:17" x14ac:dyDescent="0.2">
      <c r="M199" s="185"/>
      <c r="N199" s="185"/>
      <c r="O199" s="185"/>
      <c r="P199" s="185"/>
      <c r="Q199" s="185"/>
    </row>
    <row r="200" spans="13:17" x14ac:dyDescent="0.2">
      <c r="M200" s="185"/>
      <c r="N200" s="185"/>
      <c r="O200" s="185"/>
      <c r="P200" s="185"/>
      <c r="Q200" s="185"/>
    </row>
    <row r="201" spans="13:17" x14ac:dyDescent="0.2">
      <c r="M201" s="185"/>
      <c r="N201" s="185"/>
      <c r="O201" s="185"/>
      <c r="P201" s="185"/>
      <c r="Q201" s="185"/>
    </row>
    <row r="202" spans="13:17" x14ac:dyDescent="0.2">
      <c r="M202" s="185"/>
      <c r="N202" s="185"/>
      <c r="O202" s="185"/>
      <c r="P202" s="185"/>
      <c r="Q202" s="185"/>
    </row>
    <row r="203" spans="13:17" x14ac:dyDescent="0.2">
      <c r="M203" s="185"/>
      <c r="N203" s="185"/>
      <c r="O203" s="185"/>
      <c r="P203" s="185"/>
      <c r="Q203" s="185"/>
    </row>
    <row r="204" spans="13:17" x14ac:dyDescent="0.2">
      <c r="M204" s="185"/>
      <c r="N204" s="185"/>
      <c r="O204" s="185"/>
      <c r="P204" s="185"/>
      <c r="Q204" s="185"/>
    </row>
    <row r="205" spans="13:17" x14ac:dyDescent="0.2">
      <c r="M205" s="185"/>
      <c r="N205" s="185"/>
      <c r="O205" s="185"/>
      <c r="P205" s="185"/>
      <c r="Q205" s="185"/>
    </row>
    <row r="206" spans="13:17" x14ac:dyDescent="0.2">
      <c r="M206" s="185"/>
      <c r="N206" s="185"/>
      <c r="O206" s="185"/>
      <c r="P206" s="185"/>
      <c r="Q206" s="185"/>
    </row>
    <row r="207" spans="13:17" x14ac:dyDescent="0.2">
      <c r="M207" s="185"/>
      <c r="N207" s="185"/>
      <c r="O207" s="185"/>
      <c r="P207" s="185"/>
      <c r="Q207" s="185"/>
    </row>
    <row r="208" spans="13:17" x14ac:dyDescent="0.2">
      <c r="M208" s="185"/>
      <c r="N208" s="185"/>
      <c r="O208" s="185"/>
      <c r="P208" s="185"/>
      <c r="Q208" s="185"/>
    </row>
    <row r="209" spans="13:17" x14ac:dyDescent="0.2">
      <c r="M209" s="185"/>
      <c r="N209" s="185"/>
      <c r="O209" s="185"/>
      <c r="P209" s="185"/>
      <c r="Q209" s="185"/>
    </row>
    <row r="210" spans="13:17" x14ac:dyDescent="0.2">
      <c r="M210" s="185"/>
      <c r="N210" s="185"/>
      <c r="O210" s="185"/>
      <c r="P210" s="185"/>
      <c r="Q210" s="185"/>
    </row>
    <row r="211" spans="13:17" x14ac:dyDescent="0.2">
      <c r="M211" s="185"/>
      <c r="N211" s="185"/>
      <c r="O211" s="185"/>
      <c r="P211" s="185"/>
      <c r="Q211" s="185"/>
    </row>
    <row r="212" spans="13:17" x14ac:dyDescent="0.2">
      <c r="M212" s="185"/>
      <c r="N212" s="185"/>
      <c r="O212" s="185"/>
      <c r="P212" s="185"/>
      <c r="Q212" s="185"/>
    </row>
    <row r="213" spans="13:17" x14ac:dyDescent="0.2">
      <c r="M213" s="185"/>
      <c r="N213" s="185"/>
      <c r="O213" s="185"/>
      <c r="P213" s="185"/>
      <c r="Q213" s="185"/>
    </row>
    <row r="214" spans="13:17" x14ac:dyDescent="0.2">
      <c r="M214" s="185"/>
      <c r="N214" s="185"/>
      <c r="O214" s="185"/>
      <c r="P214" s="185"/>
      <c r="Q214" s="185"/>
    </row>
    <row r="215" spans="13:17" x14ac:dyDescent="0.2">
      <c r="M215" s="185"/>
      <c r="N215" s="185"/>
      <c r="O215" s="185"/>
      <c r="P215" s="185"/>
      <c r="Q215" s="185"/>
    </row>
    <row r="216" spans="13:17" x14ac:dyDescent="0.2">
      <c r="M216" s="185"/>
      <c r="N216" s="185"/>
      <c r="O216" s="185"/>
      <c r="P216" s="185"/>
      <c r="Q216" s="185"/>
    </row>
    <row r="217" spans="13:17" x14ac:dyDescent="0.2">
      <c r="M217" s="185"/>
      <c r="N217" s="185"/>
      <c r="O217" s="185"/>
      <c r="P217" s="185"/>
      <c r="Q217" s="185"/>
    </row>
    <row r="218" spans="13:17" x14ac:dyDescent="0.2">
      <c r="M218" s="185"/>
      <c r="N218" s="185"/>
      <c r="O218" s="185"/>
      <c r="P218" s="185"/>
      <c r="Q218" s="185"/>
    </row>
    <row r="219" spans="13:17" x14ac:dyDescent="0.2">
      <c r="M219" s="185"/>
      <c r="N219" s="185"/>
      <c r="O219" s="185"/>
      <c r="P219" s="185"/>
      <c r="Q219" s="185"/>
    </row>
    <row r="220" spans="13:17" x14ac:dyDescent="0.2">
      <c r="M220" s="185"/>
      <c r="N220" s="185"/>
      <c r="O220" s="185"/>
      <c r="P220" s="185"/>
      <c r="Q220" s="185"/>
    </row>
    <row r="221" spans="13:17" x14ac:dyDescent="0.2">
      <c r="M221" s="185"/>
      <c r="N221" s="185"/>
      <c r="O221" s="185"/>
      <c r="P221" s="185"/>
      <c r="Q221" s="185"/>
    </row>
    <row r="222" spans="13:17" x14ac:dyDescent="0.2">
      <c r="M222" s="185"/>
      <c r="N222" s="185"/>
      <c r="O222" s="185"/>
      <c r="P222" s="185"/>
      <c r="Q222" s="185"/>
    </row>
    <row r="223" spans="13:17" x14ac:dyDescent="0.2">
      <c r="M223" s="185"/>
      <c r="N223" s="185"/>
      <c r="O223" s="185"/>
      <c r="P223" s="185"/>
      <c r="Q223" s="185"/>
    </row>
    <row r="224" spans="13:17" x14ac:dyDescent="0.2">
      <c r="M224" s="185"/>
      <c r="N224" s="185"/>
      <c r="O224" s="185"/>
      <c r="P224" s="185"/>
      <c r="Q224" s="185"/>
    </row>
    <row r="225" spans="13:17" x14ac:dyDescent="0.2">
      <c r="M225" s="185"/>
      <c r="N225" s="185"/>
      <c r="O225" s="185"/>
      <c r="P225" s="185"/>
      <c r="Q225" s="185"/>
    </row>
    <row r="226" spans="13:17" x14ac:dyDescent="0.2">
      <c r="M226" s="185"/>
      <c r="N226" s="185"/>
      <c r="O226" s="185"/>
      <c r="P226" s="185"/>
      <c r="Q226" s="185"/>
    </row>
    <row r="227" spans="13:17" x14ac:dyDescent="0.2">
      <c r="M227" s="185"/>
      <c r="N227" s="185"/>
      <c r="O227" s="185"/>
      <c r="P227" s="185"/>
      <c r="Q227" s="185"/>
    </row>
    <row r="228" spans="13:17" x14ac:dyDescent="0.2">
      <c r="M228" s="185"/>
      <c r="N228" s="185"/>
      <c r="O228" s="185"/>
      <c r="P228" s="185"/>
      <c r="Q228" s="185"/>
    </row>
    <row r="229" spans="13:17" x14ac:dyDescent="0.2">
      <c r="M229" s="185"/>
      <c r="N229" s="185"/>
      <c r="O229" s="185"/>
      <c r="P229" s="185"/>
      <c r="Q229" s="185"/>
    </row>
    <row r="230" spans="13:17" x14ac:dyDescent="0.2">
      <c r="M230" s="185"/>
      <c r="N230" s="185"/>
      <c r="O230" s="185"/>
      <c r="P230" s="185"/>
      <c r="Q230" s="185"/>
    </row>
    <row r="231" spans="13:17" x14ac:dyDescent="0.2">
      <c r="M231" s="185"/>
      <c r="N231" s="185"/>
      <c r="O231" s="185"/>
      <c r="P231" s="185"/>
      <c r="Q231" s="185"/>
    </row>
    <row r="232" spans="13:17" x14ac:dyDescent="0.2">
      <c r="M232" s="185"/>
      <c r="N232" s="185"/>
      <c r="O232" s="185"/>
      <c r="P232" s="185"/>
      <c r="Q232" s="185"/>
    </row>
    <row r="233" spans="13:17" x14ac:dyDescent="0.2">
      <c r="M233" s="185"/>
      <c r="N233" s="185"/>
      <c r="O233" s="185"/>
      <c r="P233" s="185"/>
      <c r="Q233" s="185"/>
    </row>
    <row r="234" spans="13:17" x14ac:dyDescent="0.2">
      <c r="M234" s="185"/>
      <c r="N234" s="185"/>
      <c r="O234" s="185"/>
      <c r="P234" s="185"/>
      <c r="Q234" s="185"/>
    </row>
    <row r="235" spans="13:17" x14ac:dyDescent="0.2">
      <c r="M235" s="185"/>
      <c r="N235" s="185"/>
      <c r="O235" s="185"/>
      <c r="P235" s="185"/>
      <c r="Q235" s="185"/>
    </row>
    <row r="236" spans="13:17" x14ac:dyDescent="0.2">
      <c r="M236" s="185"/>
      <c r="N236" s="185"/>
      <c r="O236" s="185"/>
      <c r="P236" s="185"/>
      <c r="Q236" s="185"/>
    </row>
    <row r="237" spans="13:17" x14ac:dyDescent="0.2">
      <c r="M237" s="185"/>
      <c r="N237" s="185"/>
      <c r="O237" s="185"/>
      <c r="P237" s="185"/>
      <c r="Q237" s="185"/>
    </row>
    <row r="238" spans="13:17" x14ac:dyDescent="0.2">
      <c r="M238" s="185"/>
      <c r="N238" s="185"/>
      <c r="O238" s="185"/>
      <c r="P238" s="185"/>
      <c r="Q238" s="185"/>
    </row>
    <row r="239" spans="13:17" x14ac:dyDescent="0.2">
      <c r="M239" s="185"/>
      <c r="N239" s="185"/>
      <c r="O239" s="185"/>
      <c r="P239" s="185"/>
      <c r="Q239" s="185"/>
    </row>
    <row r="240" spans="13:17" x14ac:dyDescent="0.2">
      <c r="M240" s="185"/>
      <c r="N240" s="185"/>
      <c r="O240" s="185"/>
      <c r="P240" s="185"/>
      <c r="Q240" s="185"/>
    </row>
    <row r="241" spans="13:17" x14ac:dyDescent="0.2">
      <c r="M241" s="185"/>
      <c r="N241" s="185"/>
      <c r="O241" s="185"/>
      <c r="P241" s="185"/>
      <c r="Q241" s="185"/>
    </row>
    <row r="242" spans="13:17" x14ac:dyDescent="0.2">
      <c r="M242" s="185"/>
      <c r="N242" s="185"/>
      <c r="O242" s="185"/>
      <c r="P242" s="185"/>
      <c r="Q242" s="185"/>
    </row>
    <row r="243" spans="13:17" x14ac:dyDescent="0.2">
      <c r="M243" s="185"/>
      <c r="N243" s="185"/>
      <c r="O243" s="185"/>
      <c r="P243" s="185"/>
      <c r="Q243" s="185"/>
    </row>
    <row r="244" spans="13:17" x14ac:dyDescent="0.2">
      <c r="M244" s="185"/>
      <c r="N244" s="185"/>
      <c r="O244" s="185"/>
      <c r="P244" s="185"/>
      <c r="Q244" s="185"/>
    </row>
    <row r="245" spans="13:17" x14ac:dyDescent="0.2">
      <c r="M245" s="185"/>
      <c r="N245" s="185"/>
      <c r="O245" s="185"/>
      <c r="P245" s="185"/>
      <c r="Q245" s="185"/>
    </row>
    <row r="246" spans="13:17" x14ac:dyDescent="0.2">
      <c r="M246" s="185"/>
      <c r="N246" s="185"/>
      <c r="O246" s="185"/>
      <c r="P246" s="185"/>
      <c r="Q246" s="185"/>
    </row>
    <row r="247" spans="13:17" x14ac:dyDescent="0.2">
      <c r="M247" s="185"/>
      <c r="N247" s="185"/>
      <c r="O247" s="185"/>
      <c r="P247" s="185"/>
      <c r="Q247" s="185"/>
    </row>
    <row r="248" spans="13:17" x14ac:dyDescent="0.2">
      <c r="M248" s="185"/>
      <c r="N248" s="185"/>
      <c r="O248" s="185"/>
      <c r="P248" s="185"/>
      <c r="Q248" s="185"/>
    </row>
    <row r="249" spans="13:17" x14ac:dyDescent="0.2">
      <c r="M249" s="185"/>
      <c r="N249" s="185"/>
      <c r="O249" s="185"/>
      <c r="P249" s="185"/>
      <c r="Q249" s="185"/>
    </row>
    <row r="250" spans="13:17" x14ac:dyDescent="0.2">
      <c r="M250" s="185"/>
      <c r="N250" s="185"/>
      <c r="O250" s="185"/>
      <c r="P250" s="185"/>
      <c r="Q250" s="185"/>
    </row>
    <row r="251" spans="13:17" x14ac:dyDescent="0.2">
      <c r="M251" s="185"/>
      <c r="N251" s="185"/>
      <c r="O251" s="185"/>
      <c r="P251" s="185"/>
      <c r="Q251" s="185"/>
    </row>
    <row r="252" spans="13:17" x14ac:dyDescent="0.2">
      <c r="M252" s="185"/>
      <c r="N252" s="185"/>
      <c r="O252" s="185"/>
      <c r="P252" s="185"/>
      <c r="Q252" s="185"/>
    </row>
    <row r="253" spans="13:17" x14ac:dyDescent="0.2">
      <c r="M253" s="185"/>
      <c r="N253" s="185"/>
      <c r="O253" s="185"/>
      <c r="P253" s="185"/>
      <c r="Q253" s="185"/>
    </row>
    <row r="254" spans="13:17" x14ac:dyDescent="0.2">
      <c r="M254" s="185"/>
      <c r="N254" s="185"/>
      <c r="O254" s="185"/>
      <c r="P254" s="185"/>
      <c r="Q254" s="185"/>
    </row>
    <row r="255" spans="13:17" x14ac:dyDescent="0.2">
      <c r="M255" s="185"/>
      <c r="N255" s="185"/>
      <c r="O255" s="185"/>
      <c r="P255" s="185"/>
      <c r="Q255" s="185"/>
    </row>
    <row r="256" spans="13:17" x14ac:dyDescent="0.2">
      <c r="M256" s="185"/>
      <c r="N256" s="185"/>
      <c r="O256" s="185"/>
      <c r="P256" s="185"/>
      <c r="Q256" s="185"/>
    </row>
    <row r="257" spans="13:17" x14ac:dyDescent="0.2">
      <c r="M257" s="185"/>
      <c r="N257" s="185"/>
      <c r="O257" s="185"/>
      <c r="P257" s="185"/>
      <c r="Q257" s="185"/>
    </row>
    <row r="258" spans="13:17" x14ac:dyDescent="0.2">
      <c r="M258" s="185"/>
      <c r="N258" s="185"/>
      <c r="O258" s="185"/>
      <c r="P258" s="185"/>
      <c r="Q258" s="185"/>
    </row>
    <row r="259" spans="13:17" x14ac:dyDescent="0.2">
      <c r="M259" s="185"/>
      <c r="N259" s="185"/>
      <c r="O259" s="185"/>
      <c r="P259" s="185"/>
      <c r="Q259" s="185"/>
    </row>
    <row r="260" spans="13:17" x14ac:dyDescent="0.2">
      <c r="M260" s="185"/>
      <c r="N260" s="185"/>
      <c r="O260" s="185"/>
      <c r="P260" s="185"/>
      <c r="Q260" s="185"/>
    </row>
    <row r="261" spans="13:17" x14ac:dyDescent="0.2">
      <c r="M261" s="185"/>
      <c r="N261" s="185"/>
      <c r="O261" s="185"/>
      <c r="P261" s="185"/>
      <c r="Q261" s="185"/>
    </row>
    <row r="262" spans="13:17" x14ac:dyDescent="0.2">
      <c r="M262" s="185"/>
      <c r="N262" s="185"/>
      <c r="O262" s="185"/>
      <c r="P262" s="185"/>
      <c r="Q262" s="185"/>
    </row>
    <row r="263" spans="13:17" x14ac:dyDescent="0.2">
      <c r="M263" s="185"/>
      <c r="N263" s="185"/>
      <c r="O263" s="185"/>
      <c r="P263" s="185"/>
      <c r="Q263" s="185"/>
    </row>
    <row r="264" spans="13:17" x14ac:dyDescent="0.2">
      <c r="M264" s="185"/>
      <c r="N264" s="185"/>
      <c r="O264" s="185"/>
      <c r="P264" s="185"/>
      <c r="Q264" s="185"/>
    </row>
    <row r="265" spans="13:17" x14ac:dyDescent="0.2">
      <c r="M265" s="185"/>
      <c r="N265" s="185"/>
      <c r="O265" s="185"/>
      <c r="P265" s="185"/>
      <c r="Q265" s="185"/>
    </row>
    <row r="266" spans="13:17" x14ac:dyDescent="0.2">
      <c r="M266" s="185"/>
      <c r="N266" s="185"/>
      <c r="O266" s="185"/>
      <c r="P266" s="185"/>
      <c r="Q266" s="185"/>
    </row>
    <row r="267" spans="13:17" x14ac:dyDescent="0.2">
      <c r="M267" s="185"/>
      <c r="N267" s="185"/>
      <c r="O267" s="185"/>
      <c r="P267" s="185"/>
      <c r="Q267" s="185"/>
    </row>
    <row r="268" spans="13:17" x14ac:dyDescent="0.2">
      <c r="M268" s="185"/>
      <c r="N268" s="185"/>
      <c r="O268" s="185"/>
      <c r="P268" s="185"/>
      <c r="Q268" s="185"/>
    </row>
    <row r="269" spans="13:17" x14ac:dyDescent="0.2">
      <c r="M269" s="185"/>
      <c r="N269" s="185"/>
      <c r="O269" s="185"/>
      <c r="P269" s="185"/>
      <c r="Q269" s="185"/>
    </row>
    <row r="270" spans="13:17" x14ac:dyDescent="0.2">
      <c r="M270" s="185"/>
      <c r="N270" s="185"/>
      <c r="O270" s="185"/>
      <c r="P270" s="185"/>
      <c r="Q270" s="185"/>
    </row>
    <row r="271" spans="13:17" x14ac:dyDescent="0.2">
      <c r="M271" s="185"/>
      <c r="N271" s="185"/>
      <c r="O271" s="185"/>
      <c r="P271" s="185"/>
      <c r="Q271" s="185"/>
    </row>
    <row r="272" spans="13:17" x14ac:dyDescent="0.2">
      <c r="M272" s="185"/>
      <c r="N272" s="185"/>
      <c r="O272" s="185"/>
      <c r="P272" s="185"/>
      <c r="Q272" s="185"/>
    </row>
    <row r="273" spans="13:17" x14ac:dyDescent="0.2">
      <c r="M273" s="185"/>
      <c r="N273" s="185"/>
      <c r="O273" s="185"/>
      <c r="P273" s="185"/>
      <c r="Q273" s="185"/>
    </row>
    <row r="274" spans="13:17" x14ac:dyDescent="0.2">
      <c r="M274" s="185"/>
      <c r="N274" s="185"/>
      <c r="O274" s="185"/>
      <c r="P274" s="185"/>
      <c r="Q274" s="185"/>
    </row>
    <row r="275" spans="13:17" x14ac:dyDescent="0.2">
      <c r="M275" s="185"/>
      <c r="N275" s="185"/>
      <c r="O275" s="185"/>
      <c r="P275" s="185"/>
      <c r="Q275" s="185"/>
    </row>
    <row r="276" spans="13:17" x14ac:dyDescent="0.2">
      <c r="M276" s="185"/>
      <c r="N276" s="185"/>
      <c r="O276" s="185"/>
      <c r="P276" s="185"/>
      <c r="Q276" s="185"/>
    </row>
    <row r="277" spans="13:17" x14ac:dyDescent="0.2">
      <c r="M277" s="185"/>
      <c r="N277" s="185"/>
      <c r="O277" s="185"/>
      <c r="P277" s="185"/>
      <c r="Q277" s="185"/>
    </row>
    <row r="278" spans="13:17" x14ac:dyDescent="0.2">
      <c r="M278" s="185"/>
      <c r="N278" s="185"/>
      <c r="O278" s="185"/>
      <c r="P278" s="185"/>
      <c r="Q278" s="185"/>
    </row>
    <row r="279" spans="13:17" x14ac:dyDescent="0.2">
      <c r="M279" s="185"/>
      <c r="N279" s="185"/>
      <c r="O279" s="185"/>
      <c r="P279" s="185"/>
      <c r="Q279" s="185"/>
    </row>
    <row r="280" spans="13:17" x14ac:dyDescent="0.2">
      <c r="M280" s="185"/>
      <c r="N280" s="185"/>
      <c r="O280" s="185"/>
      <c r="P280" s="185"/>
      <c r="Q280" s="185"/>
    </row>
    <row r="281" spans="13:17" x14ac:dyDescent="0.2">
      <c r="M281" s="185"/>
      <c r="N281" s="185"/>
      <c r="O281" s="185"/>
      <c r="P281" s="185"/>
      <c r="Q281" s="185"/>
    </row>
    <row r="282" spans="13:17" x14ac:dyDescent="0.2">
      <c r="M282" s="185"/>
      <c r="N282" s="185"/>
      <c r="O282" s="185"/>
      <c r="P282" s="185"/>
      <c r="Q282" s="185"/>
    </row>
    <row r="283" spans="13:17" x14ac:dyDescent="0.2">
      <c r="M283" s="185"/>
      <c r="N283" s="185"/>
      <c r="O283" s="185"/>
      <c r="P283" s="185"/>
      <c r="Q283" s="185"/>
    </row>
    <row r="284" spans="13:17" x14ac:dyDescent="0.2">
      <c r="M284" s="185"/>
      <c r="N284" s="185"/>
      <c r="O284" s="185"/>
      <c r="P284" s="185"/>
      <c r="Q284" s="185"/>
    </row>
    <row r="285" spans="13:17" x14ac:dyDescent="0.2">
      <c r="M285" s="185"/>
      <c r="N285" s="185"/>
      <c r="O285" s="185"/>
      <c r="P285" s="185"/>
      <c r="Q285" s="185"/>
    </row>
    <row r="286" spans="13:17" x14ac:dyDescent="0.2">
      <c r="M286" s="185"/>
      <c r="N286" s="185"/>
      <c r="O286" s="185"/>
      <c r="P286" s="185"/>
      <c r="Q286" s="185"/>
    </row>
    <row r="287" spans="13:17" x14ac:dyDescent="0.2">
      <c r="M287" s="185"/>
      <c r="N287" s="185"/>
      <c r="O287" s="185"/>
      <c r="P287" s="185"/>
      <c r="Q287" s="185"/>
    </row>
    <row r="288" spans="13:17" x14ac:dyDescent="0.2">
      <c r="M288" s="185"/>
      <c r="N288" s="185"/>
      <c r="O288" s="185"/>
      <c r="P288" s="185"/>
      <c r="Q288" s="185"/>
    </row>
    <row r="289" spans="13:17" x14ac:dyDescent="0.2">
      <c r="M289" s="185"/>
      <c r="N289" s="185"/>
      <c r="O289" s="185"/>
      <c r="P289" s="185"/>
      <c r="Q289" s="185"/>
    </row>
    <row r="290" spans="13:17" x14ac:dyDescent="0.2">
      <c r="M290" s="185"/>
      <c r="N290" s="185"/>
      <c r="O290" s="185"/>
      <c r="P290" s="185"/>
      <c r="Q290" s="185"/>
    </row>
    <row r="291" spans="13:17" x14ac:dyDescent="0.2">
      <c r="M291" s="185"/>
      <c r="N291" s="185"/>
      <c r="O291" s="185"/>
      <c r="P291" s="185"/>
      <c r="Q291" s="185"/>
    </row>
    <row r="292" spans="13:17" x14ac:dyDescent="0.2">
      <c r="M292" s="185"/>
      <c r="N292" s="185"/>
      <c r="O292" s="185"/>
      <c r="P292" s="185"/>
      <c r="Q292" s="185"/>
    </row>
    <row r="293" spans="13:17" x14ac:dyDescent="0.2">
      <c r="M293" s="185"/>
      <c r="N293" s="185"/>
      <c r="O293" s="185"/>
      <c r="P293" s="185"/>
      <c r="Q293" s="185"/>
    </row>
    <row r="294" spans="13:17" x14ac:dyDescent="0.2">
      <c r="M294" s="185"/>
      <c r="N294" s="185"/>
      <c r="O294" s="185"/>
      <c r="P294" s="185"/>
      <c r="Q294" s="185"/>
    </row>
    <row r="295" spans="13:17" x14ac:dyDescent="0.2">
      <c r="M295" s="185"/>
      <c r="N295" s="185"/>
      <c r="O295" s="185"/>
      <c r="P295" s="185"/>
      <c r="Q295" s="185"/>
    </row>
    <row r="296" spans="13:17" x14ac:dyDescent="0.2">
      <c r="M296" s="185"/>
      <c r="N296" s="185"/>
      <c r="O296" s="185"/>
      <c r="P296" s="185"/>
      <c r="Q296" s="185"/>
    </row>
    <row r="297" spans="13:17" x14ac:dyDescent="0.2">
      <c r="M297" s="185"/>
      <c r="N297" s="185"/>
      <c r="O297" s="185"/>
      <c r="P297" s="185"/>
      <c r="Q297" s="185"/>
    </row>
    <row r="298" spans="13:17" x14ac:dyDescent="0.2">
      <c r="M298" s="185"/>
      <c r="N298" s="185"/>
      <c r="O298" s="185"/>
      <c r="P298" s="185"/>
      <c r="Q298" s="185"/>
    </row>
    <row r="299" spans="13:17" x14ac:dyDescent="0.2">
      <c r="M299" s="185"/>
      <c r="N299" s="185"/>
      <c r="O299" s="185"/>
      <c r="P299" s="185"/>
      <c r="Q299" s="185"/>
    </row>
    <row r="300" spans="13:17" x14ac:dyDescent="0.2">
      <c r="M300" s="185"/>
      <c r="N300" s="185"/>
      <c r="O300" s="185"/>
      <c r="P300" s="185"/>
      <c r="Q300" s="185"/>
    </row>
    <row r="301" spans="13:17" x14ac:dyDescent="0.2">
      <c r="M301" s="185"/>
      <c r="N301" s="185"/>
      <c r="O301" s="185"/>
      <c r="P301" s="185"/>
      <c r="Q301" s="185"/>
    </row>
    <row r="302" spans="13:17" x14ac:dyDescent="0.2">
      <c r="M302" s="185"/>
      <c r="N302" s="185"/>
      <c r="O302" s="185"/>
      <c r="P302" s="185"/>
      <c r="Q302" s="185"/>
    </row>
    <row r="303" spans="13:17" x14ac:dyDescent="0.2">
      <c r="M303" s="185"/>
      <c r="N303" s="185"/>
      <c r="O303" s="185"/>
      <c r="P303" s="185"/>
      <c r="Q303" s="185"/>
    </row>
    <row r="304" spans="13:17" x14ac:dyDescent="0.2">
      <c r="M304" s="185"/>
      <c r="N304" s="185"/>
      <c r="O304" s="185"/>
      <c r="P304" s="185"/>
      <c r="Q304" s="185"/>
    </row>
    <row r="305" spans="13:17" x14ac:dyDescent="0.2">
      <c r="M305" s="185"/>
      <c r="N305" s="185"/>
      <c r="O305" s="185"/>
      <c r="P305" s="185"/>
      <c r="Q305" s="185"/>
    </row>
    <row r="306" spans="13:17" x14ac:dyDescent="0.2">
      <c r="M306" s="185"/>
      <c r="N306" s="185"/>
      <c r="O306" s="185"/>
      <c r="P306" s="185"/>
      <c r="Q306" s="185"/>
    </row>
    <row r="307" spans="13:17" x14ac:dyDescent="0.2">
      <c r="M307" s="185"/>
      <c r="N307" s="185"/>
      <c r="O307" s="185"/>
      <c r="P307" s="185"/>
      <c r="Q307" s="185"/>
    </row>
    <row r="308" spans="13:17" x14ac:dyDescent="0.2">
      <c r="M308" s="185"/>
      <c r="N308" s="185"/>
      <c r="O308" s="185"/>
      <c r="P308" s="185"/>
      <c r="Q308" s="185"/>
    </row>
    <row r="309" spans="13:17" x14ac:dyDescent="0.2">
      <c r="M309" s="185"/>
      <c r="N309" s="185"/>
      <c r="O309" s="185"/>
      <c r="P309" s="185"/>
      <c r="Q309" s="185"/>
    </row>
    <row r="310" spans="13:17" x14ac:dyDescent="0.2">
      <c r="M310" s="185"/>
      <c r="N310" s="185"/>
      <c r="O310" s="185"/>
      <c r="P310" s="185"/>
      <c r="Q310" s="185"/>
    </row>
    <row r="311" spans="13:17" x14ac:dyDescent="0.2">
      <c r="M311" s="185"/>
      <c r="N311" s="185"/>
      <c r="O311" s="185"/>
      <c r="P311" s="185"/>
      <c r="Q311" s="185"/>
    </row>
    <row r="312" spans="13:17" x14ac:dyDescent="0.2">
      <c r="M312" s="185"/>
      <c r="N312" s="185"/>
      <c r="O312" s="185"/>
      <c r="P312" s="185"/>
      <c r="Q312" s="185"/>
    </row>
    <row r="313" spans="13:17" x14ac:dyDescent="0.2">
      <c r="M313" s="185"/>
      <c r="N313" s="185"/>
      <c r="O313" s="185"/>
      <c r="P313" s="185"/>
      <c r="Q313" s="185"/>
    </row>
    <row r="314" spans="13:17" x14ac:dyDescent="0.2">
      <c r="M314" s="185"/>
      <c r="N314" s="185"/>
      <c r="O314" s="185"/>
      <c r="P314" s="185"/>
      <c r="Q314" s="185"/>
    </row>
    <row r="315" spans="13:17" x14ac:dyDescent="0.2">
      <c r="M315" s="185"/>
      <c r="N315" s="185"/>
      <c r="O315" s="185"/>
      <c r="P315" s="185"/>
      <c r="Q315" s="185"/>
    </row>
    <row r="316" spans="13:17" x14ac:dyDescent="0.2">
      <c r="M316" s="185"/>
      <c r="N316" s="185"/>
      <c r="O316" s="185"/>
      <c r="P316" s="185"/>
      <c r="Q316" s="185"/>
    </row>
    <row r="317" spans="13:17" x14ac:dyDescent="0.2">
      <c r="M317" s="185"/>
      <c r="N317" s="185"/>
      <c r="O317" s="185"/>
      <c r="P317" s="185"/>
      <c r="Q317" s="185"/>
    </row>
    <row r="318" spans="13:17" x14ac:dyDescent="0.2">
      <c r="M318" s="185"/>
      <c r="N318" s="185"/>
      <c r="O318" s="185"/>
      <c r="P318" s="185"/>
      <c r="Q318" s="185"/>
    </row>
    <row r="319" spans="13:17" x14ac:dyDescent="0.2">
      <c r="M319" s="185"/>
      <c r="N319" s="185"/>
      <c r="O319" s="185"/>
      <c r="P319" s="185"/>
      <c r="Q319" s="185"/>
    </row>
    <row r="320" spans="13:17" x14ac:dyDescent="0.2">
      <c r="M320" s="185"/>
      <c r="N320" s="185"/>
      <c r="O320" s="185"/>
      <c r="P320" s="185"/>
      <c r="Q320" s="185"/>
    </row>
    <row r="321" spans="13:17" x14ac:dyDescent="0.2">
      <c r="M321" s="185"/>
      <c r="N321" s="185"/>
      <c r="O321" s="185"/>
      <c r="P321" s="185"/>
      <c r="Q321" s="185"/>
    </row>
    <row r="322" spans="13:17" x14ac:dyDescent="0.2">
      <c r="M322" s="185"/>
      <c r="N322" s="185"/>
      <c r="O322" s="185"/>
      <c r="P322" s="185"/>
      <c r="Q322" s="185"/>
    </row>
    <row r="323" spans="13:17" x14ac:dyDescent="0.2">
      <c r="M323" s="185"/>
      <c r="N323" s="185"/>
      <c r="O323" s="185"/>
      <c r="P323" s="185"/>
      <c r="Q323" s="185"/>
    </row>
    <row r="324" spans="13:17" x14ac:dyDescent="0.2">
      <c r="M324" s="185"/>
      <c r="N324" s="185"/>
      <c r="O324" s="185"/>
      <c r="P324" s="185"/>
      <c r="Q324" s="185"/>
    </row>
    <row r="325" spans="13:17" x14ac:dyDescent="0.2">
      <c r="M325" s="185"/>
      <c r="N325" s="185"/>
      <c r="O325" s="185"/>
      <c r="P325" s="185"/>
      <c r="Q325" s="185"/>
    </row>
    <row r="326" spans="13:17" x14ac:dyDescent="0.2">
      <c r="M326" s="185"/>
      <c r="N326" s="185"/>
      <c r="O326" s="185"/>
      <c r="P326" s="185"/>
      <c r="Q326" s="185"/>
    </row>
    <row r="327" spans="13:17" x14ac:dyDescent="0.2">
      <c r="M327" s="185"/>
      <c r="N327" s="185"/>
      <c r="O327" s="185"/>
      <c r="P327" s="185"/>
      <c r="Q327" s="185"/>
    </row>
    <row r="328" spans="13:17" x14ac:dyDescent="0.2">
      <c r="M328" s="185"/>
      <c r="N328" s="185"/>
      <c r="O328" s="185"/>
      <c r="P328" s="185"/>
      <c r="Q328" s="185"/>
    </row>
    <row r="329" spans="13:17" x14ac:dyDescent="0.2">
      <c r="M329" s="185"/>
      <c r="N329" s="185"/>
      <c r="O329" s="185"/>
      <c r="P329" s="185"/>
      <c r="Q329" s="185"/>
    </row>
    <row r="330" spans="13:17" x14ac:dyDescent="0.2">
      <c r="M330" s="185"/>
      <c r="N330" s="185"/>
      <c r="O330" s="185"/>
      <c r="P330" s="185"/>
      <c r="Q330" s="185"/>
    </row>
    <row r="331" spans="13:17" x14ac:dyDescent="0.2">
      <c r="M331" s="185"/>
      <c r="N331" s="185"/>
      <c r="O331" s="185"/>
      <c r="P331" s="185"/>
      <c r="Q331" s="185"/>
    </row>
    <row r="332" spans="13:17" x14ac:dyDescent="0.2">
      <c r="M332" s="185"/>
      <c r="N332" s="185"/>
      <c r="O332" s="185"/>
      <c r="P332" s="185"/>
      <c r="Q332" s="185"/>
    </row>
    <row r="333" spans="13:17" x14ac:dyDescent="0.2">
      <c r="M333" s="185"/>
      <c r="N333" s="185"/>
      <c r="O333" s="185"/>
      <c r="P333" s="185"/>
      <c r="Q333" s="185"/>
    </row>
    <row r="334" spans="13:17" x14ac:dyDescent="0.2">
      <c r="M334" s="185"/>
      <c r="N334" s="185"/>
      <c r="O334" s="185"/>
      <c r="P334" s="185"/>
      <c r="Q334" s="185"/>
    </row>
    <row r="335" spans="13:17" x14ac:dyDescent="0.2">
      <c r="M335" s="185"/>
      <c r="N335" s="185"/>
      <c r="O335" s="185"/>
      <c r="P335" s="185"/>
      <c r="Q335" s="185"/>
    </row>
    <row r="336" spans="13:17" x14ac:dyDescent="0.2">
      <c r="M336" s="185"/>
      <c r="N336" s="185"/>
      <c r="O336" s="185"/>
      <c r="P336" s="185"/>
      <c r="Q336" s="185"/>
    </row>
    <row r="337" spans="13:17" x14ac:dyDescent="0.2">
      <c r="M337" s="185"/>
      <c r="N337" s="185"/>
      <c r="O337" s="185"/>
      <c r="P337" s="185"/>
      <c r="Q337" s="185"/>
    </row>
    <row r="338" spans="13:17" x14ac:dyDescent="0.2">
      <c r="M338" s="185"/>
      <c r="N338" s="185"/>
      <c r="O338" s="185"/>
      <c r="P338" s="185"/>
      <c r="Q338" s="185"/>
    </row>
    <row r="339" spans="13:17" x14ac:dyDescent="0.2">
      <c r="M339" s="185"/>
      <c r="N339" s="185"/>
      <c r="O339" s="185"/>
      <c r="P339" s="185"/>
      <c r="Q339" s="185"/>
    </row>
    <row r="340" spans="13:17" x14ac:dyDescent="0.2">
      <c r="M340" s="185"/>
      <c r="N340" s="185"/>
      <c r="O340" s="185"/>
      <c r="P340" s="185"/>
      <c r="Q340" s="185"/>
    </row>
    <row r="341" spans="13:17" x14ac:dyDescent="0.2">
      <c r="M341" s="185"/>
      <c r="N341" s="185"/>
      <c r="O341" s="185"/>
      <c r="P341" s="185"/>
      <c r="Q341" s="185"/>
    </row>
    <row r="342" spans="13:17" x14ac:dyDescent="0.2">
      <c r="M342" s="185"/>
      <c r="N342" s="185"/>
      <c r="O342" s="185"/>
      <c r="P342" s="185"/>
      <c r="Q342" s="185"/>
    </row>
    <row r="343" spans="13:17" x14ac:dyDescent="0.2">
      <c r="M343" s="185"/>
      <c r="N343" s="185"/>
      <c r="O343" s="185"/>
      <c r="P343" s="185"/>
      <c r="Q343" s="185"/>
    </row>
    <row r="344" spans="13:17" x14ac:dyDescent="0.2">
      <c r="M344" s="185"/>
      <c r="N344" s="185"/>
      <c r="O344" s="185"/>
      <c r="P344" s="185"/>
      <c r="Q344" s="185"/>
    </row>
    <row r="345" spans="13:17" x14ac:dyDescent="0.2">
      <c r="M345" s="185"/>
      <c r="N345" s="185"/>
      <c r="O345" s="185"/>
      <c r="P345" s="185"/>
      <c r="Q345" s="185"/>
    </row>
    <row r="346" spans="13:17" x14ac:dyDescent="0.2">
      <c r="M346" s="185"/>
      <c r="N346" s="185"/>
      <c r="O346" s="185"/>
      <c r="P346" s="185"/>
      <c r="Q346" s="185"/>
    </row>
    <row r="347" spans="13:17" x14ac:dyDescent="0.2">
      <c r="M347" s="185"/>
      <c r="N347" s="185"/>
      <c r="O347" s="185"/>
      <c r="P347" s="185"/>
      <c r="Q347" s="185"/>
    </row>
    <row r="348" spans="13:17" x14ac:dyDescent="0.2">
      <c r="M348" s="185"/>
      <c r="N348" s="185"/>
      <c r="O348" s="185"/>
      <c r="P348" s="185"/>
      <c r="Q348" s="185"/>
    </row>
    <row r="349" spans="13:17" x14ac:dyDescent="0.2">
      <c r="M349" s="185"/>
      <c r="N349" s="185"/>
      <c r="O349" s="185"/>
      <c r="P349" s="185"/>
      <c r="Q349" s="185"/>
    </row>
    <row r="350" spans="13:17" x14ac:dyDescent="0.2">
      <c r="M350" s="185"/>
      <c r="N350" s="185"/>
      <c r="O350" s="185"/>
      <c r="P350" s="185"/>
      <c r="Q350" s="185"/>
    </row>
    <row r="351" spans="13:17" x14ac:dyDescent="0.2">
      <c r="M351" s="185"/>
      <c r="N351" s="185"/>
      <c r="O351" s="185"/>
      <c r="P351" s="185"/>
      <c r="Q351" s="185"/>
    </row>
    <row r="352" spans="13:17" x14ac:dyDescent="0.2">
      <c r="M352" s="185"/>
      <c r="N352" s="185"/>
      <c r="O352" s="185"/>
      <c r="P352" s="185"/>
      <c r="Q352" s="185"/>
    </row>
    <row r="353" spans="13:17" x14ac:dyDescent="0.2">
      <c r="M353" s="185"/>
      <c r="N353" s="185"/>
      <c r="O353" s="185"/>
      <c r="P353" s="185"/>
      <c r="Q353" s="185"/>
    </row>
    <row r="354" spans="13:17" x14ac:dyDescent="0.2">
      <c r="M354" s="185"/>
      <c r="N354" s="185"/>
      <c r="O354" s="185"/>
      <c r="P354" s="185"/>
      <c r="Q354" s="185"/>
    </row>
    <row r="355" spans="13:17" x14ac:dyDescent="0.2">
      <c r="M355" s="185"/>
      <c r="N355" s="185"/>
      <c r="O355" s="185"/>
      <c r="P355" s="185"/>
      <c r="Q355" s="185"/>
    </row>
    <row r="356" spans="13:17" x14ac:dyDescent="0.2">
      <c r="M356" s="185"/>
      <c r="N356" s="185"/>
      <c r="O356" s="185"/>
      <c r="P356" s="185"/>
      <c r="Q356" s="185"/>
    </row>
    <row r="357" spans="13:17" x14ac:dyDescent="0.2">
      <c r="M357" s="185"/>
      <c r="N357" s="185"/>
      <c r="O357" s="185"/>
      <c r="P357" s="185"/>
      <c r="Q357" s="185"/>
    </row>
    <row r="358" spans="13:17" x14ac:dyDescent="0.2">
      <c r="M358" s="185"/>
      <c r="N358" s="185"/>
      <c r="O358" s="185"/>
      <c r="P358" s="185"/>
      <c r="Q358" s="185"/>
    </row>
    <row r="359" spans="13:17" x14ac:dyDescent="0.2">
      <c r="M359" s="185"/>
      <c r="N359" s="185"/>
      <c r="O359" s="185"/>
      <c r="P359" s="185"/>
      <c r="Q359" s="185"/>
    </row>
    <row r="360" spans="13:17" x14ac:dyDescent="0.2">
      <c r="M360" s="185"/>
      <c r="N360" s="185"/>
      <c r="O360" s="185"/>
      <c r="P360" s="185"/>
      <c r="Q360" s="185"/>
    </row>
    <row r="361" spans="13:17" x14ac:dyDescent="0.2">
      <c r="M361" s="185"/>
      <c r="N361" s="185"/>
      <c r="O361" s="185"/>
      <c r="P361" s="185"/>
      <c r="Q361" s="185"/>
    </row>
    <row r="362" spans="13:17" x14ac:dyDescent="0.2">
      <c r="M362" s="185"/>
      <c r="N362" s="185"/>
      <c r="O362" s="185"/>
      <c r="P362" s="185"/>
      <c r="Q362" s="185"/>
    </row>
    <row r="363" spans="13:17" x14ac:dyDescent="0.2">
      <c r="M363" s="185"/>
      <c r="N363" s="185"/>
      <c r="O363" s="185"/>
      <c r="P363" s="185"/>
      <c r="Q363" s="185"/>
    </row>
    <row r="364" spans="13:17" x14ac:dyDescent="0.2">
      <c r="M364" s="185"/>
      <c r="N364" s="185"/>
      <c r="O364" s="185"/>
      <c r="P364" s="185"/>
      <c r="Q364" s="185"/>
    </row>
    <row r="365" spans="13:17" x14ac:dyDescent="0.2">
      <c r="M365" s="185"/>
      <c r="N365" s="185"/>
      <c r="O365" s="185"/>
      <c r="P365" s="185"/>
      <c r="Q365" s="185"/>
    </row>
    <row r="366" spans="13:17" x14ac:dyDescent="0.2">
      <c r="M366" s="185"/>
      <c r="N366" s="185"/>
      <c r="O366" s="185"/>
      <c r="P366" s="185"/>
      <c r="Q366" s="185"/>
    </row>
    <row r="367" spans="13:17" x14ac:dyDescent="0.2">
      <c r="M367" s="185"/>
      <c r="N367" s="185"/>
      <c r="O367" s="185"/>
      <c r="P367" s="185"/>
      <c r="Q367" s="185"/>
    </row>
    <row r="368" spans="13:17" x14ac:dyDescent="0.2">
      <c r="M368" s="185"/>
      <c r="N368" s="185"/>
      <c r="O368" s="185"/>
      <c r="P368" s="185"/>
      <c r="Q368" s="185"/>
    </row>
    <row r="369" spans="13:17" x14ac:dyDescent="0.2">
      <c r="M369" s="185"/>
      <c r="N369" s="185"/>
      <c r="O369" s="185"/>
      <c r="P369" s="185"/>
      <c r="Q369" s="185"/>
    </row>
    <row r="370" spans="13:17" x14ac:dyDescent="0.2">
      <c r="M370" s="185"/>
      <c r="N370" s="185"/>
      <c r="O370" s="185"/>
      <c r="P370" s="185"/>
      <c r="Q370" s="185"/>
    </row>
    <row r="371" spans="13:17" x14ac:dyDescent="0.2">
      <c r="M371" s="185"/>
      <c r="N371" s="185"/>
      <c r="O371" s="185"/>
      <c r="P371" s="185"/>
      <c r="Q371" s="185"/>
    </row>
    <row r="372" spans="13:17" x14ac:dyDescent="0.2">
      <c r="M372" s="185"/>
      <c r="N372" s="185"/>
      <c r="O372" s="185"/>
      <c r="P372" s="185"/>
      <c r="Q372" s="185"/>
    </row>
    <row r="373" spans="13:17" x14ac:dyDescent="0.2">
      <c r="M373" s="185"/>
      <c r="N373" s="185"/>
      <c r="O373" s="185"/>
      <c r="P373" s="185"/>
      <c r="Q373" s="185"/>
    </row>
    <row r="374" spans="13:17" x14ac:dyDescent="0.2">
      <c r="M374" s="185"/>
      <c r="N374" s="185"/>
      <c r="O374" s="185"/>
      <c r="P374" s="185"/>
      <c r="Q374" s="185"/>
    </row>
    <row r="375" spans="13:17" x14ac:dyDescent="0.2">
      <c r="M375" s="185"/>
      <c r="N375" s="185"/>
      <c r="O375" s="185"/>
      <c r="P375" s="185"/>
      <c r="Q375" s="185"/>
    </row>
    <row r="376" spans="13:17" x14ac:dyDescent="0.2">
      <c r="M376" s="185"/>
      <c r="N376" s="185"/>
      <c r="O376" s="185"/>
      <c r="P376" s="185"/>
      <c r="Q376" s="185"/>
    </row>
    <row r="377" spans="13:17" x14ac:dyDescent="0.2">
      <c r="M377" s="185"/>
      <c r="N377" s="185"/>
      <c r="O377" s="185"/>
      <c r="P377" s="185"/>
      <c r="Q377" s="185"/>
    </row>
    <row r="378" spans="13:17" x14ac:dyDescent="0.2">
      <c r="M378" s="185"/>
      <c r="N378" s="185"/>
      <c r="O378" s="185"/>
      <c r="P378" s="185"/>
      <c r="Q378" s="185"/>
    </row>
    <row r="379" spans="13:17" x14ac:dyDescent="0.2">
      <c r="M379" s="185"/>
      <c r="N379" s="185"/>
      <c r="O379" s="185"/>
      <c r="P379" s="185"/>
      <c r="Q379" s="185"/>
    </row>
    <row r="380" spans="13:17" x14ac:dyDescent="0.2">
      <c r="M380" s="185"/>
      <c r="N380" s="185"/>
      <c r="O380" s="185"/>
      <c r="P380" s="185"/>
      <c r="Q380" s="185"/>
    </row>
    <row r="381" spans="13:17" x14ac:dyDescent="0.2">
      <c r="M381" s="185"/>
      <c r="N381" s="185"/>
      <c r="O381" s="185"/>
      <c r="P381" s="185"/>
      <c r="Q381" s="185"/>
    </row>
    <row r="382" spans="13:17" x14ac:dyDescent="0.2">
      <c r="M382" s="185"/>
      <c r="N382" s="185"/>
      <c r="O382" s="185"/>
      <c r="P382" s="185"/>
      <c r="Q382" s="185"/>
    </row>
    <row r="383" spans="13:17" x14ac:dyDescent="0.2">
      <c r="M383" s="185"/>
      <c r="N383" s="185"/>
      <c r="O383" s="185"/>
      <c r="P383" s="185"/>
      <c r="Q383" s="185"/>
    </row>
    <row r="384" spans="13:17" x14ac:dyDescent="0.2">
      <c r="M384" s="185"/>
      <c r="N384" s="185"/>
      <c r="O384" s="185"/>
      <c r="P384" s="185"/>
      <c r="Q384" s="185"/>
    </row>
    <row r="385" spans="13:17" x14ac:dyDescent="0.2">
      <c r="M385" s="185"/>
      <c r="N385" s="185"/>
      <c r="O385" s="185"/>
      <c r="P385" s="185"/>
      <c r="Q385" s="185"/>
    </row>
    <row r="386" spans="13:17" x14ac:dyDescent="0.2">
      <c r="M386" s="185"/>
      <c r="N386" s="185"/>
      <c r="O386" s="185"/>
      <c r="P386" s="185"/>
      <c r="Q386" s="185"/>
    </row>
    <row r="387" spans="13:17" x14ac:dyDescent="0.2">
      <c r="M387" s="185"/>
      <c r="N387" s="185"/>
      <c r="O387" s="185"/>
      <c r="P387" s="185"/>
      <c r="Q387" s="185"/>
    </row>
    <row r="388" spans="13:17" x14ac:dyDescent="0.2">
      <c r="M388" s="185"/>
      <c r="N388" s="185"/>
      <c r="O388" s="185"/>
      <c r="P388" s="185"/>
      <c r="Q388" s="185"/>
    </row>
    <row r="389" spans="13:17" x14ac:dyDescent="0.2">
      <c r="M389" s="185"/>
      <c r="N389" s="185"/>
      <c r="O389" s="185"/>
      <c r="P389" s="185"/>
      <c r="Q389" s="185"/>
    </row>
    <row r="390" spans="13:17" x14ac:dyDescent="0.2">
      <c r="M390" s="185"/>
      <c r="N390" s="185"/>
      <c r="O390" s="185"/>
      <c r="P390" s="185"/>
      <c r="Q390" s="185"/>
    </row>
    <row r="391" spans="13:17" x14ac:dyDescent="0.2">
      <c r="M391" s="185"/>
      <c r="N391" s="185"/>
      <c r="O391" s="185"/>
      <c r="P391" s="185"/>
      <c r="Q391" s="185"/>
    </row>
    <row r="392" spans="13:17" x14ac:dyDescent="0.2">
      <c r="M392" s="185"/>
      <c r="N392" s="185"/>
      <c r="O392" s="185"/>
      <c r="P392" s="185"/>
      <c r="Q392" s="185"/>
    </row>
    <row r="393" spans="13:17" x14ac:dyDescent="0.2">
      <c r="M393" s="185"/>
      <c r="N393" s="185"/>
      <c r="O393" s="185"/>
      <c r="P393" s="185"/>
      <c r="Q393" s="185"/>
    </row>
    <row r="394" spans="13:17" x14ac:dyDescent="0.2">
      <c r="M394" s="185"/>
      <c r="N394" s="185"/>
      <c r="O394" s="185"/>
      <c r="P394" s="185"/>
      <c r="Q394" s="185"/>
    </row>
    <row r="395" spans="13:17" x14ac:dyDescent="0.2">
      <c r="M395" s="185"/>
      <c r="N395" s="185"/>
      <c r="O395" s="185"/>
      <c r="P395" s="185"/>
      <c r="Q395" s="185"/>
    </row>
    <row r="396" spans="13:17" x14ac:dyDescent="0.2">
      <c r="M396" s="185"/>
      <c r="N396" s="185"/>
      <c r="O396" s="185"/>
      <c r="P396" s="185"/>
      <c r="Q396" s="185"/>
    </row>
    <row r="397" spans="13:17" x14ac:dyDescent="0.2">
      <c r="M397" s="185"/>
      <c r="N397" s="185"/>
      <c r="O397" s="185"/>
      <c r="P397" s="185"/>
      <c r="Q397" s="185"/>
    </row>
    <row r="398" spans="13:17" x14ac:dyDescent="0.2">
      <c r="M398" s="185"/>
      <c r="N398" s="185"/>
      <c r="O398" s="185"/>
      <c r="P398" s="185"/>
      <c r="Q398" s="185"/>
    </row>
    <row r="399" spans="13:17" x14ac:dyDescent="0.2">
      <c r="M399" s="185"/>
      <c r="N399" s="185"/>
      <c r="O399" s="185"/>
      <c r="P399" s="185"/>
      <c r="Q399" s="185"/>
    </row>
    <row r="400" spans="13:17" x14ac:dyDescent="0.2">
      <c r="M400" s="185"/>
      <c r="N400" s="185"/>
      <c r="O400" s="185"/>
      <c r="P400" s="185"/>
      <c r="Q400" s="185"/>
    </row>
    <row r="401" spans="13:17" x14ac:dyDescent="0.2">
      <c r="M401" s="185"/>
      <c r="N401" s="185"/>
      <c r="O401" s="185"/>
      <c r="P401" s="185"/>
      <c r="Q401" s="185"/>
    </row>
    <row r="402" spans="13:17" x14ac:dyDescent="0.2">
      <c r="M402" s="185"/>
      <c r="N402" s="185"/>
      <c r="O402" s="185"/>
      <c r="P402" s="185"/>
      <c r="Q402" s="185"/>
    </row>
    <row r="403" spans="13:17" x14ac:dyDescent="0.2">
      <c r="M403" s="185"/>
      <c r="N403" s="185"/>
      <c r="O403" s="185"/>
      <c r="P403" s="185"/>
      <c r="Q403" s="185"/>
    </row>
    <row r="404" spans="13:17" x14ac:dyDescent="0.2">
      <c r="M404" s="185"/>
      <c r="N404" s="185"/>
      <c r="O404" s="185"/>
      <c r="P404" s="185"/>
      <c r="Q404" s="185"/>
    </row>
    <row r="405" spans="13:17" x14ac:dyDescent="0.2">
      <c r="M405" s="185"/>
      <c r="N405" s="185"/>
      <c r="O405" s="185"/>
      <c r="P405" s="185"/>
      <c r="Q405" s="185"/>
    </row>
    <row r="406" spans="13:17" x14ac:dyDescent="0.2">
      <c r="M406" s="185"/>
      <c r="N406" s="185"/>
      <c r="O406" s="185"/>
      <c r="P406" s="185"/>
      <c r="Q406" s="185"/>
    </row>
    <row r="407" spans="13:17" x14ac:dyDescent="0.2">
      <c r="M407" s="185"/>
      <c r="N407" s="185"/>
      <c r="O407" s="185"/>
      <c r="P407" s="185"/>
      <c r="Q407" s="185"/>
    </row>
    <row r="408" spans="13:17" x14ac:dyDescent="0.2">
      <c r="M408" s="185"/>
      <c r="N408" s="185"/>
      <c r="O408" s="185"/>
      <c r="P408" s="185"/>
      <c r="Q408" s="185"/>
    </row>
    <row r="409" spans="13:17" x14ac:dyDescent="0.2">
      <c r="M409" s="185"/>
      <c r="N409" s="185"/>
      <c r="O409" s="185"/>
      <c r="P409" s="185"/>
      <c r="Q409" s="185"/>
    </row>
    <row r="410" spans="13:17" x14ac:dyDescent="0.2">
      <c r="M410" s="185"/>
      <c r="N410" s="185"/>
      <c r="O410" s="185"/>
      <c r="P410" s="185"/>
      <c r="Q410" s="185"/>
    </row>
    <row r="411" spans="13:17" x14ac:dyDescent="0.2">
      <c r="M411" s="185"/>
      <c r="N411" s="185"/>
      <c r="O411" s="185"/>
      <c r="P411" s="185"/>
      <c r="Q411" s="185"/>
    </row>
    <row r="412" spans="13:17" x14ac:dyDescent="0.2">
      <c r="M412" s="185"/>
      <c r="N412" s="185"/>
      <c r="O412" s="185"/>
      <c r="P412" s="185"/>
      <c r="Q412" s="185"/>
    </row>
    <row r="413" spans="13:17" x14ac:dyDescent="0.2">
      <c r="M413" s="185"/>
      <c r="N413" s="185"/>
      <c r="O413" s="185"/>
      <c r="P413" s="185"/>
      <c r="Q413" s="185"/>
    </row>
    <row r="414" spans="13:17" x14ac:dyDescent="0.2">
      <c r="M414" s="185"/>
      <c r="N414" s="185"/>
      <c r="O414" s="185"/>
      <c r="P414" s="185"/>
      <c r="Q414" s="185"/>
    </row>
    <row r="415" spans="13:17" x14ac:dyDescent="0.2">
      <c r="M415" s="185"/>
      <c r="N415" s="185"/>
      <c r="O415" s="185"/>
      <c r="P415" s="185"/>
      <c r="Q415" s="185"/>
    </row>
    <row r="416" spans="13:17" x14ac:dyDescent="0.2">
      <c r="M416" s="185"/>
      <c r="N416" s="185"/>
      <c r="O416" s="185"/>
      <c r="P416" s="185"/>
      <c r="Q416" s="185"/>
    </row>
    <row r="417" spans="13:17" x14ac:dyDescent="0.2">
      <c r="M417" s="185"/>
      <c r="N417" s="185"/>
      <c r="O417" s="185"/>
      <c r="P417" s="185"/>
      <c r="Q417" s="185"/>
    </row>
    <row r="418" spans="13:17" x14ac:dyDescent="0.2">
      <c r="M418" s="185"/>
      <c r="N418" s="185"/>
      <c r="O418" s="185"/>
      <c r="P418" s="185"/>
      <c r="Q418" s="185"/>
    </row>
    <row r="419" spans="13:17" x14ac:dyDescent="0.2">
      <c r="M419" s="185"/>
      <c r="N419" s="185"/>
      <c r="O419" s="185"/>
      <c r="P419" s="185"/>
      <c r="Q419" s="185"/>
    </row>
    <row r="420" spans="13:17" x14ac:dyDescent="0.2">
      <c r="M420" s="185"/>
      <c r="N420" s="185"/>
      <c r="O420" s="185"/>
      <c r="P420" s="185"/>
      <c r="Q420" s="185"/>
    </row>
    <row r="421" spans="13:17" x14ac:dyDescent="0.2">
      <c r="M421" s="185"/>
      <c r="N421" s="185"/>
      <c r="O421" s="185"/>
      <c r="P421" s="185"/>
      <c r="Q421" s="185"/>
    </row>
    <row r="422" spans="13:17" x14ac:dyDescent="0.2">
      <c r="M422" s="185"/>
      <c r="N422" s="185"/>
      <c r="O422" s="185"/>
      <c r="P422" s="185"/>
      <c r="Q422" s="185"/>
    </row>
    <row r="423" spans="13:17" x14ac:dyDescent="0.2">
      <c r="M423" s="185"/>
      <c r="N423" s="185"/>
      <c r="O423" s="185"/>
      <c r="P423" s="185"/>
      <c r="Q423" s="185"/>
    </row>
    <row r="424" spans="13:17" x14ac:dyDescent="0.2">
      <c r="M424" s="185"/>
      <c r="N424" s="185"/>
      <c r="O424" s="185"/>
      <c r="P424" s="185"/>
      <c r="Q424" s="185"/>
    </row>
    <row r="425" spans="13:17" x14ac:dyDescent="0.2">
      <c r="M425" s="185"/>
      <c r="N425" s="185"/>
      <c r="O425" s="185"/>
      <c r="P425" s="185"/>
      <c r="Q425" s="185"/>
    </row>
    <row r="426" spans="13:17" x14ac:dyDescent="0.2">
      <c r="M426" s="185"/>
      <c r="N426" s="185"/>
      <c r="O426" s="185"/>
      <c r="P426" s="185"/>
      <c r="Q426" s="185"/>
    </row>
    <row r="427" spans="13:17" x14ac:dyDescent="0.2">
      <c r="M427" s="185"/>
      <c r="N427" s="185"/>
      <c r="O427" s="185"/>
      <c r="P427" s="185"/>
      <c r="Q427" s="185"/>
    </row>
    <row r="428" spans="13:17" x14ac:dyDescent="0.2">
      <c r="M428" s="185"/>
      <c r="N428" s="185"/>
      <c r="O428" s="185"/>
      <c r="P428" s="185"/>
      <c r="Q428" s="185"/>
    </row>
    <row r="429" spans="13:17" x14ac:dyDescent="0.2">
      <c r="M429" s="185"/>
      <c r="N429" s="185"/>
      <c r="O429" s="185"/>
      <c r="P429" s="185"/>
      <c r="Q429" s="185"/>
    </row>
    <row r="430" spans="13:17" x14ac:dyDescent="0.2">
      <c r="M430" s="185"/>
      <c r="N430" s="185"/>
      <c r="O430" s="185"/>
      <c r="P430" s="185"/>
      <c r="Q430" s="185"/>
    </row>
    <row r="431" spans="13:17" x14ac:dyDescent="0.2">
      <c r="M431" s="185"/>
      <c r="N431" s="185"/>
      <c r="O431" s="185"/>
      <c r="P431" s="185"/>
      <c r="Q431" s="185"/>
    </row>
    <row r="432" spans="13:17" x14ac:dyDescent="0.2">
      <c r="M432" s="185"/>
      <c r="N432" s="185"/>
      <c r="O432" s="185"/>
      <c r="P432" s="185"/>
      <c r="Q432" s="185"/>
    </row>
    <row r="433" spans="13:17" x14ac:dyDescent="0.2">
      <c r="M433" s="185"/>
      <c r="N433" s="185"/>
      <c r="O433" s="185"/>
      <c r="P433" s="185"/>
      <c r="Q433" s="185"/>
    </row>
    <row r="434" spans="13:17" x14ac:dyDescent="0.2">
      <c r="M434" s="185"/>
      <c r="N434" s="185"/>
      <c r="O434" s="185"/>
      <c r="P434" s="185"/>
      <c r="Q434" s="185"/>
    </row>
    <row r="435" spans="13:17" x14ac:dyDescent="0.2">
      <c r="M435" s="185"/>
      <c r="N435" s="185"/>
      <c r="O435" s="185"/>
      <c r="P435" s="185"/>
      <c r="Q435" s="185"/>
    </row>
    <row r="436" spans="13:17" x14ac:dyDescent="0.2">
      <c r="M436" s="185"/>
      <c r="N436" s="185"/>
      <c r="O436" s="185"/>
      <c r="P436" s="185"/>
      <c r="Q436" s="185"/>
    </row>
    <row r="437" spans="13:17" x14ac:dyDescent="0.2">
      <c r="M437" s="185"/>
      <c r="N437" s="185"/>
      <c r="O437" s="185"/>
      <c r="P437" s="185"/>
      <c r="Q437" s="185"/>
    </row>
    <row r="438" spans="13:17" x14ac:dyDescent="0.2">
      <c r="M438" s="185"/>
      <c r="N438" s="185"/>
      <c r="O438" s="185"/>
      <c r="P438" s="185"/>
      <c r="Q438" s="185"/>
    </row>
    <row r="439" spans="13:17" x14ac:dyDescent="0.2">
      <c r="M439" s="185"/>
      <c r="N439" s="185"/>
      <c r="O439" s="185"/>
      <c r="P439" s="185"/>
      <c r="Q439" s="185"/>
    </row>
    <row r="440" spans="13:17" x14ac:dyDescent="0.2">
      <c r="M440" s="185"/>
      <c r="N440" s="185"/>
      <c r="O440" s="185"/>
      <c r="P440" s="185"/>
      <c r="Q440" s="185"/>
    </row>
    <row r="441" spans="13:17" x14ac:dyDescent="0.2">
      <c r="M441" s="185"/>
      <c r="N441" s="185"/>
      <c r="O441" s="185"/>
      <c r="P441" s="185"/>
      <c r="Q441" s="185"/>
    </row>
    <row r="442" spans="13:17" x14ac:dyDescent="0.2">
      <c r="M442" s="185"/>
      <c r="N442" s="185"/>
      <c r="O442" s="185"/>
      <c r="P442" s="185"/>
      <c r="Q442" s="185"/>
    </row>
    <row r="443" spans="13:17" x14ac:dyDescent="0.2">
      <c r="M443" s="185"/>
      <c r="N443" s="185"/>
      <c r="O443" s="185"/>
      <c r="P443" s="185"/>
      <c r="Q443" s="185"/>
    </row>
    <row r="444" spans="13:17" x14ac:dyDescent="0.2">
      <c r="M444" s="185"/>
      <c r="N444" s="185"/>
      <c r="O444" s="185"/>
      <c r="P444" s="185"/>
      <c r="Q444" s="185"/>
    </row>
    <row r="445" spans="13:17" x14ac:dyDescent="0.2">
      <c r="M445" s="185"/>
      <c r="N445" s="185"/>
      <c r="O445" s="185"/>
      <c r="P445" s="185"/>
      <c r="Q445" s="185"/>
    </row>
    <row r="446" spans="13:17" x14ac:dyDescent="0.2">
      <c r="M446" s="185"/>
      <c r="N446" s="185"/>
      <c r="O446" s="185"/>
      <c r="P446" s="185"/>
      <c r="Q446" s="185"/>
    </row>
    <row r="447" spans="13:17" x14ac:dyDescent="0.2">
      <c r="M447" s="185"/>
      <c r="N447" s="185"/>
      <c r="O447" s="185"/>
      <c r="P447" s="185"/>
      <c r="Q447" s="185"/>
    </row>
    <row r="448" spans="13:17" x14ac:dyDescent="0.2">
      <c r="M448" s="185"/>
      <c r="N448" s="185"/>
      <c r="O448" s="185"/>
      <c r="P448" s="185"/>
      <c r="Q448" s="185"/>
    </row>
    <row r="449" spans="13:17" x14ac:dyDescent="0.2">
      <c r="M449" s="185"/>
      <c r="N449" s="185"/>
      <c r="O449" s="185"/>
      <c r="P449" s="185"/>
      <c r="Q449" s="185"/>
    </row>
    <row r="450" spans="13:17" x14ac:dyDescent="0.2">
      <c r="M450" s="185"/>
      <c r="N450" s="185"/>
      <c r="O450" s="185"/>
      <c r="P450" s="185"/>
      <c r="Q450" s="185"/>
    </row>
    <row r="451" spans="13:17" x14ac:dyDescent="0.2">
      <c r="M451" s="185"/>
      <c r="N451" s="185"/>
      <c r="O451" s="185"/>
      <c r="P451" s="185"/>
      <c r="Q451" s="185"/>
    </row>
    <row r="452" spans="13:17" x14ac:dyDescent="0.2">
      <c r="M452" s="185"/>
      <c r="N452" s="185"/>
      <c r="O452" s="185"/>
      <c r="P452" s="185"/>
      <c r="Q452" s="185"/>
    </row>
    <row r="453" spans="13:17" x14ac:dyDescent="0.2">
      <c r="M453" s="185"/>
      <c r="N453" s="185"/>
      <c r="O453" s="185"/>
      <c r="P453" s="185"/>
      <c r="Q453" s="185"/>
    </row>
    <row r="454" spans="13:17" x14ac:dyDescent="0.2">
      <c r="M454" s="185"/>
      <c r="N454" s="185"/>
      <c r="O454" s="185"/>
      <c r="P454" s="185"/>
      <c r="Q454" s="185"/>
    </row>
    <row r="455" spans="13:17" x14ac:dyDescent="0.2">
      <c r="M455" s="185"/>
      <c r="N455" s="185"/>
      <c r="O455" s="185"/>
      <c r="P455" s="185"/>
      <c r="Q455" s="185"/>
    </row>
    <row r="456" spans="13:17" x14ac:dyDescent="0.2">
      <c r="M456" s="185"/>
      <c r="N456" s="185"/>
      <c r="O456" s="185"/>
      <c r="P456" s="185"/>
      <c r="Q456" s="185"/>
    </row>
    <row r="457" spans="13:17" x14ac:dyDescent="0.2">
      <c r="M457" s="185"/>
      <c r="N457" s="185"/>
      <c r="O457" s="185"/>
      <c r="P457" s="185"/>
      <c r="Q457" s="185"/>
    </row>
    <row r="458" spans="13:17" x14ac:dyDescent="0.2">
      <c r="M458" s="185"/>
      <c r="N458" s="185"/>
      <c r="O458" s="185"/>
      <c r="P458" s="185"/>
      <c r="Q458" s="185"/>
    </row>
    <row r="459" spans="13:17" x14ac:dyDescent="0.2">
      <c r="M459" s="185"/>
      <c r="N459" s="185"/>
      <c r="O459" s="185"/>
      <c r="P459" s="185"/>
      <c r="Q459" s="185"/>
    </row>
    <row r="460" spans="13:17" x14ac:dyDescent="0.2">
      <c r="M460" s="185"/>
      <c r="N460" s="185"/>
      <c r="O460" s="185"/>
      <c r="P460" s="185"/>
      <c r="Q460" s="185"/>
    </row>
    <row r="461" spans="13:17" x14ac:dyDescent="0.2">
      <c r="M461" s="185"/>
      <c r="N461" s="185"/>
      <c r="O461" s="185"/>
      <c r="P461" s="185"/>
      <c r="Q461" s="185"/>
    </row>
    <row r="462" spans="13:17" x14ac:dyDescent="0.2">
      <c r="M462" s="185"/>
      <c r="N462" s="185"/>
      <c r="O462" s="185"/>
      <c r="P462" s="185"/>
      <c r="Q462" s="185"/>
    </row>
    <row r="463" spans="13:17" x14ac:dyDescent="0.2">
      <c r="M463" s="185"/>
      <c r="N463" s="185"/>
      <c r="O463" s="185"/>
      <c r="P463" s="185"/>
      <c r="Q463" s="185"/>
    </row>
  </sheetData>
  <pageMargins left="0.7" right="0.7" top="0.75" bottom="0.75" header="0.3" footer="0.3"/>
  <pageSetup paperSize="9" scale="91" fitToWidth="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Y463"/>
  <sheetViews>
    <sheetView zoomScale="90" zoomScaleNormal="90" workbookViewId="0">
      <pane ySplit="4" topLeftCell="A29" activePane="bottomLeft" state="frozen"/>
      <selection activeCell="I1" sqref="I1"/>
      <selection pane="bottomLeft" activeCell="A38" sqref="A38:XFD38"/>
    </sheetView>
  </sheetViews>
  <sheetFormatPr defaultRowHeight="12.75" x14ac:dyDescent="0.2"/>
  <cols>
    <col min="2" max="2" width="18.85546875" customWidth="1"/>
    <col min="3" max="3" width="9.140625" customWidth="1"/>
    <col min="4" max="4" width="18.5703125" customWidth="1"/>
    <col min="5" max="5" width="15.5703125" customWidth="1"/>
    <col min="6" max="6" width="20.140625" customWidth="1"/>
    <col min="7" max="7" width="29.140625" customWidth="1"/>
    <col min="8" max="8" width="10.42578125" customWidth="1"/>
    <col min="9" max="9" width="11" customWidth="1"/>
    <col min="10" max="10" width="14.140625" customWidth="1"/>
    <col min="11" max="11" width="11.5703125" customWidth="1"/>
    <col min="12" max="12" width="15.5703125" customWidth="1"/>
    <col min="13" max="13" width="13" customWidth="1"/>
    <col min="14" max="14" width="38.5703125" customWidth="1"/>
    <col min="15" max="15" width="27.85546875" style="289" customWidth="1"/>
    <col min="16" max="16" width="21" customWidth="1"/>
    <col min="17" max="18" width="22.28515625" customWidth="1"/>
    <col min="19" max="19" width="16.7109375" customWidth="1"/>
    <col min="20" max="20" width="21.140625" customWidth="1"/>
    <col min="21" max="21" width="15.85546875" customWidth="1"/>
    <col min="22" max="22" width="23.7109375" customWidth="1"/>
    <col min="25" max="25" width="52.7109375" customWidth="1"/>
  </cols>
  <sheetData>
    <row r="1" spans="1:25" ht="13.5" thickBot="1" x14ac:dyDescent="0.25">
      <c r="A1" s="125" t="s">
        <v>212</v>
      </c>
      <c r="B1" s="121"/>
      <c r="C1" s="121"/>
      <c r="D1" s="121"/>
      <c r="E1" s="50"/>
      <c r="F1" s="50"/>
      <c r="G1" s="50"/>
      <c r="H1" s="50"/>
      <c r="I1" s="50"/>
      <c r="J1" s="50"/>
      <c r="K1" s="50"/>
      <c r="L1" s="50"/>
      <c r="M1" s="50"/>
      <c r="N1" s="50"/>
    </row>
    <row r="2" spans="1:25" x14ac:dyDescent="0.2">
      <c r="A2" s="122"/>
      <c r="B2" s="78"/>
      <c r="C2" s="78"/>
      <c r="D2" s="78"/>
      <c r="U2" s="92" t="s">
        <v>56</v>
      </c>
      <c r="V2" s="85" t="s">
        <v>1484</v>
      </c>
    </row>
    <row r="3" spans="1:25" ht="13.5" thickBot="1" x14ac:dyDescent="0.25">
      <c r="A3" s="77"/>
      <c r="B3" s="78"/>
      <c r="C3" s="78"/>
      <c r="D3" s="78"/>
      <c r="U3" s="93" t="s">
        <v>55</v>
      </c>
      <c r="V3" s="156">
        <v>2020</v>
      </c>
    </row>
    <row r="4" spans="1:25" ht="62.25" customHeight="1" thickBot="1" x14ac:dyDescent="0.25">
      <c r="A4" s="101" t="s">
        <v>0</v>
      </c>
      <c r="B4" s="101" t="s">
        <v>1</v>
      </c>
      <c r="C4" s="101" t="s">
        <v>5</v>
      </c>
      <c r="D4" s="95" t="s">
        <v>169</v>
      </c>
      <c r="E4" s="95" t="s">
        <v>58</v>
      </c>
      <c r="F4" s="124" t="s">
        <v>213</v>
      </c>
      <c r="G4" s="124" t="s">
        <v>214</v>
      </c>
      <c r="H4" s="101" t="s">
        <v>1132</v>
      </c>
      <c r="I4" s="101" t="s">
        <v>215</v>
      </c>
      <c r="J4" s="101" t="s">
        <v>216</v>
      </c>
      <c r="K4" s="101" t="s">
        <v>217</v>
      </c>
      <c r="L4" s="101" t="s">
        <v>218</v>
      </c>
      <c r="M4" s="101" t="s">
        <v>219</v>
      </c>
      <c r="N4" s="101" t="s">
        <v>4</v>
      </c>
      <c r="O4" s="160" t="s">
        <v>220</v>
      </c>
      <c r="P4" s="160" t="s">
        <v>221</v>
      </c>
      <c r="Q4" s="160" t="s">
        <v>222</v>
      </c>
      <c r="R4" s="160" t="s">
        <v>274</v>
      </c>
      <c r="S4" s="160" t="s">
        <v>223</v>
      </c>
      <c r="T4" s="160" t="s">
        <v>224</v>
      </c>
      <c r="U4" s="160" t="s">
        <v>225</v>
      </c>
      <c r="V4" s="160" t="s">
        <v>59</v>
      </c>
    </row>
    <row r="5" spans="1:25" ht="51" x14ac:dyDescent="0.2">
      <c r="A5" s="533" t="s">
        <v>645</v>
      </c>
      <c r="B5" s="554" t="s">
        <v>362</v>
      </c>
      <c r="C5" s="533" t="s">
        <v>74</v>
      </c>
      <c r="D5" s="533" t="s">
        <v>419</v>
      </c>
      <c r="E5" s="533" t="s">
        <v>1672</v>
      </c>
      <c r="F5" s="570" t="s">
        <v>1102</v>
      </c>
      <c r="G5" s="570" t="s">
        <v>1103</v>
      </c>
      <c r="H5" s="571">
        <v>60.5</v>
      </c>
      <c r="I5" s="571">
        <v>554.5</v>
      </c>
      <c r="J5" s="571">
        <v>2397</v>
      </c>
      <c r="K5" s="571">
        <v>4957</v>
      </c>
      <c r="L5" s="571">
        <v>4584.5</v>
      </c>
      <c r="M5" s="571">
        <v>373</v>
      </c>
      <c r="N5" s="570" t="s">
        <v>1104</v>
      </c>
      <c r="O5" s="576">
        <v>58</v>
      </c>
      <c r="P5" s="577">
        <v>480</v>
      </c>
      <c r="Q5" s="577">
        <v>2652</v>
      </c>
      <c r="R5" s="578" t="s">
        <v>6</v>
      </c>
      <c r="S5" s="577">
        <v>4314</v>
      </c>
      <c r="T5" s="577">
        <v>4162</v>
      </c>
      <c r="U5" s="577">
        <v>152</v>
      </c>
      <c r="V5" s="678"/>
    </row>
    <row r="6" spans="1:25" s="202" customFormat="1" ht="51" x14ac:dyDescent="0.2">
      <c r="A6" s="533" t="s">
        <v>645</v>
      </c>
      <c r="B6" s="554" t="s">
        <v>362</v>
      </c>
      <c r="C6" s="533" t="s">
        <v>74</v>
      </c>
      <c r="D6" s="533" t="s">
        <v>419</v>
      </c>
      <c r="E6" s="533" t="s">
        <v>1672</v>
      </c>
      <c r="F6" s="570" t="s">
        <v>1105</v>
      </c>
      <c r="G6" s="570" t="s">
        <v>1106</v>
      </c>
      <c r="H6" s="571">
        <v>53</v>
      </c>
      <c r="I6" s="571">
        <v>360.5</v>
      </c>
      <c r="J6" s="571">
        <v>1222</v>
      </c>
      <c r="K6" s="571">
        <v>76825.5</v>
      </c>
      <c r="L6" s="571">
        <v>67753</v>
      </c>
      <c r="M6" s="571">
        <v>9072.5</v>
      </c>
      <c r="N6" s="570" t="s">
        <v>1107</v>
      </c>
      <c r="O6" s="619">
        <v>57</v>
      </c>
      <c r="P6" s="336">
        <v>381</v>
      </c>
      <c r="Q6" s="336">
        <v>1064</v>
      </c>
      <c r="R6" s="578" t="s">
        <v>6</v>
      </c>
      <c r="S6" s="336">
        <v>66056</v>
      </c>
      <c r="T6" s="336">
        <v>61064</v>
      </c>
      <c r="U6" s="336">
        <v>4992</v>
      </c>
      <c r="V6" s="679"/>
    </row>
    <row r="7" spans="1:25" s="202" customFormat="1" ht="51" x14ac:dyDescent="0.2">
      <c r="A7" s="533" t="s">
        <v>645</v>
      </c>
      <c r="B7" s="554" t="s">
        <v>362</v>
      </c>
      <c r="C7" s="533" t="s">
        <v>74</v>
      </c>
      <c r="D7" s="533" t="s">
        <v>419</v>
      </c>
      <c r="E7" s="533" t="s">
        <v>1672</v>
      </c>
      <c r="F7" s="570" t="s">
        <v>288</v>
      </c>
      <c r="G7" s="570" t="s">
        <v>637</v>
      </c>
      <c r="H7" s="571">
        <v>0.5</v>
      </c>
      <c r="I7" s="571">
        <v>2.5</v>
      </c>
      <c r="J7" s="571">
        <v>4.5</v>
      </c>
      <c r="K7" s="571">
        <v>1</v>
      </c>
      <c r="L7" s="571">
        <v>0.5</v>
      </c>
      <c r="M7" s="571">
        <v>0.5</v>
      </c>
      <c r="N7" s="570" t="s">
        <v>1108</v>
      </c>
      <c r="O7" s="618">
        <v>0</v>
      </c>
      <c r="P7" s="336">
        <v>0</v>
      </c>
      <c r="Q7" s="336">
        <v>0</v>
      </c>
      <c r="R7" s="578" t="s">
        <v>6</v>
      </c>
      <c r="S7" s="336">
        <v>0</v>
      </c>
      <c r="T7" s="336">
        <v>0</v>
      </c>
      <c r="U7" s="336">
        <v>0</v>
      </c>
      <c r="V7" s="679" t="s">
        <v>1888</v>
      </c>
    </row>
    <row r="8" spans="1:25" s="202" customFormat="1" ht="51" x14ac:dyDescent="0.2">
      <c r="A8" s="533" t="s">
        <v>645</v>
      </c>
      <c r="B8" s="554" t="s">
        <v>362</v>
      </c>
      <c r="C8" s="533" t="s">
        <v>74</v>
      </c>
      <c r="D8" s="533" t="s">
        <v>419</v>
      </c>
      <c r="E8" s="533" t="s">
        <v>1672</v>
      </c>
      <c r="F8" s="570" t="s">
        <v>290</v>
      </c>
      <c r="G8" s="570" t="s">
        <v>1106</v>
      </c>
      <c r="H8" s="571">
        <v>1.5</v>
      </c>
      <c r="I8" s="571">
        <v>8</v>
      </c>
      <c r="J8" s="571">
        <v>8.5</v>
      </c>
      <c r="K8" s="571">
        <v>2</v>
      </c>
      <c r="L8" s="571">
        <v>2</v>
      </c>
      <c r="M8" s="571">
        <v>0</v>
      </c>
      <c r="N8" s="570" t="s">
        <v>1109</v>
      </c>
      <c r="O8" s="618">
        <v>4</v>
      </c>
      <c r="P8" s="336">
        <v>23</v>
      </c>
      <c r="Q8" s="336">
        <v>21</v>
      </c>
      <c r="R8" s="578" t="s">
        <v>6</v>
      </c>
      <c r="S8" s="336">
        <v>10</v>
      </c>
      <c r="T8" s="336">
        <v>10</v>
      </c>
      <c r="U8" s="336">
        <v>0</v>
      </c>
      <c r="V8" s="679"/>
    </row>
    <row r="9" spans="1:25" s="202" customFormat="1" ht="51" x14ac:dyDescent="0.2">
      <c r="A9" s="533" t="s">
        <v>645</v>
      </c>
      <c r="B9" s="554" t="s">
        <v>362</v>
      </c>
      <c r="C9" s="533" t="s">
        <v>74</v>
      </c>
      <c r="D9" s="533" t="s">
        <v>419</v>
      </c>
      <c r="E9" s="533" t="s">
        <v>1672</v>
      </c>
      <c r="F9" s="570" t="s">
        <v>1110</v>
      </c>
      <c r="G9" s="570" t="s">
        <v>1111</v>
      </c>
      <c r="H9" s="571">
        <v>8.5</v>
      </c>
      <c r="I9" s="571">
        <v>43</v>
      </c>
      <c r="J9" s="571">
        <v>62.5</v>
      </c>
      <c r="K9" s="571">
        <v>48</v>
      </c>
      <c r="L9" s="571">
        <v>48</v>
      </c>
      <c r="M9" s="571">
        <v>0</v>
      </c>
      <c r="N9" s="570" t="s">
        <v>1112</v>
      </c>
      <c r="O9" s="618">
        <v>3</v>
      </c>
      <c r="P9" s="336">
        <v>14</v>
      </c>
      <c r="Q9" s="336">
        <v>20</v>
      </c>
      <c r="R9" s="578" t="s">
        <v>6</v>
      </c>
      <c r="S9" s="336">
        <v>15</v>
      </c>
      <c r="T9" s="336">
        <v>15</v>
      </c>
      <c r="U9" s="336">
        <v>0</v>
      </c>
      <c r="V9" s="679"/>
    </row>
    <row r="10" spans="1:25" s="202" customFormat="1" ht="51" x14ac:dyDescent="0.2">
      <c r="A10" s="533" t="s">
        <v>645</v>
      </c>
      <c r="B10" s="554" t="s">
        <v>362</v>
      </c>
      <c r="C10" s="533" t="s">
        <v>74</v>
      </c>
      <c r="D10" s="533" t="s">
        <v>419</v>
      </c>
      <c r="E10" s="533" t="s">
        <v>1672</v>
      </c>
      <c r="F10" s="570" t="s">
        <v>1113</v>
      </c>
      <c r="G10" s="570" t="s">
        <v>1114</v>
      </c>
      <c r="H10" s="571">
        <v>32.5</v>
      </c>
      <c r="I10" s="571">
        <v>1772</v>
      </c>
      <c r="J10" s="571">
        <v>2925.5</v>
      </c>
      <c r="K10" s="571">
        <v>3239</v>
      </c>
      <c r="L10" s="571">
        <v>3230</v>
      </c>
      <c r="M10" s="571">
        <v>9</v>
      </c>
      <c r="N10" s="570" t="s">
        <v>1115</v>
      </c>
      <c r="O10" s="618">
        <v>24</v>
      </c>
      <c r="P10" s="336">
        <v>1090</v>
      </c>
      <c r="Q10" s="336">
        <v>1911</v>
      </c>
      <c r="R10" s="578" t="s">
        <v>6</v>
      </c>
      <c r="S10" s="336">
        <v>1672</v>
      </c>
      <c r="T10" s="336">
        <v>1665</v>
      </c>
      <c r="U10" s="336">
        <v>7</v>
      </c>
      <c r="V10" s="679"/>
    </row>
    <row r="11" spans="1:25" s="202" customFormat="1" ht="51" x14ac:dyDescent="0.2">
      <c r="A11" s="533" t="s">
        <v>645</v>
      </c>
      <c r="B11" s="554" t="s">
        <v>362</v>
      </c>
      <c r="C11" s="533" t="s">
        <v>74</v>
      </c>
      <c r="D11" s="533" t="s">
        <v>384</v>
      </c>
      <c r="E11" s="533" t="s">
        <v>1672</v>
      </c>
      <c r="F11" s="570" t="s">
        <v>1116</v>
      </c>
      <c r="G11" s="570" t="s">
        <v>1111</v>
      </c>
      <c r="H11" s="571">
        <v>8</v>
      </c>
      <c r="I11" s="571">
        <v>116</v>
      </c>
      <c r="J11" s="571">
        <v>579</v>
      </c>
      <c r="K11" s="571">
        <v>518</v>
      </c>
      <c r="L11" s="571">
        <v>518</v>
      </c>
      <c r="M11" s="571">
        <v>0</v>
      </c>
      <c r="N11" s="570"/>
      <c r="O11" s="618">
        <v>6</v>
      </c>
      <c r="P11" s="336">
        <v>139</v>
      </c>
      <c r="Q11" s="336">
        <v>694</v>
      </c>
      <c r="R11" s="337" t="s">
        <v>6</v>
      </c>
      <c r="S11" s="336">
        <v>527</v>
      </c>
      <c r="T11" s="336">
        <v>527</v>
      </c>
      <c r="U11" s="336">
        <v>0</v>
      </c>
      <c r="V11" s="680"/>
      <c r="W11" s="185"/>
      <c r="X11" s="185"/>
      <c r="Y11" s="185"/>
    </row>
    <row r="12" spans="1:25" s="202" customFormat="1" ht="51" x14ac:dyDescent="0.2">
      <c r="A12" s="533" t="s">
        <v>645</v>
      </c>
      <c r="B12" s="554" t="s">
        <v>362</v>
      </c>
      <c r="C12" s="533" t="s">
        <v>74</v>
      </c>
      <c r="D12" s="533" t="s">
        <v>384</v>
      </c>
      <c r="E12" s="533" t="s">
        <v>1672</v>
      </c>
      <c r="F12" s="570" t="s">
        <v>1102</v>
      </c>
      <c r="G12" s="570" t="s">
        <v>1117</v>
      </c>
      <c r="H12" s="571">
        <v>74</v>
      </c>
      <c r="I12" s="571">
        <v>1165.5</v>
      </c>
      <c r="J12" s="571">
        <v>2593.5</v>
      </c>
      <c r="K12" s="571">
        <v>2876</v>
      </c>
      <c r="L12" s="571">
        <v>2843.5</v>
      </c>
      <c r="M12" s="571">
        <v>32.5</v>
      </c>
      <c r="N12" s="572"/>
      <c r="O12" s="618">
        <v>67</v>
      </c>
      <c r="P12" s="336">
        <v>858</v>
      </c>
      <c r="Q12" s="336">
        <v>2361</v>
      </c>
      <c r="R12" s="578" t="s">
        <v>6</v>
      </c>
      <c r="S12" s="336">
        <v>2926</v>
      </c>
      <c r="T12" s="336">
        <v>2661</v>
      </c>
      <c r="U12" s="336">
        <v>265</v>
      </c>
      <c r="V12" s="680"/>
      <c r="W12" s="185"/>
      <c r="X12" s="185"/>
      <c r="Y12" s="185"/>
    </row>
    <row r="13" spans="1:25" s="202" customFormat="1" ht="51" x14ac:dyDescent="0.2">
      <c r="A13" s="533" t="s">
        <v>645</v>
      </c>
      <c r="B13" s="554" t="s">
        <v>362</v>
      </c>
      <c r="C13" s="533" t="s">
        <v>74</v>
      </c>
      <c r="D13" s="533" t="s">
        <v>384</v>
      </c>
      <c r="E13" s="533" t="s">
        <v>1672</v>
      </c>
      <c r="F13" s="570" t="s">
        <v>1105</v>
      </c>
      <c r="G13" s="570" t="s">
        <v>1106</v>
      </c>
      <c r="H13" s="571">
        <v>22.5</v>
      </c>
      <c r="I13" s="571">
        <v>184.5</v>
      </c>
      <c r="J13" s="571">
        <v>241</v>
      </c>
      <c r="K13" s="571">
        <v>3190</v>
      </c>
      <c r="L13" s="571">
        <v>2857.5</v>
      </c>
      <c r="M13" s="571">
        <v>332.5</v>
      </c>
      <c r="N13" s="570" t="s">
        <v>1118</v>
      </c>
      <c r="O13" s="618">
        <v>22</v>
      </c>
      <c r="P13" s="336">
        <v>361</v>
      </c>
      <c r="Q13" s="336">
        <v>406</v>
      </c>
      <c r="R13" s="578" t="s">
        <v>6</v>
      </c>
      <c r="S13" s="336">
        <v>10400</v>
      </c>
      <c r="T13" s="336">
        <v>9217</v>
      </c>
      <c r="U13" s="336">
        <v>1183</v>
      </c>
      <c r="V13" s="680"/>
      <c r="W13" s="185"/>
      <c r="X13" s="185"/>
      <c r="Y13" s="185"/>
    </row>
    <row r="14" spans="1:25" s="202" customFormat="1" ht="51" x14ac:dyDescent="0.2">
      <c r="A14" s="533" t="s">
        <v>645</v>
      </c>
      <c r="B14" s="554" t="s">
        <v>362</v>
      </c>
      <c r="C14" s="533" t="s">
        <v>74</v>
      </c>
      <c r="D14" s="533" t="s">
        <v>384</v>
      </c>
      <c r="E14" s="533" t="s">
        <v>1672</v>
      </c>
      <c r="F14" s="570" t="s">
        <v>288</v>
      </c>
      <c r="G14" s="570" t="s">
        <v>637</v>
      </c>
      <c r="H14" s="571">
        <v>55.5</v>
      </c>
      <c r="I14" s="571">
        <v>3345.5</v>
      </c>
      <c r="J14" s="571">
        <v>4782</v>
      </c>
      <c r="K14" s="571">
        <v>1654</v>
      </c>
      <c r="L14" s="571">
        <v>1651.5</v>
      </c>
      <c r="M14" s="571">
        <v>2.5</v>
      </c>
      <c r="N14" s="570" t="s">
        <v>1119</v>
      </c>
      <c r="O14" s="618">
        <v>43</v>
      </c>
      <c r="P14" s="336">
        <v>2278</v>
      </c>
      <c r="Q14" s="336">
        <v>3074</v>
      </c>
      <c r="R14" s="578" t="s">
        <v>6</v>
      </c>
      <c r="S14" s="336">
        <v>2068</v>
      </c>
      <c r="T14" s="336">
        <v>1724</v>
      </c>
      <c r="U14" s="336">
        <v>344</v>
      </c>
      <c r="V14" s="680"/>
      <c r="W14" s="185"/>
      <c r="X14" s="185"/>
      <c r="Y14" s="185"/>
    </row>
    <row r="15" spans="1:25" s="202" customFormat="1" ht="51" x14ac:dyDescent="0.2">
      <c r="A15" s="533" t="s">
        <v>645</v>
      </c>
      <c r="B15" s="554" t="s">
        <v>362</v>
      </c>
      <c r="C15" s="533" t="s">
        <v>74</v>
      </c>
      <c r="D15" s="533" t="s">
        <v>384</v>
      </c>
      <c r="E15" s="533" t="s">
        <v>1672</v>
      </c>
      <c r="F15" s="570" t="s">
        <v>1110</v>
      </c>
      <c r="G15" s="570" t="s">
        <v>1111</v>
      </c>
      <c r="H15" s="571">
        <v>4.5</v>
      </c>
      <c r="I15" s="571">
        <v>36.5</v>
      </c>
      <c r="J15" s="571">
        <v>29.5</v>
      </c>
      <c r="K15" s="571">
        <v>27</v>
      </c>
      <c r="L15" s="571">
        <v>27</v>
      </c>
      <c r="M15" s="571">
        <v>0</v>
      </c>
      <c r="N15" s="570" t="s">
        <v>1120</v>
      </c>
      <c r="O15" s="618">
        <v>4</v>
      </c>
      <c r="P15" s="336">
        <v>11</v>
      </c>
      <c r="Q15" s="336">
        <v>8</v>
      </c>
      <c r="R15" s="578" t="s">
        <v>6</v>
      </c>
      <c r="S15" s="336">
        <v>9</v>
      </c>
      <c r="T15" s="336">
        <v>9</v>
      </c>
      <c r="U15" s="336">
        <v>0</v>
      </c>
      <c r="V15" s="680"/>
      <c r="W15" s="185"/>
      <c r="X15" s="185"/>
      <c r="Y15" s="185"/>
    </row>
    <row r="16" spans="1:25" s="202" customFormat="1" ht="51" x14ac:dyDescent="0.2">
      <c r="A16" s="533" t="s">
        <v>645</v>
      </c>
      <c r="B16" s="554" t="s">
        <v>362</v>
      </c>
      <c r="C16" s="533" t="s">
        <v>74</v>
      </c>
      <c r="D16" s="533" t="s">
        <v>384</v>
      </c>
      <c r="E16" s="533" t="s">
        <v>1672</v>
      </c>
      <c r="F16" s="570" t="s">
        <v>1113</v>
      </c>
      <c r="G16" s="570" t="s">
        <v>1114</v>
      </c>
      <c r="H16" s="571">
        <v>35</v>
      </c>
      <c r="I16" s="571">
        <v>3318</v>
      </c>
      <c r="J16" s="571">
        <v>3318.5</v>
      </c>
      <c r="K16" s="571">
        <v>2463.5</v>
      </c>
      <c r="L16" s="571">
        <v>2463.5</v>
      </c>
      <c r="M16" s="571">
        <v>0</v>
      </c>
      <c r="N16" s="570" t="s">
        <v>1121</v>
      </c>
      <c r="O16" s="618">
        <v>40</v>
      </c>
      <c r="P16" s="336">
        <v>3290</v>
      </c>
      <c r="Q16" s="336">
        <v>3269</v>
      </c>
      <c r="R16" s="578" t="s">
        <v>6</v>
      </c>
      <c r="S16" s="336">
        <v>2944</v>
      </c>
      <c r="T16" s="336">
        <v>2944</v>
      </c>
      <c r="U16" s="336">
        <v>0</v>
      </c>
      <c r="V16" s="680"/>
      <c r="W16" s="185"/>
      <c r="X16" s="185"/>
      <c r="Y16" s="185"/>
    </row>
    <row r="17" spans="1:25" s="202" customFormat="1" ht="51" x14ac:dyDescent="0.2">
      <c r="A17" s="533" t="s">
        <v>645</v>
      </c>
      <c r="B17" s="554" t="s">
        <v>362</v>
      </c>
      <c r="C17" s="533" t="s">
        <v>74</v>
      </c>
      <c r="D17" s="533" t="s">
        <v>1122</v>
      </c>
      <c r="E17" s="533" t="s">
        <v>1672</v>
      </c>
      <c r="F17" s="570" t="s">
        <v>1116</v>
      </c>
      <c r="G17" s="570" t="s">
        <v>1111</v>
      </c>
      <c r="H17" s="571">
        <v>1.5</v>
      </c>
      <c r="I17" s="571">
        <v>1.5</v>
      </c>
      <c r="J17" s="571">
        <v>3</v>
      </c>
      <c r="K17" s="571">
        <v>2.5</v>
      </c>
      <c r="L17" s="571">
        <v>2.5</v>
      </c>
      <c r="M17" s="571">
        <v>0</v>
      </c>
      <c r="N17" s="570" t="s">
        <v>1123</v>
      </c>
      <c r="O17" s="618">
        <v>2</v>
      </c>
      <c r="P17" s="336">
        <v>2</v>
      </c>
      <c r="Q17" s="336">
        <v>1</v>
      </c>
      <c r="R17" s="337" t="s">
        <v>77</v>
      </c>
      <c r="S17" s="336">
        <v>2</v>
      </c>
      <c r="T17" s="336">
        <v>2</v>
      </c>
      <c r="U17" s="336">
        <v>0</v>
      </c>
      <c r="V17" s="316" t="s">
        <v>1887</v>
      </c>
      <c r="W17" s="185"/>
      <c r="X17" s="185"/>
      <c r="Y17" s="185"/>
    </row>
    <row r="18" spans="1:25" s="202" customFormat="1" ht="51" x14ac:dyDescent="0.2">
      <c r="A18" s="533" t="s">
        <v>645</v>
      </c>
      <c r="B18" s="554" t="s">
        <v>362</v>
      </c>
      <c r="C18" s="533" t="s">
        <v>74</v>
      </c>
      <c r="D18" s="533" t="s">
        <v>1122</v>
      </c>
      <c r="E18" s="533" t="s">
        <v>1672</v>
      </c>
      <c r="F18" s="570" t="s">
        <v>1102</v>
      </c>
      <c r="G18" s="570" t="s">
        <v>1117</v>
      </c>
      <c r="H18" s="571">
        <v>137</v>
      </c>
      <c r="I18" s="571">
        <v>2705.5</v>
      </c>
      <c r="J18" s="571">
        <v>11290.5</v>
      </c>
      <c r="K18" s="571">
        <v>8952.5</v>
      </c>
      <c r="L18" s="571">
        <v>8818.5</v>
      </c>
      <c r="M18" s="571">
        <v>134</v>
      </c>
      <c r="N18" s="570" t="s">
        <v>1124</v>
      </c>
      <c r="O18" s="618">
        <v>119</v>
      </c>
      <c r="P18" s="336">
        <v>1827</v>
      </c>
      <c r="Q18" s="336">
        <v>9991</v>
      </c>
      <c r="R18" s="578" t="s">
        <v>6</v>
      </c>
      <c r="S18" s="336">
        <v>7202</v>
      </c>
      <c r="T18" s="336">
        <v>7123</v>
      </c>
      <c r="U18" s="336">
        <v>79</v>
      </c>
      <c r="V18" s="680"/>
      <c r="W18" s="185"/>
      <c r="X18" s="185"/>
      <c r="Y18" s="185"/>
    </row>
    <row r="19" spans="1:25" s="202" customFormat="1" ht="51" x14ac:dyDescent="0.2">
      <c r="A19" s="533" t="s">
        <v>645</v>
      </c>
      <c r="B19" s="554" t="s">
        <v>362</v>
      </c>
      <c r="C19" s="533" t="s">
        <v>74</v>
      </c>
      <c r="D19" s="533" t="s">
        <v>1122</v>
      </c>
      <c r="E19" s="533" t="s">
        <v>1672</v>
      </c>
      <c r="F19" s="570" t="s">
        <v>1105</v>
      </c>
      <c r="G19" s="570" t="s">
        <v>1125</v>
      </c>
      <c r="H19" s="571">
        <v>53.5</v>
      </c>
      <c r="I19" s="571">
        <v>247</v>
      </c>
      <c r="J19" s="571">
        <v>797</v>
      </c>
      <c r="K19" s="571">
        <v>44803</v>
      </c>
      <c r="L19" s="571">
        <v>42067.5</v>
      </c>
      <c r="M19" s="571">
        <v>2735.5</v>
      </c>
      <c r="N19" s="570" t="s">
        <v>1673</v>
      </c>
      <c r="O19" s="618">
        <v>54</v>
      </c>
      <c r="P19" s="336">
        <v>380</v>
      </c>
      <c r="Q19" s="336">
        <v>1412</v>
      </c>
      <c r="R19" s="578" t="s">
        <v>6</v>
      </c>
      <c r="S19" s="336">
        <v>67287</v>
      </c>
      <c r="T19" s="336">
        <v>56963</v>
      </c>
      <c r="U19" s="336">
        <v>10324</v>
      </c>
      <c r="V19" s="680"/>
      <c r="W19" s="185"/>
      <c r="X19" s="185"/>
      <c r="Y19" s="185"/>
    </row>
    <row r="20" spans="1:25" s="202" customFormat="1" ht="51" x14ac:dyDescent="0.2">
      <c r="A20" s="533" t="s">
        <v>645</v>
      </c>
      <c r="B20" s="554" t="s">
        <v>362</v>
      </c>
      <c r="C20" s="533" t="s">
        <v>74</v>
      </c>
      <c r="D20" s="533" t="s">
        <v>1122</v>
      </c>
      <c r="E20" s="533" t="s">
        <v>1672</v>
      </c>
      <c r="F20" s="570" t="s">
        <v>288</v>
      </c>
      <c r="G20" s="570" t="s">
        <v>637</v>
      </c>
      <c r="H20" s="571">
        <v>8.5</v>
      </c>
      <c r="I20" s="571">
        <v>296.5</v>
      </c>
      <c r="J20" s="571">
        <v>322.5</v>
      </c>
      <c r="K20" s="571">
        <v>84.5</v>
      </c>
      <c r="L20" s="571">
        <v>84.5</v>
      </c>
      <c r="M20" s="571">
        <v>0</v>
      </c>
      <c r="N20" s="570" t="s">
        <v>1984</v>
      </c>
      <c r="O20" s="618">
        <v>4</v>
      </c>
      <c r="P20" s="336">
        <v>133</v>
      </c>
      <c r="Q20" s="336">
        <v>133</v>
      </c>
      <c r="R20" s="578" t="s">
        <v>6</v>
      </c>
      <c r="S20" s="336">
        <v>33</v>
      </c>
      <c r="T20" s="336">
        <v>33</v>
      </c>
      <c r="U20" s="336">
        <v>0</v>
      </c>
      <c r="V20" s="680"/>
      <c r="W20" s="185"/>
      <c r="X20" s="185"/>
      <c r="Y20" s="185"/>
    </row>
    <row r="21" spans="1:25" s="202" customFormat="1" ht="51" x14ac:dyDescent="0.2">
      <c r="A21" s="533" t="s">
        <v>645</v>
      </c>
      <c r="B21" s="554" t="s">
        <v>362</v>
      </c>
      <c r="C21" s="533" t="s">
        <v>74</v>
      </c>
      <c r="D21" s="533" t="s">
        <v>1122</v>
      </c>
      <c r="E21" s="533" t="s">
        <v>1672</v>
      </c>
      <c r="F21" s="570" t="s">
        <v>290</v>
      </c>
      <c r="G21" s="570" t="s">
        <v>1106</v>
      </c>
      <c r="H21" s="571">
        <v>12</v>
      </c>
      <c r="I21" s="571">
        <v>198.5</v>
      </c>
      <c r="J21" s="571">
        <v>171</v>
      </c>
      <c r="K21" s="571">
        <v>94.5</v>
      </c>
      <c r="L21" s="571">
        <v>94.5</v>
      </c>
      <c r="M21" s="571">
        <v>0</v>
      </c>
      <c r="N21" s="570"/>
      <c r="O21" s="618">
        <v>15</v>
      </c>
      <c r="P21" s="336">
        <v>347</v>
      </c>
      <c r="Q21" s="336">
        <v>248</v>
      </c>
      <c r="R21" s="578" t="s">
        <v>77</v>
      </c>
      <c r="S21" s="336">
        <v>256</v>
      </c>
      <c r="T21" s="336">
        <v>256</v>
      </c>
      <c r="U21" s="336">
        <v>0</v>
      </c>
      <c r="V21" s="316"/>
      <c r="W21" s="185"/>
      <c r="X21" s="185"/>
      <c r="Y21" s="185"/>
    </row>
    <row r="22" spans="1:25" s="202" customFormat="1" ht="51" x14ac:dyDescent="0.2">
      <c r="A22" s="533" t="s">
        <v>645</v>
      </c>
      <c r="B22" s="554" t="s">
        <v>362</v>
      </c>
      <c r="C22" s="533" t="s">
        <v>74</v>
      </c>
      <c r="D22" s="533" t="s">
        <v>1122</v>
      </c>
      <c r="E22" s="533" t="s">
        <v>1672</v>
      </c>
      <c r="F22" s="570" t="s">
        <v>1110</v>
      </c>
      <c r="G22" s="570" t="s">
        <v>1111</v>
      </c>
      <c r="H22" s="571">
        <v>38</v>
      </c>
      <c r="I22" s="571">
        <v>610</v>
      </c>
      <c r="J22" s="571">
        <v>1457</v>
      </c>
      <c r="K22" s="571">
        <v>1138</v>
      </c>
      <c r="L22" s="571">
        <v>1138</v>
      </c>
      <c r="M22" s="571">
        <v>0</v>
      </c>
      <c r="N22" s="570" t="s">
        <v>1112</v>
      </c>
      <c r="O22" s="618">
        <v>34</v>
      </c>
      <c r="P22" s="336">
        <v>572</v>
      </c>
      <c r="Q22" s="336">
        <v>1433</v>
      </c>
      <c r="R22" s="578" t="s">
        <v>6</v>
      </c>
      <c r="S22" s="336">
        <v>1728</v>
      </c>
      <c r="T22" s="336">
        <v>1728</v>
      </c>
      <c r="U22" s="336">
        <v>0</v>
      </c>
      <c r="V22" s="679"/>
    </row>
    <row r="23" spans="1:25" s="202" customFormat="1" ht="51" x14ac:dyDescent="0.2">
      <c r="A23" s="533" t="s">
        <v>645</v>
      </c>
      <c r="B23" s="554" t="s">
        <v>362</v>
      </c>
      <c r="C23" s="533" t="s">
        <v>74</v>
      </c>
      <c r="D23" s="533" t="s">
        <v>1122</v>
      </c>
      <c r="E23" s="533" t="s">
        <v>1672</v>
      </c>
      <c r="F23" s="570" t="s">
        <v>1113</v>
      </c>
      <c r="G23" s="570" t="s">
        <v>1114</v>
      </c>
      <c r="H23" s="571">
        <v>47.5</v>
      </c>
      <c r="I23" s="571">
        <v>2049</v>
      </c>
      <c r="J23" s="571">
        <v>2191</v>
      </c>
      <c r="K23" s="571">
        <v>992.5</v>
      </c>
      <c r="L23" s="571">
        <v>992.5</v>
      </c>
      <c r="M23" s="571">
        <v>0</v>
      </c>
      <c r="N23" s="570"/>
      <c r="O23" s="618">
        <v>53</v>
      </c>
      <c r="P23" s="336">
        <v>2055</v>
      </c>
      <c r="Q23" s="336">
        <v>2101</v>
      </c>
      <c r="R23" s="578" t="s">
        <v>6</v>
      </c>
      <c r="S23" s="336">
        <v>971</v>
      </c>
      <c r="T23" s="336">
        <v>971</v>
      </c>
      <c r="U23" s="336">
        <v>0</v>
      </c>
      <c r="V23" s="679"/>
    </row>
    <row r="24" spans="1:25" s="202" customFormat="1" ht="51" x14ac:dyDescent="0.2">
      <c r="A24" s="533" t="s">
        <v>645</v>
      </c>
      <c r="B24" s="554" t="s">
        <v>362</v>
      </c>
      <c r="C24" s="533" t="s">
        <v>74</v>
      </c>
      <c r="D24" s="533" t="s">
        <v>1127</v>
      </c>
      <c r="E24" s="533" t="s">
        <v>1672</v>
      </c>
      <c r="F24" s="570" t="s">
        <v>1116</v>
      </c>
      <c r="G24" s="570" t="s">
        <v>1111</v>
      </c>
      <c r="H24" s="571">
        <v>13.5</v>
      </c>
      <c r="I24" s="571">
        <v>457.5</v>
      </c>
      <c r="J24" s="571">
        <v>2604</v>
      </c>
      <c r="K24" s="571">
        <v>2276.5</v>
      </c>
      <c r="L24" s="571">
        <v>2276</v>
      </c>
      <c r="M24" s="571">
        <v>0.5</v>
      </c>
      <c r="N24" s="570"/>
      <c r="O24" s="618">
        <v>13</v>
      </c>
      <c r="P24" s="336">
        <v>387</v>
      </c>
      <c r="Q24" s="336">
        <v>2166</v>
      </c>
      <c r="R24" s="337" t="s">
        <v>6</v>
      </c>
      <c r="S24" s="336">
        <v>1889</v>
      </c>
      <c r="T24" s="336">
        <v>1889</v>
      </c>
      <c r="U24" s="336">
        <v>0</v>
      </c>
      <c r="V24" s="316"/>
    </row>
    <row r="25" spans="1:25" s="202" customFormat="1" ht="51" x14ac:dyDescent="0.2">
      <c r="A25" s="533" t="s">
        <v>645</v>
      </c>
      <c r="B25" s="554" t="s">
        <v>362</v>
      </c>
      <c r="C25" s="533" t="s">
        <v>74</v>
      </c>
      <c r="D25" s="533" t="s">
        <v>1127</v>
      </c>
      <c r="E25" s="533" t="s">
        <v>1672</v>
      </c>
      <c r="F25" s="570" t="s">
        <v>1102</v>
      </c>
      <c r="G25" s="570" t="s">
        <v>1117</v>
      </c>
      <c r="H25" s="571">
        <v>128</v>
      </c>
      <c r="I25" s="571">
        <v>2612</v>
      </c>
      <c r="J25" s="571">
        <v>12103</v>
      </c>
      <c r="K25" s="571">
        <v>13529.5</v>
      </c>
      <c r="L25" s="571">
        <v>13240</v>
      </c>
      <c r="M25" s="571">
        <v>289.5</v>
      </c>
      <c r="N25" s="570" t="s">
        <v>1128</v>
      </c>
      <c r="O25" s="618">
        <v>109</v>
      </c>
      <c r="P25" s="336">
        <v>1971</v>
      </c>
      <c r="Q25" s="336">
        <v>8983</v>
      </c>
      <c r="R25" s="578" t="s">
        <v>6</v>
      </c>
      <c r="S25" s="336">
        <v>10462</v>
      </c>
      <c r="T25" s="336">
        <v>10244</v>
      </c>
      <c r="U25" s="336">
        <v>218</v>
      </c>
      <c r="V25" s="679"/>
    </row>
    <row r="26" spans="1:25" s="202" customFormat="1" ht="51" x14ac:dyDescent="0.2">
      <c r="A26" s="533" t="s">
        <v>645</v>
      </c>
      <c r="B26" s="554" t="s">
        <v>362</v>
      </c>
      <c r="C26" s="533" t="s">
        <v>74</v>
      </c>
      <c r="D26" s="533" t="s">
        <v>1127</v>
      </c>
      <c r="E26" s="533" t="s">
        <v>1672</v>
      </c>
      <c r="F26" s="570" t="s">
        <v>1105</v>
      </c>
      <c r="G26" s="570" t="s">
        <v>1125</v>
      </c>
      <c r="H26" s="571">
        <v>26.5</v>
      </c>
      <c r="I26" s="571">
        <v>96.5</v>
      </c>
      <c r="J26" s="571">
        <v>320.5</v>
      </c>
      <c r="K26" s="571">
        <v>9126.5</v>
      </c>
      <c r="L26" s="571">
        <v>7711</v>
      </c>
      <c r="M26" s="571">
        <v>1415.5</v>
      </c>
      <c r="N26" s="570" t="s">
        <v>1126</v>
      </c>
      <c r="O26" s="618">
        <v>14</v>
      </c>
      <c r="P26" s="336">
        <v>19</v>
      </c>
      <c r="Q26" s="336">
        <v>95</v>
      </c>
      <c r="R26" s="578" t="s">
        <v>6</v>
      </c>
      <c r="S26" s="336">
        <v>5711</v>
      </c>
      <c r="T26" s="336">
        <v>3871</v>
      </c>
      <c r="U26" s="336">
        <v>1840</v>
      </c>
      <c r="V26" s="679"/>
    </row>
    <row r="27" spans="1:25" s="202" customFormat="1" ht="51" x14ac:dyDescent="0.2">
      <c r="A27" s="533" t="s">
        <v>645</v>
      </c>
      <c r="B27" s="554" t="s">
        <v>362</v>
      </c>
      <c r="C27" s="533" t="s">
        <v>74</v>
      </c>
      <c r="D27" s="533" t="s">
        <v>1127</v>
      </c>
      <c r="E27" s="533" t="s">
        <v>1672</v>
      </c>
      <c r="F27" s="570" t="s">
        <v>288</v>
      </c>
      <c r="G27" s="570" t="s">
        <v>637</v>
      </c>
      <c r="H27" s="571">
        <v>8.5</v>
      </c>
      <c r="I27" s="571">
        <v>122</v>
      </c>
      <c r="J27" s="571">
        <v>721.5</v>
      </c>
      <c r="K27" s="571">
        <v>989.5</v>
      </c>
      <c r="L27" s="571">
        <v>989.5</v>
      </c>
      <c r="M27" s="571">
        <v>0</v>
      </c>
      <c r="N27" s="570"/>
      <c r="O27" s="618">
        <v>8</v>
      </c>
      <c r="P27" s="336">
        <v>128</v>
      </c>
      <c r="Q27" s="336">
        <v>680</v>
      </c>
      <c r="R27" s="578" t="s">
        <v>6</v>
      </c>
      <c r="S27" s="336">
        <v>826</v>
      </c>
      <c r="T27" s="336">
        <v>826</v>
      </c>
      <c r="U27" s="336">
        <v>0</v>
      </c>
      <c r="V27" s="679"/>
    </row>
    <row r="28" spans="1:25" s="202" customFormat="1" ht="51" x14ac:dyDescent="0.2">
      <c r="A28" s="533" t="s">
        <v>645</v>
      </c>
      <c r="B28" s="554" t="s">
        <v>362</v>
      </c>
      <c r="C28" s="533" t="s">
        <v>74</v>
      </c>
      <c r="D28" s="533" t="s">
        <v>1127</v>
      </c>
      <c r="E28" s="533" t="s">
        <v>1672</v>
      </c>
      <c r="F28" s="570" t="s">
        <v>290</v>
      </c>
      <c r="G28" s="570" t="s">
        <v>1106</v>
      </c>
      <c r="H28" s="571">
        <v>1.5</v>
      </c>
      <c r="I28" s="571">
        <v>4</v>
      </c>
      <c r="J28" s="571">
        <v>4.5</v>
      </c>
      <c r="K28" s="571">
        <v>1</v>
      </c>
      <c r="L28" s="571">
        <v>1</v>
      </c>
      <c r="M28" s="571">
        <v>0</v>
      </c>
      <c r="N28" s="570"/>
      <c r="O28" s="618">
        <v>0</v>
      </c>
      <c r="P28" s="336">
        <v>0</v>
      </c>
      <c r="Q28" s="336">
        <v>0</v>
      </c>
      <c r="R28" s="337" t="s">
        <v>77</v>
      </c>
      <c r="S28" s="336">
        <v>0</v>
      </c>
      <c r="T28" s="336">
        <v>0</v>
      </c>
      <c r="U28" s="336">
        <v>0</v>
      </c>
      <c r="V28" s="679" t="s">
        <v>1888</v>
      </c>
    </row>
    <row r="29" spans="1:25" s="202" customFormat="1" ht="51" x14ac:dyDescent="0.2">
      <c r="A29" s="533" t="s">
        <v>645</v>
      </c>
      <c r="B29" s="554" t="s">
        <v>362</v>
      </c>
      <c r="C29" s="533" t="s">
        <v>74</v>
      </c>
      <c r="D29" s="533" t="s">
        <v>1127</v>
      </c>
      <c r="E29" s="533" t="s">
        <v>1672</v>
      </c>
      <c r="F29" s="570" t="s">
        <v>1110</v>
      </c>
      <c r="G29" s="570" t="s">
        <v>1111</v>
      </c>
      <c r="H29" s="571">
        <v>24.5</v>
      </c>
      <c r="I29" s="571">
        <v>587</v>
      </c>
      <c r="J29" s="571">
        <v>1481.5</v>
      </c>
      <c r="K29" s="571">
        <v>964.5</v>
      </c>
      <c r="L29" s="571">
        <v>964.5</v>
      </c>
      <c r="M29" s="571">
        <v>0</v>
      </c>
      <c r="N29" s="570" t="s">
        <v>1112</v>
      </c>
      <c r="O29" s="618">
        <v>25</v>
      </c>
      <c r="P29" s="336">
        <v>559</v>
      </c>
      <c r="Q29" s="336">
        <v>1475</v>
      </c>
      <c r="R29" s="337" t="s">
        <v>6</v>
      </c>
      <c r="S29" s="336">
        <v>964</v>
      </c>
      <c r="T29" s="336">
        <v>964</v>
      </c>
      <c r="U29" s="336">
        <v>0</v>
      </c>
      <c r="V29" s="679"/>
    </row>
    <row r="30" spans="1:25" ht="51" x14ac:dyDescent="0.2">
      <c r="A30" s="533" t="s">
        <v>645</v>
      </c>
      <c r="B30" s="554" t="s">
        <v>362</v>
      </c>
      <c r="C30" s="533" t="s">
        <v>74</v>
      </c>
      <c r="D30" s="533" t="s">
        <v>1127</v>
      </c>
      <c r="E30" s="533" t="s">
        <v>1672</v>
      </c>
      <c r="F30" s="570" t="s">
        <v>1113</v>
      </c>
      <c r="G30" s="570" t="s">
        <v>1114</v>
      </c>
      <c r="H30" s="571">
        <v>15.5</v>
      </c>
      <c r="I30" s="571">
        <v>650.5</v>
      </c>
      <c r="J30" s="571">
        <v>724</v>
      </c>
      <c r="K30" s="571">
        <v>247.5</v>
      </c>
      <c r="L30" s="571">
        <v>247.5</v>
      </c>
      <c r="M30" s="571">
        <v>0</v>
      </c>
      <c r="N30" s="570"/>
      <c r="O30" s="335">
        <v>14</v>
      </c>
      <c r="P30" s="336">
        <v>348</v>
      </c>
      <c r="Q30" s="336">
        <v>454</v>
      </c>
      <c r="R30" s="337" t="s">
        <v>6</v>
      </c>
      <c r="S30" s="336">
        <v>212</v>
      </c>
      <c r="T30" s="336">
        <v>212</v>
      </c>
      <c r="U30" s="336">
        <v>0</v>
      </c>
      <c r="V30" s="679"/>
    </row>
    <row r="31" spans="1:25" ht="51" x14ac:dyDescent="0.2">
      <c r="A31" s="533" t="s">
        <v>645</v>
      </c>
      <c r="B31" s="570" t="s">
        <v>293</v>
      </c>
      <c r="C31" s="533" t="s">
        <v>74</v>
      </c>
      <c r="D31" s="533" t="s">
        <v>1129</v>
      </c>
      <c r="E31" s="533" t="s">
        <v>1672</v>
      </c>
      <c r="F31" s="570" t="s">
        <v>1105</v>
      </c>
      <c r="G31" s="570" t="s">
        <v>1106</v>
      </c>
      <c r="H31" s="571">
        <v>30.5</v>
      </c>
      <c r="I31" s="571">
        <v>61.5</v>
      </c>
      <c r="J31" s="571">
        <v>294.5</v>
      </c>
      <c r="K31" s="571">
        <v>30953.5</v>
      </c>
      <c r="L31" s="571">
        <v>29031.5</v>
      </c>
      <c r="M31" s="571">
        <v>1922</v>
      </c>
      <c r="N31" s="570"/>
      <c r="O31" s="335">
        <v>19</v>
      </c>
      <c r="P31" s="336">
        <v>31</v>
      </c>
      <c r="Q31" s="336">
        <v>139</v>
      </c>
      <c r="R31" s="337" t="s">
        <v>6</v>
      </c>
      <c r="S31" s="336">
        <v>15641</v>
      </c>
      <c r="T31" s="336">
        <v>11509</v>
      </c>
      <c r="U31" s="336">
        <v>4132</v>
      </c>
      <c r="V31" s="679"/>
    </row>
    <row r="32" spans="1:25" ht="51" x14ac:dyDescent="0.2">
      <c r="A32" s="533" t="s">
        <v>645</v>
      </c>
      <c r="B32" s="570" t="s">
        <v>293</v>
      </c>
      <c r="C32" s="533" t="s">
        <v>74</v>
      </c>
      <c r="D32" s="533" t="s">
        <v>1129</v>
      </c>
      <c r="E32" s="533" t="s">
        <v>1672</v>
      </c>
      <c r="F32" s="570" t="s">
        <v>288</v>
      </c>
      <c r="G32" s="570" t="s">
        <v>637</v>
      </c>
      <c r="H32" s="571">
        <v>7</v>
      </c>
      <c r="I32" s="571">
        <v>49.5</v>
      </c>
      <c r="J32" s="571">
        <v>291.5</v>
      </c>
      <c r="K32" s="571">
        <v>726</v>
      </c>
      <c r="L32" s="571">
        <v>45.5</v>
      </c>
      <c r="M32" s="571">
        <v>680.5</v>
      </c>
      <c r="N32" s="570"/>
      <c r="O32" s="335">
        <v>2</v>
      </c>
      <c r="P32" s="336">
        <v>16</v>
      </c>
      <c r="Q32" s="336">
        <v>112</v>
      </c>
      <c r="R32" s="337" t="s">
        <v>6</v>
      </c>
      <c r="S32" s="336">
        <v>193</v>
      </c>
      <c r="T32" s="336">
        <v>8</v>
      </c>
      <c r="U32" s="336">
        <v>185</v>
      </c>
      <c r="V32" s="679"/>
    </row>
    <row r="33" spans="1:22" ht="51" x14ac:dyDescent="0.2">
      <c r="A33" s="533" t="s">
        <v>645</v>
      </c>
      <c r="B33" s="570" t="s">
        <v>293</v>
      </c>
      <c r="C33" s="533" t="s">
        <v>74</v>
      </c>
      <c r="D33" s="533" t="s">
        <v>1129</v>
      </c>
      <c r="E33" s="533" t="s">
        <v>1672</v>
      </c>
      <c r="F33" s="570" t="s">
        <v>1113</v>
      </c>
      <c r="G33" s="570" t="s">
        <v>1114</v>
      </c>
      <c r="H33" s="571">
        <v>5.5</v>
      </c>
      <c r="I33" s="571">
        <v>72.5</v>
      </c>
      <c r="J33" s="571">
        <v>393.5</v>
      </c>
      <c r="K33" s="571">
        <v>1142</v>
      </c>
      <c r="L33" s="571">
        <v>7.5</v>
      </c>
      <c r="M33" s="571">
        <v>1134.5</v>
      </c>
      <c r="N33" s="570"/>
      <c r="O33" s="335">
        <v>4</v>
      </c>
      <c r="P33" s="336">
        <v>131</v>
      </c>
      <c r="Q33" s="336">
        <v>840</v>
      </c>
      <c r="R33" s="337" t="s">
        <v>77</v>
      </c>
      <c r="S33" s="336">
        <v>1933</v>
      </c>
      <c r="T33" s="336">
        <v>4</v>
      </c>
      <c r="U33" s="336">
        <v>1929</v>
      </c>
      <c r="V33" s="681" t="s">
        <v>1985</v>
      </c>
    </row>
    <row r="34" spans="1:22" ht="51" x14ac:dyDescent="0.2">
      <c r="A34" s="533" t="s">
        <v>645</v>
      </c>
      <c r="B34" s="570" t="s">
        <v>293</v>
      </c>
      <c r="C34" s="533" t="s">
        <v>74</v>
      </c>
      <c r="D34" s="533" t="s">
        <v>1130</v>
      </c>
      <c r="E34" s="533" t="s">
        <v>1672</v>
      </c>
      <c r="F34" s="570" t="s">
        <v>1102</v>
      </c>
      <c r="G34" s="570" t="s">
        <v>1103</v>
      </c>
      <c r="H34" s="571">
        <v>0</v>
      </c>
      <c r="I34" s="571">
        <v>0</v>
      </c>
      <c r="J34" s="571">
        <v>0</v>
      </c>
      <c r="K34" s="571">
        <v>0</v>
      </c>
      <c r="L34" s="571">
        <v>0</v>
      </c>
      <c r="M34" s="571">
        <v>0</v>
      </c>
      <c r="N34" s="570"/>
      <c r="O34" s="335">
        <v>0</v>
      </c>
      <c r="P34" s="336">
        <v>0</v>
      </c>
      <c r="Q34" s="336">
        <v>0</v>
      </c>
      <c r="R34" s="337" t="s">
        <v>77</v>
      </c>
      <c r="S34" s="336">
        <v>0</v>
      </c>
      <c r="T34" s="336">
        <v>0</v>
      </c>
      <c r="U34" s="336">
        <v>0</v>
      </c>
      <c r="V34" s="679" t="s">
        <v>1888</v>
      </c>
    </row>
    <row r="35" spans="1:22" ht="51" x14ac:dyDescent="0.2">
      <c r="A35" s="533" t="s">
        <v>645</v>
      </c>
      <c r="B35" s="570" t="s">
        <v>293</v>
      </c>
      <c r="C35" s="533" t="s">
        <v>74</v>
      </c>
      <c r="D35" s="533" t="s">
        <v>1130</v>
      </c>
      <c r="E35" s="533" t="s">
        <v>1672</v>
      </c>
      <c r="F35" s="570" t="s">
        <v>1105</v>
      </c>
      <c r="G35" s="570" t="s">
        <v>1106</v>
      </c>
      <c r="H35" s="571">
        <v>7.5</v>
      </c>
      <c r="I35" s="571">
        <v>10.5</v>
      </c>
      <c r="J35" s="571">
        <v>51</v>
      </c>
      <c r="K35" s="571">
        <v>3034</v>
      </c>
      <c r="L35" s="571">
        <v>61</v>
      </c>
      <c r="M35" s="571">
        <v>2973</v>
      </c>
      <c r="N35" s="570"/>
      <c r="O35" s="335">
        <v>7</v>
      </c>
      <c r="P35" s="336">
        <v>12</v>
      </c>
      <c r="Q35" s="336">
        <v>70</v>
      </c>
      <c r="R35" s="337" t="s">
        <v>6</v>
      </c>
      <c r="S35" s="336">
        <v>2718</v>
      </c>
      <c r="T35" s="336">
        <v>0</v>
      </c>
      <c r="U35" s="336">
        <v>2718</v>
      </c>
      <c r="V35" s="681" t="s">
        <v>1986</v>
      </c>
    </row>
    <row r="36" spans="1:22" ht="51" x14ac:dyDescent="0.2">
      <c r="A36" s="533" t="s">
        <v>645</v>
      </c>
      <c r="B36" s="570" t="s">
        <v>293</v>
      </c>
      <c r="C36" s="533" t="s">
        <v>74</v>
      </c>
      <c r="D36" s="533" t="s">
        <v>1130</v>
      </c>
      <c r="E36" s="533" t="s">
        <v>1672</v>
      </c>
      <c r="F36" s="570" t="s">
        <v>1113</v>
      </c>
      <c r="G36" s="570" t="s">
        <v>1114</v>
      </c>
      <c r="H36" s="571">
        <v>0</v>
      </c>
      <c r="I36" s="571">
        <v>0</v>
      </c>
      <c r="J36" s="571">
        <v>0</v>
      </c>
      <c r="K36" s="571">
        <v>0</v>
      </c>
      <c r="L36" s="571">
        <v>0</v>
      </c>
      <c r="M36" s="571">
        <v>0</v>
      </c>
      <c r="N36" s="570"/>
      <c r="O36" s="335">
        <v>0</v>
      </c>
      <c r="P36" s="336">
        <v>0</v>
      </c>
      <c r="Q36" s="336">
        <v>0</v>
      </c>
      <c r="R36" s="337" t="s">
        <v>77</v>
      </c>
      <c r="S36" s="336">
        <v>0</v>
      </c>
      <c r="T36" s="336">
        <v>0</v>
      </c>
      <c r="U36" s="336">
        <v>0</v>
      </c>
      <c r="V36" s="679" t="s">
        <v>1888</v>
      </c>
    </row>
    <row r="37" spans="1:22" s="202" customFormat="1" ht="36" customHeight="1" x14ac:dyDescent="0.2">
      <c r="A37" s="696" t="s">
        <v>645</v>
      </c>
      <c r="B37" s="696" t="s">
        <v>1674</v>
      </c>
      <c r="C37" s="696" t="s">
        <v>74</v>
      </c>
      <c r="D37" s="696" t="s">
        <v>402</v>
      </c>
      <c r="E37" s="696" t="s">
        <v>1672</v>
      </c>
      <c r="F37" s="696" t="s">
        <v>1102</v>
      </c>
      <c r="G37" s="468" t="s">
        <v>1117</v>
      </c>
      <c r="H37" s="696">
        <v>7</v>
      </c>
      <c r="I37" s="696">
        <v>11</v>
      </c>
      <c r="J37" s="696">
        <v>117</v>
      </c>
      <c r="K37" s="696">
        <v>7232</v>
      </c>
      <c r="L37" s="696">
        <v>2023</v>
      </c>
      <c r="M37" s="696">
        <v>5209</v>
      </c>
      <c r="N37" s="696"/>
      <c r="O37" s="335">
        <v>2</v>
      </c>
      <c r="P37" s="336">
        <v>4</v>
      </c>
      <c r="Q37" s="336">
        <v>8</v>
      </c>
      <c r="R37" s="337" t="s">
        <v>6</v>
      </c>
      <c r="S37" s="336">
        <v>91</v>
      </c>
      <c r="T37" s="336">
        <v>91</v>
      </c>
      <c r="U37" s="336">
        <v>0</v>
      </c>
      <c r="V37" s="679"/>
    </row>
    <row r="38" spans="1:22" ht="25.5" x14ac:dyDescent="0.2">
      <c r="A38" s="571" t="s">
        <v>645</v>
      </c>
      <c r="B38" s="571" t="s">
        <v>1674</v>
      </c>
      <c r="C38" s="571" t="s">
        <v>74</v>
      </c>
      <c r="D38" s="571" t="s">
        <v>402</v>
      </c>
      <c r="E38" s="571" t="s">
        <v>1672</v>
      </c>
      <c r="F38" s="571" t="s">
        <v>1105</v>
      </c>
      <c r="G38" s="573" t="s">
        <v>1125</v>
      </c>
      <c r="H38" s="571">
        <v>18</v>
      </c>
      <c r="I38" s="571">
        <v>45</v>
      </c>
      <c r="J38" s="571">
        <v>437</v>
      </c>
      <c r="K38" s="571">
        <v>1192</v>
      </c>
      <c r="L38" s="571">
        <v>169</v>
      </c>
      <c r="M38" s="571">
        <v>1023</v>
      </c>
      <c r="N38" s="571"/>
      <c r="O38" s="335">
        <v>36</v>
      </c>
      <c r="P38" s="336">
        <v>91</v>
      </c>
      <c r="Q38" s="336">
        <v>357</v>
      </c>
      <c r="R38" s="337" t="s">
        <v>6</v>
      </c>
      <c r="S38" s="336">
        <v>692</v>
      </c>
      <c r="T38" s="336">
        <v>560</v>
      </c>
      <c r="U38" s="336">
        <v>132</v>
      </c>
      <c r="V38" s="336"/>
    </row>
    <row r="39" spans="1:22" x14ac:dyDescent="0.2">
      <c r="A39" s="574"/>
      <c r="B39" s="574"/>
      <c r="C39" s="575"/>
      <c r="D39" s="574"/>
      <c r="E39" s="574"/>
      <c r="F39" s="574"/>
      <c r="G39" s="574"/>
      <c r="H39" s="574"/>
      <c r="I39" s="574"/>
      <c r="J39" s="574"/>
      <c r="K39" s="574"/>
      <c r="L39" s="574"/>
      <c r="M39" s="574"/>
      <c r="N39" s="574"/>
      <c r="O39" s="290"/>
      <c r="P39" s="185"/>
      <c r="Q39" s="185"/>
    </row>
    <row r="40" spans="1:22" x14ac:dyDescent="0.2">
      <c r="A40" s="574" t="s">
        <v>1131</v>
      </c>
      <c r="B40" s="574"/>
      <c r="C40" s="575"/>
      <c r="D40" s="574"/>
      <c r="E40" s="574"/>
      <c r="F40" s="574"/>
      <c r="G40" s="574"/>
      <c r="H40" s="574"/>
      <c r="I40" s="574"/>
      <c r="J40" s="574"/>
      <c r="K40" s="574"/>
      <c r="L40" s="574"/>
      <c r="M40" s="574"/>
      <c r="N40" s="574"/>
      <c r="O40" s="290"/>
      <c r="P40" s="185"/>
      <c r="Q40" s="185"/>
    </row>
    <row r="41" spans="1:22" x14ac:dyDescent="0.2">
      <c r="M41" s="185"/>
      <c r="N41" s="185"/>
      <c r="O41" s="290"/>
      <c r="P41" s="185"/>
      <c r="Q41" s="185"/>
    </row>
    <row r="42" spans="1:22" x14ac:dyDescent="0.2">
      <c r="M42" s="185"/>
      <c r="N42" s="185"/>
      <c r="O42" s="290"/>
      <c r="P42" s="185"/>
      <c r="Q42" s="185"/>
    </row>
    <row r="43" spans="1:22" x14ac:dyDescent="0.2">
      <c r="M43" s="185"/>
      <c r="N43" s="185"/>
      <c r="O43" s="290"/>
      <c r="P43" s="185"/>
      <c r="Q43" s="185"/>
    </row>
    <row r="44" spans="1:22" x14ac:dyDescent="0.2">
      <c r="M44" s="185"/>
      <c r="N44" s="185"/>
      <c r="O44" s="290"/>
      <c r="P44" s="185"/>
      <c r="Q44" s="185"/>
    </row>
    <row r="45" spans="1:22" x14ac:dyDescent="0.2">
      <c r="M45" s="185"/>
      <c r="N45" s="185"/>
      <c r="O45" s="290"/>
      <c r="P45" s="185"/>
      <c r="Q45" s="185"/>
    </row>
    <row r="46" spans="1:22" x14ac:dyDescent="0.2">
      <c r="M46" s="185"/>
      <c r="N46" s="185"/>
      <c r="O46" s="290"/>
      <c r="P46" s="185"/>
      <c r="Q46" s="185"/>
    </row>
    <row r="47" spans="1:22" x14ac:dyDescent="0.2">
      <c r="M47" s="185"/>
      <c r="N47" s="185"/>
      <c r="O47" s="290"/>
      <c r="P47" s="185"/>
      <c r="Q47" s="185"/>
    </row>
    <row r="48" spans="1:22" x14ac:dyDescent="0.2">
      <c r="M48" s="185"/>
      <c r="N48" s="185"/>
      <c r="O48" s="290"/>
      <c r="P48" s="185"/>
      <c r="Q48" s="185"/>
    </row>
    <row r="49" spans="13:17" x14ac:dyDescent="0.2">
      <c r="M49" s="185"/>
      <c r="N49" s="185"/>
      <c r="O49" s="290"/>
      <c r="P49" s="185"/>
      <c r="Q49" s="185"/>
    </row>
    <row r="50" spans="13:17" x14ac:dyDescent="0.2">
      <c r="M50" s="185"/>
      <c r="N50" s="185"/>
      <c r="O50" s="290"/>
      <c r="P50" s="185"/>
      <c r="Q50" s="185"/>
    </row>
    <row r="51" spans="13:17" x14ac:dyDescent="0.2">
      <c r="M51" s="185"/>
      <c r="N51" s="185"/>
      <c r="O51" s="290"/>
      <c r="P51" s="185"/>
      <c r="Q51" s="185"/>
    </row>
    <row r="52" spans="13:17" x14ac:dyDescent="0.2">
      <c r="M52" s="185"/>
      <c r="N52" s="185"/>
      <c r="O52" s="290"/>
      <c r="P52" s="185"/>
      <c r="Q52" s="185"/>
    </row>
    <row r="53" spans="13:17" x14ac:dyDescent="0.2">
      <c r="M53" s="185"/>
      <c r="N53" s="185"/>
      <c r="O53" s="290"/>
      <c r="P53" s="185"/>
      <c r="Q53" s="185"/>
    </row>
    <row r="54" spans="13:17" x14ac:dyDescent="0.2">
      <c r="M54" s="185"/>
      <c r="N54" s="185"/>
      <c r="O54" s="290"/>
      <c r="P54" s="185"/>
      <c r="Q54" s="185"/>
    </row>
    <row r="55" spans="13:17" x14ac:dyDescent="0.2">
      <c r="M55" s="185"/>
      <c r="N55" s="185"/>
      <c r="O55" s="290"/>
      <c r="P55" s="185"/>
      <c r="Q55" s="185"/>
    </row>
    <row r="56" spans="13:17" x14ac:dyDescent="0.2">
      <c r="M56" s="185"/>
      <c r="N56" s="185"/>
      <c r="O56" s="290"/>
      <c r="P56" s="185"/>
      <c r="Q56" s="185"/>
    </row>
    <row r="57" spans="13:17" x14ac:dyDescent="0.2">
      <c r="M57" s="185"/>
      <c r="N57" s="185"/>
      <c r="O57" s="290"/>
      <c r="P57" s="185"/>
      <c r="Q57" s="185"/>
    </row>
    <row r="58" spans="13:17" x14ac:dyDescent="0.2">
      <c r="M58" s="185"/>
      <c r="N58" s="185"/>
      <c r="O58" s="290"/>
      <c r="P58" s="185"/>
      <c r="Q58" s="185"/>
    </row>
    <row r="59" spans="13:17" x14ac:dyDescent="0.2">
      <c r="M59" s="185"/>
      <c r="N59" s="185"/>
      <c r="O59" s="290"/>
      <c r="P59" s="185"/>
      <c r="Q59" s="185"/>
    </row>
    <row r="60" spans="13:17" x14ac:dyDescent="0.2">
      <c r="M60" s="185"/>
      <c r="N60" s="185"/>
      <c r="O60" s="290"/>
      <c r="P60" s="185"/>
      <c r="Q60" s="185"/>
    </row>
    <row r="61" spans="13:17" x14ac:dyDescent="0.2">
      <c r="M61" s="185"/>
      <c r="N61" s="185"/>
      <c r="O61" s="290"/>
      <c r="P61" s="185"/>
      <c r="Q61" s="185"/>
    </row>
    <row r="62" spans="13:17" x14ac:dyDescent="0.2">
      <c r="M62" s="185"/>
      <c r="N62" s="185"/>
      <c r="O62" s="290"/>
      <c r="P62" s="185"/>
      <c r="Q62" s="185"/>
    </row>
    <row r="63" spans="13:17" x14ac:dyDescent="0.2">
      <c r="M63" s="185"/>
      <c r="N63" s="185"/>
      <c r="O63" s="290"/>
      <c r="P63" s="185"/>
      <c r="Q63" s="185"/>
    </row>
    <row r="64" spans="13:17" x14ac:dyDescent="0.2">
      <c r="M64" s="185"/>
      <c r="N64" s="185"/>
      <c r="O64" s="290"/>
      <c r="P64" s="185"/>
      <c r="Q64" s="185"/>
    </row>
    <row r="65" spans="13:17" x14ac:dyDescent="0.2">
      <c r="M65" s="185"/>
      <c r="N65" s="185"/>
      <c r="O65" s="290"/>
      <c r="P65" s="185"/>
      <c r="Q65" s="185"/>
    </row>
    <row r="66" spans="13:17" x14ac:dyDescent="0.2">
      <c r="M66" s="185"/>
      <c r="N66" s="185"/>
      <c r="O66" s="290"/>
      <c r="P66" s="185"/>
      <c r="Q66" s="185"/>
    </row>
    <row r="67" spans="13:17" x14ac:dyDescent="0.2">
      <c r="M67" s="185"/>
      <c r="N67" s="185"/>
      <c r="O67" s="290"/>
      <c r="P67" s="185"/>
      <c r="Q67" s="185"/>
    </row>
    <row r="68" spans="13:17" x14ac:dyDescent="0.2">
      <c r="M68" s="185"/>
      <c r="N68" s="185"/>
      <c r="O68" s="290"/>
      <c r="P68" s="185"/>
      <c r="Q68" s="185"/>
    </row>
    <row r="69" spans="13:17" x14ac:dyDescent="0.2">
      <c r="M69" s="185"/>
      <c r="N69" s="185"/>
      <c r="O69" s="290"/>
      <c r="P69" s="185"/>
      <c r="Q69" s="185"/>
    </row>
    <row r="70" spans="13:17" x14ac:dyDescent="0.2">
      <c r="M70" s="185"/>
      <c r="N70" s="185"/>
      <c r="O70" s="290"/>
      <c r="P70" s="185"/>
      <c r="Q70" s="185"/>
    </row>
    <row r="71" spans="13:17" x14ac:dyDescent="0.2">
      <c r="M71" s="185"/>
      <c r="N71" s="185"/>
      <c r="O71" s="290"/>
      <c r="P71" s="185"/>
      <c r="Q71" s="185"/>
    </row>
    <row r="72" spans="13:17" x14ac:dyDescent="0.2">
      <c r="M72" s="185"/>
      <c r="N72" s="185"/>
      <c r="O72" s="290"/>
      <c r="P72" s="185"/>
      <c r="Q72" s="185"/>
    </row>
    <row r="73" spans="13:17" x14ac:dyDescent="0.2">
      <c r="M73" s="185"/>
      <c r="N73" s="185"/>
      <c r="O73" s="290"/>
      <c r="P73" s="185"/>
      <c r="Q73" s="185"/>
    </row>
    <row r="74" spans="13:17" x14ac:dyDescent="0.2">
      <c r="M74" s="185"/>
      <c r="N74" s="185"/>
      <c r="O74" s="290"/>
      <c r="P74" s="185"/>
      <c r="Q74" s="185"/>
    </row>
    <row r="75" spans="13:17" x14ac:dyDescent="0.2">
      <c r="M75" s="185"/>
      <c r="N75" s="185"/>
      <c r="O75" s="290"/>
      <c r="P75" s="185"/>
      <c r="Q75" s="185"/>
    </row>
    <row r="76" spans="13:17" x14ac:dyDescent="0.2">
      <c r="M76" s="185"/>
      <c r="N76" s="185"/>
      <c r="O76" s="290"/>
      <c r="P76" s="185"/>
      <c r="Q76" s="185"/>
    </row>
    <row r="77" spans="13:17" x14ac:dyDescent="0.2">
      <c r="M77" s="185"/>
      <c r="N77" s="185"/>
      <c r="O77" s="290"/>
      <c r="P77" s="185"/>
      <c r="Q77" s="185"/>
    </row>
    <row r="78" spans="13:17" x14ac:dyDescent="0.2">
      <c r="M78" s="185"/>
      <c r="N78" s="185"/>
      <c r="O78" s="290"/>
      <c r="P78" s="185"/>
      <c r="Q78" s="185"/>
    </row>
    <row r="79" spans="13:17" x14ac:dyDescent="0.2">
      <c r="M79" s="185"/>
      <c r="N79" s="185"/>
      <c r="O79" s="290"/>
      <c r="P79" s="185"/>
      <c r="Q79" s="185"/>
    </row>
    <row r="80" spans="13:17" x14ac:dyDescent="0.2">
      <c r="M80" s="185"/>
      <c r="N80" s="185"/>
      <c r="O80" s="290"/>
      <c r="P80" s="185"/>
      <c r="Q80" s="185"/>
    </row>
    <row r="81" spans="13:17" x14ac:dyDescent="0.2">
      <c r="M81" s="185"/>
      <c r="N81" s="185"/>
      <c r="O81" s="290"/>
      <c r="P81" s="185"/>
      <c r="Q81" s="185"/>
    </row>
    <row r="82" spans="13:17" x14ac:dyDescent="0.2">
      <c r="M82" s="185"/>
      <c r="N82" s="185"/>
      <c r="O82" s="290"/>
      <c r="P82" s="185"/>
      <c r="Q82" s="185"/>
    </row>
    <row r="83" spans="13:17" x14ac:dyDescent="0.2">
      <c r="M83" s="185"/>
      <c r="N83" s="185"/>
      <c r="O83" s="290"/>
      <c r="P83" s="185"/>
      <c r="Q83" s="185"/>
    </row>
    <row r="84" spans="13:17" x14ac:dyDescent="0.2">
      <c r="M84" s="185"/>
      <c r="N84" s="185"/>
      <c r="O84" s="290"/>
      <c r="P84" s="185"/>
      <c r="Q84" s="185"/>
    </row>
    <row r="85" spans="13:17" x14ac:dyDescent="0.2">
      <c r="M85" s="185"/>
      <c r="N85" s="185"/>
      <c r="O85" s="290"/>
      <c r="P85" s="185"/>
      <c r="Q85" s="185"/>
    </row>
    <row r="86" spans="13:17" x14ac:dyDescent="0.2">
      <c r="M86" s="185"/>
      <c r="N86" s="185"/>
      <c r="O86" s="290"/>
      <c r="P86" s="185"/>
      <c r="Q86" s="185"/>
    </row>
    <row r="87" spans="13:17" x14ac:dyDescent="0.2">
      <c r="M87" s="185"/>
      <c r="N87" s="185"/>
      <c r="O87" s="290"/>
      <c r="P87" s="185"/>
      <c r="Q87" s="185"/>
    </row>
    <row r="88" spans="13:17" x14ac:dyDescent="0.2">
      <c r="M88" s="185"/>
      <c r="N88" s="185"/>
      <c r="O88" s="290"/>
      <c r="P88" s="185"/>
      <c r="Q88" s="185"/>
    </row>
    <row r="89" spans="13:17" x14ac:dyDescent="0.2">
      <c r="M89" s="185"/>
      <c r="N89" s="185"/>
      <c r="O89" s="290"/>
      <c r="P89" s="185"/>
      <c r="Q89" s="185"/>
    </row>
    <row r="90" spans="13:17" x14ac:dyDescent="0.2">
      <c r="M90" s="185"/>
      <c r="N90" s="185"/>
      <c r="O90" s="290"/>
      <c r="P90" s="185"/>
      <c r="Q90" s="185"/>
    </row>
    <row r="91" spans="13:17" x14ac:dyDescent="0.2">
      <c r="M91" s="185"/>
      <c r="N91" s="185"/>
      <c r="O91" s="290"/>
      <c r="P91" s="185"/>
      <c r="Q91" s="185"/>
    </row>
    <row r="92" spans="13:17" x14ac:dyDescent="0.2">
      <c r="M92" s="185"/>
      <c r="N92" s="185"/>
      <c r="O92" s="290"/>
      <c r="P92" s="185"/>
      <c r="Q92" s="185"/>
    </row>
    <row r="93" spans="13:17" x14ac:dyDescent="0.2">
      <c r="M93" s="185"/>
      <c r="N93" s="185"/>
      <c r="O93" s="290"/>
      <c r="P93" s="185"/>
      <c r="Q93" s="185"/>
    </row>
    <row r="94" spans="13:17" x14ac:dyDescent="0.2">
      <c r="M94" s="185"/>
      <c r="N94" s="185"/>
      <c r="O94" s="290"/>
      <c r="P94" s="185"/>
      <c r="Q94" s="185"/>
    </row>
    <row r="95" spans="13:17" x14ac:dyDescent="0.2">
      <c r="M95" s="185"/>
      <c r="N95" s="185"/>
      <c r="O95" s="290"/>
      <c r="P95" s="185"/>
      <c r="Q95" s="185"/>
    </row>
    <row r="96" spans="13:17" x14ac:dyDescent="0.2">
      <c r="M96" s="185"/>
      <c r="N96" s="185"/>
      <c r="O96" s="290"/>
      <c r="P96" s="185"/>
      <c r="Q96" s="185"/>
    </row>
    <row r="97" spans="13:17" x14ac:dyDescent="0.2">
      <c r="M97" s="185"/>
      <c r="N97" s="185"/>
      <c r="O97" s="290"/>
      <c r="P97" s="185"/>
      <c r="Q97" s="185"/>
    </row>
    <row r="98" spans="13:17" x14ac:dyDescent="0.2">
      <c r="M98" s="185"/>
      <c r="N98" s="185"/>
      <c r="O98" s="290"/>
      <c r="P98" s="185"/>
      <c r="Q98" s="185"/>
    </row>
    <row r="99" spans="13:17" x14ac:dyDescent="0.2">
      <c r="M99" s="185"/>
      <c r="N99" s="185"/>
      <c r="O99" s="290"/>
      <c r="P99" s="185"/>
      <c r="Q99" s="185"/>
    </row>
    <row r="100" spans="13:17" x14ac:dyDescent="0.2">
      <c r="M100" s="185"/>
      <c r="N100" s="185"/>
      <c r="O100" s="290"/>
      <c r="P100" s="185"/>
      <c r="Q100" s="185"/>
    </row>
    <row r="101" spans="13:17" x14ac:dyDescent="0.2">
      <c r="M101" s="185"/>
      <c r="N101" s="185"/>
      <c r="O101" s="290"/>
      <c r="P101" s="185"/>
      <c r="Q101" s="185"/>
    </row>
    <row r="102" spans="13:17" x14ac:dyDescent="0.2">
      <c r="M102" s="185"/>
      <c r="N102" s="185"/>
      <c r="O102" s="290"/>
      <c r="P102" s="185"/>
      <c r="Q102" s="185"/>
    </row>
    <row r="103" spans="13:17" x14ac:dyDescent="0.2">
      <c r="M103" s="185"/>
      <c r="N103" s="185"/>
      <c r="O103" s="290"/>
      <c r="P103" s="185"/>
      <c r="Q103" s="185"/>
    </row>
    <row r="104" spans="13:17" x14ac:dyDescent="0.2">
      <c r="M104" s="185"/>
      <c r="N104" s="185"/>
      <c r="O104" s="290"/>
      <c r="P104" s="185"/>
      <c r="Q104" s="185"/>
    </row>
    <row r="105" spans="13:17" x14ac:dyDescent="0.2">
      <c r="M105" s="185"/>
      <c r="N105" s="185"/>
      <c r="O105" s="290"/>
      <c r="P105" s="185"/>
      <c r="Q105" s="185"/>
    </row>
    <row r="106" spans="13:17" x14ac:dyDescent="0.2">
      <c r="M106" s="185"/>
      <c r="N106" s="185"/>
      <c r="O106" s="290"/>
      <c r="P106" s="185"/>
      <c r="Q106" s="185"/>
    </row>
    <row r="107" spans="13:17" x14ac:dyDescent="0.2">
      <c r="M107" s="185"/>
      <c r="N107" s="185"/>
      <c r="O107" s="290"/>
      <c r="P107" s="185"/>
      <c r="Q107" s="185"/>
    </row>
    <row r="108" spans="13:17" x14ac:dyDescent="0.2">
      <c r="M108" s="185"/>
      <c r="N108" s="185"/>
      <c r="O108" s="290"/>
      <c r="P108" s="185"/>
      <c r="Q108" s="185"/>
    </row>
    <row r="109" spans="13:17" x14ac:dyDescent="0.2">
      <c r="M109" s="185"/>
      <c r="N109" s="185"/>
      <c r="O109" s="290"/>
      <c r="P109" s="185"/>
      <c r="Q109" s="185"/>
    </row>
    <row r="110" spans="13:17" x14ac:dyDescent="0.2">
      <c r="M110" s="185"/>
      <c r="N110" s="185"/>
      <c r="O110" s="290"/>
      <c r="P110" s="185"/>
      <c r="Q110" s="185"/>
    </row>
    <row r="111" spans="13:17" x14ac:dyDescent="0.2">
      <c r="M111" s="185"/>
      <c r="N111" s="185"/>
      <c r="O111" s="290"/>
      <c r="P111" s="185"/>
      <c r="Q111" s="185"/>
    </row>
    <row r="112" spans="13:17" x14ac:dyDescent="0.2">
      <c r="M112" s="185"/>
      <c r="N112" s="185"/>
      <c r="O112" s="290"/>
      <c r="P112" s="185"/>
      <c r="Q112" s="185"/>
    </row>
    <row r="113" spans="13:17" x14ac:dyDescent="0.2">
      <c r="M113" s="185"/>
      <c r="N113" s="185"/>
      <c r="O113" s="290"/>
      <c r="P113" s="185"/>
      <c r="Q113" s="185"/>
    </row>
    <row r="114" spans="13:17" x14ac:dyDescent="0.2">
      <c r="M114" s="185"/>
      <c r="N114" s="185"/>
      <c r="O114" s="290"/>
      <c r="P114" s="185"/>
      <c r="Q114" s="185"/>
    </row>
    <row r="115" spans="13:17" x14ac:dyDescent="0.2">
      <c r="M115" s="185"/>
      <c r="N115" s="185"/>
      <c r="O115" s="290"/>
      <c r="P115" s="185"/>
      <c r="Q115" s="185"/>
    </row>
    <row r="116" spans="13:17" x14ac:dyDescent="0.2">
      <c r="M116" s="185"/>
      <c r="N116" s="185"/>
      <c r="O116" s="290"/>
      <c r="P116" s="185"/>
      <c r="Q116" s="185"/>
    </row>
    <row r="117" spans="13:17" x14ac:dyDescent="0.2">
      <c r="M117" s="185"/>
      <c r="N117" s="185"/>
      <c r="O117" s="290"/>
      <c r="P117" s="185"/>
      <c r="Q117" s="185"/>
    </row>
    <row r="118" spans="13:17" x14ac:dyDescent="0.2">
      <c r="M118" s="185"/>
      <c r="N118" s="185"/>
      <c r="O118" s="290"/>
      <c r="P118" s="185"/>
      <c r="Q118" s="185"/>
    </row>
    <row r="119" spans="13:17" x14ac:dyDescent="0.2">
      <c r="M119" s="185"/>
      <c r="N119" s="185"/>
      <c r="O119" s="290"/>
      <c r="P119" s="185"/>
      <c r="Q119" s="185"/>
    </row>
    <row r="120" spans="13:17" x14ac:dyDescent="0.2">
      <c r="M120" s="185"/>
      <c r="N120" s="185"/>
      <c r="O120" s="290"/>
      <c r="P120" s="185"/>
      <c r="Q120" s="185"/>
    </row>
    <row r="121" spans="13:17" x14ac:dyDescent="0.2">
      <c r="M121" s="185"/>
      <c r="N121" s="185"/>
      <c r="O121" s="290"/>
      <c r="P121" s="185"/>
      <c r="Q121" s="185"/>
    </row>
    <row r="122" spans="13:17" x14ac:dyDescent="0.2">
      <c r="M122" s="185"/>
      <c r="N122" s="185"/>
      <c r="O122" s="290"/>
      <c r="P122" s="185"/>
      <c r="Q122" s="185"/>
    </row>
    <row r="123" spans="13:17" x14ac:dyDescent="0.2">
      <c r="M123" s="185"/>
      <c r="N123" s="185"/>
      <c r="O123" s="290"/>
      <c r="P123" s="185"/>
      <c r="Q123" s="185"/>
    </row>
    <row r="124" spans="13:17" x14ac:dyDescent="0.2">
      <c r="M124" s="185"/>
      <c r="N124" s="185"/>
      <c r="O124" s="290"/>
      <c r="P124" s="185"/>
      <c r="Q124" s="185"/>
    </row>
    <row r="125" spans="13:17" x14ac:dyDescent="0.2">
      <c r="M125" s="185"/>
      <c r="N125" s="185"/>
      <c r="O125" s="290"/>
      <c r="P125" s="185"/>
      <c r="Q125" s="185"/>
    </row>
    <row r="126" spans="13:17" x14ac:dyDescent="0.2">
      <c r="M126" s="185"/>
      <c r="N126" s="185"/>
      <c r="O126" s="290"/>
      <c r="P126" s="185"/>
      <c r="Q126" s="185"/>
    </row>
    <row r="127" spans="13:17" x14ac:dyDescent="0.2">
      <c r="M127" s="185"/>
      <c r="N127" s="185"/>
      <c r="O127" s="290"/>
      <c r="P127" s="185"/>
      <c r="Q127" s="185"/>
    </row>
    <row r="128" spans="13:17" x14ac:dyDescent="0.2">
      <c r="M128" s="185"/>
      <c r="N128" s="185"/>
      <c r="O128" s="290"/>
      <c r="P128" s="185"/>
      <c r="Q128" s="185"/>
    </row>
    <row r="129" spans="13:17" x14ac:dyDescent="0.2">
      <c r="M129" s="185"/>
      <c r="N129" s="185"/>
      <c r="O129" s="290"/>
      <c r="P129" s="185"/>
      <c r="Q129" s="185"/>
    </row>
    <row r="130" spans="13:17" x14ac:dyDescent="0.2">
      <c r="M130" s="185"/>
      <c r="N130" s="185"/>
      <c r="O130" s="290"/>
      <c r="P130" s="185"/>
      <c r="Q130" s="185"/>
    </row>
    <row r="131" spans="13:17" x14ac:dyDescent="0.2">
      <c r="M131" s="185"/>
      <c r="N131" s="185"/>
      <c r="O131" s="290"/>
      <c r="P131" s="185"/>
      <c r="Q131" s="185"/>
    </row>
    <row r="132" spans="13:17" x14ac:dyDescent="0.2">
      <c r="M132" s="185"/>
      <c r="N132" s="185"/>
      <c r="O132" s="290"/>
      <c r="P132" s="185"/>
      <c r="Q132" s="185"/>
    </row>
    <row r="133" spans="13:17" x14ac:dyDescent="0.2">
      <c r="M133" s="185"/>
      <c r="N133" s="185"/>
      <c r="O133" s="290"/>
      <c r="P133" s="185"/>
      <c r="Q133" s="185"/>
    </row>
    <row r="134" spans="13:17" x14ac:dyDescent="0.2">
      <c r="M134" s="185"/>
      <c r="N134" s="185"/>
      <c r="O134" s="290"/>
      <c r="P134" s="185"/>
      <c r="Q134" s="185"/>
    </row>
    <row r="135" spans="13:17" x14ac:dyDescent="0.2">
      <c r="M135" s="185"/>
      <c r="N135" s="185"/>
      <c r="O135" s="290"/>
      <c r="P135" s="185"/>
      <c r="Q135" s="185"/>
    </row>
    <row r="136" spans="13:17" x14ac:dyDescent="0.2">
      <c r="M136" s="185"/>
      <c r="N136" s="185"/>
      <c r="O136" s="290"/>
      <c r="P136" s="185"/>
      <c r="Q136" s="185"/>
    </row>
    <row r="137" spans="13:17" x14ac:dyDescent="0.2">
      <c r="M137" s="185"/>
      <c r="N137" s="185"/>
      <c r="O137" s="290"/>
      <c r="P137" s="185"/>
      <c r="Q137" s="185"/>
    </row>
    <row r="138" spans="13:17" x14ac:dyDescent="0.2">
      <c r="M138" s="185"/>
      <c r="N138" s="185"/>
      <c r="O138" s="290"/>
      <c r="P138" s="185"/>
      <c r="Q138" s="185"/>
    </row>
    <row r="139" spans="13:17" x14ac:dyDescent="0.2">
      <c r="M139" s="185"/>
      <c r="N139" s="185"/>
      <c r="O139" s="290"/>
      <c r="P139" s="185"/>
      <c r="Q139" s="185"/>
    </row>
    <row r="140" spans="13:17" x14ac:dyDescent="0.2">
      <c r="M140" s="185"/>
      <c r="N140" s="185"/>
      <c r="O140" s="290"/>
      <c r="P140" s="185"/>
      <c r="Q140" s="185"/>
    </row>
    <row r="141" spans="13:17" x14ac:dyDescent="0.2">
      <c r="M141" s="185"/>
      <c r="N141" s="185"/>
      <c r="O141" s="290"/>
      <c r="P141" s="185"/>
      <c r="Q141" s="185"/>
    </row>
    <row r="142" spans="13:17" x14ac:dyDescent="0.2">
      <c r="M142" s="185"/>
      <c r="N142" s="185"/>
      <c r="O142" s="290"/>
      <c r="P142" s="185"/>
      <c r="Q142" s="185"/>
    </row>
    <row r="143" spans="13:17" x14ac:dyDescent="0.2">
      <c r="M143" s="185"/>
      <c r="N143" s="185"/>
      <c r="O143" s="290"/>
      <c r="P143" s="185"/>
      <c r="Q143" s="185"/>
    </row>
    <row r="144" spans="13:17" x14ac:dyDescent="0.2">
      <c r="M144" s="185"/>
      <c r="N144" s="185"/>
      <c r="O144" s="290"/>
      <c r="P144" s="185"/>
      <c r="Q144" s="185"/>
    </row>
    <row r="145" spans="13:17" x14ac:dyDescent="0.2">
      <c r="M145" s="185"/>
      <c r="N145" s="185"/>
      <c r="O145" s="290"/>
      <c r="P145" s="185"/>
      <c r="Q145" s="185"/>
    </row>
    <row r="146" spans="13:17" x14ac:dyDescent="0.2">
      <c r="M146" s="185"/>
      <c r="N146" s="185"/>
      <c r="O146" s="290"/>
      <c r="P146" s="185"/>
      <c r="Q146" s="185"/>
    </row>
    <row r="147" spans="13:17" x14ac:dyDescent="0.2">
      <c r="M147" s="185"/>
      <c r="N147" s="185"/>
      <c r="O147" s="290"/>
      <c r="P147" s="185"/>
      <c r="Q147" s="185"/>
    </row>
    <row r="148" spans="13:17" x14ac:dyDescent="0.2">
      <c r="M148" s="185"/>
      <c r="N148" s="185"/>
      <c r="O148" s="290"/>
      <c r="P148" s="185"/>
      <c r="Q148" s="185"/>
    </row>
    <row r="149" spans="13:17" x14ac:dyDescent="0.2">
      <c r="M149" s="185"/>
      <c r="N149" s="185"/>
      <c r="O149" s="290"/>
      <c r="P149" s="185"/>
      <c r="Q149" s="185"/>
    </row>
    <row r="150" spans="13:17" x14ac:dyDescent="0.2">
      <c r="M150" s="185"/>
      <c r="N150" s="185"/>
      <c r="O150" s="290"/>
      <c r="P150" s="185"/>
      <c r="Q150" s="185"/>
    </row>
    <row r="151" spans="13:17" x14ac:dyDescent="0.2">
      <c r="M151" s="185"/>
      <c r="N151" s="185"/>
      <c r="O151" s="290"/>
      <c r="P151" s="185"/>
      <c r="Q151" s="185"/>
    </row>
    <row r="152" spans="13:17" x14ac:dyDescent="0.2">
      <c r="M152" s="185"/>
      <c r="N152" s="185"/>
      <c r="O152" s="290"/>
      <c r="P152" s="185"/>
      <c r="Q152" s="185"/>
    </row>
    <row r="153" spans="13:17" x14ac:dyDescent="0.2">
      <c r="M153" s="185"/>
      <c r="N153" s="185"/>
      <c r="O153" s="290"/>
      <c r="P153" s="185"/>
      <c r="Q153" s="185"/>
    </row>
    <row r="154" spans="13:17" x14ac:dyDescent="0.2">
      <c r="M154" s="185"/>
      <c r="N154" s="185"/>
      <c r="O154" s="290"/>
      <c r="P154" s="185"/>
      <c r="Q154" s="185"/>
    </row>
    <row r="155" spans="13:17" x14ac:dyDescent="0.2">
      <c r="M155" s="185"/>
      <c r="N155" s="185"/>
      <c r="O155" s="290"/>
      <c r="P155" s="185"/>
      <c r="Q155" s="185"/>
    </row>
    <row r="156" spans="13:17" x14ac:dyDescent="0.2">
      <c r="M156" s="185"/>
      <c r="N156" s="185"/>
      <c r="O156" s="290"/>
      <c r="P156" s="185"/>
      <c r="Q156" s="185"/>
    </row>
    <row r="157" spans="13:17" x14ac:dyDescent="0.2">
      <c r="M157" s="185"/>
      <c r="N157" s="185"/>
      <c r="O157" s="290"/>
      <c r="P157" s="185"/>
      <c r="Q157" s="185"/>
    </row>
    <row r="158" spans="13:17" x14ac:dyDescent="0.2">
      <c r="M158" s="185"/>
      <c r="N158" s="185"/>
      <c r="O158" s="290"/>
      <c r="P158" s="185"/>
      <c r="Q158" s="185"/>
    </row>
    <row r="159" spans="13:17" x14ac:dyDescent="0.2">
      <c r="M159" s="185"/>
      <c r="N159" s="185"/>
      <c r="O159" s="290"/>
      <c r="P159" s="185"/>
      <c r="Q159" s="185"/>
    </row>
    <row r="160" spans="13:17" x14ac:dyDescent="0.2">
      <c r="M160" s="185"/>
      <c r="N160" s="185"/>
      <c r="O160" s="290"/>
      <c r="P160" s="185"/>
      <c r="Q160" s="185"/>
    </row>
    <row r="161" spans="13:17" x14ac:dyDescent="0.2">
      <c r="M161" s="185"/>
      <c r="N161" s="185"/>
      <c r="O161" s="290"/>
      <c r="P161" s="185"/>
      <c r="Q161" s="185"/>
    </row>
    <row r="162" spans="13:17" x14ac:dyDescent="0.2">
      <c r="M162" s="185"/>
      <c r="N162" s="185"/>
      <c r="O162" s="290"/>
      <c r="P162" s="185"/>
      <c r="Q162" s="185"/>
    </row>
    <row r="163" spans="13:17" x14ac:dyDescent="0.2">
      <c r="M163" s="185"/>
      <c r="N163" s="185"/>
      <c r="O163" s="290"/>
      <c r="P163" s="185"/>
      <c r="Q163" s="185"/>
    </row>
    <row r="164" spans="13:17" x14ac:dyDescent="0.2">
      <c r="M164" s="185"/>
      <c r="N164" s="185"/>
      <c r="O164" s="290"/>
      <c r="P164" s="185"/>
      <c r="Q164" s="185"/>
    </row>
    <row r="165" spans="13:17" x14ac:dyDescent="0.2">
      <c r="M165" s="185"/>
      <c r="N165" s="185"/>
      <c r="O165" s="290"/>
      <c r="P165" s="185"/>
      <c r="Q165" s="185"/>
    </row>
    <row r="166" spans="13:17" x14ac:dyDescent="0.2">
      <c r="M166" s="185"/>
      <c r="N166" s="185"/>
      <c r="O166" s="290"/>
      <c r="P166" s="185"/>
      <c r="Q166" s="185"/>
    </row>
    <row r="167" spans="13:17" x14ac:dyDescent="0.2">
      <c r="M167" s="185"/>
      <c r="N167" s="185"/>
      <c r="O167" s="290"/>
      <c r="P167" s="185"/>
      <c r="Q167" s="185"/>
    </row>
    <row r="168" spans="13:17" x14ac:dyDescent="0.2">
      <c r="M168" s="185"/>
      <c r="N168" s="185"/>
      <c r="O168" s="290"/>
      <c r="P168" s="185"/>
      <c r="Q168" s="185"/>
    </row>
    <row r="169" spans="13:17" x14ac:dyDescent="0.2">
      <c r="M169" s="185"/>
      <c r="N169" s="185"/>
      <c r="O169" s="290"/>
      <c r="P169" s="185"/>
      <c r="Q169" s="185"/>
    </row>
    <row r="170" spans="13:17" x14ac:dyDescent="0.2">
      <c r="M170" s="185"/>
      <c r="N170" s="185"/>
      <c r="O170" s="290"/>
      <c r="P170" s="185"/>
      <c r="Q170" s="185"/>
    </row>
    <row r="171" spans="13:17" x14ac:dyDescent="0.2">
      <c r="M171" s="185"/>
      <c r="N171" s="185"/>
      <c r="O171" s="290"/>
      <c r="P171" s="185"/>
      <c r="Q171" s="185"/>
    </row>
    <row r="172" spans="13:17" x14ac:dyDescent="0.2">
      <c r="M172" s="185"/>
      <c r="N172" s="185"/>
      <c r="O172" s="290"/>
      <c r="P172" s="185"/>
      <c r="Q172" s="185"/>
    </row>
    <row r="173" spans="13:17" x14ac:dyDescent="0.2">
      <c r="M173" s="185"/>
      <c r="N173" s="185"/>
      <c r="O173" s="290"/>
      <c r="P173" s="185"/>
      <c r="Q173" s="185"/>
    </row>
    <row r="174" spans="13:17" x14ac:dyDescent="0.2">
      <c r="M174" s="185"/>
      <c r="N174" s="185"/>
      <c r="O174" s="290"/>
      <c r="P174" s="185"/>
      <c r="Q174" s="185"/>
    </row>
    <row r="175" spans="13:17" x14ac:dyDescent="0.2">
      <c r="M175" s="185"/>
      <c r="N175" s="185"/>
      <c r="O175" s="290"/>
      <c r="P175" s="185"/>
      <c r="Q175" s="185"/>
    </row>
    <row r="176" spans="13:17" x14ac:dyDescent="0.2">
      <c r="M176" s="185"/>
      <c r="N176" s="185"/>
      <c r="O176" s="290"/>
      <c r="P176" s="185"/>
      <c r="Q176" s="185"/>
    </row>
    <row r="177" spans="13:17" x14ac:dyDescent="0.2">
      <c r="M177" s="185"/>
      <c r="N177" s="185"/>
      <c r="O177" s="290"/>
      <c r="P177" s="185"/>
      <c r="Q177" s="185"/>
    </row>
    <row r="178" spans="13:17" x14ac:dyDescent="0.2">
      <c r="M178" s="185"/>
      <c r="N178" s="185"/>
      <c r="O178" s="290"/>
      <c r="P178" s="185"/>
      <c r="Q178" s="185"/>
    </row>
    <row r="179" spans="13:17" x14ac:dyDescent="0.2">
      <c r="M179" s="185"/>
      <c r="N179" s="185"/>
      <c r="O179" s="290"/>
      <c r="P179" s="185"/>
      <c r="Q179" s="185"/>
    </row>
    <row r="180" spans="13:17" x14ac:dyDescent="0.2">
      <c r="M180" s="185"/>
      <c r="N180" s="185"/>
      <c r="O180" s="290"/>
      <c r="P180" s="185"/>
      <c r="Q180" s="185"/>
    </row>
    <row r="181" spans="13:17" x14ac:dyDescent="0.2">
      <c r="M181" s="185"/>
      <c r="N181" s="185"/>
      <c r="O181" s="290"/>
      <c r="P181" s="185"/>
      <c r="Q181" s="185"/>
    </row>
    <row r="182" spans="13:17" x14ac:dyDescent="0.2">
      <c r="M182" s="185"/>
      <c r="N182" s="185"/>
      <c r="O182" s="290"/>
      <c r="P182" s="185"/>
      <c r="Q182" s="185"/>
    </row>
    <row r="183" spans="13:17" x14ac:dyDescent="0.2">
      <c r="M183" s="185"/>
      <c r="N183" s="185"/>
      <c r="O183" s="290"/>
      <c r="P183" s="185"/>
      <c r="Q183" s="185"/>
    </row>
    <row r="184" spans="13:17" x14ac:dyDescent="0.2">
      <c r="M184" s="185"/>
      <c r="N184" s="185"/>
      <c r="O184" s="290"/>
      <c r="P184" s="185"/>
      <c r="Q184" s="185"/>
    </row>
    <row r="185" spans="13:17" x14ac:dyDescent="0.2">
      <c r="M185" s="185"/>
      <c r="N185" s="185"/>
      <c r="O185" s="290"/>
      <c r="P185" s="185"/>
      <c r="Q185" s="185"/>
    </row>
    <row r="186" spans="13:17" x14ac:dyDescent="0.2">
      <c r="M186" s="185"/>
      <c r="N186" s="185"/>
      <c r="O186" s="290"/>
      <c r="P186" s="185"/>
      <c r="Q186" s="185"/>
    </row>
    <row r="187" spans="13:17" x14ac:dyDescent="0.2">
      <c r="M187" s="185"/>
      <c r="N187" s="185"/>
      <c r="O187" s="290"/>
      <c r="P187" s="185"/>
      <c r="Q187" s="185"/>
    </row>
    <row r="188" spans="13:17" x14ac:dyDescent="0.2">
      <c r="M188" s="185"/>
      <c r="N188" s="185"/>
      <c r="O188" s="290"/>
      <c r="P188" s="185"/>
      <c r="Q188" s="185"/>
    </row>
    <row r="189" spans="13:17" x14ac:dyDescent="0.2">
      <c r="M189" s="185"/>
      <c r="N189" s="185"/>
      <c r="O189" s="290"/>
      <c r="P189" s="185"/>
      <c r="Q189" s="185"/>
    </row>
    <row r="190" spans="13:17" x14ac:dyDescent="0.2">
      <c r="M190" s="185"/>
      <c r="N190" s="185"/>
      <c r="O190" s="290"/>
      <c r="P190" s="185"/>
      <c r="Q190" s="185"/>
    </row>
    <row r="191" spans="13:17" x14ac:dyDescent="0.2">
      <c r="M191" s="185"/>
      <c r="N191" s="185"/>
      <c r="O191" s="290"/>
      <c r="P191" s="185"/>
      <c r="Q191" s="185"/>
    </row>
    <row r="192" spans="13:17" x14ac:dyDescent="0.2">
      <c r="M192" s="185"/>
      <c r="N192" s="185"/>
      <c r="O192" s="290"/>
      <c r="P192" s="185"/>
      <c r="Q192" s="185"/>
    </row>
    <row r="193" spans="13:17" x14ac:dyDescent="0.2">
      <c r="M193" s="185"/>
      <c r="N193" s="185"/>
      <c r="O193" s="290"/>
      <c r="P193" s="185"/>
      <c r="Q193" s="185"/>
    </row>
    <row r="194" spans="13:17" x14ac:dyDescent="0.2">
      <c r="M194" s="185"/>
      <c r="N194" s="185"/>
      <c r="O194" s="290"/>
      <c r="P194" s="185"/>
      <c r="Q194" s="185"/>
    </row>
    <row r="195" spans="13:17" x14ac:dyDescent="0.2">
      <c r="M195" s="185"/>
      <c r="N195" s="185"/>
      <c r="O195" s="290"/>
      <c r="P195" s="185"/>
      <c r="Q195" s="185"/>
    </row>
    <row r="196" spans="13:17" x14ac:dyDescent="0.2">
      <c r="M196" s="185"/>
      <c r="N196" s="185"/>
      <c r="O196" s="290"/>
      <c r="P196" s="185"/>
      <c r="Q196" s="185"/>
    </row>
    <row r="197" spans="13:17" x14ac:dyDescent="0.2">
      <c r="M197" s="185"/>
      <c r="N197" s="185"/>
      <c r="O197" s="290"/>
      <c r="P197" s="185"/>
      <c r="Q197" s="185"/>
    </row>
    <row r="198" spans="13:17" x14ac:dyDescent="0.2">
      <c r="M198" s="185"/>
      <c r="N198" s="185"/>
      <c r="O198" s="290"/>
      <c r="P198" s="185"/>
      <c r="Q198" s="185"/>
    </row>
    <row r="199" spans="13:17" x14ac:dyDescent="0.2">
      <c r="M199" s="185"/>
      <c r="N199" s="185"/>
      <c r="O199" s="290"/>
      <c r="P199" s="185"/>
      <c r="Q199" s="185"/>
    </row>
    <row r="200" spans="13:17" x14ac:dyDescent="0.2">
      <c r="M200" s="185"/>
      <c r="N200" s="185"/>
      <c r="O200" s="290"/>
      <c r="P200" s="185"/>
      <c r="Q200" s="185"/>
    </row>
    <row r="201" spans="13:17" x14ac:dyDescent="0.2">
      <c r="M201" s="185"/>
      <c r="N201" s="185"/>
      <c r="O201" s="290"/>
      <c r="P201" s="185"/>
      <c r="Q201" s="185"/>
    </row>
    <row r="202" spans="13:17" x14ac:dyDescent="0.2">
      <c r="M202" s="185"/>
      <c r="N202" s="185"/>
      <c r="O202" s="290"/>
      <c r="P202" s="185"/>
      <c r="Q202" s="185"/>
    </row>
    <row r="203" spans="13:17" x14ac:dyDescent="0.2">
      <c r="M203" s="185"/>
      <c r="N203" s="185"/>
      <c r="O203" s="290"/>
      <c r="P203" s="185"/>
      <c r="Q203" s="185"/>
    </row>
    <row r="204" spans="13:17" x14ac:dyDescent="0.2">
      <c r="M204" s="185"/>
      <c r="N204" s="185"/>
      <c r="O204" s="290"/>
      <c r="P204" s="185"/>
      <c r="Q204" s="185"/>
    </row>
    <row r="205" spans="13:17" x14ac:dyDescent="0.2">
      <c r="M205" s="185"/>
      <c r="N205" s="185"/>
      <c r="O205" s="290"/>
      <c r="P205" s="185"/>
      <c r="Q205" s="185"/>
    </row>
    <row r="206" spans="13:17" x14ac:dyDescent="0.2">
      <c r="M206" s="185"/>
      <c r="N206" s="185"/>
      <c r="O206" s="290"/>
      <c r="P206" s="185"/>
      <c r="Q206" s="185"/>
    </row>
    <row r="207" spans="13:17" x14ac:dyDescent="0.2">
      <c r="M207" s="185"/>
      <c r="N207" s="185"/>
      <c r="O207" s="290"/>
      <c r="P207" s="185"/>
      <c r="Q207" s="185"/>
    </row>
    <row r="208" spans="13:17" x14ac:dyDescent="0.2">
      <c r="M208" s="185"/>
      <c r="N208" s="185"/>
      <c r="O208" s="290"/>
      <c r="P208" s="185"/>
      <c r="Q208" s="185"/>
    </row>
    <row r="209" spans="13:17" x14ac:dyDescent="0.2">
      <c r="M209" s="185"/>
      <c r="N209" s="185"/>
      <c r="O209" s="290"/>
      <c r="P209" s="185"/>
      <c r="Q209" s="185"/>
    </row>
    <row r="210" spans="13:17" x14ac:dyDescent="0.2">
      <c r="M210" s="185"/>
      <c r="N210" s="185"/>
      <c r="O210" s="290"/>
      <c r="P210" s="185"/>
      <c r="Q210" s="185"/>
    </row>
    <row r="211" spans="13:17" x14ac:dyDescent="0.2">
      <c r="M211" s="185"/>
      <c r="N211" s="185"/>
      <c r="O211" s="290"/>
      <c r="P211" s="185"/>
      <c r="Q211" s="185"/>
    </row>
    <row r="212" spans="13:17" x14ac:dyDescent="0.2">
      <c r="M212" s="185"/>
      <c r="N212" s="185"/>
      <c r="O212" s="290"/>
      <c r="P212" s="185"/>
      <c r="Q212" s="185"/>
    </row>
    <row r="213" spans="13:17" x14ac:dyDescent="0.2">
      <c r="M213" s="185"/>
      <c r="N213" s="185"/>
      <c r="O213" s="290"/>
      <c r="P213" s="185"/>
      <c r="Q213" s="185"/>
    </row>
    <row r="214" spans="13:17" x14ac:dyDescent="0.2">
      <c r="M214" s="185"/>
      <c r="N214" s="185"/>
      <c r="O214" s="290"/>
      <c r="P214" s="185"/>
      <c r="Q214" s="185"/>
    </row>
    <row r="215" spans="13:17" x14ac:dyDescent="0.2">
      <c r="M215" s="185"/>
      <c r="N215" s="185"/>
      <c r="O215" s="290"/>
      <c r="P215" s="185"/>
      <c r="Q215" s="185"/>
    </row>
    <row r="216" spans="13:17" x14ac:dyDescent="0.2">
      <c r="M216" s="185"/>
      <c r="N216" s="185"/>
      <c r="O216" s="290"/>
      <c r="P216" s="185"/>
      <c r="Q216" s="185"/>
    </row>
    <row r="217" spans="13:17" x14ac:dyDescent="0.2">
      <c r="M217" s="185"/>
      <c r="N217" s="185"/>
      <c r="O217" s="290"/>
      <c r="P217" s="185"/>
      <c r="Q217" s="185"/>
    </row>
    <row r="218" spans="13:17" x14ac:dyDescent="0.2">
      <c r="M218" s="185"/>
      <c r="N218" s="185"/>
      <c r="O218" s="290"/>
      <c r="P218" s="185"/>
      <c r="Q218" s="185"/>
    </row>
    <row r="219" spans="13:17" x14ac:dyDescent="0.2">
      <c r="M219" s="185"/>
      <c r="N219" s="185"/>
      <c r="O219" s="290"/>
      <c r="P219" s="185"/>
      <c r="Q219" s="185"/>
    </row>
    <row r="220" spans="13:17" x14ac:dyDescent="0.2">
      <c r="M220" s="185"/>
      <c r="N220" s="185"/>
      <c r="O220" s="290"/>
      <c r="P220" s="185"/>
      <c r="Q220" s="185"/>
    </row>
    <row r="221" spans="13:17" x14ac:dyDescent="0.2">
      <c r="M221" s="185"/>
      <c r="N221" s="185"/>
      <c r="O221" s="290"/>
      <c r="P221" s="185"/>
      <c r="Q221" s="185"/>
    </row>
    <row r="222" spans="13:17" x14ac:dyDescent="0.2">
      <c r="M222" s="185"/>
      <c r="N222" s="185"/>
      <c r="O222" s="290"/>
      <c r="P222" s="185"/>
      <c r="Q222" s="185"/>
    </row>
    <row r="223" spans="13:17" x14ac:dyDescent="0.2">
      <c r="M223" s="185"/>
      <c r="N223" s="185"/>
      <c r="O223" s="290"/>
      <c r="P223" s="185"/>
      <c r="Q223" s="185"/>
    </row>
    <row r="224" spans="13:17" x14ac:dyDescent="0.2">
      <c r="M224" s="185"/>
      <c r="N224" s="185"/>
      <c r="O224" s="290"/>
      <c r="P224" s="185"/>
      <c r="Q224" s="185"/>
    </row>
    <row r="225" spans="13:17" x14ac:dyDescent="0.2">
      <c r="M225" s="185"/>
      <c r="N225" s="185"/>
      <c r="O225" s="290"/>
      <c r="P225" s="185"/>
      <c r="Q225" s="185"/>
    </row>
    <row r="226" spans="13:17" x14ac:dyDescent="0.2">
      <c r="M226" s="185"/>
      <c r="N226" s="185"/>
      <c r="O226" s="290"/>
      <c r="P226" s="185"/>
      <c r="Q226" s="185"/>
    </row>
    <row r="227" spans="13:17" x14ac:dyDescent="0.2">
      <c r="M227" s="185"/>
      <c r="N227" s="185"/>
      <c r="O227" s="290"/>
      <c r="P227" s="185"/>
      <c r="Q227" s="185"/>
    </row>
    <row r="228" spans="13:17" x14ac:dyDescent="0.2">
      <c r="M228" s="185"/>
      <c r="N228" s="185"/>
      <c r="O228" s="290"/>
      <c r="P228" s="185"/>
      <c r="Q228" s="185"/>
    </row>
    <row r="229" spans="13:17" x14ac:dyDescent="0.2">
      <c r="M229" s="185"/>
      <c r="N229" s="185"/>
      <c r="O229" s="290"/>
      <c r="P229" s="185"/>
      <c r="Q229" s="185"/>
    </row>
    <row r="230" spans="13:17" x14ac:dyDescent="0.2">
      <c r="M230" s="185"/>
      <c r="N230" s="185"/>
      <c r="O230" s="290"/>
      <c r="P230" s="185"/>
      <c r="Q230" s="185"/>
    </row>
    <row r="231" spans="13:17" x14ac:dyDescent="0.2">
      <c r="M231" s="185"/>
      <c r="N231" s="185"/>
      <c r="O231" s="290"/>
      <c r="P231" s="185"/>
      <c r="Q231" s="185"/>
    </row>
    <row r="232" spans="13:17" x14ac:dyDescent="0.2">
      <c r="M232" s="185"/>
      <c r="N232" s="185"/>
      <c r="O232" s="290"/>
      <c r="P232" s="185"/>
      <c r="Q232" s="185"/>
    </row>
    <row r="233" spans="13:17" x14ac:dyDescent="0.2">
      <c r="M233" s="185"/>
      <c r="N233" s="185"/>
      <c r="O233" s="290"/>
      <c r="P233" s="185"/>
      <c r="Q233" s="185"/>
    </row>
    <row r="234" spans="13:17" x14ac:dyDescent="0.2">
      <c r="M234" s="185"/>
      <c r="N234" s="185"/>
      <c r="O234" s="290"/>
      <c r="P234" s="185"/>
      <c r="Q234" s="185"/>
    </row>
    <row r="235" spans="13:17" x14ac:dyDescent="0.2">
      <c r="M235" s="185"/>
      <c r="N235" s="185"/>
      <c r="O235" s="290"/>
      <c r="P235" s="185"/>
      <c r="Q235" s="185"/>
    </row>
    <row r="236" spans="13:17" x14ac:dyDescent="0.2">
      <c r="M236" s="185"/>
      <c r="N236" s="185"/>
      <c r="O236" s="290"/>
      <c r="P236" s="185"/>
      <c r="Q236" s="185"/>
    </row>
    <row r="237" spans="13:17" x14ac:dyDescent="0.2">
      <c r="M237" s="185"/>
      <c r="N237" s="185"/>
      <c r="O237" s="290"/>
      <c r="P237" s="185"/>
      <c r="Q237" s="185"/>
    </row>
    <row r="238" spans="13:17" x14ac:dyDescent="0.2">
      <c r="M238" s="185"/>
      <c r="N238" s="185"/>
      <c r="O238" s="290"/>
      <c r="P238" s="185"/>
      <c r="Q238" s="185"/>
    </row>
    <row r="239" spans="13:17" x14ac:dyDescent="0.2">
      <c r="M239" s="185"/>
      <c r="N239" s="185"/>
      <c r="O239" s="290"/>
      <c r="P239" s="185"/>
      <c r="Q239" s="185"/>
    </row>
    <row r="240" spans="13:17" x14ac:dyDescent="0.2">
      <c r="M240" s="185"/>
      <c r="N240" s="185"/>
      <c r="O240" s="290"/>
      <c r="P240" s="185"/>
      <c r="Q240" s="185"/>
    </row>
    <row r="241" spans="13:17" x14ac:dyDescent="0.2">
      <c r="M241" s="185"/>
      <c r="N241" s="185"/>
      <c r="O241" s="290"/>
      <c r="P241" s="185"/>
      <c r="Q241" s="185"/>
    </row>
    <row r="242" spans="13:17" x14ac:dyDescent="0.2">
      <c r="M242" s="185"/>
      <c r="N242" s="185"/>
      <c r="O242" s="290"/>
      <c r="P242" s="185"/>
      <c r="Q242" s="185"/>
    </row>
    <row r="243" spans="13:17" x14ac:dyDescent="0.2">
      <c r="M243" s="185"/>
      <c r="N243" s="185"/>
      <c r="O243" s="290"/>
      <c r="P243" s="185"/>
      <c r="Q243" s="185"/>
    </row>
    <row r="244" spans="13:17" x14ac:dyDescent="0.2">
      <c r="M244" s="185"/>
      <c r="N244" s="185"/>
      <c r="O244" s="290"/>
      <c r="P244" s="185"/>
      <c r="Q244" s="185"/>
    </row>
    <row r="245" spans="13:17" x14ac:dyDescent="0.2">
      <c r="M245" s="185"/>
      <c r="N245" s="185"/>
      <c r="O245" s="290"/>
      <c r="P245" s="185"/>
      <c r="Q245" s="185"/>
    </row>
    <row r="246" spans="13:17" x14ac:dyDescent="0.2">
      <c r="M246" s="185"/>
      <c r="N246" s="185"/>
      <c r="O246" s="290"/>
      <c r="P246" s="185"/>
      <c r="Q246" s="185"/>
    </row>
    <row r="247" spans="13:17" x14ac:dyDescent="0.2">
      <c r="M247" s="185"/>
      <c r="N247" s="185"/>
      <c r="O247" s="290"/>
      <c r="P247" s="185"/>
      <c r="Q247" s="185"/>
    </row>
    <row r="248" spans="13:17" x14ac:dyDescent="0.2">
      <c r="M248" s="185"/>
      <c r="N248" s="185"/>
      <c r="O248" s="290"/>
      <c r="P248" s="185"/>
      <c r="Q248" s="185"/>
    </row>
    <row r="249" spans="13:17" x14ac:dyDescent="0.2">
      <c r="M249" s="185"/>
      <c r="N249" s="185"/>
      <c r="O249" s="290"/>
      <c r="P249" s="185"/>
      <c r="Q249" s="185"/>
    </row>
    <row r="250" spans="13:17" x14ac:dyDescent="0.2">
      <c r="M250" s="185"/>
      <c r="N250" s="185"/>
      <c r="O250" s="290"/>
      <c r="P250" s="185"/>
      <c r="Q250" s="185"/>
    </row>
    <row r="251" spans="13:17" x14ac:dyDescent="0.2">
      <c r="M251" s="185"/>
      <c r="N251" s="185"/>
      <c r="O251" s="290"/>
      <c r="P251" s="185"/>
      <c r="Q251" s="185"/>
    </row>
    <row r="252" spans="13:17" x14ac:dyDescent="0.2">
      <c r="M252" s="185"/>
      <c r="N252" s="185"/>
      <c r="O252" s="290"/>
      <c r="P252" s="185"/>
      <c r="Q252" s="185"/>
    </row>
    <row r="253" spans="13:17" x14ac:dyDescent="0.2">
      <c r="M253" s="185"/>
      <c r="N253" s="185"/>
      <c r="O253" s="290"/>
      <c r="P253" s="185"/>
      <c r="Q253" s="185"/>
    </row>
    <row r="254" spans="13:17" x14ac:dyDescent="0.2">
      <c r="M254" s="185"/>
      <c r="N254" s="185"/>
      <c r="O254" s="290"/>
      <c r="P254" s="185"/>
      <c r="Q254" s="185"/>
    </row>
    <row r="255" spans="13:17" x14ac:dyDescent="0.2">
      <c r="M255" s="185"/>
      <c r="N255" s="185"/>
      <c r="O255" s="290"/>
      <c r="P255" s="185"/>
      <c r="Q255" s="185"/>
    </row>
    <row r="256" spans="13:17" x14ac:dyDescent="0.2">
      <c r="M256" s="185"/>
      <c r="N256" s="185"/>
      <c r="O256" s="290"/>
      <c r="P256" s="185"/>
      <c r="Q256" s="185"/>
    </row>
    <row r="257" spans="13:17" x14ac:dyDescent="0.2">
      <c r="M257" s="185"/>
      <c r="N257" s="185"/>
      <c r="O257" s="290"/>
      <c r="P257" s="185"/>
      <c r="Q257" s="185"/>
    </row>
    <row r="258" spans="13:17" x14ac:dyDescent="0.2">
      <c r="M258" s="185"/>
      <c r="N258" s="185"/>
      <c r="O258" s="290"/>
      <c r="P258" s="185"/>
      <c r="Q258" s="185"/>
    </row>
    <row r="259" spans="13:17" x14ac:dyDescent="0.2">
      <c r="M259" s="185"/>
      <c r="N259" s="185"/>
      <c r="O259" s="290"/>
      <c r="P259" s="185"/>
      <c r="Q259" s="185"/>
    </row>
    <row r="260" spans="13:17" x14ac:dyDescent="0.2">
      <c r="M260" s="185"/>
      <c r="N260" s="185"/>
      <c r="O260" s="290"/>
      <c r="P260" s="185"/>
      <c r="Q260" s="185"/>
    </row>
    <row r="261" spans="13:17" x14ac:dyDescent="0.2">
      <c r="M261" s="185"/>
      <c r="N261" s="185"/>
      <c r="O261" s="290"/>
      <c r="P261" s="185"/>
      <c r="Q261" s="185"/>
    </row>
    <row r="262" spans="13:17" x14ac:dyDescent="0.2">
      <c r="M262" s="185"/>
      <c r="N262" s="185"/>
      <c r="O262" s="290"/>
      <c r="P262" s="185"/>
      <c r="Q262" s="185"/>
    </row>
    <row r="263" spans="13:17" x14ac:dyDescent="0.2">
      <c r="M263" s="185"/>
      <c r="N263" s="185"/>
      <c r="O263" s="290"/>
      <c r="P263" s="185"/>
      <c r="Q263" s="185"/>
    </row>
    <row r="264" spans="13:17" x14ac:dyDescent="0.2">
      <c r="M264" s="185"/>
      <c r="N264" s="185"/>
      <c r="O264" s="290"/>
      <c r="P264" s="185"/>
      <c r="Q264" s="185"/>
    </row>
    <row r="265" spans="13:17" x14ac:dyDescent="0.2">
      <c r="M265" s="185"/>
      <c r="N265" s="185"/>
      <c r="O265" s="290"/>
      <c r="P265" s="185"/>
      <c r="Q265" s="185"/>
    </row>
    <row r="266" spans="13:17" x14ac:dyDescent="0.2">
      <c r="M266" s="185"/>
      <c r="N266" s="185"/>
      <c r="O266" s="290"/>
      <c r="P266" s="185"/>
      <c r="Q266" s="185"/>
    </row>
    <row r="267" spans="13:17" x14ac:dyDescent="0.2">
      <c r="M267" s="185"/>
      <c r="N267" s="185"/>
      <c r="O267" s="290"/>
      <c r="P267" s="185"/>
      <c r="Q267" s="185"/>
    </row>
    <row r="268" spans="13:17" x14ac:dyDescent="0.2">
      <c r="M268" s="185"/>
      <c r="N268" s="185"/>
      <c r="O268" s="290"/>
      <c r="P268" s="185"/>
      <c r="Q268" s="185"/>
    </row>
    <row r="269" spans="13:17" x14ac:dyDescent="0.2">
      <c r="M269" s="185"/>
      <c r="N269" s="185"/>
      <c r="O269" s="290"/>
      <c r="P269" s="185"/>
      <c r="Q269" s="185"/>
    </row>
    <row r="270" spans="13:17" x14ac:dyDescent="0.2">
      <c r="M270" s="185"/>
      <c r="N270" s="185"/>
      <c r="O270" s="290"/>
      <c r="P270" s="185"/>
      <c r="Q270" s="185"/>
    </row>
    <row r="271" spans="13:17" x14ac:dyDescent="0.2">
      <c r="M271" s="185"/>
      <c r="N271" s="185"/>
      <c r="O271" s="290"/>
      <c r="P271" s="185"/>
      <c r="Q271" s="185"/>
    </row>
    <row r="272" spans="13:17" x14ac:dyDescent="0.2">
      <c r="M272" s="185"/>
      <c r="N272" s="185"/>
      <c r="O272" s="290"/>
      <c r="P272" s="185"/>
      <c r="Q272" s="185"/>
    </row>
    <row r="273" spans="13:17" x14ac:dyDescent="0.2">
      <c r="M273" s="185"/>
      <c r="N273" s="185"/>
      <c r="O273" s="290"/>
      <c r="P273" s="185"/>
      <c r="Q273" s="185"/>
    </row>
    <row r="274" spans="13:17" x14ac:dyDescent="0.2">
      <c r="M274" s="185"/>
      <c r="N274" s="185"/>
      <c r="O274" s="290"/>
      <c r="P274" s="185"/>
      <c r="Q274" s="185"/>
    </row>
    <row r="275" spans="13:17" x14ac:dyDescent="0.2">
      <c r="M275" s="185"/>
      <c r="N275" s="185"/>
      <c r="O275" s="290"/>
      <c r="P275" s="185"/>
      <c r="Q275" s="185"/>
    </row>
    <row r="276" spans="13:17" x14ac:dyDescent="0.2">
      <c r="M276" s="185"/>
      <c r="N276" s="185"/>
      <c r="O276" s="290"/>
      <c r="P276" s="185"/>
      <c r="Q276" s="185"/>
    </row>
    <row r="277" spans="13:17" x14ac:dyDescent="0.2">
      <c r="M277" s="185"/>
      <c r="N277" s="185"/>
      <c r="O277" s="290"/>
      <c r="P277" s="185"/>
      <c r="Q277" s="185"/>
    </row>
    <row r="278" spans="13:17" x14ac:dyDescent="0.2">
      <c r="M278" s="185"/>
      <c r="N278" s="185"/>
      <c r="O278" s="290"/>
      <c r="P278" s="185"/>
      <c r="Q278" s="185"/>
    </row>
    <row r="279" spans="13:17" x14ac:dyDescent="0.2">
      <c r="M279" s="185"/>
      <c r="N279" s="185"/>
      <c r="O279" s="290"/>
      <c r="P279" s="185"/>
      <c r="Q279" s="185"/>
    </row>
    <row r="280" spans="13:17" x14ac:dyDescent="0.2">
      <c r="M280" s="185"/>
      <c r="N280" s="185"/>
      <c r="O280" s="290"/>
      <c r="P280" s="185"/>
      <c r="Q280" s="185"/>
    </row>
    <row r="281" spans="13:17" x14ac:dyDescent="0.2">
      <c r="M281" s="185"/>
      <c r="N281" s="185"/>
      <c r="O281" s="290"/>
      <c r="P281" s="185"/>
      <c r="Q281" s="185"/>
    </row>
    <row r="282" spans="13:17" x14ac:dyDescent="0.2">
      <c r="M282" s="185"/>
      <c r="N282" s="185"/>
      <c r="O282" s="290"/>
      <c r="P282" s="185"/>
      <c r="Q282" s="185"/>
    </row>
    <row r="283" spans="13:17" x14ac:dyDescent="0.2">
      <c r="M283" s="185"/>
      <c r="N283" s="185"/>
      <c r="O283" s="290"/>
      <c r="P283" s="185"/>
      <c r="Q283" s="185"/>
    </row>
    <row r="284" spans="13:17" x14ac:dyDescent="0.2">
      <c r="M284" s="185"/>
      <c r="N284" s="185"/>
      <c r="O284" s="290"/>
      <c r="P284" s="185"/>
      <c r="Q284" s="185"/>
    </row>
    <row r="285" spans="13:17" x14ac:dyDescent="0.2">
      <c r="M285" s="185"/>
      <c r="N285" s="185"/>
      <c r="O285" s="290"/>
      <c r="P285" s="185"/>
      <c r="Q285" s="185"/>
    </row>
    <row r="286" spans="13:17" x14ac:dyDescent="0.2">
      <c r="M286" s="185"/>
      <c r="N286" s="185"/>
      <c r="O286" s="290"/>
      <c r="P286" s="185"/>
      <c r="Q286" s="185"/>
    </row>
    <row r="287" spans="13:17" x14ac:dyDescent="0.2">
      <c r="M287" s="185"/>
      <c r="N287" s="185"/>
      <c r="O287" s="290"/>
      <c r="P287" s="185"/>
      <c r="Q287" s="185"/>
    </row>
    <row r="288" spans="13:17" x14ac:dyDescent="0.2">
      <c r="M288" s="185"/>
      <c r="N288" s="185"/>
      <c r="O288" s="290"/>
      <c r="P288" s="185"/>
      <c r="Q288" s="185"/>
    </row>
    <row r="289" spans="13:17" x14ac:dyDescent="0.2">
      <c r="M289" s="185"/>
      <c r="N289" s="185"/>
      <c r="O289" s="290"/>
      <c r="P289" s="185"/>
      <c r="Q289" s="185"/>
    </row>
    <row r="290" spans="13:17" x14ac:dyDescent="0.2">
      <c r="M290" s="185"/>
      <c r="N290" s="185"/>
      <c r="O290" s="290"/>
      <c r="P290" s="185"/>
      <c r="Q290" s="185"/>
    </row>
    <row r="291" spans="13:17" x14ac:dyDescent="0.2">
      <c r="M291" s="185"/>
      <c r="N291" s="185"/>
      <c r="O291" s="290"/>
      <c r="P291" s="185"/>
      <c r="Q291" s="185"/>
    </row>
    <row r="292" spans="13:17" x14ac:dyDescent="0.2">
      <c r="M292" s="185"/>
      <c r="N292" s="185"/>
      <c r="O292" s="290"/>
      <c r="P292" s="185"/>
      <c r="Q292" s="185"/>
    </row>
    <row r="293" spans="13:17" x14ac:dyDescent="0.2">
      <c r="M293" s="185"/>
      <c r="N293" s="185"/>
      <c r="O293" s="290"/>
      <c r="P293" s="185"/>
      <c r="Q293" s="185"/>
    </row>
    <row r="294" spans="13:17" x14ac:dyDescent="0.2">
      <c r="M294" s="185"/>
      <c r="N294" s="185"/>
      <c r="O294" s="290"/>
      <c r="P294" s="185"/>
      <c r="Q294" s="185"/>
    </row>
    <row r="295" spans="13:17" x14ac:dyDescent="0.2">
      <c r="M295" s="185"/>
      <c r="N295" s="185"/>
      <c r="O295" s="290"/>
      <c r="P295" s="185"/>
      <c r="Q295" s="185"/>
    </row>
    <row r="296" spans="13:17" x14ac:dyDescent="0.2">
      <c r="M296" s="185"/>
      <c r="N296" s="185"/>
      <c r="O296" s="290"/>
      <c r="P296" s="185"/>
      <c r="Q296" s="185"/>
    </row>
    <row r="297" spans="13:17" x14ac:dyDescent="0.2">
      <c r="M297" s="185"/>
      <c r="N297" s="185"/>
      <c r="O297" s="290"/>
      <c r="P297" s="185"/>
      <c r="Q297" s="185"/>
    </row>
    <row r="298" spans="13:17" x14ac:dyDescent="0.2">
      <c r="M298" s="185"/>
      <c r="N298" s="185"/>
      <c r="O298" s="290"/>
      <c r="P298" s="185"/>
      <c r="Q298" s="185"/>
    </row>
    <row r="299" spans="13:17" x14ac:dyDescent="0.2">
      <c r="M299" s="185"/>
      <c r="N299" s="185"/>
      <c r="O299" s="290"/>
      <c r="P299" s="185"/>
      <c r="Q299" s="185"/>
    </row>
    <row r="300" spans="13:17" x14ac:dyDescent="0.2">
      <c r="M300" s="185"/>
      <c r="N300" s="185"/>
      <c r="O300" s="290"/>
      <c r="P300" s="185"/>
      <c r="Q300" s="185"/>
    </row>
    <row r="301" spans="13:17" x14ac:dyDescent="0.2">
      <c r="M301" s="185"/>
      <c r="N301" s="185"/>
      <c r="O301" s="290"/>
      <c r="P301" s="185"/>
      <c r="Q301" s="185"/>
    </row>
    <row r="302" spans="13:17" x14ac:dyDescent="0.2">
      <c r="M302" s="185"/>
      <c r="N302" s="185"/>
      <c r="O302" s="290"/>
      <c r="P302" s="185"/>
      <c r="Q302" s="185"/>
    </row>
    <row r="303" spans="13:17" x14ac:dyDescent="0.2">
      <c r="M303" s="185"/>
      <c r="N303" s="185"/>
      <c r="O303" s="290"/>
      <c r="P303" s="185"/>
      <c r="Q303" s="185"/>
    </row>
    <row r="304" spans="13:17" x14ac:dyDescent="0.2">
      <c r="M304" s="185"/>
      <c r="N304" s="185"/>
      <c r="O304" s="290"/>
      <c r="P304" s="185"/>
      <c r="Q304" s="185"/>
    </row>
    <row r="305" spans="13:17" x14ac:dyDescent="0.2">
      <c r="M305" s="185"/>
      <c r="N305" s="185"/>
      <c r="O305" s="290"/>
      <c r="P305" s="185"/>
      <c r="Q305" s="185"/>
    </row>
    <row r="306" spans="13:17" x14ac:dyDescent="0.2">
      <c r="M306" s="185"/>
      <c r="N306" s="185"/>
      <c r="O306" s="290"/>
      <c r="P306" s="185"/>
      <c r="Q306" s="185"/>
    </row>
    <row r="307" spans="13:17" x14ac:dyDescent="0.2">
      <c r="M307" s="185"/>
      <c r="N307" s="185"/>
      <c r="O307" s="290"/>
      <c r="P307" s="185"/>
      <c r="Q307" s="185"/>
    </row>
    <row r="308" spans="13:17" x14ac:dyDescent="0.2">
      <c r="M308" s="185"/>
      <c r="N308" s="185"/>
      <c r="O308" s="290"/>
      <c r="P308" s="185"/>
      <c r="Q308" s="185"/>
    </row>
    <row r="309" spans="13:17" x14ac:dyDescent="0.2">
      <c r="M309" s="185"/>
      <c r="N309" s="185"/>
      <c r="O309" s="290"/>
      <c r="P309" s="185"/>
      <c r="Q309" s="185"/>
    </row>
    <row r="310" spans="13:17" x14ac:dyDescent="0.2">
      <c r="M310" s="185"/>
      <c r="N310" s="185"/>
      <c r="O310" s="290"/>
      <c r="P310" s="185"/>
      <c r="Q310" s="185"/>
    </row>
    <row r="311" spans="13:17" x14ac:dyDescent="0.2">
      <c r="M311" s="185"/>
      <c r="N311" s="185"/>
      <c r="O311" s="290"/>
      <c r="P311" s="185"/>
      <c r="Q311" s="185"/>
    </row>
    <row r="312" spans="13:17" x14ac:dyDescent="0.2">
      <c r="M312" s="185"/>
      <c r="N312" s="185"/>
      <c r="O312" s="290"/>
      <c r="P312" s="185"/>
      <c r="Q312" s="185"/>
    </row>
    <row r="313" spans="13:17" x14ac:dyDescent="0.2">
      <c r="M313" s="185"/>
      <c r="N313" s="185"/>
      <c r="O313" s="290"/>
      <c r="P313" s="185"/>
      <c r="Q313" s="185"/>
    </row>
    <row r="314" spans="13:17" x14ac:dyDescent="0.2">
      <c r="M314" s="185"/>
      <c r="N314" s="185"/>
      <c r="O314" s="290"/>
      <c r="P314" s="185"/>
      <c r="Q314" s="185"/>
    </row>
    <row r="315" spans="13:17" x14ac:dyDescent="0.2">
      <c r="M315" s="185"/>
      <c r="N315" s="185"/>
      <c r="O315" s="290"/>
      <c r="P315" s="185"/>
      <c r="Q315" s="185"/>
    </row>
    <row r="316" spans="13:17" x14ac:dyDescent="0.2">
      <c r="M316" s="185"/>
      <c r="N316" s="185"/>
      <c r="O316" s="290"/>
      <c r="P316" s="185"/>
      <c r="Q316" s="185"/>
    </row>
    <row r="317" spans="13:17" x14ac:dyDescent="0.2">
      <c r="M317" s="185"/>
      <c r="N317" s="185"/>
      <c r="O317" s="290"/>
      <c r="P317" s="185"/>
      <c r="Q317" s="185"/>
    </row>
    <row r="318" spans="13:17" x14ac:dyDescent="0.2">
      <c r="M318" s="185"/>
      <c r="N318" s="185"/>
      <c r="O318" s="290"/>
      <c r="P318" s="185"/>
      <c r="Q318" s="185"/>
    </row>
    <row r="319" spans="13:17" x14ac:dyDescent="0.2">
      <c r="M319" s="185"/>
      <c r="N319" s="185"/>
      <c r="O319" s="290"/>
      <c r="P319" s="185"/>
      <c r="Q319" s="185"/>
    </row>
    <row r="320" spans="13:17" x14ac:dyDescent="0.2">
      <c r="M320" s="185"/>
      <c r="N320" s="185"/>
      <c r="O320" s="290"/>
      <c r="P320" s="185"/>
      <c r="Q320" s="185"/>
    </row>
    <row r="321" spans="13:17" x14ac:dyDescent="0.2">
      <c r="M321" s="185"/>
      <c r="N321" s="185"/>
      <c r="O321" s="290"/>
      <c r="P321" s="185"/>
      <c r="Q321" s="185"/>
    </row>
    <row r="322" spans="13:17" x14ac:dyDescent="0.2">
      <c r="M322" s="185"/>
      <c r="N322" s="185"/>
      <c r="O322" s="290"/>
      <c r="P322" s="185"/>
      <c r="Q322" s="185"/>
    </row>
    <row r="323" spans="13:17" x14ac:dyDescent="0.2">
      <c r="M323" s="185"/>
      <c r="N323" s="185"/>
      <c r="O323" s="290"/>
      <c r="P323" s="185"/>
      <c r="Q323" s="185"/>
    </row>
    <row r="324" spans="13:17" x14ac:dyDescent="0.2">
      <c r="M324" s="185"/>
      <c r="N324" s="185"/>
      <c r="O324" s="290"/>
      <c r="P324" s="185"/>
      <c r="Q324" s="185"/>
    </row>
    <row r="325" spans="13:17" x14ac:dyDescent="0.2">
      <c r="M325" s="185"/>
      <c r="N325" s="185"/>
      <c r="O325" s="290"/>
      <c r="P325" s="185"/>
      <c r="Q325" s="185"/>
    </row>
    <row r="326" spans="13:17" x14ac:dyDescent="0.2">
      <c r="M326" s="185"/>
      <c r="N326" s="185"/>
      <c r="O326" s="290"/>
      <c r="P326" s="185"/>
      <c r="Q326" s="185"/>
    </row>
    <row r="327" spans="13:17" x14ac:dyDescent="0.2">
      <c r="M327" s="185"/>
      <c r="N327" s="185"/>
      <c r="O327" s="290"/>
      <c r="P327" s="185"/>
      <c r="Q327" s="185"/>
    </row>
    <row r="328" spans="13:17" x14ac:dyDescent="0.2">
      <c r="M328" s="185"/>
      <c r="N328" s="185"/>
      <c r="O328" s="290"/>
      <c r="P328" s="185"/>
      <c r="Q328" s="185"/>
    </row>
    <row r="329" spans="13:17" x14ac:dyDescent="0.2">
      <c r="M329" s="185"/>
      <c r="N329" s="185"/>
      <c r="O329" s="290"/>
      <c r="P329" s="185"/>
      <c r="Q329" s="185"/>
    </row>
    <row r="330" spans="13:17" x14ac:dyDescent="0.2">
      <c r="M330" s="185"/>
      <c r="N330" s="185"/>
      <c r="O330" s="290"/>
      <c r="P330" s="185"/>
      <c r="Q330" s="185"/>
    </row>
    <row r="331" spans="13:17" x14ac:dyDescent="0.2">
      <c r="M331" s="185"/>
      <c r="N331" s="185"/>
      <c r="O331" s="290"/>
      <c r="P331" s="185"/>
      <c r="Q331" s="185"/>
    </row>
    <row r="332" spans="13:17" x14ac:dyDescent="0.2">
      <c r="M332" s="185"/>
      <c r="N332" s="185"/>
      <c r="O332" s="290"/>
      <c r="P332" s="185"/>
      <c r="Q332" s="185"/>
    </row>
    <row r="333" spans="13:17" x14ac:dyDescent="0.2">
      <c r="M333" s="185"/>
      <c r="N333" s="185"/>
      <c r="O333" s="290"/>
      <c r="P333" s="185"/>
      <c r="Q333" s="185"/>
    </row>
    <row r="334" spans="13:17" x14ac:dyDescent="0.2">
      <c r="M334" s="185"/>
      <c r="N334" s="185"/>
      <c r="O334" s="290"/>
      <c r="P334" s="185"/>
      <c r="Q334" s="185"/>
    </row>
    <row r="335" spans="13:17" x14ac:dyDescent="0.2">
      <c r="M335" s="185"/>
      <c r="N335" s="185"/>
      <c r="O335" s="290"/>
      <c r="P335" s="185"/>
      <c r="Q335" s="185"/>
    </row>
    <row r="336" spans="13:17" x14ac:dyDescent="0.2">
      <c r="M336" s="185"/>
      <c r="N336" s="185"/>
      <c r="O336" s="290"/>
      <c r="P336" s="185"/>
      <c r="Q336" s="185"/>
    </row>
    <row r="337" spans="13:17" x14ac:dyDescent="0.2">
      <c r="M337" s="185"/>
      <c r="N337" s="185"/>
      <c r="O337" s="290"/>
      <c r="P337" s="185"/>
      <c r="Q337" s="185"/>
    </row>
    <row r="338" spans="13:17" x14ac:dyDescent="0.2">
      <c r="M338" s="185"/>
      <c r="N338" s="185"/>
      <c r="O338" s="290"/>
      <c r="P338" s="185"/>
      <c r="Q338" s="185"/>
    </row>
    <row r="339" spans="13:17" x14ac:dyDescent="0.2">
      <c r="M339" s="185"/>
      <c r="N339" s="185"/>
      <c r="O339" s="290"/>
      <c r="P339" s="185"/>
      <c r="Q339" s="185"/>
    </row>
    <row r="340" spans="13:17" x14ac:dyDescent="0.2">
      <c r="M340" s="185"/>
      <c r="N340" s="185"/>
      <c r="O340" s="290"/>
      <c r="P340" s="185"/>
      <c r="Q340" s="185"/>
    </row>
    <row r="341" spans="13:17" x14ac:dyDescent="0.2">
      <c r="M341" s="185"/>
      <c r="N341" s="185"/>
      <c r="O341" s="290"/>
      <c r="P341" s="185"/>
      <c r="Q341" s="185"/>
    </row>
    <row r="342" spans="13:17" x14ac:dyDescent="0.2">
      <c r="M342" s="185"/>
      <c r="N342" s="185"/>
      <c r="O342" s="290"/>
      <c r="P342" s="185"/>
      <c r="Q342" s="185"/>
    </row>
    <row r="343" spans="13:17" x14ac:dyDescent="0.2">
      <c r="M343" s="185"/>
      <c r="N343" s="185"/>
      <c r="O343" s="290"/>
      <c r="P343" s="185"/>
      <c r="Q343" s="185"/>
    </row>
    <row r="344" spans="13:17" x14ac:dyDescent="0.2">
      <c r="M344" s="185"/>
      <c r="N344" s="185"/>
      <c r="O344" s="290"/>
      <c r="P344" s="185"/>
      <c r="Q344" s="185"/>
    </row>
    <row r="345" spans="13:17" x14ac:dyDescent="0.2">
      <c r="M345" s="185"/>
      <c r="N345" s="185"/>
      <c r="O345" s="290"/>
      <c r="P345" s="185"/>
      <c r="Q345" s="185"/>
    </row>
    <row r="346" spans="13:17" x14ac:dyDescent="0.2">
      <c r="M346" s="185"/>
      <c r="N346" s="185"/>
      <c r="O346" s="290"/>
      <c r="P346" s="185"/>
      <c r="Q346" s="185"/>
    </row>
    <row r="347" spans="13:17" x14ac:dyDescent="0.2">
      <c r="M347" s="185"/>
      <c r="N347" s="185"/>
      <c r="O347" s="290"/>
      <c r="P347" s="185"/>
      <c r="Q347" s="185"/>
    </row>
    <row r="348" spans="13:17" x14ac:dyDescent="0.2">
      <c r="M348" s="185"/>
      <c r="N348" s="185"/>
      <c r="O348" s="290"/>
      <c r="P348" s="185"/>
      <c r="Q348" s="185"/>
    </row>
    <row r="349" spans="13:17" x14ac:dyDescent="0.2">
      <c r="M349" s="185"/>
      <c r="N349" s="185"/>
      <c r="O349" s="290"/>
      <c r="P349" s="185"/>
      <c r="Q349" s="185"/>
    </row>
    <row r="350" spans="13:17" x14ac:dyDescent="0.2">
      <c r="M350" s="185"/>
      <c r="N350" s="185"/>
      <c r="O350" s="290"/>
      <c r="P350" s="185"/>
      <c r="Q350" s="185"/>
    </row>
    <row r="351" spans="13:17" x14ac:dyDescent="0.2">
      <c r="M351" s="185"/>
      <c r="N351" s="185"/>
      <c r="O351" s="290"/>
      <c r="P351" s="185"/>
      <c r="Q351" s="185"/>
    </row>
    <row r="352" spans="13:17" x14ac:dyDescent="0.2">
      <c r="M352" s="185"/>
      <c r="N352" s="185"/>
      <c r="O352" s="290"/>
      <c r="P352" s="185"/>
      <c r="Q352" s="185"/>
    </row>
    <row r="353" spans="13:17" x14ac:dyDescent="0.2">
      <c r="M353" s="185"/>
      <c r="N353" s="185"/>
      <c r="O353" s="290"/>
      <c r="P353" s="185"/>
      <c r="Q353" s="185"/>
    </row>
    <row r="354" spans="13:17" x14ac:dyDescent="0.2">
      <c r="M354" s="185"/>
      <c r="N354" s="185"/>
      <c r="O354" s="290"/>
      <c r="P354" s="185"/>
      <c r="Q354" s="185"/>
    </row>
    <row r="355" spans="13:17" x14ac:dyDescent="0.2">
      <c r="M355" s="185"/>
      <c r="N355" s="185"/>
      <c r="O355" s="290"/>
      <c r="P355" s="185"/>
      <c r="Q355" s="185"/>
    </row>
    <row r="356" spans="13:17" x14ac:dyDescent="0.2">
      <c r="M356" s="185"/>
      <c r="N356" s="185"/>
      <c r="O356" s="290"/>
      <c r="P356" s="185"/>
      <c r="Q356" s="185"/>
    </row>
    <row r="357" spans="13:17" x14ac:dyDescent="0.2">
      <c r="M357" s="185"/>
      <c r="N357" s="185"/>
      <c r="O357" s="290"/>
      <c r="P357" s="185"/>
      <c r="Q357" s="185"/>
    </row>
    <row r="358" spans="13:17" x14ac:dyDescent="0.2">
      <c r="M358" s="185"/>
      <c r="N358" s="185"/>
      <c r="O358" s="290"/>
      <c r="P358" s="185"/>
      <c r="Q358" s="185"/>
    </row>
    <row r="359" spans="13:17" x14ac:dyDescent="0.2">
      <c r="M359" s="185"/>
      <c r="N359" s="185"/>
      <c r="O359" s="290"/>
      <c r="P359" s="185"/>
      <c r="Q359" s="185"/>
    </row>
    <row r="360" spans="13:17" x14ac:dyDescent="0.2">
      <c r="M360" s="185"/>
      <c r="N360" s="185"/>
      <c r="O360" s="290"/>
      <c r="P360" s="185"/>
      <c r="Q360" s="185"/>
    </row>
    <row r="361" spans="13:17" x14ac:dyDescent="0.2">
      <c r="M361" s="185"/>
      <c r="N361" s="185"/>
      <c r="O361" s="290"/>
      <c r="P361" s="185"/>
      <c r="Q361" s="185"/>
    </row>
    <row r="362" spans="13:17" x14ac:dyDescent="0.2">
      <c r="M362" s="185"/>
      <c r="N362" s="185"/>
      <c r="O362" s="290"/>
      <c r="P362" s="185"/>
      <c r="Q362" s="185"/>
    </row>
    <row r="363" spans="13:17" x14ac:dyDescent="0.2">
      <c r="M363" s="185"/>
      <c r="N363" s="185"/>
      <c r="O363" s="290"/>
      <c r="P363" s="185"/>
      <c r="Q363" s="185"/>
    </row>
    <row r="364" spans="13:17" x14ac:dyDescent="0.2">
      <c r="M364" s="185"/>
      <c r="N364" s="185"/>
      <c r="O364" s="290"/>
      <c r="P364" s="185"/>
      <c r="Q364" s="185"/>
    </row>
    <row r="365" spans="13:17" x14ac:dyDescent="0.2">
      <c r="M365" s="185"/>
      <c r="N365" s="185"/>
      <c r="O365" s="290"/>
      <c r="P365" s="185"/>
      <c r="Q365" s="185"/>
    </row>
    <row r="366" spans="13:17" x14ac:dyDescent="0.2">
      <c r="M366" s="185"/>
      <c r="N366" s="185"/>
      <c r="O366" s="290"/>
      <c r="P366" s="185"/>
      <c r="Q366" s="185"/>
    </row>
    <row r="367" spans="13:17" x14ac:dyDescent="0.2">
      <c r="M367" s="185"/>
      <c r="N367" s="185"/>
      <c r="O367" s="290"/>
      <c r="P367" s="185"/>
      <c r="Q367" s="185"/>
    </row>
    <row r="368" spans="13:17" x14ac:dyDescent="0.2">
      <c r="M368" s="185"/>
      <c r="N368" s="185"/>
      <c r="O368" s="290"/>
      <c r="P368" s="185"/>
      <c r="Q368" s="185"/>
    </row>
    <row r="369" spans="13:17" x14ac:dyDescent="0.2">
      <c r="M369" s="185"/>
      <c r="N369" s="185"/>
      <c r="O369" s="290"/>
      <c r="P369" s="185"/>
      <c r="Q369" s="185"/>
    </row>
    <row r="370" spans="13:17" x14ac:dyDescent="0.2">
      <c r="M370" s="185"/>
      <c r="N370" s="185"/>
      <c r="O370" s="290"/>
      <c r="P370" s="185"/>
      <c r="Q370" s="185"/>
    </row>
    <row r="371" spans="13:17" x14ac:dyDescent="0.2">
      <c r="M371" s="185"/>
      <c r="N371" s="185"/>
      <c r="O371" s="290"/>
      <c r="P371" s="185"/>
      <c r="Q371" s="185"/>
    </row>
    <row r="372" spans="13:17" x14ac:dyDescent="0.2">
      <c r="M372" s="185"/>
      <c r="N372" s="185"/>
      <c r="O372" s="290"/>
      <c r="P372" s="185"/>
      <c r="Q372" s="185"/>
    </row>
    <row r="373" spans="13:17" x14ac:dyDescent="0.2">
      <c r="M373" s="185"/>
      <c r="N373" s="185"/>
      <c r="O373" s="290"/>
      <c r="P373" s="185"/>
      <c r="Q373" s="185"/>
    </row>
    <row r="374" spans="13:17" x14ac:dyDescent="0.2">
      <c r="M374" s="185"/>
      <c r="N374" s="185"/>
      <c r="O374" s="290"/>
      <c r="P374" s="185"/>
      <c r="Q374" s="185"/>
    </row>
    <row r="375" spans="13:17" x14ac:dyDescent="0.2">
      <c r="M375" s="185"/>
      <c r="N375" s="185"/>
      <c r="O375" s="290"/>
      <c r="P375" s="185"/>
      <c r="Q375" s="185"/>
    </row>
    <row r="376" spans="13:17" x14ac:dyDescent="0.2">
      <c r="M376" s="185"/>
      <c r="N376" s="185"/>
      <c r="O376" s="290"/>
      <c r="P376" s="185"/>
      <c r="Q376" s="185"/>
    </row>
    <row r="377" spans="13:17" x14ac:dyDescent="0.2">
      <c r="M377" s="185"/>
      <c r="N377" s="185"/>
      <c r="O377" s="290"/>
      <c r="P377" s="185"/>
      <c r="Q377" s="185"/>
    </row>
    <row r="378" spans="13:17" x14ac:dyDescent="0.2">
      <c r="M378" s="185"/>
      <c r="N378" s="185"/>
      <c r="O378" s="290"/>
      <c r="P378" s="185"/>
      <c r="Q378" s="185"/>
    </row>
    <row r="379" spans="13:17" x14ac:dyDescent="0.2">
      <c r="M379" s="185"/>
      <c r="N379" s="185"/>
      <c r="O379" s="290"/>
      <c r="P379" s="185"/>
      <c r="Q379" s="185"/>
    </row>
    <row r="380" spans="13:17" x14ac:dyDescent="0.2">
      <c r="M380" s="185"/>
      <c r="N380" s="185"/>
      <c r="O380" s="290"/>
      <c r="P380" s="185"/>
      <c r="Q380" s="185"/>
    </row>
    <row r="381" spans="13:17" x14ac:dyDescent="0.2">
      <c r="M381" s="185"/>
      <c r="N381" s="185"/>
      <c r="O381" s="290"/>
      <c r="P381" s="185"/>
      <c r="Q381" s="185"/>
    </row>
    <row r="382" spans="13:17" x14ac:dyDescent="0.2">
      <c r="M382" s="185"/>
      <c r="N382" s="185"/>
      <c r="O382" s="290"/>
      <c r="P382" s="185"/>
      <c r="Q382" s="185"/>
    </row>
    <row r="383" spans="13:17" x14ac:dyDescent="0.2">
      <c r="M383" s="185"/>
      <c r="N383" s="185"/>
      <c r="O383" s="290"/>
      <c r="P383" s="185"/>
      <c r="Q383" s="185"/>
    </row>
    <row r="384" spans="13:17" x14ac:dyDescent="0.2">
      <c r="M384" s="185"/>
      <c r="N384" s="185"/>
      <c r="O384" s="290"/>
      <c r="P384" s="185"/>
      <c r="Q384" s="185"/>
    </row>
    <row r="385" spans="13:17" x14ac:dyDescent="0.2">
      <c r="M385" s="185"/>
      <c r="N385" s="185"/>
      <c r="O385" s="290"/>
      <c r="P385" s="185"/>
      <c r="Q385" s="185"/>
    </row>
    <row r="386" spans="13:17" x14ac:dyDescent="0.2">
      <c r="M386" s="185"/>
      <c r="N386" s="185"/>
      <c r="O386" s="290"/>
      <c r="P386" s="185"/>
      <c r="Q386" s="185"/>
    </row>
    <row r="387" spans="13:17" x14ac:dyDescent="0.2">
      <c r="M387" s="185"/>
      <c r="N387" s="185"/>
      <c r="O387" s="290"/>
      <c r="P387" s="185"/>
      <c r="Q387" s="185"/>
    </row>
    <row r="388" spans="13:17" x14ac:dyDescent="0.2">
      <c r="M388" s="185"/>
      <c r="N388" s="185"/>
      <c r="O388" s="290"/>
      <c r="P388" s="185"/>
      <c r="Q388" s="185"/>
    </row>
    <row r="389" spans="13:17" x14ac:dyDescent="0.2">
      <c r="M389" s="185"/>
      <c r="N389" s="185"/>
      <c r="O389" s="290"/>
      <c r="P389" s="185"/>
      <c r="Q389" s="185"/>
    </row>
    <row r="390" spans="13:17" x14ac:dyDescent="0.2">
      <c r="M390" s="185"/>
      <c r="N390" s="185"/>
      <c r="O390" s="290"/>
      <c r="P390" s="185"/>
      <c r="Q390" s="185"/>
    </row>
    <row r="391" spans="13:17" x14ac:dyDescent="0.2">
      <c r="M391" s="185"/>
      <c r="N391" s="185"/>
      <c r="O391" s="290"/>
      <c r="P391" s="185"/>
      <c r="Q391" s="185"/>
    </row>
    <row r="392" spans="13:17" x14ac:dyDescent="0.2">
      <c r="M392" s="185"/>
      <c r="N392" s="185"/>
      <c r="O392" s="290"/>
      <c r="P392" s="185"/>
      <c r="Q392" s="185"/>
    </row>
    <row r="393" spans="13:17" x14ac:dyDescent="0.2">
      <c r="M393" s="185"/>
      <c r="N393" s="185"/>
      <c r="O393" s="290"/>
      <c r="P393" s="185"/>
      <c r="Q393" s="185"/>
    </row>
    <row r="394" spans="13:17" x14ac:dyDescent="0.2">
      <c r="M394" s="185"/>
      <c r="N394" s="185"/>
      <c r="O394" s="290"/>
      <c r="P394" s="185"/>
      <c r="Q394" s="185"/>
    </row>
    <row r="395" spans="13:17" x14ac:dyDescent="0.2">
      <c r="M395" s="185"/>
      <c r="N395" s="185"/>
      <c r="O395" s="290"/>
      <c r="P395" s="185"/>
      <c r="Q395" s="185"/>
    </row>
    <row r="396" spans="13:17" x14ac:dyDescent="0.2">
      <c r="M396" s="185"/>
      <c r="N396" s="185"/>
      <c r="O396" s="290"/>
      <c r="P396" s="185"/>
      <c r="Q396" s="185"/>
    </row>
    <row r="397" spans="13:17" x14ac:dyDescent="0.2">
      <c r="M397" s="185"/>
      <c r="N397" s="185"/>
      <c r="O397" s="290"/>
      <c r="P397" s="185"/>
      <c r="Q397" s="185"/>
    </row>
    <row r="398" spans="13:17" x14ac:dyDescent="0.2">
      <c r="M398" s="185"/>
      <c r="N398" s="185"/>
      <c r="O398" s="290"/>
      <c r="P398" s="185"/>
      <c r="Q398" s="185"/>
    </row>
    <row r="399" spans="13:17" x14ac:dyDescent="0.2">
      <c r="M399" s="185"/>
      <c r="N399" s="185"/>
      <c r="O399" s="290"/>
      <c r="P399" s="185"/>
      <c r="Q399" s="185"/>
    </row>
    <row r="400" spans="13:17" x14ac:dyDescent="0.2">
      <c r="M400" s="185"/>
      <c r="N400" s="185"/>
      <c r="O400" s="290"/>
      <c r="P400" s="185"/>
      <c r="Q400" s="185"/>
    </row>
    <row r="401" spans="13:17" x14ac:dyDescent="0.2">
      <c r="M401" s="185"/>
      <c r="N401" s="185"/>
      <c r="O401" s="290"/>
      <c r="P401" s="185"/>
      <c r="Q401" s="185"/>
    </row>
    <row r="402" spans="13:17" x14ac:dyDescent="0.2">
      <c r="M402" s="185"/>
      <c r="N402" s="185"/>
      <c r="O402" s="290"/>
      <c r="P402" s="185"/>
      <c r="Q402" s="185"/>
    </row>
    <row r="403" spans="13:17" x14ac:dyDescent="0.2">
      <c r="M403" s="185"/>
      <c r="N403" s="185"/>
      <c r="O403" s="290"/>
      <c r="P403" s="185"/>
      <c r="Q403" s="185"/>
    </row>
    <row r="404" spans="13:17" x14ac:dyDescent="0.2">
      <c r="M404" s="185"/>
      <c r="N404" s="185"/>
      <c r="O404" s="290"/>
      <c r="P404" s="185"/>
      <c r="Q404" s="185"/>
    </row>
    <row r="405" spans="13:17" x14ac:dyDescent="0.2">
      <c r="M405" s="185"/>
      <c r="N405" s="185"/>
      <c r="O405" s="290"/>
      <c r="P405" s="185"/>
      <c r="Q405" s="185"/>
    </row>
    <row r="406" spans="13:17" x14ac:dyDescent="0.2">
      <c r="M406" s="185"/>
      <c r="N406" s="185"/>
      <c r="O406" s="290"/>
      <c r="P406" s="185"/>
      <c r="Q406" s="185"/>
    </row>
    <row r="407" spans="13:17" x14ac:dyDescent="0.2">
      <c r="M407" s="185"/>
      <c r="N407" s="185"/>
      <c r="O407" s="290"/>
      <c r="P407" s="185"/>
      <c r="Q407" s="185"/>
    </row>
    <row r="408" spans="13:17" x14ac:dyDescent="0.2">
      <c r="M408" s="185"/>
      <c r="N408" s="185"/>
      <c r="O408" s="290"/>
      <c r="P408" s="185"/>
      <c r="Q408" s="185"/>
    </row>
    <row r="409" spans="13:17" x14ac:dyDescent="0.2">
      <c r="M409" s="185"/>
      <c r="N409" s="185"/>
      <c r="O409" s="290"/>
      <c r="P409" s="185"/>
      <c r="Q409" s="185"/>
    </row>
    <row r="410" spans="13:17" x14ac:dyDescent="0.2">
      <c r="M410" s="185"/>
      <c r="N410" s="185"/>
      <c r="O410" s="290"/>
      <c r="P410" s="185"/>
      <c r="Q410" s="185"/>
    </row>
    <row r="411" spans="13:17" x14ac:dyDescent="0.2">
      <c r="M411" s="185"/>
      <c r="N411" s="185"/>
      <c r="O411" s="290"/>
      <c r="P411" s="185"/>
      <c r="Q411" s="185"/>
    </row>
    <row r="412" spans="13:17" x14ac:dyDescent="0.2">
      <c r="M412" s="185"/>
      <c r="N412" s="185"/>
      <c r="O412" s="290"/>
      <c r="P412" s="185"/>
      <c r="Q412" s="185"/>
    </row>
    <row r="413" spans="13:17" x14ac:dyDescent="0.2">
      <c r="M413" s="185"/>
      <c r="N413" s="185"/>
      <c r="O413" s="290"/>
      <c r="P413" s="185"/>
      <c r="Q413" s="185"/>
    </row>
    <row r="414" spans="13:17" x14ac:dyDescent="0.2">
      <c r="M414" s="185"/>
      <c r="N414" s="185"/>
      <c r="O414" s="290"/>
      <c r="P414" s="185"/>
      <c r="Q414" s="185"/>
    </row>
    <row r="415" spans="13:17" x14ac:dyDescent="0.2">
      <c r="M415" s="185"/>
      <c r="N415" s="185"/>
      <c r="O415" s="290"/>
      <c r="P415" s="185"/>
      <c r="Q415" s="185"/>
    </row>
    <row r="416" spans="13:17" x14ac:dyDescent="0.2">
      <c r="M416" s="185"/>
      <c r="N416" s="185"/>
      <c r="O416" s="290"/>
      <c r="P416" s="185"/>
      <c r="Q416" s="185"/>
    </row>
    <row r="417" spans="13:17" x14ac:dyDescent="0.2">
      <c r="M417" s="185"/>
      <c r="N417" s="185"/>
      <c r="O417" s="290"/>
      <c r="P417" s="185"/>
      <c r="Q417" s="185"/>
    </row>
    <row r="418" spans="13:17" x14ac:dyDescent="0.2">
      <c r="M418" s="185"/>
      <c r="N418" s="185"/>
      <c r="O418" s="290"/>
      <c r="P418" s="185"/>
      <c r="Q418" s="185"/>
    </row>
    <row r="419" spans="13:17" x14ac:dyDescent="0.2">
      <c r="M419" s="185"/>
      <c r="N419" s="185"/>
      <c r="O419" s="290"/>
      <c r="P419" s="185"/>
      <c r="Q419" s="185"/>
    </row>
    <row r="420" spans="13:17" x14ac:dyDescent="0.2">
      <c r="M420" s="185"/>
      <c r="N420" s="185"/>
      <c r="O420" s="290"/>
      <c r="P420" s="185"/>
      <c r="Q420" s="185"/>
    </row>
    <row r="421" spans="13:17" x14ac:dyDescent="0.2">
      <c r="M421" s="185"/>
      <c r="N421" s="185"/>
      <c r="O421" s="290"/>
      <c r="P421" s="185"/>
      <c r="Q421" s="185"/>
    </row>
    <row r="422" spans="13:17" x14ac:dyDescent="0.2">
      <c r="M422" s="185"/>
      <c r="N422" s="185"/>
      <c r="O422" s="290"/>
      <c r="P422" s="185"/>
      <c r="Q422" s="185"/>
    </row>
    <row r="423" spans="13:17" x14ac:dyDescent="0.2">
      <c r="M423" s="185"/>
      <c r="N423" s="185"/>
      <c r="O423" s="290"/>
      <c r="P423" s="185"/>
      <c r="Q423" s="185"/>
    </row>
    <row r="424" spans="13:17" x14ac:dyDescent="0.2">
      <c r="M424" s="185"/>
      <c r="N424" s="185"/>
      <c r="O424" s="290"/>
      <c r="P424" s="185"/>
      <c r="Q424" s="185"/>
    </row>
    <row r="425" spans="13:17" x14ac:dyDescent="0.2">
      <c r="M425" s="185"/>
      <c r="N425" s="185"/>
      <c r="O425" s="290"/>
      <c r="P425" s="185"/>
      <c r="Q425" s="185"/>
    </row>
    <row r="426" spans="13:17" x14ac:dyDescent="0.2">
      <c r="M426" s="185"/>
      <c r="N426" s="185"/>
      <c r="O426" s="290"/>
      <c r="P426" s="185"/>
      <c r="Q426" s="185"/>
    </row>
    <row r="427" spans="13:17" x14ac:dyDescent="0.2">
      <c r="M427" s="185"/>
      <c r="N427" s="185"/>
      <c r="O427" s="290"/>
      <c r="P427" s="185"/>
      <c r="Q427" s="185"/>
    </row>
    <row r="428" spans="13:17" x14ac:dyDescent="0.2">
      <c r="M428" s="185"/>
      <c r="N428" s="185"/>
      <c r="O428" s="290"/>
      <c r="P428" s="185"/>
      <c r="Q428" s="185"/>
    </row>
    <row r="429" spans="13:17" x14ac:dyDescent="0.2">
      <c r="M429" s="185"/>
      <c r="N429" s="185"/>
      <c r="O429" s="290"/>
      <c r="P429" s="185"/>
      <c r="Q429" s="185"/>
    </row>
    <row r="430" spans="13:17" x14ac:dyDescent="0.2">
      <c r="M430" s="185"/>
      <c r="N430" s="185"/>
      <c r="O430" s="290"/>
      <c r="P430" s="185"/>
      <c r="Q430" s="185"/>
    </row>
    <row r="431" spans="13:17" x14ac:dyDescent="0.2">
      <c r="M431" s="185"/>
      <c r="N431" s="185"/>
      <c r="O431" s="290"/>
      <c r="P431" s="185"/>
      <c r="Q431" s="185"/>
    </row>
    <row r="432" spans="13:17" x14ac:dyDescent="0.2">
      <c r="M432" s="185"/>
      <c r="N432" s="185"/>
      <c r="O432" s="290"/>
      <c r="P432" s="185"/>
      <c r="Q432" s="185"/>
    </row>
    <row r="433" spans="13:17" x14ac:dyDescent="0.2">
      <c r="M433" s="185"/>
      <c r="N433" s="185"/>
      <c r="O433" s="290"/>
      <c r="P433" s="185"/>
      <c r="Q433" s="185"/>
    </row>
    <row r="434" spans="13:17" x14ac:dyDescent="0.2">
      <c r="M434" s="185"/>
      <c r="N434" s="185"/>
      <c r="O434" s="290"/>
      <c r="P434" s="185"/>
      <c r="Q434" s="185"/>
    </row>
    <row r="435" spans="13:17" x14ac:dyDescent="0.2">
      <c r="M435" s="185"/>
      <c r="N435" s="185"/>
      <c r="O435" s="290"/>
      <c r="P435" s="185"/>
      <c r="Q435" s="185"/>
    </row>
    <row r="436" spans="13:17" x14ac:dyDescent="0.2">
      <c r="M436" s="185"/>
      <c r="N436" s="185"/>
      <c r="O436" s="290"/>
      <c r="P436" s="185"/>
      <c r="Q436" s="185"/>
    </row>
    <row r="437" spans="13:17" x14ac:dyDescent="0.2">
      <c r="M437" s="185"/>
      <c r="N437" s="185"/>
      <c r="O437" s="290"/>
      <c r="P437" s="185"/>
      <c r="Q437" s="185"/>
    </row>
    <row r="438" spans="13:17" x14ac:dyDescent="0.2">
      <c r="M438" s="185"/>
      <c r="N438" s="185"/>
      <c r="O438" s="290"/>
      <c r="P438" s="185"/>
      <c r="Q438" s="185"/>
    </row>
    <row r="439" spans="13:17" x14ac:dyDescent="0.2">
      <c r="M439" s="185"/>
      <c r="N439" s="185"/>
      <c r="O439" s="290"/>
      <c r="P439" s="185"/>
      <c r="Q439" s="185"/>
    </row>
    <row r="440" spans="13:17" x14ac:dyDescent="0.2">
      <c r="M440" s="185"/>
      <c r="N440" s="185"/>
      <c r="O440" s="290"/>
      <c r="P440" s="185"/>
      <c r="Q440" s="185"/>
    </row>
    <row r="441" spans="13:17" x14ac:dyDescent="0.2">
      <c r="M441" s="185"/>
      <c r="N441" s="185"/>
      <c r="O441" s="290"/>
      <c r="P441" s="185"/>
      <c r="Q441" s="185"/>
    </row>
    <row r="442" spans="13:17" x14ac:dyDescent="0.2">
      <c r="M442" s="185"/>
      <c r="N442" s="185"/>
      <c r="O442" s="290"/>
      <c r="P442" s="185"/>
      <c r="Q442" s="185"/>
    </row>
    <row r="443" spans="13:17" x14ac:dyDescent="0.2">
      <c r="M443" s="185"/>
      <c r="N443" s="185"/>
      <c r="O443" s="290"/>
      <c r="P443" s="185"/>
      <c r="Q443" s="185"/>
    </row>
    <row r="444" spans="13:17" x14ac:dyDescent="0.2">
      <c r="M444" s="185"/>
      <c r="N444" s="185"/>
      <c r="O444" s="290"/>
      <c r="P444" s="185"/>
      <c r="Q444" s="185"/>
    </row>
    <row r="445" spans="13:17" x14ac:dyDescent="0.2">
      <c r="M445" s="185"/>
      <c r="N445" s="185"/>
      <c r="O445" s="290"/>
      <c r="P445" s="185"/>
      <c r="Q445" s="185"/>
    </row>
    <row r="446" spans="13:17" x14ac:dyDescent="0.2">
      <c r="M446" s="185"/>
      <c r="N446" s="185"/>
      <c r="O446" s="290"/>
      <c r="P446" s="185"/>
      <c r="Q446" s="185"/>
    </row>
    <row r="447" spans="13:17" x14ac:dyDescent="0.2">
      <c r="M447" s="185"/>
      <c r="N447" s="185"/>
      <c r="O447" s="290"/>
      <c r="P447" s="185"/>
      <c r="Q447" s="185"/>
    </row>
    <row r="448" spans="13:17" x14ac:dyDescent="0.2">
      <c r="M448" s="185"/>
      <c r="N448" s="185"/>
      <c r="O448" s="290"/>
      <c r="P448" s="185"/>
      <c r="Q448" s="185"/>
    </row>
    <row r="449" spans="13:17" x14ac:dyDescent="0.2">
      <c r="M449" s="185"/>
      <c r="N449" s="185"/>
      <c r="O449" s="290"/>
      <c r="P449" s="185"/>
      <c r="Q449" s="185"/>
    </row>
    <row r="450" spans="13:17" x14ac:dyDescent="0.2">
      <c r="M450" s="185"/>
      <c r="N450" s="185"/>
      <c r="O450" s="290"/>
      <c r="P450" s="185"/>
      <c r="Q450" s="185"/>
    </row>
    <row r="451" spans="13:17" x14ac:dyDescent="0.2">
      <c r="M451" s="185"/>
      <c r="N451" s="185"/>
      <c r="O451" s="290"/>
      <c r="P451" s="185"/>
      <c r="Q451" s="185"/>
    </row>
    <row r="452" spans="13:17" x14ac:dyDescent="0.2">
      <c r="M452" s="185"/>
      <c r="N452" s="185"/>
      <c r="O452" s="290"/>
      <c r="P452" s="185"/>
      <c r="Q452" s="185"/>
    </row>
    <row r="453" spans="13:17" x14ac:dyDescent="0.2">
      <c r="M453" s="185"/>
      <c r="N453" s="185"/>
      <c r="O453" s="290"/>
      <c r="P453" s="185"/>
      <c r="Q453" s="185"/>
    </row>
    <row r="454" spans="13:17" x14ac:dyDescent="0.2">
      <c r="M454" s="185"/>
      <c r="N454" s="185"/>
      <c r="O454" s="290"/>
      <c r="P454" s="185"/>
      <c r="Q454" s="185"/>
    </row>
    <row r="455" spans="13:17" x14ac:dyDescent="0.2">
      <c r="M455" s="185"/>
      <c r="N455" s="185"/>
      <c r="O455" s="290"/>
      <c r="P455" s="185"/>
      <c r="Q455" s="185"/>
    </row>
    <row r="456" spans="13:17" x14ac:dyDescent="0.2">
      <c r="M456" s="185"/>
      <c r="N456" s="185"/>
      <c r="O456" s="290"/>
      <c r="P456" s="185"/>
      <c r="Q456" s="185"/>
    </row>
    <row r="457" spans="13:17" x14ac:dyDescent="0.2">
      <c r="M457" s="185"/>
      <c r="N457" s="185"/>
      <c r="O457" s="290"/>
      <c r="P457" s="185"/>
      <c r="Q457" s="185"/>
    </row>
    <row r="458" spans="13:17" x14ac:dyDescent="0.2">
      <c r="M458" s="185"/>
      <c r="N458" s="185"/>
      <c r="O458" s="290"/>
      <c r="P458" s="185"/>
      <c r="Q458" s="185"/>
    </row>
    <row r="459" spans="13:17" x14ac:dyDescent="0.2">
      <c r="M459" s="185"/>
      <c r="N459" s="185"/>
      <c r="O459" s="290"/>
      <c r="P459" s="185"/>
      <c r="Q459" s="185"/>
    </row>
    <row r="460" spans="13:17" x14ac:dyDescent="0.2">
      <c r="M460" s="185"/>
      <c r="N460" s="185"/>
      <c r="O460" s="290"/>
      <c r="P460" s="185"/>
      <c r="Q460" s="185"/>
    </row>
    <row r="461" spans="13:17" x14ac:dyDescent="0.2">
      <c r="M461" s="185"/>
      <c r="N461" s="185"/>
      <c r="O461" s="290"/>
      <c r="P461" s="185"/>
      <c r="Q461" s="185"/>
    </row>
    <row r="462" spans="13:17" x14ac:dyDescent="0.2">
      <c r="M462" s="185"/>
      <c r="N462" s="185"/>
      <c r="O462" s="290"/>
      <c r="P462" s="185"/>
      <c r="Q462" s="185"/>
    </row>
    <row r="463" spans="13:17" x14ac:dyDescent="0.2">
      <c r="M463" s="185"/>
      <c r="N463" s="185"/>
      <c r="O463" s="290"/>
      <c r="P463" s="185"/>
      <c r="Q463" s="185"/>
    </row>
  </sheetData>
  <pageMargins left="0.7" right="0.7" top="0.75" bottom="0.75" header="0.3" footer="0.3"/>
  <pageSetup paperSize="9" scale="31" fitToHeight="0"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Y462"/>
  <sheetViews>
    <sheetView zoomScaleNormal="100" workbookViewId="0">
      <selection activeCell="F12" sqref="F12"/>
    </sheetView>
  </sheetViews>
  <sheetFormatPr defaultRowHeight="12.75" x14ac:dyDescent="0.2"/>
  <cols>
    <col min="2" max="2" width="24" customWidth="1"/>
    <col min="3" max="3" width="9.140625" customWidth="1"/>
    <col min="4" max="4" width="11.85546875" customWidth="1"/>
    <col min="5" max="5" width="31.85546875" customWidth="1"/>
    <col min="6" max="6" width="11.140625" customWidth="1"/>
    <col min="7" max="7" width="13.85546875" customWidth="1"/>
    <col min="8" max="8" width="12.28515625" customWidth="1"/>
    <col min="9" max="9" width="11" customWidth="1"/>
    <col min="10" max="10" width="15.140625" customWidth="1"/>
    <col min="11" max="11" width="52.42578125" customWidth="1"/>
    <col min="12" max="12" width="66.85546875" customWidth="1"/>
    <col min="13" max="13" width="47.140625" customWidth="1"/>
    <col min="15" max="15" width="57" customWidth="1"/>
    <col min="25" max="25" width="52.7109375" customWidth="1"/>
  </cols>
  <sheetData>
    <row r="1" spans="1:25" ht="13.5" thickBot="1" x14ac:dyDescent="0.25">
      <c r="A1" s="6" t="s">
        <v>226</v>
      </c>
      <c r="B1" s="50"/>
      <c r="C1" s="50"/>
      <c r="D1" s="50"/>
      <c r="E1" s="50"/>
      <c r="F1" s="50"/>
      <c r="G1" s="50"/>
      <c r="H1" s="50"/>
      <c r="I1" s="50"/>
      <c r="J1" s="50"/>
      <c r="K1" s="50"/>
    </row>
    <row r="2" spans="1:25" x14ac:dyDescent="0.2">
      <c r="A2" s="122"/>
      <c r="B2" s="78"/>
      <c r="C2" s="78"/>
      <c r="D2" s="78"/>
      <c r="E2" s="78"/>
      <c r="F2" s="78"/>
      <c r="G2" s="78"/>
      <c r="J2" s="92" t="s">
        <v>56</v>
      </c>
      <c r="K2" s="85" t="s">
        <v>1484</v>
      </c>
    </row>
    <row r="3" spans="1:25" ht="13.5" thickBot="1" x14ac:dyDescent="0.25">
      <c r="A3" s="78"/>
      <c r="B3" s="78"/>
      <c r="C3" s="78"/>
      <c r="D3" s="78"/>
      <c r="E3" s="78"/>
      <c r="F3" s="78"/>
      <c r="G3" s="78"/>
      <c r="J3" s="93" t="s">
        <v>55</v>
      </c>
      <c r="K3" s="144">
        <v>2020</v>
      </c>
    </row>
    <row r="4" spans="1:25" ht="64.5" thickBot="1" x14ac:dyDescent="0.25">
      <c r="A4" s="102" t="s">
        <v>0</v>
      </c>
      <c r="B4" s="102" t="s">
        <v>1</v>
      </c>
      <c r="C4" s="95" t="s">
        <v>169</v>
      </c>
      <c r="D4" s="95" t="s">
        <v>58</v>
      </c>
      <c r="E4" s="126" t="s">
        <v>1144</v>
      </c>
      <c r="F4" s="126" t="s">
        <v>1145</v>
      </c>
      <c r="G4" s="126" t="s">
        <v>1146</v>
      </c>
      <c r="H4" s="126" t="s">
        <v>1147</v>
      </c>
      <c r="I4" s="126" t="s">
        <v>227</v>
      </c>
      <c r="J4" s="126" t="s">
        <v>228</v>
      </c>
      <c r="K4" s="126" t="s">
        <v>4</v>
      </c>
    </row>
    <row r="5" spans="1:25" ht="25.5" x14ac:dyDescent="0.2">
      <c r="A5" s="579" t="s">
        <v>276</v>
      </c>
      <c r="B5" s="579" t="s">
        <v>1133</v>
      </c>
      <c r="C5" s="579" t="s">
        <v>1134</v>
      </c>
      <c r="D5" s="580" t="s">
        <v>1672</v>
      </c>
      <c r="E5" s="579" t="s">
        <v>1135</v>
      </c>
      <c r="F5" s="579">
        <v>10</v>
      </c>
      <c r="G5" s="579">
        <v>498</v>
      </c>
      <c r="H5" s="579">
        <v>93394</v>
      </c>
      <c r="I5" s="579">
        <v>83951</v>
      </c>
      <c r="J5" s="579">
        <v>9443</v>
      </c>
      <c r="K5" s="572" t="s">
        <v>1136</v>
      </c>
      <c r="L5" s="185"/>
      <c r="M5" s="185"/>
      <c r="N5" s="185"/>
      <c r="O5" s="185"/>
      <c r="P5" s="185"/>
      <c r="Q5" s="185"/>
      <c r="R5" s="185"/>
      <c r="S5" s="185"/>
      <c r="T5" s="185"/>
      <c r="U5" s="185"/>
      <c r="V5" s="185"/>
      <c r="W5" s="185"/>
      <c r="X5" s="185"/>
      <c r="Y5" s="185"/>
    </row>
    <row r="6" spans="1:25" x14ac:dyDescent="0.2">
      <c r="A6" s="579" t="s">
        <v>276</v>
      </c>
      <c r="B6" s="579" t="s">
        <v>293</v>
      </c>
      <c r="C6" s="579" t="s">
        <v>1129</v>
      </c>
      <c r="D6" s="580" t="s">
        <v>1672</v>
      </c>
      <c r="E6" s="579" t="s">
        <v>1137</v>
      </c>
      <c r="F6" s="579">
        <v>5</v>
      </c>
      <c r="G6" s="579">
        <v>81</v>
      </c>
      <c r="H6" s="579">
        <v>1274</v>
      </c>
      <c r="I6" s="579">
        <v>1274</v>
      </c>
      <c r="J6" s="579">
        <v>0</v>
      </c>
      <c r="K6" s="579"/>
      <c r="L6" s="223"/>
      <c r="M6" s="224"/>
      <c r="N6" s="232"/>
      <c r="O6" s="233"/>
      <c r="P6" s="185"/>
      <c r="Q6" s="185"/>
      <c r="R6" s="185"/>
      <c r="S6" s="185"/>
      <c r="T6" s="185"/>
      <c r="U6" s="185"/>
      <c r="V6" s="185"/>
      <c r="W6" s="185"/>
      <c r="X6" s="185"/>
      <c r="Y6" s="185"/>
    </row>
    <row r="7" spans="1:25" x14ac:dyDescent="0.2">
      <c r="A7" s="580" t="s">
        <v>276</v>
      </c>
      <c r="B7" s="580" t="s">
        <v>362</v>
      </c>
      <c r="C7" s="580" t="s">
        <v>365</v>
      </c>
      <c r="D7" s="580" t="s">
        <v>1672</v>
      </c>
      <c r="E7" s="580" t="s">
        <v>1138</v>
      </c>
      <c r="F7" s="580">
        <v>10</v>
      </c>
      <c r="G7" s="580">
        <v>549</v>
      </c>
      <c r="H7" s="580">
        <v>3545</v>
      </c>
      <c r="I7" s="580">
        <v>2633</v>
      </c>
      <c r="J7" s="580">
        <v>913</v>
      </c>
      <c r="K7" s="580"/>
      <c r="L7" s="223"/>
      <c r="M7" s="224"/>
      <c r="N7" s="232"/>
      <c r="O7" s="233"/>
      <c r="P7" s="185"/>
      <c r="Q7" s="185"/>
      <c r="R7" s="185"/>
      <c r="S7" s="185"/>
      <c r="T7" s="185"/>
      <c r="U7" s="185"/>
      <c r="V7" s="185"/>
      <c r="W7" s="185"/>
      <c r="X7" s="185"/>
      <c r="Y7" s="185"/>
    </row>
    <row r="8" spans="1:25" x14ac:dyDescent="0.2">
      <c r="A8" s="580" t="s">
        <v>276</v>
      </c>
      <c r="B8" s="580" t="s">
        <v>362</v>
      </c>
      <c r="C8" s="580" t="s">
        <v>365</v>
      </c>
      <c r="D8" s="580" t="s">
        <v>1672</v>
      </c>
      <c r="E8" s="580" t="s">
        <v>1137</v>
      </c>
      <c r="F8" s="580">
        <v>15</v>
      </c>
      <c r="G8" s="580">
        <v>3003</v>
      </c>
      <c r="H8" s="580">
        <v>3854</v>
      </c>
      <c r="I8" s="580">
        <v>3046</v>
      </c>
      <c r="J8" s="580">
        <v>808</v>
      </c>
      <c r="K8" s="580"/>
      <c r="L8" s="223"/>
      <c r="M8" s="224"/>
      <c r="N8" s="232"/>
      <c r="O8" s="233"/>
      <c r="P8" s="185"/>
      <c r="Q8" s="185"/>
      <c r="R8" s="185"/>
      <c r="S8" s="185"/>
      <c r="T8" s="185"/>
      <c r="U8" s="185"/>
      <c r="V8" s="185"/>
      <c r="W8" s="185"/>
      <c r="X8" s="185"/>
      <c r="Y8" s="185"/>
    </row>
    <row r="9" spans="1:25" x14ac:dyDescent="0.2">
      <c r="A9" s="580" t="s">
        <v>276</v>
      </c>
      <c r="B9" s="580" t="s">
        <v>362</v>
      </c>
      <c r="C9" s="580" t="s">
        <v>409</v>
      </c>
      <c r="D9" s="580" t="s">
        <v>1672</v>
      </c>
      <c r="E9" s="580" t="s">
        <v>1138</v>
      </c>
      <c r="F9" s="580">
        <v>3</v>
      </c>
      <c r="G9" s="580">
        <v>95</v>
      </c>
      <c r="H9" s="580">
        <v>1484</v>
      </c>
      <c r="I9" s="580">
        <v>1446</v>
      </c>
      <c r="J9" s="580">
        <v>38</v>
      </c>
      <c r="K9" s="580"/>
      <c r="L9" s="223"/>
      <c r="M9" s="224"/>
      <c r="N9" s="232"/>
      <c r="O9" s="233"/>
      <c r="P9" s="185"/>
      <c r="Q9" s="185"/>
      <c r="R9" s="185"/>
      <c r="S9" s="185"/>
      <c r="T9" s="185"/>
      <c r="U9" s="185"/>
      <c r="V9" s="185"/>
      <c r="W9" s="185"/>
      <c r="X9" s="185"/>
      <c r="Y9" s="185"/>
    </row>
    <row r="10" spans="1:25" x14ac:dyDescent="0.2">
      <c r="A10" s="580" t="s">
        <v>276</v>
      </c>
      <c r="B10" s="580" t="s">
        <v>362</v>
      </c>
      <c r="C10" s="580" t="s">
        <v>409</v>
      </c>
      <c r="D10" s="580" t="s">
        <v>1672</v>
      </c>
      <c r="E10" s="580" t="s">
        <v>1137</v>
      </c>
      <c r="F10" s="580">
        <v>2</v>
      </c>
      <c r="G10" s="580">
        <v>27</v>
      </c>
      <c r="H10" s="580">
        <v>188</v>
      </c>
      <c r="I10" s="580">
        <v>0</v>
      </c>
      <c r="J10" s="580">
        <v>188</v>
      </c>
      <c r="K10" s="580" t="s">
        <v>1675</v>
      </c>
      <c r="L10" s="223"/>
      <c r="M10" s="224"/>
      <c r="N10" s="232"/>
      <c r="O10" s="233"/>
      <c r="P10" s="185"/>
      <c r="Q10" s="185"/>
      <c r="R10" s="185"/>
      <c r="S10" s="185"/>
      <c r="T10" s="185"/>
      <c r="U10" s="185"/>
      <c r="V10" s="185"/>
      <c r="W10" s="185"/>
      <c r="X10" s="185"/>
      <c r="Y10" s="185"/>
    </row>
    <row r="11" spans="1:25" x14ac:dyDescent="0.2">
      <c r="A11" s="580" t="s">
        <v>276</v>
      </c>
      <c r="B11" s="580" t="s">
        <v>362</v>
      </c>
      <c r="C11" s="580" t="s">
        <v>384</v>
      </c>
      <c r="D11" s="580" t="s">
        <v>1672</v>
      </c>
      <c r="E11" s="580" t="s">
        <v>1138</v>
      </c>
      <c r="F11" s="580">
        <v>13</v>
      </c>
      <c r="G11" s="580">
        <v>932</v>
      </c>
      <c r="H11" s="580">
        <v>1510</v>
      </c>
      <c r="I11" s="580">
        <v>1485</v>
      </c>
      <c r="J11" s="580">
        <v>24</v>
      </c>
      <c r="K11" s="580"/>
      <c r="L11" s="223"/>
      <c r="M11" s="224"/>
      <c r="N11" s="232"/>
      <c r="O11" s="233"/>
      <c r="P11" s="185"/>
      <c r="Q11" s="185"/>
      <c r="R11" s="185"/>
      <c r="S11" s="185"/>
      <c r="T11" s="185"/>
      <c r="U11" s="185"/>
      <c r="V11" s="185"/>
      <c r="W11" s="185"/>
      <c r="X11" s="185"/>
      <c r="Y11" s="185"/>
    </row>
    <row r="12" spans="1:25" x14ac:dyDescent="0.2">
      <c r="A12" s="580" t="s">
        <v>276</v>
      </c>
      <c r="B12" s="580" t="s">
        <v>362</v>
      </c>
      <c r="C12" s="580" t="s">
        <v>384</v>
      </c>
      <c r="D12" s="580" t="s">
        <v>1672</v>
      </c>
      <c r="E12" s="580" t="s">
        <v>1137</v>
      </c>
      <c r="F12" s="580">
        <v>16</v>
      </c>
      <c r="G12" s="580">
        <v>11963</v>
      </c>
      <c r="H12" s="580">
        <v>5913</v>
      </c>
      <c r="I12" s="580">
        <v>5874</v>
      </c>
      <c r="J12" s="580">
        <v>39</v>
      </c>
      <c r="K12" s="580"/>
      <c r="L12" s="223"/>
      <c r="M12" s="224"/>
      <c r="N12" s="232"/>
      <c r="O12" s="233"/>
      <c r="P12" s="185"/>
      <c r="Q12" s="185"/>
      <c r="R12" s="185"/>
      <c r="S12" s="185"/>
      <c r="T12" s="185"/>
      <c r="U12" s="185"/>
      <c r="V12" s="185"/>
      <c r="W12" s="185"/>
      <c r="X12" s="185"/>
      <c r="Y12" s="185"/>
    </row>
    <row r="13" spans="1:25" x14ac:dyDescent="0.2">
      <c r="A13" s="580" t="s">
        <v>276</v>
      </c>
      <c r="B13" s="580" t="s">
        <v>362</v>
      </c>
      <c r="C13" s="580" t="s">
        <v>384</v>
      </c>
      <c r="D13" s="580" t="s">
        <v>1672</v>
      </c>
      <c r="E13" s="580" t="s">
        <v>1139</v>
      </c>
      <c r="F13" s="580">
        <v>7</v>
      </c>
      <c r="G13" s="580">
        <v>899</v>
      </c>
      <c r="H13" s="580">
        <v>1146</v>
      </c>
      <c r="I13" s="580">
        <v>1095</v>
      </c>
      <c r="J13" s="580">
        <v>51</v>
      </c>
      <c r="K13" s="580"/>
      <c r="L13" s="222"/>
      <c r="M13" s="224"/>
      <c r="N13" s="232"/>
      <c r="O13" s="233"/>
      <c r="P13" s="185"/>
      <c r="Q13" s="185"/>
      <c r="R13" s="185"/>
      <c r="S13" s="185"/>
      <c r="T13" s="185"/>
      <c r="U13" s="185"/>
      <c r="V13" s="185"/>
      <c r="W13" s="185"/>
      <c r="X13" s="185"/>
      <c r="Y13" s="185"/>
    </row>
    <row r="14" spans="1:25" x14ac:dyDescent="0.2">
      <c r="A14" s="580" t="s">
        <v>276</v>
      </c>
      <c r="B14" s="580" t="s">
        <v>362</v>
      </c>
      <c r="C14" s="580" t="s">
        <v>384</v>
      </c>
      <c r="D14" s="580" t="s">
        <v>1672</v>
      </c>
      <c r="E14" s="580" t="s">
        <v>1135</v>
      </c>
      <c r="F14" s="580">
        <v>6</v>
      </c>
      <c r="G14" s="580">
        <v>305</v>
      </c>
      <c r="H14" s="580">
        <v>2457</v>
      </c>
      <c r="I14" s="580">
        <v>2457</v>
      </c>
      <c r="J14" s="580">
        <v>0</v>
      </c>
      <c r="K14" s="580"/>
      <c r="L14" s="222"/>
      <c r="M14" s="224"/>
      <c r="N14" s="232"/>
      <c r="O14" s="233"/>
      <c r="P14" s="185"/>
      <c r="Q14" s="185"/>
      <c r="R14" s="185"/>
      <c r="S14" s="185"/>
      <c r="T14" s="185"/>
      <c r="U14" s="185"/>
      <c r="V14" s="185"/>
      <c r="W14" s="185"/>
      <c r="X14" s="185"/>
      <c r="Y14" s="185"/>
    </row>
    <row r="15" spans="1:25" x14ac:dyDescent="0.2">
      <c r="A15" s="580" t="s">
        <v>276</v>
      </c>
      <c r="B15" s="580" t="s">
        <v>362</v>
      </c>
      <c r="C15" s="580" t="s">
        <v>1122</v>
      </c>
      <c r="D15" s="580" t="s">
        <v>1672</v>
      </c>
      <c r="E15" s="580" t="s">
        <v>1138</v>
      </c>
      <c r="F15" s="580">
        <v>23</v>
      </c>
      <c r="G15" s="580">
        <v>4315</v>
      </c>
      <c r="H15" s="580">
        <v>24917</v>
      </c>
      <c r="I15" s="580">
        <v>6748</v>
      </c>
      <c r="J15" s="580">
        <v>18169</v>
      </c>
      <c r="K15" s="580"/>
      <c r="L15" s="222"/>
      <c r="M15" s="224"/>
      <c r="N15" s="232"/>
      <c r="O15" s="233"/>
      <c r="P15" s="185"/>
      <c r="Q15" s="185"/>
      <c r="R15" s="185"/>
      <c r="S15" s="185"/>
      <c r="T15" s="185"/>
      <c r="U15" s="185"/>
      <c r="V15" s="185"/>
      <c r="W15" s="185"/>
      <c r="X15" s="185"/>
      <c r="Y15" s="185"/>
    </row>
    <row r="16" spans="1:25" x14ac:dyDescent="0.2">
      <c r="A16" s="580" t="s">
        <v>276</v>
      </c>
      <c r="B16" s="580" t="s">
        <v>362</v>
      </c>
      <c r="C16" s="580" t="s">
        <v>1122</v>
      </c>
      <c r="D16" s="580" t="s">
        <v>1672</v>
      </c>
      <c r="E16" s="580" t="s">
        <v>1137</v>
      </c>
      <c r="F16" s="580">
        <v>33</v>
      </c>
      <c r="G16" s="580">
        <v>7207</v>
      </c>
      <c r="H16" s="580">
        <v>2353</v>
      </c>
      <c r="I16" s="580">
        <v>2296</v>
      </c>
      <c r="J16" s="580">
        <v>57</v>
      </c>
      <c r="K16" s="580"/>
      <c r="L16" s="222"/>
      <c r="M16" s="224"/>
      <c r="N16" s="232"/>
      <c r="O16" s="233"/>
      <c r="P16" s="185"/>
      <c r="Q16" s="185"/>
      <c r="R16" s="185"/>
      <c r="S16" s="185"/>
      <c r="T16" s="185"/>
      <c r="U16" s="185"/>
      <c r="V16" s="185"/>
      <c r="W16" s="185"/>
      <c r="X16" s="185"/>
      <c r="Y16" s="185"/>
    </row>
    <row r="17" spans="1:25" x14ac:dyDescent="0.2">
      <c r="A17" s="580" t="s">
        <v>276</v>
      </c>
      <c r="B17" s="580" t="s">
        <v>362</v>
      </c>
      <c r="C17" s="580" t="s">
        <v>1122</v>
      </c>
      <c r="D17" s="580" t="s">
        <v>1672</v>
      </c>
      <c r="E17" s="580" t="s">
        <v>1139</v>
      </c>
      <c r="F17" s="580">
        <v>14</v>
      </c>
      <c r="G17" s="580">
        <v>1194</v>
      </c>
      <c r="H17" s="580">
        <v>2039</v>
      </c>
      <c r="I17" s="580">
        <v>1820</v>
      </c>
      <c r="J17" s="580">
        <v>219</v>
      </c>
      <c r="K17" s="580"/>
      <c r="L17" s="223"/>
      <c r="M17" s="225"/>
      <c r="N17" s="223"/>
      <c r="O17" s="233"/>
      <c r="P17" s="185"/>
      <c r="Q17" s="185"/>
      <c r="R17" s="185"/>
      <c r="S17" s="185"/>
      <c r="T17" s="185"/>
      <c r="U17" s="185"/>
      <c r="V17" s="185"/>
      <c r="W17" s="185"/>
      <c r="X17" s="185"/>
      <c r="Y17" s="185"/>
    </row>
    <row r="18" spans="1:25" x14ac:dyDescent="0.2">
      <c r="A18" s="580" t="s">
        <v>276</v>
      </c>
      <c r="B18" s="580" t="s">
        <v>362</v>
      </c>
      <c r="C18" s="580" t="s">
        <v>1122</v>
      </c>
      <c r="D18" s="580" t="s">
        <v>1672</v>
      </c>
      <c r="E18" s="580" t="s">
        <v>1135</v>
      </c>
      <c r="F18" s="580">
        <v>12</v>
      </c>
      <c r="G18" s="580">
        <v>548</v>
      </c>
      <c r="H18" s="580">
        <v>43948</v>
      </c>
      <c r="I18" s="580">
        <v>34750</v>
      </c>
      <c r="J18" s="580">
        <v>9198</v>
      </c>
      <c r="K18" s="580"/>
      <c r="L18" s="223"/>
      <c r="M18" s="225"/>
      <c r="N18" s="223"/>
      <c r="O18" s="233"/>
      <c r="P18" s="185"/>
      <c r="Q18" s="185"/>
      <c r="R18" s="185"/>
      <c r="S18" s="185"/>
      <c r="T18" s="185"/>
      <c r="U18" s="185"/>
      <c r="V18" s="185"/>
      <c r="W18" s="185"/>
      <c r="X18" s="185"/>
      <c r="Y18" s="185"/>
    </row>
    <row r="19" spans="1:25" x14ac:dyDescent="0.2">
      <c r="A19" s="580" t="s">
        <v>276</v>
      </c>
      <c r="B19" s="580" t="s">
        <v>362</v>
      </c>
      <c r="C19" s="580" t="s">
        <v>1127</v>
      </c>
      <c r="D19" s="580" t="s">
        <v>1672</v>
      </c>
      <c r="E19" s="580" t="s">
        <v>1138</v>
      </c>
      <c r="F19" s="580">
        <v>14</v>
      </c>
      <c r="G19" s="580">
        <v>3500</v>
      </c>
      <c r="H19" s="580">
        <v>15299</v>
      </c>
      <c r="I19" s="580">
        <v>14839</v>
      </c>
      <c r="J19" s="580">
        <v>459</v>
      </c>
      <c r="K19" s="580"/>
      <c r="L19" s="223"/>
      <c r="M19" s="225"/>
      <c r="N19" s="223"/>
      <c r="O19" s="233"/>
      <c r="P19" s="185"/>
      <c r="Q19" s="185"/>
      <c r="R19" s="185"/>
      <c r="S19" s="185"/>
      <c r="T19" s="185"/>
      <c r="U19" s="185"/>
      <c r="V19" s="185"/>
      <c r="W19" s="185"/>
      <c r="X19" s="185"/>
      <c r="Y19" s="185"/>
    </row>
    <row r="20" spans="1:25" x14ac:dyDescent="0.2">
      <c r="A20" s="580" t="s">
        <v>276</v>
      </c>
      <c r="B20" s="580" t="s">
        <v>362</v>
      </c>
      <c r="C20" s="580" t="s">
        <v>1127</v>
      </c>
      <c r="D20" s="580" t="s">
        <v>1672</v>
      </c>
      <c r="E20" s="580" t="s">
        <v>1137</v>
      </c>
      <c r="F20" s="580">
        <v>12</v>
      </c>
      <c r="G20" s="580">
        <v>1780</v>
      </c>
      <c r="H20" s="580">
        <v>913</v>
      </c>
      <c r="I20" s="580">
        <v>912</v>
      </c>
      <c r="J20" s="580">
        <v>1</v>
      </c>
      <c r="K20" s="580"/>
      <c r="L20" s="223"/>
      <c r="M20" s="225"/>
      <c r="N20" s="223"/>
      <c r="O20" s="233"/>
      <c r="P20" s="185"/>
      <c r="Q20" s="185"/>
      <c r="R20" s="185"/>
      <c r="S20" s="185"/>
      <c r="T20" s="185"/>
      <c r="U20" s="185"/>
      <c r="V20" s="185"/>
      <c r="W20" s="185"/>
      <c r="X20" s="185"/>
      <c r="Y20" s="185"/>
    </row>
    <row r="21" spans="1:25" x14ac:dyDescent="0.2">
      <c r="A21" s="580" t="s">
        <v>276</v>
      </c>
      <c r="B21" s="580" t="s">
        <v>362</v>
      </c>
      <c r="C21" s="580" t="s">
        <v>1127</v>
      </c>
      <c r="D21" s="580" t="s">
        <v>1672</v>
      </c>
      <c r="E21" s="580" t="s">
        <v>1139</v>
      </c>
      <c r="F21" s="580">
        <v>10</v>
      </c>
      <c r="G21" s="580">
        <v>1603</v>
      </c>
      <c r="H21" s="580">
        <v>3107</v>
      </c>
      <c r="I21" s="580">
        <v>3055</v>
      </c>
      <c r="J21" s="580">
        <v>52</v>
      </c>
      <c r="K21" s="580"/>
      <c r="L21" s="223"/>
      <c r="M21" s="225"/>
      <c r="N21" s="223"/>
      <c r="O21" s="233"/>
      <c r="P21" s="185"/>
      <c r="Q21" s="185"/>
      <c r="R21" s="185"/>
      <c r="S21" s="185"/>
      <c r="T21" s="185"/>
      <c r="U21" s="185"/>
      <c r="V21" s="185"/>
      <c r="W21" s="185"/>
      <c r="X21" s="185"/>
      <c r="Y21" s="185"/>
    </row>
    <row r="22" spans="1:25" x14ac:dyDescent="0.2">
      <c r="A22" s="580" t="s">
        <v>276</v>
      </c>
      <c r="B22" s="580" t="s">
        <v>362</v>
      </c>
      <c r="C22" s="580" t="s">
        <v>1127</v>
      </c>
      <c r="D22" s="580" t="s">
        <v>1672</v>
      </c>
      <c r="E22" s="580" t="s">
        <v>1135</v>
      </c>
      <c r="F22" s="580">
        <v>8</v>
      </c>
      <c r="G22" s="580">
        <v>153</v>
      </c>
      <c r="H22" s="580">
        <v>7120</v>
      </c>
      <c r="I22" s="580">
        <v>7120</v>
      </c>
      <c r="J22" s="580">
        <v>0</v>
      </c>
      <c r="K22" s="580"/>
      <c r="L22" s="223"/>
      <c r="M22" s="225"/>
      <c r="N22" s="223"/>
      <c r="O22" s="233"/>
      <c r="P22" s="185"/>
      <c r="Q22" s="185"/>
      <c r="R22" s="185"/>
      <c r="S22" s="185"/>
      <c r="T22" s="185"/>
      <c r="U22" s="185"/>
      <c r="V22" s="185"/>
      <c r="W22" s="185"/>
      <c r="X22" s="185"/>
      <c r="Y22" s="185"/>
    </row>
    <row r="23" spans="1:25" x14ac:dyDescent="0.2">
      <c r="A23" s="580" t="s">
        <v>276</v>
      </c>
      <c r="B23" s="580" t="s">
        <v>500</v>
      </c>
      <c r="C23" s="580" t="s">
        <v>402</v>
      </c>
      <c r="D23" s="580" t="s">
        <v>1672</v>
      </c>
      <c r="E23" s="580" t="s">
        <v>1138</v>
      </c>
      <c r="F23" s="580">
        <v>2</v>
      </c>
      <c r="G23" s="580">
        <v>17</v>
      </c>
      <c r="H23" s="580">
        <v>7611</v>
      </c>
      <c r="I23" s="580">
        <v>7232</v>
      </c>
      <c r="J23" s="580">
        <v>379</v>
      </c>
      <c r="K23" s="580" t="s">
        <v>1676</v>
      </c>
      <c r="L23" s="223"/>
      <c r="M23" s="225"/>
      <c r="N23" s="223"/>
      <c r="O23" s="233"/>
      <c r="P23" s="185"/>
      <c r="Q23" s="185"/>
      <c r="R23" s="185"/>
      <c r="S23" s="185"/>
      <c r="T23" s="185"/>
      <c r="U23" s="185"/>
      <c r="V23" s="185"/>
      <c r="W23" s="185"/>
      <c r="X23" s="185"/>
      <c r="Y23" s="185"/>
    </row>
    <row r="24" spans="1:25" x14ac:dyDescent="0.2">
      <c r="A24" s="580" t="s">
        <v>276</v>
      </c>
      <c r="B24" s="580" t="s">
        <v>500</v>
      </c>
      <c r="C24" s="580" t="s">
        <v>402</v>
      </c>
      <c r="D24" s="580" t="s">
        <v>1672</v>
      </c>
      <c r="E24" s="580" t="s">
        <v>1135</v>
      </c>
      <c r="F24" s="580">
        <v>4</v>
      </c>
      <c r="G24" s="580">
        <v>46</v>
      </c>
      <c r="H24" s="580">
        <v>1192</v>
      </c>
      <c r="I24" s="580">
        <v>1192</v>
      </c>
      <c r="J24" s="580">
        <v>0</v>
      </c>
      <c r="K24" s="580" t="s">
        <v>1677</v>
      </c>
      <c r="L24" s="228"/>
      <c r="M24" s="229"/>
      <c r="N24" s="230"/>
      <c r="O24" s="233"/>
      <c r="P24" s="185"/>
      <c r="Q24" s="185"/>
      <c r="R24" s="185"/>
      <c r="S24" s="185"/>
      <c r="T24" s="185"/>
      <c r="U24" s="185"/>
      <c r="V24" s="185"/>
      <c r="W24" s="185"/>
      <c r="X24" s="185"/>
      <c r="Y24" s="185"/>
    </row>
    <row r="25" spans="1:25" x14ac:dyDescent="0.2">
      <c r="A25" s="581"/>
      <c r="B25" s="581"/>
      <c r="C25" s="581"/>
      <c r="D25" s="581"/>
      <c r="E25" s="581"/>
      <c r="F25" s="581"/>
      <c r="G25" s="581"/>
      <c r="H25" s="581"/>
      <c r="I25" s="581"/>
      <c r="J25" s="581"/>
      <c r="K25" s="581"/>
      <c r="L25" s="225"/>
      <c r="M25" s="225"/>
      <c r="N25" s="225"/>
      <c r="O25" s="233"/>
      <c r="P25" s="185"/>
      <c r="Q25" s="185"/>
      <c r="R25" s="185"/>
      <c r="S25" s="185"/>
      <c r="T25" s="185"/>
      <c r="U25" s="185"/>
      <c r="V25" s="185"/>
      <c r="W25" s="185"/>
      <c r="X25" s="185"/>
      <c r="Y25" s="185"/>
    </row>
    <row r="26" spans="1:25" x14ac:dyDescent="0.2">
      <c r="A26" s="574"/>
      <c r="B26" s="574"/>
      <c r="C26" s="574"/>
      <c r="D26" s="574"/>
      <c r="E26" s="574"/>
      <c r="F26" s="574"/>
      <c r="G26" s="574"/>
      <c r="H26" s="574"/>
      <c r="I26" s="574"/>
      <c r="J26" s="574"/>
      <c r="K26" s="574"/>
      <c r="L26" s="225"/>
      <c r="M26" s="225"/>
      <c r="N26" s="225"/>
      <c r="O26" s="233"/>
      <c r="P26" s="185"/>
      <c r="Q26" s="185"/>
      <c r="R26" s="185"/>
      <c r="S26" s="185"/>
      <c r="T26" s="185"/>
      <c r="U26" s="185"/>
      <c r="V26" s="185"/>
      <c r="W26" s="185"/>
      <c r="X26" s="185"/>
      <c r="Y26" s="185"/>
    </row>
    <row r="27" spans="1:25" x14ac:dyDescent="0.2">
      <c r="A27" s="574" t="s">
        <v>1140</v>
      </c>
      <c r="B27" s="574"/>
      <c r="C27" s="574"/>
      <c r="D27" s="574"/>
      <c r="E27" s="574"/>
      <c r="F27" s="574"/>
      <c r="G27" s="574"/>
      <c r="H27" s="574"/>
      <c r="I27" s="574"/>
      <c r="J27" s="574"/>
      <c r="K27" s="574"/>
      <c r="L27" s="225"/>
      <c r="M27" s="225"/>
      <c r="N27" s="225"/>
      <c r="O27" s="233"/>
      <c r="P27" s="185"/>
      <c r="Q27" s="185"/>
      <c r="R27" s="185"/>
      <c r="S27" s="185"/>
      <c r="T27" s="185"/>
      <c r="U27" s="185"/>
      <c r="V27" s="185"/>
      <c r="W27" s="185"/>
      <c r="X27" s="185"/>
      <c r="Y27" s="185"/>
    </row>
    <row r="28" spans="1:25" x14ac:dyDescent="0.2">
      <c r="A28" s="574" t="s">
        <v>1141</v>
      </c>
      <c r="B28" s="574"/>
      <c r="C28" s="574"/>
      <c r="D28" s="574"/>
      <c r="E28" s="574"/>
      <c r="F28" s="574"/>
      <c r="G28" s="574"/>
      <c r="H28" s="574"/>
      <c r="I28" s="574"/>
      <c r="J28" s="574"/>
      <c r="K28" s="574"/>
      <c r="L28" s="225"/>
      <c r="M28" s="225"/>
      <c r="N28" s="225"/>
      <c r="O28" s="233"/>
      <c r="P28" s="185"/>
      <c r="Q28" s="185"/>
      <c r="R28" s="185"/>
      <c r="S28" s="185"/>
      <c r="T28" s="185"/>
      <c r="U28" s="185"/>
      <c r="V28" s="185"/>
      <c r="W28" s="185"/>
      <c r="X28" s="185"/>
      <c r="Y28" s="185"/>
    </row>
    <row r="29" spans="1:25" x14ac:dyDescent="0.2">
      <c r="A29" s="574" t="s">
        <v>1142</v>
      </c>
      <c r="B29" s="574"/>
      <c r="C29" s="574"/>
      <c r="D29" s="574"/>
      <c r="E29" s="574"/>
      <c r="F29" s="574"/>
      <c r="G29" s="574"/>
      <c r="H29" s="574"/>
      <c r="I29" s="574"/>
      <c r="J29" s="574"/>
      <c r="K29" s="574"/>
      <c r="L29" s="185"/>
      <c r="M29" s="185"/>
      <c r="N29" s="185"/>
      <c r="O29" s="185"/>
      <c r="P29" s="185"/>
      <c r="Q29" s="185"/>
      <c r="R29" s="185"/>
      <c r="S29" s="185"/>
      <c r="T29" s="185"/>
      <c r="U29" s="185"/>
      <c r="V29" s="185"/>
      <c r="W29" s="185"/>
      <c r="X29" s="185"/>
      <c r="Y29" s="185"/>
    </row>
    <row r="30" spans="1:25" x14ac:dyDescent="0.2">
      <c r="A30" s="574" t="s">
        <v>1143</v>
      </c>
      <c r="B30" s="574"/>
      <c r="C30" s="574"/>
      <c r="D30" s="574"/>
      <c r="E30" s="574"/>
      <c r="F30" s="574"/>
      <c r="G30" s="574"/>
      <c r="H30" s="574"/>
      <c r="I30" s="574"/>
      <c r="J30" s="574"/>
      <c r="K30" s="574"/>
      <c r="L30" s="185"/>
      <c r="M30" s="185"/>
      <c r="N30" s="185"/>
      <c r="O30" s="185"/>
      <c r="P30" s="185"/>
      <c r="Q30" s="185"/>
      <c r="R30" s="185"/>
      <c r="S30" s="185"/>
      <c r="T30" s="185"/>
      <c r="U30" s="185"/>
      <c r="V30" s="185"/>
      <c r="W30" s="185"/>
      <c r="X30" s="185"/>
      <c r="Y30" s="185"/>
    </row>
    <row r="31" spans="1:25" x14ac:dyDescent="0.2">
      <c r="L31" s="185"/>
      <c r="M31" s="185"/>
      <c r="N31" s="185"/>
      <c r="O31" s="185"/>
      <c r="P31" s="185"/>
      <c r="Q31" s="185"/>
      <c r="R31" s="185"/>
      <c r="S31" s="185"/>
      <c r="T31" s="185"/>
      <c r="U31" s="185"/>
      <c r="V31" s="185"/>
      <c r="W31" s="185"/>
      <c r="X31" s="185"/>
      <c r="Y31" s="185"/>
    </row>
    <row r="32" spans="1:25" x14ac:dyDescent="0.2">
      <c r="L32" s="185"/>
      <c r="M32" s="185"/>
      <c r="N32" s="185"/>
      <c r="O32" s="185"/>
      <c r="P32" s="185"/>
      <c r="Q32" s="185"/>
      <c r="R32" s="185"/>
      <c r="S32" s="185"/>
      <c r="T32" s="185"/>
      <c r="U32" s="185"/>
      <c r="V32" s="185"/>
      <c r="W32" s="185"/>
      <c r="X32" s="185"/>
      <c r="Y32" s="185"/>
    </row>
    <row r="33" spans="13:17" x14ac:dyDescent="0.2">
      <c r="M33" s="185"/>
      <c r="N33" s="185"/>
      <c r="O33" s="185"/>
      <c r="P33" s="185"/>
      <c r="Q33" s="185"/>
    </row>
    <row r="34" spans="13:17" x14ac:dyDescent="0.2">
      <c r="M34" s="185"/>
      <c r="N34" s="185"/>
      <c r="O34" s="185"/>
      <c r="P34" s="185"/>
      <c r="Q34" s="185"/>
    </row>
    <row r="35" spans="13:17" x14ac:dyDescent="0.2">
      <c r="M35" s="185"/>
      <c r="N35" s="185"/>
      <c r="O35" s="185"/>
      <c r="P35" s="185"/>
      <c r="Q35" s="185"/>
    </row>
    <row r="36" spans="13:17" x14ac:dyDescent="0.2">
      <c r="M36" s="185"/>
      <c r="N36" s="185"/>
      <c r="O36" s="185"/>
      <c r="P36" s="185"/>
      <c r="Q36" s="185"/>
    </row>
    <row r="37" spans="13:17" x14ac:dyDescent="0.2">
      <c r="M37" s="185"/>
      <c r="N37" s="185"/>
      <c r="O37" s="185"/>
      <c r="P37" s="185"/>
      <c r="Q37" s="185"/>
    </row>
    <row r="38" spans="13:17" x14ac:dyDescent="0.2">
      <c r="M38" s="185"/>
      <c r="N38" s="185"/>
      <c r="O38" s="185"/>
      <c r="P38" s="185"/>
      <c r="Q38" s="185"/>
    </row>
    <row r="39" spans="13:17" x14ac:dyDescent="0.2">
      <c r="M39" s="185"/>
      <c r="N39" s="185"/>
      <c r="O39" s="185"/>
      <c r="P39" s="185"/>
      <c r="Q39" s="185"/>
    </row>
    <row r="40" spans="13:17" x14ac:dyDescent="0.2">
      <c r="M40" s="185"/>
      <c r="N40" s="185"/>
      <c r="O40" s="185"/>
      <c r="P40" s="185"/>
      <c r="Q40" s="185"/>
    </row>
    <row r="41" spans="13:17" x14ac:dyDescent="0.2">
      <c r="M41" s="185"/>
      <c r="N41" s="185"/>
      <c r="O41" s="185"/>
      <c r="P41" s="185"/>
      <c r="Q41" s="185"/>
    </row>
    <row r="42" spans="13:17" x14ac:dyDescent="0.2">
      <c r="M42" s="185"/>
      <c r="N42" s="185"/>
      <c r="O42" s="185"/>
      <c r="P42" s="185"/>
      <c r="Q42" s="185"/>
    </row>
    <row r="43" spans="13:17" x14ac:dyDescent="0.2">
      <c r="M43" s="185"/>
      <c r="N43" s="185"/>
      <c r="O43" s="185"/>
      <c r="P43" s="185"/>
      <c r="Q43" s="185"/>
    </row>
    <row r="44" spans="13:17" x14ac:dyDescent="0.2">
      <c r="M44" s="185"/>
      <c r="N44" s="185"/>
      <c r="O44" s="185"/>
      <c r="P44" s="185"/>
      <c r="Q44" s="185"/>
    </row>
    <row r="45" spans="13:17" x14ac:dyDescent="0.2">
      <c r="M45" s="185"/>
      <c r="N45" s="185"/>
      <c r="O45" s="185"/>
      <c r="P45" s="185"/>
      <c r="Q45" s="185"/>
    </row>
    <row r="46" spans="13:17" x14ac:dyDescent="0.2">
      <c r="M46" s="185"/>
      <c r="N46" s="185"/>
      <c r="O46" s="185"/>
      <c r="P46" s="185"/>
      <c r="Q46" s="185"/>
    </row>
    <row r="47" spans="13:17" x14ac:dyDescent="0.2">
      <c r="M47" s="185"/>
      <c r="N47" s="185"/>
      <c r="O47" s="185"/>
      <c r="P47" s="185"/>
      <c r="Q47" s="185"/>
    </row>
    <row r="48" spans="13:17" x14ac:dyDescent="0.2">
      <c r="M48" s="185"/>
      <c r="N48" s="185"/>
      <c r="O48" s="185"/>
      <c r="P48" s="185"/>
      <c r="Q48" s="185"/>
    </row>
    <row r="49" spans="13:17" x14ac:dyDescent="0.2">
      <c r="M49" s="185"/>
      <c r="N49" s="185"/>
      <c r="O49" s="185"/>
      <c r="P49" s="185"/>
      <c r="Q49" s="185"/>
    </row>
    <row r="50" spans="13:17" x14ac:dyDescent="0.2">
      <c r="M50" s="185"/>
      <c r="N50" s="185"/>
      <c r="O50" s="185"/>
      <c r="P50" s="185"/>
      <c r="Q50" s="185"/>
    </row>
    <row r="51" spans="13:17" x14ac:dyDescent="0.2">
      <c r="M51" s="185"/>
      <c r="N51" s="185"/>
      <c r="O51" s="185"/>
      <c r="P51" s="185"/>
      <c r="Q51" s="185"/>
    </row>
    <row r="52" spans="13:17" x14ac:dyDescent="0.2">
      <c r="M52" s="185"/>
      <c r="N52" s="185"/>
      <c r="O52" s="185"/>
      <c r="P52" s="185"/>
      <c r="Q52" s="185"/>
    </row>
    <row r="53" spans="13:17" x14ac:dyDescent="0.2">
      <c r="M53" s="185"/>
      <c r="N53" s="185"/>
      <c r="O53" s="185"/>
      <c r="P53" s="185"/>
      <c r="Q53" s="185"/>
    </row>
    <row r="54" spans="13:17" x14ac:dyDescent="0.2">
      <c r="M54" s="185"/>
      <c r="N54" s="185"/>
      <c r="O54" s="185"/>
      <c r="P54" s="185"/>
      <c r="Q54" s="185"/>
    </row>
    <row r="55" spans="13:17" x14ac:dyDescent="0.2">
      <c r="M55" s="185"/>
      <c r="N55" s="185"/>
      <c r="O55" s="185"/>
      <c r="P55" s="185"/>
      <c r="Q55" s="185"/>
    </row>
    <row r="56" spans="13:17" x14ac:dyDescent="0.2">
      <c r="M56" s="185"/>
      <c r="N56" s="185"/>
      <c r="O56" s="185"/>
      <c r="P56" s="185"/>
      <c r="Q56" s="185"/>
    </row>
    <row r="57" spans="13:17" x14ac:dyDescent="0.2">
      <c r="M57" s="185"/>
      <c r="N57" s="185"/>
      <c r="O57" s="185"/>
      <c r="P57" s="185"/>
      <c r="Q57" s="185"/>
    </row>
    <row r="58" spans="13:17" x14ac:dyDescent="0.2">
      <c r="M58" s="185"/>
      <c r="N58" s="185"/>
      <c r="O58" s="185"/>
      <c r="P58" s="185"/>
      <c r="Q58" s="185"/>
    </row>
    <row r="59" spans="13:17" x14ac:dyDescent="0.2">
      <c r="M59" s="185"/>
      <c r="N59" s="185"/>
      <c r="O59" s="185"/>
      <c r="P59" s="185"/>
      <c r="Q59" s="185"/>
    </row>
    <row r="60" spans="13:17" x14ac:dyDescent="0.2">
      <c r="M60" s="185"/>
      <c r="N60" s="185"/>
      <c r="O60" s="185"/>
      <c r="P60" s="185"/>
      <c r="Q60" s="185"/>
    </row>
    <row r="61" spans="13:17" x14ac:dyDescent="0.2">
      <c r="M61" s="185"/>
      <c r="N61" s="185"/>
      <c r="O61" s="185"/>
      <c r="P61" s="185"/>
      <c r="Q61" s="185"/>
    </row>
    <row r="62" spans="13:17" x14ac:dyDescent="0.2">
      <c r="M62" s="185"/>
      <c r="N62" s="185"/>
      <c r="O62" s="185"/>
      <c r="P62" s="185"/>
      <c r="Q62" s="185"/>
    </row>
    <row r="63" spans="13:17" x14ac:dyDescent="0.2">
      <c r="M63" s="185"/>
      <c r="N63" s="185"/>
      <c r="O63" s="185"/>
      <c r="P63" s="185"/>
      <c r="Q63" s="185"/>
    </row>
    <row r="64" spans="13:17" x14ac:dyDescent="0.2">
      <c r="M64" s="185"/>
      <c r="N64" s="185"/>
      <c r="O64" s="185"/>
      <c r="P64" s="185"/>
      <c r="Q64" s="185"/>
    </row>
    <row r="65" spans="13:17" x14ac:dyDescent="0.2">
      <c r="M65" s="185"/>
      <c r="N65" s="185"/>
      <c r="O65" s="185"/>
      <c r="P65" s="185"/>
      <c r="Q65" s="185"/>
    </row>
    <row r="66" spans="13:17" x14ac:dyDescent="0.2">
      <c r="M66" s="185"/>
      <c r="N66" s="185"/>
      <c r="O66" s="185"/>
      <c r="P66" s="185"/>
      <c r="Q66" s="185"/>
    </row>
    <row r="67" spans="13:17" x14ac:dyDescent="0.2">
      <c r="M67" s="185"/>
      <c r="N67" s="185"/>
      <c r="O67" s="185"/>
      <c r="P67" s="185"/>
      <c r="Q67" s="185"/>
    </row>
    <row r="68" spans="13:17" x14ac:dyDescent="0.2">
      <c r="M68" s="185"/>
      <c r="N68" s="185"/>
      <c r="O68" s="185"/>
      <c r="P68" s="185"/>
      <c r="Q68" s="185"/>
    </row>
    <row r="69" spans="13:17" x14ac:dyDescent="0.2">
      <c r="M69" s="185"/>
      <c r="N69" s="185"/>
      <c r="O69" s="185"/>
      <c r="P69" s="185"/>
      <c r="Q69" s="185"/>
    </row>
    <row r="70" spans="13:17" x14ac:dyDescent="0.2">
      <c r="M70" s="185"/>
      <c r="N70" s="185"/>
      <c r="O70" s="185"/>
      <c r="P70" s="185"/>
      <c r="Q70" s="185"/>
    </row>
    <row r="71" spans="13:17" x14ac:dyDescent="0.2">
      <c r="M71" s="185"/>
      <c r="N71" s="185"/>
      <c r="O71" s="185"/>
      <c r="P71" s="185"/>
      <c r="Q71" s="185"/>
    </row>
    <row r="72" spans="13:17" x14ac:dyDescent="0.2">
      <c r="M72" s="185"/>
      <c r="N72" s="185"/>
      <c r="O72" s="185"/>
      <c r="P72" s="185"/>
      <c r="Q72" s="185"/>
    </row>
    <row r="73" spans="13:17" x14ac:dyDescent="0.2">
      <c r="M73" s="185"/>
      <c r="N73" s="185"/>
      <c r="O73" s="185"/>
      <c r="P73" s="185"/>
      <c r="Q73" s="185"/>
    </row>
    <row r="74" spans="13:17" x14ac:dyDescent="0.2">
      <c r="M74" s="185"/>
      <c r="N74" s="185"/>
      <c r="O74" s="185"/>
      <c r="P74" s="185"/>
      <c r="Q74" s="185"/>
    </row>
    <row r="75" spans="13:17" x14ac:dyDescent="0.2">
      <c r="M75" s="185"/>
      <c r="N75" s="185"/>
      <c r="O75" s="185"/>
      <c r="P75" s="185"/>
      <c r="Q75" s="185"/>
    </row>
    <row r="76" spans="13:17" x14ac:dyDescent="0.2">
      <c r="M76" s="185"/>
      <c r="N76" s="185"/>
      <c r="O76" s="185"/>
      <c r="P76" s="185"/>
      <c r="Q76" s="185"/>
    </row>
    <row r="77" spans="13:17" x14ac:dyDescent="0.2">
      <c r="M77" s="185"/>
      <c r="N77" s="185"/>
      <c r="O77" s="185"/>
      <c r="P77" s="185"/>
      <c r="Q77" s="185"/>
    </row>
    <row r="78" spans="13:17" x14ac:dyDescent="0.2">
      <c r="M78" s="185"/>
      <c r="N78" s="185"/>
      <c r="O78" s="185"/>
      <c r="P78" s="185"/>
      <c r="Q78" s="185"/>
    </row>
    <row r="79" spans="13:17" x14ac:dyDescent="0.2">
      <c r="M79" s="185"/>
      <c r="N79" s="185"/>
      <c r="O79" s="185"/>
      <c r="P79" s="185"/>
      <c r="Q79" s="185"/>
    </row>
    <row r="80" spans="13:17" x14ac:dyDescent="0.2">
      <c r="M80" s="185"/>
      <c r="N80" s="185"/>
      <c r="O80" s="185"/>
      <c r="P80" s="185"/>
      <c r="Q80" s="185"/>
    </row>
    <row r="81" spans="13:17" x14ac:dyDescent="0.2">
      <c r="M81" s="185"/>
      <c r="N81" s="185"/>
      <c r="O81" s="185"/>
      <c r="P81" s="185"/>
      <c r="Q81" s="185"/>
    </row>
    <row r="82" spans="13:17" x14ac:dyDescent="0.2">
      <c r="M82" s="185"/>
      <c r="N82" s="185"/>
      <c r="O82" s="185"/>
      <c r="P82" s="185"/>
      <c r="Q82" s="185"/>
    </row>
    <row r="83" spans="13:17" x14ac:dyDescent="0.2">
      <c r="M83" s="185"/>
      <c r="N83" s="185"/>
      <c r="O83" s="185"/>
      <c r="P83" s="185"/>
      <c r="Q83" s="185"/>
    </row>
    <row r="84" spans="13:17" x14ac:dyDescent="0.2">
      <c r="M84" s="185"/>
      <c r="N84" s="185"/>
      <c r="O84" s="185"/>
      <c r="P84" s="185"/>
      <c r="Q84" s="185"/>
    </row>
    <row r="85" spans="13:17" x14ac:dyDescent="0.2">
      <c r="M85" s="185"/>
      <c r="N85" s="185"/>
      <c r="O85" s="185"/>
      <c r="P85" s="185"/>
      <c r="Q85" s="185"/>
    </row>
    <row r="86" spans="13:17" x14ac:dyDescent="0.2">
      <c r="M86" s="185"/>
      <c r="N86" s="185"/>
      <c r="O86" s="185"/>
      <c r="P86" s="185"/>
      <c r="Q86" s="185"/>
    </row>
    <row r="87" spans="13:17" x14ac:dyDescent="0.2">
      <c r="M87" s="185"/>
      <c r="N87" s="185"/>
      <c r="O87" s="185"/>
      <c r="P87" s="185"/>
      <c r="Q87" s="185"/>
    </row>
    <row r="88" spans="13:17" x14ac:dyDescent="0.2">
      <c r="M88" s="185"/>
      <c r="N88" s="185"/>
      <c r="O88" s="185"/>
      <c r="P88" s="185"/>
      <c r="Q88" s="185"/>
    </row>
    <row r="89" spans="13:17" x14ac:dyDescent="0.2">
      <c r="M89" s="185"/>
      <c r="N89" s="185"/>
      <c r="O89" s="185"/>
      <c r="P89" s="185"/>
      <c r="Q89" s="185"/>
    </row>
    <row r="90" spans="13:17" x14ac:dyDescent="0.2">
      <c r="M90" s="185"/>
      <c r="N90" s="185"/>
      <c r="O90" s="185"/>
      <c r="P90" s="185"/>
      <c r="Q90" s="185"/>
    </row>
    <row r="91" spans="13:17" x14ac:dyDescent="0.2">
      <c r="M91" s="185"/>
      <c r="N91" s="185"/>
      <c r="O91" s="185"/>
      <c r="P91" s="185"/>
      <c r="Q91" s="185"/>
    </row>
    <row r="92" spans="13:17" x14ac:dyDescent="0.2">
      <c r="M92" s="185"/>
      <c r="N92" s="185"/>
      <c r="O92" s="185"/>
      <c r="P92" s="185"/>
      <c r="Q92" s="185"/>
    </row>
    <row r="93" spans="13:17" x14ac:dyDescent="0.2">
      <c r="M93" s="185"/>
      <c r="N93" s="185"/>
      <c r="O93" s="185"/>
      <c r="P93" s="185"/>
      <c r="Q93" s="185"/>
    </row>
    <row r="94" spans="13:17" x14ac:dyDescent="0.2">
      <c r="M94" s="185"/>
      <c r="N94" s="185"/>
      <c r="O94" s="185"/>
      <c r="P94" s="185"/>
      <c r="Q94" s="185"/>
    </row>
    <row r="95" spans="13:17" x14ac:dyDescent="0.2">
      <c r="M95" s="185"/>
      <c r="N95" s="185"/>
      <c r="O95" s="185"/>
      <c r="P95" s="185"/>
      <c r="Q95" s="185"/>
    </row>
    <row r="96" spans="13:17" x14ac:dyDescent="0.2">
      <c r="M96" s="185"/>
      <c r="N96" s="185"/>
      <c r="O96" s="185"/>
      <c r="P96" s="185"/>
      <c r="Q96" s="185"/>
    </row>
    <row r="97" spans="13:17" x14ac:dyDescent="0.2">
      <c r="M97" s="185"/>
      <c r="N97" s="185"/>
      <c r="O97" s="185"/>
      <c r="P97" s="185"/>
      <c r="Q97" s="185"/>
    </row>
    <row r="98" spans="13:17" x14ac:dyDescent="0.2">
      <c r="M98" s="185"/>
      <c r="N98" s="185"/>
      <c r="O98" s="185"/>
      <c r="P98" s="185"/>
      <c r="Q98" s="185"/>
    </row>
    <row r="99" spans="13:17" x14ac:dyDescent="0.2">
      <c r="M99" s="185"/>
      <c r="N99" s="185"/>
      <c r="O99" s="185"/>
      <c r="P99" s="185"/>
      <c r="Q99" s="185"/>
    </row>
    <row r="100" spans="13:17" x14ac:dyDescent="0.2">
      <c r="M100" s="185"/>
      <c r="N100" s="185"/>
      <c r="O100" s="185"/>
      <c r="P100" s="185"/>
      <c r="Q100" s="185"/>
    </row>
    <row r="101" spans="13:17" x14ac:dyDescent="0.2">
      <c r="M101" s="185"/>
      <c r="N101" s="185"/>
      <c r="O101" s="185"/>
      <c r="P101" s="185"/>
      <c r="Q101" s="185"/>
    </row>
    <row r="102" spans="13:17" x14ac:dyDescent="0.2">
      <c r="M102" s="185"/>
      <c r="N102" s="185"/>
      <c r="O102" s="185"/>
      <c r="P102" s="185"/>
      <c r="Q102" s="185"/>
    </row>
    <row r="103" spans="13:17" x14ac:dyDescent="0.2">
      <c r="M103" s="185"/>
      <c r="N103" s="185"/>
      <c r="O103" s="185"/>
      <c r="P103" s="185"/>
      <c r="Q103" s="185"/>
    </row>
    <row r="104" spans="13:17" x14ac:dyDescent="0.2">
      <c r="M104" s="185"/>
      <c r="N104" s="185"/>
      <c r="O104" s="185"/>
      <c r="P104" s="185"/>
      <c r="Q104" s="185"/>
    </row>
    <row r="105" spans="13:17" x14ac:dyDescent="0.2">
      <c r="M105" s="185"/>
      <c r="N105" s="185"/>
      <c r="O105" s="185"/>
      <c r="P105" s="185"/>
      <c r="Q105" s="185"/>
    </row>
    <row r="106" spans="13:17" x14ac:dyDescent="0.2">
      <c r="M106" s="185"/>
      <c r="N106" s="185"/>
      <c r="O106" s="185"/>
      <c r="P106" s="185"/>
      <c r="Q106" s="185"/>
    </row>
    <row r="107" spans="13:17" x14ac:dyDescent="0.2">
      <c r="M107" s="185"/>
      <c r="N107" s="185"/>
      <c r="O107" s="185"/>
      <c r="P107" s="185"/>
      <c r="Q107" s="185"/>
    </row>
    <row r="108" spans="13:17" x14ac:dyDescent="0.2">
      <c r="M108" s="185"/>
      <c r="N108" s="185"/>
      <c r="O108" s="185"/>
      <c r="P108" s="185"/>
      <c r="Q108" s="185"/>
    </row>
    <row r="109" spans="13:17" x14ac:dyDescent="0.2">
      <c r="M109" s="185"/>
      <c r="N109" s="185"/>
      <c r="O109" s="185"/>
      <c r="P109" s="185"/>
      <c r="Q109" s="185"/>
    </row>
    <row r="110" spans="13:17" x14ac:dyDescent="0.2">
      <c r="M110" s="185"/>
      <c r="N110" s="185"/>
      <c r="O110" s="185"/>
      <c r="P110" s="185"/>
      <c r="Q110" s="185"/>
    </row>
    <row r="111" spans="13:17" x14ac:dyDescent="0.2">
      <c r="M111" s="185"/>
      <c r="N111" s="185"/>
      <c r="O111" s="185"/>
      <c r="P111" s="185"/>
      <c r="Q111" s="185"/>
    </row>
    <row r="112" spans="13:17" x14ac:dyDescent="0.2">
      <c r="M112" s="185"/>
      <c r="N112" s="185"/>
      <c r="O112" s="185"/>
      <c r="P112" s="185"/>
      <c r="Q112" s="185"/>
    </row>
    <row r="113" spans="13:17" x14ac:dyDescent="0.2">
      <c r="M113" s="185"/>
      <c r="N113" s="185"/>
      <c r="O113" s="185"/>
      <c r="P113" s="185"/>
      <c r="Q113" s="185"/>
    </row>
    <row r="114" spans="13:17" x14ac:dyDescent="0.2">
      <c r="M114" s="185"/>
      <c r="N114" s="185"/>
      <c r="O114" s="185"/>
      <c r="P114" s="185"/>
      <c r="Q114" s="185"/>
    </row>
    <row r="115" spans="13:17" x14ac:dyDescent="0.2">
      <c r="M115" s="185"/>
      <c r="N115" s="185"/>
      <c r="O115" s="185"/>
      <c r="P115" s="185"/>
      <c r="Q115" s="185"/>
    </row>
    <row r="116" spans="13:17" x14ac:dyDescent="0.2">
      <c r="M116" s="185"/>
      <c r="N116" s="185"/>
      <c r="O116" s="185"/>
      <c r="P116" s="185"/>
      <c r="Q116" s="185"/>
    </row>
    <row r="117" spans="13:17" x14ac:dyDescent="0.2">
      <c r="M117" s="185"/>
      <c r="N117" s="185"/>
      <c r="O117" s="185"/>
      <c r="P117" s="185"/>
      <c r="Q117" s="185"/>
    </row>
    <row r="118" spans="13:17" x14ac:dyDescent="0.2">
      <c r="M118" s="185"/>
      <c r="N118" s="185"/>
      <c r="O118" s="185"/>
      <c r="P118" s="185"/>
      <c r="Q118" s="185"/>
    </row>
    <row r="119" spans="13:17" x14ac:dyDescent="0.2">
      <c r="M119" s="185"/>
      <c r="N119" s="185"/>
      <c r="O119" s="185"/>
      <c r="P119" s="185"/>
      <c r="Q119" s="185"/>
    </row>
    <row r="120" spans="13:17" x14ac:dyDescent="0.2">
      <c r="M120" s="185"/>
      <c r="N120" s="185"/>
      <c r="O120" s="185"/>
      <c r="P120" s="185"/>
      <c r="Q120" s="185"/>
    </row>
    <row r="121" spans="13:17" x14ac:dyDescent="0.2">
      <c r="M121" s="185"/>
      <c r="N121" s="185"/>
      <c r="O121" s="185"/>
      <c r="P121" s="185"/>
      <c r="Q121" s="185"/>
    </row>
    <row r="122" spans="13:17" x14ac:dyDescent="0.2">
      <c r="M122" s="185"/>
      <c r="N122" s="185"/>
      <c r="O122" s="185"/>
      <c r="P122" s="185"/>
      <c r="Q122" s="185"/>
    </row>
    <row r="123" spans="13:17" x14ac:dyDescent="0.2">
      <c r="M123" s="185"/>
      <c r="N123" s="185"/>
      <c r="O123" s="185"/>
      <c r="P123" s="185"/>
      <c r="Q123" s="185"/>
    </row>
    <row r="124" spans="13:17" x14ac:dyDescent="0.2">
      <c r="M124" s="185"/>
      <c r="N124" s="185"/>
      <c r="O124" s="185"/>
      <c r="P124" s="185"/>
      <c r="Q124" s="185"/>
    </row>
    <row r="125" spans="13:17" x14ac:dyDescent="0.2">
      <c r="M125" s="185"/>
      <c r="N125" s="185"/>
      <c r="O125" s="185"/>
      <c r="P125" s="185"/>
      <c r="Q125" s="185"/>
    </row>
    <row r="126" spans="13:17" x14ac:dyDescent="0.2">
      <c r="M126" s="185"/>
      <c r="N126" s="185"/>
      <c r="O126" s="185"/>
      <c r="P126" s="185"/>
      <c r="Q126" s="185"/>
    </row>
    <row r="127" spans="13:17" x14ac:dyDescent="0.2">
      <c r="M127" s="185"/>
      <c r="N127" s="185"/>
      <c r="O127" s="185"/>
      <c r="P127" s="185"/>
      <c r="Q127" s="185"/>
    </row>
    <row r="128" spans="13:17" x14ac:dyDescent="0.2">
      <c r="M128" s="185"/>
      <c r="N128" s="185"/>
      <c r="O128" s="185"/>
      <c r="P128" s="185"/>
      <c r="Q128" s="185"/>
    </row>
    <row r="129" spans="13:17" x14ac:dyDescent="0.2">
      <c r="M129" s="185"/>
      <c r="N129" s="185"/>
      <c r="O129" s="185"/>
      <c r="P129" s="185"/>
      <c r="Q129" s="185"/>
    </row>
    <row r="130" spans="13:17" x14ac:dyDescent="0.2">
      <c r="M130" s="185"/>
      <c r="N130" s="185"/>
      <c r="O130" s="185"/>
      <c r="P130" s="185"/>
      <c r="Q130" s="185"/>
    </row>
    <row r="131" spans="13:17" x14ac:dyDescent="0.2">
      <c r="M131" s="185"/>
      <c r="N131" s="185"/>
      <c r="O131" s="185"/>
      <c r="P131" s="185"/>
      <c r="Q131" s="185"/>
    </row>
    <row r="132" spans="13:17" x14ac:dyDescent="0.2">
      <c r="M132" s="185"/>
      <c r="N132" s="185"/>
      <c r="O132" s="185"/>
      <c r="P132" s="185"/>
      <c r="Q132" s="185"/>
    </row>
    <row r="133" spans="13:17" x14ac:dyDescent="0.2">
      <c r="M133" s="185"/>
      <c r="N133" s="185"/>
      <c r="O133" s="185"/>
      <c r="P133" s="185"/>
      <c r="Q133" s="185"/>
    </row>
    <row r="134" spans="13:17" x14ac:dyDescent="0.2">
      <c r="M134" s="185"/>
      <c r="N134" s="185"/>
      <c r="O134" s="185"/>
      <c r="P134" s="185"/>
      <c r="Q134" s="185"/>
    </row>
    <row r="135" spans="13:17" x14ac:dyDescent="0.2">
      <c r="M135" s="185"/>
      <c r="N135" s="185"/>
      <c r="O135" s="185"/>
      <c r="P135" s="185"/>
      <c r="Q135" s="185"/>
    </row>
    <row r="136" spans="13:17" x14ac:dyDescent="0.2">
      <c r="M136" s="185"/>
      <c r="N136" s="185"/>
      <c r="O136" s="185"/>
      <c r="P136" s="185"/>
      <c r="Q136" s="185"/>
    </row>
    <row r="137" spans="13:17" x14ac:dyDescent="0.2">
      <c r="M137" s="185"/>
      <c r="N137" s="185"/>
      <c r="O137" s="185"/>
      <c r="P137" s="185"/>
      <c r="Q137" s="185"/>
    </row>
    <row r="138" spans="13:17" x14ac:dyDescent="0.2">
      <c r="M138" s="185"/>
      <c r="N138" s="185"/>
      <c r="O138" s="185"/>
      <c r="P138" s="185"/>
      <c r="Q138" s="185"/>
    </row>
    <row r="139" spans="13:17" x14ac:dyDescent="0.2">
      <c r="M139" s="185"/>
      <c r="N139" s="185"/>
      <c r="O139" s="185"/>
      <c r="P139" s="185"/>
      <c r="Q139" s="185"/>
    </row>
    <row r="140" spans="13:17" x14ac:dyDescent="0.2">
      <c r="M140" s="185"/>
      <c r="N140" s="185"/>
      <c r="O140" s="185"/>
      <c r="P140" s="185"/>
      <c r="Q140" s="185"/>
    </row>
    <row r="141" spans="13:17" x14ac:dyDescent="0.2">
      <c r="M141" s="185"/>
      <c r="N141" s="185"/>
      <c r="O141" s="185"/>
      <c r="P141" s="185"/>
      <c r="Q141" s="185"/>
    </row>
    <row r="142" spans="13:17" x14ac:dyDescent="0.2">
      <c r="M142" s="185"/>
      <c r="N142" s="185"/>
      <c r="O142" s="185"/>
      <c r="P142" s="185"/>
      <c r="Q142" s="185"/>
    </row>
    <row r="143" spans="13:17" x14ac:dyDescent="0.2">
      <c r="M143" s="185"/>
      <c r="N143" s="185"/>
      <c r="O143" s="185"/>
      <c r="P143" s="185"/>
      <c r="Q143" s="185"/>
    </row>
    <row r="144" spans="13:17" x14ac:dyDescent="0.2">
      <c r="M144" s="185"/>
      <c r="N144" s="185"/>
      <c r="O144" s="185"/>
      <c r="P144" s="185"/>
      <c r="Q144" s="185"/>
    </row>
    <row r="145" spans="13:17" x14ac:dyDescent="0.2">
      <c r="M145" s="185"/>
      <c r="N145" s="185"/>
      <c r="O145" s="185"/>
      <c r="P145" s="185"/>
      <c r="Q145" s="185"/>
    </row>
    <row r="146" spans="13:17" x14ac:dyDescent="0.2">
      <c r="M146" s="185"/>
      <c r="N146" s="185"/>
      <c r="O146" s="185"/>
      <c r="P146" s="185"/>
      <c r="Q146" s="185"/>
    </row>
    <row r="147" spans="13:17" x14ac:dyDescent="0.2">
      <c r="M147" s="185"/>
      <c r="N147" s="185"/>
      <c r="O147" s="185"/>
      <c r="P147" s="185"/>
      <c r="Q147" s="185"/>
    </row>
    <row r="148" spans="13:17" x14ac:dyDescent="0.2">
      <c r="M148" s="185"/>
      <c r="N148" s="185"/>
      <c r="O148" s="185"/>
      <c r="P148" s="185"/>
      <c r="Q148" s="185"/>
    </row>
    <row r="149" spans="13:17" x14ac:dyDescent="0.2">
      <c r="M149" s="185"/>
      <c r="N149" s="185"/>
      <c r="O149" s="185"/>
      <c r="P149" s="185"/>
      <c r="Q149" s="185"/>
    </row>
    <row r="150" spans="13:17" x14ac:dyDescent="0.2">
      <c r="M150" s="185"/>
      <c r="N150" s="185"/>
      <c r="O150" s="185"/>
      <c r="P150" s="185"/>
      <c r="Q150" s="185"/>
    </row>
    <row r="151" spans="13:17" x14ac:dyDescent="0.2">
      <c r="M151" s="185"/>
      <c r="N151" s="185"/>
      <c r="O151" s="185"/>
      <c r="P151" s="185"/>
      <c r="Q151" s="185"/>
    </row>
    <row r="152" spans="13:17" x14ac:dyDescent="0.2">
      <c r="M152" s="185"/>
      <c r="N152" s="185"/>
      <c r="O152" s="185"/>
      <c r="P152" s="185"/>
      <c r="Q152" s="185"/>
    </row>
    <row r="153" spans="13:17" x14ac:dyDescent="0.2">
      <c r="M153" s="185"/>
      <c r="N153" s="185"/>
      <c r="O153" s="185"/>
      <c r="P153" s="185"/>
      <c r="Q153" s="185"/>
    </row>
    <row r="154" spans="13:17" x14ac:dyDescent="0.2">
      <c r="M154" s="185"/>
      <c r="N154" s="185"/>
      <c r="O154" s="185"/>
      <c r="P154" s="185"/>
      <c r="Q154" s="185"/>
    </row>
    <row r="155" spans="13:17" x14ac:dyDescent="0.2">
      <c r="M155" s="185"/>
      <c r="N155" s="185"/>
      <c r="O155" s="185"/>
      <c r="P155" s="185"/>
      <c r="Q155" s="185"/>
    </row>
    <row r="156" spans="13:17" x14ac:dyDescent="0.2">
      <c r="M156" s="185"/>
      <c r="N156" s="185"/>
      <c r="O156" s="185"/>
      <c r="P156" s="185"/>
      <c r="Q156" s="185"/>
    </row>
    <row r="157" spans="13:17" x14ac:dyDescent="0.2">
      <c r="M157" s="185"/>
      <c r="N157" s="185"/>
      <c r="O157" s="185"/>
      <c r="P157" s="185"/>
      <c r="Q157" s="185"/>
    </row>
    <row r="158" spans="13:17" x14ac:dyDescent="0.2">
      <c r="M158" s="185"/>
      <c r="N158" s="185"/>
      <c r="O158" s="185"/>
      <c r="P158" s="185"/>
      <c r="Q158" s="185"/>
    </row>
    <row r="159" spans="13:17" x14ac:dyDescent="0.2">
      <c r="M159" s="185"/>
      <c r="N159" s="185"/>
      <c r="O159" s="185"/>
      <c r="P159" s="185"/>
      <c r="Q159" s="185"/>
    </row>
    <row r="160" spans="13:17" x14ac:dyDescent="0.2">
      <c r="M160" s="185"/>
      <c r="N160" s="185"/>
      <c r="O160" s="185"/>
      <c r="P160" s="185"/>
      <c r="Q160" s="185"/>
    </row>
    <row r="161" spans="13:17" x14ac:dyDescent="0.2">
      <c r="M161" s="185"/>
      <c r="N161" s="185"/>
      <c r="O161" s="185"/>
      <c r="P161" s="185"/>
      <c r="Q161" s="185"/>
    </row>
    <row r="162" spans="13:17" x14ac:dyDescent="0.2">
      <c r="M162" s="185"/>
      <c r="N162" s="185"/>
      <c r="O162" s="185"/>
      <c r="P162" s="185"/>
      <c r="Q162" s="185"/>
    </row>
    <row r="163" spans="13:17" x14ac:dyDescent="0.2">
      <c r="M163" s="185"/>
      <c r="N163" s="185"/>
      <c r="O163" s="185"/>
      <c r="P163" s="185"/>
      <c r="Q163" s="185"/>
    </row>
    <row r="164" spans="13:17" x14ac:dyDescent="0.2">
      <c r="M164" s="185"/>
      <c r="N164" s="185"/>
      <c r="O164" s="185"/>
      <c r="P164" s="185"/>
      <c r="Q164" s="185"/>
    </row>
    <row r="165" spans="13:17" x14ac:dyDescent="0.2">
      <c r="M165" s="185"/>
      <c r="N165" s="185"/>
      <c r="O165" s="185"/>
      <c r="P165" s="185"/>
      <c r="Q165" s="185"/>
    </row>
    <row r="166" spans="13:17" x14ac:dyDescent="0.2">
      <c r="M166" s="185"/>
      <c r="N166" s="185"/>
      <c r="O166" s="185"/>
      <c r="P166" s="185"/>
      <c r="Q166" s="185"/>
    </row>
    <row r="167" spans="13:17" x14ac:dyDescent="0.2">
      <c r="M167" s="185"/>
      <c r="N167" s="185"/>
      <c r="O167" s="185"/>
      <c r="P167" s="185"/>
      <c r="Q167" s="185"/>
    </row>
    <row r="168" spans="13:17" x14ac:dyDescent="0.2">
      <c r="M168" s="185"/>
      <c r="N168" s="185"/>
      <c r="O168" s="185"/>
      <c r="P168" s="185"/>
      <c r="Q168" s="185"/>
    </row>
    <row r="169" spans="13:17" x14ac:dyDescent="0.2">
      <c r="M169" s="185"/>
      <c r="N169" s="185"/>
      <c r="O169" s="185"/>
      <c r="P169" s="185"/>
      <c r="Q169" s="185"/>
    </row>
    <row r="170" spans="13:17" x14ac:dyDescent="0.2">
      <c r="M170" s="185"/>
      <c r="N170" s="185"/>
      <c r="O170" s="185"/>
      <c r="P170" s="185"/>
      <c r="Q170" s="185"/>
    </row>
    <row r="171" spans="13:17" x14ac:dyDescent="0.2">
      <c r="M171" s="185"/>
      <c r="N171" s="185"/>
      <c r="O171" s="185"/>
      <c r="P171" s="185"/>
      <c r="Q171" s="185"/>
    </row>
    <row r="172" spans="13:17" x14ac:dyDescent="0.2">
      <c r="M172" s="185"/>
      <c r="N172" s="185"/>
      <c r="O172" s="185"/>
      <c r="P172" s="185"/>
      <c r="Q172" s="185"/>
    </row>
    <row r="173" spans="13:17" x14ac:dyDescent="0.2">
      <c r="M173" s="185"/>
      <c r="N173" s="185"/>
      <c r="O173" s="185"/>
      <c r="P173" s="185"/>
      <c r="Q173" s="185"/>
    </row>
    <row r="174" spans="13:17" x14ac:dyDescent="0.2">
      <c r="M174" s="185"/>
      <c r="N174" s="185"/>
      <c r="O174" s="185"/>
      <c r="P174" s="185"/>
      <c r="Q174" s="185"/>
    </row>
    <row r="175" spans="13:17" x14ac:dyDescent="0.2">
      <c r="M175" s="185"/>
      <c r="N175" s="185"/>
      <c r="O175" s="185"/>
      <c r="P175" s="185"/>
      <c r="Q175" s="185"/>
    </row>
    <row r="176" spans="13:17" x14ac:dyDescent="0.2">
      <c r="M176" s="185"/>
      <c r="N176" s="185"/>
      <c r="O176" s="185"/>
      <c r="P176" s="185"/>
      <c r="Q176" s="185"/>
    </row>
    <row r="177" spans="13:17" x14ac:dyDescent="0.2">
      <c r="M177" s="185"/>
      <c r="N177" s="185"/>
      <c r="O177" s="185"/>
      <c r="P177" s="185"/>
      <c r="Q177" s="185"/>
    </row>
    <row r="178" spans="13:17" x14ac:dyDescent="0.2">
      <c r="M178" s="185"/>
      <c r="N178" s="185"/>
      <c r="O178" s="185"/>
      <c r="P178" s="185"/>
      <c r="Q178" s="185"/>
    </row>
    <row r="179" spans="13:17" x14ac:dyDescent="0.2">
      <c r="M179" s="185"/>
      <c r="N179" s="185"/>
      <c r="O179" s="185"/>
      <c r="P179" s="185"/>
      <c r="Q179" s="185"/>
    </row>
    <row r="180" spans="13:17" x14ac:dyDescent="0.2">
      <c r="M180" s="185"/>
      <c r="N180" s="185"/>
      <c r="O180" s="185"/>
      <c r="P180" s="185"/>
      <c r="Q180" s="185"/>
    </row>
    <row r="181" spans="13:17" x14ac:dyDescent="0.2">
      <c r="M181" s="185"/>
      <c r="N181" s="185"/>
      <c r="O181" s="185"/>
      <c r="P181" s="185"/>
      <c r="Q181" s="185"/>
    </row>
    <row r="182" spans="13:17" x14ac:dyDescent="0.2">
      <c r="M182" s="185"/>
      <c r="N182" s="185"/>
      <c r="O182" s="185"/>
      <c r="P182" s="185"/>
      <c r="Q182" s="185"/>
    </row>
    <row r="183" spans="13:17" x14ac:dyDescent="0.2">
      <c r="M183" s="185"/>
      <c r="N183" s="185"/>
      <c r="O183" s="185"/>
      <c r="P183" s="185"/>
      <c r="Q183" s="185"/>
    </row>
    <row r="184" spans="13:17" x14ac:dyDescent="0.2">
      <c r="M184" s="185"/>
      <c r="N184" s="185"/>
      <c r="O184" s="185"/>
      <c r="P184" s="185"/>
      <c r="Q184" s="185"/>
    </row>
    <row r="185" spans="13:17" x14ac:dyDescent="0.2">
      <c r="M185" s="185"/>
      <c r="N185" s="185"/>
      <c r="O185" s="185"/>
      <c r="P185" s="185"/>
      <c r="Q185" s="185"/>
    </row>
    <row r="186" spans="13:17" x14ac:dyDescent="0.2">
      <c r="M186" s="185"/>
      <c r="N186" s="185"/>
      <c r="O186" s="185"/>
      <c r="P186" s="185"/>
      <c r="Q186" s="185"/>
    </row>
    <row r="187" spans="13:17" x14ac:dyDescent="0.2">
      <c r="M187" s="185"/>
      <c r="N187" s="185"/>
      <c r="O187" s="185"/>
      <c r="P187" s="185"/>
      <c r="Q187" s="185"/>
    </row>
    <row r="188" spans="13:17" x14ac:dyDescent="0.2">
      <c r="M188" s="185"/>
      <c r="N188" s="185"/>
      <c r="O188" s="185"/>
      <c r="P188" s="185"/>
      <c r="Q188" s="185"/>
    </row>
    <row r="189" spans="13:17" x14ac:dyDescent="0.2">
      <c r="M189" s="185"/>
      <c r="N189" s="185"/>
      <c r="O189" s="185"/>
      <c r="P189" s="185"/>
      <c r="Q189" s="185"/>
    </row>
    <row r="190" spans="13:17" x14ac:dyDescent="0.2">
      <c r="M190" s="185"/>
      <c r="N190" s="185"/>
      <c r="O190" s="185"/>
      <c r="P190" s="185"/>
      <c r="Q190" s="185"/>
    </row>
    <row r="191" spans="13:17" x14ac:dyDescent="0.2">
      <c r="M191" s="185"/>
      <c r="N191" s="185"/>
      <c r="O191" s="185"/>
      <c r="P191" s="185"/>
      <c r="Q191" s="185"/>
    </row>
    <row r="192" spans="13:17" x14ac:dyDescent="0.2">
      <c r="M192" s="185"/>
      <c r="N192" s="185"/>
      <c r="O192" s="185"/>
      <c r="P192" s="185"/>
      <c r="Q192" s="185"/>
    </row>
    <row r="193" spans="13:17" x14ac:dyDescent="0.2">
      <c r="M193" s="185"/>
      <c r="N193" s="185"/>
      <c r="O193" s="185"/>
      <c r="P193" s="185"/>
      <c r="Q193" s="185"/>
    </row>
    <row r="194" spans="13:17" x14ac:dyDescent="0.2">
      <c r="M194" s="185"/>
      <c r="N194" s="185"/>
      <c r="O194" s="185"/>
      <c r="P194" s="185"/>
      <c r="Q194" s="185"/>
    </row>
    <row r="195" spans="13:17" x14ac:dyDescent="0.2">
      <c r="M195" s="185"/>
      <c r="N195" s="185"/>
      <c r="O195" s="185"/>
      <c r="P195" s="185"/>
      <c r="Q195" s="185"/>
    </row>
    <row r="196" spans="13:17" x14ac:dyDescent="0.2">
      <c r="M196" s="185"/>
      <c r="N196" s="185"/>
      <c r="O196" s="185"/>
      <c r="P196" s="185"/>
      <c r="Q196" s="185"/>
    </row>
    <row r="197" spans="13:17" x14ac:dyDescent="0.2">
      <c r="M197" s="185"/>
      <c r="N197" s="185"/>
      <c r="O197" s="185"/>
      <c r="P197" s="185"/>
      <c r="Q197" s="185"/>
    </row>
    <row r="198" spans="13:17" x14ac:dyDescent="0.2">
      <c r="M198" s="185"/>
      <c r="N198" s="185"/>
      <c r="O198" s="185"/>
      <c r="P198" s="185"/>
      <c r="Q198" s="185"/>
    </row>
    <row r="199" spans="13:17" x14ac:dyDescent="0.2">
      <c r="M199" s="185"/>
      <c r="N199" s="185"/>
      <c r="O199" s="185"/>
      <c r="P199" s="185"/>
      <c r="Q199" s="185"/>
    </row>
    <row r="200" spans="13:17" x14ac:dyDescent="0.2">
      <c r="M200" s="185"/>
      <c r="N200" s="185"/>
      <c r="O200" s="185"/>
      <c r="P200" s="185"/>
      <c r="Q200" s="185"/>
    </row>
    <row r="201" spans="13:17" x14ac:dyDescent="0.2">
      <c r="M201" s="185"/>
      <c r="N201" s="185"/>
      <c r="O201" s="185"/>
      <c r="P201" s="185"/>
      <c r="Q201" s="185"/>
    </row>
    <row r="202" spans="13:17" x14ac:dyDescent="0.2">
      <c r="M202" s="185"/>
      <c r="N202" s="185"/>
      <c r="O202" s="185"/>
      <c r="P202" s="185"/>
      <c r="Q202" s="185"/>
    </row>
    <row r="203" spans="13:17" x14ac:dyDescent="0.2">
      <c r="M203" s="185"/>
      <c r="N203" s="185"/>
      <c r="O203" s="185"/>
      <c r="P203" s="185"/>
      <c r="Q203" s="185"/>
    </row>
    <row r="204" spans="13:17" x14ac:dyDescent="0.2">
      <c r="M204" s="185"/>
      <c r="N204" s="185"/>
      <c r="O204" s="185"/>
      <c r="P204" s="185"/>
      <c r="Q204" s="185"/>
    </row>
    <row r="205" spans="13:17" x14ac:dyDescent="0.2">
      <c r="M205" s="185"/>
      <c r="N205" s="185"/>
      <c r="O205" s="185"/>
      <c r="P205" s="185"/>
      <c r="Q205" s="185"/>
    </row>
    <row r="206" spans="13:17" x14ac:dyDescent="0.2">
      <c r="M206" s="185"/>
      <c r="N206" s="185"/>
      <c r="O206" s="185"/>
      <c r="P206" s="185"/>
      <c r="Q206" s="185"/>
    </row>
    <row r="207" spans="13:17" x14ac:dyDescent="0.2">
      <c r="M207" s="185"/>
      <c r="N207" s="185"/>
      <c r="O207" s="185"/>
      <c r="P207" s="185"/>
      <c r="Q207" s="185"/>
    </row>
    <row r="208" spans="13:17" x14ac:dyDescent="0.2">
      <c r="M208" s="185"/>
      <c r="N208" s="185"/>
      <c r="O208" s="185"/>
      <c r="P208" s="185"/>
      <c r="Q208" s="185"/>
    </row>
    <row r="209" spans="13:17" x14ac:dyDescent="0.2">
      <c r="M209" s="185"/>
      <c r="N209" s="185"/>
      <c r="O209" s="185"/>
      <c r="P209" s="185"/>
      <c r="Q209" s="185"/>
    </row>
    <row r="210" spans="13:17" x14ac:dyDescent="0.2">
      <c r="M210" s="185"/>
      <c r="N210" s="185"/>
      <c r="O210" s="185"/>
      <c r="P210" s="185"/>
      <c r="Q210" s="185"/>
    </row>
    <row r="211" spans="13:17" x14ac:dyDescent="0.2">
      <c r="M211" s="185"/>
      <c r="N211" s="185"/>
      <c r="O211" s="185"/>
      <c r="P211" s="185"/>
      <c r="Q211" s="185"/>
    </row>
    <row r="212" spans="13:17" x14ac:dyDescent="0.2">
      <c r="M212" s="185"/>
      <c r="N212" s="185"/>
      <c r="O212" s="185"/>
      <c r="P212" s="185"/>
      <c r="Q212" s="185"/>
    </row>
    <row r="213" spans="13:17" x14ac:dyDescent="0.2">
      <c r="M213" s="185"/>
      <c r="N213" s="185"/>
      <c r="O213" s="185"/>
      <c r="P213" s="185"/>
      <c r="Q213" s="185"/>
    </row>
    <row r="214" spans="13:17" x14ac:dyDescent="0.2">
      <c r="M214" s="185"/>
      <c r="N214" s="185"/>
      <c r="O214" s="185"/>
      <c r="P214" s="185"/>
      <c r="Q214" s="185"/>
    </row>
    <row r="215" spans="13:17" x14ac:dyDescent="0.2">
      <c r="M215" s="185"/>
      <c r="N215" s="185"/>
      <c r="O215" s="185"/>
      <c r="P215" s="185"/>
      <c r="Q215" s="185"/>
    </row>
    <row r="216" spans="13:17" x14ac:dyDescent="0.2">
      <c r="M216" s="185"/>
      <c r="N216" s="185"/>
      <c r="O216" s="185"/>
      <c r="P216" s="185"/>
      <c r="Q216" s="185"/>
    </row>
    <row r="217" spans="13:17" x14ac:dyDescent="0.2">
      <c r="M217" s="185"/>
      <c r="N217" s="185"/>
      <c r="O217" s="185"/>
      <c r="P217" s="185"/>
      <c r="Q217" s="185"/>
    </row>
    <row r="218" spans="13:17" x14ac:dyDescent="0.2">
      <c r="M218" s="185"/>
      <c r="N218" s="185"/>
      <c r="O218" s="185"/>
      <c r="P218" s="185"/>
      <c r="Q218" s="185"/>
    </row>
    <row r="219" spans="13:17" x14ac:dyDescent="0.2">
      <c r="M219" s="185"/>
      <c r="N219" s="185"/>
      <c r="O219" s="185"/>
      <c r="P219" s="185"/>
      <c r="Q219" s="185"/>
    </row>
    <row r="220" spans="13:17" x14ac:dyDescent="0.2">
      <c r="M220" s="185"/>
      <c r="N220" s="185"/>
      <c r="O220" s="185"/>
      <c r="P220" s="185"/>
      <c r="Q220" s="185"/>
    </row>
    <row r="221" spans="13:17" x14ac:dyDescent="0.2">
      <c r="M221" s="185"/>
      <c r="N221" s="185"/>
      <c r="O221" s="185"/>
      <c r="P221" s="185"/>
      <c r="Q221" s="185"/>
    </row>
    <row r="222" spans="13:17" x14ac:dyDescent="0.2">
      <c r="M222" s="185"/>
      <c r="N222" s="185"/>
      <c r="O222" s="185"/>
      <c r="P222" s="185"/>
      <c r="Q222" s="185"/>
    </row>
    <row r="223" spans="13:17" x14ac:dyDescent="0.2">
      <c r="M223" s="185"/>
      <c r="N223" s="185"/>
      <c r="O223" s="185"/>
      <c r="P223" s="185"/>
      <c r="Q223" s="185"/>
    </row>
    <row r="224" spans="13:17" x14ac:dyDescent="0.2">
      <c r="M224" s="185"/>
      <c r="N224" s="185"/>
      <c r="O224" s="185"/>
      <c r="P224" s="185"/>
      <c r="Q224" s="185"/>
    </row>
    <row r="225" spans="13:17" x14ac:dyDescent="0.2">
      <c r="M225" s="185"/>
      <c r="N225" s="185"/>
      <c r="O225" s="185"/>
      <c r="P225" s="185"/>
      <c r="Q225" s="185"/>
    </row>
    <row r="226" spans="13:17" x14ac:dyDescent="0.2">
      <c r="M226" s="185"/>
      <c r="N226" s="185"/>
      <c r="O226" s="185"/>
      <c r="P226" s="185"/>
      <c r="Q226" s="185"/>
    </row>
    <row r="227" spans="13:17" x14ac:dyDescent="0.2">
      <c r="M227" s="185"/>
      <c r="N227" s="185"/>
      <c r="O227" s="185"/>
      <c r="P227" s="185"/>
      <c r="Q227" s="185"/>
    </row>
    <row r="228" spans="13:17" x14ac:dyDescent="0.2">
      <c r="M228" s="185"/>
      <c r="N228" s="185"/>
      <c r="O228" s="185"/>
      <c r="P228" s="185"/>
      <c r="Q228" s="185"/>
    </row>
    <row r="229" spans="13:17" x14ac:dyDescent="0.2">
      <c r="M229" s="185"/>
      <c r="N229" s="185"/>
      <c r="O229" s="185"/>
      <c r="P229" s="185"/>
      <c r="Q229" s="185"/>
    </row>
    <row r="230" spans="13:17" x14ac:dyDescent="0.2">
      <c r="M230" s="185"/>
      <c r="N230" s="185"/>
      <c r="O230" s="185"/>
      <c r="P230" s="185"/>
      <c r="Q230" s="185"/>
    </row>
    <row r="231" spans="13:17" x14ac:dyDescent="0.2">
      <c r="M231" s="185"/>
      <c r="N231" s="185"/>
      <c r="O231" s="185"/>
      <c r="P231" s="185"/>
      <c r="Q231" s="185"/>
    </row>
    <row r="232" spans="13:17" x14ac:dyDescent="0.2">
      <c r="M232" s="185"/>
      <c r="N232" s="185"/>
      <c r="O232" s="185"/>
      <c r="P232" s="185"/>
      <c r="Q232" s="185"/>
    </row>
    <row r="233" spans="13:17" x14ac:dyDescent="0.2">
      <c r="M233" s="185"/>
      <c r="N233" s="185"/>
      <c r="O233" s="185"/>
      <c r="P233" s="185"/>
      <c r="Q233" s="185"/>
    </row>
    <row r="234" spans="13:17" x14ac:dyDescent="0.2">
      <c r="M234" s="185"/>
      <c r="N234" s="185"/>
      <c r="O234" s="185"/>
      <c r="P234" s="185"/>
      <c r="Q234" s="185"/>
    </row>
    <row r="235" spans="13:17" x14ac:dyDescent="0.2">
      <c r="M235" s="185"/>
      <c r="N235" s="185"/>
      <c r="O235" s="185"/>
      <c r="P235" s="185"/>
      <c r="Q235" s="185"/>
    </row>
    <row r="236" spans="13:17" x14ac:dyDescent="0.2">
      <c r="M236" s="185"/>
      <c r="N236" s="185"/>
      <c r="O236" s="185"/>
      <c r="P236" s="185"/>
      <c r="Q236" s="185"/>
    </row>
    <row r="237" spans="13:17" x14ac:dyDescent="0.2">
      <c r="M237" s="185"/>
      <c r="N237" s="185"/>
      <c r="O237" s="185"/>
      <c r="P237" s="185"/>
      <c r="Q237" s="185"/>
    </row>
    <row r="238" spans="13:17" x14ac:dyDescent="0.2">
      <c r="M238" s="185"/>
      <c r="N238" s="185"/>
      <c r="O238" s="185"/>
      <c r="P238" s="185"/>
      <c r="Q238" s="185"/>
    </row>
    <row r="239" spans="13:17" x14ac:dyDescent="0.2">
      <c r="M239" s="185"/>
      <c r="N239" s="185"/>
      <c r="O239" s="185"/>
      <c r="P239" s="185"/>
      <c r="Q239" s="185"/>
    </row>
    <row r="240" spans="13:17" x14ac:dyDescent="0.2">
      <c r="M240" s="185"/>
      <c r="N240" s="185"/>
      <c r="O240" s="185"/>
      <c r="P240" s="185"/>
      <c r="Q240" s="185"/>
    </row>
    <row r="241" spans="13:17" x14ac:dyDescent="0.2">
      <c r="M241" s="185"/>
      <c r="N241" s="185"/>
      <c r="O241" s="185"/>
      <c r="P241" s="185"/>
      <c r="Q241" s="185"/>
    </row>
    <row r="242" spans="13:17" x14ac:dyDescent="0.2">
      <c r="M242" s="185"/>
      <c r="N242" s="185"/>
      <c r="O242" s="185"/>
      <c r="P242" s="185"/>
      <c r="Q242" s="185"/>
    </row>
    <row r="243" spans="13:17" x14ac:dyDescent="0.2">
      <c r="M243" s="185"/>
      <c r="N243" s="185"/>
      <c r="O243" s="185"/>
      <c r="P243" s="185"/>
      <c r="Q243" s="185"/>
    </row>
    <row r="244" spans="13:17" x14ac:dyDescent="0.2">
      <c r="M244" s="185"/>
      <c r="N244" s="185"/>
      <c r="O244" s="185"/>
      <c r="P244" s="185"/>
      <c r="Q244" s="185"/>
    </row>
    <row r="245" spans="13:17" x14ac:dyDescent="0.2">
      <c r="M245" s="185"/>
      <c r="N245" s="185"/>
      <c r="O245" s="185"/>
      <c r="P245" s="185"/>
      <c r="Q245" s="185"/>
    </row>
    <row r="246" spans="13:17" x14ac:dyDescent="0.2">
      <c r="M246" s="185"/>
      <c r="N246" s="185"/>
      <c r="O246" s="185"/>
      <c r="P246" s="185"/>
      <c r="Q246" s="185"/>
    </row>
    <row r="247" spans="13:17" x14ac:dyDescent="0.2">
      <c r="M247" s="185"/>
      <c r="N247" s="185"/>
      <c r="O247" s="185"/>
      <c r="P247" s="185"/>
      <c r="Q247" s="185"/>
    </row>
    <row r="248" spans="13:17" x14ac:dyDescent="0.2">
      <c r="M248" s="185"/>
      <c r="N248" s="185"/>
      <c r="O248" s="185"/>
      <c r="P248" s="185"/>
      <c r="Q248" s="185"/>
    </row>
    <row r="249" spans="13:17" x14ac:dyDescent="0.2">
      <c r="M249" s="185"/>
      <c r="N249" s="185"/>
      <c r="O249" s="185"/>
      <c r="P249" s="185"/>
      <c r="Q249" s="185"/>
    </row>
    <row r="250" spans="13:17" x14ac:dyDescent="0.2">
      <c r="M250" s="185"/>
      <c r="N250" s="185"/>
      <c r="O250" s="185"/>
      <c r="P250" s="185"/>
      <c r="Q250" s="185"/>
    </row>
    <row r="251" spans="13:17" x14ac:dyDescent="0.2">
      <c r="M251" s="185"/>
      <c r="N251" s="185"/>
      <c r="O251" s="185"/>
      <c r="P251" s="185"/>
      <c r="Q251" s="185"/>
    </row>
    <row r="252" spans="13:17" x14ac:dyDescent="0.2">
      <c r="M252" s="185"/>
      <c r="N252" s="185"/>
      <c r="O252" s="185"/>
      <c r="P252" s="185"/>
      <c r="Q252" s="185"/>
    </row>
    <row r="253" spans="13:17" x14ac:dyDescent="0.2">
      <c r="M253" s="185"/>
      <c r="N253" s="185"/>
      <c r="O253" s="185"/>
      <c r="P253" s="185"/>
      <c r="Q253" s="185"/>
    </row>
    <row r="254" spans="13:17" x14ac:dyDescent="0.2">
      <c r="M254" s="185"/>
      <c r="N254" s="185"/>
      <c r="O254" s="185"/>
      <c r="P254" s="185"/>
      <c r="Q254" s="185"/>
    </row>
    <row r="255" spans="13:17" x14ac:dyDescent="0.2">
      <c r="M255" s="185"/>
      <c r="N255" s="185"/>
      <c r="O255" s="185"/>
      <c r="P255" s="185"/>
      <c r="Q255" s="185"/>
    </row>
    <row r="256" spans="13:17" x14ac:dyDescent="0.2">
      <c r="M256" s="185"/>
      <c r="N256" s="185"/>
      <c r="O256" s="185"/>
      <c r="P256" s="185"/>
      <c r="Q256" s="185"/>
    </row>
    <row r="257" spans="13:17" x14ac:dyDescent="0.2">
      <c r="M257" s="185"/>
      <c r="N257" s="185"/>
      <c r="O257" s="185"/>
      <c r="P257" s="185"/>
      <c r="Q257" s="185"/>
    </row>
    <row r="258" spans="13:17" x14ac:dyDescent="0.2">
      <c r="M258" s="185"/>
      <c r="N258" s="185"/>
      <c r="O258" s="185"/>
      <c r="P258" s="185"/>
      <c r="Q258" s="185"/>
    </row>
    <row r="259" spans="13:17" x14ac:dyDescent="0.2">
      <c r="M259" s="185"/>
      <c r="N259" s="185"/>
      <c r="O259" s="185"/>
      <c r="P259" s="185"/>
      <c r="Q259" s="185"/>
    </row>
    <row r="260" spans="13:17" x14ac:dyDescent="0.2">
      <c r="M260" s="185"/>
      <c r="N260" s="185"/>
      <c r="O260" s="185"/>
      <c r="P260" s="185"/>
      <c r="Q260" s="185"/>
    </row>
    <row r="261" spans="13:17" x14ac:dyDescent="0.2">
      <c r="M261" s="185"/>
      <c r="N261" s="185"/>
      <c r="O261" s="185"/>
      <c r="P261" s="185"/>
      <c r="Q261" s="185"/>
    </row>
    <row r="262" spans="13:17" x14ac:dyDescent="0.2">
      <c r="M262" s="185"/>
      <c r="N262" s="185"/>
      <c r="O262" s="185"/>
      <c r="P262" s="185"/>
      <c r="Q262" s="185"/>
    </row>
    <row r="263" spans="13:17" x14ac:dyDescent="0.2">
      <c r="M263" s="185"/>
      <c r="N263" s="185"/>
      <c r="O263" s="185"/>
      <c r="P263" s="185"/>
      <c r="Q263" s="185"/>
    </row>
    <row r="264" spans="13:17" x14ac:dyDescent="0.2">
      <c r="M264" s="185"/>
      <c r="N264" s="185"/>
      <c r="O264" s="185"/>
      <c r="P264" s="185"/>
      <c r="Q264" s="185"/>
    </row>
    <row r="265" spans="13:17" x14ac:dyDescent="0.2">
      <c r="M265" s="185"/>
      <c r="N265" s="185"/>
      <c r="O265" s="185"/>
      <c r="P265" s="185"/>
      <c r="Q265" s="185"/>
    </row>
    <row r="266" spans="13:17" x14ac:dyDescent="0.2">
      <c r="M266" s="185"/>
      <c r="N266" s="185"/>
      <c r="O266" s="185"/>
      <c r="P266" s="185"/>
      <c r="Q266" s="185"/>
    </row>
    <row r="267" spans="13:17" x14ac:dyDescent="0.2">
      <c r="M267" s="185"/>
      <c r="N267" s="185"/>
      <c r="O267" s="185"/>
      <c r="P267" s="185"/>
      <c r="Q267" s="185"/>
    </row>
    <row r="268" spans="13:17" x14ac:dyDescent="0.2">
      <c r="M268" s="185"/>
      <c r="N268" s="185"/>
      <c r="O268" s="185"/>
      <c r="P268" s="185"/>
      <c r="Q268" s="185"/>
    </row>
    <row r="269" spans="13:17" x14ac:dyDescent="0.2">
      <c r="M269" s="185"/>
      <c r="N269" s="185"/>
      <c r="O269" s="185"/>
      <c r="P269" s="185"/>
      <c r="Q269" s="185"/>
    </row>
    <row r="270" spans="13:17" x14ac:dyDescent="0.2">
      <c r="M270" s="185"/>
      <c r="N270" s="185"/>
      <c r="O270" s="185"/>
      <c r="P270" s="185"/>
      <c r="Q270" s="185"/>
    </row>
    <row r="271" spans="13:17" x14ac:dyDescent="0.2">
      <c r="M271" s="185"/>
      <c r="N271" s="185"/>
      <c r="O271" s="185"/>
      <c r="P271" s="185"/>
      <c r="Q271" s="185"/>
    </row>
    <row r="272" spans="13:17" x14ac:dyDescent="0.2">
      <c r="M272" s="185"/>
      <c r="N272" s="185"/>
      <c r="O272" s="185"/>
      <c r="P272" s="185"/>
      <c r="Q272" s="185"/>
    </row>
    <row r="273" spans="13:17" x14ac:dyDescent="0.2">
      <c r="M273" s="185"/>
      <c r="N273" s="185"/>
      <c r="O273" s="185"/>
      <c r="P273" s="185"/>
      <c r="Q273" s="185"/>
    </row>
    <row r="274" spans="13:17" x14ac:dyDescent="0.2">
      <c r="M274" s="185"/>
      <c r="N274" s="185"/>
      <c r="O274" s="185"/>
      <c r="P274" s="185"/>
      <c r="Q274" s="185"/>
    </row>
    <row r="275" spans="13:17" x14ac:dyDescent="0.2">
      <c r="M275" s="185"/>
      <c r="N275" s="185"/>
      <c r="O275" s="185"/>
      <c r="P275" s="185"/>
      <c r="Q275" s="185"/>
    </row>
    <row r="276" spans="13:17" x14ac:dyDescent="0.2">
      <c r="M276" s="185"/>
      <c r="N276" s="185"/>
      <c r="O276" s="185"/>
      <c r="P276" s="185"/>
      <c r="Q276" s="185"/>
    </row>
    <row r="277" spans="13:17" x14ac:dyDescent="0.2">
      <c r="M277" s="185"/>
      <c r="N277" s="185"/>
      <c r="O277" s="185"/>
      <c r="P277" s="185"/>
      <c r="Q277" s="185"/>
    </row>
    <row r="278" spans="13:17" x14ac:dyDescent="0.2">
      <c r="M278" s="185"/>
      <c r="N278" s="185"/>
      <c r="O278" s="185"/>
      <c r="P278" s="185"/>
      <c r="Q278" s="185"/>
    </row>
    <row r="279" spans="13:17" x14ac:dyDescent="0.2">
      <c r="M279" s="185"/>
      <c r="N279" s="185"/>
      <c r="O279" s="185"/>
      <c r="P279" s="185"/>
      <c r="Q279" s="185"/>
    </row>
    <row r="280" spans="13:17" x14ac:dyDescent="0.2">
      <c r="M280" s="185"/>
      <c r="N280" s="185"/>
      <c r="O280" s="185"/>
      <c r="P280" s="185"/>
      <c r="Q280" s="185"/>
    </row>
    <row r="281" spans="13:17" x14ac:dyDescent="0.2">
      <c r="M281" s="185"/>
      <c r="N281" s="185"/>
      <c r="O281" s="185"/>
      <c r="P281" s="185"/>
      <c r="Q281" s="185"/>
    </row>
    <row r="282" spans="13:17" x14ac:dyDescent="0.2">
      <c r="M282" s="185"/>
      <c r="N282" s="185"/>
      <c r="O282" s="185"/>
      <c r="P282" s="185"/>
      <c r="Q282" s="185"/>
    </row>
    <row r="283" spans="13:17" x14ac:dyDescent="0.2">
      <c r="M283" s="185"/>
      <c r="N283" s="185"/>
      <c r="O283" s="185"/>
      <c r="P283" s="185"/>
      <c r="Q283" s="185"/>
    </row>
    <row r="284" spans="13:17" x14ac:dyDescent="0.2">
      <c r="M284" s="185"/>
      <c r="N284" s="185"/>
      <c r="O284" s="185"/>
      <c r="P284" s="185"/>
      <c r="Q284" s="185"/>
    </row>
    <row r="285" spans="13:17" x14ac:dyDescent="0.2">
      <c r="M285" s="185"/>
      <c r="N285" s="185"/>
      <c r="O285" s="185"/>
      <c r="P285" s="185"/>
      <c r="Q285" s="185"/>
    </row>
    <row r="286" spans="13:17" x14ac:dyDescent="0.2">
      <c r="M286" s="185"/>
      <c r="N286" s="185"/>
      <c r="O286" s="185"/>
      <c r="P286" s="185"/>
      <c r="Q286" s="185"/>
    </row>
    <row r="287" spans="13:17" x14ac:dyDescent="0.2">
      <c r="M287" s="185"/>
      <c r="N287" s="185"/>
      <c r="O287" s="185"/>
      <c r="P287" s="185"/>
      <c r="Q287" s="185"/>
    </row>
    <row r="288" spans="13:17" x14ac:dyDescent="0.2">
      <c r="M288" s="185"/>
      <c r="N288" s="185"/>
      <c r="O288" s="185"/>
      <c r="P288" s="185"/>
      <c r="Q288" s="185"/>
    </row>
    <row r="289" spans="13:17" x14ac:dyDescent="0.2">
      <c r="M289" s="185"/>
      <c r="N289" s="185"/>
      <c r="O289" s="185"/>
      <c r="P289" s="185"/>
      <c r="Q289" s="185"/>
    </row>
    <row r="290" spans="13:17" x14ac:dyDescent="0.2">
      <c r="M290" s="185"/>
      <c r="N290" s="185"/>
      <c r="O290" s="185"/>
      <c r="P290" s="185"/>
      <c r="Q290" s="185"/>
    </row>
    <row r="291" spans="13:17" x14ac:dyDescent="0.2">
      <c r="M291" s="185"/>
      <c r="N291" s="185"/>
      <c r="O291" s="185"/>
      <c r="P291" s="185"/>
      <c r="Q291" s="185"/>
    </row>
    <row r="292" spans="13:17" x14ac:dyDescent="0.2">
      <c r="M292" s="185"/>
      <c r="N292" s="185"/>
      <c r="O292" s="185"/>
      <c r="P292" s="185"/>
      <c r="Q292" s="185"/>
    </row>
    <row r="293" spans="13:17" x14ac:dyDescent="0.2">
      <c r="M293" s="185"/>
      <c r="N293" s="185"/>
      <c r="O293" s="185"/>
      <c r="P293" s="185"/>
      <c r="Q293" s="185"/>
    </row>
    <row r="294" spans="13:17" x14ac:dyDescent="0.2">
      <c r="M294" s="185"/>
      <c r="N294" s="185"/>
      <c r="O294" s="185"/>
      <c r="P294" s="185"/>
      <c r="Q294" s="185"/>
    </row>
    <row r="295" spans="13:17" x14ac:dyDescent="0.2">
      <c r="M295" s="185"/>
      <c r="N295" s="185"/>
      <c r="O295" s="185"/>
      <c r="P295" s="185"/>
      <c r="Q295" s="185"/>
    </row>
    <row r="296" spans="13:17" x14ac:dyDescent="0.2">
      <c r="M296" s="185"/>
      <c r="N296" s="185"/>
      <c r="O296" s="185"/>
      <c r="P296" s="185"/>
      <c r="Q296" s="185"/>
    </row>
    <row r="297" spans="13:17" x14ac:dyDescent="0.2">
      <c r="M297" s="185"/>
      <c r="N297" s="185"/>
      <c r="O297" s="185"/>
      <c r="P297" s="185"/>
      <c r="Q297" s="185"/>
    </row>
    <row r="298" spans="13:17" x14ac:dyDescent="0.2">
      <c r="M298" s="185"/>
      <c r="N298" s="185"/>
      <c r="O298" s="185"/>
      <c r="P298" s="185"/>
      <c r="Q298" s="185"/>
    </row>
    <row r="299" spans="13:17" x14ac:dyDescent="0.2">
      <c r="M299" s="185"/>
      <c r="N299" s="185"/>
      <c r="O299" s="185"/>
      <c r="P299" s="185"/>
      <c r="Q299" s="185"/>
    </row>
    <row r="300" spans="13:17" x14ac:dyDescent="0.2">
      <c r="M300" s="185"/>
      <c r="N300" s="185"/>
      <c r="O300" s="185"/>
      <c r="P300" s="185"/>
      <c r="Q300" s="185"/>
    </row>
    <row r="301" spans="13:17" x14ac:dyDescent="0.2">
      <c r="M301" s="185"/>
      <c r="N301" s="185"/>
      <c r="O301" s="185"/>
      <c r="P301" s="185"/>
      <c r="Q301" s="185"/>
    </row>
    <row r="302" spans="13:17" x14ac:dyDescent="0.2">
      <c r="M302" s="185"/>
      <c r="N302" s="185"/>
      <c r="O302" s="185"/>
      <c r="P302" s="185"/>
      <c r="Q302" s="185"/>
    </row>
    <row r="303" spans="13:17" x14ac:dyDescent="0.2">
      <c r="M303" s="185"/>
      <c r="N303" s="185"/>
      <c r="O303" s="185"/>
      <c r="P303" s="185"/>
      <c r="Q303" s="185"/>
    </row>
    <row r="304" spans="13:17" x14ac:dyDescent="0.2">
      <c r="M304" s="185"/>
      <c r="N304" s="185"/>
      <c r="O304" s="185"/>
      <c r="P304" s="185"/>
      <c r="Q304" s="185"/>
    </row>
    <row r="305" spans="13:17" x14ac:dyDescent="0.2">
      <c r="M305" s="185"/>
      <c r="N305" s="185"/>
      <c r="O305" s="185"/>
      <c r="P305" s="185"/>
      <c r="Q305" s="185"/>
    </row>
    <row r="306" spans="13:17" x14ac:dyDescent="0.2">
      <c r="M306" s="185"/>
      <c r="N306" s="185"/>
      <c r="O306" s="185"/>
      <c r="P306" s="185"/>
      <c r="Q306" s="185"/>
    </row>
    <row r="307" spans="13:17" x14ac:dyDescent="0.2">
      <c r="M307" s="185"/>
      <c r="N307" s="185"/>
      <c r="O307" s="185"/>
      <c r="P307" s="185"/>
      <c r="Q307" s="185"/>
    </row>
    <row r="308" spans="13:17" x14ac:dyDescent="0.2">
      <c r="M308" s="185"/>
      <c r="N308" s="185"/>
      <c r="O308" s="185"/>
      <c r="P308" s="185"/>
      <c r="Q308" s="185"/>
    </row>
    <row r="309" spans="13:17" x14ac:dyDescent="0.2">
      <c r="M309" s="185"/>
      <c r="N309" s="185"/>
      <c r="O309" s="185"/>
      <c r="P309" s="185"/>
      <c r="Q309" s="185"/>
    </row>
    <row r="310" spans="13:17" x14ac:dyDescent="0.2">
      <c r="M310" s="185"/>
      <c r="N310" s="185"/>
      <c r="O310" s="185"/>
      <c r="P310" s="185"/>
      <c r="Q310" s="185"/>
    </row>
    <row r="311" spans="13:17" x14ac:dyDescent="0.2">
      <c r="M311" s="185"/>
      <c r="N311" s="185"/>
      <c r="O311" s="185"/>
      <c r="P311" s="185"/>
      <c r="Q311" s="185"/>
    </row>
    <row r="312" spans="13:17" x14ac:dyDescent="0.2">
      <c r="M312" s="185"/>
      <c r="N312" s="185"/>
      <c r="O312" s="185"/>
      <c r="P312" s="185"/>
      <c r="Q312" s="185"/>
    </row>
    <row r="313" spans="13:17" x14ac:dyDescent="0.2">
      <c r="M313" s="185"/>
      <c r="N313" s="185"/>
      <c r="O313" s="185"/>
      <c r="P313" s="185"/>
      <c r="Q313" s="185"/>
    </row>
    <row r="314" spans="13:17" x14ac:dyDescent="0.2">
      <c r="M314" s="185"/>
      <c r="N314" s="185"/>
      <c r="O314" s="185"/>
      <c r="P314" s="185"/>
      <c r="Q314" s="185"/>
    </row>
    <row r="315" spans="13:17" x14ac:dyDescent="0.2">
      <c r="M315" s="185"/>
      <c r="N315" s="185"/>
      <c r="O315" s="185"/>
      <c r="P315" s="185"/>
      <c r="Q315" s="185"/>
    </row>
    <row r="316" spans="13:17" x14ac:dyDescent="0.2">
      <c r="M316" s="185"/>
      <c r="N316" s="185"/>
      <c r="O316" s="185"/>
      <c r="P316" s="185"/>
      <c r="Q316" s="185"/>
    </row>
    <row r="317" spans="13:17" x14ac:dyDescent="0.2">
      <c r="M317" s="185"/>
      <c r="N317" s="185"/>
      <c r="O317" s="185"/>
      <c r="P317" s="185"/>
      <c r="Q317" s="185"/>
    </row>
    <row r="318" spans="13:17" x14ac:dyDescent="0.2">
      <c r="M318" s="185"/>
      <c r="N318" s="185"/>
      <c r="O318" s="185"/>
      <c r="P318" s="185"/>
      <c r="Q318" s="185"/>
    </row>
    <row r="319" spans="13:17" x14ac:dyDescent="0.2">
      <c r="M319" s="185"/>
      <c r="N319" s="185"/>
      <c r="O319" s="185"/>
      <c r="P319" s="185"/>
      <c r="Q319" s="185"/>
    </row>
    <row r="320" spans="13:17" x14ac:dyDescent="0.2">
      <c r="M320" s="185"/>
      <c r="N320" s="185"/>
      <c r="O320" s="185"/>
      <c r="P320" s="185"/>
      <c r="Q320" s="185"/>
    </row>
    <row r="321" spans="13:17" x14ac:dyDescent="0.2">
      <c r="M321" s="185"/>
      <c r="N321" s="185"/>
      <c r="O321" s="185"/>
      <c r="P321" s="185"/>
      <c r="Q321" s="185"/>
    </row>
    <row r="322" spans="13:17" x14ac:dyDescent="0.2">
      <c r="M322" s="185"/>
      <c r="N322" s="185"/>
      <c r="O322" s="185"/>
      <c r="P322" s="185"/>
      <c r="Q322" s="185"/>
    </row>
    <row r="323" spans="13:17" x14ac:dyDescent="0.2">
      <c r="M323" s="185"/>
      <c r="N323" s="185"/>
      <c r="O323" s="185"/>
      <c r="P323" s="185"/>
      <c r="Q323" s="185"/>
    </row>
    <row r="324" spans="13:17" x14ac:dyDescent="0.2">
      <c r="M324" s="185"/>
      <c r="N324" s="185"/>
      <c r="O324" s="185"/>
      <c r="P324" s="185"/>
      <c r="Q324" s="185"/>
    </row>
    <row r="325" spans="13:17" x14ac:dyDescent="0.2">
      <c r="M325" s="185"/>
      <c r="N325" s="185"/>
      <c r="O325" s="185"/>
      <c r="P325" s="185"/>
      <c r="Q325" s="185"/>
    </row>
    <row r="326" spans="13:17" x14ac:dyDescent="0.2">
      <c r="M326" s="185"/>
      <c r="N326" s="185"/>
      <c r="O326" s="185"/>
      <c r="P326" s="185"/>
      <c r="Q326" s="185"/>
    </row>
    <row r="327" spans="13:17" x14ac:dyDescent="0.2">
      <c r="M327" s="185"/>
      <c r="N327" s="185"/>
      <c r="O327" s="185"/>
      <c r="P327" s="185"/>
      <c r="Q327" s="185"/>
    </row>
    <row r="328" spans="13:17" x14ac:dyDescent="0.2">
      <c r="M328" s="185"/>
      <c r="N328" s="185"/>
      <c r="O328" s="185"/>
      <c r="P328" s="185"/>
      <c r="Q328" s="185"/>
    </row>
    <row r="329" spans="13:17" x14ac:dyDescent="0.2">
      <c r="M329" s="185"/>
      <c r="N329" s="185"/>
      <c r="O329" s="185"/>
      <c r="P329" s="185"/>
      <c r="Q329" s="185"/>
    </row>
    <row r="330" spans="13:17" x14ac:dyDescent="0.2">
      <c r="M330" s="185"/>
      <c r="N330" s="185"/>
      <c r="O330" s="185"/>
      <c r="P330" s="185"/>
      <c r="Q330" s="185"/>
    </row>
    <row r="331" spans="13:17" x14ac:dyDescent="0.2">
      <c r="M331" s="185"/>
      <c r="N331" s="185"/>
      <c r="O331" s="185"/>
      <c r="P331" s="185"/>
      <c r="Q331" s="185"/>
    </row>
    <row r="332" spans="13:17" x14ac:dyDescent="0.2">
      <c r="M332" s="185"/>
      <c r="N332" s="185"/>
      <c r="O332" s="185"/>
      <c r="P332" s="185"/>
      <c r="Q332" s="185"/>
    </row>
    <row r="333" spans="13:17" x14ac:dyDescent="0.2">
      <c r="M333" s="185"/>
      <c r="N333" s="185"/>
      <c r="O333" s="185"/>
      <c r="P333" s="185"/>
      <c r="Q333" s="185"/>
    </row>
    <row r="334" spans="13:17" x14ac:dyDescent="0.2">
      <c r="M334" s="185"/>
      <c r="N334" s="185"/>
      <c r="O334" s="185"/>
      <c r="P334" s="185"/>
      <c r="Q334" s="185"/>
    </row>
    <row r="335" spans="13:17" x14ac:dyDescent="0.2">
      <c r="M335" s="185"/>
      <c r="N335" s="185"/>
      <c r="O335" s="185"/>
      <c r="P335" s="185"/>
      <c r="Q335" s="185"/>
    </row>
    <row r="336" spans="13:17" x14ac:dyDescent="0.2">
      <c r="M336" s="185"/>
      <c r="N336" s="185"/>
      <c r="O336" s="185"/>
      <c r="P336" s="185"/>
      <c r="Q336" s="185"/>
    </row>
    <row r="337" spans="13:17" x14ac:dyDescent="0.2">
      <c r="M337" s="185"/>
      <c r="N337" s="185"/>
      <c r="O337" s="185"/>
      <c r="P337" s="185"/>
      <c r="Q337" s="185"/>
    </row>
    <row r="338" spans="13:17" x14ac:dyDescent="0.2">
      <c r="M338" s="185"/>
      <c r="N338" s="185"/>
      <c r="O338" s="185"/>
      <c r="P338" s="185"/>
      <c r="Q338" s="185"/>
    </row>
    <row r="339" spans="13:17" x14ac:dyDescent="0.2">
      <c r="M339" s="185"/>
      <c r="N339" s="185"/>
      <c r="O339" s="185"/>
      <c r="P339" s="185"/>
      <c r="Q339" s="185"/>
    </row>
    <row r="340" spans="13:17" x14ac:dyDescent="0.2">
      <c r="M340" s="185"/>
      <c r="N340" s="185"/>
      <c r="O340" s="185"/>
      <c r="P340" s="185"/>
      <c r="Q340" s="185"/>
    </row>
    <row r="341" spans="13:17" x14ac:dyDescent="0.2">
      <c r="M341" s="185"/>
      <c r="N341" s="185"/>
      <c r="O341" s="185"/>
      <c r="P341" s="185"/>
      <c r="Q341" s="185"/>
    </row>
    <row r="342" spans="13:17" x14ac:dyDescent="0.2">
      <c r="M342" s="185"/>
      <c r="N342" s="185"/>
      <c r="O342" s="185"/>
      <c r="P342" s="185"/>
      <c r="Q342" s="185"/>
    </row>
    <row r="343" spans="13:17" x14ac:dyDescent="0.2">
      <c r="M343" s="185"/>
      <c r="N343" s="185"/>
      <c r="O343" s="185"/>
      <c r="P343" s="185"/>
      <c r="Q343" s="185"/>
    </row>
    <row r="344" spans="13:17" x14ac:dyDescent="0.2">
      <c r="M344" s="185"/>
      <c r="N344" s="185"/>
      <c r="O344" s="185"/>
      <c r="P344" s="185"/>
      <c r="Q344" s="185"/>
    </row>
    <row r="345" spans="13:17" x14ac:dyDescent="0.2">
      <c r="M345" s="185"/>
      <c r="N345" s="185"/>
      <c r="O345" s="185"/>
      <c r="P345" s="185"/>
      <c r="Q345" s="185"/>
    </row>
    <row r="346" spans="13:17" x14ac:dyDescent="0.2">
      <c r="M346" s="185"/>
      <c r="N346" s="185"/>
      <c r="O346" s="185"/>
      <c r="P346" s="185"/>
      <c r="Q346" s="185"/>
    </row>
    <row r="347" spans="13:17" x14ac:dyDescent="0.2">
      <c r="M347" s="185"/>
      <c r="N347" s="185"/>
      <c r="O347" s="185"/>
      <c r="P347" s="185"/>
      <c r="Q347" s="185"/>
    </row>
    <row r="348" spans="13:17" x14ac:dyDescent="0.2">
      <c r="M348" s="185"/>
      <c r="N348" s="185"/>
      <c r="O348" s="185"/>
      <c r="P348" s="185"/>
      <c r="Q348" s="185"/>
    </row>
    <row r="349" spans="13:17" x14ac:dyDescent="0.2">
      <c r="M349" s="185"/>
      <c r="N349" s="185"/>
      <c r="O349" s="185"/>
      <c r="P349" s="185"/>
      <c r="Q349" s="185"/>
    </row>
    <row r="350" spans="13:17" x14ac:dyDescent="0.2">
      <c r="M350" s="185"/>
      <c r="N350" s="185"/>
      <c r="O350" s="185"/>
      <c r="P350" s="185"/>
      <c r="Q350" s="185"/>
    </row>
    <row r="351" spans="13:17" x14ac:dyDescent="0.2">
      <c r="M351" s="185"/>
      <c r="N351" s="185"/>
      <c r="O351" s="185"/>
      <c r="P351" s="185"/>
      <c r="Q351" s="185"/>
    </row>
    <row r="352" spans="13:17" x14ac:dyDescent="0.2">
      <c r="M352" s="185"/>
      <c r="N352" s="185"/>
      <c r="O352" s="185"/>
      <c r="P352" s="185"/>
      <c r="Q352" s="185"/>
    </row>
    <row r="353" spans="13:17" x14ac:dyDescent="0.2">
      <c r="M353" s="185"/>
      <c r="N353" s="185"/>
      <c r="O353" s="185"/>
      <c r="P353" s="185"/>
      <c r="Q353" s="185"/>
    </row>
    <row r="354" spans="13:17" x14ac:dyDescent="0.2">
      <c r="M354" s="185"/>
      <c r="N354" s="185"/>
      <c r="O354" s="185"/>
      <c r="P354" s="185"/>
      <c r="Q354" s="185"/>
    </row>
    <row r="355" spans="13:17" x14ac:dyDescent="0.2">
      <c r="M355" s="185"/>
      <c r="N355" s="185"/>
      <c r="O355" s="185"/>
      <c r="P355" s="185"/>
      <c r="Q355" s="185"/>
    </row>
    <row r="356" spans="13:17" x14ac:dyDescent="0.2">
      <c r="M356" s="185"/>
      <c r="N356" s="185"/>
      <c r="O356" s="185"/>
      <c r="P356" s="185"/>
      <c r="Q356" s="185"/>
    </row>
    <row r="357" spans="13:17" x14ac:dyDescent="0.2">
      <c r="M357" s="185"/>
      <c r="N357" s="185"/>
      <c r="O357" s="185"/>
      <c r="P357" s="185"/>
      <c r="Q357" s="185"/>
    </row>
    <row r="358" spans="13:17" x14ac:dyDescent="0.2">
      <c r="M358" s="185"/>
      <c r="N358" s="185"/>
      <c r="O358" s="185"/>
      <c r="P358" s="185"/>
      <c r="Q358" s="185"/>
    </row>
    <row r="359" spans="13:17" x14ac:dyDescent="0.2">
      <c r="M359" s="185"/>
      <c r="N359" s="185"/>
      <c r="O359" s="185"/>
      <c r="P359" s="185"/>
      <c r="Q359" s="185"/>
    </row>
    <row r="360" spans="13:17" x14ac:dyDescent="0.2">
      <c r="M360" s="185"/>
      <c r="N360" s="185"/>
      <c r="O360" s="185"/>
      <c r="P360" s="185"/>
      <c r="Q360" s="185"/>
    </row>
    <row r="361" spans="13:17" x14ac:dyDescent="0.2">
      <c r="M361" s="185"/>
      <c r="N361" s="185"/>
      <c r="O361" s="185"/>
      <c r="P361" s="185"/>
      <c r="Q361" s="185"/>
    </row>
    <row r="362" spans="13:17" x14ac:dyDescent="0.2">
      <c r="M362" s="185"/>
      <c r="N362" s="185"/>
      <c r="O362" s="185"/>
      <c r="P362" s="185"/>
      <c r="Q362" s="185"/>
    </row>
    <row r="363" spans="13:17" x14ac:dyDescent="0.2">
      <c r="M363" s="185"/>
      <c r="N363" s="185"/>
      <c r="O363" s="185"/>
      <c r="P363" s="185"/>
      <c r="Q363" s="185"/>
    </row>
    <row r="364" spans="13:17" x14ac:dyDescent="0.2">
      <c r="M364" s="185"/>
      <c r="N364" s="185"/>
      <c r="O364" s="185"/>
      <c r="P364" s="185"/>
      <c r="Q364" s="185"/>
    </row>
    <row r="365" spans="13:17" x14ac:dyDescent="0.2">
      <c r="M365" s="185"/>
      <c r="N365" s="185"/>
      <c r="O365" s="185"/>
      <c r="P365" s="185"/>
      <c r="Q365" s="185"/>
    </row>
    <row r="366" spans="13:17" x14ac:dyDescent="0.2">
      <c r="M366" s="185"/>
      <c r="N366" s="185"/>
      <c r="O366" s="185"/>
      <c r="P366" s="185"/>
      <c r="Q366" s="185"/>
    </row>
    <row r="367" spans="13:17" x14ac:dyDescent="0.2">
      <c r="M367" s="185"/>
      <c r="N367" s="185"/>
      <c r="O367" s="185"/>
      <c r="P367" s="185"/>
      <c r="Q367" s="185"/>
    </row>
    <row r="368" spans="13:17" x14ac:dyDescent="0.2">
      <c r="M368" s="185"/>
      <c r="N368" s="185"/>
      <c r="O368" s="185"/>
      <c r="P368" s="185"/>
      <c r="Q368" s="185"/>
    </row>
    <row r="369" spans="13:17" x14ac:dyDescent="0.2">
      <c r="M369" s="185"/>
      <c r="N369" s="185"/>
      <c r="O369" s="185"/>
      <c r="P369" s="185"/>
      <c r="Q369" s="185"/>
    </row>
    <row r="370" spans="13:17" x14ac:dyDescent="0.2">
      <c r="M370" s="185"/>
      <c r="N370" s="185"/>
      <c r="O370" s="185"/>
      <c r="P370" s="185"/>
      <c r="Q370" s="185"/>
    </row>
    <row r="371" spans="13:17" x14ac:dyDescent="0.2">
      <c r="M371" s="185"/>
      <c r="N371" s="185"/>
      <c r="O371" s="185"/>
      <c r="P371" s="185"/>
      <c r="Q371" s="185"/>
    </row>
    <row r="372" spans="13:17" x14ac:dyDescent="0.2">
      <c r="M372" s="185"/>
      <c r="N372" s="185"/>
      <c r="O372" s="185"/>
      <c r="P372" s="185"/>
      <c r="Q372" s="185"/>
    </row>
    <row r="373" spans="13:17" x14ac:dyDescent="0.2">
      <c r="M373" s="185"/>
      <c r="N373" s="185"/>
      <c r="O373" s="185"/>
      <c r="P373" s="185"/>
      <c r="Q373" s="185"/>
    </row>
    <row r="374" spans="13:17" x14ac:dyDescent="0.2">
      <c r="M374" s="185"/>
      <c r="N374" s="185"/>
      <c r="O374" s="185"/>
      <c r="P374" s="185"/>
      <c r="Q374" s="185"/>
    </row>
    <row r="375" spans="13:17" x14ac:dyDescent="0.2">
      <c r="M375" s="185"/>
      <c r="N375" s="185"/>
      <c r="O375" s="185"/>
      <c r="P375" s="185"/>
      <c r="Q375" s="185"/>
    </row>
    <row r="376" spans="13:17" x14ac:dyDescent="0.2">
      <c r="M376" s="185"/>
      <c r="N376" s="185"/>
      <c r="O376" s="185"/>
      <c r="P376" s="185"/>
      <c r="Q376" s="185"/>
    </row>
    <row r="377" spans="13:17" x14ac:dyDescent="0.2">
      <c r="M377" s="185"/>
      <c r="N377" s="185"/>
      <c r="O377" s="185"/>
      <c r="P377" s="185"/>
      <c r="Q377" s="185"/>
    </row>
    <row r="378" spans="13:17" x14ac:dyDescent="0.2">
      <c r="M378" s="185"/>
      <c r="N378" s="185"/>
      <c r="O378" s="185"/>
      <c r="P378" s="185"/>
      <c r="Q378" s="185"/>
    </row>
    <row r="379" spans="13:17" x14ac:dyDescent="0.2">
      <c r="M379" s="185"/>
      <c r="N379" s="185"/>
      <c r="O379" s="185"/>
      <c r="P379" s="185"/>
      <c r="Q379" s="185"/>
    </row>
    <row r="380" spans="13:17" x14ac:dyDescent="0.2">
      <c r="M380" s="185"/>
      <c r="N380" s="185"/>
      <c r="O380" s="185"/>
      <c r="P380" s="185"/>
      <c r="Q380" s="185"/>
    </row>
    <row r="381" spans="13:17" x14ac:dyDescent="0.2">
      <c r="M381" s="185"/>
      <c r="N381" s="185"/>
      <c r="O381" s="185"/>
      <c r="P381" s="185"/>
      <c r="Q381" s="185"/>
    </row>
    <row r="382" spans="13:17" x14ac:dyDescent="0.2">
      <c r="M382" s="185"/>
      <c r="N382" s="185"/>
      <c r="O382" s="185"/>
      <c r="P382" s="185"/>
      <c r="Q382" s="185"/>
    </row>
    <row r="383" spans="13:17" x14ac:dyDescent="0.2">
      <c r="M383" s="185"/>
      <c r="N383" s="185"/>
      <c r="O383" s="185"/>
      <c r="P383" s="185"/>
      <c r="Q383" s="185"/>
    </row>
    <row r="384" spans="13:17" x14ac:dyDescent="0.2">
      <c r="M384" s="185"/>
      <c r="N384" s="185"/>
      <c r="O384" s="185"/>
      <c r="P384" s="185"/>
      <c r="Q384" s="185"/>
    </row>
    <row r="385" spans="13:17" x14ac:dyDescent="0.2">
      <c r="M385" s="185"/>
      <c r="N385" s="185"/>
      <c r="O385" s="185"/>
      <c r="P385" s="185"/>
      <c r="Q385" s="185"/>
    </row>
    <row r="386" spans="13:17" x14ac:dyDescent="0.2">
      <c r="M386" s="185"/>
      <c r="N386" s="185"/>
      <c r="O386" s="185"/>
      <c r="P386" s="185"/>
      <c r="Q386" s="185"/>
    </row>
    <row r="387" spans="13:17" x14ac:dyDescent="0.2">
      <c r="M387" s="185"/>
      <c r="N387" s="185"/>
      <c r="O387" s="185"/>
      <c r="P387" s="185"/>
      <c r="Q387" s="185"/>
    </row>
    <row r="388" spans="13:17" x14ac:dyDescent="0.2">
      <c r="M388" s="185"/>
      <c r="N388" s="185"/>
      <c r="O388" s="185"/>
      <c r="P388" s="185"/>
      <c r="Q388" s="185"/>
    </row>
    <row r="389" spans="13:17" x14ac:dyDescent="0.2">
      <c r="M389" s="185"/>
      <c r="N389" s="185"/>
      <c r="O389" s="185"/>
      <c r="P389" s="185"/>
      <c r="Q389" s="185"/>
    </row>
    <row r="390" spans="13:17" x14ac:dyDescent="0.2">
      <c r="M390" s="185"/>
      <c r="N390" s="185"/>
      <c r="O390" s="185"/>
      <c r="P390" s="185"/>
      <c r="Q390" s="185"/>
    </row>
    <row r="391" spans="13:17" x14ac:dyDescent="0.2">
      <c r="M391" s="185"/>
      <c r="N391" s="185"/>
      <c r="O391" s="185"/>
      <c r="P391" s="185"/>
      <c r="Q391" s="185"/>
    </row>
    <row r="392" spans="13:17" x14ac:dyDescent="0.2">
      <c r="M392" s="185"/>
      <c r="N392" s="185"/>
      <c r="O392" s="185"/>
      <c r="P392" s="185"/>
      <c r="Q392" s="185"/>
    </row>
    <row r="393" spans="13:17" x14ac:dyDescent="0.2">
      <c r="M393" s="185"/>
      <c r="N393" s="185"/>
      <c r="O393" s="185"/>
      <c r="P393" s="185"/>
      <c r="Q393" s="185"/>
    </row>
    <row r="394" spans="13:17" x14ac:dyDescent="0.2">
      <c r="M394" s="185"/>
      <c r="N394" s="185"/>
      <c r="O394" s="185"/>
      <c r="P394" s="185"/>
      <c r="Q394" s="185"/>
    </row>
    <row r="395" spans="13:17" x14ac:dyDescent="0.2">
      <c r="M395" s="185"/>
      <c r="N395" s="185"/>
      <c r="O395" s="185"/>
      <c r="P395" s="185"/>
      <c r="Q395" s="185"/>
    </row>
    <row r="396" spans="13:17" x14ac:dyDescent="0.2">
      <c r="M396" s="185"/>
      <c r="N396" s="185"/>
      <c r="O396" s="185"/>
      <c r="P396" s="185"/>
      <c r="Q396" s="185"/>
    </row>
    <row r="397" spans="13:17" x14ac:dyDescent="0.2">
      <c r="M397" s="185"/>
      <c r="N397" s="185"/>
      <c r="O397" s="185"/>
      <c r="P397" s="185"/>
      <c r="Q397" s="185"/>
    </row>
    <row r="398" spans="13:17" x14ac:dyDescent="0.2">
      <c r="M398" s="185"/>
      <c r="N398" s="185"/>
      <c r="O398" s="185"/>
      <c r="P398" s="185"/>
      <c r="Q398" s="185"/>
    </row>
    <row r="399" spans="13:17" x14ac:dyDescent="0.2">
      <c r="M399" s="185"/>
      <c r="N399" s="185"/>
      <c r="O399" s="185"/>
      <c r="P399" s="185"/>
      <c r="Q399" s="185"/>
    </row>
    <row r="400" spans="13:17" x14ac:dyDescent="0.2">
      <c r="M400" s="185"/>
      <c r="N400" s="185"/>
      <c r="O400" s="185"/>
      <c r="P400" s="185"/>
      <c r="Q400" s="185"/>
    </row>
    <row r="401" spans="13:17" x14ac:dyDescent="0.2">
      <c r="M401" s="185"/>
      <c r="N401" s="185"/>
      <c r="O401" s="185"/>
      <c r="P401" s="185"/>
      <c r="Q401" s="185"/>
    </row>
    <row r="402" spans="13:17" x14ac:dyDescent="0.2">
      <c r="M402" s="185"/>
      <c r="N402" s="185"/>
      <c r="O402" s="185"/>
      <c r="P402" s="185"/>
      <c r="Q402" s="185"/>
    </row>
    <row r="403" spans="13:17" x14ac:dyDescent="0.2">
      <c r="M403" s="185"/>
      <c r="N403" s="185"/>
      <c r="O403" s="185"/>
      <c r="P403" s="185"/>
      <c r="Q403" s="185"/>
    </row>
    <row r="404" spans="13:17" x14ac:dyDescent="0.2">
      <c r="M404" s="185"/>
      <c r="N404" s="185"/>
      <c r="O404" s="185"/>
      <c r="P404" s="185"/>
      <c r="Q404" s="185"/>
    </row>
    <row r="405" spans="13:17" x14ac:dyDescent="0.2">
      <c r="M405" s="185"/>
      <c r="N405" s="185"/>
      <c r="O405" s="185"/>
      <c r="P405" s="185"/>
      <c r="Q405" s="185"/>
    </row>
    <row r="406" spans="13:17" x14ac:dyDescent="0.2">
      <c r="M406" s="185"/>
      <c r="N406" s="185"/>
      <c r="O406" s="185"/>
      <c r="P406" s="185"/>
      <c r="Q406" s="185"/>
    </row>
    <row r="407" spans="13:17" x14ac:dyDescent="0.2">
      <c r="M407" s="185"/>
      <c r="N407" s="185"/>
      <c r="O407" s="185"/>
      <c r="P407" s="185"/>
      <c r="Q407" s="185"/>
    </row>
    <row r="408" spans="13:17" x14ac:dyDescent="0.2">
      <c r="M408" s="185"/>
      <c r="N408" s="185"/>
      <c r="O408" s="185"/>
      <c r="P408" s="185"/>
      <c r="Q408" s="185"/>
    </row>
    <row r="409" spans="13:17" x14ac:dyDescent="0.2">
      <c r="M409" s="185"/>
      <c r="N409" s="185"/>
      <c r="O409" s="185"/>
      <c r="P409" s="185"/>
      <c r="Q409" s="185"/>
    </row>
    <row r="410" spans="13:17" x14ac:dyDescent="0.2">
      <c r="M410" s="185"/>
      <c r="N410" s="185"/>
      <c r="O410" s="185"/>
      <c r="P410" s="185"/>
      <c r="Q410" s="185"/>
    </row>
    <row r="411" spans="13:17" x14ac:dyDescent="0.2">
      <c r="M411" s="185"/>
      <c r="N411" s="185"/>
      <c r="O411" s="185"/>
      <c r="P411" s="185"/>
      <c r="Q411" s="185"/>
    </row>
    <row r="412" spans="13:17" x14ac:dyDescent="0.2">
      <c r="M412" s="185"/>
      <c r="N412" s="185"/>
      <c r="O412" s="185"/>
      <c r="P412" s="185"/>
      <c r="Q412" s="185"/>
    </row>
    <row r="413" spans="13:17" x14ac:dyDescent="0.2">
      <c r="M413" s="185"/>
      <c r="N413" s="185"/>
      <c r="O413" s="185"/>
      <c r="P413" s="185"/>
      <c r="Q413" s="185"/>
    </row>
    <row r="414" spans="13:17" x14ac:dyDescent="0.2">
      <c r="M414" s="185"/>
      <c r="N414" s="185"/>
      <c r="O414" s="185"/>
      <c r="P414" s="185"/>
      <c r="Q414" s="185"/>
    </row>
    <row r="415" spans="13:17" x14ac:dyDescent="0.2">
      <c r="M415" s="185"/>
      <c r="N415" s="185"/>
      <c r="O415" s="185"/>
      <c r="P415" s="185"/>
      <c r="Q415" s="185"/>
    </row>
    <row r="416" spans="13:17" x14ac:dyDescent="0.2">
      <c r="M416" s="185"/>
      <c r="N416" s="185"/>
      <c r="O416" s="185"/>
      <c r="P416" s="185"/>
      <c r="Q416" s="185"/>
    </row>
    <row r="417" spans="13:17" x14ac:dyDescent="0.2">
      <c r="M417" s="185"/>
      <c r="N417" s="185"/>
      <c r="O417" s="185"/>
      <c r="P417" s="185"/>
      <c r="Q417" s="185"/>
    </row>
    <row r="418" spans="13:17" x14ac:dyDescent="0.2">
      <c r="M418" s="185"/>
      <c r="N418" s="185"/>
      <c r="O418" s="185"/>
      <c r="P418" s="185"/>
      <c r="Q418" s="185"/>
    </row>
    <row r="419" spans="13:17" x14ac:dyDescent="0.2">
      <c r="M419" s="185"/>
      <c r="N419" s="185"/>
      <c r="O419" s="185"/>
      <c r="P419" s="185"/>
      <c r="Q419" s="185"/>
    </row>
    <row r="420" spans="13:17" x14ac:dyDescent="0.2">
      <c r="M420" s="185"/>
      <c r="N420" s="185"/>
      <c r="O420" s="185"/>
      <c r="P420" s="185"/>
      <c r="Q420" s="185"/>
    </row>
    <row r="421" spans="13:17" x14ac:dyDescent="0.2">
      <c r="M421" s="185"/>
      <c r="N421" s="185"/>
      <c r="O421" s="185"/>
      <c r="P421" s="185"/>
      <c r="Q421" s="185"/>
    </row>
    <row r="422" spans="13:17" x14ac:dyDescent="0.2">
      <c r="M422" s="185"/>
      <c r="N422" s="185"/>
      <c r="O422" s="185"/>
      <c r="P422" s="185"/>
      <c r="Q422" s="185"/>
    </row>
    <row r="423" spans="13:17" x14ac:dyDescent="0.2">
      <c r="M423" s="185"/>
      <c r="N423" s="185"/>
      <c r="O423" s="185"/>
      <c r="P423" s="185"/>
      <c r="Q423" s="185"/>
    </row>
    <row r="424" spans="13:17" x14ac:dyDescent="0.2">
      <c r="M424" s="185"/>
      <c r="N424" s="185"/>
      <c r="O424" s="185"/>
      <c r="P424" s="185"/>
      <c r="Q424" s="185"/>
    </row>
    <row r="425" spans="13:17" x14ac:dyDescent="0.2">
      <c r="M425" s="185"/>
      <c r="N425" s="185"/>
      <c r="O425" s="185"/>
      <c r="P425" s="185"/>
      <c r="Q425" s="185"/>
    </row>
    <row r="426" spans="13:17" x14ac:dyDescent="0.2">
      <c r="M426" s="185"/>
      <c r="N426" s="185"/>
      <c r="O426" s="185"/>
      <c r="P426" s="185"/>
      <c r="Q426" s="185"/>
    </row>
    <row r="427" spans="13:17" x14ac:dyDescent="0.2">
      <c r="M427" s="185"/>
      <c r="N427" s="185"/>
      <c r="O427" s="185"/>
      <c r="P427" s="185"/>
      <c r="Q427" s="185"/>
    </row>
    <row r="428" spans="13:17" x14ac:dyDescent="0.2">
      <c r="M428" s="185"/>
      <c r="N428" s="185"/>
      <c r="O428" s="185"/>
      <c r="P428" s="185"/>
      <c r="Q428" s="185"/>
    </row>
    <row r="429" spans="13:17" x14ac:dyDescent="0.2">
      <c r="M429" s="185"/>
      <c r="N429" s="185"/>
      <c r="O429" s="185"/>
      <c r="P429" s="185"/>
      <c r="Q429" s="185"/>
    </row>
    <row r="430" spans="13:17" x14ac:dyDescent="0.2">
      <c r="M430" s="185"/>
      <c r="N430" s="185"/>
      <c r="O430" s="185"/>
      <c r="P430" s="185"/>
      <c r="Q430" s="185"/>
    </row>
    <row r="431" spans="13:17" x14ac:dyDescent="0.2">
      <c r="M431" s="185"/>
      <c r="N431" s="185"/>
      <c r="O431" s="185"/>
      <c r="P431" s="185"/>
      <c r="Q431" s="185"/>
    </row>
    <row r="432" spans="13:17" x14ac:dyDescent="0.2">
      <c r="M432" s="185"/>
      <c r="N432" s="185"/>
      <c r="O432" s="185"/>
      <c r="P432" s="185"/>
      <c r="Q432" s="185"/>
    </row>
    <row r="433" spans="13:17" x14ac:dyDescent="0.2">
      <c r="M433" s="185"/>
      <c r="N433" s="185"/>
      <c r="O433" s="185"/>
      <c r="P433" s="185"/>
      <c r="Q433" s="185"/>
    </row>
    <row r="434" spans="13:17" x14ac:dyDescent="0.2">
      <c r="M434" s="185"/>
      <c r="N434" s="185"/>
      <c r="O434" s="185"/>
      <c r="P434" s="185"/>
      <c r="Q434" s="185"/>
    </row>
    <row r="435" spans="13:17" x14ac:dyDescent="0.2">
      <c r="M435" s="185"/>
      <c r="N435" s="185"/>
      <c r="O435" s="185"/>
      <c r="P435" s="185"/>
      <c r="Q435" s="185"/>
    </row>
    <row r="436" spans="13:17" x14ac:dyDescent="0.2">
      <c r="M436" s="185"/>
      <c r="N436" s="185"/>
      <c r="O436" s="185"/>
      <c r="P436" s="185"/>
      <c r="Q436" s="185"/>
    </row>
    <row r="437" spans="13:17" x14ac:dyDescent="0.2">
      <c r="M437" s="185"/>
      <c r="N437" s="185"/>
      <c r="O437" s="185"/>
      <c r="P437" s="185"/>
      <c r="Q437" s="185"/>
    </row>
    <row r="438" spans="13:17" x14ac:dyDescent="0.2">
      <c r="M438" s="185"/>
      <c r="N438" s="185"/>
      <c r="O438" s="185"/>
      <c r="P438" s="185"/>
      <c r="Q438" s="185"/>
    </row>
    <row r="439" spans="13:17" x14ac:dyDescent="0.2">
      <c r="M439" s="185"/>
      <c r="N439" s="185"/>
      <c r="O439" s="185"/>
      <c r="P439" s="185"/>
      <c r="Q439" s="185"/>
    </row>
    <row r="440" spans="13:17" x14ac:dyDescent="0.2">
      <c r="M440" s="185"/>
      <c r="N440" s="185"/>
      <c r="O440" s="185"/>
      <c r="P440" s="185"/>
      <c r="Q440" s="185"/>
    </row>
    <row r="441" spans="13:17" x14ac:dyDescent="0.2">
      <c r="M441" s="185"/>
      <c r="N441" s="185"/>
      <c r="O441" s="185"/>
      <c r="P441" s="185"/>
      <c r="Q441" s="185"/>
    </row>
    <row r="442" spans="13:17" x14ac:dyDescent="0.2">
      <c r="M442" s="185"/>
      <c r="N442" s="185"/>
      <c r="O442" s="185"/>
      <c r="P442" s="185"/>
      <c r="Q442" s="185"/>
    </row>
    <row r="443" spans="13:17" x14ac:dyDescent="0.2">
      <c r="M443" s="185"/>
      <c r="N443" s="185"/>
      <c r="O443" s="185"/>
      <c r="P443" s="185"/>
      <c r="Q443" s="185"/>
    </row>
    <row r="444" spans="13:17" x14ac:dyDescent="0.2">
      <c r="M444" s="185"/>
      <c r="N444" s="185"/>
      <c r="O444" s="185"/>
      <c r="P444" s="185"/>
      <c r="Q444" s="185"/>
    </row>
    <row r="445" spans="13:17" x14ac:dyDescent="0.2">
      <c r="M445" s="185"/>
      <c r="N445" s="185"/>
      <c r="O445" s="185"/>
      <c r="P445" s="185"/>
      <c r="Q445" s="185"/>
    </row>
    <row r="446" spans="13:17" x14ac:dyDescent="0.2">
      <c r="M446" s="185"/>
      <c r="N446" s="185"/>
      <c r="O446" s="185"/>
      <c r="P446" s="185"/>
      <c r="Q446" s="185"/>
    </row>
    <row r="447" spans="13:17" x14ac:dyDescent="0.2">
      <c r="M447" s="185"/>
      <c r="N447" s="185"/>
      <c r="O447" s="185"/>
      <c r="P447" s="185"/>
      <c r="Q447" s="185"/>
    </row>
    <row r="448" spans="13:17" x14ac:dyDescent="0.2">
      <c r="M448" s="185"/>
      <c r="N448" s="185"/>
      <c r="O448" s="185"/>
      <c r="P448" s="185"/>
      <c r="Q448" s="185"/>
    </row>
    <row r="449" spans="13:17" x14ac:dyDescent="0.2">
      <c r="M449" s="185"/>
      <c r="N449" s="185"/>
      <c r="O449" s="185"/>
      <c r="P449" s="185"/>
      <c r="Q449" s="185"/>
    </row>
    <row r="450" spans="13:17" x14ac:dyDescent="0.2">
      <c r="M450" s="185"/>
      <c r="N450" s="185"/>
      <c r="O450" s="185"/>
      <c r="P450" s="185"/>
      <c r="Q450" s="185"/>
    </row>
    <row r="451" spans="13:17" x14ac:dyDescent="0.2">
      <c r="M451" s="185"/>
      <c r="N451" s="185"/>
      <c r="O451" s="185"/>
      <c r="P451" s="185"/>
      <c r="Q451" s="185"/>
    </row>
    <row r="452" spans="13:17" x14ac:dyDescent="0.2">
      <c r="M452" s="185"/>
      <c r="N452" s="185"/>
      <c r="O452" s="185"/>
      <c r="P452" s="185"/>
      <c r="Q452" s="185"/>
    </row>
    <row r="453" spans="13:17" x14ac:dyDescent="0.2">
      <c r="M453" s="185"/>
      <c r="N453" s="185"/>
      <c r="O453" s="185"/>
      <c r="P453" s="185"/>
      <c r="Q453" s="185"/>
    </row>
    <row r="454" spans="13:17" x14ac:dyDescent="0.2">
      <c r="M454" s="185"/>
      <c r="N454" s="185"/>
      <c r="O454" s="185"/>
      <c r="P454" s="185"/>
      <c r="Q454" s="185"/>
    </row>
    <row r="455" spans="13:17" x14ac:dyDescent="0.2">
      <c r="M455" s="185"/>
      <c r="N455" s="185"/>
      <c r="O455" s="185"/>
      <c r="P455" s="185"/>
      <c r="Q455" s="185"/>
    </row>
    <row r="456" spans="13:17" x14ac:dyDescent="0.2">
      <c r="M456" s="185"/>
      <c r="N456" s="185"/>
      <c r="O456" s="185"/>
      <c r="P456" s="185"/>
      <c r="Q456" s="185"/>
    </row>
    <row r="457" spans="13:17" x14ac:dyDescent="0.2">
      <c r="M457" s="185"/>
      <c r="N457" s="185"/>
      <c r="O457" s="185"/>
      <c r="P457" s="185"/>
      <c r="Q457" s="185"/>
    </row>
    <row r="458" spans="13:17" x14ac:dyDescent="0.2">
      <c r="M458" s="185"/>
      <c r="N458" s="185"/>
      <c r="O458" s="185"/>
      <c r="P458" s="185"/>
      <c r="Q458" s="185"/>
    </row>
    <row r="459" spans="13:17" x14ac:dyDescent="0.2">
      <c r="M459" s="185"/>
      <c r="N459" s="185"/>
      <c r="O459" s="185"/>
      <c r="P459" s="185"/>
      <c r="Q459" s="185"/>
    </row>
    <row r="460" spans="13:17" x14ac:dyDescent="0.2">
      <c r="M460" s="185"/>
      <c r="N460" s="185"/>
      <c r="O460" s="185"/>
      <c r="P460" s="185"/>
      <c r="Q460" s="185"/>
    </row>
    <row r="461" spans="13:17" x14ac:dyDescent="0.2">
      <c r="M461" s="185"/>
      <c r="N461" s="185"/>
      <c r="O461" s="185"/>
      <c r="P461" s="185"/>
      <c r="Q461" s="185"/>
    </row>
    <row r="462" spans="13:17" x14ac:dyDescent="0.2">
      <c r="M462" s="185"/>
      <c r="N462" s="185"/>
      <c r="O462" s="185"/>
      <c r="P462" s="185"/>
      <c r="Q462" s="185"/>
    </row>
  </sheetData>
  <pageMargins left="0.7" right="0.7" top="0.75" bottom="0.75" header="0.3" footer="0.3"/>
  <pageSetup paperSize="9" scale="72" fitToHeight="0" orientation="landscape"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Z466"/>
  <sheetViews>
    <sheetView topLeftCell="A5" zoomScale="80" zoomScaleNormal="80" workbookViewId="0">
      <pane ySplit="4" topLeftCell="A9" activePane="bottomLeft" state="frozen"/>
      <selection activeCell="H5" sqref="H5"/>
      <selection pane="bottomLeft" activeCell="A7" sqref="A7:G7"/>
    </sheetView>
  </sheetViews>
  <sheetFormatPr defaultColWidth="8.85546875" defaultRowHeight="12.75" x14ac:dyDescent="0.2"/>
  <cols>
    <col min="1" max="1" width="7.42578125" style="58" customWidth="1"/>
    <col min="2" max="2" width="14.42578125" style="58" customWidth="1"/>
    <col min="3" max="3" width="11.85546875" style="58" customWidth="1"/>
    <col min="4" max="4" width="11.5703125" style="58" customWidth="1"/>
    <col min="5" max="5" width="13.7109375" style="58" customWidth="1"/>
    <col min="6" max="6" width="12.140625" style="58" customWidth="1"/>
    <col min="7" max="7" width="16.28515625" style="58" customWidth="1"/>
    <col min="8" max="8" width="15.7109375" style="58" customWidth="1"/>
    <col min="9" max="9" width="13.7109375" style="58" customWidth="1"/>
    <col min="10" max="10" width="18.85546875" style="58" customWidth="1"/>
    <col min="11" max="11" width="14.85546875" style="58" customWidth="1"/>
    <col min="12" max="12" width="20.5703125" style="58" customWidth="1"/>
    <col min="13" max="13" width="19.140625" style="58" customWidth="1"/>
    <col min="14" max="14" width="17" style="58" customWidth="1"/>
    <col min="15" max="15" width="21.7109375" style="58" customWidth="1"/>
    <col min="16" max="16" width="21.42578125" style="59" customWidth="1"/>
    <col min="17" max="17" width="14.7109375" style="58" customWidth="1"/>
    <col min="18" max="18" width="19.5703125" style="58" customWidth="1"/>
    <col min="19" max="19" width="14" style="59" customWidth="1"/>
    <col min="20" max="20" width="57.42578125" style="58" customWidth="1"/>
    <col min="21" max="21" width="15.140625" style="58" customWidth="1"/>
    <col min="22" max="24" width="8.85546875" style="58"/>
    <col min="25" max="25" width="52.7109375" style="58" customWidth="1"/>
    <col min="26" max="16384" width="8.85546875" style="58"/>
  </cols>
  <sheetData>
    <row r="1" spans="1:26" x14ac:dyDescent="0.2">
      <c r="A1" s="51" t="s">
        <v>49</v>
      </c>
    </row>
    <row r="2" spans="1:26" s="54" customFormat="1" x14ac:dyDescent="0.2">
      <c r="B2" s="52"/>
      <c r="C2" s="52"/>
      <c r="D2" s="52"/>
      <c r="E2" s="52"/>
      <c r="F2" s="52"/>
      <c r="G2" s="52"/>
      <c r="H2" s="52"/>
      <c r="I2" s="52"/>
      <c r="J2" s="52"/>
      <c r="K2" s="52"/>
      <c r="L2" s="52"/>
      <c r="M2" s="52"/>
      <c r="N2" s="52"/>
      <c r="O2" s="52"/>
      <c r="P2" s="326"/>
      <c r="Q2" s="52"/>
      <c r="R2" s="52"/>
      <c r="S2" s="328" t="s">
        <v>56</v>
      </c>
      <c r="T2" s="53" t="s">
        <v>50</v>
      </c>
    </row>
    <row r="3" spans="1:26" ht="13.5" thickBot="1" x14ac:dyDescent="0.25">
      <c r="A3" s="55"/>
      <c r="B3" s="56"/>
      <c r="C3" s="56"/>
      <c r="D3" s="56"/>
      <c r="E3" s="56"/>
      <c r="F3" s="56"/>
      <c r="G3" s="56"/>
      <c r="H3" s="56"/>
      <c r="I3" s="56"/>
      <c r="J3" s="56"/>
      <c r="K3" s="56"/>
      <c r="L3" s="56"/>
      <c r="M3" s="56"/>
      <c r="N3" s="56"/>
      <c r="O3" s="56"/>
      <c r="P3" s="327"/>
      <c r="Q3" s="56"/>
      <c r="R3" s="56"/>
      <c r="S3" s="57" t="s">
        <v>55</v>
      </c>
      <c r="T3" s="163"/>
    </row>
    <row r="4" spans="1:26" ht="38.25" customHeight="1" thickBot="1" x14ac:dyDescent="0.25">
      <c r="A4" s="871"/>
      <c r="B4" s="871"/>
      <c r="C4" s="871"/>
      <c r="D4" s="871"/>
      <c r="E4" s="871"/>
      <c r="F4" s="871"/>
      <c r="G4" s="871"/>
      <c r="H4" s="872" t="s">
        <v>12</v>
      </c>
      <c r="I4" s="873"/>
      <c r="J4" s="239" t="s">
        <v>13</v>
      </c>
      <c r="K4" s="872" t="s">
        <v>14</v>
      </c>
      <c r="L4" s="873"/>
      <c r="M4" s="872" t="s">
        <v>15</v>
      </c>
      <c r="N4" s="873"/>
      <c r="O4" s="872" t="s">
        <v>16</v>
      </c>
      <c r="P4" s="873"/>
      <c r="Q4" s="874"/>
      <c r="R4" s="874"/>
      <c r="S4" s="240"/>
      <c r="T4" s="164"/>
    </row>
    <row r="5" spans="1:26" ht="38.25" customHeight="1" thickBot="1" x14ac:dyDescent="0.25">
      <c r="A5" s="860"/>
      <c r="B5" s="861"/>
      <c r="C5" s="861"/>
      <c r="D5" s="861"/>
      <c r="E5" s="861"/>
      <c r="F5" s="861"/>
      <c r="G5" s="861"/>
      <c r="H5" s="861"/>
      <c r="I5" s="861"/>
      <c r="J5" s="861"/>
      <c r="K5" s="861"/>
      <c r="L5" s="861"/>
      <c r="M5" s="861"/>
      <c r="N5" s="861"/>
      <c r="O5" s="861"/>
      <c r="P5" s="861"/>
      <c r="Q5" s="864" t="s">
        <v>1651</v>
      </c>
      <c r="R5" s="865"/>
      <c r="S5" s="180"/>
      <c r="T5" s="566" t="s">
        <v>1484</v>
      </c>
    </row>
    <row r="6" spans="1:26" ht="38.25" customHeight="1" thickBot="1" x14ac:dyDescent="0.25">
      <c r="A6" s="862"/>
      <c r="B6" s="863"/>
      <c r="C6" s="863"/>
      <c r="D6" s="863"/>
      <c r="E6" s="863"/>
      <c r="F6" s="863"/>
      <c r="G6" s="863"/>
      <c r="H6" s="863"/>
      <c r="I6" s="863"/>
      <c r="J6" s="863"/>
      <c r="K6" s="863"/>
      <c r="L6" s="863"/>
      <c r="M6" s="863"/>
      <c r="N6" s="863"/>
      <c r="O6" s="863"/>
      <c r="P6" s="863"/>
      <c r="Q6" s="866" t="s">
        <v>1480</v>
      </c>
      <c r="R6" s="867"/>
      <c r="S6" s="183"/>
      <c r="T6" s="409">
        <v>2020</v>
      </c>
    </row>
    <row r="7" spans="1:26" ht="38.25" customHeight="1" thickBot="1" x14ac:dyDescent="0.25">
      <c r="A7" s="868"/>
      <c r="B7" s="869"/>
      <c r="C7" s="869"/>
      <c r="D7" s="869"/>
      <c r="E7" s="869"/>
      <c r="F7" s="869"/>
      <c r="G7" s="869"/>
      <c r="H7" s="769" t="s">
        <v>12</v>
      </c>
      <c r="I7" s="769"/>
      <c r="J7" s="410" t="s">
        <v>13</v>
      </c>
      <c r="K7" s="769" t="s">
        <v>14</v>
      </c>
      <c r="L7" s="769"/>
      <c r="M7" s="769" t="s">
        <v>15</v>
      </c>
      <c r="N7" s="769"/>
      <c r="O7" s="769" t="s">
        <v>16</v>
      </c>
      <c r="P7" s="769"/>
      <c r="Q7" s="870"/>
      <c r="R7" s="870"/>
      <c r="S7" s="411"/>
      <c r="T7" s="409"/>
    </row>
    <row r="8" spans="1:26" ht="45" customHeight="1" thickBot="1" x14ac:dyDescent="0.25">
      <c r="A8" s="189" t="s">
        <v>0</v>
      </c>
      <c r="B8" s="241" t="s">
        <v>10</v>
      </c>
      <c r="C8" s="242" t="s">
        <v>43</v>
      </c>
      <c r="D8" s="242" t="s">
        <v>1</v>
      </c>
      <c r="E8" s="242" t="s">
        <v>5</v>
      </c>
      <c r="F8" s="243" t="s">
        <v>28</v>
      </c>
      <c r="G8" s="238" t="s">
        <v>29</v>
      </c>
      <c r="H8" s="238" t="s">
        <v>17</v>
      </c>
      <c r="I8" s="238" t="s">
        <v>30</v>
      </c>
      <c r="J8" s="238" t="s">
        <v>31</v>
      </c>
      <c r="K8" s="238" t="s">
        <v>38</v>
      </c>
      <c r="L8" s="244" t="s">
        <v>32</v>
      </c>
      <c r="M8" s="244" t="s">
        <v>33</v>
      </c>
      <c r="N8" s="244" t="s">
        <v>34</v>
      </c>
      <c r="O8" s="244" t="s">
        <v>39</v>
      </c>
      <c r="P8" s="244" t="s">
        <v>35</v>
      </c>
      <c r="Q8" s="244" t="s">
        <v>40</v>
      </c>
      <c r="R8" s="244" t="s">
        <v>41</v>
      </c>
      <c r="S8" s="244" t="s">
        <v>36</v>
      </c>
      <c r="T8" s="174" t="s">
        <v>154</v>
      </c>
    </row>
    <row r="9" spans="1:26" ht="377.25" customHeight="1" x14ac:dyDescent="0.2">
      <c r="A9" s="554" t="s">
        <v>276</v>
      </c>
      <c r="B9" s="554" t="s">
        <v>276</v>
      </c>
      <c r="C9" s="554" t="s">
        <v>1546</v>
      </c>
      <c r="D9" s="554" t="s">
        <v>629</v>
      </c>
      <c r="E9" s="554" t="s">
        <v>74</v>
      </c>
      <c r="F9" s="554" t="s">
        <v>638</v>
      </c>
      <c r="G9" s="554" t="s">
        <v>1654</v>
      </c>
      <c r="H9" s="554" t="s">
        <v>6</v>
      </c>
      <c r="I9" s="554" t="s">
        <v>1671</v>
      </c>
      <c r="J9" s="554" t="s">
        <v>1149</v>
      </c>
      <c r="K9" s="554" t="s">
        <v>6</v>
      </c>
      <c r="L9" s="554" t="s">
        <v>1214</v>
      </c>
      <c r="M9" s="554" t="s">
        <v>1215</v>
      </c>
      <c r="N9" s="554" t="s">
        <v>1152</v>
      </c>
      <c r="O9" s="554" t="s">
        <v>6</v>
      </c>
      <c r="P9" s="554" t="s">
        <v>1153</v>
      </c>
      <c r="Q9" s="554" t="s">
        <v>1149</v>
      </c>
      <c r="R9" s="554" t="s">
        <v>1655</v>
      </c>
      <c r="S9" s="554" t="s">
        <v>1656</v>
      </c>
      <c r="T9" s="642" t="s">
        <v>1804</v>
      </c>
      <c r="U9" s="186"/>
      <c r="V9" s="186"/>
      <c r="W9" s="186"/>
      <c r="X9" s="186"/>
      <c r="Y9" s="186"/>
      <c r="Z9" s="186"/>
    </row>
    <row r="10" spans="1:26" ht="255" x14ac:dyDescent="0.2">
      <c r="A10" s="554" t="s">
        <v>276</v>
      </c>
      <c r="B10" s="554" t="s">
        <v>276</v>
      </c>
      <c r="C10" s="554" t="s">
        <v>1546</v>
      </c>
      <c r="D10" s="554" t="s">
        <v>629</v>
      </c>
      <c r="E10" s="554" t="s">
        <v>74</v>
      </c>
      <c r="F10" s="554" t="s">
        <v>899</v>
      </c>
      <c r="G10" s="554" t="s">
        <v>1148</v>
      </c>
      <c r="H10" s="554" t="s">
        <v>6</v>
      </c>
      <c r="I10" s="554" t="s">
        <v>1657</v>
      </c>
      <c r="J10" s="554" t="s">
        <v>1149</v>
      </c>
      <c r="K10" s="554" t="s">
        <v>6</v>
      </c>
      <c r="L10" s="554" t="s">
        <v>1150</v>
      </c>
      <c r="M10" s="554" t="s">
        <v>1151</v>
      </c>
      <c r="N10" s="554" t="s">
        <v>1152</v>
      </c>
      <c r="O10" s="554" t="s">
        <v>6</v>
      </c>
      <c r="P10" s="554" t="s">
        <v>1153</v>
      </c>
      <c r="Q10" s="554" t="s">
        <v>1149</v>
      </c>
      <c r="R10" s="554" t="s">
        <v>1154</v>
      </c>
      <c r="S10" s="554" t="s">
        <v>1658</v>
      </c>
      <c r="T10" s="641" t="s">
        <v>1805</v>
      </c>
      <c r="U10" s="186"/>
      <c r="V10" s="186"/>
      <c r="W10" s="186"/>
      <c r="X10" s="186"/>
      <c r="Y10" s="186"/>
      <c r="Z10" s="186"/>
    </row>
    <row r="11" spans="1:26" ht="255" x14ac:dyDescent="0.2">
      <c r="A11" s="554" t="s">
        <v>276</v>
      </c>
      <c r="B11" s="554" t="s">
        <v>276</v>
      </c>
      <c r="C11" s="554" t="s">
        <v>1546</v>
      </c>
      <c r="D11" s="554" t="s">
        <v>629</v>
      </c>
      <c r="E11" s="554" t="s">
        <v>74</v>
      </c>
      <c r="F11" s="554" t="s">
        <v>902</v>
      </c>
      <c r="G11" s="554" t="s">
        <v>1659</v>
      </c>
      <c r="H11" s="554" t="s">
        <v>6</v>
      </c>
      <c r="I11" s="554" t="s">
        <v>1657</v>
      </c>
      <c r="J11" s="554" t="s">
        <v>1149</v>
      </c>
      <c r="K11" s="554" t="s">
        <v>6</v>
      </c>
      <c r="L11" s="554" t="s">
        <v>1155</v>
      </c>
      <c r="M11" s="554" t="s">
        <v>1156</v>
      </c>
      <c r="N11" s="554" t="s">
        <v>1152</v>
      </c>
      <c r="O11" s="554" t="s">
        <v>1157</v>
      </c>
      <c r="P11" s="554" t="s">
        <v>1158</v>
      </c>
      <c r="Q11" s="554" t="s">
        <v>1149</v>
      </c>
      <c r="R11" s="554" t="s">
        <v>1159</v>
      </c>
      <c r="S11" s="554" t="s">
        <v>1660</v>
      </c>
      <c r="T11" s="641" t="s">
        <v>1806</v>
      </c>
      <c r="U11" s="186"/>
      <c r="V11" s="186"/>
      <c r="W11" s="186"/>
      <c r="X11" s="186"/>
      <c r="Y11" s="186"/>
      <c r="Z11" s="186"/>
    </row>
    <row r="12" spans="1:26" ht="216.75" x14ac:dyDescent="0.2">
      <c r="A12" s="554" t="s">
        <v>276</v>
      </c>
      <c r="B12" s="554" t="s">
        <v>276</v>
      </c>
      <c r="C12" s="554" t="s">
        <v>1546</v>
      </c>
      <c r="D12" s="554" t="s">
        <v>629</v>
      </c>
      <c r="E12" s="554" t="s">
        <v>74</v>
      </c>
      <c r="F12" s="554" t="s">
        <v>902</v>
      </c>
      <c r="G12" s="554" t="s">
        <v>1160</v>
      </c>
      <c r="H12" s="554" t="s">
        <v>6</v>
      </c>
      <c r="I12" s="554" t="s">
        <v>1161</v>
      </c>
      <c r="J12" s="554" t="s">
        <v>1162</v>
      </c>
      <c r="K12" s="554" t="s">
        <v>6</v>
      </c>
      <c r="L12" s="554" t="s">
        <v>1163</v>
      </c>
      <c r="M12" s="554" t="s">
        <v>1164</v>
      </c>
      <c r="N12" s="554" t="s">
        <v>295</v>
      </c>
      <c r="O12" s="554" t="s">
        <v>6</v>
      </c>
      <c r="P12" s="554" t="s">
        <v>1165</v>
      </c>
      <c r="Q12" s="554" t="s">
        <v>77</v>
      </c>
      <c r="R12" s="554"/>
      <c r="S12" s="554" t="s">
        <v>1803</v>
      </c>
      <c r="T12" s="641" t="s">
        <v>1807</v>
      </c>
      <c r="U12" s="186"/>
      <c r="V12" s="186"/>
      <c r="W12" s="186"/>
      <c r="X12" s="186"/>
      <c r="Y12" s="186"/>
      <c r="Z12" s="186"/>
    </row>
    <row r="13" spans="1:26" ht="216.75" x14ac:dyDescent="0.2">
      <c r="A13" s="554" t="s">
        <v>276</v>
      </c>
      <c r="B13" s="554" t="s">
        <v>276</v>
      </c>
      <c r="C13" s="554" t="s">
        <v>1546</v>
      </c>
      <c r="D13" s="554" t="s">
        <v>629</v>
      </c>
      <c r="E13" s="554" t="s">
        <v>74</v>
      </c>
      <c r="F13" s="554" t="s">
        <v>924</v>
      </c>
      <c r="G13" s="554" t="s">
        <v>1166</v>
      </c>
      <c r="H13" s="554" t="s">
        <v>6</v>
      </c>
      <c r="I13" s="554" t="s">
        <v>1167</v>
      </c>
      <c r="J13" s="554" t="s">
        <v>1162</v>
      </c>
      <c r="K13" s="554" t="s">
        <v>6</v>
      </c>
      <c r="L13" s="554" t="s">
        <v>1168</v>
      </c>
      <c r="M13" s="554" t="s">
        <v>1164</v>
      </c>
      <c r="N13" s="554" t="s">
        <v>295</v>
      </c>
      <c r="O13" s="554" t="s">
        <v>6</v>
      </c>
      <c r="P13" s="554" t="s">
        <v>1165</v>
      </c>
      <c r="Q13" s="554" t="s">
        <v>77</v>
      </c>
      <c r="R13" s="554"/>
      <c r="S13" s="554" t="s">
        <v>1661</v>
      </c>
      <c r="T13" s="641" t="s">
        <v>1808</v>
      </c>
      <c r="U13" s="186"/>
      <c r="V13" s="186"/>
      <c r="W13" s="186"/>
      <c r="X13" s="186"/>
      <c r="Y13" s="186"/>
      <c r="Z13" s="186"/>
    </row>
    <row r="14" spans="1:26" ht="293.25" x14ac:dyDescent="0.2">
      <c r="A14" s="554" t="s">
        <v>276</v>
      </c>
      <c r="B14" s="554" t="s">
        <v>276</v>
      </c>
      <c r="C14" s="554" t="s">
        <v>1546</v>
      </c>
      <c r="D14" s="554" t="s">
        <v>629</v>
      </c>
      <c r="E14" s="554" t="s">
        <v>74</v>
      </c>
      <c r="F14" s="554" t="s">
        <v>924</v>
      </c>
      <c r="G14" s="554" t="s">
        <v>1169</v>
      </c>
      <c r="H14" s="554"/>
      <c r="I14" s="554" t="s">
        <v>1161</v>
      </c>
      <c r="J14" s="554" t="s">
        <v>1162</v>
      </c>
      <c r="K14" s="554" t="s">
        <v>6</v>
      </c>
      <c r="L14" s="554" t="s">
        <v>1168</v>
      </c>
      <c r="M14" s="554" t="s">
        <v>1164</v>
      </c>
      <c r="N14" s="554" t="s">
        <v>295</v>
      </c>
      <c r="O14" s="554" t="s">
        <v>6</v>
      </c>
      <c r="P14" s="554" t="s">
        <v>1165</v>
      </c>
      <c r="Q14" s="554" t="s">
        <v>77</v>
      </c>
      <c r="R14" s="554"/>
      <c r="S14" s="554" t="s">
        <v>1662</v>
      </c>
      <c r="T14" s="641" t="s">
        <v>1808</v>
      </c>
      <c r="U14" s="186"/>
      <c r="V14" s="186"/>
      <c r="W14" s="186"/>
      <c r="X14" s="186"/>
      <c r="Y14" s="186"/>
      <c r="Z14" s="186"/>
    </row>
    <row r="15" spans="1:26" ht="246" customHeight="1" x14ac:dyDescent="0.2">
      <c r="A15" s="554" t="s">
        <v>276</v>
      </c>
      <c r="B15" s="554" t="s">
        <v>276</v>
      </c>
      <c r="C15" s="554" t="s">
        <v>1546</v>
      </c>
      <c r="D15" s="554" t="s">
        <v>629</v>
      </c>
      <c r="E15" s="554" t="s">
        <v>74</v>
      </c>
      <c r="F15" s="554" t="s">
        <v>906</v>
      </c>
      <c r="G15" s="554" t="s">
        <v>1663</v>
      </c>
      <c r="H15" s="554" t="s">
        <v>6</v>
      </c>
      <c r="I15" s="554" t="s">
        <v>1664</v>
      </c>
      <c r="J15" s="554" t="s">
        <v>1170</v>
      </c>
      <c r="K15" s="554" t="s">
        <v>6</v>
      </c>
      <c r="L15" s="554" t="s">
        <v>1171</v>
      </c>
      <c r="M15" s="554" t="s">
        <v>1665</v>
      </c>
      <c r="N15" s="554" t="s">
        <v>1152</v>
      </c>
      <c r="O15" s="554" t="s">
        <v>6</v>
      </c>
      <c r="P15" s="554" t="s">
        <v>1153</v>
      </c>
      <c r="Q15" s="554" t="s">
        <v>1149</v>
      </c>
      <c r="R15" s="554" t="s">
        <v>1172</v>
      </c>
      <c r="S15" s="554" t="s">
        <v>1666</v>
      </c>
      <c r="T15" s="641" t="s">
        <v>1809</v>
      </c>
      <c r="U15" s="186"/>
      <c r="V15" s="186"/>
      <c r="W15" s="186"/>
      <c r="X15" s="186"/>
      <c r="Y15" s="186"/>
      <c r="Z15" s="186"/>
    </row>
    <row r="16" spans="1:26" ht="216.75" x14ac:dyDescent="0.2">
      <c r="A16" s="554" t="s">
        <v>276</v>
      </c>
      <c r="B16" s="554" t="s">
        <v>276</v>
      </c>
      <c r="C16" s="554" t="s">
        <v>1546</v>
      </c>
      <c r="D16" s="554" t="s">
        <v>629</v>
      </c>
      <c r="E16" s="554" t="s">
        <v>74</v>
      </c>
      <c r="F16" s="554" t="s">
        <v>1173</v>
      </c>
      <c r="G16" s="554" t="s">
        <v>1174</v>
      </c>
      <c r="H16" s="554" t="s">
        <v>6</v>
      </c>
      <c r="I16" s="554" t="s">
        <v>1175</v>
      </c>
      <c r="J16" s="554" t="s">
        <v>6</v>
      </c>
      <c r="K16" s="554" t="s">
        <v>6</v>
      </c>
      <c r="L16" s="554" t="s">
        <v>1176</v>
      </c>
      <c r="M16" s="554" t="s">
        <v>1177</v>
      </c>
      <c r="N16" s="554" t="s">
        <v>295</v>
      </c>
      <c r="O16" s="554" t="s">
        <v>6</v>
      </c>
      <c r="P16" s="554" t="s">
        <v>1178</v>
      </c>
      <c r="Q16" s="554" t="s">
        <v>6</v>
      </c>
      <c r="R16" s="554" t="s">
        <v>1179</v>
      </c>
      <c r="S16" s="554" t="s">
        <v>1667</v>
      </c>
      <c r="T16" s="641" t="s">
        <v>1810</v>
      </c>
      <c r="U16" s="567"/>
      <c r="V16" s="186"/>
      <c r="W16" s="186"/>
      <c r="X16" s="186"/>
      <c r="Y16" s="186"/>
      <c r="Z16" s="186"/>
    </row>
    <row r="17" spans="1:26" ht="216.75" x14ac:dyDescent="0.2">
      <c r="A17" s="554" t="s">
        <v>276</v>
      </c>
      <c r="B17" s="554" t="s">
        <v>276</v>
      </c>
      <c r="C17" s="554" t="s">
        <v>1546</v>
      </c>
      <c r="D17" s="554" t="s">
        <v>629</v>
      </c>
      <c r="E17" s="554" t="s">
        <v>74</v>
      </c>
      <c r="F17" s="554" t="s">
        <v>1180</v>
      </c>
      <c r="G17" s="554" t="s">
        <v>1181</v>
      </c>
      <c r="H17" s="554" t="s">
        <v>6</v>
      </c>
      <c r="I17" s="554" t="s">
        <v>1182</v>
      </c>
      <c r="J17" s="554" t="s">
        <v>1170</v>
      </c>
      <c r="K17" s="554" t="s">
        <v>6</v>
      </c>
      <c r="L17" s="554" t="s">
        <v>1183</v>
      </c>
      <c r="M17" s="554" t="s">
        <v>1184</v>
      </c>
      <c r="N17" s="554" t="s">
        <v>295</v>
      </c>
      <c r="O17" s="554" t="s">
        <v>6</v>
      </c>
      <c r="P17" s="554" t="s">
        <v>1178</v>
      </c>
      <c r="Q17" s="554" t="s">
        <v>6</v>
      </c>
      <c r="R17" s="554" t="s">
        <v>1179</v>
      </c>
      <c r="S17" s="554" t="s">
        <v>1668</v>
      </c>
      <c r="T17" s="641" t="s">
        <v>1811</v>
      </c>
      <c r="U17" s="567"/>
      <c r="V17" s="186"/>
      <c r="W17" s="186"/>
      <c r="X17" s="186"/>
      <c r="Y17" s="186"/>
      <c r="Z17" s="186"/>
    </row>
    <row r="18" spans="1:26" ht="216.75" x14ac:dyDescent="0.2">
      <c r="A18" s="554" t="s">
        <v>276</v>
      </c>
      <c r="B18" s="554" t="s">
        <v>276</v>
      </c>
      <c r="C18" s="554" t="s">
        <v>1546</v>
      </c>
      <c r="D18" s="554" t="s">
        <v>629</v>
      </c>
      <c r="E18" s="554" t="s">
        <v>74</v>
      </c>
      <c r="F18" s="554" t="s">
        <v>1185</v>
      </c>
      <c r="G18" s="554" t="s">
        <v>1186</v>
      </c>
      <c r="H18" s="554" t="s">
        <v>6</v>
      </c>
      <c r="I18" s="554" t="s">
        <v>1187</v>
      </c>
      <c r="J18" s="554" t="s">
        <v>77</v>
      </c>
      <c r="K18" s="554" t="s">
        <v>6</v>
      </c>
      <c r="L18" s="554" t="s">
        <v>1183</v>
      </c>
      <c r="M18" s="554" t="s">
        <v>1188</v>
      </c>
      <c r="N18" s="554" t="s">
        <v>1189</v>
      </c>
      <c r="O18" s="554" t="s">
        <v>6</v>
      </c>
      <c r="P18" s="554" t="s">
        <v>1178</v>
      </c>
      <c r="Q18" s="554" t="s">
        <v>6</v>
      </c>
      <c r="R18" s="554" t="s">
        <v>1190</v>
      </c>
      <c r="S18" s="554"/>
      <c r="T18" s="641" t="s">
        <v>1812</v>
      </c>
      <c r="U18" s="186"/>
      <c r="V18" s="186"/>
      <c r="W18" s="186"/>
      <c r="X18" s="186"/>
      <c r="Y18" s="186"/>
      <c r="Z18" s="186"/>
    </row>
    <row r="19" spans="1:26" ht="216.75" x14ac:dyDescent="0.2">
      <c r="A19" s="554" t="s">
        <v>276</v>
      </c>
      <c r="B19" s="554" t="s">
        <v>276</v>
      </c>
      <c r="C19" s="554" t="s">
        <v>1546</v>
      </c>
      <c r="D19" s="554" t="s">
        <v>629</v>
      </c>
      <c r="E19" s="554" t="s">
        <v>74</v>
      </c>
      <c r="F19" s="554" t="s">
        <v>1191</v>
      </c>
      <c r="G19" s="554" t="s">
        <v>1192</v>
      </c>
      <c r="H19" s="554" t="s">
        <v>6</v>
      </c>
      <c r="I19" s="554" t="s">
        <v>1193</v>
      </c>
      <c r="J19" s="554" t="s">
        <v>1170</v>
      </c>
      <c r="K19" s="554" t="s">
        <v>6</v>
      </c>
      <c r="L19" s="554" t="s">
        <v>1193</v>
      </c>
      <c r="M19" s="554" t="s">
        <v>1194</v>
      </c>
      <c r="N19" s="554" t="s">
        <v>1669</v>
      </c>
      <c r="O19" s="554" t="s">
        <v>6</v>
      </c>
      <c r="P19" s="554" t="s">
        <v>1178</v>
      </c>
      <c r="Q19" s="554" t="s">
        <v>6</v>
      </c>
      <c r="R19" s="554" t="s">
        <v>1195</v>
      </c>
      <c r="S19" s="554" t="s">
        <v>1670</v>
      </c>
      <c r="T19" s="641" t="s">
        <v>1813</v>
      </c>
      <c r="U19" s="186"/>
      <c r="V19" s="186"/>
      <c r="W19" s="186"/>
      <c r="X19" s="186"/>
      <c r="Y19" s="186"/>
      <c r="Z19" s="186"/>
    </row>
    <row r="20" spans="1:26" ht="216.75" x14ac:dyDescent="0.2">
      <c r="A20" s="554" t="s">
        <v>276</v>
      </c>
      <c r="B20" s="554" t="s">
        <v>276</v>
      </c>
      <c r="C20" s="554" t="s">
        <v>1546</v>
      </c>
      <c r="D20" s="554" t="s">
        <v>629</v>
      </c>
      <c r="E20" s="554" t="s">
        <v>74</v>
      </c>
      <c r="F20" s="554" t="s">
        <v>1196</v>
      </c>
      <c r="G20" s="554" t="s">
        <v>1197</v>
      </c>
      <c r="H20" s="554" t="s">
        <v>6</v>
      </c>
      <c r="I20" s="554" t="s">
        <v>1198</v>
      </c>
      <c r="J20" s="554" t="s">
        <v>1170</v>
      </c>
      <c r="K20" s="554" t="s">
        <v>6</v>
      </c>
      <c r="L20" s="554" t="s">
        <v>1199</v>
      </c>
      <c r="M20" s="554" t="s">
        <v>1200</v>
      </c>
      <c r="N20" s="554" t="s">
        <v>295</v>
      </c>
      <c r="O20" s="554" t="s">
        <v>6</v>
      </c>
      <c r="P20" s="554" t="s">
        <v>1178</v>
      </c>
      <c r="Q20" s="554" t="s">
        <v>6</v>
      </c>
      <c r="R20" s="554" t="s">
        <v>1179</v>
      </c>
      <c r="S20" s="554" t="s">
        <v>1670</v>
      </c>
      <c r="T20" s="641" t="s">
        <v>1814</v>
      </c>
      <c r="U20" s="186"/>
      <c r="V20" s="186"/>
      <c r="W20" s="186"/>
      <c r="X20" s="186"/>
      <c r="Y20" s="186"/>
      <c r="Z20" s="186"/>
    </row>
    <row r="21" spans="1:26" ht="216.75" x14ac:dyDescent="0.2">
      <c r="A21" s="554" t="s">
        <v>276</v>
      </c>
      <c r="B21" s="554" t="s">
        <v>276</v>
      </c>
      <c r="C21" s="554" t="s">
        <v>1546</v>
      </c>
      <c r="D21" s="554" t="s">
        <v>629</v>
      </c>
      <c r="E21" s="554" t="s">
        <v>74</v>
      </c>
      <c r="F21" s="554" t="s">
        <v>1196</v>
      </c>
      <c r="G21" s="554" t="s">
        <v>1201</v>
      </c>
      <c r="H21" s="554" t="s">
        <v>6</v>
      </c>
      <c r="I21" s="554" t="s">
        <v>1198</v>
      </c>
      <c r="J21" s="554" t="s">
        <v>1170</v>
      </c>
      <c r="K21" s="554" t="s">
        <v>6</v>
      </c>
      <c r="L21" s="554" t="s">
        <v>1176</v>
      </c>
      <c r="M21" s="554" t="s">
        <v>1200</v>
      </c>
      <c r="N21" s="554" t="s">
        <v>295</v>
      </c>
      <c r="O21" s="554" t="s">
        <v>6</v>
      </c>
      <c r="P21" s="554" t="s">
        <v>1178</v>
      </c>
      <c r="Q21" s="554" t="s">
        <v>6</v>
      </c>
      <c r="R21" s="554" t="s">
        <v>1195</v>
      </c>
      <c r="S21" s="554"/>
      <c r="T21" s="641" t="s">
        <v>1815</v>
      </c>
      <c r="U21" s="186"/>
      <c r="V21" s="186"/>
      <c r="W21" s="186"/>
      <c r="X21" s="186"/>
      <c r="Y21" s="186"/>
      <c r="Z21" s="186"/>
    </row>
    <row r="22" spans="1:26" ht="153" x14ac:dyDescent="0.2">
      <c r="A22" s="554" t="s">
        <v>276</v>
      </c>
      <c r="B22" s="554" t="s">
        <v>276</v>
      </c>
      <c r="C22" s="554" t="s">
        <v>1546</v>
      </c>
      <c r="D22" s="554" t="s">
        <v>629</v>
      </c>
      <c r="E22" s="554" t="s">
        <v>74</v>
      </c>
      <c r="F22" s="554" t="s">
        <v>1180</v>
      </c>
      <c r="G22" s="554" t="s">
        <v>1202</v>
      </c>
      <c r="H22" s="554" t="s">
        <v>6</v>
      </c>
      <c r="I22" s="554" t="s">
        <v>1203</v>
      </c>
      <c r="J22" s="554" t="s">
        <v>1170</v>
      </c>
      <c r="K22" s="554" t="s">
        <v>6</v>
      </c>
      <c r="L22" s="554" t="s">
        <v>1204</v>
      </c>
      <c r="M22" s="554" t="s">
        <v>1205</v>
      </c>
      <c r="N22" s="554" t="s">
        <v>295</v>
      </c>
      <c r="O22" s="554" t="s">
        <v>6</v>
      </c>
      <c r="P22" s="554" t="s">
        <v>1206</v>
      </c>
      <c r="Q22" s="554" t="s">
        <v>6</v>
      </c>
      <c r="R22" s="554" t="s">
        <v>1207</v>
      </c>
      <c r="S22" s="554"/>
      <c r="T22" s="641" t="s">
        <v>1816</v>
      </c>
      <c r="U22" s="186"/>
      <c r="V22" s="186"/>
      <c r="W22" s="186"/>
      <c r="X22" s="186"/>
      <c r="Y22" s="186"/>
      <c r="Z22" s="186"/>
    </row>
    <row r="23" spans="1:26" ht="255" x14ac:dyDescent="0.2">
      <c r="A23" s="554" t="s">
        <v>276</v>
      </c>
      <c r="B23" s="554" t="s">
        <v>276</v>
      </c>
      <c r="C23" s="554" t="s">
        <v>1546</v>
      </c>
      <c r="D23" s="554" t="s">
        <v>629</v>
      </c>
      <c r="E23" s="554" t="s">
        <v>74</v>
      </c>
      <c r="F23" s="554" t="s">
        <v>1208</v>
      </c>
      <c r="G23" s="554" t="s">
        <v>1209</v>
      </c>
      <c r="H23" s="554" t="s">
        <v>6</v>
      </c>
      <c r="I23" s="554" t="s">
        <v>1210</v>
      </c>
      <c r="J23" s="554" t="s">
        <v>1170</v>
      </c>
      <c r="K23" s="554" t="s">
        <v>6</v>
      </c>
      <c r="L23" s="554" t="s">
        <v>1210</v>
      </c>
      <c r="M23" s="554" t="s">
        <v>1211</v>
      </c>
      <c r="N23" s="554" t="s">
        <v>295</v>
      </c>
      <c r="O23" s="554" t="s">
        <v>6</v>
      </c>
      <c r="P23" s="554" t="s">
        <v>1212</v>
      </c>
      <c r="Q23" s="554" t="s">
        <v>77</v>
      </c>
      <c r="R23" s="554" t="s">
        <v>1213</v>
      </c>
      <c r="S23" s="554"/>
      <c r="T23" s="641" t="s">
        <v>1816</v>
      </c>
      <c r="U23" s="186"/>
      <c r="V23" s="186"/>
      <c r="W23" s="186"/>
      <c r="X23" s="186"/>
      <c r="Y23" s="186"/>
      <c r="Z23" s="186"/>
    </row>
    <row r="24" spans="1:26" x14ac:dyDescent="0.2">
      <c r="A24"/>
      <c r="B24"/>
      <c r="C24"/>
      <c r="D24"/>
      <c r="E24"/>
      <c r="F24"/>
      <c r="G24"/>
      <c r="H24"/>
      <c r="I24"/>
      <c r="J24"/>
      <c r="K24"/>
      <c r="L24"/>
      <c r="M24"/>
      <c r="N24"/>
      <c r="O24"/>
      <c r="P24" s="202"/>
      <c r="Q24"/>
      <c r="R24"/>
      <c r="S24" s="202"/>
      <c r="T24" s="202"/>
      <c r="U24" s="186"/>
      <c r="V24" s="186"/>
      <c r="W24" s="186"/>
      <c r="X24" s="186"/>
      <c r="Y24" s="186"/>
      <c r="Z24" s="186"/>
    </row>
    <row r="25" spans="1:26" x14ac:dyDescent="0.2">
      <c r="A25" s="225"/>
      <c r="B25" s="223"/>
      <c r="C25" s="225"/>
      <c r="D25" s="223"/>
      <c r="E25" s="248"/>
      <c r="F25" s="231"/>
      <c r="G25" s="231"/>
      <c r="H25" s="234"/>
      <c r="I25" s="225"/>
      <c r="J25" s="223"/>
      <c r="K25" s="225"/>
      <c r="L25" s="223"/>
      <c r="M25" s="225"/>
      <c r="N25" s="223"/>
      <c r="O25" s="233"/>
      <c r="P25" s="186"/>
      <c r="Q25" s="186"/>
      <c r="R25" s="186"/>
      <c r="S25" s="186"/>
      <c r="T25" s="186"/>
      <c r="U25" s="186"/>
      <c r="V25" s="186"/>
      <c r="W25" s="186"/>
      <c r="X25" s="186"/>
      <c r="Y25" s="186"/>
      <c r="Z25" s="186"/>
    </row>
    <row r="26" spans="1:26" x14ac:dyDescent="0.2">
      <c r="A26" s="225"/>
      <c r="B26" s="223"/>
      <c r="C26" s="225"/>
      <c r="D26" s="223"/>
      <c r="E26" s="248"/>
      <c r="F26" s="231"/>
      <c r="G26" s="231"/>
      <c r="H26" s="234"/>
      <c r="I26" s="225"/>
      <c r="J26" s="223"/>
      <c r="K26" s="225"/>
      <c r="L26" s="223"/>
      <c r="M26" s="225"/>
      <c r="N26" s="223"/>
      <c r="O26" s="233"/>
      <c r="P26" s="186"/>
      <c r="Q26" s="186"/>
      <c r="R26" s="186"/>
      <c r="S26" s="186"/>
      <c r="T26" s="186"/>
      <c r="U26" s="186"/>
      <c r="V26" s="186"/>
      <c r="W26" s="186"/>
      <c r="X26" s="186"/>
      <c r="Y26" s="186"/>
      <c r="Z26" s="186"/>
    </row>
    <row r="27" spans="1:26" x14ac:dyDescent="0.2">
      <c r="A27" s="225"/>
      <c r="B27" s="223"/>
      <c r="C27" s="225"/>
      <c r="D27" s="223"/>
      <c r="E27" s="248"/>
      <c r="F27" s="231"/>
      <c r="G27" s="231"/>
      <c r="H27" s="234"/>
      <c r="I27" s="225"/>
      <c r="J27" s="223"/>
      <c r="K27" s="225"/>
      <c r="L27" s="223"/>
      <c r="M27" s="225"/>
      <c r="N27" s="223"/>
      <c r="O27" s="233"/>
      <c r="P27" s="186"/>
      <c r="Q27" s="186"/>
      <c r="R27" s="186"/>
      <c r="S27" s="186"/>
      <c r="T27" s="404"/>
      <c r="U27" s="186"/>
      <c r="V27" s="186"/>
      <c r="W27" s="186"/>
      <c r="X27" s="186"/>
      <c r="Y27" s="186"/>
      <c r="Z27" s="186"/>
    </row>
    <row r="28" spans="1:26" x14ac:dyDescent="0.2">
      <c r="A28" s="245"/>
      <c r="B28" s="246"/>
      <c r="C28" s="247"/>
      <c r="D28" s="247"/>
      <c r="E28" s="248"/>
      <c r="F28" s="231"/>
      <c r="G28" s="226"/>
      <c r="H28" s="226"/>
      <c r="I28" s="227"/>
      <c r="J28" s="227"/>
      <c r="K28" s="228"/>
      <c r="L28" s="228"/>
      <c r="M28" s="229"/>
      <c r="N28" s="230"/>
      <c r="O28" s="233"/>
      <c r="P28" s="186"/>
      <c r="Q28" s="186"/>
      <c r="R28" s="186"/>
      <c r="S28" s="186"/>
      <c r="T28" s="186"/>
      <c r="U28" s="186"/>
      <c r="V28" s="186"/>
      <c r="W28" s="186"/>
      <c r="X28" s="186"/>
      <c r="Y28" s="186"/>
      <c r="Z28" s="186"/>
    </row>
    <row r="29" spans="1:26" x14ac:dyDescent="0.2">
      <c r="A29" s="225"/>
      <c r="B29" s="225"/>
      <c r="C29" s="225"/>
      <c r="D29" s="225"/>
      <c r="E29" s="248"/>
      <c r="F29" s="231"/>
      <c r="G29" s="225"/>
      <c r="H29" s="225"/>
      <c r="I29" s="225"/>
      <c r="J29" s="225"/>
      <c r="K29" s="225"/>
      <c r="L29" s="225"/>
      <c r="M29" s="225"/>
      <c r="N29" s="225"/>
      <c r="O29" s="233"/>
      <c r="P29" s="186"/>
      <c r="Q29" s="186"/>
      <c r="R29" s="186"/>
      <c r="S29" s="186"/>
      <c r="T29" s="186"/>
      <c r="U29" s="186"/>
      <c r="V29" s="186"/>
      <c r="W29" s="186"/>
      <c r="X29" s="186"/>
      <c r="Y29" s="186"/>
      <c r="Z29" s="186"/>
    </row>
    <row r="30" spans="1:26" x14ac:dyDescent="0.2">
      <c r="A30" s="225"/>
      <c r="B30" s="225"/>
      <c r="C30" s="225"/>
      <c r="D30" s="225"/>
      <c r="E30" s="248"/>
      <c r="F30" s="231"/>
      <c r="G30" s="225"/>
      <c r="H30" s="225"/>
      <c r="I30" s="225"/>
      <c r="J30" s="225"/>
      <c r="K30" s="225"/>
      <c r="L30" s="225"/>
      <c r="M30" s="225"/>
      <c r="N30" s="225"/>
      <c r="O30" s="233"/>
      <c r="P30" s="186"/>
      <c r="Q30" s="186"/>
      <c r="R30" s="186"/>
      <c r="S30" s="186"/>
      <c r="T30" s="186"/>
      <c r="U30" s="186"/>
      <c r="V30" s="186"/>
      <c r="W30" s="186"/>
      <c r="X30" s="186"/>
      <c r="Y30" s="186"/>
      <c r="Z30" s="186"/>
    </row>
    <row r="31" spans="1:26" x14ac:dyDescent="0.2">
      <c r="A31" s="225"/>
      <c r="B31" s="225"/>
      <c r="C31" s="225"/>
      <c r="D31" s="225"/>
      <c r="E31" s="248"/>
      <c r="F31" s="231"/>
      <c r="G31" s="225"/>
      <c r="H31" s="225"/>
      <c r="I31" s="225"/>
      <c r="J31" s="225"/>
      <c r="K31" s="225"/>
      <c r="L31" s="225"/>
      <c r="M31" s="225"/>
      <c r="N31" s="225"/>
      <c r="O31" s="233"/>
      <c r="P31" s="186"/>
      <c r="Q31" s="186"/>
      <c r="R31" s="186"/>
      <c r="S31" s="186"/>
      <c r="T31" s="186"/>
      <c r="U31" s="186"/>
      <c r="V31" s="186"/>
      <c r="W31" s="186"/>
      <c r="X31" s="186"/>
      <c r="Y31" s="186"/>
      <c r="Z31" s="186"/>
    </row>
    <row r="32" spans="1:26" x14ac:dyDescent="0.2">
      <c r="A32" s="225"/>
      <c r="B32" s="225"/>
      <c r="C32" s="249"/>
      <c r="D32" s="225"/>
      <c r="E32" s="250"/>
      <c r="F32" s="231"/>
      <c r="G32" s="225"/>
      <c r="H32" s="225"/>
      <c r="I32" s="225"/>
      <c r="J32" s="225"/>
      <c r="K32" s="225"/>
      <c r="L32" s="225"/>
      <c r="M32" s="225"/>
      <c r="N32" s="225"/>
      <c r="O32" s="233"/>
      <c r="P32" s="186"/>
      <c r="Q32" s="186"/>
      <c r="R32" s="186"/>
      <c r="S32" s="186"/>
      <c r="T32" s="186"/>
      <c r="U32" s="186"/>
    </row>
    <row r="33" spans="1:21" x14ac:dyDescent="0.2">
      <c r="A33" s="186"/>
      <c r="B33" s="186"/>
      <c r="C33" s="186"/>
      <c r="D33" s="186"/>
      <c r="E33" s="186"/>
      <c r="F33" s="186"/>
      <c r="G33" s="186"/>
      <c r="H33" s="186"/>
      <c r="I33" s="186"/>
      <c r="J33" s="186"/>
      <c r="K33" s="186"/>
      <c r="L33" s="186"/>
      <c r="M33" s="186"/>
      <c r="N33" s="186"/>
      <c r="O33" s="186"/>
      <c r="P33" s="186"/>
      <c r="Q33" s="186"/>
      <c r="R33" s="186"/>
      <c r="S33" s="186"/>
      <c r="T33" s="186"/>
      <c r="U33" s="186"/>
    </row>
    <row r="34" spans="1:21" x14ac:dyDescent="0.2">
      <c r="M34" s="186"/>
      <c r="N34" s="186"/>
      <c r="O34" s="186"/>
      <c r="P34" s="186"/>
      <c r="Q34" s="186"/>
      <c r="T34" s="59"/>
    </row>
    <row r="35" spans="1:21" x14ac:dyDescent="0.2">
      <c r="M35" s="186"/>
      <c r="N35" s="186"/>
      <c r="O35" s="186"/>
      <c r="P35" s="186"/>
      <c r="Q35" s="186"/>
    </row>
    <row r="36" spans="1:21" x14ac:dyDescent="0.2">
      <c r="M36" s="186"/>
      <c r="N36" s="186"/>
      <c r="O36" s="186"/>
      <c r="P36" s="186"/>
      <c r="Q36" s="186"/>
    </row>
    <row r="37" spans="1:21" x14ac:dyDescent="0.2">
      <c r="M37" s="186"/>
      <c r="N37" s="186"/>
      <c r="O37" s="186"/>
      <c r="P37" s="186"/>
      <c r="Q37" s="186"/>
    </row>
    <row r="38" spans="1:21" x14ac:dyDescent="0.2">
      <c r="M38" s="186"/>
      <c r="N38" s="186"/>
      <c r="O38" s="186"/>
      <c r="P38" s="186"/>
      <c r="Q38" s="186"/>
    </row>
    <row r="39" spans="1:21" x14ac:dyDescent="0.2">
      <c r="M39" s="186"/>
      <c r="N39" s="186"/>
      <c r="O39" s="186"/>
      <c r="P39" s="186"/>
      <c r="Q39" s="186"/>
    </row>
    <row r="40" spans="1:21" x14ac:dyDescent="0.2">
      <c r="M40" s="186"/>
      <c r="N40" s="186"/>
      <c r="O40" s="186"/>
      <c r="P40" s="186"/>
      <c r="Q40" s="186"/>
    </row>
    <row r="41" spans="1:21" x14ac:dyDescent="0.2">
      <c r="M41" s="186"/>
      <c r="N41" s="186"/>
      <c r="O41" s="186"/>
      <c r="P41" s="186"/>
      <c r="Q41" s="186"/>
    </row>
    <row r="42" spans="1:21" x14ac:dyDescent="0.2">
      <c r="M42" s="186"/>
      <c r="N42" s="186"/>
      <c r="O42" s="186"/>
      <c r="P42" s="186"/>
      <c r="Q42" s="186"/>
    </row>
    <row r="43" spans="1:21" x14ac:dyDescent="0.2">
      <c r="M43" s="186"/>
      <c r="N43" s="186"/>
      <c r="O43" s="186"/>
      <c r="P43" s="186"/>
      <c r="Q43" s="186"/>
    </row>
    <row r="44" spans="1:21" x14ac:dyDescent="0.2">
      <c r="M44" s="186"/>
      <c r="N44" s="186"/>
      <c r="O44" s="186"/>
      <c r="P44" s="186"/>
      <c r="Q44" s="186"/>
    </row>
    <row r="45" spans="1:21" x14ac:dyDescent="0.2">
      <c r="M45" s="186"/>
      <c r="N45" s="186"/>
      <c r="O45" s="186"/>
      <c r="P45" s="186"/>
      <c r="Q45" s="186"/>
    </row>
    <row r="46" spans="1:21" x14ac:dyDescent="0.2">
      <c r="M46" s="186"/>
      <c r="N46" s="186"/>
      <c r="O46" s="186"/>
      <c r="P46" s="186"/>
      <c r="Q46" s="186"/>
    </row>
    <row r="47" spans="1:21" x14ac:dyDescent="0.2">
      <c r="M47" s="186"/>
      <c r="N47" s="186"/>
      <c r="O47" s="186"/>
      <c r="P47" s="186"/>
      <c r="Q47" s="186"/>
    </row>
    <row r="48" spans="1:21" x14ac:dyDescent="0.2">
      <c r="M48" s="186"/>
      <c r="N48" s="186"/>
      <c r="O48" s="186"/>
      <c r="P48" s="186"/>
      <c r="Q48" s="186"/>
    </row>
    <row r="49" spans="13:17" x14ac:dyDescent="0.2">
      <c r="M49" s="186"/>
      <c r="N49" s="186"/>
      <c r="O49" s="186"/>
      <c r="P49" s="186"/>
      <c r="Q49" s="186"/>
    </row>
    <row r="50" spans="13:17" x14ac:dyDescent="0.2">
      <c r="M50" s="186"/>
      <c r="N50" s="186"/>
      <c r="O50" s="186"/>
      <c r="P50" s="186"/>
      <c r="Q50" s="186"/>
    </row>
    <row r="51" spans="13:17" x14ac:dyDescent="0.2">
      <c r="M51" s="186"/>
      <c r="N51" s="186"/>
      <c r="O51" s="186"/>
      <c r="P51" s="186"/>
      <c r="Q51" s="186"/>
    </row>
    <row r="52" spans="13:17" x14ac:dyDescent="0.2">
      <c r="M52" s="186"/>
      <c r="N52" s="186"/>
      <c r="O52" s="186"/>
      <c r="P52" s="186"/>
      <c r="Q52" s="186"/>
    </row>
    <row r="53" spans="13:17" x14ac:dyDescent="0.2">
      <c r="M53" s="186"/>
      <c r="N53" s="186"/>
      <c r="O53" s="186"/>
      <c r="P53" s="186"/>
      <c r="Q53" s="186"/>
    </row>
    <row r="54" spans="13:17" x14ac:dyDescent="0.2">
      <c r="M54" s="186"/>
      <c r="N54" s="186"/>
      <c r="O54" s="186"/>
      <c r="P54" s="186"/>
      <c r="Q54" s="186"/>
    </row>
    <row r="55" spans="13:17" x14ac:dyDescent="0.2">
      <c r="M55" s="186"/>
      <c r="N55" s="186"/>
      <c r="O55" s="186"/>
      <c r="P55" s="186"/>
      <c r="Q55" s="186"/>
    </row>
    <row r="56" spans="13:17" x14ac:dyDescent="0.2">
      <c r="M56" s="186"/>
      <c r="N56" s="186"/>
      <c r="O56" s="186"/>
      <c r="P56" s="186"/>
      <c r="Q56" s="186"/>
    </row>
    <row r="57" spans="13:17" x14ac:dyDescent="0.2">
      <c r="M57" s="186"/>
      <c r="N57" s="186"/>
      <c r="O57" s="186"/>
      <c r="P57" s="186"/>
      <c r="Q57" s="186"/>
    </row>
    <row r="58" spans="13:17" x14ac:dyDescent="0.2">
      <c r="M58" s="186"/>
      <c r="N58" s="186"/>
      <c r="O58" s="186"/>
      <c r="P58" s="186"/>
      <c r="Q58" s="186"/>
    </row>
    <row r="59" spans="13:17" x14ac:dyDescent="0.2">
      <c r="M59" s="186"/>
      <c r="N59" s="186"/>
      <c r="O59" s="186"/>
      <c r="P59" s="186"/>
      <c r="Q59" s="186"/>
    </row>
    <row r="60" spans="13:17" x14ac:dyDescent="0.2">
      <c r="M60" s="186"/>
      <c r="N60" s="186"/>
      <c r="O60" s="186"/>
      <c r="P60" s="186"/>
      <c r="Q60" s="186"/>
    </row>
    <row r="61" spans="13:17" x14ac:dyDescent="0.2">
      <c r="M61" s="186"/>
      <c r="N61" s="186"/>
      <c r="O61" s="186"/>
      <c r="P61" s="186"/>
      <c r="Q61" s="186"/>
    </row>
    <row r="62" spans="13:17" x14ac:dyDescent="0.2">
      <c r="M62" s="186"/>
      <c r="N62" s="186"/>
      <c r="O62" s="186"/>
      <c r="P62" s="186"/>
      <c r="Q62" s="186"/>
    </row>
    <row r="63" spans="13:17" x14ac:dyDescent="0.2">
      <c r="M63" s="186"/>
      <c r="N63" s="186"/>
      <c r="O63" s="186"/>
      <c r="P63" s="186"/>
      <c r="Q63" s="186"/>
    </row>
    <row r="64" spans="13:17" x14ac:dyDescent="0.2">
      <c r="M64" s="186"/>
      <c r="N64" s="186"/>
      <c r="O64" s="186"/>
      <c r="P64" s="186"/>
      <c r="Q64" s="186"/>
    </row>
    <row r="65" spans="13:17" x14ac:dyDescent="0.2">
      <c r="M65" s="186"/>
      <c r="N65" s="186"/>
      <c r="O65" s="186"/>
      <c r="P65" s="186"/>
      <c r="Q65" s="186"/>
    </row>
    <row r="66" spans="13:17" x14ac:dyDescent="0.2">
      <c r="M66" s="186"/>
      <c r="N66" s="186"/>
      <c r="O66" s="186"/>
      <c r="P66" s="186"/>
      <c r="Q66" s="186"/>
    </row>
    <row r="67" spans="13:17" x14ac:dyDescent="0.2">
      <c r="M67" s="186"/>
      <c r="N67" s="186"/>
      <c r="O67" s="186"/>
      <c r="P67" s="186"/>
      <c r="Q67" s="186"/>
    </row>
    <row r="68" spans="13:17" x14ac:dyDescent="0.2">
      <c r="M68" s="186"/>
      <c r="N68" s="186"/>
      <c r="O68" s="186"/>
      <c r="P68" s="186"/>
      <c r="Q68" s="186"/>
    </row>
    <row r="69" spans="13:17" x14ac:dyDescent="0.2">
      <c r="M69" s="186"/>
      <c r="N69" s="186"/>
      <c r="O69" s="186"/>
      <c r="P69" s="186"/>
      <c r="Q69" s="186"/>
    </row>
    <row r="70" spans="13:17" x14ac:dyDescent="0.2">
      <c r="M70" s="186"/>
      <c r="N70" s="186"/>
      <c r="O70" s="186"/>
      <c r="P70" s="186"/>
      <c r="Q70" s="186"/>
    </row>
    <row r="71" spans="13:17" x14ac:dyDescent="0.2">
      <c r="M71" s="186"/>
      <c r="N71" s="186"/>
      <c r="O71" s="186"/>
      <c r="P71" s="186"/>
      <c r="Q71" s="186"/>
    </row>
    <row r="72" spans="13:17" x14ac:dyDescent="0.2">
      <c r="M72" s="186"/>
      <c r="N72" s="186"/>
      <c r="O72" s="186"/>
      <c r="P72" s="186"/>
      <c r="Q72" s="186"/>
    </row>
    <row r="73" spans="13:17" x14ac:dyDescent="0.2">
      <c r="M73" s="186"/>
      <c r="N73" s="186"/>
      <c r="O73" s="186"/>
      <c r="P73" s="186"/>
      <c r="Q73" s="186"/>
    </row>
    <row r="74" spans="13:17" x14ac:dyDescent="0.2">
      <c r="M74" s="186"/>
      <c r="N74" s="186"/>
      <c r="O74" s="186"/>
      <c r="P74" s="186"/>
      <c r="Q74" s="186"/>
    </row>
    <row r="75" spans="13:17" x14ac:dyDescent="0.2">
      <c r="M75" s="186"/>
      <c r="N75" s="186"/>
      <c r="O75" s="186"/>
      <c r="P75" s="186"/>
      <c r="Q75" s="186"/>
    </row>
    <row r="76" spans="13:17" x14ac:dyDescent="0.2">
      <c r="M76" s="186"/>
      <c r="N76" s="186"/>
      <c r="O76" s="186"/>
      <c r="P76" s="186"/>
      <c r="Q76" s="186"/>
    </row>
    <row r="77" spans="13:17" x14ac:dyDescent="0.2">
      <c r="M77" s="186"/>
      <c r="N77" s="186"/>
      <c r="O77" s="186"/>
      <c r="P77" s="186"/>
      <c r="Q77" s="186"/>
    </row>
    <row r="78" spans="13:17" x14ac:dyDescent="0.2">
      <c r="M78" s="186"/>
      <c r="N78" s="186"/>
      <c r="O78" s="186"/>
      <c r="P78" s="186"/>
      <c r="Q78" s="186"/>
    </row>
    <row r="79" spans="13:17" x14ac:dyDescent="0.2">
      <c r="M79" s="186"/>
      <c r="N79" s="186"/>
      <c r="O79" s="186"/>
      <c r="P79" s="186"/>
      <c r="Q79" s="186"/>
    </row>
    <row r="80" spans="13:17" x14ac:dyDescent="0.2">
      <c r="M80" s="186"/>
      <c r="N80" s="186"/>
      <c r="O80" s="186"/>
      <c r="P80" s="186"/>
      <c r="Q80" s="186"/>
    </row>
    <row r="81" spans="13:17" x14ac:dyDescent="0.2">
      <c r="M81" s="186"/>
      <c r="N81" s="186"/>
      <c r="O81" s="186"/>
      <c r="P81" s="186"/>
      <c r="Q81" s="186"/>
    </row>
    <row r="82" spans="13:17" x14ac:dyDescent="0.2">
      <c r="M82" s="186"/>
      <c r="N82" s="186"/>
      <c r="O82" s="186"/>
      <c r="P82" s="186"/>
      <c r="Q82" s="186"/>
    </row>
    <row r="83" spans="13:17" x14ac:dyDescent="0.2">
      <c r="M83" s="186"/>
      <c r="N83" s="186"/>
      <c r="O83" s="186"/>
      <c r="P83" s="186"/>
      <c r="Q83" s="186"/>
    </row>
    <row r="84" spans="13:17" x14ac:dyDescent="0.2">
      <c r="M84" s="186"/>
      <c r="N84" s="186"/>
      <c r="O84" s="186"/>
      <c r="P84" s="186"/>
      <c r="Q84" s="186"/>
    </row>
    <row r="85" spans="13:17" x14ac:dyDescent="0.2">
      <c r="M85" s="186"/>
      <c r="N85" s="186"/>
      <c r="O85" s="186"/>
      <c r="P85" s="186"/>
      <c r="Q85" s="186"/>
    </row>
    <row r="86" spans="13:17" x14ac:dyDescent="0.2">
      <c r="M86" s="186"/>
      <c r="N86" s="186"/>
      <c r="O86" s="186"/>
      <c r="P86" s="186"/>
      <c r="Q86" s="186"/>
    </row>
    <row r="87" spans="13:17" x14ac:dyDescent="0.2">
      <c r="M87" s="186"/>
      <c r="N87" s="186"/>
      <c r="O87" s="186"/>
      <c r="P87" s="186"/>
      <c r="Q87" s="186"/>
    </row>
    <row r="88" spans="13:17" x14ac:dyDescent="0.2">
      <c r="M88" s="186"/>
      <c r="N88" s="186"/>
      <c r="O88" s="186"/>
      <c r="P88" s="186"/>
      <c r="Q88" s="186"/>
    </row>
    <row r="89" spans="13:17" x14ac:dyDescent="0.2">
      <c r="M89" s="186"/>
      <c r="N89" s="186"/>
      <c r="O89" s="186"/>
      <c r="P89" s="186"/>
      <c r="Q89" s="186"/>
    </row>
    <row r="90" spans="13:17" x14ac:dyDescent="0.2">
      <c r="M90" s="186"/>
      <c r="N90" s="186"/>
      <c r="O90" s="186"/>
      <c r="P90" s="186"/>
      <c r="Q90" s="186"/>
    </row>
    <row r="91" spans="13:17" x14ac:dyDescent="0.2">
      <c r="M91" s="186"/>
      <c r="N91" s="186"/>
      <c r="O91" s="186"/>
      <c r="P91" s="186"/>
      <c r="Q91" s="186"/>
    </row>
    <row r="92" spans="13:17" x14ac:dyDescent="0.2">
      <c r="M92" s="186"/>
      <c r="N92" s="186"/>
      <c r="O92" s="186"/>
      <c r="P92" s="186"/>
      <c r="Q92" s="186"/>
    </row>
    <row r="93" spans="13:17" x14ac:dyDescent="0.2">
      <c r="M93" s="186"/>
      <c r="N93" s="186"/>
      <c r="O93" s="186"/>
      <c r="P93" s="186"/>
      <c r="Q93" s="186"/>
    </row>
    <row r="94" spans="13:17" x14ac:dyDescent="0.2">
      <c r="M94" s="186"/>
      <c r="N94" s="186"/>
      <c r="O94" s="186"/>
      <c r="P94" s="186"/>
      <c r="Q94" s="186"/>
    </row>
    <row r="95" spans="13:17" x14ac:dyDescent="0.2">
      <c r="M95" s="186"/>
      <c r="N95" s="186"/>
      <c r="O95" s="186"/>
      <c r="P95" s="186"/>
      <c r="Q95" s="186"/>
    </row>
    <row r="96" spans="13:17" x14ac:dyDescent="0.2">
      <c r="M96" s="186"/>
      <c r="N96" s="186"/>
      <c r="O96" s="186"/>
      <c r="P96" s="186"/>
      <c r="Q96" s="186"/>
    </row>
    <row r="97" spans="13:17" x14ac:dyDescent="0.2">
      <c r="M97" s="186"/>
      <c r="N97" s="186"/>
      <c r="O97" s="186"/>
      <c r="P97" s="186"/>
      <c r="Q97" s="186"/>
    </row>
    <row r="98" spans="13:17" x14ac:dyDescent="0.2">
      <c r="M98" s="186"/>
      <c r="N98" s="186"/>
      <c r="O98" s="186"/>
      <c r="P98" s="186"/>
      <c r="Q98" s="186"/>
    </row>
    <row r="99" spans="13:17" x14ac:dyDescent="0.2">
      <c r="M99" s="186"/>
      <c r="N99" s="186"/>
      <c r="O99" s="186"/>
      <c r="P99" s="186"/>
      <c r="Q99" s="186"/>
    </row>
    <row r="100" spans="13:17" x14ac:dyDescent="0.2">
      <c r="M100" s="186"/>
      <c r="N100" s="186"/>
      <c r="O100" s="186"/>
      <c r="P100" s="186"/>
      <c r="Q100" s="186"/>
    </row>
    <row r="101" spans="13:17" x14ac:dyDescent="0.2">
      <c r="M101" s="186"/>
      <c r="N101" s="186"/>
      <c r="O101" s="186"/>
      <c r="P101" s="186"/>
      <c r="Q101" s="186"/>
    </row>
    <row r="102" spans="13:17" x14ac:dyDescent="0.2">
      <c r="M102" s="186"/>
      <c r="N102" s="186"/>
      <c r="O102" s="186"/>
      <c r="P102" s="186"/>
      <c r="Q102" s="186"/>
    </row>
    <row r="103" spans="13:17" x14ac:dyDescent="0.2">
      <c r="M103" s="186"/>
      <c r="N103" s="186"/>
      <c r="O103" s="186"/>
      <c r="P103" s="186"/>
      <c r="Q103" s="186"/>
    </row>
    <row r="104" spans="13:17" x14ac:dyDescent="0.2">
      <c r="M104" s="186"/>
      <c r="N104" s="186"/>
      <c r="O104" s="186"/>
      <c r="P104" s="186"/>
      <c r="Q104" s="186"/>
    </row>
    <row r="105" spans="13:17" x14ac:dyDescent="0.2">
      <c r="M105" s="186"/>
      <c r="N105" s="186"/>
      <c r="O105" s="186"/>
      <c r="P105" s="186"/>
      <c r="Q105" s="186"/>
    </row>
    <row r="106" spans="13:17" x14ac:dyDescent="0.2">
      <c r="M106" s="186"/>
      <c r="N106" s="186"/>
      <c r="O106" s="186"/>
      <c r="P106" s="186"/>
      <c r="Q106" s="186"/>
    </row>
    <row r="107" spans="13:17" x14ac:dyDescent="0.2">
      <c r="M107" s="186"/>
      <c r="N107" s="186"/>
      <c r="O107" s="186"/>
      <c r="P107" s="186"/>
      <c r="Q107" s="186"/>
    </row>
    <row r="108" spans="13:17" x14ac:dyDescent="0.2">
      <c r="M108" s="186"/>
      <c r="N108" s="186"/>
      <c r="O108" s="186"/>
      <c r="P108" s="186"/>
      <c r="Q108" s="186"/>
    </row>
    <row r="109" spans="13:17" x14ac:dyDescent="0.2">
      <c r="M109" s="186"/>
      <c r="N109" s="186"/>
      <c r="O109" s="186"/>
      <c r="P109" s="186"/>
      <c r="Q109" s="186"/>
    </row>
    <row r="110" spans="13:17" x14ac:dyDescent="0.2">
      <c r="M110" s="186"/>
      <c r="N110" s="186"/>
      <c r="O110" s="186"/>
      <c r="P110" s="186"/>
      <c r="Q110" s="186"/>
    </row>
    <row r="111" spans="13:17" x14ac:dyDescent="0.2">
      <c r="M111" s="186"/>
      <c r="N111" s="186"/>
      <c r="O111" s="186"/>
      <c r="P111" s="186"/>
      <c r="Q111" s="186"/>
    </row>
    <row r="112" spans="13:17" x14ac:dyDescent="0.2">
      <c r="M112" s="186"/>
      <c r="N112" s="186"/>
      <c r="O112" s="186"/>
      <c r="P112" s="186"/>
      <c r="Q112" s="186"/>
    </row>
    <row r="113" spans="13:17" x14ac:dyDescent="0.2">
      <c r="M113" s="186"/>
      <c r="N113" s="186"/>
      <c r="O113" s="186"/>
      <c r="P113" s="186"/>
      <c r="Q113" s="186"/>
    </row>
    <row r="114" spans="13:17" x14ac:dyDescent="0.2">
      <c r="M114" s="186"/>
      <c r="N114" s="186"/>
      <c r="O114" s="186"/>
      <c r="P114" s="186"/>
      <c r="Q114" s="186"/>
    </row>
    <row r="115" spans="13:17" x14ac:dyDescent="0.2">
      <c r="M115" s="186"/>
      <c r="N115" s="186"/>
      <c r="O115" s="186"/>
      <c r="P115" s="186"/>
      <c r="Q115" s="186"/>
    </row>
    <row r="116" spans="13:17" x14ac:dyDescent="0.2">
      <c r="M116" s="186"/>
      <c r="N116" s="186"/>
      <c r="O116" s="186"/>
      <c r="P116" s="186"/>
      <c r="Q116" s="186"/>
    </row>
    <row r="117" spans="13:17" x14ac:dyDescent="0.2">
      <c r="M117" s="186"/>
      <c r="N117" s="186"/>
      <c r="O117" s="186"/>
      <c r="P117" s="186"/>
      <c r="Q117" s="186"/>
    </row>
    <row r="118" spans="13:17" x14ac:dyDescent="0.2">
      <c r="M118" s="186"/>
      <c r="N118" s="186"/>
      <c r="O118" s="186"/>
      <c r="P118" s="186"/>
      <c r="Q118" s="186"/>
    </row>
    <row r="119" spans="13:17" x14ac:dyDescent="0.2">
      <c r="M119" s="186"/>
      <c r="N119" s="186"/>
      <c r="O119" s="186"/>
      <c r="P119" s="186"/>
      <c r="Q119" s="186"/>
    </row>
    <row r="120" spans="13:17" x14ac:dyDescent="0.2">
      <c r="M120" s="186"/>
      <c r="N120" s="186"/>
      <c r="O120" s="186"/>
      <c r="P120" s="186"/>
      <c r="Q120" s="186"/>
    </row>
    <row r="121" spans="13:17" x14ac:dyDescent="0.2">
      <c r="M121" s="186"/>
      <c r="N121" s="186"/>
      <c r="O121" s="186"/>
      <c r="P121" s="186"/>
      <c r="Q121" s="186"/>
    </row>
    <row r="122" spans="13:17" x14ac:dyDescent="0.2">
      <c r="M122" s="186"/>
      <c r="N122" s="186"/>
      <c r="O122" s="186"/>
      <c r="P122" s="186"/>
      <c r="Q122" s="186"/>
    </row>
    <row r="123" spans="13:17" x14ac:dyDescent="0.2">
      <c r="M123" s="186"/>
      <c r="N123" s="186"/>
      <c r="O123" s="186"/>
      <c r="P123" s="186"/>
      <c r="Q123" s="186"/>
    </row>
    <row r="124" spans="13:17" x14ac:dyDescent="0.2">
      <c r="M124" s="186"/>
      <c r="N124" s="186"/>
      <c r="O124" s="186"/>
      <c r="P124" s="186"/>
      <c r="Q124" s="186"/>
    </row>
    <row r="125" spans="13:17" x14ac:dyDescent="0.2">
      <c r="M125" s="186"/>
      <c r="N125" s="186"/>
      <c r="O125" s="186"/>
      <c r="P125" s="186"/>
      <c r="Q125" s="186"/>
    </row>
    <row r="126" spans="13:17" x14ac:dyDescent="0.2">
      <c r="M126" s="186"/>
      <c r="N126" s="186"/>
      <c r="O126" s="186"/>
      <c r="P126" s="186"/>
      <c r="Q126" s="186"/>
    </row>
    <row r="127" spans="13:17" x14ac:dyDescent="0.2">
      <c r="M127" s="186"/>
      <c r="N127" s="186"/>
      <c r="O127" s="186"/>
      <c r="P127" s="186"/>
      <c r="Q127" s="186"/>
    </row>
    <row r="128" spans="13:17" x14ac:dyDescent="0.2">
      <c r="M128" s="186"/>
      <c r="N128" s="186"/>
      <c r="O128" s="186"/>
      <c r="P128" s="186"/>
      <c r="Q128" s="186"/>
    </row>
    <row r="129" spans="13:17" x14ac:dyDescent="0.2">
      <c r="M129" s="186"/>
      <c r="N129" s="186"/>
      <c r="O129" s="186"/>
      <c r="P129" s="186"/>
      <c r="Q129" s="186"/>
    </row>
    <row r="130" spans="13:17" x14ac:dyDescent="0.2">
      <c r="M130" s="186"/>
      <c r="N130" s="186"/>
      <c r="O130" s="186"/>
      <c r="P130" s="186"/>
      <c r="Q130" s="186"/>
    </row>
    <row r="131" spans="13:17" x14ac:dyDescent="0.2">
      <c r="M131" s="186"/>
      <c r="N131" s="186"/>
      <c r="O131" s="186"/>
      <c r="P131" s="186"/>
      <c r="Q131" s="186"/>
    </row>
    <row r="132" spans="13:17" x14ac:dyDescent="0.2">
      <c r="M132" s="186"/>
      <c r="N132" s="186"/>
      <c r="O132" s="186"/>
      <c r="P132" s="186"/>
      <c r="Q132" s="186"/>
    </row>
    <row r="133" spans="13:17" x14ac:dyDescent="0.2">
      <c r="M133" s="186"/>
      <c r="N133" s="186"/>
      <c r="O133" s="186"/>
      <c r="P133" s="186"/>
      <c r="Q133" s="186"/>
    </row>
    <row r="134" spans="13:17" x14ac:dyDescent="0.2">
      <c r="M134" s="186"/>
      <c r="N134" s="186"/>
      <c r="O134" s="186"/>
      <c r="P134" s="186"/>
      <c r="Q134" s="186"/>
    </row>
    <row r="135" spans="13:17" x14ac:dyDescent="0.2">
      <c r="M135" s="186"/>
      <c r="N135" s="186"/>
      <c r="O135" s="186"/>
      <c r="P135" s="186"/>
      <c r="Q135" s="186"/>
    </row>
    <row r="136" spans="13:17" x14ac:dyDescent="0.2">
      <c r="M136" s="186"/>
      <c r="N136" s="186"/>
      <c r="O136" s="186"/>
      <c r="P136" s="186"/>
      <c r="Q136" s="186"/>
    </row>
    <row r="137" spans="13:17" x14ac:dyDescent="0.2">
      <c r="M137" s="186"/>
      <c r="N137" s="186"/>
      <c r="O137" s="186"/>
      <c r="P137" s="186"/>
      <c r="Q137" s="186"/>
    </row>
    <row r="138" spans="13:17" x14ac:dyDescent="0.2">
      <c r="M138" s="186"/>
      <c r="N138" s="186"/>
      <c r="O138" s="186"/>
      <c r="P138" s="186"/>
      <c r="Q138" s="186"/>
    </row>
    <row r="139" spans="13:17" x14ac:dyDescent="0.2">
      <c r="M139" s="186"/>
      <c r="N139" s="186"/>
      <c r="O139" s="186"/>
      <c r="P139" s="186"/>
      <c r="Q139" s="186"/>
    </row>
    <row r="140" spans="13:17" x14ac:dyDescent="0.2">
      <c r="M140" s="186"/>
      <c r="N140" s="186"/>
      <c r="O140" s="186"/>
      <c r="P140" s="186"/>
      <c r="Q140" s="186"/>
    </row>
    <row r="141" spans="13:17" x14ac:dyDescent="0.2">
      <c r="M141" s="186"/>
      <c r="N141" s="186"/>
      <c r="O141" s="186"/>
      <c r="P141" s="186"/>
      <c r="Q141" s="186"/>
    </row>
    <row r="142" spans="13:17" x14ac:dyDescent="0.2">
      <c r="M142" s="186"/>
      <c r="N142" s="186"/>
      <c r="O142" s="186"/>
      <c r="P142" s="186"/>
      <c r="Q142" s="186"/>
    </row>
    <row r="143" spans="13:17" x14ac:dyDescent="0.2">
      <c r="M143" s="186"/>
      <c r="N143" s="186"/>
      <c r="O143" s="186"/>
      <c r="P143" s="186"/>
      <c r="Q143" s="186"/>
    </row>
    <row r="144" spans="13:17" x14ac:dyDescent="0.2">
      <c r="M144" s="186"/>
      <c r="N144" s="186"/>
      <c r="O144" s="186"/>
      <c r="P144" s="186"/>
      <c r="Q144" s="186"/>
    </row>
    <row r="145" spans="13:17" x14ac:dyDescent="0.2">
      <c r="M145" s="186"/>
      <c r="N145" s="186"/>
      <c r="O145" s="186"/>
      <c r="P145" s="186"/>
      <c r="Q145" s="186"/>
    </row>
    <row r="146" spans="13:17" x14ac:dyDescent="0.2">
      <c r="M146" s="186"/>
      <c r="N146" s="186"/>
      <c r="O146" s="186"/>
      <c r="P146" s="186"/>
      <c r="Q146" s="186"/>
    </row>
    <row r="147" spans="13:17" x14ac:dyDescent="0.2">
      <c r="M147" s="186"/>
      <c r="N147" s="186"/>
      <c r="O147" s="186"/>
      <c r="P147" s="186"/>
      <c r="Q147" s="186"/>
    </row>
    <row r="148" spans="13:17" x14ac:dyDescent="0.2">
      <c r="M148" s="186"/>
      <c r="N148" s="186"/>
      <c r="O148" s="186"/>
      <c r="P148" s="186"/>
      <c r="Q148" s="186"/>
    </row>
    <row r="149" spans="13:17" x14ac:dyDescent="0.2">
      <c r="M149" s="186"/>
      <c r="N149" s="186"/>
      <c r="O149" s="186"/>
      <c r="P149" s="186"/>
      <c r="Q149" s="186"/>
    </row>
    <row r="150" spans="13:17" x14ac:dyDescent="0.2">
      <c r="M150" s="186"/>
      <c r="N150" s="186"/>
      <c r="O150" s="186"/>
      <c r="P150" s="186"/>
      <c r="Q150" s="186"/>
    </row>
    <row r="151" spans="13:17" x14ac:dyDescent="0.2">
      <c r="M151" s="186"/>
      <c r="N151" s="186"/>
      <c r="O151" s="186"/>
      <c r="P151" s="186"/>
      <c r="Q151" s="186"/>
    </row>
    <row r="152" spans="13:17" x14ac:dyDescent="0.2">
      <c r="M152" s="186"/>
      <c r="N152" s="186"/>
      <c r="O152" s="186"/>
      <c r="P152" s="186"/>
      <c r="Q152" s="186"/>
    </row>
    <row r="153" spans="13:17" x14ac:dyDescent="0.2">
      <c r="M153" s="186"/>
      <c r="N153" s="186"/>
      <c r="O153" s="186"/>
      <c r="P153" s="186"/>
      <c r="Q153" s="186"/>
    </row>
    <row r="154" spans="13:17" x14ac:dyDescent="0.2">
      <c r="M154" s="186"/>
      <c r="N154" s="186"/>
      <c r="O154" s="186"/>
      <c r="P154" s="186"/>
      <c r="Q154" s="186"/>
    </row>
    <row r="155" spans="13:17" x14ac:dyDescent="0.2">
      <c r="M155" s="186"/>
      <c r="N155" s="186"/>
      <c r="O155" s="186"/>
      <c r="P155" s="186"/>
      <c r="Q155" s="186"/>
    </row>
    <row r="156" spans="13:17" x14ac:dyDescent="0.2">
      <c r="M156" s="186"/>
      <c r="N156" s="186"/>
      <c r="O156" s="186"/>
      <c r="P156" s="186"/>
      <c r="Q156" s="186"/>
    </row>
    <row r="157" spans="13:17" x14ac:dyDescent="0.2">
      <c r="M157" s="186"/>
      <c r="N157" s="186"/>
      <c r="O157" s="186"/>
      <c r="P157" s="186"/>
      <c r="Q157" s="186"/>
    </row>
    <row r="158" spans="13:17" x14ac:dyDescent="0.2">
      <c r="M158" s="186"/>
      <c r="N158" s="186"/>
      <c r="O158" s="186"/>
      <c r="P158" s="186"/>
      <c r="Q158" s="186"/>
    </row>
    <row r="159" spans="13:17" x14ac:dyDescent="0.2">
      <c r="M159" s="186"/>
      <c r="N159" s="186"/>
      <c r="O159" s="186"/>
      <c r="P159" s="186"/>
      <c r="Q159" s="186"/>
    </row>
    <row r="160" spans="13:17" x14ac:dyDescent="0.2">
      <c r="M160" s="186"/>
      <c r="N160" s="186"/>
      <c r="O160" s="186"/>
      <c r="P160" s="186"/>
      <c r="Q160" s="186"/>
    </row>
    <row r="161" spans="13:17" x14ac:dyDescent="0.2">
      <c r="M161" s="186"/>
      <c r="N161" s="186"/>
      <c r="O161" s="186"/>
      <c r="P161" s="186"/>
      <c r="Q161" s="186"/>
    </row>
    <row r="162" spans="13:17" x14ac:dyDescent="0.2">
      <c r="M162" s="186"/>
      <c r="N162" s="186"/>
      <c r="O162" s="186"/>
      <c r="P162" s="186"/>
      <c r="Q162" s="186"/>
    </row>
    <row r="163" spans="13:17" x14ac:dyDescent="0.2">
      <c r="M163" s="186"/>
      <c r="N163" s="186"/>
      <c r="O163" s="186"/>
      <c r="P163" s="186"/>
      <c r="Q163" s="186"/>
    </row>
    <row r="164" spans="13:17" x14ac:dyDescent="0.2">
      <c r="M164" s="186"/>
      <c r="N164" s="186"/>
      <c r="O164" s="186"/>
      <c r="P164" s="186"/>
      <c r="Q164" s="186"/>
    </row>
    <row r="165" spans="13:17" x14ac:dyDescent="0.2">
      <c r="M165" s="186"/>
      <c r="N165" s="186"/>
      <c r="O165" s="186"/>
      <c r="P165" s="186"/>
      <c r="Q165" s="186"/>
    </row>
    <row r="166" spans="13:17" x14ac:dyDescent="0.2">
      <c r="M166" s="186"/>
      <c r="N166" s="186"/>
      <c r="O166" s="186"/>
      <c r="P166" s="186"/>
      <c r="Q166" s="186"/>
    </row>
    <row r="167" spans="13:17" x14ac:dyDescent="0.2">
      <c r="M167" s="186"/>
      <c r="N167" s="186"/>
      <c r="O167" s="186"/>
      <c r="P167" s="186"/>
      <c r="Q167" s="186"/>
    </row>
    <row r="168" spans="13:17" x14ac:dyDescent="0.2">
      <c r="M168" s="186"/>
      <c r="N168" s="186"/>
      <c r="O168" s="186"/>
      <c r="P168" s="186"/>
      <c r="Q168" s="186"/>
    </row>
    <row r="169" spans="13:17" x14ac:dyDescent="0.2">
      <c r="M169" s="186"/>
      <c r="N169" s="186"/>
      <c r="O169" s="186"/>
      <c r="P169" s="186"/>
      <c r="Q169" s="186"/>
    </row>
    <row r="170" spans="13:17" x14ac:dyDescent="0.2">
      <c r="M170" s="186"/>
      <c r="N170" s="186"/>
      <c r="O170" s="186"/>
      <c r="P170" s="186"/>
      <c r="Q170" s="186"/>
    </row>
    <row r="171" spans="13:17" x14ac:dyDescent="0.2">
      <c r="M171" s="186"/>
      <c r="N171" s="186"/>
      <c r="O171" s="186"/>
      <c r="P171" s="186"/>
      <c r="Q171" s="186"/>
    </row>
    <row r="172" spans="13:17" x14ac:dyDescent="0.2">
      <c r="M172" s="186"/>
      <c r="N172" s="186"/>
      <c r="O172" s="186"/>
      <c r="P172" s="186"/>
      <c r="Q172" s="186"/>
    </row>
    <row r="173" spans="13:17" x14ac:dyDescent="0.2">
      <c r="M173" s="186"/>
      <c r="N173" s="186"/>
      <c r="O173" s="186"/>
      <c r="P173" s="186"/>
      <c r="Q173" s="186"/>
    </row>
    <row r="174" spans="13:17" x14ac:dyDescent="0.2">
      <c r="M174" s="186"/>
      <c r="N174" s="186"/>
      <c r="O174" s="186"/>
      <c r="P174" s="186"/>
      <c r="Q174" s="186"/>
    </row>
    <row r="175" spans="13:17" x14ac:dyDescent="0.2">
      <c r="M175" s="186"/>
      <c r="N175" s="186"/>
      <c r="O175" s="186"/>
      <c r="P175" s="186"/>
      <c r="Q175" s="186"/>
    </row>
    <row r="176" spans="13:17" x14ac:dyDescent="0.2">
      <c r="M176" s="186"/>
      <c r="N176" s="186"/>
      <c r="O176" s="186"/>
      <c r="P176" s="186"/>
      <c r="Q176" s="186"/>
    </row>
    <row r="177" spans="13:17" x14ac:dyDescent="0.2">
      <c r="M177" s="186"/>
      <c r="N177" s="186"/>
      <c r="O177" s="186"/>
      <c r="P177" s="186"/>
      <c r="Q177" s="186"/>
    </row>
    <row r="178" spans="13:17" x14ac:dyDescent="0.2">
      <c r="M178" s="186"/>
      <c r="N178" s="186"/>
      <c r="O178" s="186"/>
      <c r="P178" s="186"/>
      <c r="Q178" s="186"/>
    </row>
    <row r="179" spans="13:17" x14ac:dyDescent="0.2">
      <c r="M179" s="186"/>
      <c r="N179" s="186"/>
      <c r="O179" s="186"/>
      <c r="P179" s="186"/>
      <c r="Q179" s="186"/>
    </row>
    <row r="180" spans="13:17" x14ac:dyDescent="0.2">
      <c r="M180" s="186"/>
      <c r="N180" s="186"/>
      <c r="O180" s="186"/>
      <c r="P180" s="186"/>
      <c r="Q180" s="186"/>
    </row>
    <row r="181" spans="13:17" x14ac:dyDescent="0.2">
      <c r="M181" s="186"/>
      <c r="N181" s="186"/>
      <c r="O181" s="186"/>
      <c r="P181" s="186"/>
      <c r="Q181" s="186"/>
    </row>
    <row r="182" spans="13:17" x14ac:dyDescent="0.2">
      <c r="M182" s="186"/>
      <c r="N182" s="186"/>
      <c r="O182" s="186"/>
      <c r="P182" s="186"/>
      <c r="Q182" s="186"/>
    </row>
    <row r="183" spans="13:17" x14ac:dyDescent="0.2">
      <c r="M183" s="186"/>
      <c r="N183" s="186"/>
      <c r="O183" s="186"/>
      <c r="P183" s="186"/>
      <c r="Q183" s="186"/>
    </row>
    <row r="184" spans="13:17" x14ac:dyDescent="0.2">
      <c r="M184" s="186"/>
      <c r="N184" s="186"/>
      <c r="O184" s="186"/>
      <c r="P184" s="186"/>
      <c r="Q184" s="186"/>
    </row>
    <row r="185" spans="13:17" x14ac:dyDescent="0.2">
      <c r="M185" s="186"/>
      <c r="N185" s="186"/>
      <c r="O185" s="186"/>
      <c r="P185" s="186"/>
      <c r="Q185" s="186"/>
    </row>
    <row r="186" spans="13:17" x14ac:dyDescent="0.2">
      <c r="M186" s="186"/>
      <c r="N186" s="186"/>
      <c r="O186" s="186"/>
      <c r="P186" s="186"/>
      <c r="Q186" s="186"/>
    </row>
    <row r="187" spans="13:17" x14ac:dyDescent="0.2">
      <c r="M187" s="186"/>
      <c r="N187" s="186"/>
      <c r="O187" s="186"/>
      <c r="P187" s="186"/>
      <c r="Q187" s="186"/>
    </row>
    <row r="188" spans="13:17" x14ac:dyDescent="0.2">
      <c r="M188" s="186"/>
      <c r="N188" s="186"/>
      <c r="O188" s="186"/>
      <c r="P188" s="186"/>
      <c r="Q188" s="186"/>
    </row>
    <row r="189" spans="13:17" x14ac:dyDescent="0.2">
      <c r="M189" s="186"/>
      <c r="N189" s="186"/>
      <c r="O189" s="186"/>
      <c r="P189" s="186"/>
      <c r="Q189" s="186"/>
    </row>
    <row r="190" spans="13:17" x14ac:dyDescent="0.2">
      <c r="M190" s="186"/>
      <c r="N190" s="186"/>
      <c r="O190" s="186"/>
      <c r="P190" s="186"/>
      <c r="Q190" s="186"/>
    </row>
    <row r="191" spans="13:17" x14ac:dyDescent="0.2">
      <c r="M191" s="186"/>
      <c r="N191" s="186"/>
      <c r="O191" s="186"/>
      <c r="P191" s="186"/>
      <c r="Q191" s="186"/>
    </row>
    <row r="192" spans="13:17" x14ac:dyDescent="0.2">
      <c r="M192" s="186"/>
      <c r="N192" s="186"/>
      <c r="O192" s="186"/>
      <c r="P192" s="186"/>
      <c r="Q192" s="186"/>
    </row>
    <row r="193" spans="13:17" x14ac:dyDescent="0.2">
      <c r="M193" s="186"/>
      <c r="N193" s="186"/>
      <c r="O193" s="186"/>
      <c r="P193" s="186"/>
      <c r="Q193" s="186"/>
    </row>
    <row r="194" spans="13:17" x14ac:dyDescent="0.2">
      <c r="M194" s="186"/>
      <c r="N194" s="186"/>
      <c r="O194" s="186"/>
      <c r="P194" s="186"/>
      <c r="Q194" s="186"/>
    </row>
    <row r="195" spans="13:17" x14ac:dyDescent="0.2">
      <c r="M195" s="186"/>
      <c r="N195" s="186"/>
      <c r="O195" s="186"/>
      <c r="P195" s="186"/>
      <c r="Q195" s="186"/>
    </row>
    <row r="196" spans="13:17" x14ac:dyDescent="0.2">
      <c r="M196" s="186"/>
      <c r="N196" s="186"/>
      <c r="O196" s="186"/>
      <c r="P196" s="186"/>
      <c r="Q196" s="186"/>
    </row>
    <row r="197" spans="13:17" x14ac:dyDescent="0.2">
      <c r="M197" s="186"/>
      <c r="N197" s="186"/>
      <c r="O197" s="186"/>
      <c r="P197" s="186"/>
      <c r="Q197" s="186"/>
    </row>
    <row r="198" spans="13:17" x14ac:dyDescent="0.2">
      <c r="M198" s="186"/>
      <c r="N198" s="186"/>
      <c r="O198" s="186"/>
      <c r="P198" s="186"/>
      <c r="Q198" s="186"/>
    </row>
    <row r="199" spans="13:17" x14ac:dyDescent="0.2">
      <c r="M199" s="186"/>
      <c r="N199" s="186"/>
      <c r="O199" s="186"/>
      <c r="P199" s="186"/>
      <c r="Q199" s="186"/>
    </row>
    <row r="200" spans="13:17" x14ac:dyDescent="0.2">
      <c r="M200" s="186"/>
      <c r="N200" s="186"/>
      <c r="O200" s="186"/>
      <c r="P200" s="186"/>
      <c r="Q200" s="186"/>
    </row>
    <row r="201" spans="13:17" x14ac:dyDescent="0.2">
      <c r="M201" s="186"/>
      <c r="N201" s="186"/>
      <c r="O201" s="186"/>
      <c r="P201" s="186"/>
      <c r="Q201" s="186"/>
    </row>
    <row r="202" spans="13:17" x14ac:dyDescent="0.2">
      <c r="M202" s="186"/>
      <c r="N202" s="186"/>
      <c r="O202" s="186"/>
      <c r="P202" s="186"/>
      <c r="Q202" s="186"/>
    </row>
    <row r="203" spans="13:17" x14ac:dyDescent="0.2">
      <c r="M203" s="186"/>
      <c r="N203" s="186"/>
      <c r="O203" s="186"/>
      <c r="P203" s="186"/>
      <c r="Q203" s="186"/>
    </row>
    <row r="204" spans="13:17" x14ac:dyDescent="0.2">
      <c r="M204" s="186"/>
      <c r="N204" s="186"/>
      <c r="O204" s="186"/>
      <c r="P204" s="186"/>
      <c r="Q204" s="186"/>
    </row>
    <row r="205" spans="13:17" x14ac:dyDescent="0.2">
      <c r="M205" s="186"/>
      <c r="N205" s="186"/>
      <c r="O205" s="186"/>
      <c r="P205" s="186"/>
      <c r="Q205" s="186"/>
    </row>
    <row r="206" spans="13:17" x14ac:dyDescent="0.2">
      <c r="M206" s="186"/>
      <c r="N206" s="186"/>
      <c r="O206" s="186"/>
      <c r="P206" s="186"/>
      <c r="Q206" s="186"/>
    </row>
    <row r="207" spans="13:17" x14ac:dyDescent="0.2">
      <c r="M207" s="186"/>
      <c r="N207" s="186"/>
      <c r="O207" s="186"/>
      <c r="P207" s="186"/>
      <c r="Q207" s="186"/>
    </row>
    <row r="208" spans="13:17" x14ac:dyDescent="0.2">
      <c r="M208" s="186"/>
      <c r="N208" s="186"/>
      <c r="O208" s="186"/>
      <c r="P208" s="186"/>
      <c r="Q208" s="186"/>
    </row>
    <row r="209" spans="13:17" x14ac:dyDescent="0.2">
      <c r="M209" s="186"/>
      <c r="N209" s="186"/>
      <c r="O209" s="186"/>
      <c r="P209" s="186"/>
      <c r="Q209" s="186"/>
    </row>
    <row r="210" spans="13:17" x14ac:dyDescent="0.2">
      <c r="M210" s="186"/>
      <c r="N210" s="186"/>
      <c r="O210" s="186"/>
      <c r="P210" s="186"/>
      <c r="Q210" s="186"/>
    </row>
    <row r="211" spans="13:17" x14ac:dyDescent="0.2">
      <c r="M211" s="186"/>
      <c r="N211" s="186"/>
      <c r="O211" s="186"/>
      <c r="P211" s="186"/>
      <c r="Q211" s="186"/>
    </row>
    <row r="212" spans="13:17" x14ac:dyDescent="0.2">
      <c r="M212" s="186"/>
      <c r="N212" s="186"/>
      <c r="O212" s="186"/>
      <c r="P212" s="186"/>
      <c r="Q212" s="186"/>
    </row>
    <row r="213" spans="13:17" x14ac:dyDescent="0.2">
      <c r="M213" s="186"/>
      <c r="N213" s="186"/>
      <c r="O213" s="186"/>
      <c r="P213" s="186"/>
      <c r="Q213" s="186"/>
    </row>
    <row r="214" spans="13:17" x14ac:dyDescent="0.2">
      <c r="M214" s="186"/>
      <c r="N214" s="186"/>
      <c r="O214" s="186"/>
      <c r="P214" s="186"/>
      <c r="Q214" s="186"/>
    </row>
    <row r="215" spans="13:17" x14ac:dyDescent="0.2">
      <c r="M215" s="186"/>
      <c r="N215" s="186"/>
      <c r="O215" s="186"/>
      <c r="P215" s="186"/>
      <c r="Q215" s="186"/>
    </row>
    <row r="216" spans="13:17" x14ac:dyDescent="0.2">
      <c r="M216" s="186"/>
      <c r="N216" s="186"/>
      <c r="O216" s="186"/>
      <c r="P216" s="186"/>
      <c r="Q216" s="186"/>
    </row>
    <row r="217" spans="13:17" x14ac:dyDescent="0.2">
      <c r="M217" s="186"/>
      <c r="N217" s="186"/>
      <c r="O217" s="186"/>
      <c r="P217" s="186"/>
      <c r="Q217" s="186"/>
    </row>
    <row r="218" spans="13:17" x14ac:dyDescent="0.2">
      <c r="M218" s="186"/>
      <c r="N218" s="186"/>
      <c r="O218" s="186"/>
      <c r="P218" s="186"/>
      <c r="Q218" s="186"/>
    </row>
    <row r="219" spans="13:17" x14ac:dyDescent="0.2">
      <c r="M219" s="186"/>
      <c r="N219" s="186"/>
      <c r="O219" s="186"/>
      <c r="P219" s="186"/>
      <c r="Q219" s="186"/>
    </row>
    <row r="220" spans="13:17" x14ac:dyDescent="0.2">
      <c r="M220" s="186"/>
      <c r="N220" s="186"/>
      <c r="O220" s="186"/>
      <c r="P220" s="186"/>
      <c r="Q220" s="186"/>
    </row>
    <row r="221" spans="13:17" x14ac:dyDescent="0.2">
      <c r="M221" s="186"/>
      <c r="N221" s="186"/>
      <c r="O221" s="186"/>
      <c r="P221" s="186"/>
      <c r="Q221" s="186"/>
    </row>
    <row r="222" spans="13:17" x14ac:dyDescent="0.2">
      <c r="M222" s="186"/>
      <c r="N222" s="186"/>
      <c r="O222" s="186"/>
      <c r="P222" s="186"/>
      <c r="Q222" s="186"/>
    </row>
    <row r="223" spans="13:17" x14ac:dyDescent="0.2">
      <c r="M223" s="186"/>
      <c r="N223" s="186"/>
      <c r="O223" s="186"/>
      <c r="P223" s="186"/>
      <c r="Q223" s="186"/>
    </row>
    <row r="224" spans="13:17" x14ac:dyDescent="0.2">
      <c r="M224" s="186"/>
      <c r="N224" s="186"/>
      <c r="O224" s="186"/>
      <c r="P224" s="186"/>
      <c r="Q224" s="186"/>
    </row>
    <row r="225" spans="13:17" x14ac:dyDescent="0.2">
      <c r="M225" s="186"/>
      <c r="N225" s="186"/>
      <c r="O225" s="186"/>
      <c r="P225" s="186"/>
      <c r="Q225" s="186"/>
    </row>
    <row r="226" spans="13:17" x14ac:dyDescent="0.2">
      <c r="M226" s="186"/>
      <c r="N226" s="186"/>
      <c r="O226" s="186"/>
      <c r="P226" s="186"/>
      <c r="Q226" s="186"/>
    </row>
    <row r="227" spans="13:17" x14ac:dyDescent="0.2">
      <c r="M227" s="186"/>
      <c r="N227" s="186"/>
      <c r="O227" s="186"/>
      <c r="P227" s="186"/>
      <c r="Q227" s="186"/>
    </row>
    <row r="228" spans="13:17" x14ac:dyDescent="0.2">
      <c r="M228" s="186"/>
      <c r="N228" s="186"/>
      <c r="O228" s="186"/>
      <c r="P228" s="186"/>
      <c r="Q228" s="186"/>
    </row>
    <row r="229" spans="13:17" x14ac:dyDescent="0.2">
      <c r="M229" s="186"/>
      <c r="N229" s="186"/>
      <c r="O229" s="186"/>
      <c r="P229" s="186"/>
      <c r="Q229" s="186"/>
    </row>
    <row r="230" spans="13:17" x14ac:dyDescent="0.2">
      <c r="M230" s="186"/>
      <c r="N230" s="186"/>
      <c r="O230" s="186"/>
      <c r="P230" s="186"/>
      <c r="Q230" s="186"/>
    </row>
    <row r="231" spans="13:17" x14ac:dyDescent="0.2">
      <c r="M231" s="186"/>
      <c r="N231" s="186"/>
      <c r="O231" s="186"/>
      <c r="P231" s="186"/>
      <c r="Q231" s="186"/>
    </row>
    <row r="232" spans="13:17" x14ac:dyDescent="0.2">
      <c r="M232" s="186"/>
      <c r="N232" s="186"/>
      <c r="O232" s="186"/>
      <c r="P232" s="186"/>
      <c r="Q232" s="186"/>
    </row>
    <row r="233" spans="13:17" x14ac:dyDescent="0.2">
      <c r="M233" s="186"/>
      <c r="N233" s="186"/>
      <c r="O233" s="186"/>
      <c r="P233" s="186"/>
      <c r="Q233" s="186"/>
    </row>
    <row r="234" spans="13:17" x14ac:dyDescent="0.2">
      <c r="M234" s="186"/>
      <c r="N234" s="186"/>
      <c r="O234" s="186"/>
      <c r="P234" s="186"/>
      <c r="Q234" s="186"/>
    </row>
    <row r="235" spans="13:17" x14ac:dyDescent="0.2">
      <c r="M235" s="186"/>
      <c r="N235" s="186"/>
      <c r="O235" s="186"/>
      <c r="P235" s="186"/>
      <c r="Q235" s="186"/>
    </row>
    <row r="236" spans="13:17" x14ac:dyDescent="0.2">
      <c r="M236" s="186"/>
      <c r="N236" s="186"/>
      <c r="O236" s="186"/>
      <c r="P236" s="186"/>
      <c r="Q236" s="186"/>
    </row>
    <row r="237" spans="13:17" x14ac:dyDescent="0.2">
      <c r="M237" s="186"/>
      <c r="N237" s="186"/>
      <c r="O237" s="186"/>
      <c r="P237" s="186"/>
      <c r="Q237" s="186"/>
    </row>
    <row r="238" spans="13:17" x14ac:dyDescent="0.2">
      <c r="M238" s="186"/>
      <c r="N238" s="186"/>
      <c r="O238" s="186"/>
      <c r="P238" s="186"/>
      <c r="Q238" s="186"/>
    </row>
    <row r="239" spans="13:17" x14ac:dyDescent="0.2">
      <c r="M239" s="186"/>
      <c r="N239" s="186"/>
      <c r="O239" s="186"/>
      <c r="P239" s="186"/>
      <c r="Q239" s="186"/>
    </row>
    <row r="240" spans="13:17" x14ac:dyDescent="0.2">
      <c r="M240" s="186"/>
      <c r="N240" s="186"/>
      <c r="O240" s="186"/>
      <c r="P240" s="186"/>
      <c r="Q240" s="186"/>
    </row>
    <row r="241" spans="13:17" x14ac:dyDescent="0.2">
      <c r="M241" s="186"/>
      <c r="N241" s="186"/>
      <c r="O241" s="186"/>
      <c r="P241" s="186"/>
      <c r="Q241" s="186"/>
    </row>
    <row r="242" spans="13:17" x14ac:dyDescent="0.2">
      <c r="M242" s="186"/>
      <c r="N242" s="186"/>
      <c r="O242" s="186"/>
      <c r="P242" s="186"/>
      <c r="Q242" s="186"/>
    </row>
    <row r="243" spans="13:17" x14ac:dyDescent="0.2">
      <c r="M243" s="186"/>
      <c r="N243" s="186"/>
      <c r="O243" s="186"/>
      <c r="P243" s="186"/>
      <c r="Q243" s="186"/>
    </row>
    <row r="244" spans="13:17" x14ac:dyDescent="0.2">
      <c r="M244" s="186"/>
      <c r="N244" s="186"/>
      <c r="O244" s="186"/>
      <c r="P244" s="186"/>
      <c r="Q244" s="186"/>
    </row>
    <row r="245" spans="13:17" x14ac:dyDescent="0.2">
      <c r="M245" s="186"/>
      <c r="N245" s="186"/>
      <c r="O245" s="186"/>
      <c r="P245" s="186"/>
      <c r="Q245" s="186"/>
    </row>
    <row r="246" spans="13:17" x14ac:dyDescent="0.2">
      <c r="M246" s="186"/>
      <c r="N246" s="186"/>
      <c r="O246" s="186"/>
      <c r="P246" s="186"/>
      <c r="Q246" s="186"/>
    </row>
    <row r="247" spans="13:17" x14ac:dyDescent="0.2">
      <c r="M247" s="186"/>
      <c r="N247" s="186"/>
      <c r="O247" s="186"/>
      <c r="P247" s="186"/>
      <c r="Q247" s="186"/>
    </row>
    <row r="248" spans="13:17" x14ac:dyDescent="0.2">
      <c r="M248" s="186"/>
      <c r="N248" s="186"/>
      <c r="O248" s="186"/>
      <c r="P248" s="186"/>
      <c r="Q248" s="186"/>
    </row>
    <row r="249" spans="13:17" x14ac:dyDescent="0.2">
      <c r="M249" s="186"/>
      <c r="N249" s="186"/>
      <c r="O249" s="186"/>
      <c r="P249" s="186"/>
      <c r="Q249" s="186"/>
    </row>
    <row r="250" spans="13:17" x14ac:dyDescent="0.2">
      <c r="M250" s="186"/>
      <c r="N250" s="186"/>
      <c r="O250" s="186"/>
      <c r="P250" s="186"/>
      <c r="Q250" s="186"/>
    </row>
    <row r="251" spans="13:17" x14ac:dyDescent="0.2">
      <c r="M251" s="186"/>
      <c r="N251" s="186"/>
      <c r="O251" s="186"/>
      <c r="P251" s="186"/>
      <c r="Q251" s="186"/>
    </row>
    <row r="252" spans="13:17" x14ac:dyDescent="0.2">
      <c r="M252" s="186"/>
      <c r="N252" s="186"/>
      <c r="O252" s="186"/>
      <c r="P252" s="186"/>
      <c r="Q252" s="186"/>
    </row>
    <row r="253" spans="13:17" x14ac:dyDescent="0.2">
      <c r="M253" s="186"/>
      <c r="N253" s="186"/>
      <c r="O253" s="186"/>
      <c r="P253" s="186"/>
      <c r="Q253" s="186"/>
    </row>
    <row r="254" spans="13:17" x14ac:dyDescent="0.2">
      <c r="M254" s="186"/>
      <c r="N254" s="186"/>
      <c r="O254" s="186"/>
      <c r="P254" s="186"/>
      <c r="Q254" s="186"/>
    </row>
    <row r="255" spans="13:17" x14ac:dyDescent="0.2">
      <c r="M255" s="186"/>
      <c r="N255" s="186"/>
      <c r="O255" s="186"/>
      <c r="P255" s="186"/>
      <c r="Q255" s="186"/>
    </row>
    <row r="256" spans="13:17" x14ac:dyDescent="0.2">
      <c r="M256" s="186"/>
      <c r="N256" s="186"/>
      <c r="O256" s="186"/>
      <c r="P256" s="186"/>
      <c r="Q256" s="186"/>
    </row>
    <row r="257" spans="13:17" x14ac:dyDescent="0.2">
      <c r="M257" s="186"/>
      <c r="N257" s="186"/>
      <c r="O257" s="186"/>
      <c r="P257" s="186"/>
      <c r="Q257" s="186"/>
    </row>
    <row r="258" spans="13:17" x14ac:dyDescent="0.2">
      <c r="M258" s="186"/>
      <c r="N258" s="186"/>
      <c r="O258" s="186"/>
      <c r="P258" s="186"/>
      <c r="Q258" s="186"/>
    </row>
    <row r="259" spans="13:17" x14ac:dyDescent="0.2">
      <c r="M259" s="186"/>
      <c r="N259" s="186"/>
      <c r="O259" s="186"/>
      <c r="P259" s="186"/>
      <c r="Q259" s="186"/>
    </row>
    <row r="260" spans="13:17" x14ac:dyDescent="0.2">
      <c r="M260" s="186"/>
      <c r="N260" s="186"/>
      <c r="O260" s="186"/>
      <c r="P260" s="186"/>
      <c r="Q260" s="186"/>
    </row>
    <row r="261" spans="13:17" x14ac:dyDescent="0.2">
      <c r="M261" s="186"/>
      <c r="N261" s="186"/>
      <c r="O261" s="186"/>
      <c r="P261" s="186"/>
      <c r="Q261" s="186"/>
    </row>
    <row r="262" spans="13:17" x14ac:dyDescent="0.2">
      <c r="M262" s="186"/>
      <c r="N262" s="186"/>
      <c r="O262" s="186"/>
      <c r="P262" s="186"/>
      <c r="Q262" s="186"/>
    </row>
    <row r="263" spans="13:17" x14ac:dyDescent="0.2">
      <c r="M263" s="186"/>
      <c r="N263" s="186"/>
      <c r="O263" s="186"/>
      <c r="P263" s="186"/>
      <c r="Q263" s="186"/>
    </row>
    <row r="264" spans="13:17" x14ac:dyDescent="0.2">
      <c r="M264" s="186"/>
      <c r="N264" s="186"/>
      <c r="O264" s="186"/>
      <c r="P264" s="186"/>
      <c r="Q264" s="186"/>
    </row>
    <row r="265" spans="13:17" x14ac:dyDescent="0.2">
      <c r="M265" s="186"/>
      <c r="N265" s="186"/>
      <c r="O265" s="186"/>
      <c r="P265" s="186"/>
      <c r="Q265" s="186"/>
    </row>
    <row r="266" spans="13:17" x14ac:dyDescent="0.2">
      <c r="M266" s="186"/>
      <c r="N266" s="186"/>
      <c r="O266" s="186"/>
      <c r="P266" s="186"/>
      <c r="Q266" s="186"/>
    </row>
    <row r="267" spans="13:17" x14ac:dyDescent="0.2">
      <c r="M267" s="186"/>
      <c r="N267" s="186"/>
      <c r="O267" s="186"/>
      <c r="P267" s="186"/>
      <c r="Q267" s="186"/>
    </row>
    <row r="268" spans="13:17" x14ac:dyDescent="0.2">
      <c r="M268" s="186"/>
      <c r="N268" s="186"/>
      <c r="O268" s="186"/>
      <c r="P268" s="186"/>
      <c r="Q268" s="186"/>
    </row>
    <row r="269" spans="13:17" x14ac:dyDescent="0.2">
      <c r="M269" s="186"/>
      <c r="N269" s="186"/>
      <c r="O269" s="186"/>
      <c r="P269" s="186"/>
      <c r="Q269" s="186"/>
    </row>
    <row r="270" spans="13:17" x14ac:dyDescent="0.2">
      <c r="M270" s="186"/>
      <c r="N270" s="186"/>
      <c r="O270" s="186"/>
      <c r="P270" s="186"/>
      <c r="Q270" s="186"/>
    </row>
    <row r="271" spans="13:17" x14ac:dyDescent="0.2">
      <c r="M271" s="186"/>
      <c r="N271" s="186"/>
      <c r="O271" s="186"/>
      <c r="P271" s="186"/>
      <c r="Q271" s="186"/>
    </row>
    <row r="272" spans="13:17" x14ac:dyDescent="0.2">
      <c r="M272" s="186"/>
      <c r="N272" s="186"/>
      <c r="O272" s="186"/>
      <c r="P272" s="186"/>
      <c r="Q272" s="186"/>
    </row>
    <row r="273" spans="13:17" x14ac:dyDescent="0.2">
      <c r="M273" s="186"/>
      <c r="N273" s="186"/>
      <c r="O273" s="186"/>
      <c r="P273" s="186"/>
      <c r="Q273" s="186"/>
    </row>
    <row r="274" spans="13:17" x14ac:dyDescent="0.2">
      <c r="M274" s="186"/>
      <c r="N274" s="186"/>
      <c r="O274" s="186"/>
      <c r="P274" s="186"/>
      <c r="Q274" s="186"/>
    </row>
    <row r="275" spans="13:17" x14ac:dyDescent="0.2">
      <c r="M275" s="186"/>
      <c r="N275" s="186"/>
      <c r="O275" s="186"/>
      <c r="P275" s="186"/>
      <c r="Q275" s="186"/>
    </row>
    <row r="276" spans="13:17" x14ac:dyDescent="0.2">
      <c r="M276" s="186"/>
      <c r="N276" s="186"/>
      <c r="O276" s="186"/>
      <c r="P276" s="186"/>
      <c r="Q276" s="186"/>
    </row>
    <row r="277" spans="13:17" x14ac:dyDescent="0.2">
      <c r="M277" s="186"/>
      <c r="N277" s="186"/>
      <c r="O277" s="186"/>
      <c r="P277" s="186"/>
      <c r="Q277" s="186"/>
    </row>
    <row r="278" spans="13:17" x14ac:dyDescent="0.2">
      <c r="M278" s="186"/>
      <c r="N278" s="186"/>
      <c r="O278" s="186"/>
      <c r="P278" s="186"/>
      <c r="Q278" s="186"/>
    </row>
    <row r="279" spans="13:17" x14ac:dyDescent="0.2">
      <c r="M279" s="186"/>
      <c r="N279" s="186"/>
      <c r="O279" s="186"/>
      <c r="P279" s="186"/>
      <c r="Q279" s="186"/>
    </row>
    <row r="280" spans="13:17" x14ac:dyDescent="0.2">
      <c r="M280" s="186"/>
      <c r="N280" s="186"/>
      <c r="O280" s="186"/>
      <c r="P280" s="186"/>
      <c r="Q280" s="186"/>
    </row>
    <row r="281" spans="13:17" x14ac:dyDescent="0.2">
      <c r="M281" s="186"/>
      <c r="N281" s="186"/>
      <c r="O281" s="186"/>
      <c r="P281" s="186"/>
      <c r="Q281" s="186"/>
    </row>
    <row r="282" spans="13:17" x14ac:dyDescent="0.2">
      <c r="M282" s="186"/>
      <c r="N282" s="186"/>
      <c r="O282" s="186"/>
      <c r="P282" s="186"/>
      <c r="Q282" s="186"/>
    </row>
    <row r="283" spans="13:17" x14ac:dyDescent="0.2">
      <c r="M283" s="186"/>
      <c r="N283" s="186"/>
      <c r="O283" s="186"/>
      <c r="P283" s="186"/>
      <c r="Q283" s="186"/>
    </row>
    <row r="284" spans="13:17" x14ac:dyDescent="0.2">
      <c r="M284" s="186"/>
      <c r="N284" s="186"/>
      <c r="O284" s="186"/>
      <c r="P284" s="186"/>
      <c r="Q284" s="186"/>
    </row>
    <row r="285" spans="13:17" x14ac:dyDescent="0.2">
      <c r="M285" s="186"/>
      <c r="N285" s="186"/>
      <c r="O285" s="186"/>
      <c r="P285" s="186"/>
      <c r="Q285" s="186"/>
    </row>
    <row r="286" spans="13:17" x14ac:dyDescent="0.2">
      <c r="M286" s="186"/>
      <c r="N286" s="186"/>
      <c r="O286" s="186"/>
      <c r="P286" s="186"/>
      <c r="Q286" s="186"/>
    </row>
    <row r="287" spans="13:17" x14ac:dyDescent="0.2">
      <c r="M287" s="186"/>
      <c r="N287" s="186"/>
      <c r="O287" s="186"/>
      <c r="P287" s="186"/>
      <c r="Q287" s="186"/>
    </row>
    <row r="288" spans="13:17" x14ac:dyDescent="0.2">
      <c r="M288" s="186"/>
      <c r="N288" s="186"/>
      <c r="O288" s="186"/>
      <c r="P288" s="186"/>
      <c r="Q288" s="186"/>
    </row>
    <row r="289" spans="13:17" x14ac:dyDescent="0.2">
      <c r="M289" s="186"/>
      <c r="N289" s="186"/>
      <c r="O289" s="186"/>
      <c r="P289" s="186"/>
      <c r="Q289" s="186"/>
    </row>
    <row r="290" spans="13:17" x14ac:dyDescent="0.2">
      <c r="M290" s="186"/>
      <c r="N290" s="186"/>
      <c r="O290" s="186"/>
      <c r="P290" s="186"/>
      <c r="Q290" s="186"/>
    </row>
    <row r="291" spans="13:17" x14ac:dyDescent="0.2">
      <c r="M291" s="186"/>
      <c r="N291" s="186"/>
      <c r="O291" s="186"/>
      <c r="P291" s="186"/>
      <c r="Q291" s="186"/>
    </row>
    <row r="292" spans="13:17" x14ac:dyDescent="0.2">
      <c r="M292" s="186"/>
      <c r="N292" s="186"/>
      <c r="O292" s="186"/>
      <c r="P292" s="186"/>
      <c r="Q292" s="186"/>
    </row>
    <row r="293" spans="13:17" x14ac:dyDescent="0.2">
      <c r="M293" s="186"/>
      <c r="N293" s="186"/>
      <c r="O293" s="186"/>
      <c r="P293" s="186"/>
      <c r="Q293" s="186"/>
    </row>
    <row r="294" spans="13:17" x14ac:dyDescent="0.2">
      <c r="M294" s="186"/>
      <c r="N294" s="186"/>
      <c r="O294" s="186"/>
      <c r="P294" s="186"/>
      <c r="Q294" s="186"/>
    </row>
    <row r="295" spans="13:17" x14ac:dyDescent="0.2">
      <c r="M295" s="186"/>
      <c r="N295" s="186"/>
      <c r="O295" s="186"/>
      <c r="P295" s="186"/>
      <c r="Q295" s="186"/>
    </row>
    <row r="296" spans="13:17" x14ac:dyDescent="0.2">
      <c r="M296" s="186"/>
      <c r="N296" s="186"/>
      <c r="O296" s="186"/>
      <c r="P296" s="186"/>
      <c r="Q296" s="186"/>
    </row>
    <row r="297" spans="13:17" x14ac:dyDescent="0.2">
      <c r="M297" s="186"/>
      <c r="N297" s="186"/>
      <c r="O297" s="186"/>
      <c r="P297" s="186"/>
      <c r="Q297" s="186"/>
    </row>
    <row r="298" spans="13:17" x14ac:dyDescent="0.2">
      <c r="M298" s="186"/>
      <c r="N298" s="186"/>
      <c r="O298" s="186"/>
      <c r="P298" s="186"/>
      <c r="Q298" s="186"/>
    </row>
    <row r="299" spans="13:17" x14ac:dyDescent="0.2">
      <c r="M299" s="186"/>
      <c r="N299" s="186"/>
      <c r="O299" s="186"/>
      <c r="P299" s="186"/>
      <c r="Q299" s="186"/>
    </row>
    <row r="300" spans="13:17" x14ac:dyDescent="0.2">
      <c r="M300" s="186"/>
      <c r="N300" s="186"/>
      <c r="O300" s="186"/>
      <c r="P300" s="186"/>
      <c r="Q300" s="186"/>
    </row>
    <row r="301" spans="13:17" x14ac:dyDescent="0.2">
      <c r="M301" s="186"/>
      <c r="N301" s="186"/>
      <c r="O301" s="186"/>
      <c r="P301" s="186"/>
      <c r="Q301" s="186"/>
    </row>
    <row r="302" spans="13:17" x14ac:dyDescent="0.2">
      <c r="M302" s="186"/>
      <c r="N302" s="186"/>
      <c r="O302" s="186"/>
      <c r="P302" s="186"/>
      <c r="Q302" s="186"/>
    </row>
    <row r="303" spans="13:17" x14ac:dyDescent="0.2">
      <c r="M303" s="186"/>
      <c r="N303" s="186"/>
      <c r="O303" s="186"/>
      <c r="P303" s="186"/>
      <c r="Q303" s="186"/>
    </row>
    <row r="304" spans="13:17" x14ac:dyDescent="0.2">
      <c r="M304" s="186"/>
      <c r="N304" s="186"/>
      <c r="O304" s="186"/>
      <c r="P304" s="186"/>
      <c r="Q304" s="186"/>
    </row>
    <row r="305" spans="13:17" x14ac:dyDescent="0.2">
      <c r="M305" s="186"/>
      <c r="N305" s="186"/>
      <c r="O305" s="186"/>
      <c r="P305" s="186"/>
      <c r="Q305" s="186"/>
    </row>
    <row r="306" spans="13:17" x14ac:dyDescent="0.2">
      <c r="M306" s="186"/>
      <c r="N306" s="186"/>
      <c r="O306" s="186"/>
      <c r="P306" s="186"/>
      <c r="Q306" s="186"/>
    </row>
    <row r="307" spans="13:17" x14ac:dyDescent="0.2">
      <c r="M307" s="186"/>
      <c r="N307" s="186"/>
      <c r="O307" s="186"/>
      <c r="P307" s="186"/>
      <c r="Q307" s="186"/>
    </row>
    <row r="308" spans="13:17" x14ac:dyDescent="0.2">
      <c r="M308" s="186"/>
      <c r="N308" s="186"/>
      <c r="O308" s="186"/>
      <c r="P308" s="186"/>
      <c r="Q308" s="186"/>
    </row>
    <row r="309" spans="13:17" x14ac:dyDescent="0.2">
      <c r="M309" s="186"/>
      <c r="N309" s="186"/>
      <c r="O309" s="186"/>
      <c r="P309" s="186"/>
      <c r="Q309" s="186"/>
    </row>
    <row r="310" spans="13:17" x14ac:dyDescent="0.2">
      <c r="M310" s="186"/>
      <c r="N310" s="186"/>
      <c r="O310" s="186"/>
      <c r="P310" s="186"/>
      <c r="Q310" s="186"/>
    </row>
    <row r="311" spans="13:17" x14ac:dyDescent="0.2">
      <c r="M311" s="186"/>
      <c r="N311" s="186"/>
      <c r="O311" s="186"/>
      <c r="P311" s="186"/>
      <c r="Q311" s="186"/>
    </row>
    <row r="312" spans="13:17" x14ac:dyDescent="0.2">
      <c r="M312" s="186"/>
      <c r="N312" s="186"/>
      <c r="O312" s="186"/>
      <c r="P312" s="186"/>
      <c r="Q312" s="186"/>
    </row>
    <row r="313" spans="13:17" x14ac:dyDescent="0.2">
      <c r="M313" s="186"/>
      <c r="N313" s="186"/>
      <c r="O313" s="186"/>
      <c r="P313" s="186"/>
      <c r="Q313" s="186"/>
    </row>
    <row r="314" spans="13:17" x14ac:dyDescent="0.2">
      <c r="M314" s="186"/>
      <c r="N314" s="186"/>
      <c r="O314" s="186"/>
      <c r="P314" s="186"/>
      <c r="Q314" s="186"/>
    </row>
    <row r="315" spans="13:17" x14ac:dyDescent="0.2">
      <c r="M315" s="186"/>
      <c r="N315" s="186"/>
      <c r="O315" s="186"/>
      <c r="P315" s="186"/>
      <c r="Q315" s="186"/>
    </row>
    <row r="316" spans="13:17" x14ac:dyDescent="0.2">
      <c r="M316" s="186"/>
      <c r="N316" s="186"/>
      <c r="O316" s="186"/>
      <c r="P316" s="186"/>
      <c r="Q316" s="186"/>
    </row>
    <row r="317" spans="13:17" x14ac:dyDescent="0.2">
      <c r="M317" s="186"/>
      <c r="N317" s="186"/>
      <c r="O317" s="186"/>
      <c r="P317" s="186"/>
      <c r="Q317" s="186"/>
    </row>
    <row r="318" spans="13:17" x14ac:dyDescent="0.2">
      <c r="M318" s="186"/>
      <c r="N318" s="186"/>
      <c r="O318" s="186"/>
      <c r="P318" s="186"/>
      <c r="Q318" s="186"/>
    </row>
    <row r="319" spans="13:17" x14ac:dyDescent="0.2">
      <c r="M319" s="186"/>
      <c r="N319" s="186"/>
      <c r="O319" s="186"/>
      <c r="P319" s="186"/>
      <c r="Q319" s="186"/>
    </row>
    <row r="320" spans="13:17" x14ac:dyDescent="0.2">
      <c r="M320" s="186"/>
      <c r="N320" s="186"/>
      <c r="O320" s="186"/>
      <c r="P320" s="186"/>
      <c r="Q320" s="186"/>
    </row>
    <row r="321" spans="13:17" x14ac:dyDescent="0.2">
      <c r="M321" s="186"/>
      <c r="N321" s="186"/>
      <c r="O321" s="186"/>
      <c r="P321" s="186"/>
      <c r="Q321" s="186"/>
    </row>
    <row r="322" spans="13:17" x14ac:dyDescent="0.2">
      <c r="M322" s="186"/>
      <c r="N322" s="186"/>
      <c r="O322" s="186"/>
      <c r="P322" s="186"/>
      <c r="Q322" s="186"/>
    </row>
    <row r="323" spans="13:17" x14ac:dyDescent="0.2">
      <c r="M323" s="186"/>
      <c r="N323" s="186"/>
      <c r="O323" s="186"/>
      <c r="P323" s="186"/>
      <c r="Q323" s="186"/>
    </row>
    <row r="324" spans="13:17" x14ac:dyDescent="0.2">
      <c r="M324" s="186"/>
      <c r="N324" s="186"/>
      <c r="O324" s="186"/>
      <c r="P324" s="186"/>
      <c r="Q324" s="186"/>
    </row>
    <row r="325" spans="13:17" x14ac:dyDescent="0.2">
      <c r="M325" s="186"/>
      <c r="N325" s="186"/>
      <c r="O325" s="186"/>
      <c r="P325" s="186"/>
      <c r="Q325" s="186"/>
    </row>
    <row r="326" spans="13:17" x14ac:dyDescent="0.2">
      <c r="M326" s="186"/>
      <c r="N326" s="186"/>
      <c r="O326" s="186"/>
      <c r="P326" s="186"/>
      <c r="Q326" s="186"/>
    </row>
    <row r="327" spans="13:17" x14ac:dyDescent="0.2">
      <c r="M327" s="186"/>
      <c r="N327" s="186"/>
      <c r="O327" s="186"/>
      <c r="P327" s="186"/>
      <c r="Q327" s="186"/>
    </row>
    <row r="328" spans="13:17" x14ac:dyDescent="0.2">
      <c r="M328" s="186"/>
      <c r="N328" s="186"/>
      <c r="O328" s="186"/>
      <c r="P328" s="186"/>
      <c r="Q328" s="186"/>
    </row>
    <row r="329" spans="13:17" x14ac:dyDescent="0.2">
      <c r="M329" s="186"/>
      <c r="N329" s="186"/>
      <c r="O329" s="186"/>
      <c r="P329" s="186"/>
      <c r="Q329" s="186"/>
    </row>
    <row r="330" spans="13:17" x14ac:dyDescent="0.2">
      <c r="M330" s="186"/>
      <c r="N330" s="186"/>
      <c r="O330" s="186"/>
      <c r="P330" s="186"/>
      <c r="Q330" s="186"/>
    </row>
    <row r="331" spans="13:17" x14ac:dyDescent="0.2">
      <c r="M331" s="186"/>
      <c r="N331" s="186"/>
      <c r="O331" s="186"/>
      <c r="P331" s="186"/>
      <c r="Q331" s="186"/>
    </row>
    <row r="332" spans="13:17" x14ac:dyDescent="0.2">
      <c r="M332" s="186"/>
      <c r="N332" s="186"/>
      <c r="O332" s="186"/>
      <c r="P332" s="186"/>
      <c r="Q332" s="186"/>
    </row>
    <row r="333" spans="13:17" x14ac:dyDescent="0.2">
      <c r="M333" s="186"/>
      <c r="N333" s="186"/>
      <c r="O333" s="186"/>
      <c r="P333" s="186"/>
      <c r="Q333" s="186"/>
    </row>
    <row r="334" spans="13:17" x14ac:dyDescent="0.2">
      <c r="M334" s="186"/>
      <c r="N334" s="186"/>
      <c r="O334" s="186"/>
      <c r="P334" s="186"/>
      <c r="Q334" s="186"/>
    </row>
    <row r="335" spans="13:17" x14ac:dyDescent="0.2">
      <c r="M335" s="186"/>
      <c r="N335" s="186"/>
      <c r="O335" s="186"/>
      <c r="P335" s="186"/>
      <c r="Q335" s="186"/>
    </row>
    <row r="336" spans="13:17" x14ac:dyDescent="0.2">
      <c r="M336" s="186"/>
      <c r="N336" s="186"/>
      <c r="O336" s="186"/>
      <c r="P336" s="186"/>
      <c r="Q336" s="186"/>
    </row>
    <row r="337" spans="13:17" x14ac:dyDescent="0.2">
      <c r="M337" s="186"/>
      <c r="N337" s="186"/>
      <c r="O337" s="186"/>
      <c r="P337" s="186"/>
      <c r="Q337" s="186"/>
    </row>
    <row r="338" spans="13:17" x14ac:dyDescent="0.2">
      <c r="M338" s="186"/>
      <c r="N338" s="186"/>
      <c r="O338" s="186"/>
      <c r="P338" s="186"/>
      <c r="Q338" s="186"/>
    </row>
    <row r="339" spans="13:17" x14ac:dyDescent="0.2">
      <c r="M339" s="186"/>
      <c r="N339" s="186"/>
      <c r="O339" s="186"/>
      <c r="P339" s="186"/>
      <c r="Q339" s="186"/>
    </row>
    <row r="340" spans="13:17" x14ac:dyDescent="0.2">
      <c r="M340" s="186"/>
      <c r="N340" s="186"/>
      <c r="O340" s="186"/>
      <c r="P340" s="186"/>
      <c r="Q340" s="186"/>
    </row>
    <row r="341" spans="13:17" x14ac:dyDescent="0.2">
      <c r="M341" s="186"/>
      <c r="N341" s="186"/>
      <c r="O341" s="186"/>
      <c r="P341" s="186"/>
      <c r="Q341" s="186"/>
    </row>
    <row r="342" spans="13:17" x14ac:dyDescent="0.2">
      <c r="M342" s="186"/>
      <c r="N342" s="186"/>
      <c r="O342" s="186"/>
      <c r="P342" s="186"/>
      <c r="Q342" s="186"/>
    </row>
    <row r="343" spans="13:17" x14ac:dyDescent="0.2">
      <c r="M343" s="186"/>
      <c r="N343" s="186"/>
      <c r="O343" s="186"/>
      <c r="P343" s="186"/>
      <c r="Q343" s="186"/>
    </row>
    <row r="344" spans="13:17" x14ac:dyDescent="0.2">
      <c r="M344" s="186"/>
      <c r="N344" s="186"/>
      <c r="O344" s="186"/>
      <c r="P344" s="186"/>
      <c r="Q344" s="186"/>
    </row>
    <row r="345" spans="13:17" x14ac:dyDescent="0.2">
      <c r="M345" s="186"/>
      <c r="N345" s="186"/>
      <c r="O345" s="186"/>
      <c r="P345" s="186"/>
      <c r="Q345" s="186"/>
    </row>
    <row r="346" spans="13:17" x14ac:dyDescent="0.2">
      <c r="M346" s="186"/>
      <c r="N346" s="186"/>
      <c r="O346" s="186"/>
      <c r="P346" s="186"/>
      <c r="Q346" s="186"/>
    </row>
    <row r="347" spans="13:17" x14ac:dyDescent="0.2">
      <c r="M347" s="186"/>
      <c r="N347" s="186"/>
      <c r="O347" s="186"/>
      <c r="P347" s="186"/>
      <c r="Q347" s="186"/>
    </row>
    <row r="348" spans="13:17" x14ac:dyDescent="0.2">
      <c r="M348" s="186"/>
      <c r="N348" s="186"/>
      <c r="O348" s="186"/>
      <c r="P348" s="186"/>
      <c r="Q348" s="186"/>
    </row>
    <row r="349" spans="13:17" x14ac:dyDescent="0.2">
      <c r="M349" s="186"/>
      <c r="N349" s="186"/>
      <c r="O349" s="186"/>
      <c r="P349" s="186"/>
      <c r="Q349" s="186"/>
    </row>
    <row r="350" spans="13:17" x14ac:dyDescent="0.2">
      <c r="M350" s="186"/>
      <c r="N350" s="186"/>
      <c r="O350" s="186"/>
      <c r="P350" s="186"/>
      <c r="Q350" s="186"/>
    </row>
    <row r="351" spans="13:17" x14ac:dyDescent="0.2">
      <c r="M351" s="186"/>
      <c r="N351" s="186"/>
      <c r="O351" s="186"/>
      <c r="P351" s="186"/>
      <c r="Q351" s="186"/>
    </row>
    <row r="352" spans="13:17" x14ac:dyDescent="0.2">
      <c r="M352" s="186"/>
      <c r="N352" s="186"/>
      <c r="O352" s="186"/>
      <c r="P352" s="186"/>
      <c r="Q352" s="186"/>
    </row>
    <row r="353" spans="13:17" x14ac:dyDescent="0.2">
      <c r="M353" s="186"/>
      <c r="N353" s="186"/>
      <c r="O353" s="186"/>
      <c r="P353" s="186"/>
      <c r="Q353" s="186"/>
    </row>
    <row r="354" spans="13:17" x14ac:dyDescent="0.2">
      <c r="M354" s="186"/>
      <c r="N354" s="186"/>
      <c r="O354" s="186"/>
      <c r="P354" s="186"/>
      <c r="Q354" s="186"/>
    </row>
    <row r="355" spans="13:17" x14ac:dyDescent="0.2">
      <c r="M355" s="186"/>
      <c r="N355" s="186"/>
      <c r="O355" s="186"/>
      <c r="P355" s="186"/>
      <c r="Q355" s="186"/>
    </row>
    <row r="356" spans="13:17" x14ac:dyDescent="0.2">
      <c r="M356" s="186"/>
      <c r="N356" s="186"/>
      <c r="O356" s="186"/>
      <c r="P356" s="186"/>
      <c r="Q356" s="186"/>
    </row>
    <row r="357" spans="13:17" x14ac:dyDescent="0.2">
      <c r="M357" s="186"/>
      <c r="N357" s="186"/>
      <c r="O357" s="186"/>
      <c r="P357" s="186"/>
      <c r="Q357" s="186"/>
    </row>
    <row r="358" spans="13:17" x14ac:dyDescent="0.2">
      <c r="M358" s="186"/>
      <c r="N358" s="186"/>
      <c r="O358" s="186"/>
      <c r="P358" s="186"/>
      <c r="Q358" s="186"/>
    </row>
    <row r="359" spans="13:17" x14ac:dyDescent="0.2">
      <c r="M359" s="186"/>
      <c r="N359" s="186"/>
      <c r="O359" s="186"/>
      <c r="P359" s="186"/>
      <c r="Q359" s="186"/>
    </row>
    <row r="360" spans="13:17" x14ac:dyDescent="0.2">
      <c r="M360" s="186"/>
      <c r="N360" s="186"/>
      <c r="O360" s="186"/>
      <c r="P360" s="186"/>
      <c r="Q360" s="186"/>
    </row>
    <row r="361" spans="13:17" x14ac:dyDescent="0.2">
      <c r="M361" s="186"/>
      <c r="N361" s="186"/>
      <c r="O361" s="186"/>
      <c r="P361" s="186"/>
      <c r="Q361" s="186"/>
    </row>
    <row r="362" spans="13:17" x14ac:dyDescent="0.2">
      <c r="M362" s="186"/>
      <c r="N362" s="186"/>
      <c r="O362" s="186"/>
      <c r="P362" s="186"/>
      <c r="Q362" s="186"/>
    </row>
    <row r="363" spans="13:17" x14ac:dyDescent="0.2">
      <c r="M363" s="186"/>
      <c r="N363" s="186"/>
      <c r="O363" s="186"/>
      <c r="P363" s="186"/>
      <c r="Q363" s="186"/>
    </row>
    <row r="364" spans="13:17" x14ac:dyDescent="0.2">
      <c r="M364" s="186"/>
      <c r="N364" s="186"/>
      <c r="O364" s="186"/>
      <c r="P364" s="186"/>
      <c r="Q364" s="186"/>
    </row>
    <row r="365" spans="13:17" x14ac:dyDescent="0.2">
      <c r="M365" s="186"/>
      <c r="N365" s="186"/>
      <c r="O365" s="186"/>
      <c r="P365" s="186"/>
      <c r="Q365" s="186"/>
    </row>
    <row r="366" spans="13:17" x14ac:dyDescent="0.2">
      <c r="M366" s="186"/>
      <c r="N366" s="186"/>
      <c r="O366" s="186"/>
      <c r="P366" s="186"/>
      <c r="Q366" s="186"/>
    </row>
    <row r="367" spans="13:17" x14ac:dyDescent="0.2">
      <c r="M367" s="186"/>
      <c r="N367" s="186"/>
      <c r="O367" s="186"/>
      <c r="P367" s="186"/>
      <c r="Q367" s="186"/>
    </row>
    <row r="368" spans="13:17" x14ac:dyDescent="0.2">
      <c r="M368" s="186"/>
      <c r="N368" s="186"/>
      <c r="O368" s="186"/>
      <c r="P368" s="186"/>
      <c r="Q368" s="186"/>
    </row>
    <row r="369" spans="13:17" x14ac:dyDescent="0.2">
      <c r="M369" s="186"/>
      <c r="N369" s="186"/>
      <c r="O369" s="186"/>
      <c r="P369" s="186"/>
      <c r="Q369" s="186"/>
    </row>
    <row r="370" spans="13:17" x14ac:dyDescent="0.2">
      <c r="M370" s="186"/>
      <c r="N370" s="186"/>
      <c r="O370" s="186"/>
      <c r="P370" s="186"/>
      <c r="Q370" s="186"/>
    </row>
    <row r="371" spans="13:17" x14ac:dyDescent="0.2">
      <c r="M371" s="186"/>
      <c r="N371" s="186"/>
      <c r="O371" s="186"/>
      <c r="P371" s="186"/>
      <c r="Q371" s="186"/>
    </row>
    <row r="372" spans="13:17" x14ac:dyDescent="0.2">
      <c r="M372" s="186"/>
      <c r="N372" s="186"/>
      <c r="O372" s="186"/>
      <c r="P372" s="186"/>
      <c r="Q372" s="186"/>
    </row>
    <row r="373" spans="13:17" x14ac:dyDescent="0.2">
      <c r="M373" s="186"/>
      <c r="N373" s="186"/>
      <c r="O373" s="186"/>
      <c r="P373" s="186"/>
      <c r="Q373" s="186"/>
    </row>
    <row r="374" spans="13:17" x14ac:dyDescent="0.2">
      <c r="M374" s="186"/>
      <c r="N374" s="186"/>
      <c r="O374" s="186"/>
      <c r="P374" s="186"/>
      <c r="Q374" s="186"/>
    </row>
    <row r="375" spans="13:17" x14ac:dyDescent="0.2">
      <c r="M375" s="186"/>
      <c r="N375" s="186"/>
      <c r="O375" s="186"/>
      <c r="P375" s="186"/>
      <c r="Q375" s="186"/>
    </row>
    <row r="376" spans="13:17" x14ac:dyDescent="0.2">
      <c r="M376" s="186"/>
      <c r="N376" s="186"/>
      <c r="O376" s="186"/>
      <c r="P376" s="186"/>
      <c r="Q376" s="186"/>
    </row>
    <row r="377" spans="13:17" x14ac:dyDescent="0.2">
      <c r="M377" s="186"/>
      <c r="N377" s="186"/>
      <c r="O377" s="186"/>
      <c r="P377" s="186"/>
      <c r="Q377" s="186"/>
    </row>
    <row r="378" spans="13:17" x14ac:dyDescent="0.2">
      <c r="M378" s="186"/>
      <c r="N378" s="186"/>
      <c r="O378" s="186"/>
      <c r="P378" s="186"/>
      <c r="Q378" s="186"/>
    </row>
    <row r="379" spans="13:17" x14ac:dyDescent="0.2">
      <c r="M379" s="186"/>
      <c r="N379" s="186"/>
      <c r="O379" s="186"/>
      <c r="P379" s="186"/>
      <c r="Q379" s="186"/>
    </row>
    <row r="380" spans="13:17" x14ac:dyDescent="0.2">
      <c r="M380" s="186"/>
      <c r="N380" s="186"/>
      <c r="O380" s="186"/>
      <c r="P380" s="186"/>
      <c r="Q380" s="186"/>
    </row>
    <row r="381" spans="13:17" x14ac:dyDescent="0.2">
      <c r="M381" s="186"/>
      <c r="N381" s="186"/>
      <c r="O381" s="186"/>
      <c r="P381" s="186"/>
      <c r="Q381" s="186"/>
    </row>
    <row r="382" spans="13:17" x14ac:dyDescent="0.2">
      <c r="M382" s="186"/>
      <c r="N382" s="186"/>
      <c r="O382" s="186"/>
      <c r="P382" s="186"/>
      <c r="Q382" s="186"/>
    </row>
    <row r="383" spans="13:17" x14ac:dyDescent="0.2">
      <c r="M383" s="186"/>
      <c r="N383" s="186"/>
      <c r="O383" s="186"/>
      <c r="P383" s="186"/>
      <c r="Q383" s="186"/>
    </row>
    <row r="384" spans="13:17" x14ac:dyDescent="0.2">
      <c r="M384" s="186"/>
      <c r="N384" s="186"/>
      <c r="O384" s="186"/>
      <c r="P384" s="186"/>
      <c r="Q384" s="186"/>
    </row>
    <row r="385" spans="13:17" x14ac:dyDescent="0.2">
      <c r="M385" s="186"/>
      <c r="N385" s="186"/>
      <c r="O385" s="186"/>
      <c r="P385" s="186"/>
      <c r="Q385" s="186"/>
    </row>
    <row r="386" spans="13:17" x14ac:dyDescent="0.2">
      <c r="M386" s="186"/>
      <c r="N386" s="186"/>
      <c r="O386" s="186"/>
      <c r="P386" s="186"/>
      <c r="Q386" s="186"/>
    </row>
    <row r="387" spans="13:17" x14ac:dyDescent="0.2">
      <c r="M387" s="186"/>
      <c r="N387" s="186"/>
      <c r="O387" s="186"/>
      <c r="P387" s="186"/>
      <c r="Q387" s="186"/>
    </row>
    <row r="388" spans="13:17" x14ac:dyDescent="0.2">
      <c r="M388" s="186"/>
      <c r="N388" s="186"/>
      <c r="O388" s="186"/>
      <c r="P388" s="186"/>
      <c r="Q388" s="186"/>
    </row>
    <row r="389" spans="13:17" x14ac:dyDescent="0.2">
      <c r="M389" s="186"/>
      <c r="N389" s="186"/>
      <c r="O389" s="186"/>
      <c r="P389" s="186"/>
      <c r="Q389" s="186"/>
    </row>
    <row r="390" spans="13:17" x14ac:dyDescent="0.2">
      <c r="M390" s="186"/>
      <c r="N390" s="186"/>
      <c r="O390" s="186"/>
      <c r="P390" s="186"/>
      <c r="Q390" s="186"/>
    </row>
    <row r="391" spans="13:17" x14ac:dyDescent="0.2">
      <c r="M391" s="186"/>
      <c r="N391" s="186"/>
      <c r="O391" s="186"/>
      <c r="P391" s="186"/>
      <c r="Q391" s="186"/>
    </row>
    <row r="392" spans="13:17" x14ac:dyDescent="0.2">
      <c r="M392" s="186"/>
      <c r="N392" s="186"/>
      <c r="O392" s="186"/>
      <c r="P392" s="186"/>
      <c r="Q392" s="186"/>
    </row>
    <row r="393" spans="13:17" x14ac:dyDescent="0.2">
      <c r="M393" s="186"/>
      <c r="N393" s="186"/>
      <c r="O393" s="186"/>
      <c r="P393" s="186"/>
      <c r="Q393" s="186"/>
    </row>
    <row r="394" spans="13:17" x14ac:dyDescent="0.2">
      <c r="M394" s="186"/>
      <c r="N394" s="186"/>
      <c r="O394" s="186"/>
      <c r="P394" s="186"/>
      <c r="Q394" s="186"/>
    </row>
    <row r="395" spans="13:17" x14ac:dyDescent="0.2">
      <c r="M395" s="186"/>
      <c r="N395" s="186"/>
      <c r="O395" s="186"/>
      <c r="P395" s="186"/>
      <c r="Q395" s="186"/>
    </row>
    <row r="396" spans="13:17" x14ac:dyDescent="0.2">
      <c r="M396" s="186"/>
      <c r="N396" s="186"/>
      <c r="O396" s="186"/>
      <c r="P396" s="186"/>
      <c r="Q396" s="186"/>
    </row>
    <row r="397" spans="13:17" x14ac:dyDescent="0.2">
      <c r="M397" s="186"/>
      <c r="N397" s="186"/>
      <c r="O397" s="186"/>
      <c r="P397" s="186"/>
      <c r="Q397" s="186"/>
    </row>
    <row r="398" spans="13:17" x14ac:dyDescent="0.2">
      <c r="M398" s="186"/>
      <c r="N398" s="186"/>
      <c r="O398" s="186"/>
      <c r="P398" s="186"/>
      <c r="Q398" s="186"/>
    </row>
    <row r="399" spans="13:17" x14ac:dyDescent="0.2">
      <c r="M399" s="186"/>
      <c r="N399" s="186"/>
      <c r="O399" s="186"/>
      <c r="P399" s="186"/>
      <c r="Q399" s="186"/>
    </row>
    <row r="400" spans="13:17" x14ac:dyDescent="0.2">
      <c r="M400" s="186"/>
      <c r="N400" s="186"/>
      <c r="O400" s="186"/>
      <c r="P400" s="186"/>
      <c r="Q400" s="186"/>
    </row>
    <row r="401" spans="13:17" x14ac:dyDescent="0.2">
      <c r="M401" s="186"/>
      <c r="N401" s="186"/>
      <c r="O401" s="186"/>
      <c r="P401" s="186"/>
      <c r="Q401" s="186"/>
    </row>
    <row r="402" spans="13:17" x14ac:dyDescent="0.2">
      <c r="M402" s="186"/>
      <c r="N402" s="186"/>
      <c r="O402" s="186"/>
      <c r="P402" s="186"/>
      <c r="Q402" s="186"/>
    </row>
    <row r="403" spans="13:17" x14ac:dyDescent="0.2">
      <c r="M403" s="186"/>
      <c r="N403" s="186"/>
      <c r="O403" s="186"/>
      <c r="P403" s="186"/>
      <c r="Q403" s="186"/>
    </row>
    <row r="404" spans="13:17" x14ac:dyDescent="0.2">
      <c r="M404" s="186"/>
      <c r="N404" s="186"/>
      <c r="O404" s="186"/>
      <c r="P404" s="186"/>
      <c r="Q404" s="186"/>
    </row>
    <row r="405" spans="13:17" x14ac:dyDescent="0.2">
      <c r="M405" s="186"/>
      <c r="N405" s="186"/>
      <c r="O405" s="186"/>
      <c r="P405" s="186"/>
      <c r="Q405" s="186"/>
    </row>
    <row r="406" spans="13:17" x14ac:dyDescent="0.2">
      <c r="M406" s="186"/>
      <c r="N406" s="186"/>
      <c r="O406" s="186"/>
      <c r="P406" s="186"/>
      <c r="Q406" s="186"/>
    </row>
    <row r="407" spans="13:17" x14ac:dyDescent="0.2">
      <c r="M407" s="186"/>
      <c r="N407" s="186"/>
      <c r="O407" s="186"/>
      <c r="P407" s="186"/>
      <c r="Q407" s="186"/>
    </row>
    <row r="408" spans="13:17" x14ac:dyDescent="0.2">
      <c r="M408" s="186"/>
      <c r="N408" s="186"/>
      <c r="O408" s="186"/>
      <c r="P408" s="186"/>
      <c r="Q408" s="186"/>
    </row>
    <row r="409" spans="13:17" x14ac:dyDescent="0.2">
      <c r="M409" s="186"/>
      <c r="N409" s="186"/>
      <c r="O409" s="186"/>
      <c r="P409" s="186"/>
      <c r="Q409" s="186"/>
    </row>
    <row r="410" spans="13:17" x14ac:dyDescent="0.2">
      <c r="M410" s="186"/>
      <c r="N410" s="186"/>
      <c r="O410" s="186"/>
      <c r="P410" s="186"/>
      <c r="Q410" s="186"/>
    </row>
    <row r="411" spans="13:17" x14ac:dyDescent="0.2">
      <c r="M411" s="186"/>
      <c r="N411" s="186"/>
      <c r="O411" s="186"/>
      <c r="P411" s="186"/>
      <c r="Q411" s="186"/>
    </row>
    <row r="412" spans="13:17" x14ac:dyDescent="0.2">
      <c r="M412" s="186"/>
      <c r="N412" s="186"/>
      <c r="O412" s="186"/>
      <c r="P412" s="186"/>
      <c r="Q412" s="186"/>
    </row>
    <row r="413" spans="13:17" x14ac:dyDescent="0.2">
      <c r="M413" s="186"/>
      <c r="N413" s="186"/>
      <c r="O413" s="186"/>
      <c r="P413" s="186"/>
      <c r="Q413" s="186"/>
    </row>
    <row r="414" spans="13:17" x14ac:dyDescent="0.2">
      <c r="M414" s="186"/>
      <c r="N414" s="186"/>
      <c r="O414" s="186"/>
      <c r="P414" s="186"/>
      <c r="Q414" s="186"/>
    </row>
    <row r="415" spans="13:17" x14ac:dyDescent="0.2">
      <c r="M415" s="186"/>
      <c r="N415" s="186"/>
      <c r="O415" s="186"/>
      <c r="P415" s="186"/>
      <c r="Q415" s="186"/>
    </row>
    <row r="416" spans="13:17" x14ac:dyDescent="0.2">
      <c r="M416" s="186"/>
      <c r="N416" s="186"/>
      <c r="O416" s="186"/>
      <c r="P416" s="186"/>
      <c r="Q416" s="186"/>
    </row>
    <row r="417" spans="13:17" x14ac:dyDescent="0.2">
      <c r="M417" s="186"/>
      <c r="N417" s="186"/>
      <c r="O417" s="186"/>
      <c r="P417" s="186"/>
      <c r="Q417" s="186"/>
    </row>
    <row r="418" spans="13:17" x14ac:dyDescent="0.2">
      <c r="M418" s="186"/>
      <c r="N418" s="186"/>
      <c r="O418" s="186"/>
      <c r="P418" s="186"/>
      <c r="Q418" s="186"/>
    </row>
    <row r="419" spans="13:17" x14ac:dyDescent="0.2">
      <c r="M419" s="186"/>
      <c r="N419" s="186"/>
      <c r="O419" s="186"/>
      <c r="P419" s="186"/>
      <c r="Q419" s="186"/>
    </row>
    <row r="420" spans="13:17" x14ac:dyDescent="0.2">
      <c r="M420" s="186"/>
      <c r="N420" s="186"/>
      <c r="O420" s="186"/>
      <c r="P420" s="186"/>
      <c r="Q420" s="186"/>
    </row>
    <row r="421" spans="13:17" x14ac:dyDescent="0.2">
      <c r="M421" s="186"/>
      <c r="N421" s="186"/>
      <c r="O421" s="186"/>
      <c r="P421" s="186"/>
      <c r="Q421" s="186"/>
    </row>
    <row r="422" spans="13:17" x14ac:dyDescent="0.2">
      <c r="M422" s="186"/>
      <c r="N422" s="186"/>
      <c r="O422" s="186"/>
      <c r="P422" s="186"/>
      <c r="Q422" s="186"/>
    </row>
    <row r="423" spans="13:17" x14ac:dyDescent="0.2">
      <c r="M423" s="186"/>
      <c r="N423" s="186"/>
      <c r="O423" s="186"/>
      <c r="P423" s="186"/>
      <c r="Q423" s="186"/>
    </row>
    <row r="424" spans="13:17" x14ac:dyDescent="0.2">
      <c r="M424" s="186"/>
      <c r="N424" s="186"/>
      <c r="O424" s="186"/>
      <c r="P424" s="186"/>
      <c r="Q424" s="186"/>
    </row>
    <row r="425" spans="13:17" x14ac:dyDescent="0.2">
      <c r="M425" s="186"/>
      <c r="N425" s="186"/>
      <c r="O425" s="186"/>
      <c r="P425" s="186"/>
      <c r="Q425" s="186"/>
    </row>
    <row r="426" spans="13:17" x14ac:dyDescent="0.2">
      <c r="M426" s="186"/>
      <c r="N426" s="186"/>
      <c r="O426" s="186"/>
      <c r="P426" s="186"/>
      <c r="Q426" s="186"/>
    </row>
    <row r="427" spans="13:17" x14ac:dyDescent="0.2">
      <c r="M427" s="186"/>
      <c r="N427" s="186"/>
      <c r="O427" s="186"/>
      <c r="P427" s="186"/>
      <c r="Q427" s="186"/>
    </row>
    <row r="428" spans="13:17" x14ac:dyDescent="0.2">
      <c r="M428" s="186"/>
      <c r="N428" s="186"/>
      <c r="O428" s="186"/>
      <c r="P428" s="186"/>
      <c r="Q428" s="186"/>
    </row>
    <row r="429" spans="13:17" x14ac:dyDescent="0.2">
      <c r="M429" s="186"/>
      <c r="N429" s="186"/>
      <c r="O429" s="186"/>
      <c r="P429" s="186"/>
      <c r="Q429" s="186"/>
    </row>
    <row r="430" spans="13:17" x14ac:dyDescent="0.2">
      <c r="M430" s="186"/>
      <c r="N430" s="186"/>
      <c r="O430" s="186"/>
      <c r="P430" s="186"/>
      <c r="Q430" s="186"/>
    </row>
    <row r="431" spans="13:17" x14ac:dyDescent="0.2">
      <c r="M431" s="186"/>
      <c r="N431" s="186"/>
      <c r="O431" s="186"/>
      <c r="P431" s="186"/>
      <c r="Q431" s="186"/>
    </row>
    <row r="432" spans="13:17" x14ac:dyDescent="0.2">
      <c r="M432" s="186"/>
      <c r="N432" s="186"/>
      <c r="O432" s="186"/>
      <c r="P432" s="186"/>
      <c r="Q432" s="186"/>
    </row>
    <row r="433" spans="13:17" x14ac:dyDescent="0.2">
      <c r="M433" s="186"/>
      <c r="N433" s="186"/>
      <c r="O433" s="186"/>
      <c r="P433" s="186"/>
      <c r="Q433" s="186"/>
    </row>
    <row r="434" spans="13:17" x14ac:dyDescent="0.2">
      <c r="M434" s="186"/>
      <c r="N434" s="186"/>
      <c r="O434" s="186"/>
      <c r="P434" s="186"/>
      <c r="Q434" s="186"/>
    </row>
    <row r="435" spans="13:17" x14ac:dyDescent="0.2">
      <c r="M435" s="186"/>
      <c r="N435" s="186"/>
      <c r="O435" s="186"/>
      <c r="P435" s="186"/>
      <c r="Q435" s="186"/>
    </row>
    <row r="436" spans="13:17" x14ac:dyDescent="0.2">
      <c r="M436" s="186"/>
      <c r="N436" s="186"/>
      <c r="O436" s="186"/>
      <c r="P436" s="186"/>
      <c r="Q436" s="186"/>
    </row>
    <row r="437" spans="13:17" x14ac:dyDescent="0.2">
      <c r="M437" s="186"/>
      <c r="N437" s="186"/>
      <c r="O437" s="186"/>
      <c r="P437" s="186"/>
      <c r="Q437" s="186"/>
    </row>
    <row r="438" spans="13:17" x14ac:dyDescent="0.2">
      <c r="M438" s="186"/>
      <c r="N438" s="186"/>
      <c r="O438" s="186"/>
      <c r="P438" s="186"/>
      <c r="Q438" s="186"/>
    </row>
    <row r="439" spans="13:17" x14ac:dyDescent="0.2">
      <c r="M439" s="186"/>
      <c r="N439" s="186"/>
      <c r="O439" s="186"/>
      <c r="P439" s="186"/>
      <c r="Q439" s="186"/>
    </row>
    <row r="440" spans="13:17" x14ac:dyDescent="0.2">
      <c r="M440" s="186"/>
      <c r="N440" s="186"/>
      <c r="O440" s="186"/>
      <c r="P440" s="186"/>
      <c r="Q440" s="186"/>
    </row>
    <row r="441" spans="13:17" x14ac:dyDescent="0.2">
      <c r="M441" s="186"/>
      <c r="N441" s="186"/>
      <c r="O441" s="186"/>
      <c r="P441" s="186"/>
      <c r="Q441" s="186"/>
    </row>
    <row r="442" spans="13:17" x14ac:dyDescent="0.2">
      <c r="M442" s="186"/>
      <c r="N442" s="186"/>
      <c r="O442" s="186"/>
      <c r="P442" s="186"/>
      <c r="Q442" s="186"/>
    </row>
    <row r="443" spans="13:17" x14ac:dyDescent="0.2">
      <c r="M443" s="186"/>
      <c r="N443" s="186"/>
      <c r="O443" s="186"/>
      <c r="P443" s="186"/>
      <c r="Q443" s="186"/>
    </row>
    <row r="444" spans="13:17" x14ac:dyDescent="0.2">
      <c r="M444" s="186"/>
      <c r="N444" s="186"/>
      <c r="O444" s="186"/>
      <c r="P444" s="186"/>
      <c r="Q444" s="186"/>
    </row>
    <row r="445" spans="13:17" x14ac:dyDescent="0.2">
      <c r="M445" s="186"/>
      <c r="N445" s="186"/>
      <c r="O445" s="186"/>
      <c r="P445" s="186"/>
      <c r="Q445" s="186"/>
    </row>
    <row r="446" spans="13:17" x14ac:dyDescent="0.2">
      <c r="M446" s="186"/>
      <c r="N446" s="186"/>
      <c r="O446" s="186"/>
      <c r="P446" s="186"/>
      <c r="Q446" s="186"/>
    </row>
    <row r="447" spans="13:17" x14ac:dyDescent="0.2">
      <c r="M447" s="186"/>
      <c r="N447" s="186"/>
      <c r="O447" s="186"/>
      <c r="P447" s="186"/>
      <c r="Q447" s="186"/>
    </row>
    <row r="448" spans="13:17" x14ac:dyDescent="0.2">
      <c r="M448" s="186"/>
      <c r="N448" s="186"/>
      <c r="O448" s="186"/>
      <c r="P448" s="186"/>
      <c r="Q448" s="186"/>
    </row>
    <row r="449" spans="13:17" x14ac:dyDescent="0.2">
      <c r="M449" s="186"/>
      <c r="N449" s="186"/>
      <c r="O449" s="186"/>
      <c r="P449" s="186"/>
      <c r="Q449" s="186"/>
    </row>
    <row r="450" spans="13:17" x14ac:dyDescent="0.2">
      <c r="M450" s="186"/>
      <c r="N450" s="186"/>
      <c r="O450" s="186"/>
      <c r="P450" s="186"/>
      <c r="Q450" s="186"/>
    </row>
    <row r="451" spans="13:17" x14ac:dyDescent="0.2">
      <c r="M451" s="186"/>
      <c r="N451" s="186"/>
      <c r="O451" s="186"/>
      <c r="P451" s="186"/>
      <c r="Q451" s="186"/>
    </row>
    <row r="452" spans="13:17" x14ac:dyDescent="0.2">
      <c r="M452" s="186"/>
      <c r="N452" s="186"/>
      <c r="O452" s="186"/>
      <c r="P452" s="186"/>
      <c r="Q452" s="186"/>
    </row>
    <row r="453" spans="13:17" x14ac:dyDescent="0.2">
      <c r="M453" s="186"/>
      <c r="N453" s="186"/>
      <c r="O453" s="186"/>
      <c r="P453" s="186"/>
      <c r="Q453" s="186"/>
    </row>
    <row r="454" spans="13:17" x14ac:dyDescent="0.2">
      <c r="M454" s="186"/>
      <c r="N454" s="186"/>
      <c r="O454" s="186"/>
      <c r="P454" s="186"/>
      <c r="Q454" s="186"/>
    </row>
    <row r="455" spans="13:17" x14ac:dyDescent="0.2">
      <c r="M455" s="186"/>
      <c r="N455" s="186"/>
      <c r="O455" s="186"/>
      <c r="P455" s="186"/>
      <c r="Q455" s="186"/>
    </row>
    <row r="456" spans="13:17" x14ac:dyDescent="0.2">
      <c r="M456" s="186"/>
      <c r="N456" s="186"/>
      <c r="O456" s="186"/>
      <c r="P456" s="186"/>
      <c r="Q456" s="186"/>
    </row>
    <row r="457" spans="13:17" x14ac:dyDescent="0.2">
      <c r="M457" s="186"/>
      <c r="N457" s="186"/>
      <c r="O457" s="186"/>
      <c r="P457" s="186"/>
      <c r="Q457" s="186"/>
    </row>
    <row r="458" spans="13:17" x14ac:dyDescent="0.2">
      <c r="M458" s="186"/>
      <c r="N458" s="186"/>
      <c r="O458" s="186"/>
      <c r="P458" s="186"/>
      <c r="Q458" s="186"/>
    </row>
    <row r="459" spans="13:17" x14ac:dyDescent="0.2">
      <c r="M459" s="186"/>
      <c r="N459" s="186"/>
      <c r="O459" s="186"/>
      <c r="P459" s="186"/>
      <c r="Q459" s="186"/>
    </row>
    <row r="460" spans="13:17" x14ac:dyDescent="0.2">
      <c r="M460" s="186"/>
      <c r="N460" s="186"/>
      <c r="O460" s="186"/>
      <c r="P460" s="186"/>
      <c r="Q460" s="186"/>
    </row>
    <row r="461" spans="13:17" x14ac:dyDescent="0.2">
      <c r="M461" s="186"/>
      <c r="N461" s="186"/>
      <c r="O461" s="186"/>
      <c r="P461" s="186"/>
      <c r="Q461" s="186"/>
    </row>
    <row r="462" spans="13:17" x14ac:dyDescent="0.2">
      <c r="M462" s="186"/>
      <c r="N462" s="186"/>
      <c r="O462" s="186"/>
      <c r="P462" s="186"/>
      <c r="Q462" s="186"/>
    </row>
    <row r="463" spans="13:17" x14ac:dyDescent="0.2">
      <c r="M463" s="186"/>
      <c r="N463" s="186"/>
      <c r="O463" s="186"/>
      <c r="P463" s="186"/>
      <c r="Q463" s="186"/>
    </row>
    <row r="464" spans="13:17" x14ac:dyDescent="0.2">
      <c r="M464" s="186"/>
      <c r="N464" s="186"/>
      <c r="O464" s="186"/>
      <c r="P464" s="186"/>
      <c r="Q464" s="186"/>
    </row>
    <row r="465" spans="13:17" x14ac:dyDescent="0.2">
      <c r="M465" s="186"/>
      <c r="N465" s="186"/>
      <c r="O465" s="186"/>
      <c r="P465" s="186"/>
      <c r="Q465" s="186"/>
    </row>
    <row r="466" spans="13:17" x14ac:dyDescent="0.2">
      <c r="M466" s="186"/>
      <c r="N466" s="186"/>
      <c r="O466" s="186"/>
      <c r="P466" s="186"/>
      <c r="Q466" s="186"/>
    </row>
  </sheetData>
  <mergeCells count="13">
    <mergeCell ref="A4:G4"/>
    <mergeCell ref="H4:I4"/>
    <mergeCell ref="K4:L4"/>
    <mergeCell ref="M4:N4"/>
    <mergeCell ref="O4:R4"/>
    <mergeCell ref="A5:P6"/>
    <mergeCell ref="Q5:R5"/>
    <mergeCell ref="Q6:R6"/>
    <mergeCell ref="A7:G7"/>
    <mergeCell ref="H7:I7"/>
    <mergeCell ref="K7:L7"/>
    <mergeCell ref="M7:N7"/>
    <mergeCell ref="O7:R7"/>
  </mergeCells>
  <dataValidations count="1">
    <dataValidation type="list" allowBlank="1" showInputMessage="1" showErrorMessage="1" sqref="A11">
      <formula1>#REF!</formula1>
    </dataValidation>
  </dataValidations>
  <pageMargins left="0.7" right="0.7" top="0.75" bottom="0.75" header="0.3" footer="0.3"/>
  <pageSetup paperSize="9" scale="42" fitToHeight="0"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pageSetUpPr fitToPage="1"/>
  </sheetPr>
  <dimension ref="A1:AJ463"/>
  <sheetViews>
    <sheetView zoomScale="70" zoomScaleNormal="70" workbookViewId="0">
      <selection activeCell="N27" sqref="N27"/>
    </sheetView>
  </sheetViews>
  <sheetFormatPr defaultRowHeight="12.75" x14ac:dyDescent="0.2"/>
  <cols>
    <col min="1" max="2" width="7.140625" customWidth="1"/>
    <col min="3" max="3" width="13" customWidth="1"/>
    <col min="4" max="4" width="9.140625" customWidth="1"/>
    <col min="5" max="5" width="10.28515625" customWidth="1"/>
    <col min="6" max="6" width="38.5703125" bestFit="1" customWidth="1"/>
    <col min="7" max="7" width="15.28515625" customWidth="1"/>
    <col min="8" max="8" width="7.140625" customWidth="1"/>
    <col min="9" max="9" width="8.5703125" customWidth="1"/>
    <col min="10" max="10" width="9.28515625" customWidth="1"/>
    <col min="11" max="11" width="13.85546875" customWidth="1"/>
    <col min="13" max="13" width="12.7109375" customWidth="1"/>
    <col min="14" max="14" width="12.85546875" customWidth="1"/>
    <col min="15" max="15" width="11.42578125" customWidth="1"/>
    <col min="16" max="16" width="12.42578125" customWidth="1"/>
    <col min="17" max="17" width="11" customWidth="1"/>
    <col min="18" max="18" width="9.5703125" customWidth="1"/>
    <col min="19" max="19" width="10" customWidth="1"/>
    <col min="20" max="20" width="10.140625" customWidth="1"/>
    <col min="23" max="23" width="11.85546875" customWidth="1"/>
    <col min="24" max="24" width="10.85546875" customWidth="1"/>
    <col min="25" max="25" width="11.7109375" customWidth="1"/>
    <col min="26" max="26" width="11.28515625" customWidth="1"/>
    <col min="27" max="27" width="10.42578125" customWidth="1"/>
    <col min="28" max="28" width="10.7109375" customWidth="1"/>
    <col min="29" max="29" width="10.28515625" customWidth="1"/>
    <col min="32" max="32" width="35.5703125" customWidth="1"/>
    <col min="33" max="33" width="97.5703125" customWidth="1"/>
    <col min="34" max="34" width="11.85546875" customWidth="1"/>
    <col min="35" max="35" width="13" customWidth="1"/>
    <col min="36" max="36" width="26.140625" customWidth="1"/>
  </cols>
  <sheetData>
    <row r="1" spans="1:36" x14ac:dyDescent="0.2">
      <c r="A1" s="6" t="s">
        <v>120</v>
      </c>
      <c r="B1" s="6"/>
      <c r="E1" s="15"/>
      <c r="F1" s="15"/>
      <c r="G1" s="15"/>
      <c r="H1" s="15"/>
      <c r="I1" s="15"/>
      <c r="J1" s="15"/>
      <c r="K1" s="15"/>
      <c r="L1" s="15"/>
      <c r="M1" s="15"/>
      <c r="N1" s="15"/>
      <c r="O1" s="15"/>
      <c r="P1" s="15"/>
      <c r="Q1" s="15"/>
      <c r="R1" s="15"/>
      <c r="S1" s="15"/>
      <c r="T1" s="15"/>
      <c r="U1" s="15"/>
      <c r="V1" s="15"/>
      <c r="W1" s="15"/>
      <c r="X1" s="15"/>
      <c r="Y1" s="15"/>
      <c r="Z1" s="15"/>
      <c r="AA1" s="15"/>
      <c r="AB1" s="15"/>
      <c r="AC1" s="15"/>
      <c r="AD1" s="15"/>
      <c r="AE1" s="15"/>
    </row>
    <row r="2" spans="1:36" ht="13.5" customHeight="1" thickBot="1" x14ac:dyDescent="0.25">
      <c r="C2" s="6"/>
      <c r="D2" s="6"/>
      <c r="E2" s="565"/>
      <c r="F2" s="565"/>
      <c r="G2" s="565"/>
      <c r="H2" s="565"/>
      <c r="I2" s="565"/>
      <c r="J2" s="565"/>
      <c r="K2" s="565"/>
      <c r="L2" s="565"/>
      <c r="M2" s="565"/>
      <c r="N2" s="565"/>
      <c r="O2" s="565"/>
      <c r="P2" s="565"/>
      <c r="Q2" s="565"/>
      <c r="R2" s="565"/>
      <c r="S2" s="565"/>
      <c r="T2" s="565"/>
      <c r="U2" s="565"/>
      <c r="V2" s="565"/>
      <c r="W2" s="565"/>
      <c r="X2" s="565"/>
      <c r="Y2" s="565"/>
      <c r="Z2" s="565"/>
      <c r="AA2" s="565"/>
      <c r="AB2" s="565"/>
      <c r="AC2" s="565"/>
      <c r="AD2" s="565"/>
      <c r="AE2" s="565"/>
      <c r="AF2" s="552" t="s">
        <v>56</v>
      </c>
      <c r="AG2" s="549" t="s">
        <v>1484</v>
      </c>
    </row>
    <row r="3" spans="1:36" x14ac:dyDescent="0.2">
      <c r="A3" s="879"/>
      <c r="B3" s="880"/>
      <c r="C3" s="881"/>
      <c r="D3" s="881"/>
      <c r="E3" s="881"/>
      <c r="F3" s="881"/>
      <c r="G3" s="881"/>
      <c r="H3" s="885" t="s">
        <v>121</v>
      </c>
      <c r="I3" s="885"/>
      <c r="J3" s="885"/>
      <c r="K3" s="885"/>
      <c r="L3" s="885"/>
      <c r="M3" s="885" t="s">
        <v>122</v>
      </c>
      <c r="N3" s="885"/>
      <c r="O3" s="885"/>
      <c r="P3" s="885"/>
      <c r="Q3" s="885"/>
      <c r="R3" s="885"/>
      <c r="S3" s="885"/>
      <c r="T3" s="885"/>
      <c r="U3" s="885"/>
      <c r="V3" s="885"/>
      <c r="W3" s="885" t="s">
        <v>123</v>
      </c>
      <c r="X3" s="885"/>
      <c r="Y3" s="885"/>
      <c r="Z3" s="885"/>
      <c r="AA3" s="885"/>
      <c r="AB3" s="885"/>
      <c r="AC3" s="885"/>
      <c r="AD3" s="885"/>
      <c r="AE3" s="886"/>
      <c r="AF3" s="551" t="s">
        <v>55</v>
      </c>
      <c r="AG3" s="550">
        <v>2020</v>
      </c>
      <c r="AH3" s="285"/>
      <c r="AI3" s="15"/>
      <c r="AJ3" s="286"/>
    </row>
    <row r="4" spans="1:36" ht="51.75" customHeight="1" thickBot="1" x14ac:dyDescent="0.25">
      <c r="A4" s="882"/>
      <c r="B4" s="883"/>
      <c r="C4" s="884"/>
      <c r="D4" s="884"/>
      <c r="E4" s="884"/>
      <c r="F4" s="884"/>
      <c r="G4" s="884"/>
      <c r="H4" s="887" t="s">
        <v>124</v>
      </c>
      <c r="I4" s="887"/>
      <c r="J4" s="887" t="s">
        <v>125</v>
      </c>
      <c r="K4" s="887"/>
      <c r="L4" s="887"/>
      <c r="M4" s="888" t="s">
        <v>2035</v>
      </c>
      <c r="N4" s="888"/>
      <c r="O4" s="888"/>
      <c r="P4" s="887" t="s">
        <v>126</v>
      </c>
      <c r="Q4" s="887"/>
      <c r="R4" s="887"/>
      <c r="S4" s="887"/>
      <c r="T4" s="887"/>
      <c r="U4" s="258" t="s">
        <v>127</v>
      </c>
      <c r="V4" s="258" t="s">
        <v>128</v>
      </c>
      <c r="W4" s="258" t="s">
        <v>129</v>
      </c>
      <c r="X4" s="887" t="s">
        <v>130</v>
      </c>
      <c r="Y4" s="887"/>
      <c r="Z4" s="258" t="s">
        <v>131</v>
      </c>
      <c r="AA4" s="887" t="s">
        <v>132</v>
      </c>
      <c r="AB4" s="887"/>
      <c r="AC4" s="887" t="s">
        <v>133</v>
      </c>
      <c r="AD4" s="887"/>
      <c r="AE4" s="889"/>
      <c r="AF4" s="875" t="s">
        <v>4</v>
      </c>
      <c r="AG4" s="877" t="s">
        <v>154</v>
      </c>
      <c r="AH4" s="284"/>
      <c r="AI4" s="284"/>
      <c r="AJ4" s="15"/>
    </row>
    <row r="5" spans="1:36" ht="77.25" customHeight="1" thickBot="1" x14ac:dyDescent="0.25">
      <c r="A5" s="251" t="s">
        <v>0</v>
      </c>
      <c r="B5" s="287" t="s">
        <v>1437</v>
      </c>
      <c r="C5" s="252" t="s">
        <v>1216</v>
      </c>
      <c r="D5" s="252" t="s">
        <v>1</v>
      </c>
      <c r="E5" s="252" t="s">
        <v>1217</v>
      </c>
      <c r="F5" s="252" t="s">
        <v>1218</v>
      </c>
      <c r="G5" s="253" t="s">
        <v>3</v>
      </c>
      <c r="H5" s="254" t="s">
        <v>1219</v>
      </c>
      <c r="I5" s="255" t="s">
        <v>1220</v>
      </c>
      <c r="J5" s="255" t="s">
        <v>1221</v>
      </c>
      <c r="K5" s="255" t="s">
        <v>1222</v>
      </c>
      <c r="L5" s="255" t="s">
        <v>1223</v>
      </c>
      <c r="M5" s="255" t="s">
        <v>1224</v>
      </c>
      <c r="N5" s="255" t="s">
        <v>1225</v>
      </c>
      <c r="O5" s="255" t="s">
        <v>1226</v>
      </c>
      <c r="P5" s="255" t="s">
        <v>134</v>
      </c>
      <c r="Q5" s="255" t="s">
        <v>135</v>
      </c>
      <c r="R5" s="255" t="s">
        <v>136</v>
      </c>
      <c r="S5" s="255" t="s">
        <v>137</v>
      </c>
      <c r="T5" s="255" t="s">
        <v>138</v>
      </c>
      <c r="U5" s="255" t="s">
        <v>139</v>
      </c>
      <c r="V5" s="256" t="s">
        <v>140</v>
      </c>
      <c r="W5" s="256" t="s">
        <v>141</v>
      </c>
      <c r="X5" s="256" t="s">
        <v>142</v>
      </c>
      <c r="Y5" s="256" t="s">
        <v>143</v>
      </c>
      <c r="Z5" s="255" t="s">
        <v>144</v>
      </c>
      <c r="AA5" s="255" t="s">
        <v>145</v>
      </c>
      <c r="AB5" s="256" t="s">
        <v>146</v>
      </c>
      <c r="AC5" s="255" t="s">
        <v>147</v>
      </c>
      <c r="AD5" s="255" t="s">
        <v>148</v>
      </c>
      <c r="AE5" s="257" t="s">
        <v>149</v>
      </c>
      <c r="AF5" s="876"/>
      <c r="AG5" s="878"/>
      <c r="AH5" s="284"/>
      <c r="AI5" s="284"/>
      <c r="AJ5" s="15"/>
    </row>
    <row r="6" spans="1:36" ht="38.25" x14ac:dyDescent="0.2">
      <c r="A6" s="259" t="s">
        <v>276</v>
      </c>
      <c r="B6" s="736" t="s">
        <v>2036</v>
      </c>
      <c r="C6" s="557" t="s">
        <v>50</v>
      </c>
      <c r="D6" s="559" t="s">
        <v>779</v>
      </c>
      <c r="E6" s="556" t="s">
        <v>7</v>
      </c>
      <c r="F6" s="556" t="s">
        <v>1227</v>
      </c>
      <c r="G6" s="556" t="s">
        <v>1228</v>
      </c>
      <c r="H6" s="553" t="s">
        <v>6</v>
      </c>
      <c r="I6" s="553" t="s">
        <v>6</v>
      </c>
      <c r="J6" s="553" t="s">
        <v>6</v>
      </c>
      <c r="K6" s="553" t="s">
        <v>6</v>
      </c>
      <c r="L6" s="553" t="s">
        <v>6</v>
      </c>
      <c r="M6" s="553" t="s">
        <v>6</v>
      </c>
      <c r="N6" s="553" t="s">
        <v>6</v>
      </c>
      <c r="O6" s="553" t="s">
        <v>6</v>
      </c>
      <c r="P6" s="553" t="s">
        <v>6</v>
      </c>
      <c r="Q6" s="553" t="s">
        <v>77</v>
      </c>
      <c r="R6" s="553" t="s">
        <v>6</v>
      </c>
      <c r="S6" s="553" t="s">
        <v>6</v>
      </c>
      <c r="T6" s="553" t="s">
        <v>6</v>
      </c>
      <c r="U6" s="553" t="s">
        <v>6</v>
      </c>
      <c r="V6" s="553" t="s">
        <v>77</v>
      </c>
      <c r="W6" s="553" t="s">
        <v>6</v>
      </c>
      <c r="X6" s="553" t="s">
        <v>6</v>
      </c>
      <c r="Y6" s="553" t="s">
        <v>6</v>
      </c>
      <c r="Z6" s="553" t="s">
        <v>6</v>
      </c>
      <c r="AA6" s="553" t="s">
        <v>6</v>
      </c>
      <c r="AB6" s="553" t="s">
        <v>6</v>
      </c>
      <c r="AC6" s="553" t="s">
        <v>6</v>
      </c>
      <c r="AD6" s="553" t="s">
        <v>6</v>
      </c>
      <c r="AE6" s="553" t="s">
        <v>7</v>
      </c>
      <c r="AF6" s="555" t="s">
        <v>1624</v>
      </c>
      <c r="AG6" s="628" t="s">
        <v>2031</v>
      </c>
      <c r="AH6" s="278"/>
      <c r="AI6" s="278"/>
      <c r="AJ6" s="15"/>
    </row>
    <row r="7" spans="1:36" ht="38.25" x14ac:dyDescent="0.2">
      <c r="A7" s="259" t="s">
        <v>276</v>
      </c>
      <c r="B7" s="736" t="s">
        <v>2036</v>
      </c>
      <c r="C7" s="557" t="s">
        <v>50</v>
      </c>
      <c r="D7" s="559" t="s">
        <v>779</v>
      </c>
      <c r="E7" s="556" t="s">
        <v>7</v>
      </c>
      <c r="F7" s="556" t="s">
        <v>1227</v>
      </c>
      <c r="G7" s="553" t="s">
        <v>785</v>
      </c>
      <c r="H7" s="553" t="s">
        <v>6</v>
      </c>
      <c r="I7" s="553" t="s">
        <v>6</v>
      </c>
      <c r="J7" s="553" t="s">
        <v>6</v>
      </c>
      <c r="K7" s="553" t="s">
        <v>6</v>
      </c>
      <c r="L7" s="553" t="s">
        <v>6</v>
      </c>
      <c r="M7" s="553" t="s">
        <v>6</v>
      </c>
      <c r="N7" s="553" t="s">
        <v>6</v>
      </c>
      <c r="O7" s="553" t="s">
        <v>6</v>
      </c>
      <c r="P7" s="553" t="s">
        <v>6</v>
      </c>
      <c r="Q7" s="553" t="s">
        <v>77</v>
      </c>
      <c r="R7" s="553" t="s">
        <v>6</v>
      </c>
      <c r="S7" s="553" t="s">
        <v>6</v>
      </c>
      <c r="T7" s="553" t="s">
        <v>6</v>
      </c>
      <c r="U7" s="553" t="s">
        <v>6</v>
      </c>
      <c r="V7" s="553" t="s">
        <v>77</v>
      </c>
      <c r="W7" s="553" t="s">
        <v>6</v>
      </c>
      <c r="X7" s="553" t="s">
        <v>6</v>
      </c>
      <c r="Y7" s="553" t="s">
        <v>6</v>
      </c>
      <c r="Z7" s="553" t="s">
        <v>6</v>
      </c>
      <c r="AA7" s="553" t="s">
        <v>6</v>
      </c>
      <c r="AB7" s="553" t="s">
        <v>6</v>
      </c>
      <c r="AC7" s="553" t="s">
        <v>6</v>
      </c>
      <c r="AD7" s="553" t="s">
        <v>6</v>
      </c>
      <c r="AE7" s="553" t="s">
        <v>7</v>
      </c>
      <c r="AF7" s="555" t="s">
        <v>1624</v>
      </c>
      <c r="AG7" s="628" t="s">
        <v>2031</v>
      </c>
      <c r="AH7" s="278"/>
      <c r="AI7" s="278"/>
      <c r="AJ7" s="15"/>
    </row>
    <row r="8" spans="1:36" ht="38.25" x14ac:dyDescent="0.2">
      <c r="A8" s="259" t="s">
        <v>276</v>
      </c>
      <c r="B8" s="736" t="s">
        <v>2036</v>
      </c>
      <c r="C8" s="557" t="s">
        <v>50</v>
      </c>
      <c r="D8" s="559" t="s">
        <v>779</v>
      </c>
      <c r="E8" s="556" t="s">
        <v>7</v>
      </c>
      <c r="F8" s="556" t="s">
        <v>1227</v>
      </c>
      <c r="G8" s="553" t="s">
        <v>807</v>
      </c>
      <c r="H8" s="553" t="s">
        <v>6</v>
      </c>
      <c r="I8" s="553" t="s">
        <v>6</v>
      </c>
      <c r="J8" s="553" t="s">
        <v>6</v>
      </c>
      <c r="K8" s="553" t="s">
        <v>6</v>
      </c>
      <c r="L8" s="553" t="s">
        <v>6</v>
      </c>
      <c r="M8" s="553" t="s">
        <v>6</v>
      </c>
      <c r="N8" s="553" t="s">
        <v>6</v>
      </c>
      <c r="O8" s="553" t="s">
        <v>6</v>
      </c>
      <c r="P8" s="553" t="s">
        <v>6</v>
      </c>
      <c r="Q8" s="553" t="s">
        <v>77</v>
      </c>
      <c r="R8" s="553" t="s">
        <v>6</v>
      </c>
      <c r="S8" s="553" t="s">
        <v>6</v>
      </c>
      <c r="T8" s="553" t="s">
        <v>6</v>
      </c>
      <c r="U8" s="553" t="s">
        <v>6</v>
      </c>
      <c r="V8" s="553" t="s">
        <v>77</v>
      </c>
      <c r="W8" s="553" t="s">
        <v>6</v>
      </c>
      <c r="X8" s="553" t="s">
        <v>6</v>
      </c>
      <c r="Y8" s="553" t="s">
        <v>6</v>
      </c>
      <c r="Z8" s="553" t="s">
        <v>6</v>
      </c>
      <c r="AA8" s="553" t="s">
        <v>6</v>
      </c>
      <c r="AB8" s="553" t="s">
        <v>6</v>
      </c>
      <c r="AC8" s="553" t="s">
        <v>6</v>
      </c>
      <c r="AD8" s="553" t="s">
        <v>6</v>
      </c>
      <c r="AE8" s="553" t="s">
        <v>7</v>
      </c>
      <c r="AF8" s="555" t="s">
        <v>1624</v>
      </c>
      <c r="AG8" s="628" t="s">
        <v>2031</v>
      </c>
      <c r="AH8" s="278"/>
      <c r="AI8" s="278"/>
      <c r="AJ8" s="15"/>
    </row>
    <row r="9" spans="1:36" ht="38.25" x14ac:dyDescent="0.2">
      <c r="A9" s="259" t="s">
        <v>276</v>
      </c>
      <c r="B9" s="736" t="s">
        <v>2036</v>
      </c>
      <c r="C9" s="557" t="s">
        <v>50</v>
      </c>
      <c r="D9" s="559" t="s">
        <v>779</v>
      </c>
      <c r="E9" s="556" t="s">
        <v>7</v>
      </c>
      <c r="F9" s="556" t="s">
        <v>1227</v>
      </c>
      <c r="G9" s="553" t="s">
        <v>1229</v>
      </c>
      <c r="H9" s="553" t="s">
        <v>6</v>
      </c>
      <c r="I9" s="553" t="s">
        <v>6</v>
      </c>
      <c r="J9" s="553" t="s">
        <v>6</v>
      </c>
      <c r="K9" s="553" t="s">
        <v>6</v>
      </c>
      <c r="L9" s="553" t="s">
        <v>6</v>
      </c>
      <c r="M9" s="553" t="s">
        <v>6</v>
      </c>
      <c r="N9" s="553" t="s">
        <v>6</v>
      </c>
      <c r="O9" s="553" t="s">
        <v>6</v>
      </c>
      <c r="P9" s="553" t="s">
        <v>6</v>
      </c>
      <c r="Q9" s="553" t="s">
        <v>77</v>
      </c>
      <c r="R9" s="553" t="s">
        <v>6</v>
      </c>
      <c r="S9" s="553" t="s">
        <v>6</v>
      </c>
      <c r="T9" s="553" t="s">
        <v>6</v>
      </c>
      <c r="U9" s="553" t="s">
        <v>6</v>
      </c>
      <c r="V9" s="553" t="s">
        <v>77</v>
      </c>
      <c r="W9" s="553" t="s">
        <v>6</v>
      </c>
      <c r="X9" s="553" t="s">
        <v>6</v>
      </c>
      <c r="Y9" s="553" t="s">
        <v>6</v>
      </c>
      <c r="Z9" s="553" t="s">
        <v>6</v>
      </c>
      <c r="AA9" s="553" t="s">
        <v>6</v>
      </c>
      <c r="AB9" s="553" t="s">
        <v>6</v>
      </c>
      <c r="AC9" s="553" t="s">
        <v>6</v>
      </c>
      <c r="AD9" s="553" t="s">
        <v>6</v>
      </c>
      <c r="AE9" s="553" t="s">
        <v>7</v>
      </c>
      <c r="AF9" s="555" t="s">
        <v>1624</v>
      </c>
      <c r="AG9" s="628" t="s">
        <v>2031</v>
      </c>
      <c r="AH9" s="278"/>
      <c r="AI9" s="278"/>
      <c r="AJ9" s="15"/>
    </row>
    <row r="10" spans="1:36" ht="38.25" x14ac:dyDescent="0.2">
      <c r="A10" s="259" t="s">
        <v>276</v>
      </c>
      <c r="B10" s="736" t="s">
        <v>2036</v>
      </c>
      <c r="C10" s="557" t="s">
        <v>50</v>
      </c>
      <c r="D10" s="559" t="s">
        <v>779</v>
      </c>
      <c r="E10" s="556" t="s">
        <v>7</v>
      </c>
      <c r="F10" s="556" t="s">
        <v>1227</v>
      </c>
      <c r="G10" s="553" t="s">
        <v>1230</v>
      </c>
      <c r="H10" s="553" t="s">
        <v>6</v>
      </c>
      <c r="I10" s="553" t="s">
        <v>6</v>
      </c>
      <c r="J10" s="553" t="s">
        <v>6</v>
      </c>
      <c r="K10" s="553" t="s">
        <v>6</v>
      </c>
      <c r="L10" s="553" t="s">
        <v>6</v>
      </c>
      <c r="M10" s="553" t="s">
        <v>6</v>
      </c>
      <c r="N10" s="553" t="s">
        <v>6</v>
      </c>
      <c r="O10" s="553" t="s">
        <v>6</v>
      </c>
      <c r="P10" s="553" t="s">
        <v>6</v>
      </c>
      <c r="Q10" s="553" t="s">
        <v>77</v>
      </c>
      <c r="R10" s="553" t="s">
        <v>6</v>
      </c>
      <c r="S10" s="553" t="s">
        <v>6</v>
      </c>
      <c r="T10" s="553" t="s">
        <v>6</v>
      </c>
      <c r="U10" s="553" t="s">
        <v>6</v>
      </c>
      <c r="V10" s="553" t="s">
        <v>77</v>
      </c>
      <c r="W10" s="553" t="s">
        <v>6</v>
      </c>
      <c r="X10" s="553" t="s">
        <v>6</v>
      </c>
      <c r="Y10" s="553" t="s">
        <v>6</v>
      </c>
      <c r="Z10" s="553" t="s">
        <v>6</v>
      </c>
      <c r="AA10" s="553" t="s">
        <v>6</v>
      </c>
      <c r="AB10" s="553" t="s">
        <v>6</v>
      </c>
      <c r="AC10" s="553" t="s">
        <v>6</v>
      </c>
      <c r="AD10" s="553" t="s">
        <v>6</v>
      </c>
      <c r="AE10" s="553" t="s">
        <v>7</v>
      </c>
      <c r="AF10" s="555" t="s">
        <v>1624</v>
      </c>
      <c r="AG10" s="628" t="s">
        <v>2031</v>
      </c>
      <c r="AH10" s="278"/>
      <c r="AI10" s="278"/>
      <c r="AJ10" s="15"/>
    </row>
    <row r="11" spans="1:36" ht="38.25" x14ac:dyDescent="0.2">
      <c r="A11" s="259" t="s">
        <v>276</v>
      </c>
      <c r="B11" s="736" t="s">
        <v>2037</v>
      </c>
      <c r="C11" s="557" t="s">
        <v>50</v>
      </c>
      <c r="D11" s="559" t="s">
        <v>779</v>
      </c>
      <c r="E11" s="556" t="s">
        <v>7</v>
      </c>
      <c r="F11" s="556" t="s">
        <v>1231</v>
      </c>
      <c r="G11" s="560" t="s">
        <v>843</v>
      </c>
      <c r="H11" s="553" t="s">
        <v>6</v>
      </c>
      <c r="I11" s="553" t="s">
        <v>6</v>
      </c>
      <c r="J11" s="553" t="s">
        <v>6</v>
      </c>
      <c r="K11" s="553" t="s">
        <v>6</v>
      </c>
      <c r="L11" s="553" t="s">
        <v>6</v>
      </c>
      <c r="M11" s="553" t="s">
        <v>6</v>
      </c>
      <c r="N11" s="553" t="s">
        <v>6</v>
      </c>
      <c r="O11" s="553" t="s">
        <v>6</v>
      </c>
      <c r="P11" s="553" t="s">
        <v>6</v>
      </c>
      <c r="Q11" s="553" t="s">
        <v>77</v>
      </c>
      <c r="R11" s="553" t="s">
        <v>6</v>
      </c>
      <c r="S11" s="553" t="s">
        <v>6</v>
      </c>
      <c r="T11" s="553" t="s">
        <v>6</v>
      </c>
      <c r="U11" s="553" t="s">
        <v>6</v>
      </c>
      <c r="V11" s="553" t="s">
        <v>77</v>
      </c>
      <c r="W11" s="553" t="s">
        <v>6</v>
      </c>
      <c r="X11" s="553" t="s">
        <v>6</v>
      </c>
      <c r="Y11" s="553" t="s">
        <v>6</v>
      </c>
      <c r="Z11" s="553" t="s">
        <v>6</v>
      </c>
      <c r="AA11" s="553" t="s">
        <v>6</v>
      </c>
      <c r="AB11" s="553" t="s">
        <v>6</v>
      </c>
      <c r="AC11" s="553" t="s">
        <v>6</v>
      </c>
      <c r="AD11" s="553" t="s">
        <v>6</v>
      </c>
      <c r="AE11" s="553" t="s">
        <v>7</v>
      </c>
      <c r="AF11" s="555" t="s">
        <v>1624</v>
      </c>
      <c r="AG11" s="628" t="s">
        <v>2031</v>
      </c>
      <c r="AH11" s="278"/>
      <c r="AI11" s="278"/>
      <c r="AJ11" s="15"/>
    </row>
    <row r="12" spans="1:36" ht="38.25" x14ac:dyDescent="0.2">
      <c r="A12" s="259" t="s">
        <v>276</v>
      </c>
      <c r="B12" s="736" t="s">
        <v>2037</v>
      </c>
      <c r="C12" s="557" t="s">
        <v>50</v>
      </c>
      <c r="D12" s="559" t="s">
        <v>779</v>
      </c>
      <c r="E12" s="556" t="s">
        <v>7</v>
      </c>
      <c r="F12" s="556" t="s">
        <v>1231</v>
      </c>
      <c r="G12" s="560" t="s">
        <v>830</v>
      </c>
      <c r="H12" s="553" t="s">
        <v>6</v>
      </c>
      <c r="I12" s="553" t="s">
        <v>6</v>
      </c>
      <c r="J12" s="553" t="s">
        <v>6</v>
      </c>
      <c r="K12" s="553" t="s">
        <v>6</v>
      </c>
      <c r="L12" s="553" t="s">
        <v>6</v>
      </c>
      <c r="M12" s="553" t="s">
        <v>6</v>
      </c>
      <c r="N12" s="553" t="s">
        <v>6</v>
      </c>
      <c r="O12" s="553" t="s">
        <v>6</v>
      </c>
      <c r="P12" s="553" t="s">
        <v>6</v>
      </c>
      <c r="Q12" s="553" t="s">
        <v>77</v>
      </c>
      <c r="R12" s="553" t="s">
        <v>6</v>
      </c>
      <c r="S12" s="553" t="s">
        <v>6</v>
      </c>
      <c r="T12" s="553" t="s">
        <v>6</v>
      </c>
      <c r="U12" s="553" t="s">
        <v>6</v>
      </c>
      <c r="V12" s="553" t="s">
        <v>77</v>
      </c>
      <c r="W12" s="553" t="s">
        <v>6</v>
      </c>
      <c r="X12" s="553" t="s">
        <v>6</v>
      </c>
      <c r="Y12" s="553" t="s">
        <v>6</v>
      </c>
      <c r="Z12" s="553" t="s">
        <v>6</v>
      </c>
      <c r="AA12" s="553" t="s">
        <v>6</v>
      </c>
      <c r="AB12" s="553" t="s">
        <v>6</v>
      </c>
      <c r="AC12" s="553" t="s">
        <v>6</v>
      </c>
      <c r="AD12" s="553" t="s">
        <v>6</v>
      </c>
      <c r="AE12" s="553" t="s">
        <v>7</v>
      </c>
      <c r="AF12" s="555" t="s">
        <v>1624</v>
      </c>
      <c r="AG12" s="628" t="s">
        <v>2031</v>
      </c>
      <c r="AH12" s="278"/>
      <c r="AI12" s="278"/>
      <c r="AJ12" s="15"/>
    </row>
    <row r="13" spans="1:36" ht="38.25" x14ac:dyDescent="0.2">
      <c r="A13" s="259" t="s">
        <v>276</v>
      </c>
      <c r="B13" s="736" t="s">
        <v>2037</v>
      </c>
      <c r="C13" s="557" t="s">
        <v>50</v>
      </c>
      <c r="D13" s="559" t="s">
        <v>779</v>
      </c>
      <c r="E13" s="556" t="s">
        <v>7</v>
      </c>
      <c r="F13" s="556" t="s">
        <v>1231</v>
      </c>
      <c r="G13" s="560" t="s">
        <v>834</v>
      </c>
      <c r="H13" s="553" t="s">
        <v>6</v>
      </c>
      <c r="I13" s="553" t="s">
        <v>6</v>
      </c>
      <c r="J13" s="553" t="s">
        <v>6</v>
      </c>
      <c r="K13" s="553" t="s">
        <v>6</v>
      </c>
      <c r="L13" s="553" t="s">
        <v>6</v>
      </c>
      <c r="M13" s="553" t="s">
        <v>6</v>
      </c>
      <c r="N13" s="553" t="s">
        <v>6</v>
      </c>
      <c r="O13" s="553" t="s">
        <v>6</v>
      </c>
      <c r="P13" s="553" t="s">
        <v>6</v>
      </c>
      <c r="Q13" s="553" t="s">
        <v>77</v>
      </c>
      <c r="R13" s="553" t="s">
        <v>6</v>
      </c>
      <c r="S13" s="553" t="s">
        <v>6</v>
      </c>
      <c r="T13" s="553" t="s">
        <v>6</v>
      </c>
      <c r="U13" s="553" t="s">
        <v>6</v>
      </c>
      <c r="V13" s="553" t="s">
        <v>77</v>
      </c>
      <c r="W13" s="553" t="s">
        <v>6</v>
      </c>
      <c r="X13" s="553" t="s">
        <v>6</v>
      </c>
      <c r="Y13" s="553" t="s">
        <v>6</v>
      </c>
      <c r="Z13" s="553" t="s">
        <v>6</v>
      </c>
      <c r="AA13" s="553" t="s">
        <v>6</v>
      </c>
      <c r="AB13" s="553" t="s">
        <v>6</v>
      </c>
      <c r="AC13" s="553" t="s">
        <v>6</v>
      </c>
      <c r="AD13" s="553" t="s">
        <v>6</v>
      </c>
      <c r="AE13" s="553" t="s">
        <v>7</v>
      </c>
      <c r="AF13" s="555" t="s">
        <v>1624</v>
      </c>
      <c r="AG13" s="628" t="s">
        <v>2031</v>
      </c>
      <c r="AH13" s="278"/>
      <c r="AI13" s="278"/>
      <c r="AJ13" s="15"/>
    </row>
    <row r="14" spans="1:36" ht="38.25" x14ac:dyDescent="0.2">
      <c r="A14" s="259" t="s">
        <v>276</v>
      </c>
      <c r="B14" s="736" t="s">
        <v>2037</v>
      </c>
      <c r="C14" s="557" t="s">
        <v>50</v>
      </c>
      <c r="D14" s="559" t="s">
        <v>779</v>
      </c>
      <c r="E14" s="556" t="s">
        <v>7</v>
      </c>
      <c r="F14" s="556" t="s">
        <v>1231</v>
      </c>
      <c r="G14" s="558" t="s">
        <v>829</v>
      </c>
      <c r="H14" s="553" t="s">
        <v>6</v>
      </c>
      <c r="I14" s="553" t="s">
        <v>6</v>
      </c>
      <c r="J14" s="553" t="s">
        <v>6</v>
      </c>
      <c r="K14" s="553" t="s">
        <v>6</v>
      </c>
      <c r="L14" s="553" t="s">
        <v>6</v>
      </c>
      <c r="M14" s="553" t="s">
        <v>6</v>
      </c>
      <c r="N14" s="553" t="s">
        <v>6</v>
      </c>
      <c r="O14" s="553" t="s">
        <v>6</v>
      </c>
      <c r="P14" s="553" t="s">
        <v>6</v>
      </c>
      <c r="Q14" s="553" t="s">
        <v>77</v>
      </c>
      <c r="R14" s="553" t="s">
        <v>6</v>
      </c>
      <c r="S14" s="553" t="s">
        <v>6</v>
      </c>
      <c r="T14" s="553" t="s">
        <v>6</v>
      </c>
      <c r="U14" s="553" t="s">
        <v>6</v>
      </c>
      <c r="V14" s="553" t="s">
        <v>77</v>
      </c>
      <c r="W14" s="553" t="s">
        <v>6</v>
      </c>
      <c r="X14" s="553" t="s">
        <v>6</v>
      </c>
      <c r="Y14" s="553" t="s">
        <v>6</v>
      </c>
      <c r="Z14" s="553" t="s">
        <v>6</v>
      </c>
      <c r="AA14" s="553" t="s">
        <v>6</v>
      </c>
      <c r="AB14" s="553" t="s">
        <v>6</v>
      </c>
      <c r="AC14" s="553" t="s">
        <v>6</v>
      </c>
      <c r="AD14" s="553" t="s">
        <v>6</v>
      </c>
      <c r="AE14" s="553" t="s">
        <v>7</v>
      </c>
      <c r="AF14" s="555" t="s">
        <v>1624</v>
      </c>
      <c r="AG14" s="628" t="s">
        <v>2031</v>
      </c>
      <c r="AH14" s="278"/>
      <c r="AI14" s="278"/>
      <c r="AJ14" s="15"/>
    </row>
    <row r="15" spans="1:36" ht="38.25" x14ac:dyDescent="0.2">
      <c r="A15" s="260" t="s">
        <v>276</v>
      </c>
      <c r="B15" s="736" t="s">
        <v>2038</v>
      </c>
      <c r="C15" s="557" t="s">
        <v>50</v>
      </c>
      <c r="D15" s="559" t="s">
        <v>779</v>
      </c>
      <c r="E15" s="556" t="s">
        <v>7</v>
      </c>
      <c r="F15" s="556" t="s">
        <v>1232</v>
      </c>
      <c r="G15" s="553" t="s">
        <v>1233</v>
      </c>
      <c r="H15" s="553" t="s">
        <v>6</v>
      </c>
      <c r="I15" s="553" t="s">
        <v>6</v>
      </c>
      <c r="J15" s="553" t="s">
        <v>6</v>
      </c>
      <c r="K15" s="553" t="s">
        <v>6</v>
      </c>
      <c r="L15" s="553" t="s">
        <v>6</v>
      </c>
      <c r="M15" s="553" t="s">
        <v>6</v>
      </c>
      <c r="N15" s="553" t="s">
        <v>6</v>
      </c>
      <c r="O15" s="553" t="s">
        <v>6</v>
      </c>
      <c r="P15" s="553" t="s">
        <v>6</v>
      </c>
      <c r="Q15" s="553" t="s">
        <v>77</v>
      </c>
      <c r="R15" s="553" t="s">
        <v>6</v>
      </c>
      <c r="S15" s="553" t="s">
        <v>6</v>
      </c>
      <c r="T15" s="553" t="s">
        <v>6</v>
      </c>
      <c r="U15" s="553" t="s">
        <v>6</v>
      </c>
      <c r="V15" s="553" t="s">
        <v>77</v>
      </c>
      <c r="W15" s="553" t="s">
        <v>77</v>
      </c>
      <c r="X15" s="553" t="s">
        <v>6</v>
      </c>
      <c r="Y15" s="553" t="s">
        <v>6</v>
      </c>
      <c r="Z15" s="553" t="s">
        <v>6</v>
      </c>
      <c r="AA15" s="553" t="s">
        <v>6</v>
      </c>
      <c r="AB15" s="553" t="s">
        <v>6</v>
      </c>
      <c r="AC15" s="553" t="s">
        <v>6</v>
      </c>
      <c r="AD15" s="553" t="s">
        <v>6</v>
      </c>
      <c r="AE15" s="553" t="s">
        <v>7</v>
      </c>
      <c r="AF15" s="555" t="s">
        <v>1624</v>
      </c>
      <c r="AG15" s="628" t="s">
        <v>2031</v>
      </c>
      <c r="AH15" s="278"/>
      <c r="AI15" s="278"/>
      <c r="AJ15" s="15"/>
    </row>
    <row r="16" spans="1:36" ht="38.25" x14ac:dyDescent="0.2">
      <c r="A16" s="260" t="s">
        <v>276</v>
      </c>
      <c r="B16" s="736" t="s">
        <v>2038</v>
      </c>
      <c r="C16" s="557" t="s">
        <v>50</v>
      </c>
      <c r="D16" s="559" t="s">
        <v>779</v>
      </c>
      <c r="E16" s="556" t="s">
        <v>7</v>
      </c>
      <c r="F16" s="556" t="s">
        <v>1232</v>
      </c>
      <c r="G16" s="553" t="s">
        <v>1229</v>
      </c>
      <c r="H16" s="553" t="s">
        <v>6</v>
      </c>
      <c r="I16" s="553" t="s">
        <v>6</v>
      </c>
      <c r="J16" s="553" t="s">
        <v>6</v>
      </c>
      <c r="K16" s="553" t="s">
        <v>6</v>
      </c>
      <c r="L16" s="553" t="s">
        <v>6</v>
      </c>
      <c r="M16" s="553" t="s">
        <v>6</v>
      </c>
      <c r="N16" s="553" t="s">
        <v>6</v>
      </c>
      <c r="O16" s="553" t="s">
        <v>6</v>
      </c>
      <c r="P16" s="553" t="s">
        <v>6</v>
      </c>
      <c r="Q16" s="553" t="s">
        <v>77</v>
      </c>
      <c r="R16" s="553" t="s">
        <v>6</v>
      </c>
      <c r="S16" s="553" t="s">
        <v>6</v>
      </c>
      <c r="T16" s="553" t="s">
        <v>6</v>
      </c>
      <c r="U16" s="553" t="s">
        <v>6</v>
      </c>
      <c r="V16" s="553" t="s">
        <v>77</v>
      </c>
      <c r="W16" s="553" t="s">
        <v>77</v>
      </c>
      <c r="X16" s="553" t="s">
        <v>6</v>
      </c>
      <c r="Y16" s="553" t="s">
        <v>6</v>
      </c>
      <c r="Z16" s="553" t="s">
        <v>6</v>
      </c>
      <c r="AA16" s="553" t="s">
        <v>6</v>
      </c>
      <c r="AB16" s="553" t="s">
        <v>6</v>
      </c>
      <c r="AC16" s="553" t="s">
        <v>6</v>
      </c>
      <c r="AD16" s="553" t="s">
        <v>6</v>
      </c>
      <c r="AE16" s="553" t="s">
        <v>7</v>
      </c>
      <c r="AF16" s="555" t="s">
        <v>1624</v>
      </c>
      <c r="AG16" s="628" t="s">
        <v>2031</v>
      </c>
      <c r="AH16" s="278"/>
      <c r="AI16" s="278"/>
      <c r="AJ16" s="15"/>
    </row>
    <row r="17" spans="1:35" x14ac:dyDescent="0.2">
      <c r="A17" s="185"/>
      <c r="B17" s="185"/>
      <c r="C17" s="185"/>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5"/>
      <c r="AH17" s="15"/>
      <c r="AI17" s="15"/>
    </row>
    <row r="18" spans="1:35" x14ac:dyDescent="0.2">
      <c r="A18" s="185"/>
      <c r="B18" s="185"/>
      <c r="C18" s="205"/>
      <c r="D18" s="205"/>
      <c r="E18" s="205"/>
      <c r="F18" s="205"/>
      <c r="G18" s="205"/>
      <c r="H18" s="205"/>
      <c r="I18" s="205"/>
      <c r="J18" s="205"/>
      <c r="K18" s="206"/>
      <c r="L18" s="225"/>
      <c r="M18" s="223"/>
      <c r="N18" s="225"/>
      <c r="O18" s="223"/>
      <c r="P18" s="233"/>
      <c r="Q18" s="185"/>
      <c r="R18" s="185"/>
      <c r="S18" s="185"/>
      <c r="T18" s="185"/>
      <c r="U18" s="185"/>
      <c r="V18" s="185"/>
      <c r="W18" s="185"/>
      <c r="X18" s="185"/>
      <c r="Y18" s="185"/>
      <c r="Z18" s="185"/>
      <c r="AA18" s="185"/>
    </row>
    <row r="19" spans="1:35" x14ac:dyDescent="0.2">
      <c r="A19" s="205"/>
      <c r="B19" s="205"/>
      <c r="C19" s="205"/>
      <c r="D19" s="205"/>
      <c r="E19" s="205"/>
      <c r="F19" s="205"/>
      <c r="G19" s="205"/>
      <c r="H19" s="205"/>
      <c r="I19" s="205"/>
      <c r="J19" s="205"/>
      <c r="K19" s="206"/>
      <c r="L19" s="225"/>
      <c r="M19" s="223"/>
      <c r="N19" s="225"/>
      <c r="O19" s="223"/>
      <c r="P19" s="233"/>
      <c r="Q19" s="185"/>
      <c r="R19" s="185"/>
      <c r="S19" s="185"/>
      <c r="T19" s="185"/>
      <c r="U19" s="185"/>
      <c r="V19" s="185"/>
      <c r="W19" s="185"/>
      <c r="X19" s="185"/>
      <c r="Y19" s="185"/>
      <c r="Z19" s="185"/>
      <c r="AA19" s="185"/>
    </row>
    <row r="20" spans="1:35" x14ac:dyDescent="0.2">
      <c r="A20" s="205"/>
      <c r="B20" s="205"/>
      <c r="C20" s="205"/>
      <c r="D20" s="205"/>
      <c r="E20" s="205"/>
      <c r="F20" s="205"/>
      <c r="G20" s="205"/>
      <c r="H20" s="205"/>
      <c r="I20" s="205"/>
      <c r="J20" s="205"/>
      <c r="K20" s="206"/>
      <c r="L20" s="225"/>
      <c r="M20" s="223"/>
      <c r="N20" s="225"/>
      <c r="O20" s="223"/>
      <c r="P20" s="233"/>
      <c r="Q20" s="185"/>
      <c r="R20" s="185"/>
      <c r="S20" s="185"/>
      <c r="T20" s="185"/>
      <c r="U20" s="185"/>
      <c r="V20" s="185"/>
      <c r="W20" s="185"/>
      <c r="X20" s="185"/>
      <c r="Y20" s="185"/>
      <c r="Z20" s="185"/>
      <c r="AA20" s="185"/>
    </row>
    <row r="21" spans="1:35" x14ac:dyDescent="0.2">
      <c r="A21" s="225"/>
      <c r="B21" s="225"/>
      <c r="C21" s="223"/>
      <c r="D21" s="225"/>
      <c r="E21" s="223"/>
      <c r="F21" s="248"/>
      <c r="G21" s="231"/>
      <c r="H21" s="231"/>
      <c r="I21" s="234"/>
      <c r="J21" s="225"/>
      <c r="K21" s="223"/>
      <c r="L21" s="225"/>
      <c r="M21" s="223"/>
      <c r="N21" s="225"/>
      <c r="O21" s="223"/>
      <c r="P21" s="233"/>
      <c r="Q21" s="185"/>
      <c r="R21" s="185"/>
      <c r="S21" s="185"/>
      <c r="T21" s="185"/>
      <c r="U21" s="185"/>
      <c r="V21" s="185"/>
      <c r="W21" s="185"/>
      <c r="X21" s="185"/>
      <c r="Y21" s="185"/>
      <c r="Z21" s="185"/>
      <c r="AA21" s="185"/>
    </row>
    <row r="22" spans="1:35" x14ac:dyDescent="0.2">
      <c r="A22" s="225"/>
      <c r="B22" s="225"/>
      <c r="C22" s="223"/>
      <c r="D22" s="225"/>
      <c r="E22" s="223"/>
      <c r="F22" s="248"/>
      <c r="G22" s="231"/>
      <c r="H22" s="231"/>
      <c r="I22" s="234"/>
      <c r="J22" s="225"/>
      <c r="K22" s="223"/>
      <c r="L22" s="225"/>
      <c r="M22" s="223"/>
      <c r="N22" s="225"/>
      <c r="O22" s="223"/>
      <c r="P22" s="233"/>
      <c r="Q22" s="185"/>
      <c r="R22" s="185"/>
      <c r="S22" s="185"/>
      <c r="T22" s="185"/>
      <c r="U22" s="185"/>
      <c r="V22" s="185"/>
      <c r="W22" s="185"/>
      <c r="X22" s="185"/>
      <c r="Y22" s="185"/>
      <c r="Z22" s="185"/>
      <c r="AA22" s="185"/>
    </row>
    <row r="23" spans="1:35" x14ac:dyDescent="0.2">
      <c r="A23" s="225"/>
      <c r="B23" s="225"/>
      <c r="C23" s="223"/>
      <c r="D23" s="225"/>
      <c r="E23" s="223"/>
      <c r="F23" s="248"/>
      <c r="G23" s="231"/>
      <c r="H23" s="231"/>
      <c r="I23" s="234"/>
      <c r="J23" s="225"/>
      <c r="K23" s="223"/>
      <c r="L23" s="225"/>
      <c r="M23" s="223"/>
      <c r="N23" s="225"/>
      <c r="O23" s="223"/>
      <c r="P23" s="233"/>
      <c r="Q23" s="185"/>
      <c r="R23" s="185"/>
      <c r="S23" s="185"/>
      <c r="T23" s="185"/>
      <c r="U23" s="185"/>
      <c r="V23" s="185"/>
      <c r="W23" s="185"/>
      <c r="X23" s="185"/>
      <c r="Y23" s="185"/>
      <c r="Z23" s="185"/>
      <c r="AA23" s="185"/>
    </row>
    <row r="24" spans="1:35" x14ac:dyDescent="0.2">
      <c r="A24" s="225"/>
      <c r="B24" s="225"/>
      <c r="C24" s="223"/>
      <c r="D24" s="225"/>
      <c r="E24" s="223"/>
      <c r="F24" s="248"/>
      <c r="G24" s="231"/>
      <c r="H24" s="231"/>
      <c r="I24" s="234"/>
      <c r="J24" s="225"/>
      <c r="K24" s="223"/>
      <c r="L24" s="225"/>
      <c r="M24" s="223"/>
      <c r="N24" s="225"/>
      <c r="O24" s="223"/>
      <c r="P24" s="233"/>
      <c r="Q24" s="185"/>
      <c r="R24" s="185"/>
      <c r="S24" s="185"/>
      <c r="T24" s="185"/>
      <c r="U24" s="185"/>
      <c r="V24" s="185"/>
      <c r="W24" s="185"/>
      <c r="X24" s="185"/>
      <c r="Y24" s="185"/>
      <c r="Z24" s="185"/>
      <c r="AA24" s="185"/>
    </row>
    <row r="25" spans="1:35" x14ac:dyDescent="0.2">
      <c r="A25" s="245"/>
      <c r="B25" s="245"/>
      <c r="C25" s="246"/>
      <c r="D25" s="247"/>
      <c r="E25" s="247"/>
      <c r="F25" s="248"/>
      <c r="G25" s="231"/>
      <c r="H25" s="226"/>
      <c r="I25" s="226"/>
      <c r="J25" s="227"/>
      <c r="K25" s="227"/>
      <c r="L25" s="228"/>
      <c r="M25" s="228"/>
      <c r="N25" s="229"/>
      <c r="O25" s="230"/>
      <c r="P25" s="233"/>
      <c r="Q25" s="185"/>
      <c r="R25" s="185"/>
      <c r="S25" s="185"/>
      <c r="T25" s="185"/>
      <c r="U25" s="185"/>
      <c r="V25" s="185"/>
      <c r="W25" s="185"/>
      <c r="X25" s="185"/>
      <c r="Y25" s="185"/>
      <c r="Z25" s="185"/>
      <c r="AA25" s="185"/>
    </row>
    <row r="26" spans="1:35" x14ac:dyDescent="0.2">
      <c r="A26" s="225"/>
      <c r="B26" s="225"/>
      <c r="C26" s="225"/>
      <c r="D26" s="225"/>
      <c r="E26" s="225"/>
      <c r="F26" s="248"/>
      <c r="G26" s="231"/>
      <c r="H26" s="225"/>
      <c r="I26" s="225"/>
      <c r="J26" s="225"/>
      <c r="K26" s="225"/>
      <c r="L26" s="225"/>
      <c r="M26" s="225"/>
      <c r="N26" s="225"/>
      <c r="O26" s="225"/>
      <c r="P26" s="233"/>
      <c r="Q26" s="185"/>
      <c r="R26" s="185"/>
      <c r="S26" s="185"/>
      <c r="T26" s="185"/>
      <c r="U26" s="185"/>
      <c r="V26" s="185"/>
      <c r="W26" s="185"/>
      <c r="X26" s="185"/>
      <c r="Y26" s="185"/>
      <c r="Z26" s="185"/>
      <c r="AA26" s="185"/>
    </row>
    <row r="27" spans="1:35" x14ac:dyDescent="0.2">
      <c r="A27" s="225"/>
      <c r="B27" s="225"/>
      <c r="C27" s="225"/>
      <c r="D27" s="225"/>
      <c r="E27" s="225"/>
      <c r="F27" s="248"/>
      <c r="G27" s="231"/>
      <c r="H27" s="225"/>
      <c r="I27" s="225"/>
      <c r="J27" s="225"/>
      <c r="K27" s="225"/>
      <c r="L27" s="225"/>
      <c r="M27" s="225"/>
      <c r="N27" s="225"/>
      <c r="O27" s="225"/>
      <c r="P27" s="233"/>
      <c r="Q27" s="185"/>
      <c r="R27" s="185"/>
      <c r="S27" s="185"/>
      <c r="T27" s="185"/>
      <c r="U27" s="185"/>
      <c r="V27" s="185"/>
      <c r="W27" s="185"/>
      <c r="X27" s="185"/>
      <c r="Y27" s="185"/>
      <c r="Z27" s="185"/>
      <c r="AA27" s="185"/>
    </row>
    <row r="28" spans="1:35" x14ac:dyDescent="0.2">
      <c r="A28" s="225"/>
      <c r="B28" s="225"/>
      <c r="C28" s="225"/>
      <c r="D28" s="225"/>
      <c r="E28" s="225"/>
      <c r="F28" s="248"/>
      <c r="G28" s="231"/>
      <c r="H28" s="225"/>
      <c r="I28" s="225"/>
      <c r="J28" s="225"/>
      <c r="K28" s="225"/>
      <c r="L28" s="225"/>
      <c r="M28" s="225"/>
      <c r="N28" s="225"/>
      <c r="O28" s="225"/>
      <c r="P28" s="233"/>
      <c r="Q28" s="185"/>
      <c r="R28" s="185"/>
      <c r="S28" s="185"/>
      <c r="T28" s="185"/>
      <c r="U28" s="185"/>
      <c r="V28" s="185"/>
      <c r="W28" s="185"/>
      <c r="X28" s="185"/>
      <c r="Y28" s="185"/>
      <c r="Z28" s="185"/>
      <c r="AA28" s="185"/>
    </row>
    <row r="29" spans="1:35" x14ac:dyDescent="0.2">
      <c r="A29" s="225"/>
      <c r="B29" s="225"/>
      <c r="C29" s="205"/>
      <c r="D29" s="249"/>
      <c r="E29" s="225"/>
      <c r="F29" s="250"/>
      <c r="G29" s="231"/>
      <c r="H29" s="225"/>
      <c r="I29" s="225"/>
      <c r="J29" s="225"/>
      <c r="K29" s="225"/>
      <c r="L29" s="225"/>
      <c r="M29" s="225"/>
      <c r="N29" s="225"/>
      <c r="O29" s="225"/>
      <c r="P29" s="233"/>
      <c r="Q29" s="185"/>
      <c r="R29" s="185"/>
      <c r="S29" s="185"/>
      <c r="T29" s="185"/>
      <c r="U29" s="185"/>
      <c r="V29" s="185"/>
      <c r="W29" s="185"/>
      <c r="X29" s="185"/>
      <c r="Y29" s="185"/>
      <c r="Z29" s="185"/>
      <c r="AA29" s="185"/>
    </row>
    <row r="30" spans="1:35" x14ac:dyDescent="0.2">
      <c r="A30" s="185"/>
      <c r="B30" s="185"/>
      <c r="C30" s="185"/>
      <c r="D30" s="185"/>
      <c r="E30" s="185"/>
      <c r="F30" s="185"/>
      <c r="G30" s="185"/>
      <c r="H30" s="185"/>
      <c r="I30" s="185"/>
      <c r="J30" s="185"/>
      <c r="K30" s="185"/>
      <c r="L30" s="185"/>
      <c r="M30" s="185"/>
      <c r="N30" s="185"/>
      <c r="O30" s="185"/>
      <c r="P30" s="185"/>
      <c r="Q30" s="185"/>
      <c r="R30" s="185"/>
      <c r="S30" s="185"/>
      <c r="T30" s="185"/>
      <c r="U30" s="185"/>
      <c r="V30" s="185"/>
      <c r="W30" s="185"/>
      <c r="X30" s="185"/>
      <c r="Y30" s="185"/>
      <c r="Z30" s="185"/>
      <c r="AA30" s="185"/>
    </row>
    <row r="31" spans="1:35" x14ac:dyDescent="0.2">
      <c r="A31" s="185"/>
      <c r="B31" s="185"/>
      <c r="C31" s="185"/>
      <c r="D31" s="185"/>
      <c r="E31" s="185"/>
      <c r="F31" s="185"/>
      <c r="G31" s="185"/>
      <c r="H31" s="185"/>
      <c r="I31" s="185"/>
      <c r="J31" s="185"/>
      <c r="K31" s="185"/>
      <c r="L31" s="185"/>
      <c r="M31" s="185"/>
      <c r="N31" s="185"/>
      <c r="O31" s="185"/>
      <c r="P31" s="185"/>
      <c r="Q31" s="185"/>
      <c r="R31" s="185"/>
      <c r="S31" s="185"/>
      <c r="T31" s="185"/>
      <c r="U31" s="185"/>
      <c r="V31" s="185"/>
      <c r="W31" s="185"/>
      <c r="X31" s="185"/>
      <c r="Y31" s="185"/>
      <c r="Z31" s="185"/>
      <c r="AA31" s="185"/>
    </row>
    <row r="32" spans="1:35" x14ac:dyDescent="0.2">
      <c r="A32" s="185"/>
      <c r="B32" s="185"/>
      <c r="C32" s="185"/>
      <c r="D32" s="185"/>
      <c r="E32" s="185"/>
      <c r="F32" s="185"/>
      <c r="G32" s="185"/>
      <c r="H32" s="185"/>
      <c r="I32" s="185"/>
      <c r="J32" s="185"/>
      <c r="K32" s="185"/>
      <c r="L32" s="185"/>
      <c r="M32" s="185"/>
      <c r="N32" s="185"/>
      <c r="O32" s="185"/>
      <c r="P32" s="185"/>
      <c r="Q32" s="185"/>
      <c r="R32" s="185"/>
      <c r="S32" s="185"/>
      <c r="T32" s="185"/>
      <c r="U32" s="185"/>
      <c r="V32" s="185"/>
      <c r="W32" s="185"/>
      <c r="X32" s="185"/>
      <c r="Y32" s="185"/>
      <c r="Z32" s="185"/>
      <c r="AA32" s="185"/>
    </row>
    <row r="33" spans="1:27" x14ac:dyDescent="0.2">
      <c r="A33" s="185"/>
      <c r="B33" s="185"/>
      <c r="C33" s="185"/>
      <c r="D33" s="185"/>
      <c r="E33" s="185"/>
      <c r="F33" s="185"/>
      <c r="G33" s="185"/>
      <c r="H33" s="185"/>
      <c r="I33" s="185"/>
      <c r="J33" s="185"/>
      <c r="K33" s="185"/>
      <c r="L33" s="185"/>
      <c r="M33" s="185"/>
      <c r="N33" s="185"/>
      <c r="O33" s="185"/>
      <c r="P33" s="185"/>
      <c r="Q33" s="185"/>
      <c r="R33" s="185"/>
      <c r="S33" s="185"/>
      <c r="T33" s="185"/>
      <c r="U33" s="185"/>
      <c r="V33" s="185"/>
      <c r="W33" s="185"/>
      <c r="X33" s="185"/>
      <c r="Y33" s="185"/>
      <c r="Z33" s="185"/>
      <c r="AA33" s="185"/>
    </row>
    <row r="34" spans="1:27" x14ac:dyDescent="0.2">
      <c r="N34" s="185"/>
      <c r="O34" s="185"/>
      <c r="P34" s="185"/>
      <c r="Q34" s="185"/>
      <c r="R34" s="185"/>
    </row>
    <row r="35" spans="1:27" x14ac:dyDescent="0.2">
      <c r="N35" s="185"/>
      <c r="O35" s="185"/>
      <c r="P35" s="185"/>
      <c r="Q35" s="185"/>
      <c r="R35" s="185"/>
    </row>
    <row r="36" spans="1:27" x14ac:dyDescent="0.2">
      <c r="N36" s="185"/>
      <c r="O36" s="185"/>
      <c r="P36" s="185"/>
      <c r="Q36" s="185"/>
      <c r="R36" s="185"/>
    </row>
    <row r="37" spans="1:27" x14ac:dyDescent="0.2">
      <c r="N37" s="185"/>
      <c r="O37" s="185"/>
      <c r="P37" s="185"/>
      <c r="Q37" s="185"/>
      <c r="R37" s="185"/>
    </row>
    <row r="38" spans="1:27" x14ac:dyDescent="0.2">
      <c r="N38" s="185"/>
      <c r="O38" s="185"/>
      <c r="P38" s="185"/>
      <c r="Q38" s="185"/>
      <c r="R38" s="185"/>
    </row>
    <row r="39" spans="1:27" x14ac:dyDescent="0.2">
      <c r="N39" s="185"/>
      <c r="O39" s="185"/>
      <c r="P39" s="185"/>
      <c r="Q39" s="185"/>
      <c r="R39" s="185"/>
    </row>
    <row r="40" spans="1:27" x14ac:dyDescent="0.2">
      <c r="N40" s="185"/>
      <c r="O40" s="185"/>
      <c r="P40" s="185"/>
      <c r="Q40" s="185"/>
      <c r="R40" s="185"/>
    </row>
    <row r="41" spans="1:27" x14ac:dyDescent="0.2">
      <c r="N41" s="185"/>
      <c r="O41" s="185"/>
      <c r="P41" s="185"/>
      <c r="Q41" s="185"/>
      <c r="R41" s="185"/>
    </row>
    <row r="42" spans="1:27" x14ac:dyDescent="0.2">
      <c r="N42" s="185"/>
      <c r="O42" s="185"/>
      <c r="P42" s="185"/>
      <c r="Q42" s="185"/>
      <c r="R42" s="185"/>
    </row>
    <row r="43" spans="1:27" x14ac:dyDescent="0.2">
      <c r="N43" s="185"/>
      <c r="O43" s="185"/>
      <c r="P43" s="185"/>
      <c r="Q43" s="185"/>
      <c r="R43" s="185"/>
    </row>
    <row r="44" spans="1:27" x14ac:dyDescent="0.2">
      <c r="N44" s="185"/>
      <c r="O44" s="185"/>
      <c r="P44" s="185"/>
      <c r="Q44" s="185"/>
      <c r="R44" s="185"/>
    </row>
    <row r="45" spans="1:27" x14ac:dyDescent="0.2">
      <c r="N45" s="185"/>
      <c r="O45" s="185"/>
      <c r="P45" s="185"/>
      <c r="Q45" s="185"/>
      <c r="R45" s="185"/>
    </row>
    <row r="46" spans="1:27" x14ac:dyDescent="0.2">
      <c r="N46" s="185"/>
      <c r="O46" s="185"/>
      <c r="P46" s="185"/>
      <c r="Q46" s="185"/>
      <c r="R46" s="185"/>
    </row>
    <row r="47" spans="1:27" x14ac:dyDescent="0.2">
      <c r="N47" s="185"/>
      <c r="O47" s="185"/>
      <c r="P47" s="185"/>
      <c r="Q47" s="185"/>
      <c r="R47" s="185"/>
    </row>
    <row r="48" spans="1:27" x14ac:dyDescent="0.2">
      <c r="N48" s="185"/>
      <c r="O48" s="185"/>
      <c r="P48" s="185"/>
      <c r="Q48" s="185"/>
      <c r="R48" s="185"/>
    </row>
    <row r="49" spans="14:18" x14ac:dyDescent="0.2">
      <c r="N49" s="185"/>
      <c r="O49" s="185"/>
      <c r="P49" s="185"/>
      <c r="Q49" s="185"/>
      <c r="R49" s="185"/>
    </row>
    <row r="50" spans="14:18" x14ac:dyDescent="0.2">
      <c r="N50" s="185"/>
      <c r="O50" s="185"/>
      <c r="P50" s="185"/>
      <c r="Q50" s="185"/>
      <c r="R50" s="185"/>
    </row>
    <row r="51" spans="14:18" x14ac:dyDescent="0.2">
      <c r="N51" s="185"/>
      <c r="O51" s="185"/>
      <c r="P51" s="185"/>
      <c r="Q51" s="185"/>
      <c r="R51" s="185"/>
    </row>
    <row r="52" spans="14:18" x14ac:dyDescent="0.2">
      <c r="N52" s="185"/>
      <c r="O52" s="185"/>
      <c r="P52" s="185"/>
      <c r="Q52" s="185"/>
      <c r="R52" s="185"/>
    </row>
    <row r="53" spans="14:18" x14ac:dyDescent="0.2">
      <c r="N53" s="185"/>
      <c r="O53" s="185"/>
      <c r="P53" s="185"/>
      <c r="Q53" s="185"/>
      <c r="R53" s="185"/>
    </row>
    <row r="54" spans="14:18" x14ac:dyDescent="0.2">
      <c r="N54" s="185"/>
      <c r="O54" s="185"/>
      <c r="P54" s="185"/>
      <c r="Q54" s="185"/>
      <c r="R54" s="185"/>
    </row>
    <row r="55" spans="14:18" x14ac:dyDescent="0.2">
      <c r="N55" s="185"/>
      <c r="O55" s="185"/>
      <c r="P55" s="185"/>
      <c r="Q55" s="185"/>
      <c r="R55" s="185"/>
    </row>
    <row r="56" spans="14:18" x14ac:dyDescent="0.2">
      <c r="N56" s="185"/>
      <c r="O56" s="185"/>
      <c r="P56" s="185"/>
      <c r="Q56" s="185"/>
      <c r="R56" s="185"/>
    </row>
    <row r="57" spans="14:18" x14ac:dyDescent="0.2">
      <c r="N57" s="185"/>
      <c r="O57" s="185"/>
      <c r="P57" s="185"/>
      <c r="Q57" s="185"/>
      <c r="R57" s="185"/>
    </row>
    <row r="58" spans="14:18" x14ac:dyDescent="0.2">
      <c r="N58" s="185"/>
      <c r="O58" s="185"/>
      <c r="P58" s="185"/>
      <c r="Q58" s="185"/>
      <c r="R58" s="185"/>
    </row>
    <row r="59" spans="14:18" x14ac:dyDescent="0.2">
      <c r="N59" s="185"/>
      <c r="O59" s="185"/>
      <c r="P59" s="185"/>
      <c r="Q59" s="185"/>
      <c r="R59" s="185"/>
    </row>
    <row r="60" spans="14:18" x14ac:dyDescent="0.2">
      <c r="N60" s="185"/>
      <c r="O60" s="185"/>
      <c r="P60" s="185"/>
      <c r="Q60" s="185"/>
      <c r="R60" s="185"/>
    </row>
    <row r="61" spans="14:18" x14ac:dyDescent="0.2">
      <c r="N61" s="185"/>
      <c r="O61" s="185"/>
      <c r="P61" s="185"/>
      <c r="Q61" s="185"/>
      <c r="R61" s="185"/>
    </row>
    <row r="62" spans="14:18" x14ac:dyDescent="0.2">
      <c r="N62" s="185"/>
      <c r="O62" s="185"/>
      <c r="P62" s="185"/>
      <c r="Q62" s="185"/>
      <c r="R62" s="185"/>
    </row>
    <row r="63" spans="14:18" x14ac:dyDescent="0.2">
      <c r="N63" s="185"/>
      <c r="O63" s="185"/>
      <c r="P63" s="185"/>
      <c r="Q63" s="185"/>
      <c r="R63" s="185"/>
    </row>
    <row r="64" spans="14:18" x14ac:dyDescent="0.2">
      <c r="N64" s="185"/>
      <c r="O64" s="185"/>
      <c r="P64" s="185"/>
      <c r="Q64" s="185"/>
      <c r="R64" s="185"/>
    </row>
    <row r="65" spans="14:18" x14ac:dyDescent="0.2">
      <c r="N65" s="185"/>
      <c r="O65" s="185"/>
      <c r="P65" s="185"/>
      <c r="Q65" s="185"/>
      <c r="R65" s="185"/>
    </row>
    <row r="66" spans="14:18" x14ac:dyDescent="0.2">
      <c r="N66" s="185"/>
      <c r="O66" s="185"/>
      <c r="P66" s="185"/>
      <c r="Q66" s="185"/>
      <c r="R66" s="185"/>
    </row>
    <row r="67" spans="14:18" x14ac:dyDescent="0.2">
      <c r="N67" s="185"/>
      <c r="O67" s="185"/>
      <c r="P67" s="185"/>
      <c r="Q67" s="185"/>
      <c r="R67" s="185"/>
    </row>
    <row r="68" spans="14:18" x14ac:dyDescent="0.2">
      <c r="N68" s="185"/>
      <c r="O68" s="185"/>
      <c r="P68" s="185"/>
      <c r="Q68" s="185"/>
      <c r="R68" s="185"/>
    </row>
    <row r="69" spans="14:18" x14ac:dyDescent="0.2">
      <c r="N69" s="185"/>
      <c r="O69" s="185"/>
      <c r="P69" s="185"/>
      <c r="Q69" s="185"/>
      <c r="R69" s="185"/>
    </row>
    <row r="70" spans="14:18" x14ac:dyDescent="0.2">
      <c r="N70" s="185"/>
      <c r="O70" s="185"/>
      <c r="P70" s="185"/>
      <c r="Q70" s="185"/>
      <c r="R70" s="185"/>
    </row>
    <row r="71" spans="14:18" x14ac:dyDescent="0.2">
      <c r="N71" s="185"/>
      <c r="O71" s="185"/>
      <c r="P71" s="185"/>
      <c r="Q71" s="185"/>
      <c r="R71" s="185"/>
    </row>
    <row r="72" spans="14:18" x14ac:dyDescent="0.2">
      <c r="N72" s="185"/>
      <c r="O72" s="185"/>
      <c r="P72" s="185"/>
      <c r="Q72" s="185"/>
      <c r="R72" s="185"/>
    </row>
    <row r="73" spans="14:18" x14ac:dyDescent="0.2">
      <c r="N73" s="185"/>
      <c r="O73" s="185"/>
      <c r="P73" s="185"/>
      <c r="Q73" s="185"/>
      <c r="R73" s="185"/>
    </row>
    <row r="74" spans="14:18" x14ac:dyDescent="0.2">
      <c r="N74" s="185"/>
      <c r="O74" s="185"/>
      <c r="P74" s="185"/>
      <c r="Q74" s="185"/>
      <c r="R74" s="185"/>
    </row>
    <row r="75" spans="14:18" x14ac:dyDescent="0.2">
      <c r="N75" s="185"/>
      <c r="O75" s="185"/>
      <c r="P75" s="185"/>
      <c r="Q75" s="185"/>
      <c r="R75" s="185"/>
    </row>
    <row r="76" spans="14:18" x14ac:dyDescent="0.2">
      <c r="N76" s="185"/>
      <c r="O76" s="185"/>
      <c r="P76" s="185"/>
      <c r="Q76" s="185"/>
      <c r="R76" s="185"/>
    </row>
    <row r="77" spans="14:18" x14ac:dyDescent="0.2">
      <c r="N77" s="185"/>
      <c r="O77" s="185"/>
      <c r="P77" s="185"/>
      <c r="Q77" s="185"/>
      <c r="R77" s="185"/>
    </row>
    <row r="78" spans="14:18" x14ac:dyDescent="0.2">
      <c r="N78" s="185"/>
      <c r="O78" s="185"/>
      <c r="P78" s="185"/>
      <c r="Q78" s="185"/>
      <c r="R78" s="185"/>
    </row>
    <row r="79" spans="14:18" x14ac:dyDescent="0.2">
      <c r="N79" s="185"/>
      <c r="O79" s="185"/>
      <c r="P79" s="185"/>
      <c r="Q79" s="185"/>
      <c r="R79" s="185"/>
    </row>
    <row r="80" spans="14:18" x14ac:dyDescent="0.2">
      <c r="N80" s="185"/>
      <c r="O80" s="185"/>
      <c r="P80" s="185"/>
      <c r="Q80" s="185"/>
      <c r="R80" s="185"/>
    </row>
    <row r="81" spans="14:18" x14ac:dyDescent="0.2">
      <c r="N81" s="185"/>
      <c r="O81" s="185"/>
      <c r="P81" s="185"/>
      <c r="Q81" s="185"/>
      <c r="R81" s="185"/>
    </row>
    <row r="82" spans="14:18" x14ac:dyDescent="0.2">
      <c r="N82" s="185"/>
      <c r="O82" s="185"/>
      <c r="P82" s="185"/>
      <c r="Q82" s="185"/>
      <c r="R82" s="185"/>
    </row>
    <row r="83" spans="14:18" x14ac:dyDescent="0.2">
      <c r="N83" s="185"/>
      <c r="O83" s="185"/>
      <c r="P83" s="185"/>
      <c r="Q83" s="185"/>
      <c r="R83" s="185"/>
    </row>
    <row r="84" spans="14:18" x14ac:dyDescent="0.2">
      <c r="N84" s="185"/>
      <c r="O84" s="185"/>
      <c r="P84" s="185"/>
      <c r="Q84" s="185"/>
      <c r="R84" s="185"/>
    </row>
    <row r="85" spans="14:18" x14ac:dyDescent="0.2">
      <c r="N85" s="185"/>
      <c r="O85" s="185"/>
      <c r="P85" s="185"/>
      <c r="Q85" s="185"/>
      <c r="R85" s="185"/>
    </row>
    <row r="86" spans="14:18" x14ac:dyDescent="0.2">
      <c r="N86" s="185"/>
      <c r="O86" s="185"/>
      <c r="P86" s="185"/>
      <c r="Q86" s="185"/>
      <c r="R86" s="185"/>
    </row>
    <row r="87" spans="14:18" x14ac:dyDescent="0.2">
      <c r="N87" s="185"/>
      <c r="O87" s="185"/>
      <c r="P87" s="185"/>
      <c r="Q87" s="185"/>
      <c r="R87" s="185"/>
    </row>
    <row r="88" spans="14:18" x14ac:dyDescent="0.2">
      <c r="N88" s="185"/>
      <c r="O88" s="185"/>
      <c r="P88" s="185"/>
      <c r="Q88" s="185"/>
      <c r="R88" s="185"/>
    </row>
    <row r="89" spans="14:18" x14ac:dyDescent="0.2">
      <c r="N89" s="185"/>
      <c r="O89" s="185"/>
      <c r="P89" s="185"/>
      <c r="Q89" s="185"/>
      <c r="R89" s="185"/>
    </row>
    <row r="90" spans="14:18" x14ac:dyDescent="0.2">
      <c r="N90" s="185"/>
      <c r="O90" s="185"/>
      <c r="P90" s="185"/>
      <c r="Q90" s="185"/>
      <c r="R90" s="185"/>
    </row>
    <row r="91" spans="14:18" x14ac:dyDescent="0.2">
      <c r="N91" s="185"/>
      <c r="O91" s="185"/>
      <c r="P91" s="185"/>
      <c r="Q91" s="185"/>
      <c r="R91" s="185"/>
    </row>
    <row r="92" spans="14:18" x14ac:dyDescent="0.2">
      <c r="N92" s="185"/>
      <c r="O92" s="185"/>
      <c r="P92" s="185"/>
      <c r="Q92" s="185"/>
      <c r="R92" s="185"/>
    </row>
    <row r="93" spans="14:18" x14ac:dyDescent="0.2">
      <c r="N93" s="185"/>
      <c r="O93" s="185"/>
      <c r="P93" s="185"/>
      <c r="Q93" s="185"/>
      <c r="R93" s="185"/>
    </row>
    <row r="94" spans="14:18" x14ac:dyDescent="0.2">
      <c r="N94" s="185"/>
      <c r="O94" s="185"/>
      <c r="P94" s="185"/>
      <c r="Q94" s="185"/>
      <c r="R94" s="185"/>
    </row>
    <row r="95" spans="14:18" x14ac:dyDescent="0.2">
      <c r="N95" s="185"/>
      <c r="O95" s="185"/>
      <c r="P95" s="185"/>
      <c r="Q95" s="185"/>
      <c r="R95" s="185"/>
    </row>
    <row r="96" spans="14:18" x14ac:dyDescent="0.2">
      <c r="N96" s="185"/>
      <c r="O96" s="185"/>
      <c r="P96" s="185"/>
      <c r="Q96" s="185"/>
      <c r="R96" s="185"/>
    </row>
    <row r="97" spans="14:18" x14ac:dyDescent="0.2">
      <c r="N97" s="185"/>
      <c r="O97" s="185"/>
      <c r="P97" s="185"/>
      <c r="Q97" s="185"/>
      <c r="R97" s="185"/>
    </row>
    <row r="98" spans="14:18" x14ac:dyDescent="0.2">
      <c r="N98" s="185"/>
      <c r="O98" s="185"/>
      <c r="P98" s="185"/>
      <c r="Q98" s="185"/>
      <c r="R98" s="185"/>
    </row>
    <row r="99" spans="14:18" x14ac:dyDescent="0.2">
      <c r="N99" s="185"/>
      <c r="O99" s="185"/>
      <c r="P99" s="185"/>
      <c r="Q99" s="185"/>
      <c r="R99" s="185"/>
    </row>
    <row r="100" spans="14:18" x14ac:dyDescent="0.2">
      <c r="N100" s="185"/>
      <c r="O100" s="185"/>
      <c r="P100" s="185"/>
      <c r="Q100" s="185"/>
      <c r="R100" s="185"/>
    </row>
    <row r="101" spans="14:18" x14ac:dyDescent="0.2">
      <c r="N101" s="185"/>
      <c r="O101" s="185"/>
      <c r="P101" s="185"/>
      <c r="Q101" s="185"/>
      <c r="R101" s="185"/>
    </row>
    <row r="102" spans="14:18" x14ac:dyDescent="0.2">
      <c r="N102" s="185"/>
      <c r="O102" s="185"/>
      <c r="P102" s="185"/>
      <c r="Q102" s="185"/>
      <c r="R102" s="185"/>
    </row>
    <row r="103" spans="14:18" x14ac:dyDescent="0.2">
      <c r="N103" s="185"/>
      <c r="O103" s="185"/>
      <c r="P103" s="185"/>
      <c r="Q103" s="185"/>
      <c r="R103" s="185"/>
    </row>
    <row r="104" spans="14:18" x14ac:dyDescent="0.2">
      <c r="N104" s="185"/>
      <c r="O104" s="185"/>
      <c r="P104" s="185"/>
      <c r="Q104" s="185"/>
      <c r="R104" s="185"/>
    </row>
    <row r="105" spans="14:18" x14ac:dyDescent="0.2">
      <c r="N105" s="185"/>
      <c r="O105" s="185"/>
      <c r="P105" s="185"/>
      <c r="Q105" s="185"/>
      <c r="R105" s="185"/>
    </row>
    <row r="106" spans="14:18" x14ac:dyDescent="0.2">
      <c r="N106" s="185"/>
      <c r="O106" s="185"/>
      <c r="P106" s="185"/>
      <c r="Q106" s="185"/>
      <c r="R106" s="185"/>
    </row>
    <row r="107" spans="14:18" x14ac:dyDescent="0.2">
      <c r="N107" s="185"/>
      <c r="O107" s="185"/>
      <c r="P107" s="185"/>
      <c r="Q107" s="185"/>
      <c r="R107" s="185"/>
    </row>
    <row r="108" spans="14:18" x14ac:dyDescent="0.2">
      <c r="N108" s="185"/>
      <c r="O108" s="185"/>
      <c r="P108" s="185"/>
      <c r="Q108" s="185"/>
      <c r="R108" s="185"/>
    </row>
    <row r="109" spans="14:18" x14ac:dyDescent="0.2">
      <c r="N109" s="185"/>
      <c r="O109" s="185"/>
      <c r="P109" s="185"/>
      <c r="Q109" s="185"/>
      <c r="R109" s="185"/>
    </row>
    <row r="110" spans="14:18" x14ac:dyDescent="0.2">
      <c r="N110" s="185"/>
      <c r="O110" s="185"/>
      <c r="P110" s="185"/>
      <c r="Q110" s="185"/>
      <c r="R110" s="185"/>
    </row>
    <row r="111" spans="14:18" x14ac:dyDescent="0.2">
      <c r="N111" s="185"/>
      <c r="O111" s="185"/>
      <c r="P111" s="185"/>
      <c r="Q111" s="185"/>
      <c r="R111" s="185"/>
    </row>
    <row r="112" spans="14:18" x14ac:dyDescent="0.2">
      <c r="N112" s="185"/>
      <c r="O112" s="185"/>
      <c r="P112" s="185"/>
      <c r="Q112" s="185"/>
      <c r="R112" s="185"/>
    </row>
    <row r="113" spans="14:18" x14ac:dyDescent="0.2">
      <c r="N113" s="185"/>
      <c r="O113" s="185"/>
      <c r="P113" s="185"/>
      <c r="Q113" s="185"/>
      <c r="R113" s="185"/>
    </row>
    <row r="114" spans="14:18" x14ac:dyDescent="0.2">
      <c r="N114" s="185"/>
      <c r="O114" s="185"/>
      <c r="P114" s="185"/>
      <c r="Q114" s="185"/>
      <c r="R114" s="185"/>
    </row>
    <row r="115" spans="14:18" x14ac:dyDescent="0.2">
      <c r="N115" s="185"/>
      <c r="O115" s="185"/>
      <c r="P115" s="185"/>
      <c r="Q115" s="185"/>
      <c r="R115" s="185"/>
    </row>
    <row r="116" spans="14:18" x14ac:dyDescent="0.2">
      <c r="N116" s="185"/>
      <c r="O116" s="185"/>
      <c r="P116" s="185"/>
      <c r="Q116" s="185"/>
      <c r="R116" s="185"/>
    </row>
    <row r="117" spans="14:18" x14ac:dyDescent="0.2">
      <c r="N117" s="185"/>
      <c r="O117" s="185"/>
      <c r="P117" s="185"/>
      <c r="Q117" s="185"/>
      <c r="R117" s="185"/>
    </row>
    <row r="118" spans="14:18" x14ac:dyDescent="0.2">
      <c r="N118" s="185"/>
      <c r="O118" s="185"/>
      <c r="P118" s="185"/>
      <c r="Q118" s="185"/>
      <c r="R118" s="185"/>
    </row>
    <row r="119" spans="14:18" x14ac:dyDescent="0.2">
      <c r="N119" s="185"/>
      <c r="O119" s="185"/>
      <c r="P119" s="185"/>
      <c r="Q119" s="185"/>
      <c r="R119" s="185"/>
    </row>
    <row r="120" spans="14:18" x14ac:dyDescent="0.2">
      <c r="N120" s="185"/>
      <c r="O120" s="185"/>
      <c r="P120" s="185"/>
      <c r="Q120" s="185"/>
      <c r="R120" s="185"/>
    </row>
    <row r="121" spans="14:18" x14ac:dyDescent="0.2">
      <c r="N121" s="185"/>
      <c r="O121" s="185"/>
      <c r="P121" s="185"/>
      <c r="Q121" s="185"/>
      <c r="R121" s="185"/>
    </row>
    <row r="122" spans="14:18" x14ac:dyDescent="0.2">
      <c r="N122" s="185"/>
      <c r="O122" s="185"/>
      <c r="P122" s="185"/>
      <c r="Q122" s="185"/>
      <c r="R122" s="185"/>
    </row>
    <row r="123" spans="14:18" x14ac:dyDescent="0.2">
      <c r="N123" s="185"/>
      <c r="O123" s="185"/>
      <c r="P123" s="185"/>
      <c r="Q123" s="185"/>
      <c r="R123" s="185"/>
    </row>
    <row r="124" spans="14:18" x14ac:dyDescent="0.2">
      <c r="N124" s="185"/>
      <c r="O124" s="185"/>
      <c r="P124" s="185"/>
      <c r="Q124" s="185"/>
      <c r="R124" s="185"/>
    </row>
    <row r="125" spans="14:18" x14ac:dyDescent="0.2">
      <c r="N125" s="185"/>
      <c r="O125" s="185"/>
      <c r="P125" s="185"/>
      <c r="Q125" s="185"/>
      <c r="R125" s="185"/>
    </row>
    <row r="126" spans="14:18" x14ac:dyDescent="0.2">
      <c r="N126" s="185"/>
      <c r="O126" s="185"/>
      <c r="P126" s="185"/>
      <c r="Q126" s="185"/>
      <c r="R126" s="185"/>
    </row>
    <row r="127" spans="14:18" x14ac:dyDescent="0.2">
      <c r="N127" s="185"/>
      <c r="O127" s="185"/>
      <c r="P127" s="185"/>
      <c r="Q127" s="185"/>
      <c r="R127" s="185"/>
    </row>
    <row r="128" spans="14:18" x14ac:dyDescent="0.2">
      <c r="N128" s="185"/>
      <c r="O128" s="185"/>
      <c r="P128" s="185"/>
      <c r="Q128" s="185"/>
      <c r="R128" s="185"/>
    </row>
    <row r="129" spans="14:18" x14ac:dyDescent="0.2">
      <c r="N129" s="185"/>
      <c r="O129" s="185"/>
      <c r="P129" s="185"/>
      <c r="Q129" s="185"/>
      <c r="R129" s="185"/>
    </row>
    <row r="130" spans="14:18" x14ac:dyDescent="0.2">
      <c r="N130" s="185"/>
      <c r="O130" s="185"/>
      <c r="P130" s="185"/>
      <c r="Q130" s="185"/>
      <c r="R130" s="185"/>
    </row>
    <row r="131" spans="14:18" x14ac:dyDescent="0.2">
      <c r="N131" s="185"/>
      <c r="O131" s="185"/>
      <c r="P131" s="185"/>
      <c r="Q131" s="185"/>
      <c r="R131" s="185"/>
    </row>
    <row r="132" spans="14:18" x14ac:dyDescent="0.2">
      <c r="N132" s="185"/>
      <c r="O132" s="185"/>
      <c r="P132" s="185"/>
      <c r="Q132" s="185"/>
      <c r="R132" s="185"/>
    </row>
    <row r="133" spans="14:18" x14ac:dyDescent="0.2">
      <c r="N133" s="185"/>
      <c r="O133" s="185"/>
      <c r="P133" s="185"/>
      <c r="Q133" s="185"/>
      <c r="R133" s="185"/>
    </row>
    <row r="134" spans="14:18" x14ac:dyDescent="0.2">
      <c r="N134" s="185"/>
      <c r="O134" s="185"/>
      <c r="P134" s="185"/>
      <c r="Q134" s="185"/>
      <c r="R134" s="185"/>
    </row>
    <row r="135" spans="14:18" x14ac:dyDescent="0.2">
      <c r="N135" s="185"/>
      <c r="O135" s="185"/>
      <c r="P135" s="185"/>
      <c r="Q135" s="185"/>
      <c r="R135" s="185"/>
    </row>
    <row r="136" spans="14:18" x14ac:dyDescent="0.2">
      <c r="N136" s="185"/>
      <c r="O136" s="185"/>
      <c r="P136" s="185"/>
      <c r="Q136" s="185"/>
      <c r="R136" s="185"/>
    </row>
    <row r="137" spans="14:18" x14ac:dyDescent="0.2">
      <c r="N137" s="185"/>
      <c r="O137" s="185"/>
      <c r="P137" s="185"/>
      <c r="Q137" s="185"/>
      <c r="R137" s="185"/>
    </row>
    <row r="138" spans="14:18" x14ac:dyDescent="0.2">
      <c r="N138" s="185"/>
      <c r="O138" s="185"/>
      <c r="P138" s="185"/>
      <c r="Q138" s="185"/>
      <c r="R138" s="185"/>
    </row>
    <row r="139" spans="14:18" x14ac:dyDescent="0.2">
      <c r="N139" s="185"/>
      <c r="O139" s="185"/>
      <c r="P139" s="185"/>
      <c r="Q139" s="185"/>
      <c r="R139" s="185"/>
    </row>
    <row r="140" spans="14:18" x14ac:dyDescent="0.2">
      <c r="N140" s="185"/>
      <c r="O140" s="185"/>
      <c r="P140" s="185"/>
      <c r="Q140" s="185"/>
      <c r="R140" s="185"/>
    </row>
    <row r="141" spans="14:18" x14ac:dyDescent="0.2">
      <c r="N141" s="185"/>
      <c r="O141" s="185"/>
      <c r="P141" s="185"/>
      <c r="Q141" s="185"/>
      <c r="R141" s="185"/>
    </row>
    <row r="142" spans="14:18" x14ac:dyDescent="0.2">
      <c r="N142" s="185"/>
      <c r="O142" s="185"/>
      <c r="P142" s="185"/>
      <c r="Q142" s="185"/>
      <c r="R142" s="185"/>
    </row>
    <row r="143" spans="14:18" x14ac:dyDescent="0.2">
      <c r="N143" s="185"/>
      <c r="O143" s="185"/>
      <c r="P143" s="185"/>
      <c r="Q143" s="185"/>
      <c r="R143" s="185"/>
    </row>
    <row r="144" spans="14:18" x14ac:dyDescent="0.2">
      <c r="N144" s="185"/>
      <c r="O144" s="185"/>
      <c r="P144" s="185"/>
      <c r="Q144" s="185"/>
      <c r="R144" s="185"/>
    </row>
    <row r="145" spans="14:18" x14ac:dyDescent="0.2">
      <c r="N145" s="185"/>
      <c r="O145" s="185"/>
      <c r="P145" s="185"/>
      <c r="Q145" s="185"/>
      <c r="R145" s="185"/>
    </row>
    <row r="146" spans="14:18" x14ac:dyDescent="0.2">
      <c r="N146" s="185"/>
      <c r="O146" s="185"/>
      <c r="P146" s="185"/>
      <c r="Q146" s="185"/>
      <c r="R146" s="185"/>
    </row>
    <row r="147" spans="14:18" x14ac:dyDescent="0.2">
      <c r="N147" s="185"/>
      <c r="O147" s="185"/>
      <c r="P147" s="185"/>
      <c r="Q147" s="185"/>
      <c r="R147" s="185"/>
    </row>
    <row r="148" spans="14:18" x14ac:dyDescent="0.2">
      <c r="N148" s="185"/>
      <c r="O148" s="185"/>
      <c r="P148" s="185"/>
      <c r="Q148" s="185"/>
      <c r="R148" s="185"/>
    </row>
    <row r="149" spans="14:18" x14ac:dyDescent="0.2">
      <c r="N149" s="185"/>
      <c r="O149" s="185"/>
      <c r="P149" s="185"/>
      <c r="Q149" s="185"/>
      <c r="R149" s="185"/>
    </row>
    <row r="150" spans="14:18" x14ac:dyDescent="0.2">
      <c r="N150" s="185"/>
      <c r="O150" s="185"/>
      <c r="P150" s="185"/>
      <c r="Q150" s="185"/>
      <c r="R150" s="185"/>
    </row>
    <row r="151" spans="14:18" x14ac:dyDescent="0.2">
      <c r="N151" s="185"/>
      <c r="O151" s="185"/>
      <c r="P151" s="185"/>
      <c r="Q151" s="185"/>
      <c r="R151" s="185"/>
    </row>
    <row r="152" spans="14:18" x14ac:dyDescent="0.2">
      <c r="N152" s="185"/>
      <c r="O152" s="185"/>
      <c r="P152" s="185"/>
      <c r="Q152" s="185"/>
      <c r="R152" s="185"/>
    </row>
    <row r="153" spans="14:18" x14ac:dyDescent="0.2">
      <c r="N153" s="185"/>
      <c r="O153" s="185"/>
      <c r="P153" s="185"/>
      <c r="Q153" s="185"/>
      <c r="R153" s="185"/>
    </row>
    <row r="154" spans="14:18" x14ac:dyDescent="0.2">
      <c r="N154" s="185"/>
      <c r="O154" s="185"/>
      <c r="P154" s="185"/>
      <c r="Q154" s="185"/>
      <c r="R154" s="185"/>
    </row>
    <row r="155" spans="14:18" x14ac:dyDescent="0.2">
      <c r="N155" s="185"/>
      <c r="O155" s="185"/>
      <c r="P155" s="185"/>
      <c r="Q155" s="185"/>
      <c r="R155" s="185"/>
    </row>
    <row r="156" spans="14:18" x14ac:dyDescent="0.2">
      <c r="N156" s="185"/>
      <c r="O156" s="185"/>
      <c r="P156" s="185"/>
      <c r="Q156" s="185"/>
      <c r="R156" s="185"/>
    </row>
    <row r="157" spans="14:18" x14ac:dyDescent="0.2">
      <c r="N157" s="185"/>
      <c r="O157" s="185"/>
      <c r="P157" s="185"/>
      <c r="Q157" s="185"/>
      <c r="R157" s="185"/>
    </row>
    <row r="158" spans="14:18" x14ac:dyDescent="0.2">
      <c r="N158" s="185"/>
      <c r="O158" s="185"/>
      <c r="P158" s="185"/>
      <c r="Q158" s="185"/>
      <c r="R158" s="185"/>
    </row>
    <row r="159" spans="14:18" x14ac:dyDescent="0.2">
      <c r="N159" s="185"/>
      <c r="O159" s="185"/>
      <c r="P159" s="185"/>
      <c r="Q159" s="185"/>
      <c r="R159" s="185"/>
    </row>
    <row r="160" spans="14:18" x14ac:dyDescent="0.2">
      <c r="N160" s="185"/>
      <c r="O160" s="185"/>
      <c r="P160" s="185"/>
      <c r="Q160" s="185"/>
      <c r="R160" s="185"/>
    </row>
    <row r="161" spans="14:18" x14ac:dyDescent="0.2">
      <c r="N161" s="185"/>
      <c r="O161" s="185"/>
      <c r="P161" s="185"/>
      <c r="Q161" s="185"/>
      <c r="R161" s="185"/>
    </row>
    <row r="162" spans="14:18" x14ac:dyDescent="0.2">
      <c r="N162" s="185"/>
      <c r="O162" s="185"/>
      <c r="P162" s="185"/>
      <c r="Q162" s="185"/>
      <c r="R162" s="185"/>
    </row>
    <row r="163" spans="14:18" x14ac:dyDescent="0.2">
      <c r="N163" s="185"/>
      <c r="O163" s="185"/>
      <c r="P163" s="185"/>
      <c r="Q163" s="185"/>
      <c r="R163" s="185"/>
    </row>
    <row r="164" spans="14:18" x14ac:dyDescent="0.2">
      <c r="N164" s="185"/>
      <c r="O164" s="185"/>
      <c r="P164" s="185"/>
      <c r="Q164" s="185"/>
      <c r="R164" s="185"/>
    </row>
    <row r="165" spans="14:18" x14ac:dyDescent="0.2">
      <c r="N165" s="185"/>
      <c r="O165" s="185"/>
      <c r="P165" s="185"/>
      <c r="Q165" s="185"/>
      <c r="R165" s="185"/>
    </row>
    <row r="166" spans="14:18" x14ac:dyDescent="0.2">
      <c r="N166" s="185"/>
      <c r="O166" s="185"/>
      <c r="P166" s="185"/>
      <c r="Q166" s="185"/>
      <c r="R166" s="185"/>
    </row>
    <row r="167" spans="14:18" x14ac:dyDescent="0.2">
      <c r="N167" s="185"/>
      <c r="O167" s="185"/>
      <c r="P167" s="185"/>
      <c r="Q167" s="185"/>
      <c r="R167" s="185"/>
    </row>
    <row r="168" spans="14:18" x14ac:dyDescent="0.2">
      <c r="N168" s="185"/>
      <c r="O168" s="185"/>
      <c r="P168" s="185"/>
      <c r="Q168" s="185"/>
      <c r="R168" s="185"/>
    </row>
    <row r="169" spans="14:18" x14ac:dyDescent="0.2">
      <c r="N169" s="185"/>
      <c r="O169" s="185"/>
      <c r="P169" s="185"/>
      <c r="Q169" s="185"/>
      <c r="R169" s="185"/>
    </row>
    <row r="170" spans="14:18" x14ac:dyDescent="0.2">
      <c r="N170" s="185"/>
      <c r="O170" s="185"/>
      <c r="P170" s="185"/>
      <c r="Q170" s="185"/>
      <c r="R170" s="185"/>
    </row>
    <row r="171" spans="14:18" x14ac:dyDescent="0.2">
      <c r="N171" s="185"/>
      <c r="O171" s="185"/>
      <c r="P171" s="185"/>
      <c r="Q171" s="185"/>
      <c r="R171" s="185"/>
    </row>
    <row r="172" spans="14:18" x14ac:dyDescent="0.2">
      <c r="N172" s="185"/>
      <c r="O172" s="185"/>
      <c r="P172" s="185"/>
      <c r="Q172" s="185"/>
      <c r="R172" s="185"/>
    </row>
    <row r="173" spans="14:18" x14ac:dyDescent="0.2">
      <c r="N173" s="185"/>
      <c r="O173" s="185"/>
      <c r="P173" s="185"/>
      <c r="Q173" s="185"/>
      <c r="R173" s="185"/>
    </row>
    <row r="174" spans="14:18" x14ac:dyDescent="0.2">
      <c r="N174" s="185"/>
      <c r="O174" s="185"/>
      <c r="P174" s="185"/>
      <c r="Q174" s="185"/>
      <c r="R174" s="185"/>
    </row>
    <row r="175" spans="14:18" x14ac:dyDescent="0.2">
      <c r="N175" s="185"/>
      <c r="O175" s="185"/>
      <c r="P175" s="185"/>
      <c r="Q175" s="185"/>
      <c r="R175" s="185"/>
    </row>
    <row r="176" spans="14:18" x14ac:dyDescent="0.2">
      <c r="N176" s="185"/>
      <c r="O176" s="185"/>
      <c r="P176" s="185"/>
      <c r="Q176" s="185"/>
      <c r="R176" s="185"/>
    </row>
    <row r="177" spans="14:18" x14ac:dyDescent="0.2">
      <c r="N177" s="185"/>
      <c r="O177" s="185"/>
      <c r="P177" s="185"/>
      <c r="Q177" s="185"/>
      <c r="R177" s="185"/>
    </row>
    <row r="178" spans="14:18" x14ac:dyDescent="0.2">
      <c r="N178" s="185"/>
      <c r="O178" s="185"/>
      <c r="P178" s="185"/>
      <c r="Q178" s="185"/>
      <c r="R178" s="185"/>
    </row>
    <row r="179" spans="14:18" x14ac:dyDescent="0.2">
      <c r="N179" s="185"/>
      <c r="O179" s="185"/>
      <c r="P179" s="185"/>
      <c r="Q179" s="185"/>
      <c r="R179" s="185"/>
    </row>
    <row r="180" spans="14:18" x14ac:dyDescent="0.2">
      <c r="N180" s="185"/>
      <c r="O180" s="185"/>
      <c r="P180" s="185"/>
      <c r="Q180" s="185"/>
      <c r="R180" s="185"/>
    </row>
    <row r="181" spans="14:18" x14ac:dyDescent="0.2">
      <c r="N181" s="185"/>
      <c r="O181" s="185"/>
      <c r="P181" s="185"/>
      <c r="Q181" s="185"/>
      <c r="R181" s="185"/>
    </row>
    <row r="182" spans="14:18" x14ac:dyDescent="0.2">
      <c r="N182" s="185"/>
      <c r="O182" s="185"/>
      <c r="P182" s="185"/>
      <c r="Q182" s="185"/>
      <c r="R182" s="185"/>
    </row>
    <row r="183" spans="14:18" x14ac:dyDescent="0.2">
      <c r="N183" s="185"/>
      <c r="O183" s="185"/>
      <c r="P183" s="185"/>
      <c r="Q183" s="185"/>
      <c r="R183" s="185"/>
    </row>
    <row r="184" spans="14:18" x14ac:dyDescent="0.2">
      <c r="N184" s="185"/>
      <c r="O184" s="185"/>
      <c r="P184" s="185"/>
      <c r="Q184" s="185"/>
      <c r="R184" s="185"/>
    </row>
    <row r="185" spans="14:18" x14ac:dyDescent="0.2">
      <c r="N185" s="185"/>
      <c r="O185" s="185"/>
      <c r="P185" s="185"/>
      <c r="Q185" s="185"/>
      <c r="R185" s="185"/>
    </row>
    <row r="186" spans="14:18" x14ac:dyDescent="0.2">
      <c r="N186" s="185"/>
      <c r="O186" s="185"/>
      <c r="P186" s="185"/>
      <c r="Q186" s="185"/>
      <c r="R186" s="185"/>
    </row>
    <row r="187" spans="14:18" x14ac:dyDescent="0.2">
      <c r="N187" s="185"/>
      <c r="O187" s="185"/>
      <c r="P187" s="185"/>
      <c r="Q187" s="185"/>
      <c r="R187" s="185"/>
    </row>
    <row r="188" spans="14:18" x14ac:dyDescent="0.2">
      <c r="N188" s="185"/>
      <c r="O188" s="185"/>
      <c r="P188" s="185"/>
      <c r="Q188" s="185"/>
      <c r="R188" s="185"/>
    </row>
    <row r="189" spans="14:18" x14ac:dyDescent="0.2">
      <c r="N189" s="185"/>
      <c r="O189" s="185"/>
      <c r="P189" s="185"/>
      <c r="Q189" s="185"/>
      <c r="R189" s="185"/>
    </row>
    <row r="190" spans="14:18" x14ac:dyDescent="0.2">
      <c r="N190" s="185"/>
      <c r="O190" s="185"/>
      <c r="P190" s="185"/>
      <c r="Q190" s="185"/>
      <c r="R190" s="185"/>
    </row>
    <row r="191" spans="14:18" x14ac:dyDescent="0.2">
      <c r="N191" s="185"/>
      <c r="O191" s="185"/>
      <c r="P191" s="185"/>
      <c r="Q191" s="185"/>
      <c r="R191" s="185"/>
    </row>
    <row r="192" spans="14:18" x14ac:dyDescent="0.2">
      <c r="N192" s="185"/>
      <c r="O192" s="185"/>
      <c r="P192" s="185"/>
      <c r="Q192" s="185"/>
      <c r="R192" s="185"/>
    </row>
    <row r="193" spans="14:18" x14ac:dyDescent="0.2">
      <c r="N193" s="185"/>
      <c r="O193" s="185"/>
      <c r="P193" s="185"/>
      <c r="Q193" s="185"/>
      <c r="R193" s="185"/>
    </row>
    <row r="194" spans="14:18" x14ac:dyDescent="0.2">
      <c r="N194" s="185"/>
      <c r="O194" s="185"/>
      <c r="P194" s="185"/>
      <c r="Q194" s="185"/>
      <c r="R194" s="185"/>
    </row>
    <row r="195" spans="14:18" x14ac:dyDescent="0.2">
      <c r="N195" s="185"/>
      <c r="O195" s="185"/>
      <c r="P195" s="185"/>
      <c r="Q195" s="185"/>
      <c r="R195" s="185"/>
    </row>
    <row r="196" spans="14:18" x14ac:dyDescent="0.2">
      <c r="N196" s="185"/>
      <c r="O196" s="185"/>
      <c r="P196" s="185"/>
      <c r="Q196" s="185"/>
      <c r="R196" s="185"/>
    </row>
    <row r="197" spans="14:18" x14ac:dyDescent="0.2">
      <c r="N197" s="185"/>
      <c r="O197" s="185"/>
      <c r="P197" s="185"/>
      <c r="Q197" s="185"/>
      <c r="R197" s="185"/>
    </row>
    <row r="198" spans="14:18" x14ac:dyDescent="0.2">
      <c r="N198" s="185"/>
      <c r="O198" s="185"/>
      <c r="P198" s="185"/>
      <c r="Q198" s="185"/>
      <c r="R198" s="185"/>
    </row>
    <row r="199" spans="14:18" x14ac:dyDescent="0.2">
      <c r="N199" s="185"/>
      <c r="O199" s="185"/>
      <c r="P199" s="185"/>
      <c r="Q199" s="185"/>
      <c r="R199" s="185"/>
    </row>
    <row r="200" spans="14:18" x14ac:dyDescent="0.2">
      <c r="N200" s="185"/>
      <c r="O200" s="185"/>
      <c r="P200" s="185"/>
      <c r="Q200" s="185"/>
      <c r="R200" s="185"/>
    </row>
    <row r="201" spans="14:18" x14ac:dyDescent="0.2">
      <c r="N201" s="185"/>
      <c r="O201" s="185"/>
      <c r="P201" s="185"/>
      <c r="Q201" s="185"/>
      <c r="R201" s="185"/>
    </row>
    <row r="202" spans="14:18" x14ac:dyDescent="0.2">
      <c r="N202" s="185"/>
      <c r="O202" s="185"/>
      <c r="P202" s="185"/>
      <c r="Q202" s="185"/>
      <c r="R202" s="185"/>
    </row>
    <row r="203" spans="14:18" x14ac:dyDescent="0.2">
      <c r="N203" s="185"/>
      <c r="O203" s="185"/>
      <c r="P203" s="185"/>
      <c r="Q203" s="185"/>
      <c r="R203" s="185"/>
    </row>
    <row r="204" spans="14:18" x14ac:dyDescent="0.2">
      <c r="N204" s="185"/>
      <c r="O204" s="185"/>
      <c r="P204" s="185"/>
      <c r="Q204" s="185"/>
      <c r="R204" s="185"/>
    </row>
    <row r="205" spans="14:18" x14ac:dyDescent="0.2">
      <c r="N205" s="185"/>
      <c r="O205" s="185"/>
      <c r="P205" s="185"/>
      <c r="Q205" s="185"/>
      <c r="R205" s="185"/>
    </row>
    <row r="206" spans="14:18" x14ac:dyDescent="0.2">
      <c r="N206" s="185"/>
      <c r="O206" s="185"/>
      <c r="P206" s="185"/>
      <c r="Q206" s="185"/>
      <c r="R206" s="185"/>
    </row>
    <row r="207" spans="14:18" x14ac:dyDescent="0.2">
      <c r="N207" s="185"/>
      <c r="O207" s="185"/>
      <c r="P207" s="185"/>
      <c r="Q207" s="185"/>
      <c r="R207" s="185"/>
    </row>
    <row r="208" spans="14:18" x14ac:dyDescent="0.2">
      <c r="N208" s="185"/>
      <c r="O208" s="185"/>
      <c r="P208" s="185"/>
      <c r="Q208" s="185"/>
      <c r="R208" s="185"/>
    </row>
    <row r="209" spans="14:18" x14ac:dyDescent="0.2">
      <c r="N209" s="185"/>
      <c r="O209" s="185"/>
      <c r="P209" s="185"/>
      <c r="Q209" s="185"/>
      <c r="R209" s="185"/>
    </row>
    <row r="210" spans="14:18" x14ac:dyDescent="0.2">
      <c r="N210" s="185"/>
      <c r="O210" s="185"/>
      <c r="P210" s="185"/>
      <c r="Q210" s="185"/>
      <c r="R210" s="185"/>
    </row>
    <row r="211" spans="14:18" x14ac:dyDescent="0.2">
      <c r="N211" s="185"/>
      <c r="O211" s="185"/>
      <c r="P211" s="185"/>
      <c r="Q211" s="185"/>
      <c r="R211" s="185"/>
    </row>
    <row r="212" spans="14:18" x14ac:dyDescent="0.2">
      <c r="N212" s="185"/>
      <c r="O212" s="185"/>
      <c r="P212" s="185"/>
      <c r="Q212" s="185"/>
      <c r="R212" s="185"/>
    </row>
    <row r="213" spans="14:18" x14ac:dyDescent="0.2">
      <c r="N213" s="185"/>
      <c r="O213" s="185"/>
      <c r="P213" s="185"/>
      <c r="Q213" s="185"/>
      <c r="R213" s="185"/>
    </row>
    <row r="214" spans="14:18" x14ac:dyDescent="0.2">
      <c r="N214" s="185"/>
      <c r="O214" s="185"/>
      <c r="P214" s="185"/>
      <c r="Q214" s="185"/>
      <c r="R214" s="185"/>
    </row>
    <row r="215" spans="14:18" x14ac:dyDescent="0.2">
      <c r="N215" s="185"/>
      <c r="O215" s="185"/>
      <c r="P215" s="185"/>
      <c r="Q215" s="185"/>
      <c r="R215" s="185"/>
    </row>
    <row r="216" spans="14:18" x14ac:dyDescent="0.2">
      <c r="N216" s="185"/>
      <c r="O216" s="185"/>
      <c r="P216" s="185"/>
      <c r="Q216" s="185"/>
      <c r="R216" s="185"/>
    </row>
    <row r="217" spans="14:18" x14ac:dyDescent="0.2">
      <c r="N217" s="185"/>
      <c r="O217" s="185"/>
      <c r="P217" s="185"/>
      <c r="Q217" s="185"/>
      <c r="R217" s="185"/>
    </row>
    <row r="218" spans="14:18" x14ac:dyDescent="0.2">
      <c r="N218" s="185"/>
      <c r="O218" s="185"/>
      <c r="P218" s="185"/>
      <c r="Q218" s="185"/>
      <c r="R218" s="185"/>
    </row>
    <row r="219" spans="14:18" x14ac:dyDescent="0.2">
      <c r="N219" s="185"/>
      <c r="O219" s="185"/>
      <c r="P219" s="185"/>
      <c r="Q219" s="185"/>
      <c r="R219" s="185"/>
    </row>
    <row r="220" spans="14:18" x14ac:dyDescent="0.2">
      <c r="N220" s="185"/>
      <c r="O220" s="185"/>
      <c r="P220" s="185"/>
      <c r="Q220" s="185"/>
      <c r="R220" s="185"/>
    </row>
    <row r="221" spans="14:18" x14ac:dyDescent="0.2">
      <c r="N221" s="185"/>
      <c r="O221" s="185"/>
      <c r="P221" s="185"/>
      <c r="Q221" s="185"/>
      <c r="R221" s="185"/>
    </row>
    <row r="222" spans="14:18" x14ac:dyDescent="0.2">
      <c r="N222" s="185"/>
      <c r="O222" s="185"/>
      <c r="P222" s="185"/>
      <c r="Q222" s="185"/>
      <c r="R222" s="185"/>
    </row>
    <row r="223" spans="14:18" x14ac:dyDescent="0.2">
      <c r="N223" s="185"/>
      <c r="O223" s="185"/>
      <c r="P223" s="185"/>
      <c r="Q223" s="185"/>
      <c r="R223" s="185"/>
    </row>
    <row r="224" spans="14:18" x14ac:dyDescent="0.2">
      <c r="N224" s="185"/>
      <c r="O224" s="185"/>
      <c r="P224" s="185"/>
      <c r="Q224" s="185"/>
      <c r="R224" s="185"/>
    </row>
    <row r="225" spans="14:18" x14ac:dyDescent="0.2">
      <c r="N225" s="185"/>
      <c r="O225" s="185"/>
      <c r="P225" s="185"/>
      <c r="Q225" s="185"/>
      <c r="R225" s="185"/>
    </row>
    <row r="226" spans="14:18" x14ac:dyDescent="0.2">
      <c r="N226" s="185"/>
      <c r="O226" s="185"/>
      <c r="P226" s="185"/>
      <c r="Q226" s="185"/>
      <c r="R226" s="185"/>
    </row>
    <row r="227" spans="14:18" x14ac:dyDescent="0.2">
      <c r="N227" s="185"/>
      <c r="O227" s="185"/>
      <c r="P227" s="185"/>
      <c r="Q227" s="185"/>
      <c r="R227" s="185"/>
    </row>
    <row r="228" spans="14:18" x14ac:dyDescent="0.2">
      <c r="N228" s="185"/>
      <c r="O228" s="185"/>
      <c r="P228" s="185"/>
      <c r="Q228" s="185"/>
      <c r="R228" s="185"/>
    </row>
    <row r="229" spans="14:18" x14ac:dyDescent="0.2">
      <c r="N229" s="185"/>
      <c r="O229" s="185"/>
      <c r="P229" s="185"/>
      <c r="Q229" s="185"/>
      <c r="R229" s="185"/>
    </row>
    <row r="230" spans="14:18" x14ac:dyDescent="0.2">
      <c r="N230" s="185"/>
      <c r="O230" s="185"/>
      <c r="P230" s="185"/>
      <c r="Q230" s="185"/>
      <c r="R230" s="185"/>
    </row>
    <row r="231" spans="14:18" x14ac:dyDescent="0.2">
      <c r="N231" s="185"/>
      <c r="O231" s="185"/>
      <c r="P231" s="185"/>
      <c r="Q231" s="185"/>
      <c r="R231" s="185"/>
    </row>
    <row r="232" spans="14:18" x14ac:dyDescent="0.2">
      <c r="N232" s="185"/>
      <c r="O232" s="185"/>
      <c r="P232" s="185"/>
      <c r="Q232" s="185"/>
      <c r="R232" s="185"/>
    </row>
    <row r="233" spans="14:18" x14ac:dyDescent="0.2">
      <c r="N233" s="185"/>
      <c r="O233" s="185"/>
      <c r="P233" s="185"/>
      <c r="Q233" s="185"/>
      <c r="R233" s="185"/>
    </row>
    <row r="234" spans="14:18" x14ac:dyDescent="0.2">
      <c r="N234" s="185"/>
      <c r="O234" s="185"/>
      <c r="P234" s="185"/>
      <c r="Q234" s="185"/>
      <c r="R234" s="185"/>
    </row>
    <row r="235" spans="14:18" x14ac:dyDescent="0.2">
      <c r="N235" s="185"/>
      <c r="O235" s="185"/>
      <c r="P235" s="185"/>
      <c r="Q235" s="185"/>
      <c r="R235" s="185"/>
    </row>
    <row r="236" spans="14:18" x14ac:dyDescent="0.2">
      <c r="N236" s="185"/>
      <c r="O236" s="185"/>
      <c r="P236" s="185"/>
      <c r="Q236" s="185"/>
      <c r="R236" s="185"/>
    </row>
    <row r="237" spans="14:18" x14ac:dyDescent="0.2">
      <c r="N237" s="185"/>
      <c r="O237" s="185"/>
      <c r="P237" s="185"/>
      <c r="Q237" s="185"/>
      <c r="R237" s="185"/>
    </row>
    <row r="238" spans="14:18" x14ac:dyDescent="0.2">
      <c r="N238" s="185"/>
      <c r="O238" s="185"/>
      <c r="P238" s="185"/>
      <c r="Q238" s="185"/>
      <c r="R238" s="185"/>
    </row>
    <row r="239" spans="14:18" x14ac:dyDescent="0.2">
      <c r="N239" s="185"/>
      <c r="O239" s="185"/>
      <c r="P239" s="185"/>
      <c r="Q239" s="185"/>
      <c r="R239" s="185"/>
    </row>
    <row r="240" spans="14:18" x14ac:dyDescent="0.2">
      <c r="N240" s="185"/>
      <c r="O240" s="185"/>
      <c r="P240" s="185"/>
      <c r="Q240" s="185"/>
      <c r="R240" s="185"/>
    </row>
    <row r="241" spans="14:18" x14ac:dyDescent="0.2">
      <c r="N241" s="185"/>
      <c r="O241" s="185"/>
      <c r="P241" s="185"/>
      <c r="Q241" s="185"/>
      <c r="R241" s="185"/>
    </row>
    <row r="242" spans="14:18" x14ac:dyDescent="0.2">
      <c r="N242" s="185"/>
      <c r="O242" s="185"/>
      <c r="P242" s="185"/>
      <c r="Q242" s="185"/>
      <c r="R242" s="185"/>
    </row>
    <row r="243" spans="14:18" x14ac:dyDescent="0.2">
      <c r="N243" s="185"/>
      <c r="O243" s="185"/>
      <c r="P243" s="185"/>
      <c r="Q243" s="185"/>
      <c r="R243" s="185"/>
    </row>
    <row r="244" spans="14:18" x14ac:dyDescent="0.2">
      <c r="N244" s="185"/>
      <c r="O244" s="185"/>
      <c r="P244" s="185"/>
      <c r="Q244" s="185"/>
      <c r="R244" s="185"/>
    </row>
    <row r="245" spans="14:18" x14ac:dyDescent="0.2">
      <c r="N245" s="185"/>
      <c r="O245" s="185"/>
      <c r="P245" s="185"/>
      <c r="Q245" s="185"/>
      <c r="R245" s="185"/>
    </row>
    <row r="246" spans="14:18" x14ac:dyDescent="0.2">
      <c r="N246" s="185"/>
      <c r="O246" s="185"/>
      <c r="P246" s="185"/>
      <c r="Q246" s="185"/>
      <c r="R246" s="185"/>
    </row>
    <row r="247" spans="14:18" x14ac:dyDescent="0.2">
      <c r="N247" s="185"/>
      <c r="O247" s="185"/>
      <c r="P247" s="185"/>
      <c r="Q247" s="185"/>
      <c r="R247" s="185"/>
    </row>
    <row r="248" spans="14:18" x14ac:dyDescent="0.2">
      <c r="N248" s="185"/>
      <c r="O248" s="185"/>
      <c r="P248" s="185"/>
      <c r="Q248" s="185"/>
      <c r="R248" s="185"/>
    </row>
    <row r="249" spans="14:18" x14ac:dyDescent="0.2">
      <c r="N249" s="185"/>
      <c r="O249" s="185"/>
      <c r="P249" s="185"/>
      <c r="Q249" s="185"/>
      <c r="R249" s="185"/>
    </row>
    <row r="250" spans="14:18" x14ac:dyDescent="0.2">
      <c r="N250" s="185"/>
      <c r="O250" s="185"/>
      <c r="P250" s="185"/>
      <c r="Q250" s="185"/>
      <c r="R250" s="185"/>
    </row>
    <row r="251" spans="14:18" x14ac:dyDescent="0.2">
      <c r="N251" s="185"/>
      <c r="O251" s="185"/>
      <c r="P251" s="185"/>
      <c r="Q251" s="185"/>
      <c r="R251" s="185"/>
    </row>
    <row r="252" spans="14:18" x14ac:dyDescent="0.2">
      <c r="N252" s="185"/>
      <c r="O252" s="185"/>
      <c r="P252" s="185"/>
      <c r="Q252" s="185"/>
      <c r="R252" s="185"/>
    </row>
    <row r="253" spans="14:18" x14ac:dyDescent="0.2">
      <c r="N253" s="185"/>
      <c r="O253" s="185"/>
      <c r="P253" s="185"/>
      <c r="Q253" s="185"/>
      <c r="R253" s="185"/>
    </row>
    <row r="254" spans="14:18" x14ac:dyDescent="0.2">
      <c r="N254" s="185"/>
      <c r="O254" s="185"/>
      <c r="P254" s="185"/>
      <c r="Q254" s="185"/>
      <c r="R254" s="185"/>
    </row>
    <row r="255" spans="14:18" x14ac:dyDescent="0.2">
      <c r="N255" s="185"/>
      <c r="O255" s="185"/>
      <c r="P255" s="185"/>
      <c r="Q255" s="185"/>
      <c r="R255" s="185"/>
    </row>
    <row r="256" spans="14:18" x14ac:dyDescent="0.2">
      <c r="N256" s="185"/>
      <c r="O256" s="185"/>
      <c r="P256" s="185"/>
      <c r="Q256" s="185"/>
      <c r="R256" s="185"/>
    </row>
    <row r="257" spans="14:18" x14ac:dyDescent="0.2">
      <c r="N257" s="185"/>
      <c r="O257" s="185"/>
      <c r="P257" s="185"/>
      <c r="Q257" s="185"/>
      <c r="R257" s="185"/>
    </row>
    <row r="258" spans="14:18" x14ac:dyDescent="0.2">
      <c r="N258" s="185"/>
      <c r="O258" s="185"/>
      <c r="P258" s="185"/>
      <c r="Q258" s="185"/>
      <c r="R258" s="185"/>
    </row>
    <row r="259" spans="14:18" x14ac:dyDescent="0.2">
      <c r="N259" s="185"/>
      <c r="O259" s="185"/>
      <c r="P259" s="185"/>
      <c r="Q259" s="185"/>
      <c r="R259" s="185"/>
    </row>
    <row r="260" spans="14:18" x14ac:dyDescent="0.2">
      <c r="N260" s="185"/>
      <c r="O260" s="185"/>
      <c r="P260" s="185"/>
      <c r="Q260" s="185"/>
      <c r="R260" s="185"/>
    </row>
    <row r="261" spans="14:18" x14ac:dyDescent="0.2">
      <c r="N261" s="185"/>
      <c r="O261" s="185"/>
      <c r="P261" s="185"/>
      <c r="Q261" s="185"/>
      <c r="R261" s="185"/>
    </row>
    <row r="262" spans="14:18" x14ac:dyDescent="0.2">
      <c r="N262" s="185"/>
      <c r="O262" s="185"/>
      <c r="P262" s="185"/>
      <c r="Q262" s="185"/>
      <c r="R262" s="185"/>
    </row>
    <row r="263" spans="14:18" x14ac:dyDescent="0.2">
      <c r="N263" s="185"/>
      <c r="O263" s="185"/>
      <c r="P263" s="185"/>
      <c r="Q263" s="185"/>
      <c r="R263" s="185"/>
    </row>
    <row r="264" spans="14:18" x14ac:dyDescent="0.2">
      <c r="N264" s="185"/>
      <c r="O264" s="185"/>
      <c r="P264" s="185"/>
      <c r="Q264" s="185"/>
      <c r="R264" s="185"/>
    </row>
    <row r="265" spans="14:18" x14ac:dyDescent="0.2">
      <c r="N265" s="185"/>
      <c r="O265" s="185"/>
      <c r="P265" s="185"/>
      <c r="Q265" s="185"/>
      <c r="R265" s="185"/>
    </row>
    <row r="266" spans="14:18" x14ac:dyDescent="0.2">
      <c r="N266" s="185"/>
      <c r="O266" s="185"/>
      <c r="P266" s="185"/>
      <c r="Q266" s="185"/>
      <c r="R266" s="185"/>
    </row>
    <row r="267" spans="14:18" x14ac:dyDescent="0.2">
      <c r="N267" s="185"/>
      <c r="O267" s="185"/>
      <c r="P267" s="185"/>
      <c r="Q267" s="185"/>
      <c r="R267" s="185"/>
    </row>
    <row r="268" spans="14:18" x14ac:dyDescent="0.2">
      <c r="N268" s="185"/>
      <c r="O268" s="185"/>
      <c r="P268" s="185"/>
      <c r="Q268" s="185"/>
      <c r="R268" s="185"/>
    </row>
    <row r="269" spans="14:18" x14ac:dyDescent="0.2">
      <c r="N269" s="185"/>
      <c r="O269" s="185"/>
      <c r="P269" s="185"/>
      <c r="Q269" s="185"/>
      <c r="R269" s="185"/>
    </row>
    <row r="270" spans="14:18" x14ac:dyDescent="0.2">
      <c r="N270" s="185"/>
      <c r="O270" s="185"/>
      <c r="P270" s="185"/>
      <c r="Q270" s="185"/>
      <c r="R270" s="185"/>
    </row>
    <row r="271" spans="14:18" x14ac:dyDescent="0.2">
      <c r="N271" s="185"/>
      <c r="O271" s="185"/>
      <c r="P271" s="185"/>
      <c r="Q271" s="185"/>
      <c r="R271" s="185"/>
    </row>
    <row r="272" spans="14:18" x14ac:dyDescent="0.2">
      <c r="N272" s="185"/>
      <c r="O272" s="185"/>
      <c r="P272" s="185"/>
      <c r="Q272" s="185"/>
      <c r="R272" s="185"/>
    </row>
    <row r="273" spans="14:18" x14ac:dyDescent="0.2">
      <c r="N273" s="185"/>
      <c r="O273" s="185"/>
      <c r="P273" s="185"/>
      <c r="Q273" s="185"/>
      <c r="R273" s="185"/>
    </row>
    <row r="274" spans="14:18" x14ac:dyDescent="0.2">
      <c r="N274" s="185"/>
      <c r="O274" s="185"/>
      <c r="P274" s="185"/>
      <c r="Q274" s="185"/>
      <c r="R274" s="185"/>
    </row>
    <row r="275" spans="14:18" x14ac:dyDescent="0.2">
      <c r="N275" s="185"/>
      <c r="O275" s="185"/>
      <c r="P275" s="185"/>
      <c r="Q275" s="185"/>
      <c r="R275" s="185"/>
    </row>
    <row r="276" spans="14:18" x14ac:dyDescent="0.2">
      <c r="N276" s="185"/>
      <c r="O276" s="185"/>
      <c r="P276" s="185"/>
      <c r="Q276" s="185"/>
      <c r="R276" s="185"/>
    </row>
    <row r="277" spans="14:18" x14ac:dyDescent="0.2">
      <c r="N277" s="185"/>
      <c r="O277" s="185"/>
      <c r="P277" s="185"/>
      <c r="Q277" s="185"/>
      <c r="R277" s="185"/>
    </row>
    <row r="278" spans="14:18" x14ac:dyDescent="0.2">
      <c r="N278" s="185"/>
      <c r="O278" s="185"/>
      <c r="P278" s="185"/>
      <c r="Q278" s="185"/>
      <c r="R278" s="185"/>
    </row>
    <row r="279" spans="14:18" x14ac:dyDescent="0.2">
      <c r="N279" s="185"/>
      <c r="O279" s="185"/>
      <c r="P279" s="185"/>
      <c r="Q279" s="185"/>
      <c r="R279" s="185"/>
    </row>
    <row r="280" spans="14:18" x14ac:dyDescent="0.2">
      <c r="N280" s="185"/>
      <c r="O280" s="185"/>
      <c r="P280" s="185"/>
      <c r="Q280" s="185"/>
      <c r="R280" s="185"/>
    </row>
    <row r="281" spans="14:18" x14ac:dyDescent="0.2">
      <c r="N281" s="185"/>
      <c r="O281" s="185"/>
      <c r="P281" s="185"/>
      <c r="Q281" s="185"/>
      <c r="R281" s="185"/>
    </row>
    <row r="282" spans="14:18" x14ac:dyDescent="0.2">
      <c r="N282" s="185"/>
      <c r="O282" s="185"/>
      <c r="P282" s="185"/>
      <c r="Q282" s="185"/>
      <c r="R282" s="185"/>
    </row>
    <row r="283" spans="14:18" x14ac:dyDescent="0.2">
      <c r="N283" s="185"/>
      <c r="O283" s="185"/>
      <c r="P283" s="185"/>
      <c r="Q283" s="185"/>
      <c r="R283" s="185"/>
    </row>
    <row r="284" spans="14:18" x14ac:dyDescent="0.2">
      <c r="N284" s="185"/>
      <c r="O284" s="185"/>
      <c r="P284" s="185"/>
      <c r="Q284" s="185"/>
      <c r="R284" s="185"/>
    </row>
    <row r="285" spans="14:18" x14ac:dyDescent="0.2">
      <c r="N285" s="185"/>
      <c r="O285" s="185"/>
      <c r="P285" s="185"/>
      <c r="Q285" s="185"/>
      <c r="R285" s="185"/>
    </row>
    <row r="286" spans="14:18" x14ac:dyDescent="0.2">
      <c r="N286" s="185"/>
      <c r="O286" s="185"/>
      <c r="P286" s="185"/>
      <c r="Q286" s="185"/>
      <c r="R286" s="185"/>
    </row>
    <row r="287" spans="14:18" x14ac:dyDescent="0.2">
      <c r="N287" s="185"/>
      <c r="O287" s="185"/>
      <c r="P287" s="185"/>
      <c r="Q287" s="185"/>
      <c r="R287" s="185"/>
    </row>
    <row r="288" spans="14:18" x14ac:dyDescent="0.2">
      <c r="N288" s="185"/>
      <c r="O288" s="185"/>
      <c r="P288" s="185"/>
      <c r="Q288" s="185"/>
      <c r="R288" s="185"/>
    </row>
    <row r="289" spans="14:18" x14ac:dyDescent="0.2">
      <c r="N289" s="185"/>
      <c r="O289" s="185"/>
      <c r="P289" s="185"/>
      <c r="Q289" s="185"/>
      <c r="R289" s="185"/>
    </row>
    <row r="290" spans="14:18" x14ac:dyDescent="0.2">
      <c r="N290" s="185"/>
      <c r="O290" s="185"/>
      <c r="P290" s="185"/>
      <c r="Q290" s="185"/>
      <c r="R290" s="185"/>
    </row>
    <row r="291" spans="14:18" x14ac:dyDescent="0.2">
      <c r="N291" s="185"/>
      <c r="O291" s="185"/>
      <c r="P291" s="185"/>
      <c r="Q291" s="185"/>
      <c r="R291" s="185"/>
    </row>
    <row r="292" spans="14:18" x14ac:dyDescent="0.2">
      <c r="N292" s="185"/>
      <c r="O292" s="185"/>
      <c r="P292" s="185"/>
      <c r="Q292" s="185"/>
      <c r="R292" s="185"/>
    </row>
    <row r="293" spans="14:18" x14ac:dyDescent="0.2">
      <c r="N293" s="185"/>
      <c r="O293" s="185"/>
      <c r="P293" s="185"/>
      <c r="Q293" s="185"/>
      <c r="R293" s="185"/>
    </row>
    <row r="294" spans="14:18" x14ac:dyDescent="0.2">
      <c r="N294" s="185"/>
      <c r="O294" s="185"/>
      <c r="P294" s="185"/>
      <c r="Q294" s="185"/>
      <c r="R294" s="185"/>
    </row>
    <row r="295" spans="14:18" x14ac:dyDescent="0.2">
      <c r="N295" s="185"/>
      <c r="O295" s="185"/>
      <c r="P295" s="185"/>
      <c r="Q295" s="185"/>
      <c r="R295" s="185"/>
    </row>
    <row r="296" spans="14:18" x14ac:dyDescent="0.2">
      <c r="N296" s="185"/>
      <c r="O296" s="185"/>
      <c r="P296" s="185"/>
      <c r="Q296" s="185"/>
      <c r="R296" s="185"/>
    </row>
    <row r="297" spans="14:18" x14ac:dyDescent="0.2">
      <c r="N297" s="185"/>
      <c r="O297" s="185"/>
      <c r="P297" s="185"/>
      <c r="Q297" s="185"/>
      <c r="R297" s="185"/>
    </row>
    <row r="298" spans="14:18" x14ac:dyDescent="0.2">
      <c r="N298" s="185"/>
      <c r="O298" s="185"/>
      <c r="P298" s="185"/>
      <c r="Q298" s="185"/>
      <c r="R298" s="185"/>
    </row>
    <row r="299" spans="14:18" x14ac:dyDescent="0.2">
      <c r="N299" s="185"/>
      <c r="O299" s="185"/>
      <c r="P299" s="185"/>
      <c r="Q299" s="185"/>
      <c r="R299" s="185"/>
    </row>
    <row r="300" spans="14:18" x14ac:dyDescent="0.2">
      <c r="N300" s="185"/>
      <c r="O300" s="185"/>
      <c r="P300" s="185"/>
      <c r="Q300" s="185"/>
      <c r="R300" s="185"/>
    </row>
    <row r="301" spans="14:18" x14ac:dyDescent="0.2">
      <c r="N301" s="185"/>
      <c r="O301" s="185"/>
      <c r="P301" s="185"/>
      <c r="Q301" s="185"/>
      <c r="R301" s="185"/>
    </row>
    <row r="302" spans="14:18" x14ac:dyDescent="0.2">
      <c r="N302" s="185"/>
      <c r="O302" s="185"/>
      <c r="P302" s="185"/>
      <c r="Q302" s="185"/>
      <c r="R302" s="185"/>
    </row>
    <row r="303" spans="14:18" x14ac:dyDescent="0.2">
      <c r="N303" s="185"/>
      <c r="O303" s="185"/>
      <c r="P303" s="185"/>
      <c r="Q303" s="185"/>
      <c r="R303" s="185"/>
    </row>
    <row r="304" spans="14:18" x14ac:dyDescent="0.2">
      <c r="N304" s="185"/>
      <c r="O304" s="185"/>
      <c r="P304" s="185"/>
      <c r="Q304" s="185"/>
      <c r="R304" s="185"/>
    </row>
    <row r="305" spans="14:18" x14ac:dyDescent="0.2">
      <c r="N305" s="185"/>
      <c r="O305" s="185"/>
      <c r="P305" s="185"/>
      <c r="Q305" s="185"/>
      <c r="R305" s="185"/>
    </row>
    <row r="306" spans="14:18" x14ac:dyDescent="0.2">
      <c r="N306" s="185"/>
      <c r="O306" s="185"/>
      <c r="P306" s="185"/>
      <c r="Q306" s="185"/>
      <c r="R306" s="185"/>
    </row>
    <row r="307" spans="14:18" x14ac:dyDescent="0.2">
      <c r="N307" s="185"/>
      <c r="O307" s="185"/>
      <c r="P307" s="185"/>
      <c r="Q307" s="185"/>
      <c r="R307" s="185"/>
    </row>
    <row r="308" spans="14:18" x14ac:dyDescent="0.2">
      <c r="N308" s="185"/>
      <c r="O308" s="185"/>
      <c r="P308" s="185"/>
      <c r="Q308" s="185"/>
      <c r="R308" s="185"/>
    </row>
    <row r="309" spans="14:18" x14ac:dyDescent="0.2">
      <c r="N309" s="185"/>
      <c r="O309" s="185"/>
      <c r="P309" s="185"/>
      <c r="Q309" s="185"/>
      <c r="R309" s="185"/>
    </row>
    <row r="310" spans="14:18" x14ac:dyDescent="0.2">
      <c r="N310" s="185"/>
      <c r="O310" s="185"/>
      <c r="P310" s="185"/>
      <c r="Q310" s="185"/>
      <c r="R310" s="185"/>
    </row>
    <row r="311" spans="14:18" x14ac:dyDescent="0.2">
      <c r="N311" s="185"/>
      <c r="O311" s="185"/>
      <c r="P311" s="185"/>
      <c r="Q311" s="185"/>
      <c r="R311" s="185"/>
    </row>
    <row r="312" spans="14:18" x14ac:dyDescent="0.2">
      <c r="N312" s="185"/>
      <c r="O312" s="185"/>
      <c r="P312" s="185"/>
      <c r="Q312" s="185"/>
      <c r="R312" s="185"/>
    </row>
    <row r="313" spans="14:18" x14ac:dyDescent="0.2">
      <c r="N313" s="185"/>
      <c r="O313" s="185"/>
      <c r="P313" s="185"/>
      <c r="Q313" s="185"/>
      <c r="R313" s="185"/>
    </row>
    <row r="314" spans="14:18" x14ac:dyDescent="0.2">
      <c r="N314" s="185"/>
      <c r="O314" s="185"/>
      <c r="P314" s="185"/>
      <c r="Q314" s="185"/>
      <c r="R314" s="185"/>
    </row>
    <row r="315" spans="14:18" x14ac:dyDescent="0.2">
      <c r="N315" s="185"/>
      <c r="O315" s="185"/>
      <c r="P315" s="185"/>
      <c r="Q315" s="185"/>
      <c r="R315" s="185"/>
    </row>
    <row r="316" spans="14:18" x14ac:dyDescent="0.2">
      <c r="N316" s="185"/>
      <c r="O316" s="185"/>
      <c r="P316" s="185"/>
      <c r="Q316" s="185"/>
      <c r="R316" s="185"/>
    </row>
    <row r="317" spans="14:18" x14ac:dyDescent="0.2">
      <c r="N317" s="185"/>
      <c r="O317" s="185"/>
      <c r="P317" s="185"/>
      <c r="Q317" s="185"/>
      <c r="R317" s="185"/>
    </row>
    <row r="318" spans="14:18" x14ac:dyDescent="0.2">
      <c r="N318" s="185"/>
      <c r="O318" s="185"/>
      <c r="P318" s="185"/>
      <c r="Q318" s="185"/>
      <c r="R318" s="185"/>
    </row>
    <row r="319" spans="14:18" x14ac:dyDescent="0.2">
      <c r="N319" s="185"/>
      <c r="O319" s="185"/>
      <c r="P319" s="185"/>
      <c r="Q319" s="185"/>
      <c r="R319" s="185"/>
    </row>
    <row r="320" spans="14:18" x14ac:dyDescent="0.2">
      <c r="N320" s="185"/>
      <c r="O320" s="185"/>
      <c r="P320" s="185"/>
      <c r="Q320" s="185"/>
      <c r="R320" s="185"/>
    </row>
    <row r="321" spans="14:18" x14ac:dyDescent="0.2">
      <c r="N321" s="185"/>
      <c r="O321" s="185"/>
      <c r="P321" s="185"/>
      <c r="Q321" s="185"/>
      <c r="R321" s="185"/>
    </row>
    <row r="322" spans="14:18" x14ac:dyDescent="0.2">
      <c r="N322" s="185"/>
      <c r="O322" s="185"/>
      <c r="P322" s="185"/>
      <c r="Q322" s="185"/>
      <c r="R322" s="185"/>
    </row>
    <row r="323" spans="14:18" x14ac:dyDescent="0.2">
      <c r="N323" s="185"/>
      <c r="O323" s="185"/>
      <c r="P323" s="185"/>
      <c r="Q323" s="185"/>
      <c r="R323" s="185"/>
    </row>
    <row r="324" spans="14:18" x14ac:dyDescent="0.2">
      <c r="N324" s="185"/>
      <c r="O324" s="185"/>
      <c r="P324" s="185"/>
      <c r="Q324" s="185"/>
      <c r="R324" s="185"/>
    </row>
    <row r="325" spans="14:18" x14ac:dyDescent="0.2">
      <c r="N325" s="185"/>
      <c r="O325" s="185"/>
      <c r="P325" s="185"/>
      <c r="Q325" s="185"/>
      <c r="R325" s="185"/>
    </row>
    <row r="326" spans="14:18" x14ac:dyDescent="0.2">
      <c r="N326" s="185"/>
      <c r="O326" s="185"/>
      <c r="P326" s="185"/>
      <c r="Q326" s="185"/>
      <c r="R326" s="185"/>
    </row>
    <row r="327" spans="14:18" x14ac:dyDescent="0.2">
      <c r="N327" s="185"/>
      <c r="O327" s="185"/>
      <c r="P327" s="185"/>
      <c r="Q327" s="185"/>
      <c r="R327" s="185"/>
    </row>
    <row r="328" spans="14:18" x14ac:dyDescent="0.2">
      <c r="N328" s="185"/>
      <c r="O328" s="185"/>
      <c r="P328" s="185"/>
      <c r="Q328" s="185"/>
      <c r="R328" s="185"/>
    </row>
    <row r="329" spans="14:18" x14ac:dyDescent="0.2">
      <c r="N329" s="185"/>
      <c r="O329" s="185"/>
      <c r="P329" s="185"/>
      <c r="Q329" s="185"/>
      <c r="R329" s="185"/>
    </row>
    <row r="330" spans="14:18" x14ac:dyDescent="0.2">
      <c r="N330" s="185"/>
      <c r="O330" s="185"/>
      <c r="P330" s="185"/>
      <c r="Q330" s="185"/>
      <c r="R330" s="185"/>
    </row>
    <row r="331" spans="14:18" x14ac:dyDescent="0.2">
      <c r="N331" s="185"/>
      <c r="O331" s="185"/>
      <c r="P331" s="185"/>
      <c r="Q331" s="185"/>
      <c r="R331" s="185"/>
    </row>
    <row r="332" spans="14:18" x14ac:dyDescent="0.2">
      <c r="N332" s="185"/>
      <c r="O332" s="185"/>
      <c r="P332" s="185"/>
      <c r="Q332" s="185"/>
      <c r="R332" s="185"/>
    </row>
    <row r="333" spans="14:18" x14ac:dyDescent="0.2">
      <c r="N333" s="185"/>
      <c r="O333" s="185"/>
      <c r="P333" s="185"/>
      <c r="Q333" s="185"/>
      <c r="R333" s="185"/>
    </row>
    <row r="334" spans="14:18" x14ac:dyDescent="0.2">
      <c r="N334" s="185"/>
      <c r="O334" s="185"/>
      <c r="P334" s="185"/>
      <c r="Q334" s="185"/>
      <c r="R334" s="185"/>
    </row>
    <row r="335" spans="14:18" x14ac:dyDescent="0.2">
      <c r="N335" s="185"/>
      <c r="O335" s="185"/>
      <c r="P335" s="185"/>
      <c r="Q335" s="185"/>
      <c r="R335" s="185"/>
    </row>
    <row r="336" spans="14:18" x14ac:dyDescent="0.2">
      <c r="N336" s="185"/>
      <c r="O336" s="185"/>
      <c r="P336" s="185"/>
      <c r="Q336" s="185"/>
      <c r="R336" s="185"/>
    </row>
    <row r="337" spans="14:18" x14ac:dyDescent="0.2">
      <c r="N337" s="185"/>
      <c r="O337" s="185"/>
      <c r="P337" s="185"/>
      <c r="Q337" s="185"/>
      <c r="R337" s="185"/>
    </row>
    <row r="338" spans="14:18" x14ac:dyDescent="0.2">
      <c r="N338" s="185"/>
      <c r="O338" s="185"/>
      <c r="P338" s="185"/>
      <c r="Q338" s="185"/>
      <c r="R338" s="185"/>
    </row>
    <row r="339" spans="14:18" x14ac:dyDescent="0.2">
      <c r="N339" s="185"/>
      <c r="O339" s="185"/>
      <c r="P339" s="185"/>
      <c r="Q339" s="185"/>
      <c r="R339" s="185"/>
    </row>
    <row r="340" spans="14:18" x14ac:dyDescent="0.2">
      <c r="N340" s="185"/>
      <c r="O340" s="185"/>
      <c r="P340" s="185"/>
      <c r="Q340" s="185"/>
      <c r="R340" s="185"/>
    </row>
    <row r="341" spans="14:18" x14ac:dyDescent="0.2">
      <c r="N341" s="185"/>
      <c r="O341" s="185"/>
      <c r="P341" s="185"/>
      <c r="Q341" s="185"/>
      <c r="R341" s="185"/>
    </row>
    <row r="342" spans="14:18" x14ac:dyDescent="0.2">
      <c r="N342" s="185"/>
      <c r="O342" s="185"/>
      <c r="P342" s="185"/>
      <c r="Q342" s="185"/>
      <c r="R342" s="185"/>
    </row>
    <row r="343" spans="14:18" x14ac:dyDescent="0.2">
      <c r="N343" s="185"/>
      <c r="O343" s="185"/>
      <c r="P343" s="185"/>
      <c r="Q343" s="185"/>
      <c r="R343" s="185"/>
    </row>
    <row r="344" spans="14:18" x14ac:dyDescent="0.2">
      <c r="N344" s="185"/>
      <c r="O344" s="185"/>
      <c r="P344" s="185"/>
      <c r="Q344" s="185"/>
      <c r="R344" s="185"/>
    </row>
    <row r="345" spans="14:18" x14ac:dyDescent="0.2">
      <c r="N345" s="185"/>
      <c r="O345" s="185"/>
      <c r="P345" s="185"/>
      <c r="Q345" s="185"/>
      <c r="R345" s="185"/>
    </row>
    <row r="346" spans="14:18" x14ac:dyDescent="0.2">
      <c r="N346" s="185"/>
      <c r="O346" s="185"/>
      <c r="P346" s="185"/>
      <c r="Q346" s="185"/>
      <c r="R346" s="185"/>
    </row>
    <row r="347" spans="14:18" x14ac:dyDescent="0.2">
      <c r="N347" s="185"/>
      <c r="O347" s="185"/>
      <c r="P347" s="185"/>
      <c r="Q347" s="185"/>
      <c r="R347" s="185"/>
    </row>
    <row r="348" spans="14:18" x14ac:dyDescent="0.2">
      <c r="N348" s="185"/>
      <c r="O348" s="185"/>
      <c r="P348" s="185"/>
      <c r="Q348" s="185"/>
      <c r="R348" s="185"/>
    </row>
    <row r="349" spans="14:18" x14ac:dyDescent="0.2">
      <c r="N349" s="185"/>
      <c r="O349" s="185"/>
      <c r="P349" s="185"/>
      <c r="Q349" s="185"/>
      <c r="R349" s="185"/>
    </row>
    <row r="350" spans="14:18" x14ac:dyDescent="0.2">
      <c r="N350" s="185"/>
      <c r="O350" s="185"/>
      <c r="P350" s="185"/>
      <c r="Q350" s="185"/>
      <c r="R350" s="185"/>
    </row>
    <row r="351" spans="14:18" x14ac:dyDescent="0.2">
      <c r="N351" s="185"/>
      <c r="O351" s="185"/>
      <c r="P351" s="185"/>
      <c r="Q351" s="185"/>
      <c r="R351" s="185"/>
    </row>
    <row r="352" spans="14:18" x14ac:dyDescent="0.2">
      <c r="N352" s="185"/>
      <c r="O352" s="185"/>
      <c r="P352" s="185"/>
      <c r="Q352" s="185"/>
      <c r="R352" s="185"/>
    </row>
    <row r="353" spans="14:18" x14ac:dyDescent="0.2">
      <c r="N353" s="185"/>
      <c r="O353" s="185"/>
      <c r="P353" s="185"/>
      <c r="Q353" s="185"/>
      <c r="R353" s="185"/>
    </row>
    <row r="354" spans="14:18" x14ac:dyDescent="0.2">
      <c r="N354" s="185"/>
      <c r="O354" s="185"/>
      <c r="P354" s="185"/>
      <c r="Q354" s="185"/>
      <c r="R354" s="185"/>
    </row>
    <row r="355" spans="14:18" x14ac:dyDescent="0.2">
      <c r="N355" s="185"/>
      <c r="O355" s="185"/>
      <c r="P355" s="185"/>
      <c r="Q355" s="185"/>
      <c r="R355" s="185"/>
    </row>
    <row r="356" spans="14:18" x14ac:dyDescent="0.2">
      <c r="N356" s="185"/>
      <c r="O356" s="185"/>
      <c r="P356" s="185"/>
      <c r="Q356" s="185"/>
      <c r="R356" s="185"/>
    </row>
    <row r="357" spans="14:18" x14ac:dyDescent="0.2">
      <c r="N357" s="185"/>
      <c r="O357" s="185"/>
      <c r="P357" s="185"/>
      <c r="Q357" s="185"/>
      <c r="R357" s="185"/>
    </row>
    <row r="358" spans="14:18" x14ac:dyDescent="0.2">
      <c r="N358" s="185"/>
      <c r="O358" s="185"/>
      <c r="P358" s="185"/>
      <c r="Q358" s="185"/>
      <c r="R358" s="185"/>
    </row>
    <row r="359" spans="14:18" x14ac:dyDescent="0.2">
      <c r="N359" s="185"/>
      <c r="O359" s="185"/>
      <c r="P359" s="185"/>
      <c r="Q359" s="185"/>
      <c r="R359" s="185"/>
    </row>
    <row r="360" spans="14:18" x14ac:dyDescent="0.2">
      <c r="N360" s="185"/>
      <c r="O360" s="185"/>
      <c r="P360" s="185"/>
      <c r="Q360" s="185"/>
      <c r="R360" s="185"/>
    </row>
    <row r="361" spans="14:18" x14ac:dyDescent="0.2">
      <c r="N361" s="185"/>
      <c r="O361" s="185"/>
      <c r="P361" s="185"/>
      <c r="Q361" s="185"/>
      <c r="R361" s="185"/>
    </row>
    <row r="362" spans="14:18" x14ac:dyDescent="0.2">
      <c r="N362" s="185"/>
      <c r="O362" s="185"/>
      <c r="P362" s="185"/>
      <c r="Q362" s="185"/>
      <c r="R362" s="185"/>
    </row>
    <row r="363" spans="14:18" x14ac:dyDescent="0.2">
      <c r="N363" s="185"/>
      <c r="O363" s="185"/>
      <c r="P363" s="185"/>
      <c r="Q363" s="185"/>
      <c r="R363" s="185"/>
    </row>
    <row r="364" spans="14:18" x14ac:dyDescent="0.2">
      <c r="N364" s="185"/>
      <c r="O364" s="185"/>
      <c r="P364" s="185"/>
      <c r="Q364" s="185"/>
      <c r="R364" s="185"/>
    </row>
    <row r="365" spans="14:18" x14ac:dyDescent="0.2">
      <c r="N365" s="185"/>
      <c r="O365" s="185"/>
      <c r="P365" s="185"/>
      <c r="Q365" s="185"/>
      <c r="R365" s="185"/>
    </row>
    <row r="366" spans="14:18" x14ac:dyDescent="0.2">
      <c r="N366" s="185"/>
      <c r="O366" s="185"/>
      <c r="P366" s="185"/>
      <c r="Q366" s="185"/>
      <c r="R366" s="185"/>
    </row>
    <row r="367" spans="14:18" x14ac:dyDescent="0.2">
      <c r="N367" s="185"/>
      <c r="O367" s="185"/>
      <c r="P367" s="185"/>
      <c r="Q367" s="185"/>
      <c r="R367" s="185"/>
    </row>
    <row r="368" spans="14:18" x14ac:dyDescent="0.2">
      <c r="N368" s="185"/>
      <c r="O368" s="185"/>
      <c r="P368" s="185"/>
      <c r="Q368" s="185"/>
      <c r="R368" s="185"/>
    </row>
    <row r="369" spans="14:18" x14ac:dyDescent="0.2">
      <c r="N369" s="185"/>
      <c r="O369" s="185"/>
      <c r="P369" s="185"/>
      <c r="Q369" s="185"/>
      <c r="R369" s="185"/>
    </row>
    <row r="370" spans="14:18" x14ac:dyDescent="0.2">
      <c r="N370" s="185"/>
      <c r="O370" s="185"/>
      <c r="P370" s="185"/>
      <c r="Q370" s="185"/>
      <c r="R370" s="185"/>
    </row>
    <row r="371" spans="14:18" x14ac:dyDescent="0.2">
      <c r="N371" s="185"/>
      <c r="O371" s="185"/>
      <c r="P371" s="185"/>
      <c r="Q371" s="185"/>
      <c r="R371" s="185"/>
    </row>
    <row r="372" spans="14:18" x14ac:dyDescent="0.2">
      <c r="N372" s="185"/>
      <c r="O372" s="185"/>
      <c r="P372" s="185"/>
      <c r="Q372" s="185"/>
      <c r="R372" s="185"/>
    </row>
    <row r="373" spans="14:18" x14ac:dyDescent="0.2">
      <c r="N373" s="185"/>
      <c r="O373" s="185"/>
      <c r="P373" s="185"/>
      <c r="Q373" s="185"/>
      <c r="R373" s="185"/>
    </row>
    <row r="374" spans="14:18" x14ac:dyDescent="0.2">
      <c r="N374" s="185"/>
      <c r="O374" s="185"/>
      <c r="P374" s="185"/>
      <c r="Q374" s="185"/>
      <c r="R374" s="185"/>
    </row>
    <row r="375" spans="14:18" x14ac:dyDescent="0.2">
      <c r="N375" s="185"/>
      <c r="O375" s="185"/>
      <c r="P375" s="185"/>
      <c r="Q375" s="185"/>
      <c r="R375" s="185"/>
    </row>
    <row r="376" spans="14:18" x14ac:dyDescent="0.2">
      <c r="N376" s="185"/>
      <c r="O376" s="185"/>
      <c r="P376" s="185"/>
      <c r="Q376" s="185"/>
      <c r="R376" s="185"/>
    </row>
    <row r="377" spans="14:18" x14ac:dyDescent="0.2">
      <c r="N377" s="185"/>
      <c r="O377" s="185"/>
      <c r="P377" s="185"/>
      <c r="Q377" s="185"/>
      <c r="R377" s="185"/>
    </row>
    <row r="378" spans="14:18" x14ac:dyDescent="0.2">
      <c r="N378" s="185"/>
      <c r="O378" s="185"/>
      <c r="P378" s="185"/>
      <c r="Q378" s="185"/>
      <c r="R378" s="185"/>
    </row>
    <row r="379" spans="14:18" x14ac:dyDescent="0.2">
      <c r="N379" s="185"/>
      <c r="O379" s="185"/>
      <c r="P379" s="185"/>
      <c r="Q379" s="185"/>
      <c r="R379" s="185"/>
    </row>
    <row r="380" spans="14:18" x14ac:dyDescent="0.2">
      <c r="N380" s="185"/>
      <c r="O380" s="185"/>
      <c r="P380" s="185"/>
      <c r="Q380" s="185"/>
      <c r="R380" s="185"/>
    </row>
    <row r="381" spans="14:18" x14ac:dyDescent="0.2">
      <c r="N381" s="185"/>
      <c r="O381" s="185"/>
      <c r="P381" s="185"/>
      <c r="Q381" s="185"/>
      <c r="R381" s="185"/>
    </row>
    <row r="382" spans="14:18" x14ac:dyDescent="0.2">
      <c r="N382" s="185"/>
      <c r="O382" s="185"/>
      <c r="P382" s="185"/>
      <c r="Q382" s="185"/>
      <c r="R382" s="185"/>
    </row>
    <row r="383" spans="14:18" x14ac:dyDescent="0.2">
      <c r="N383" s="185"/>
      <c r="O383" s="185"/>
      <c r="P383" s="185"/>
      <c r="Q383" s="185"/>
      <c r="R383" s="185"/>
    </row>
    <row r="384" spans="14:18" x14ac:dyDescent="0.2">
      <c r="N384" s="185"/>
      <c r="O384" s="185"/>
      <c r="P384" s="185"/>
      <c r="Q384" s="185"/>
      <c r="R384" s="185"/>
    </row>
    <row r="385" spans="14:18" x14ac:dyDescent="0.2">
      <c r="N385" s="185"/>
      <c r="O385" s="185"/>
      <c r="P385" s="185"/>
      <c r="Q385" s="185"/>
      <c r="R385" s="185"/>
    </row>
    <row r="386" spans="14:18" x14ac:dyDescent="0.2">
      <c r="N386" s="185"/>
      <c r="O386" s="185"/>
      <c r="P386" s="185"/>
      <c r="Q386" s="185"/>
      <c r="R386" s="185"/>
    </row>
    <row r="387" spans="14:18" x14ac:dyDescent="0.2">
      <c r="N387" s="185"/>
      <c r="O387" s="185"/>
      <c r="P387" s="185"/>
      <c r="Q387" s="185"/>
      <c r="R387" s="185"/>
    </row>
    <row r="388" spans="14:18" x14ac:dyDescent="0.2">
      <c r="N388" s="185"/>
      <c r="O388" s="185"/>
      <c r="P388" s="185"/>
      <c r="Q388" s="185"/>
      <c r="R388" s="185"/>
    </row>
    <row r="389" spans="14:18" x14ac:dyDescent="0.2">
      <c r="N389" s="185"/>
      <c r="O389" s="185"/>
      <c r="P389" s="185"/>
      <c r="Q389" s="185"/>
      <c r="R389" s="185"/>
    </row>
    <row r="390" spans="14:18" x14ac:dyDescent="0.2">
      <c r="N390" s="185"/>
      <c r="O390" s="185"/>
      <c r="P390" s="185"/>
      <c r="Q390" s="185"/>
      <c r="R390" s="185"/>
    </row>
    <row r="391" spans="14:18" x14ac:dyDescent="0.2">
      <c r="N391" s="185"/>
      <c r="O391" s="185"/>
      <c r="P391" s="185"/>
      <c r="Q391" s="185"/>
      <c r="R391" s="185"/>
    </row>
    <row r="392" spans="14:18" x14ac:dyDescent="0.2">
      <c r="N392" s="185"/>
      <c r="O392" s="185"/>
      <c r="P392" s="185"/>
      <c r="Q392" s="185"/>
      <c r="R392" s="185"/>
    </row>
    <row r="393" spans="14:18" x14ac:dyDescent="0.2">
      <c r="N393" s="185"/>
      <c r="O393" s="185"/>
      <c r="P393" s="185"/>
      <c r="Q393" s="185"/>
      <c r="R393" s="185"/>
    </row>
    <row r="394" spans="14:18" x14ac:dyDescent="0.2">
      <c r="N394" s="185"/>
      <c r="O394" s="185"/>
      <c r="P394" s="185"/>
      <c r="Q394" s="185"/>
      <c r="R394" s="185"/>
    </row>
    <row r="395" spans="14:18" x14ac:dyDescent="0.2">
      <c r="N395" s="185"/>
      <c r="O395" s="185"/>
      <c r="P395" s="185"/>
      <c r="Q395" s="185"/>
      <c r="R395" s="185"/>
    </row>
    <row r="396" spans="14:18" x14ac:dyDescent="0.2">
      <c r="N396" s="185"/>
      <c r="O396" s="185"/>
      <c r="P396" s="185"/>
      <c r="Q396" s="185"/>
      <c r="R396" s="185"/>
    </row>
    <row r="397" spans="14:18" x14ac:dyDescent="0.2">
      <c r="N397" s="185"/>
      <c r="O397" s="185"/>
      <c r="P397" s="185"/>
      <c r="Q397" s="185"/>
      <c r="R397" s="185"/>
    </row>
    <row r="398" spans="14:18" x14ac:dyDescent="0.2">
      <c r="N398" s="185"/>
      <c r="O398" s="185"/>
      <c r="P398" s="185"/>
      <c r="Q398" s="185"/>
      <c r="R398" s="185"/>
    </row>
    <row r="399" spans="14:18" x14ac:dyDescent="0.2">
      <c r="N399" s="185"/>
      <c r="O399" s="185"/>
      <c r="P399" s="185"/>
      <c r="Q399" s="185"/>
      <c r="R399" s="185"/>
    </row>
    <row r="400" spans="14:18" x14ac:dyDescent="0.2">
      <c r="N400" s="185"/>
      <c r="O400" s="185"/>
      <c r="P400" s="185"/>
      <c r="Q400" s="185"/>
      <c r="R400" s="185"/>
    </row>
    <row r="401" spans="14:18" x14ac:dyDescent="0.2">
      <c r="N401" s="185"/>
      <c r="O401" s="185"/>
      <c r="P401" s="185"/>
      <c r="Q401" s="185"/>
      <c r="R401" s="185"/>
    </row>
    <row r="402" spans="14:18" x14ac:dyDescent="0.2">
      <c r="N402" s="185"/>
      <c r="O402" s="185"/>
      <c r="P402" s="185"/>
      <c r="Q402" s="185"/>
      <c r="R402" s="185"/>
    </row>
    <row r="403" spans="14:18" x14ac:dyDescent="0.2">
      <c r="N403" s="185"/>
      <c r="O403" s="185"/>
      <c r="P403" s="185"/>
      <c r="Q403" s="185"/>
      <c r="R403" s="185"/>
    </row>
    <row r="404" spans="14:18" x14ac:dyDescent="0.2">
      <c r="N404" s="185"/>
      <c r="O404" s="185"/>
      <c r="P404" s="185"/>
      <c r="Q404" s="185"/>
      <c r="R404" s="185"/>
    </row>
    <row r="405" spans="14:18" x14ac:dyDescent="0.2">
      <c r="N405" s="185"/>
      <c r="O405" s="185"/>
      <c r="P405" s="185"/>
      <c r="Q405" s="185"/>
      <c r="R405" s="185"/>
    </row>
    <row r="406" spans="14:18" x14ac:dyDescent="0.2">
      <c r="N406" s="185"/>
      <c r="O406" s="185"/>
      <c r="P406" s="185"/>
      <c r="Q406" s="185"/>
      <c r="R406" s="185"/>
    </row>
    <row r="407" spans="14:18" x14ac:dyDescent="0.2">
      <c r="N407" s="185"/>
      <c r="O407" s="185"/>
      <c r="P407" s="185"/>
      <c r="Q407" s="185"/>
      <c r="R407" s="185"/>
    </row>
    <row r="408" spans="14:18" x14ac:dyDescent="0.2">
      <c r="N408" s="185"/>
      <c r="O408" s="185"/>
      <c r="P408" s="185"/>
      <c r="Q408" s="185"/>
      <c r="R408" s="185"/>
    </row>
    <row r="409" spans="14:18" x14ac:dyDescent="0.2">
      <c r="N409" s="185"/>
      <c r="O409" s="185"/>
      <c r="P409" s="185"/>
      <c r="Q409" s="185"/>
      <c r="R409" s="185"/>
    </row>
    <row r="410" spans="14:18" x14ac:dyDescent="0.2">
      <c r="N410" s="185"/>
      <c r="O410" s="185"/>
      <c r="P410" s="185"/>
      <c r="Q410" s="185"/>
      <c r="R410" s="185"/>
    </row>
    <row r="411" spans="14:18" x14ac:dyDescent="0.2">
      <c r="N411" s="185"/>
      <c r="O411" s="185"/>
      <c r="P411" s="185"/>
      <c r="Q411" s="185"/>
      <c r="R411" s="185"/>
    </row>
    <row r="412" spans="14:18" x14ac:dyDescent="0.2">
      <c r="N412" s="185"/>
      <c r="O412" s="185"/>
      <c r="P412" s="185"/>
      <c r="Q412" s="185"/>
      <c r="R412" s="185"/>
    </row>
    <row r="413" spans="14:18" x14ac:dyDescent="0.2">
      <c r="N413" s="185"/>
      <c r="O413" s="185"/>
      <c r="P413" s="185"/>
      <c r="Q413" s="185"/>
      <c r="R413" s="185"/>
    </row>
    <row r="414" spans="14:18" x14ac:dyDescent="0.2">
      <c r="N414" s="185"/>
      <c r="O414" s="185"/>
      <c r="P414" s="185"/>
      <c r="Q414" s="185"/>
      <c r="R414" s="185"/>
    </row>
    <row r="415" spans="14:18" x14ac:dyDescent="0.2">
      <c r="N415" s="185"/>
      <c r="O415" s="185"/>
      <c r="P415" s="185"/>
      <c r="Q415" s="185"/>
      <c r="R415" s="185"/>
    </row>
    <row r="416" spans="14:18" x14ac:dyDescent="0.2">
      <c r="N416" s="185"/>
      <c r="O416" s="185"/>
      <c r="P416" s="185"/>
      <c r="Q416" s="185"/>
      <c r="R416" s="185"/>
    </row>
    <row r="417" spans="14:18" x14ac:dyDescent="0.2">
      <c r="N417" s="185"/>
      <c r="O417" s="185"/>
      <c r="P417" s="185"/>
      <c r="Q417" s="185"/>
      <c r="R417" s="185"/>
    </row>
    <row r="418" spans="14:18" x14ac:dyDescent="0.2">
      <c r="N418" s="185"/>
      <c r="O418" s="185"/>
      <c r="P418" s="185"/>
      <c r="Q418" s="185"/>
      <c r="R418" s="185"/>
    </row>
    <row r="419" spans="14:18" x14ac:dyDescent="0.2">
      <c r="N419" s="185"/>
      <c r="O419" s="185"/>
      <c r="P419" s="185"/>
      <c r="Q419" s="185"/>
      <c r="R419" s="185"/>
    </row>
    <row r="420" spans="14:18" x14ac:dyDescent="0.2">
      <c r="N420" s="185"/>
      <c r="O420" s="185"/>
      <c r="P420" s="185"/>
      <c r="Q420" s="185"/>
      <c r="R420" s="185"/>
    </row>
    <row r="421" spans="14:18" x14ac:dyDescent="0.2">
      <c r="N421" s="185"/>
      <c r="O421" s="185"/>
      <c r="P421" s="185"/>
      <c r="Q421" s="185"/>
      <c r="R421" s="185"/>
    </row>
    <row r="422" spans="14:18" x14ac:dyDescent="0.2">
      <c r="N422" s="185"/>
      <c r="O422" s="185"/>
      <c r="P422" s="185"/>
      <c r="Q422" s="185"/>
      <c r="R422" s="185"/>
    </row>
    <row r="423" spans="14:18" x14ac:dyDescent="0.2">
      <c r="N423" s="185"/>
      <c r="O423" s="185"/>
      <c r="P423" s="185"/>
      <c r="Q423" s="185"/>
      <c r="R423" s="185"/>
    </row>
    <row r="424" spans="14:18" x14ac:dyDescent="0.2">
      <c r="N424" s="185"/>
      <c r="O424" s="185"/>
      <c r="P424" s="185"/>
      <c r="Q424" s="185"/>
      <c r="R424" s="185"/>
    </row>
    <row r="425" spans="14:18" x14ac:dyDescent="0.2">
      <c r="N425" s="185"/>
      <c r="O425" s="185"/>
      <c r="P425" s="185"/>
      <c r="Q425" s="185"/>
      <c r="R425" s="185"/>
    </row>
    <row r="426" spans="14:18" x14ac:dyDescent="0.2">
      <c r="N426" s="185"/>
      <c r="O426" s="185"/>
      <c r="P426" s="185"/>
      <c r="Q426" s="185"/>
      <c r="R426" s="185"/>
    </row>
    <row r="427" spans="14:18" x14ac:dyDescent="0.2">
      <c r="N427" s="185"/>
      <c r="O427" s="185"/>
      <c r="P427" s="185"/>
      <c r="Q427" s="185"/>
      <c r="R427" s="185"/>
    </row>
    <row r="428" spans="14:18" x14ac:dyDescent="0.2">
      <c r="N428" s="185"/>
      <c r="O428" s="185"/>
      <c r="P428" s="185"/>
      <c r="Q428" s="185"/>
      <c r="R428" s="185"/>
    </row>
    <row r="429" spans="14:18" x14ac:dyDescent="0.2">
      <c r="N429" s="185"/>
      <c r="O429" s="185"/>
      <c r="P429" s="185"/>
      <c r="Q429" s="185"/>
      <c r="R429" s="185"/>
    </row>
    <row r="430" spans="14:18" x14ac:dyDescent="0.2">
      <c r="N430" s="185"/>
      <c r="O430" s="185"/>
      <c r="P430" s="185"/>
      <c r="Q430" s="185"/>
      <c r="R430" s="185"/>
    </row>
    <row r="431" spans="14:18" x14ac:dyDescent="0.2">
      <c r="N431" s="185"/>
      <c r="O431" s="185"/>
      <c r="P431" s="185"/>
      <c r="Q431" s="185"/>
      <c r="R431" s="185"/>
    </row>
    <row r="432" spans="14:18" x14ac:dyDescent="0.2">
      <c r="N432" s="185"/>
      <c r="O432" s="185"/>
      <c r="P432" s="185"/>
      <c r="Q432" s="185"/>
      <c r="R432" s="185"/>
    </row>
    <row r="433" spans="14:18" x14ac:dyDescent="0.2">
      <c r="N433" s="185"/>
      <c r="O433" s="185"/>
      <c r="P433" s="185"/>
      <c r="Q433" s="185"/>
      <c r="R433" s="185"/>
    </row>
    <row r="434" spans="14:18" x14ac:dyDescent="0.2">
      <c r="N434" s="185"/>
      <c r="O434" s="185"/>
      <c r="P434" s="185"/>
      <c r="Q434" s="185"/>
      <c r="R434" s="185"/>
    </row>
    <row r="435" spans="14:18" x14ac:dyDescent="0.2">
      <c r="N435" s="185"/>
      <c r="O435" s="185"/>
      <c r="P435" s="185"/>
      <c r="Q435" s="185"/>
      <c r="R435" s="185"/>
    </row>
    <row r="436" spans="14:18" x14ac:dyDescent="0.2">
      <c r="N436" s="185"/>
      <c r="O436" s="185"/>
      <c r="P436" s="185"/>
      <c r="Q436" s="185"/>
      <c r="R436" s="185"/>
    </row>
    <row r="437" spans="14:18" x14ac:dyDescent="0.2">
      <c r="N437" s="185"/>
      <c r="O437" s="185"/>
      <c r="P437" s="185"/>
      <c r="Q437" s="185"/>
      <c r="R437" s="185"/>
    </row>
    <row r="438" spans="14:18" x14ac:dyDescent="0.2">
      <c r="N438" s="185"/>
      <c r="O438" s="185"/>
      <c r="P438" s="185"/>
      <c r="Q438" s="185"/>
      <c r="R438" s="185"/>
    </row>
    <row r="439" spans="14:18" x14ac:dyDescent="0.2">
      <c r="N439" s="185"/>
      <c r="O439" s="185"/>
      <c r="P439" s="185"/>
      <c r="Q439" s="185"/>
      <c r="R439" s="185"/>
    </row>
    <row r="440" spans="14:18" x14ac:dyDescent="0.2">
      <c r="N440" s="185"/>
      <c r="O440" s="185"/>
      <c r="P440" s="185"/>
      <c r="Q440" s="185"/>
      <c r="R440" s="185"/>
    </row>
    <row r="441" spans="14:18" x14ac:dyDescent="0.2">
      <c r="N441" s="185"/>
      <c r="O441" s="185"/>
      <c r="P441" s="185"/>
      <c r="Q441" s="185"/>
      <c r="R441" s="185"/>
    </row>
    <row r="442" spans="14:18" x14ac:dyDescent="0.2">
      <c r="N442" s="185"/>
      <c r="O442" s="185"/>
      <c r="P442" s="185"/>
      <c r="Q442" s="185"/>
      <c r="R442" s="185"/>
    </row>
    <row r="443" spans="14:18" x14ac:dyDescent="0.2">
      <c r="N443" s="185"/>
      <c r="O443" s="185"/>
      <c r="P443" s="185"/>
      <c r="Q443" s="185"/>
      <c r="R443" s="185"/>
    </row>
    <row r="444" spans="14:18" x14ac:dyDescent="0.2">
      <c r="N444" s="185"/>
      <c r="O444" s="185"/>
      <c r="P444" s="185"/>
      <c r="Q444" s="185"/>
      <c r="R444" s="185"/>
    </row>
    <row r="445" spans="14:18" x14ac:dyDescent="0.2">
      <c r="N445" s="185"/>
      <c r="O445" s="185"/>
      <c r="P445" s="185"/>
      <c r="Q445" s="185"/>
      <c r="R445" s="185"/>
    </row>
    <row r="446" spans="14:18" x14ac:dyDescent="0.2">
      <c r="N446" s="185"/>
      <c r="O446" s="185"/>
      <c r="P446" s="185"/>
      <c r="Q446" s="185"/>
      <c r="R446" s="185"/>
    </row>
    <row r="447" spans="14:18" x14ac:dyDescent="0.2">
      <c r="N447" s="185"/>
      <c r="O447" s="185"/>
      <c r="P447" s="185"/>
      <c r="Q447" s="185"/>
      <c r="R447" s="185"/>
    </row>
    <row r="448" spans="14:18" x14ac:dyDescent="0.2">
      <c r="N448" s="185"/>
      <c r="O448" s="185"/>
      <c r="P448" s="185"/>
      <c r="Q448" s="185"/>
      <c r="R448" s="185"/>
    </row>
    <row r="449" spans="14:18" x14ac:dyDescent="0.2">
      <c r="N449" s="185"/>
      <c r="O449" s="185"/>
      <c r="P449" s="185"/>
      <c r="Q449" s="185"/>
      <c r="R449" s="185"/>
    </row>
    <row r="450" spans="14:18" x14ac:dyDescent="0.2">
      <c r="N450" s="185"/>
      <c r="O450" s="185"/>
      <c r="P450" s="185"/>
      <c r="Q450" s="185"/>
      <c r="R450" s="185"/>
    </row>
    <row r="451" spans="14:18" x14ac:dyDescent="0.2">
      <c r="N451" s="185"/>
      <c r="O451" s="185"/>
      <c r="P451" s="185"/>
      <c r="Q451" s="185"/>
      <c r="R451" s="185"/>
    </row>
    <row r="452" spans="14:18" x14ac:dyDescent="0.2">
      <c r="N452" s="185"/>
      <c r="O452" s="185"/>
      <c r="P452" s="185"/>
      <c r="Q452" s="185"/>
      <c r="R452" s="185"/>
    </row>
    <row r="453" spans="14:18" x14ac:dyDescent="0.2">
      <c r="N453" s="185"/>
      <c r="O453" s="185"/>
      <c r="P453" s="185"/>
      <c r="Q453" s="185"/>
      <c r="R453" s="185"/>
    </row>
    <row r="454" spans="14:18" x14ac:dyDescent="0.2">
      <c r="N454" s="185"/>
      <c r="O454" s="185"/>
      <c r="P454" s="185"/>
      <c r="Q454" s="185"/>
      <c r="R454" s="185"/>
    </row>
    <row r="455" spans="14:18" x14ac:dyDescent="0.2">
      <c r="N455" s="185"/>
      <c r="O455" s="185"/>
      <c r="P455" s="185"/>
      <c r="Q455" s="185"/>
      <c r="R455" s="185"/>
    </row>
    <row r="456" spans="14:18" x14ac:dyDescent="0.2">
      <c r="N456" s="185"/>
      <c r="O456" s="185"/>
      <c r="P456" s="185"/>
      <c r="Q456" s="185"/>
      <c r="R456" s="185"/>
    </row>
    <row r="457" spans="14:18" x14ac:dyDescent="0.2">
      <c r="N457" s="185"/>
      <c r="O457" s="185"/>
      <c r="P457" s="185"/>
      <c r="Q457" s="185"/>
      <c r="R457" s="185"/>
    </row>
    <row r="458" spans="14:18" x14ac:dyDescent="0.2">
      <c r="N458" s="185"/>
      <c r="O458" s="185"/>
      <c r="P458" s="185"/>
      <c r="Q458" s="185"/>
      <c r="R458" s="185"/>
    </row>
    <row r="459" spans="14:18" x14ac:dyDescent="0.2">
      <c r="N459" s="185"/>
      <c r="O459" s="185"/>
      <c r="P459" s="185"/>
      <c r="Q459" s="185"/>
      <c r="R459" s="185"/>
    </row>
    <row r="460" spans="14:18" x14ac:dyDescent="0.2">
      <c r="N460" s="185"/>
      <c r="O460" s="185"/>
      <c r="P460" s="185"/>
      <c r="Q460" s="185"/>
      <c r="R460" s="185"/>
    </row>
    <row r="461" spans="14:18" x14ac:dyDescent="0.2">
      <c r="N461" s="185"/>
      <c r="O461" s="185"/>
      <c r="P461" s="185"/>
      <c r="Q461" s="185"/>
      <c r="R461" s="185"/>
    </row>
    <row r="462" spans="14:18" x14ac:dyDescent="0.2">
      <c r="N462" s="185"/>
      <c r="O462" s="185"/>
      <c r="P462" s="185"/>
      <c r="Q462" s="185"/>
      <c r="R462" s="185"/>
    </row>
    <row r="463" spans="14:18" x14ac:dyDescent="0.2">
      <c r="N463" s="185"/>
      <c r="O463" s="185"/>
      <c r="P463" s="185"/>
      <c r="Q463" s="185"/>
      <c r="R463" s="185"/>
    </row>
  </sheetData>
  <mergeCells count="13">
    <mergeCell ref="AF4:AF5"/>
    <mergeCell ref="AG4:AG5"/>
    <mergeCell ref="A3:G4"/>
    <mergeCell ref="H3:L3"/>
    <mergeCell ref="M3:V3"/>
    <mergeCell ref="W3:AE3"/>
    <mergeCell ref="H4:I4"/>
    <mergeCell ref="J4:L4"/>
    <mergeCell ref="M4:O4"/>
    <mergeCell ref="P4:T4"/>
    <mergeCell ref="X4:Y4"/>
    <mergeCell ref="AA4:AB4"/>
    <mergeCell ref="AC4:AE4"/>
  </mergeCells>
  <pageMargins left="0.25" right="0.25" top="0.75" bottom="0.75" header="0.3" footer="0.3"/>
  <pageSetup paperSize="9" scale="42" fitToHeight="0"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Y56"/>
  <sheetViews>
    <sheetView zoomScale="80" zoomScaleNormal="80" workbookViewId="0">
      <pane ySplit="4" topLeftCell="A5" activePane="bottomLeft" state="frozen"/>
      <selection activeCell="S2" sqref="S2"/>
      <selection pane="bottomLeft" activeCell="I72" sqref="I72"/>
    </sheetView>
  </sheetViews>
  <sheetFormatPr defaultColWidth="8.85546875" defaultRowHeight="12.75" x14ac:dyDescent="0.2"/>
  <cols>
    <col min="1" max="1" width="8.42578125" style="3" customWidth="1"/>
    <col min="2" max="2" width="24.42578125" style="3" bestFit="1" customWidth="1"/>
    <col min="3" max="3" width="9.140625" style="3" customWidth="1"/>
    <col min="4" max="4" width="43.28515625" style="262" customWidth="1"/>
    <col min="5" max="5" width="23.28515625" style="3" customWidth="1"/>
    <col min="6" max="6" width="16" style="3" customWidth="1"/>
    <col min="7" max="7" width="29.140625" style="3" customWidth="1"/>
    <col min="8" max="8" width="59.28515625" style="3" customWidth="1"/>
    <col min="9" max="9" width="28" style="389" customWidth="1"/>
    <col min="10" max="10" width="39.5703125" style="3" customWidth="1"/>
    <col min="11" max="11" width="8.85546875" style="3"/>
    <col min="12" max="12" width="11.5703125" style="3" customWidth="1"/>
    <col min="13" max="13" width="11" style="3" customWidth="1"/>
    <col min="14" max="14" width="11.140625" style="3" customWidth="1"/>
    <col min="15" max="15" width="11.85546875" style="3" customWidth="1"/>
    <col min="16" max="24" width="8.85546875" style="3"/>
    <col min="25" max="25" width="52.7109375" style="3" customWidth="1"/>
    <col min="26" max="16384" width="8.85546875" style="3"/>
  </cols>
  <sheetData>
    <row r="1" spans="1:25" ht="13.5" thickBot="1" x14ac:dyDescent="0.25">
      <c r="A1" s="6" t="s">
        <v>1438</v>
      </c>
      <c r="B1" s="266"/>
      <c r="C1" s="7"/>
      <c r="D1" s="267"/>
      <c r="E1" s="1"/>
      <c r="F1" s="1"/>
      <c r="G1" s="1"/>
      <c r="H1" s="1"/>
    </row>
    <row r="2" spans="1:25" x14ac:dyDescent="0.2">
      <c r="A2" s="890"/>
      <c r="B2" s="891"/>
      <c r="C2" s="891"/>
      <c r="D2" s="891"/>
      <c r="E2" s="891"/>
      <c r="F2" s="891"/>
      <c r="G2" s="268"/>
      <c r="H2" s="180"/>
      <c r="I2" s="390" t="s">
        <v>56</v>
      </c>
      <c r="J2" s="85" t="s">
        <v>1484</v>
      </c>
      <c r="K2" s="199"/>
      <c r="L2" s="199"/>
      <c r="M2" s="199"/>
      <c r="N2" s="199"/>
      <c r="O2" s="199"/>
      <c r="P2" s="199"/>
      <c r="Q2" s="199"/>
      <c r="R2" s="263"/>
      <c r="S2" s="199"/>
      <c r="T2" s="199"/>
      <c r="U2" s="199"/>
      <c r="V2" s="199"/>
      <c r="W2" s="199"/>
      <c r="X2" s="199"/>
      <c r="Y2" s="175"/>
    </row>
    <row r="3" spans="1:25" ht="13.5" thickBot="1" x14ac:dyDescent="0.25">
      <c r="A3" s="862"/>
      <c r="B3" s="863"/>
      <c r="C3" s="863"/>
      <c r="D3" s="863"/>
      <c r="E3" s="863"/>
      <c r="F3" s="863"/>
      <c r="G3" s="269"/>
      <c r="H3" s="270"/>
      <c r="I3" s="391" t="s">
        <v>55</v>
      </c>
      <c r="J3" s="144">
        <v>2020</v>
      </c>
      <c r="K3" s="199"/>
      <c r="L3" s="199"/>
      <c r="M3" s="199"/>
      <c r="N3" s="199"/>
      <c r="O3" s="199"/>
      <c r="P3" s="199"/>
      <c r="Q3" s="199"/>
      <c r="R3" s="263"/>
      <c r="S3" s="199"/>
      <c r="T3" s="199"/>
      <c r="U3" s="199"/>
      <c r="V3" s="199"/>
      <c r="W3" s="199"/>
      <c r="X3" s="199"/>
      <c r="Y3" s="7"/>
    </row>
    <row r="4" spans="1:25" ht="26.25" thickBot="1" x14ac:dyDescent="0.25">
      <c r="A4" s="271" t="s">
        <v>0</v>
      </c>
      <c r="B4" s="132" t="s">
        <v>1234</v>
      </c>
      <c r="C4" s="132" t="s">
        <v>1235</v>
      </c>
      <c r="D4" s="272" t="s">
        <v>1236</v>
      </c>
      <c r="E4" s="132" t="s">
        <v>1237</v>
      </c>
      <c r="F4" s="132" t="s">
        <v>1238</v>
      </c>
      <c r="G4" s="132" t="s">
        <v>1239</v>
      </c>
      <c r="H4" s="273" t="s">
        <v>4</v>
      </c>
      <c r="I4" s="274" t="s">
        <v>1323</v>
      </c>
      <c r="J4" s="274" t="s">
        <v>154</v>
      </c>
      <c r="K4" s="264"/>
      <c r="L4" s="264"/>
      <c r="M4" s="127"/>
      <c r="N4" s="127"/>
      <c r="O4" s="127"/>
      <c r="P4" s="127"/>
      <c r="Q4" s="127"/>
      <c r="R4" s="127"/>
      <c r="S4" s="127"/>
      <c r="T4" s="127"/>
      <c r="U4" s="127"/>
      <c r="V4" s="127"/>
      <c r="W4" s="127"/>
      <c r="X4" s="127"/>
      <c r="Y4" s="127"/>
    </row>
    <row r="5" spans="1:25" ht="38.25" x14ac:dyDescent="0.2">
      <c r="A5" s="599" t="s">
        <v>276</v>
      </c>
      <c r="B5" s="586" t="s">
        <v>1240</v>
      </c>
      <c r="C5" s="584" t="s">
        <v>1241</v>
      </c>
      <c r="D5" s="589" t="s">
        <v>1678</v>
      </c>
      <c r="E5" s="586" t="s">
        <v>1546</v>
      </c>
      <c r="F5" s="584" t="s">
        <v>1242</v>
      </c>
      <c r="G5" s="584" t="s">
        <v>1243</v>
      </c>
      <c r="H5" s="584" t="s">
        <v>1244</v>
      </c>
      <c r="I5" s="414" t="s">
        <v>1850</v>
      </c>
      <c r="J5" s="665" t="s">
        <v>1855</v>
      </c>
      <c r="K5" s="261"/>
      <c r="L5" s="261"/>
      <c r="M5" s="261"/>
      <c r="N5" s="261"/>
      <c r="O5" s="261"/>
      <c r="P5" s="261"/>
      <c r="Q5" s="261"/>
      <c r="R5" s="261"/>
      <c r="S5" s="261"/>
      <c r="T5" s="261"/>
      <c r="U5" s="261"/>
      <c r="V5" s="261"/>
      <c r="W5" s="261"/>
      <c r="X5" s="261"/>
    </row>
    <row r="6" spans="1:25" ht="25.5" x14ac:dyDescent="0.2">
      <c r="A6" s="599" t="s">
        <v>276</v>
      </c>
      <c r="B6" s="586" t="s">
        <v>1240</v>
      </c>
      <c r="C6" s="584" t="s">
        <v>1245</v>
      </c>
      <c r="D6" s="589" t="s">
        <v>1679</v>
      </c>
      <c r="E6" s="586" t="s">
        <v>1546</v>
      </c>
      <c r="F6" s="584" t="s">
        <v>1242</v>
      </c>
      <c r="G6" s="584" t="s">
        <v>1243</v>
      </c>
      <c r="H6" s="584" t="s">
        <v>1246</v>
      </c>
      <c r="I6" s="662" t="s">
        <v>1852</v>
      </c>
      <c r="J6" s="666" t="s">
        <v>1851</v>
      </c>
      <c r="K6" s="222"/>
      <c r="L6" s="223"/>
      <c r="M6" s="224"/>
      <c r="N6" s="232"/>
      <c r="O6" s="233"/>
      <c r="P6" s="10"/>
      <c r="Q6" s="10"/>
      <c r="R6" s="10"/>
      <c r="S6" s="10"/>
      <c r="T6" s="10"/>
      <c r="U6" s="10"/>
      <c r="V6" s="209"/>
      <c r="W6" s="209"/>
      <c r="X6" s="209"/>
    </row>
    <row r="7" spans="1:25" ht="25.5" x14ac:dyDescent="0.2">
      <c r="A7" s="599" t="s">
        <v>276</v>
      </c>
      <c r="B7" s="586" t="s">
        <v>1240</v>
      </c>
      <c r="C7" s="584" t="s">
        <v>1241</v>
      </c>
      <c r="D7" s="589" t="s">
        <v>1680</v>
      </c>
      <c r="E7" s="586" t="s">
        <v>1546</v>
      </c>
      <c r="F7" s="584" t="s">
        <v>1242</v>
      </c>
      <c r="G7" s="584" t="s">
        <v>1247</v>
      </c>
      <c r="H7" s="584" t="s">
        <v>1248</v>
      </c>
      <c r="I7" s="662" t="s">
        <v>1869</v>
      </c>
      <c r="J7" s="667" t="s">
        <v>1868</v>
      </c>
      <c r="K7" s="222"/>
      <c r="L7" s="223"/>
      <c r="M7" s="224"/>
      <c r="N7" s="232"/>
      <c r="O7" s="233"/>
      <c r="P7" s="10"/>
      <c r="Q7" s="10"/>
      <c r="R7" s="10"/>
      <c r="S7" s="10"/>
      <c r="T7" s="10"/>
      <c r="U7" s="10"/>
      <c r="V7" s="209"/>
      <c r="W7" s="209"/>
      <c r="X7" s="209"/>
    </row>
    <row r="8" spans="1:25" ht="25.5" x14ac:dyDescent="0.2">
      <c r="A8" s="599" t="s">
        <v>276</v>
      </c>
      <c r="B8" s="586" t="s">
        <v>1240</v>
      </c>
      <c r="C8" s="584" t="s">
        <v>1241</v>
      </c>
      <c r="D8" s="589" t="s">
        <v>1249</v>
      </c>
      <c r="E8" s="586" t="s">
        <v>1546</v>
      </c>
      <c r="F8" s="584" t="s">
        <v>1242</v>
      </c>
      <c r="G8" s="584" t="s">
        <v>1250</v>
      </c>
      <c r="H8" s="584" t="s">
        <v>1244</v>
      </c>
      <c r="I8" s="662" t="s">
        <v>1854</v>
      </c>
      <c r="J8" s="667" t="s">
        <v>1853</v>
      </c>
      <c r="K8" s="222"/>
      <c r="L8" s="223"/>
      <c r="M8" s="224"/>
      <c r="N8" s="232"/>
      <c r="O8" s="233"/>
      <c r="P8" s="10"/>
      <c r="Q8" s="10"/>
      <c r="R8" s="10"/>
      <c r="S8" s="10"/>
      <c r="T8" s="10"/>
      <c r="U8" s="10"/>
      <c r="V8" s="209"/>
      <c r="W8" s="209"/>
      <c r="X8" s="209"/>
    </row>
    <row r="9" spans="1:25" ht="76.5" x14ac:dyDescent="0.2">
      <c r="A9" s="599" t="s">
        <v>276</v>
      </c>
      <c r="B9" s="586" t="s">
        <v>1240</v>
      </c>
      <c r="C9" s="584" t="s">
        <v>1241</v>
      </c>
      <c r="D9" s="589" t="s">
        <v>1681</v>
      </c>
      <c r="E9" s="586" t="s">
        <v>1546</v>
      </c>
      <c r="F9" s="584" t="s">
        <v>1242</v>
      </c>
      <c r="G9" s="584" t="s">
        <v>1251</v>
      </c>
      <c r="H9" s="587" t="s">
        <v>1252</v>
      </c>
      <c r="I9" s="414" t="s">
        <v>1850</v>
      </c>
      <c r="J9" s="665" t="s">
        <v>1856</v>
      </c>
      <c r="K9" s="222"/>
      <c r="L9" s="223"/>
      <c r="M9" s="224"/>
      <c r="N9" s="232"/>
      <c r="O9" s="233"/>
      <c r="P9" s="10"/>
      <c r="Q9" s="10"/>
      <c r="R9" s="10"/>
      <c r="S9" s="10"/>
      <c r="T9" s="10"/>
      <c r="U9" s="10"/>
      <c r="V9" s="209"/>
      <c r="W9" s="209"/>
      <c r="X9" s="209"/>
    </row>
    <row r="10" spans="1:25" ht="25.5" x14ac:dyDescent="0.2">
      <c r="A10" s="599" t="s">
        <v>276</v>
      </c>
      <c r="B10" s="586" t="s">
        <v>1240</v>
      </c>
      <c r="C10" s="584" t="s">
        <v>1241</v>
      </c>
      <c r="D10" s="589" t="s">
        <v>1253</v>
      </c>
      <c r="E10" s="586" t="s">
        <v>1546</v>
      </c>
      <c r="F10" s="584" t="s">
        <v>1242</v>
      </c>
      <c r="G10" s="584" t="s">
        <v>1254</v>
      </c>
      <c r="H10" s="584" t="s">
        <v>1255</v>
      </c>
      <c r="I10" s="662" t="s">
        <v>1854</v>
      </c>
      <c r="J10" s="667" t="s">
        <v>1857</v>
      </c>
      <c r="K10" s="222"/>
      <c r="L10" s="223"/>
      <c r="M10" s="224"/>
      <c r="N10" s="232"/>
      <c r="O10" s="233"/>
      <c r="P10" s="10"/>
      <c r="Q10" s="10"/>
      <c r="R10" s="10"/>
      <c r="S10" s="10"/>
      <c r="T10" s="10"/>
      <c r="U10" s="10"/>
      <c r="V10" s="209"/>
      <c r="W10" s="209"/>
      <c r="X10" s="209"/>
    </row>
    <row r="11" spans="1:25" ht="25.5" x14ac:dyDescent="0.2">
      <c r="A11" s="599" t="s">
        <v>276</v>
      </c>
      <c r="B11" s="586" t="s">
        <v>1240</v>
      </c>
      <c r="C11" s="584" t="s">
        <v>1241</v>
      </c>
      <c r="D11" s="589" t="s">
        <v>1253</v>
      </c>
      <c r="E11" s="586" t="s">
        <v>1546</v>
      </c>
      <c r="F11" s="584" t="s">
        <v>1242</v>
      </c>
      <c r="G11" s="584" t="s">
        <v>1256</v>
      </c>
      <c r="H11" s="584" t="s">
        <v>1257</v>
      </c>
      <c r="I11" s="662" t="s">
        <v>1859</v>
      </c>
      <c r="J11" s="667" t="s">
        <v>1858</v>
      </c>
      <c r="K11" s="222"/>
      <c r="L11" s="223"/>
      <c r="M11" s="224"/>
      <c r="N11" s="232"/>
      <c r="O11" s="233"/>
      <c r="P11" s="10"/>
      <c r="Q11" s="10"/>
      <c r="R11" s="10"/>
      <c r="S11" s="10"/>
      <c r="T11" s="10"/>
      <c r="U11" s="10"/>
      <c r="V11" s="209"/>
      <c r="W11" s="209"/>
      <c r="X11" s="209"/>
    </row>
    <row r="12" spans="1:25" ht="25.5" x14ac:dyDescent="0.2">
      <c r="A12" s="599" t="s">
        <v>276</v>
      </c>
      <c r="B12" s="586" t="s">
        <v>1240</v>
      </c>
      <c r="C12" s="584" t="s">
        <v>1241</v>
      </c>
      <c r="D12" s="589" t="s">
        <v>1258</v>
      </c>
      <c r="E12" s="586" t="s">
        <v>1546</v>
      </c>
      <c r="F12" s="584" t="s">
        <v>1242</v>
      </c>
      <c r="G12" s="584" t="s">
        <v>1256</v>
      </c>
      <c r="H12" s="584" t="s">
        <v>1259</v>
      </c>
      <c r="I12" s="662" t="s">
        <v>1859</v>
      </c>
      <c r="J12" s="667" t="s">
        <v>1858</v>
      </c>
      <c r="K12" s="222"/>
      <c r="L12" s="223"/>
      <c r="M12" s="224"/>
      <c r="N12" s="232"/>
      <c r="O12" s="233"/>
      <c r="P12" s="10"/>
      <c r="Q12" s="10"/>
      <c r="R12" s="10"/>
      <c r="S12" s="10"/>
      <c r="T12" s="10"/>
      <c r="U12" s="10"/>
      <c r="V12" s="209"/>
      <c r="W12" s="209"/>
      <c r="X12" s="209"/>
    </row>
    <row r="13" spans="1:25" ht="25.5" x14ac:dyDescent="0.2">
      <c r="A13" s="599" t="s">
        <v>276</v>
      </c>
      <c r="B13" s="586" t="s">
        <v>1240</v>
      </c>
      <c r="C13" s="584" t="s">
        <v>1241</v>
      </c>
      <c r="D13" s="589" t="s">
        <v>1253</v>
      </c>
      <c r="E13" s="586" t="s">
        <v>1546</v>
      </c>
      <c r="F13" s="584" t="s">
        <v>1242</v>
      </c>
      <c r="G13" s="584" t="s">
        <v>1260</v>
      </c>
      <c r="H13" s="584" t="s">
        <v>1261</v>
      </c>
      <c r="I13" s="662" t="s">
        <v>1859</v>
      </c>
      <c r="J13" s="667" t="s">
        <v>1858</v>
      </c>
      <c r="K13" s="222"/>
      <c r="L13" s="222"/>
      <c r="M13" s="224"/>
      <c r="N13" s="232"/>
      <c r="O13" s="233"/>
      <c r="P13" s="10"/>
      <c r="Q13" s="10"/>
      <c r="R13" s="10"/>
      <c r="S13" s="10"/>
      <c r="T13" s="10"/>
      <c r="U13" s="10"/>
      <c r="V13" s="209"/>
      <c r="W13" s="209"/>
      <c r="X13" s="209"/>
      <c r="Y13" s="208"/>
    </row>
    <row r="14" spans="1:25" ht="25.5" x14ac:dyDescent="0.2">
      <c r="A14" s="599" t="s">
        <v>276</v>
      </c>
      <c r="B14" s="586" t="s">
        <v>1240</v>
      </c>
      <c r="C14" s="584" t="s">
        <v>1241</v>
      </c>
      <c r="D14" s="589" t="s">
        <v>1262</v>
      </c>
      <c r="E14" s="586" t="s">
        <v>1546</v>
      </c>
      <c r="F14" s="584" t="s">
        <v>1242</v>
      </c>
      <c r="G14" s="584" t="s">
        <v>1263</v>
      </c>
      <c r="H14" s="584" t="s">
        <v>1264</v>
      </c>
      <c r="I14" s="662" t="s">
        <v>1859</v>
      </c>
      <c r="J14" s="667" t="s">
        <v>1858</v>
      </c>
      <c r="K14" s="222"/>
      <c r="L14" s="222"/>
      <c r="M14" s="224"/>
      <c r="N14" s="232"/>
      <c r="O14" s="233"/>
      <c r="P14" s="10"/>
      <c r="Q14" s="10"/>
      <c r="R14" s="10"/>
      <c r="S14" s="10"/>
      <c r="T14" s="10"/>
      <c r="U14" s="10"/>
      <c r="V14" s="209"/>
      <c r="W14" s="209"/>
      <c r="X14" s="209"/>
    </row>
    <row r="15" spans="1:25" ht="25.5" x14ac:dyDescent="0.2">
      <c r="A15" s="599" t="s">
        <v>276</v>
      </c>
      <c r="B15" s="586" t="s">
        <v>1240</v>
      </c>
      <c r="C15" s="584" t="s">
        <v>1241</v>
      </c>
      <c r="D15" s="589" t="s">
        <v>1265</v>
      </c>
      <c r="E15" s="586" t="s">
        <v>1546</v>
      </c>
      <c r="F15" s="584" t="s">
        <v>1242</v>
      </c>
      <c r="G15" s="584" t="s">
        <v>1254</v>
      </c>
      <c r="H15" s="584" t="s">
        <v>1266</v>
      </c>
      <c r="I15" s="662" t="s">
        <v>1854</v>
      </c>
      <c r="J15" s="667" t="s">
        <v>1857</v>
      </c>
      <c r="K15" s="222"/>
      <c r="L15" s="222"/>
      <c r="M15" s="224"/>
      <c r="N15" s="232"/>
      <c r="O15" s="233"/>
      <c r="P15" s="10"/>
      <c r="Q15" s="10"/>
      <c r="R15" s="10"/>
      <c r="S15" s="10"/>
      <c r="T15" s="10"/>
      <c r="U15" s="10"/>
      <c r="V15" s="209"/>
      <c r="W15" s="209"/>
      <c r="X15" s="209"/>
    </row>
    <row r="16" spans="1:25" ht="25.5" x14ac:dyDescent="0.2">
      <c r="A16" s="599" t="s">
        <v>276</v>
      </c>
      <c r="B16" s="586" t="s">
        <v>1240</v>
      </c>
      <c r="C16" s="584" t="s">
        <v>1241</v>
      </c>
      <c r="D16" s="589" t="s">
        <v>1265</v>
      </c>
      <c r="E16" s="586" t="s">
        <v>1546</v>
      </c>
      <c r="F16" s="584" t="s">
        <v>1242</v>
      </c>
      <c r="G16" s="584" t="s">
        <v>1267</v>
      </c>
      <c r="H16" s="584" t="s">
        <v>1257</v>
      </c>
      <c r="I16" s="662" t="s">
        <v>1859</v>
      </c>
      <c r="J16" s="667" t="s">
        <v>1858</v>
      </c>
      <c r="K16" s="222"/>
      <c r="L16" s="222"/>
      <c r="M16" s="224"/>
      <c r="N16" s="232"/>
      <c r="O16" s="233"/>
      <c r="P16" s="10"/>
      <c r="Q16" s="10"/>
      <c r="R16" s="10"/>
      <c r="S16" s="10"/>
      <c r="T16" s="10"/>
      <c r="U16" s="10"/>
      <c r="V16" s="209"/>
      <c r="W16" s="209"/>
      <c r="X16" s="209"/>
    </row>
    <row r="17" spans="1:24" ht="25.5" x14ac:dyDescent="0.2">
      <c r="A17" s="599" t="s">
        <v>276</v>
      </c>
      <c r="B17" s="586" t="s">
        <v>1240</v>
      </c>
      <c r="C17" s="584" t="s">
        <v>1241</v>
      </c>
      <c r="D17" s="589" t="s">
        <v>1268</v>
      </c>
      <c r="E17" s="586" t="s">
        <v>1546</v>
      </c>
      <c r="F17" s="584" t="s">
        <v>1242</v>
      </c>
      <c r="G17" s="584" t="s">
        <v>1267</v>
      </c>
      <c r="H17" s="584" t="s">
        <v>1259</v>
      </c>
      <c r="I17" s="662" t="s">
        <v>1859</v>
      </c>
      <c r="J17" s="667" t="s">
        <v>1858</v>
      </c>
      <c r="K17" s="225"/>
      <c r="L17" s="223"/>
      <c r="M17" s="225"/>
      <c r="N17" s="223"/>
      <c r="O17" s="233"/>
      <c r="P17" s="10"/>
      <c r="Q17" s="10"/>
      <c r="R17" s="10"/>
      <c r="S17" s="10"/>
      <c r="T17" s="10"/>
      <c r="U17" s="10"/>
      <c r="V17" s="209"/>
      <c r="W17" s="209"/>
      <c r="X17" s="209"/>
    </row>
    <row r="18" spans="1:24" ht="25.5" x14ac:dyDescent="0.2">
      <c r="A18" s="599" t="s">
        <v>276</v>
      </c>
      <c r="B18" s="586" t="s">
        <v>1240</v>
      </c>
      <c r="C18" s="584" t="s">
        <v>1269</v>
      </c>
      <c r="D18" s="599" t="s">
        <v>1270</v>
      </c>
      <c r="E18" s="586">
        <v>2022</v>
      </c>
      <c r="F18" s="584" t="s">
        <v>1242</v>
      </c>
      <c r="G18" s="584" t="s">
        <v>1271</v>
      </c>
      <c r="H18" s="587" t="s">
        <v>1682</v>
      </c>
      <c r="I18" s="662" t="s">
        <v>1859</v>
      </c>
      <c r="J18" s="667" t="s">
        <v>1858</v>
      </c>
      <c r="K18" s="225"/>
      <c r="L18" s="223"/>
      <c r="M18" s="225"/>
      <c r="N18" s="223"/>
      <c r="O18" s="233"/>
      <c r="P18" s="10"/>
      <c r="Q18" s="10"/>
      <c r="R18" s="10"/>
      <c r="S18" s="10"/>
      <c r="T18" s="10"/>
      <c r="U18" s="10"/>
      <c r="V18" s="209"/>
      <c r="W18" s="209"/>
      <c r="X18" s="209"/>
    </row>
    <row r="19" spans="1:24" ht="25.5" x14ac:dyDescent="0.2">
      <c r="A19" s="599" t="s">
        <v>276</v>
      </c>
      <c r="B19" s="586" t="s">
        <v>1272</v>
      </c>
      <c r="C19" s="582" t="s">
        <v>1273</v>
      </c>
      <c r="D19" s="599" t="s">
        <v>1272</v>
      </c>
      <c r="E19" s="586" t="s">
        <v>1546</v>
      </c>
      <c r="F19" s="584" t="s">
        <v>1242</v>
      </c>
      <c r="G19" s="584" t="s">
        <v>1683</v>
      </c>
      <c r="H19" s="582"/>
      <c r="I19" s="662" t="s">
        <v>1867</v>
      </c>
      <c r="J19" s="665" t="s">
        <v>1870</v>
      </c>
      <c r="K19" s="225"/>
      <c r="L19" s="223"/>
      <c r="M19" s="225"/>
      <c r="N19" s="223"/>
      <c r="O19" s="233"/>
      <c r="P19" s="10"/>
      <c r="Q19" s="10"/>
      <c r="R19" s="10"/>
      <c r="S19" s="10"/>
      <c r="T19" s="10"/>
      <c r="U19" s="10"/>
      <c r="V19" s="209"/>
      <c r="W19" s="209"/>
      <c r="X19" s="209"/>
    </row>
    <row r="20" spans="1:24" ht="25.5" x14ac:dyDescent="0.2">
      <c r="A20" s="599" t="s">
        <v>276</v>
      </c>
      <c r="B20" s="586" t="s">
        <v>1274</v>
      </c>
      <c r="C20" s="582" t="s">
        <v>1269</v>
      </c>
      <c r="D20" s="599" t="s">
        <v>1275</v>
      </c>
      <c r="E20" s="586">
        <v>2022</v>
      </c>
      <c r="F20" s="584" t="s">
        <v>1242</v>
      </c>
      <c r="G20" s="584" t="s">
        <v>1276</v>
      </c>
      <c r="H20" s="587" t="s">
        <v>1684</v>
      </c>
      <c r="I20" s="662" t="s">
        <v>1869</v>
      </c>
      <c r="J20" s="667" t="s">
        <v>1871</v>
      </c>
      <c r="K20" s="225"/>
      <c r="L20" s="223"/>
      <c r="M20" s="225"/>
      <c r="N20" s="223"/>
      <c r="O20" s="233"/>
      <c r="P20" s="10"/>
      <c r="Q20" s="10"/>
      <c r="R20" s="10"/>
      <c r="S20" s="10"/>
      <c r="T20" s="10"/>
      <c r="U20" s="10"/>
      <c r="V20" s="209"/>
      <c r="W20" s="209"/>
      <c r="X20" s="209"/>
    </row>
    <row r="21" spans="1:24" x14ac:dyDescent="0.2">
      <c r="A21" s="599" t="s">
        <v>276</v>
      </c>
      <c r="B21" s="586" t="s">
        <v>1277</v>
      </c>
      <c r="C21" s="582" t="s">
        <v>1269</v>
      </c>
      <c r="D21" s="599" t="s">
        <v>1278</v>
      </c>
      <c r="E21" s="586">
        <v>2022</v>
      </c>
      <c r="F21" s="584" t="s">
        <v>1242</v>
      </c>
      <c r="G21" s="584" t="s">
        <v>1276</v>
      </c>
      <c r="H21" s="587" t="s">
        <v>1685</v>
      </c>
      <c r="I21" s="662" t="s">
        <v>1869</v>
      </c>
      <c r="J21" s="667" t="s">
        <v>1871</v>
      </c>
      <c r="K21" s="225"/>
      <c r="L21" s="223"/>
      <c r="M21" s="225"/>
      <c r="N21" s="223"/>
      <c r="O21" s="233"/>
      <c r="P21" s="10"/>
      <c r="Q21" s="10"/>
      <c r="R21" s="10"/>
      <c r="S21" s="10"/>
      <c r="T21" s="10"/>
      <c r="U21" s="10"/>
      <c r="V21" s="209"/>
      <c r="W21" s="209"/>
      <c r="X21" s="209"/>
    </row>
    <row r="22" spans="1:24" x14ac:dyDescent="0.2">
      <c r="A22" s="599" t="s">
        <v>276</v>
      </c>
      <c r="B22" s="586" t="s">
        <v>1279</v>
      </c>
      <c r="C22" s="582" t="s">
        <v>1269</v>
      </c>
      <c r="D22" s="599" t="s">
        <v>1280</v>
      </c>
      <c r="E22" s="586">
        <v>2022</v>
      </c>
      <c r="F22" s="584" t="s">
        <v>1242</v>
      </c>
      <c r="G22" s="584" t="s">
        <v>1276</v>
      </c>
      <c r="H22" s="584"/>
      <c r="I22" s="662" t="s">
        <v>1869</v>
      </c>
      <c r="J22" s="667" t="s">
        <v>1871</v>
      </c>
      <c r="K22" s="225"/>
      <c r="L22" s="223"/>
      <c r="M22" s="225"/>
      <c r="N22" s="223"/>
      <c r="O22" s="233"/>
      <c r="P22" s="10"/>
      <c r="Q22" s="10"/>
      <c r="R22" s="10"/>
      <c r="S22" s="10"/>
      <c r="T22" s="10"/>
      <c r="U22" s="10"/>
      <c r="V22" s="209"/>
      <c r="W22" s="209"/>
      <c r="X22" s="209"/>
    </row>
    <row r="23" spans="1:24" ht="25.5" x14ac:dyDescent="0.2">
      <c r="A23" s="599" t="s">
        <v>276</v>
      </c>
      <c r="B23" s="588" t="s">
        <v>749</v>
      </c>
      <c r="C23" s="582" t="s">
        <v>1269</v>
      </c>
      <c r="D23" s="599" t="s">
        <v>1281</v>
      </c>
      <c r="E23" s="586" t="s">
        <v>1546</v>
      </c>
      <c r="F23" s="584" t="s">
        <v>1242</v>
      </c>
      <c r="G23" s="584" t="s">
        <v>1282</v>
      </c>
      <c r="H23" s="587" t="s">
        <v>1283</v>
      </c>
      <c r="I23" s="664" t="s">
        <v>1860</v>
      </c>
      <c r="J23" s="668" t="s">
        <v>1861</v>
      </c>
      <c r="K23" s="225"/>
      <c r="L23" s="223"/>
      <c r="M23" s="225"/>
      <c r="N23" s="223"/>
      <c r="O23" s="233"/>
      <c r="P23" s="10"/>
      <c r="Q23" s="10"/>
      <c r="R23" s="10"/>
      <c r="S23" s="10"/>
      <c r="T23" s="10"/>
      <c r="U23" s="10"/>
      <c r="V23" s="209"/>
      <c r="W23" s="209"/>
      <c r="X23" s="209"/>
    </row>
    <row r="24" spans="1:24" x14ac:dyDescent="0.2">
      <c r="A24" s="599" t="s">
        <v>276</v>
      </c>
      <c r="B24" s="586" t="s">
        <v>1284</v>
      </c>
      <c r="C24" s="582" t="s">
        <v>1269</v>
      </c>
      <c r="D24" s="599" t="s">
        <v>1285</v>
      </c>
      <c r="E24" s="586" t="s">
        <v>1546</v>
      </c>
      <c r="F24" s="584" t="s">
        <v>1242</v>
      </c>
      <c r="G24" s="597" t="s">
        <v>1286</v>
      </c>
      <c r="H24" s="584"/>
      <c r="I24" s="662" t="s">
        <v>1862</v>
      </c>
      <c r="J24" s="666" t="s">
        <v>1863</v>
      </c>
      <c r="K24" s="225"/>
      <c r="L24" s="223"/>
      <c r="M24" s="225"/>
      <c r="N24" s="223"/>
      <c r="O24" s="233"/>
      <c r="P24" s="10"/>
      <c r="Q24" s="10"/>
      <c r="R24" s="10"/>
      <c r="S24" s="10"/>
      <c r="T24" s="10"/>
      <c r="U24" s="10"/>
      <c r="V24" s="209"/>
      <c r="W24" s="209"/>
      <c r="X24" s="209"/>
    </row>
    <row r="25" spans="1:24" ht="38.25" x14ac:dyDescent="0.2">
      <c r="A25" s="599" t="s">
        <v>276</v>
      </c>
      <c r="B25" s="588" t="s">
        <v>1284</v>
      </c>
      <c r="C25" s="582" t="s">
        <v>1269</v>
      </c>
      <c r="D25" s="599" t="s">
        <v>1287</v>
      </c>
      <c r="E25" s="586" t="s">
        <v>1546</v>
      </c>
      <c r="F25" s="584" t="s">
        <v>1242</v>
      </c>
      <c r="G25" s="584" t="s">
        <v>1243</v>
      </c>
      <c r="H25" s="584"/>
      <c r="I25" s="414" t="s">
        <v>1850</v>
      </c>
      <c r="J25" s="665" t="s">
        <v>1855</v>
      </c>
      <c r="K25" s="228"/>
      <c r="L25" s="228"/>
      <c r="M25" s="229"/>
      <c r="N25" s="230"/>
      <c r="O25" s="233"/>
      <c r="P25" s="10"/>
      <c r="Q25" s="10"/>
      <c r="R25" s="10"/>
      <c r="S25" s="10"/>
      <c r="T25" s="10"/>
      <c r="U25" s="10"/>
      <c r="V25" s="209"/>
      <c r="W25" s="209"/>
      <c r="X25" s="209"/>
    </row>
    <row r="26" spans="1:24" ht="38.25" x14ac:dyDescent="0.2">
      <c r="A26" s="599" t="s">
        <v>276</v>
      </c>
      <c r="B26" s="586" t="s">
        <v>1240</v>
      </c>
      <c r="C26" s="582" t="s">
        <v>1269</v>
      </c>
      <c r="D26" s="588" t="s">
        <v>1288</v>
      </c>
      <c r="E26" s="586" t="s">
        <v>1546</v>
      </c>
      <c r="F26" s="584" t="s">
        <v>1242</v>
      </c>
      <c r="G26" s="584" t="s">
        <v>1251</v>
      </c>
      <c r="H26" s="584" t="s">
        <v>1289</v>
      </c>
      <c r="I26" s="414" t="s">
        <v>1850</v>
      </c>
      <c r="J26" s="665" t="s">
        <v>1855</v>
      </c>
      <c r="K26" s="225"/>
      <c r="L26" s="225"/>
      <c r="M26" s="225"/>
      <c r="N26" s="225"/>
      <c r="O26" s="233"/>
      <c r="P26" s="10"/>
      <c r="Q26" s="10"/>
      <c r="R26" s="10"/>
      <c r="S26" s="10"/>
      <c r="T26" s="10"/>
      <c r="U26" s="10"/>
      <c r="V26" s="209"/>
      <c r="W26" s="209"/>
      <c r="X26" s="209"/>
    </row>
    <row r="27" spans="1:24" ht="38.25" x14ac:dyDescent="0.2">
      <c r="A27" s="599" t="s">
        <v>276</v>
      </c>
      <c r="B27" s="586" t="s">
        <v>1240</v>
      </c>
      <c r="C27" s="582" t="s">
        <v>1269</v>
      </c>
      <c r="D27" s="588" t="s">
        <v>1290</v>
      </c>
      <c r="E27" s="586" t="s">
        <v>1546</v>
      </c>
      <c r="F27" s="584" t="s">
        <v>1242</v>
      </c>
      <c r="G27" s="584" t="s">
        <v>1251</v>
      </c>
      <c r="H27" s="584" t="s">
        <v>1289</v>
      </c>
      <c r="I27" s="414" t="s">
        <v>1850</v>
      </c>
      <c r="J27" s="665" t="s">
        <v>1855</v>
      </c>
      <c r="K27" s="225"/>
      <c r="L27" s="225"/>
      <c r="M27" s="225"/>
      <c r="N27" s="225"/>
      <c r="O27" s="233"/>
      <c r="P27" s="10"/>
      <c r="Q27" s="10"/>
      <c r="R27" s="10"/>
      <c r="S27" s="10"/>
      <c r="T27" s="10"/>
      <c r="U27" s="10"/>
      <c r="V27" s="209"/>
      <c r="W27" s="209"/>
      <c r="X27" s="209"/>
    </row>
    <row r="28" spans="1:24" ht="38.25" x14ac:dyDescent="0.2">
      <c r="A28" s="599" t="s">
        <v>276</v>
      </c>
      <c r="B28" s="586" t="s">
        <v>1240</v>
      </c>
      <c r="C28" s="582" t="s">
        <v>1269</v>
      </c>
      <c r="D28" s="588" t="s">
        <v>1291</v>
      </c>
      <c r="E28" s="586" t="s">
        <v>1546</v>
      </c>
      <c r="F28" s="584" t="s">
        <v>1242</v>
      </c>
      <c r="G28" s="584" t="s">
        <v>1247</v>
      </c>
      <c r="H28" s="584" t="s">
        <v>1289</v>
      </c>
      <c r="I28" s="414" t="s">
        <v>1850</v>
      </c>
      <c r="J28" s="665" t="s">
        <v>1855</v>
      </c>
      <c r="K28" s="225"/>
      <c r="L28" s="225"/>
      <c r="M28" s="225"/>
      <c r="N28" s="225"/>
      <c r="O28" s="233"/>
      <c r="P28" s="10"/>
      <c r="Q28" s="10"/>
      <c r="R28" s="10"/>
      <c r="S28" s="10"/>
      <c r="T28" s="10"/>
      <c r="U28" s="10"/>
      <c r="V28" s="209"/>
      <c r="W28" s="209"/>
      <c r="X28" s="209"/>
    </row>
    <row r="29" spans="1:24" ht="25.5" x14ac:dyDescent="0.2">
      <c r="A29" s="582" t="s">
        <v>276</v>
      </c>
      <c r="B29" s="584" t="s">
        <v>780</v>
      </c>
      <c r="C29" s="582" t="s">
        <v>1292</v>
      </c>
      <c r="D29" s="582" t="s">
        <v>1293</v>
      </c>
      <c r="E29" s="586" t="s">
        <v>1546</v>
      </c>
      <c r="F29" s="584" t="s">
        <v>1242</v>
      </c>
      <c r="G29" s="584" t="s">
        <v>1294</v>
      </c>
      <c r="H29" s="587"/>
      <c r="I29" s="662" t="s">
        <v>1852</v>
      </c>
      <c r="J29" s="641" t="s">
        <v>1864</v>
      </c>
      <c r="K29" s="225"/>
      <c r="L29" s="225"/>
      <c r="M29" s="225"/>
      <c r="N29" s="225"/>
      <c r="O29" s="233"/>
      <c r="P29" s="10"/>
      <c r="Q29" s="10"/>
      <c r="R29" s="10"/>
      <c r="S29" s="10"/>
      <c r="T29" s="10"/>
      <c r="U29" s="10"/>
      <c r="V29" s="209"/>
      <c r="W29" s="209"/>
      <c r="X29" s="209"/>
    </row>
    <row r="30" spans="1:24" ht="160.5" customHeight="1" x14ac:dyDescent="0.2">
      <c r="A30" s="599" t="s">
        <v>276</v>
      </c>
      <c r="B30" s="586" t="s">
        <v>780</v>
      </c>
      <c r="C30" s="582" t="s">
        <v>1292</v>
      </c>
      <c r="D30" s="598" t="s">
        <v>1295</v>
      </c>
      <c r="E30" s="586" t="s">
        <v>1546</v>
      </c>
      <c r="F30" s="584" t="s">
        <v>1242</v>
      </c>
      <c r="G30" s="584" t="s">
        <v>1686</v>
      </c>
      <c r="H30" s="587" t="s">
        <v>1296</v>
      </c>
      <c r="I30" s="663" t="s">
        <v>7</v>
      </c>
      <c r="J30" s="641" t="s">
        <v>1884</v>
      </c>
      <c r="K30" s="10"/>
      <c r="L30" s="10"/>
      <c r="M30" s="10"/>
      <c r="N30" s="10"/>
      <c r="O30" s="10"/>
      <c r="P30" s="10"/>
      <c r="Q30" s="10"/>
      <c r="R30" s="10"/>
      <c r="S30" s="10"/>
      <c r="T30" s="10"/>
      <c r="U30" s="10"/>
      <c r="V30" s="209"/>
      <c r="W30" s="209"/>
      <c r="X30" s="209"/>
    </row>
    <row r="31" spans="1:24" x14ac:dyDescent="0.2">
      <c r="A31" s="599" t="s">
        <v>276</v>
      </c>
      <c r="B31" s="586" t="s">
        <v>780</v>
      </c>
      <c r="C31" s="582" t="s">
        <v>1297</v>
      </c>
      <c r="D31" s="598" t="s">
        <v>1298</v>
      </c>
      <c r="E31" s="586" t="s">
        <v>1546</v>
      </c>
      <c r="F31" s="584" t="s">
        <v>1242</v>
      </c>
      <c r="G31" s="584" t="s">
        <v>1294</v>
      </c>
      <c r="H31" s="587"/>
      <c r="I31" s="662" t="s">
        <v>1852</v>
      </c>
      <c r="J31" s="641"/>
      <c r="K31" s="10"/>
      <c r="L31" s="10"/>
      <c r="M31" s="10"/>
      <c r="N31" s="10"/>
      <c r="O31" s="10"/>
      <c r="P31" s="10"/>
      <c r="Q31" s="10"/>
      <c r="R31" s="10"/>
      <c r="S31" s="10"/>
      <c r="T31" s="10"/>
      <c r="U31" s="10"/>
      <c r="V31" s="209"/>
      <c r="W31" s="209"/>
      <c r="X31" s="209"/>
    </row>
    <row r="32" spans="1:24" ht="25.5" x14ac:dyDescent="0.2">
      <c r="A32" s="599" t="s">
        <v>276</v>
      </c>
      <c r="B32" s="586" t="s">
        <v>780</v>
      </c>
      <c r="C32" s="582" t="s">
        <v>1297</v>
      </c>
      <c r="D32" s="598" t="s">
        <v>1299</v>
      </c>
      <c r="E32" s="586" t="s">
        <v>1546</v>
      </c>
      <c r="F32" s="584" t="s">
        <v>1242</v>
      </c>
      <c r="G32" s="584" t="s">
        <v>1294</v>
      </c>
      <c r="H32" s="587"/>
      <c r="I32" s="662" t="s">
        <v>1866</v>
      </c>
      <c r="J32" s="641" t="s">
        <v>1872</v>
      </c>
      <c r="K32" s="10"/>
      <c r="L32" s="10"/>
      <c r="M32" s="10"/>
      <c r="N32" s="10"/>
      <c r="O32" s="10"/>
      <c r="P32" s="10"/>
      <c r="Q32" s="10"/>
      <c r="R32" s="10"/>
      <c r="S32" s="10"/>
      <c r="T32" s="10"/>
      <c r="U32" s="10"/>
      <c r="V32" s="209"/>
      <c r="W32" s="209"/>
      <c r="X32" s="209"/>
    </row>
    <row r="33" spans="1:24" x14ac:dyDescent="0.2">
      <c r="A33" s="583" t="s">
        <v>645</v>
      </c>
      <c r="B33" s="583" t="s">
        <v>100</v>
      </c>
      <c r="C33" s="583" t="s">
        <v>1300</v>
      </c>
      <c r="D33" s="583" t="s">
        <v>1301</v>
      </c>
      <c r="E33" s="586" t="s">
        <v>1546</v>
      </c>
      <c r="F33" s="583" t="s">
        <v>1242</v>
      </c>
      <c r="G33" s="585" t="s">
        <v>1302</v>
      </c>
      <c r="H33" s="583" t="s">
        <v>1303</v>
      </c>
      <c r="I33" s="662" t="s">
        <v>1874</v>
      </c>
      <c r="J33" s="641"/>
      <c r="K33" s="10"/>
      <c r="L33" s="10"/>
      <c r="M33" s="10"/>
      <c r="N33" s="10"/>
      <c r="O33" s="10"/>
      <c r="P33" s="10"/>
      <c r="Q33" s="10"/>
      <c r="R33" s="10"/>
      <c r="S33" s="10"/>
      <c r="T33" s="10"/>
      <c r="U33" s="10"/>
      <c r="V33" s="209"/>
      <c r="W33" s="209"/>
      <c r="X33" s="209"/>
    </row>
    <row r="34" spans="1:24" x14ac:dyDescent="0.2">
      <c r="A34" s="583" t="s">
        <v>645</v>
      </c>
      <c r="B34" s="583" t="s">
        <v>96</v>
      </c>
      <c r="C34" s="583" t="s">
        <v>1300</v>
      </c>
      <c r="D34" s="583" t="s">
        <v>96</v>
      </c>
      <c r="E34" s="586" t="s">
        <v>1546</v>
      </c>
      <c r="F34" s="583" t="s">
        <v>1242</v>
      </c>
      <c r="G34" s="585" t="s">
        <v>1302</v>
      </c>
      <c r="H34" s="583" t="s">
        <v>1303</v>
      </c>
      <c r="I34" s="662" t="s">
        <v>1874</v>
      </c>
      <c r="J34" s="641"/>
      <c r="K34" s="207"/>
      <c r="L34" s="207"/>
      <c r="M34" s="10"/>
      <c r="N34" s="10"/>
      <c r="O34" s="10"/>
      <c r="P34" s="10"/>
      <c r="Q34" s="10"/>
      <c r="R34" s="10"/>
      <c r="S34" s="10"/>
      <c r="T34" s="10"/>
      <c r="U34" s="10"/>
      <c r="V34" s="209"/>
      <c r="W34" s="209"/>
      <c r="X34" s="209"/>
    </row>
    <row r="35" spans="1:24" ht="38.25" x14ac:dyDescent="0.2">
      <c r="A35" s="583" t="s">
        <v>645</v>
      </c>
      <c r="B35" s="583" t="s">
        <v>909</v>
      </c>
      <c r="C35" s="583" t="s">
        <v>1300</v>
      </c>
      <c r="D35" s="583" t="s">
        <v>909</v>
      </c>
      <c r="E35" s="586" t="s">
        <v>1546</v>
      </c>
      <c r="F35" s="583" t="s">
        <v>1242</v>
      </c>
      <c r="G35" s="585" t="s">
        <v>1304</v>
      </c>
      <c r="H35" s="600" t="s">
        <v>1305</v>
      </c>
      <c r="I35" s="662" t="s">
        <v>1874</v>
      </c>
      <c r="J35" s="641" t="s">
        <v>1873</v>
      </c>
      <c r="K35" s="10"/>
      <c r="L35" s="10"/>
      <c r="M35" s="10"/>
      <c r="N35" s="10"/>
      <c r="O35" s="10"/>
      <c r="P35" s="10"/>
      <c r="Q35" s="10"/>
      <c r="R35" s="10"/>
      <c r="S35" s="10"/>
      <c r="T35" s="10"/>
      <c r="U35" s="10"/>
      <c r="V35" s="209"/>
      <c r="W35" s="209"/>
      <c r="X35" s="209"/>
    </row>
    <row r="36" spans="1:24" x14ac:dyDescent="0.2">
      <c r="A36" s="591" t="s">
        <v>276</v>
      </c>
      <c r="B36" s="592" t="s">
        <v>1306</v>
      </c>
      <c r="C36" s="592" t="s">
        <v>1307</v>
      </c>
      <c r="D36" s="596" t="s">
        <v>1308</v>
      </c>
      <c r="E36" s="592" t="s">
        <v>77</v>
      </c>
      <c r="F36" s="590" t="s">
        <v>1309</v>
      </c>
      <c r="G36" s="592" t="s">
        <v>1310</v>
      </c>
      <c r="H36" s="593"/>
      <c r="I36" s="662" t="s">
        <v>1874</v>
      </c>
      <c r="J36" s="641" t="s">
        <v>1865</v>
      </c>
      <c r="K36" s="10"/>
      <c r="L36" s="10"/>
      <c r="M36" s="10"/>
      <c r="N36" s="10"/>
      <c r="O36" s="10"/>
      <c r="P36" s="10"/>
      <c r="Q36" s="10"/>
      <c r="R36" s="10"/>
      <c r="S36" s="10"/>
      <c r="T36" s="10"/>
      <c r="U36" s="10"/>
      <c r="V36" s="209"/>
      <c r="W36" s="209"/>
      <c r="X36" s="209"/>
    </row>
    <row r="37" spans="1:24" x14ac:dyDescent="0.2">
      <c r="A37" s="591" t="s">
        <v>276</v>
      </c>
      <c r="B37" s="583" t="s">
        <v>1311</v>
      </c>
      <c r="C37" s="583" t="s">
        <v>1312</v>
      </c>
      <c r="D37" s="595" t="s">
        <v>152</v>
      </c>
      <c r="E37" s="583" t="s">
        <v>77</v>
      </c>
      <c r="F37" s="585" t="s">
        <v>1309</v>
      </c>
      <c r="G37" s="583" t="s">
        <v>1310</v>
      </c>
      <c r="H37" s="594"/>
      <c r="I37" s="662" t="s">
        <v>1874</v>
      </c>
      <c r="J37" s="641" t="s">
        <v>1865</v>
      </c>
      <c r="K37" s="10"/>
      <c r="L37" s="10"/>
      <c r="M37" s="10"/>
      <c r="N37" s="10"/>
      <c r="O37" s="10"/>
      <c r="P37" s="10"/>
      <c r="Q37" s="10"/>
      <c r="R37" s="10"/>
      <c r="S37" s="10"/>
      <c r="T37" s="10"/>
      <c r="U37" s="10"/>
      <c r="V37" s="209"/>
      <c r="W37" s="209"/>
      <c r="X37" s="209"/>
    </row>
    <row r="38" spans="1:24" x14ac:dyDescent="0.2">
      <c r="A38" s="591" t="s">
        <v>276</v>
      </c>
      <c r="B38" s="583" t="s">
        <v>1313</v>
      </c>
      <c r="C38" s="583" t="s">
        <v>1314</v>
      </c>
      <c r="D38" s="595" t="s">
        <v>1315</v>
      </c>
      <c r="E38" s="583" t="s">
        <v>77</v>
      </c>
      <c r="F38" s="585" t="s">
        <v>77</v>
      </c>
      <c r="G38" s="583" t="s">
        <v>1316</v>
      </c>
      <c r="H38" s="594"/>
      <c r="I38" s="662" t="s">
        <v>1874</v>
      </c>
      <c r="J38" s="641"/>
      <c r="K38" s="10"/>
      <c r="L38" s="10"/>
      <c r="M38" s="10"/>
      <c r="N38" s="10"/>
      <c r="O38" s="10"/>
      <c r="P38" s="10"/>
      <c r="Q38" s="10"/>
      <c r="R38" s="10"/>
      <c r="S38" s="10"/>
      <c r="T38" s="10"/>
      <c r="U38" s="10"/>
      <c r="V38" s="209"/>
      <c r="W38" s="209"/>
      <c r="X38" s="209"/>
    </row>
    <row r="39" spans="1:24" x14ac:dyDescent="0.2">
      <c r="A39" s="591" t="s">
        <v>276</v>
      </c>
      <c r="B39" s="583" t="s">
        <v>1313</v>
      </c>
      <c r="C39" s="583" t="s">
        <v>1314</v>
      </c>
      <c r="D39" s="595" t="s">
        <v>1317</v>
      </c>
      <c r="E39" s="583" t="s">
        <v>77</v>
      </c>
      <c r="F39" s="585" t="s">
        <v>77</v>
      </c>
      <c r="G39" s="583" t="s">
        <v>1318</v>
      </c>
      <c r="H39" s="594"/>
      <c r="I39" s="662" t="s">
        <v>1874</v>
      </c>
      <c r="J39" s="641"/>
      <c r="K39" s="10"/>
      <c r="L39" s="10"/>
      <c r="M39" s="10"/>
      <c r="N39" s="10"/>
      <c r="O39" s="10"/>
      <c r="P39" s="10"/>
      <c r="Q39" s="10"/>
      <c r="R39" s="10"/>
      <c r="S39" s="10"/>
      <c r="T39" s="10"/>
      <c r="U39" s="10"/>
      <c r="V39" s="209"/>
      <c r="W39" s="209"/>
      <c r="X39" s="209"/>
    </row>
    <row r="40" spans="1:24" x14ac:dyDescent="0.2">
      <c r="A40" s="591" t="s">
        <v>276</v>
      </c>
      <c r="B40" s="583" t="s">
        <v>1319</v>
      </c>
      <c r="C40" s="583" t="s">
        <v>1320</v>
      </c>
      <c r="D40" s="595" t="s">
        <v>152</v>
      </c>
      <c r="E40" s="583" t="s">
        <v>77</v>
      </c>
      <c r="F40" s="585" t="s">
        <v>1321</v>
      </c>
      <c r="G40" s="583" t="s">
        <v>1322</v>
      </c>
      <c r="H40" s="594"/>
      <c r="I40" s="662" t="s">
        <v>1875</v>
      </c>
      <c r="J40" s="641" t="s">
        <v>1989</v>
      </c>
      <c r="K40" s="10"/>
      <c r="L40" s="10"/>
      <c r="M40" s="10"/>
      <c r="N40" s="10"/>
      <c r="O40" s="10"/>
      <c r="P40" s="10"/>
      <c r="Q40" s="10"/>
      <c r="R40" s="10"/>
      <c r="S40" s="10"/>
      <c r="T40" s="10"/>
      <c r="U40" s="10"/>
      <c r="V40" s="209"/>
      <c r="W40" s="209"/>
      <c r="X40" s="209"/>
    </row>
    <row r="41" spans="1:24" x14ac:dyDescent="0.2">
      <c r="A41" s="1"/>
      <c r="B41" s="1"/>
      <c r="C41" s="1"/>
      <c r="D41" s="26"/>
      <c r="E41" s="1"/>
      <c r="F41" s="1"/>
      <c r="G41" s="1"/>
      <c r="H41" s="1"/>
      <c r="I41" s="338"/>
      <c r="J41" s="10"/>
      <c r="K41" s="10"/>
      <c r="L41" s="10"/>
      <c r="M41" s="10"/>
      <c r="N41" s="10"/>
      <c r="O41" s="10"/>
      <c r="P41" s="10"/>
      <c r="Q41" s="10"/>
      <c r="R41" s="10"/>
      <c r="S41" s="10"/>
      <c r="T41" s="10"/>
      <c r="U41" s="10"/>
      <c r="V41" s="10"/>
      <c r="W41" s="10"/>
      <c r="X41" s="10"/>
    </row>
    <row r="42" spans="1:24" x14ac:dyDescent="0.2">
      <c r="A42" s="10"/>
      <c r="B42" s="204"/>
      <c r="C42" s="10"/>
      <c r="D42" s="10"/>
      <c r="E42" s="10"/>
      <c r="F42" s="10"/>
      <c r="G42" s="10"/>
      <c r="H42" s="10"/>
      <c r="I42" s="338"/>
      <c r="J42" s="10"/>
      <c r="K42" s="10"/>
      <c r="L42" s="10"/>
      <c r="M42" s="10"/>
      <c r="N42" s="10"/>
      <c r="O42" s="10"/>
      <c r="P42" s="10"/>
      <c r="Q42" s="10"/>
      <c r="R42" s="10"/>
      <c r="S42" s="10"/>
      <c r="T42" s="10"/>
      <c r="U42" s="10"/>
      <c r="V42" s="209"/>
      <c r="W42" s="209"/>
      <c r="X42" s="209"/>
    </row>
    <row r="43" spans="1:24" x14ac:dyDescent="0.2">
      <c r="A43" s="10"/>
      <c r="B43" s="204"/>
      <c r="C43" s="10"/>
      <c r="D43" s="10"/>
      <c r="E43" s="10"/>
      <c r="F43" s="10"/>
      <c r="G43" s="10"/>
      <c r="H43" s="10"/>
      <c r="I43" s="338"/>
      <c r="J43" s="10"/>
      <c r="K43" s="10"/>
      <c r="L43" s="10"/>
      <c r="M43" s="10"/>
      <c r="N43" s="10"/>
      <c r="O43" s="10"/>
      <c r="P43" s="10"/>
      <c r="Q43" s="10"/>
      <c r="R43" s="10"/>
      <c r="S43" s="10"/>
      <c r="T43" s="10"/>
      <c r="U43" s="10"/>
      <c r="V43" s="209"/>
      <c r="W43" s="209"/>
      <c r="X43" s="209"/>
    </row>
    <row r="44" spans="1:24" x14ac:dyDescent="0.2">
      <c r="A44" s="10"/>
      <c r="B44" s="204"/>
      <c r="C44" s="10"/>
      <c r="D44" s="10"/>
      <c r="E44" s="10"/>
      <c r="F44" s="10"/>
      <c r="G44" s="10"/>
      <c r="H44" s="10"/>
      <c r="I44" s="338"/>
      <c r="J44" s="10"/>
      <c r="K44" s="10"/>
      <c r="L44" s="10"/>
      <c r="M44" s="10"/>
      <c r="N44" s="10"/>
      <c r="O44" s="10"/>
      <c r="P44" s="10"/>
      <c r="Q44" s="10"/>
      <c r="R44" s="10"/>
      <c r="S44" s="10"/>
      <c r="T44" s="10"/>
      <c r="U44" s="10"/>
      <c r="V44" s="209"/>
      <c r="W44" s="209"/>
      <c r="X44" s="209"/>
    </row>
    <row r="45" spans="1:24" x14ac:dyDescent="0.2">
      <c r="A45" s="10"/>
      <c r="B45" s="204"/>
      <c r="C45" s="10"/>
      <c r="D45" s="10"/>
      <c r="E45" s="10"/>
      <c r="F45" s="10"/>
      <c r="G45" s="10"/>
      <c r="H45" s="10"/>
      <c r="I45" s="338"/>
      <c r="J45" s="10"/>
      <c r="K45" s="10"/>
      <c r="L45" s="10"/>
      <c r="M45" s="10"/>
      <c r="N45" s="10"/>
      <c r="O45" s="10"/>
      <c r="P45" s="10"/>
      <c r="Q45" s="10"/>
      <c r="R45" s="10"/>
      <c r="S45" s="10"/>
      <c r="T45" s="10"/>
      <c r="U45" s="10"/>
      <c r="V45" s="10"/>
      <c r="W45" s="10"/>
      <c r="X45" s="10"/>
    </row>
    <row r="46" spans="1:24" x14ac:dyDescent="0.2">
      <c r="A46" s="10"/>
      <c r="B46" s="204"/>
      <c r="C46" s="10"/>
      <c r="D46" s="10"/>
      <c r="E46" s="10"/>
      <c r="F46" s="10"/>
      <c r="G46" s="10"/>
      <c r="H46" s="10"/>
      <c r="I46" s="338"/>
      <c r="J46" s="10"/>
      <c r="K46" s="10"/>
      <c r="L46" s="10"/>
      <c r="M46" s="10"/>
      <c r="N46" s="10"/>
      <c r="O46" s="10"/>
      <c r="P46" s="10"/>
      <c r="Q46" s="10"/>
      <c r="R46" s="10"/>
      <c r="S46" s="10"/>
      <c r="T46" s="10"/>
      <c r="U46" s="10"/>
      <c r="V46" s="209"/>
      <c r="W46" s="209"/>
      <c r="X46" s="209"/>
    </row>
    <row r="47" spans="1:24" x14ac:dyDescent="0.2">
      <c r="A47" s="10"/>
      <c r="B47" s="204"/>
      <c r="C47" s="10"/>
      <c r="D47" s="10"/>
      <c r="E47" s="10"/>
      <c r="F47" s="10"/>
      <c r="G47" s="10"/>
      <c r="H47" s="10"/>
      <c r="I47" s="338"/>
      <c r="J47" s="10"/>
      <c r="K47" s="10"/>
      <c r="L47" s="10"/>
      <c r="M47" s="10"/>
      <c r="N47" s="10"/>
      <c r="O47" s="10"/>
      <c r="P47" s="10"/>
      <c r="Q47" s="10"/>
      <c r="R47" s="10"/>
      <c r="S47" s="10"/>
      <c r="T47" s="10"/>
      <c r="U47" s="10"/>
      <c r="V47" s="209"/>
      <c r="W47" s="209"/>
      <c r="X47" s="209"/>
    </row>
    <row r="48" spans="1:24" x14ac:dyDescent="0.2">
      <c r="A48" s="10"/>
      <c r="B48" s="204"/>
      <c r="C48" s="10"/>
      <c r="D48" s="10"/>
      <c r="E48" s="10"/>
      <c r="F48" s="10"/>
      <c r="G48" s="10"/>
      <c r="H48" s="10"/>
      <c r="I48" s="338"/>
      <c r="J48" s="10"/>
      <c r="K48" s="10"/>
      <c r="L48" s="10"/>
      <c r="M48" s="10"/>
      <c r="N48" s="10"/>
      <c r="O48" s="10"/>
      <c r="P48" s="10"/>
      <c r="Q48" s="10"/>
      <c r="R48" s="10"/>
      <c r="S48" s="10"/>
      <c r="T48" s="10"/>
      <c r="U48" s="10"/>
      <c r="V48" s="209"/>
      <c r="W48" s="209"/>
      <c r="X48" s="209"/>
    </row>
    <row r="49" spans="1:24" x14ac:dyDescent="0.2">
      <c r="A49" s="10"/>
      <c r="B49" s="204"/>
      <c r="C49" s="10"/>
      <c r="D49" s="10"/>
      <c r="E49" s="10"/>
      <c r="F49" s="10"/>
      <c r="G49" s="10"/>
      <c r="H49" s="10"/>
      <c r="I49" s="338"/>
      <c r="J49" s="10"/>
      <c r="K49" s="10"/>
      <c r="L49" s="10"/>
      <c r="M49" s="10"/>
      <c r="N49" s="10"/>
      <c r="O49" s="10"/>
      <c r="P49" s="10"/>
      <c r="Q49" s="10"/>
      <c r="R49" s="10"/>
      <c r="S49" s="10"/>
      <c r="T49" s="10"/>
      <c r="U49" s="10"/>
      <c r="V49" s="209"/>
      <c r="W49" s="209"/>
      <c r="X49" s="209"/>
    </row>
    <row r="50" spans="1:24" x14ac:dyDescent="0.2">
      <c r="A50" s="10"/>
      <c r="B50" s="204"/>
      <c r="C50" s="10"/>
      <c r="D50" s="10"/>
      <c r="E50" s="10"/>
      <c r="F50" s="10"/>
      <c r="G50" s="10"/>
      <c r="H50" s="10"/>
      <c r="I50" s="338"/>
      <c r="J50" s="10"/>
      <c r="K50" s="10"/>
      <c r="L50" s="10"/>
      <c r="M50" s="10"/>
      <c r="N50" s="10"/>
      <c r="O50" s="10"/>
      <c r="P50" s="10"/>
      <c r="Q50" s="10"/>
      <c r="R50" s="10"/>
      <c r="S50" s="10"/>
      <c r="T50" s="10"/>
      <c r="U50" s="10"/>
      <c r="V50" s="209"/>
      <c r="W50" s="209"/>
      <c r="X50" s="209"/>
    </row>
    <row r="51" spans="1:24" x14ac:dyDescent="0.2">
      <c r="A51" s="10"/>
      <c r="B51" s="204"/>
      <c r="C51" s="10"/>
      <c r="D51" s="10"/>
      <c r="E51" s="10"/>
      <c r="F51" s="10"/>
      <c r="G51" s="10"/>
      <c r="H51" s="10"/>
      <c r="I51" s="338"/>
      <c r="J51" s="10"/>
      <c r="K51" s="10"/>
      <c r="L51" s="10"/>
      <c r="M51" s="10"/>
      <c r="N51" s="10"/>
      <c r="O51" s="10"/>
      <c r="P51" s="10"/>
      <c r="Q51" s="10"/>
      <c r="R51" s="10"/>
      <c r="S51" s="10"/>
      <c r="T51" s="10"/>
      <c r="U51" s="10"/>
      <c r="V51" s="209"/>
      <c r="W51" s="209"/>
      <c r="X51" s="209"/>
    </row>
    <row r="52" spans="1:24" x14ac:dyDescent="0.2">
      <c r="A52" s="10"/>
      <c r="B52" s="204"/>
      <c r="C52" s="10"/>
      <c r="D52" s="10"/>
      <c r="E52" s="10"/>
      <c r="F52" s="10"/>
      <c r="G52" s="10"/>
      <c r="H52" s="10"/>
      <c r="I52" s="338"/>
      <c r="J52" s="10"/>
      <c r="K52" s="10"/>
      <c r="L52" s="10"/>
      <c r="M52" s="10"/>
      <c r="N52" s="10"/>
      <c r="O52" s="10"/>
      <c r="P52" s="10"/>
      <c r="Q52" s="10"/>
      <c r="R52" s="10"/>
      <c r="S52" s="10"/>
      <c r="T52" s="10"/>
      <c r="U52" s="10"/>
      <c r="V52" s="209"/>
      <c r="W52" s="209"/>
      <c r="X52" s="209"/>
    </row>
    <row r="53" spans="1:24" x14ac:dyDescent="0.2">
      <c r="C53" s="199"/>
      <c r="D53" s="3"/>
    </row>
    <row r="54" spans="1:24" x14ac:dyDescent="0.2">
      <c r="C54" s="199"/>
      <c r="D54" s="3"/>
    </row>
    <row r="55" spans="1:24" x14ac:dyDescent="0.2">
      <c r="C55" s="199"/>
      <c r="D55" s="3"/>
    </row>
    <row r="56" spans="1:24" x14ac:dyDescent="0.2">
      <c r="C56" s="199"/>
      <c r="D56" s="3"/>
    </row>
  </sheetData>
  <mergeCells count="1">
    <mergeCell ref="A2:F3"/>
  </mergeCells>
  <dataValidations count="1">
    <dataValidation type="textLength" showInputMessage="1" showErrorMessage="1" sqref="H5:H8 J5:J28 H15 I24 I8 I29:J40 I10:I22">
      <formula1>0</formula1>
      <formula2>150</formula2>
    </dataValidation>
  </dataValidations>
  <pageMargins left="0.7" right="0.7" top="0.75" bottom="0.75" header="0.3" footer="0.3"/>
  <pageSetup paperSize="9" scale="72" fitToHeight="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Y91"/>
  <sheetViews>
    <sheetView zoomScale="90" zoomScaleNormal="90" workbookViewId="0">
      <selection activeCell="E65" sqref="E65"/>
    </sheetView>
  </sheetViews>
  <sheetFormatPr defaultColWidth="8.85546875" defaultRowHeight="12.75" x14ac:dyDescent="0.2"/>
  <cols>
    <col min="1" max="1" width="22.42578125" style="3" customWidth="1"/>
    <col min="2" max="2" width="13" style="3" customWidth="1"/>
    <col min="3" max="3" width="73.42578125" style="3" customWidth="1"/>
    <col min="4" max="4" width="18.5703125" style="3" customWidth="1"/>
    <col min="5" max="5" width="23.28515625" style="3" customWidth="1"/>
    <col min="6" max="6" width="18.140625" style="3" customWidth="1"/>
    <col min="7" max="7" width="23" style="3" customWidth="1"/>
    <col min="8" max="8" width="69" style="3" customWidth="1"/>
    <col min="9" max="9" width="11" style="3" customWidth="1"/>
    <col min="10" max="10" width="66.5703125" style="3" customWidth="1"/>
    <col min="11" max="11" width="8.85546875" style="3"/>
    <col min="12" max="12" width="66.85546875" style="3" customWidth="1"/>
    <col min="13" max="13" width="47.140625" style="3" customWidth="1"/>
    <col min="14" max="14" width="8.85546875" style="3"/>
    <col min="15" max="15" width="57" style="3" customWidth="1"/>
    <col min="16" max="24" width="8.85546875" style="3"/>
    <col min="25" max="25" width="52.7109375" style="3" customWidth="1"/>
    <col min="26" max="16384" width="8.85546875" style="3"/>
  </cols>
  <sheetData>
    <row r="1" spans="1:25" ht="13.5" thickBot="1" x14ac:dyDescent="0.25">
      <c r="A1" s="6" t="s">
        <v>1324</v>
      </c>
      <c r="B1" s="1"/>
      <c r="C1" s="1"/>
      <c r="D1" s="1"/>
      <c r="E1" s="1"/>
      <c r="F1" s="1"/>
      <c r="G1" s="1"/>
      <c r="H1" s="1"/>
    </row>
    <row r="2" spans="1:25" x14ac:dyDescent="0.2">
      <c r="A2" s="275"/>
      <c r="B2" s="42"/>
      <c r="C2" s="42"/>
      <c r="D2" s="42"/>
      <c r="E2" s="42"/>
      <c r="F2" s="1"/>
      <c r="G2" s="400" t="s">
        <v>56</v>
      </c>
      <c r="H2" s="85" t="s">
        <v>1484</v>
      </c>
      <c r="I2" s="199"/>
      <c r="J2" s="199"/>
      <c r="K2" s="199"/>
      <c r="L2" s="199"/>
      <c r="M2" s="199"/>
      <c r="N2" s="199"/>
      <c r="O2" s="199"/>
      <c r="P2" s="199"/>
      <c r="Q2" s="199"/>
      <c r="R2" s="263"/>
      <c r="S2" s="199"/>
      <c r="T2" s="199"/>
      <c r="U2" s="199"/>
      <c r="V2" s="199"/>
      <c r="W2" s="199"/>
      <c r="X2" s="199"/>
      <c r="Y2" s="387"/>
    </row>
    <row r="3" spans="1:25" ht="13.5" thickBot="1" x14ac:dyDescent="0.25">
      <c r="A3" s="276"/>
      <c r="B3" s="385"/>
      <c r="C3" s="385"/>
      <c r="D3" s="385"/>
      <c r="E3" s="385"/>
      <c r="F3" s="1"/>
      <c r="G3" s="74" t="s">
        <v>55</v>
      </c>
      <c r="H3" s="144">
        <v>2020</v>
      </c>
      <c r="I3" s="199"/>
      <c r="J3" s="199"/>
      <c r="K3" s="199"/>
      <c r="L3" s="199"/>
      <c r="M3" s="199"/>
      <c r="N3" s="199"/>
      <c r="O3" s="199"/>
      <c r="P3" s="199"/>
      <c r="Q3" s="199"/>
      <c r="R3" s="263"/>
      <c r="S3" s="199"/>
      <c r="T3" s="199"/>
      <c r="U3" s="199"/>
      <c r="V3" s="199"/>
      <c r="W3" s="199"/>
      <c r="X3" s="199"/>
      <c r="Y3" s="7"/>
    </row>
    <row r="4" spans="1:25" ht="26.25" thickBot="1" x14ac:dyDescent="0.25">
      <c r="A4" s="101" t="s">
        <v>0</v>
      </c>
      <c r="B4" s="101" t="s">
        <v>1325</v>
      </c>
      <c r="C4" s="386" t="s">
        <v>1326</v>
      </c>
      <c r="D4" s="101" t="s">
        <v>5</v>
      </c>
      <c r="E4" s="101" t="s">
        <v>1327</v>
      </c>
      <c r="F4" s="388" t="s">
        <v>4</v>
      </c>
      <c r="G4" s="159" t="s">
        <v>1328</v>
      </c>
      <c r="H4" s="159" t="s">
        <v>154</v>
      </c>
      <c r="I4" s="265"/>
      <c r="J4" s="264"/>
      <c r="K4" s="264"/>
      <c r="L4" s="264"/>
      <c r="M4" s="127"/>
      <c r="N4" s="127"/>
      <c r="O4" s="127"/>
      <c r="P4" s="127"/>
      <c r="Q4" s="127"/>
      <c r="R4" s="127"/>
      <c r="S4" s="127"/>
      <c r="T4" s="127"/>
      <c r="U4" s="127"/>
      <c r="V4" s="127"/>
      <c r="W4" s="127"/>
      <c r="X4" s="127"/>
      <c r="Y4" s="127"/>
    </row>
    <row r="5" spans="1:25" x14ac:dyDescent="0.2">
      <c r="A5" s="443" t="s">
        <v>276</v>
      </c>
      <c r="B5" s="553"/>
      <c r="C5" s="553" t="s">
        <v>1329</v>
      </c>
      <c r="D5" s="553" t="s">
        <v>7</v>
      </c>
      <c r="E5" s="463" t="s">
        <v>527</v>
      </c>
      <c r="F5" s="553"/>
      <c r="G5" s="578">
        <v>10</v>
      </c>
      <c r="H5" s="644"/>
      <c r="I5" s="261"/>
      <c r="J5" s="261"/>
      <c r="K5" s="261"/>
      <c r="L5" s="261"/>
      <c r="M5" s="261"/>
      <c r="N5" s="261"/>
      <c r="O5" s="261"/>
      <c r="P5" s="261"/>
      <c r="Q5" s="261"/>
      <c r="R5" s="261"/>
      <c r="S5" s="261"/>
      <c r="T5" s="261"/>
      <c r="U5" s="261"/>
      <c r="V5" s="261"/>
      <c r="W5" s="261"/>
      <c r="X5" s="261"/>
    </row>
    <row r="6" spans="1:25" x14ac:dyDescent="0.2">
      <c r="A6" s="443" t="s">
        <v>276</v>
      </c>
      <c r="B6" s="561" t="s">
        <v>1330</v>
      </c>
      <c r="C6" s="562" t="s">
        <v>1331</v>
      </c>
      <c r="D6" s="553" t="s">
        <v>7</v>
      </c>
      <c r="E6" s="463" t="s">
        <v>527</v>
      </c>
      <c r="F6" s="563"/>
      <c r="G6" s="643">
        <v>1</v>
      </c>
      <c r="H6" s="644"/>
      <c r="I6" s="205"/>
      <c r="J6" s="205"/>
      <c r="K6" s="222"/>
      <c r="L6" s="223"/>
      <c r="M6" s="224"/>
      <c r="N6" s="262"/>
      <c r="O6" s="233"/>
      <c r="P6" s="10"/>
      <c r="Q6" s="10"/>
      <c r="R6" s="10"/>
      <c r="S6" s="10"/>
      <c r="T6" s="10"/>
      <c r="U6" s="10"/>
      <c r="V6" s="209"/>
      <c r="W6" s="209"/>
      <c r="X6" s="209"/>
    </row>
    <row r="7" spans="1:25" x14ac:dyDescent="0.2">
      <c r="A7" s="583" t="s">
        <v>276</v>
      </c>
      <c r="B7" s="553" t="s">
        <v>1991</v>
      </c>
      <c r="C7" s="553" t="s">
        <v>1992</v>
      </c>
      <c r="D7" s="553" t="s">
        <v>7</v>
      </c>
      <c r="E7" s="585" t="s">
        <v>527</v>
      </c>
      <c r="F7" s="553"/>
      <c r="G7" s="643">
        <v>3</v>
      </c>
      <c r="H7" s="644"/>
      <c r="I7" s="361"/>
      <c r="J7" s="206"/>
      <c r="K7" s="222"/>
      <c r="L7" s="223"/>
      <c r="M7" s="224"/>
      <c r="N7" s="262"/>
      <c r="O7" s="233"/>
      <c r="P7" s="10"/>
      <c r="Q7" s="10"/>
      <c r="R7" s="10"/>
      <c r="S7" s="10"/>
      <c r="T7" s="10"/>
      <c r="U7" s="10"/>
      <c r="V7" s="209"/>
      <c r="W7" s="209"/>
      <c r="X7" s="209"/>
    </row>
    <row r="8" spans="1:25" x14ac:dyDescent="0.2">
      <c r="A8" s="443" t="s">
        <v>276</v>
      </c>
      <c r="B8" s="553" t="s">
        <v>1332</v>
      </c>
      <c r="C8" s="553" t="s">
        <v>1625</v>
      </c>
      <c r="D8" s="553" t="s">
        <v>7</v>
      </c>
      <c r="E8" s="463" t="s">
        <v>527</v>
      </c>
      <c r="F8" s="553"/>
      <c r="G8" s="643">
        <v>1</v>
      </c>
      <c r="H8" s="644" t="s">
        <v>1817</v>
      </c>
      <c r="I8" s="361"/>
      <c r="J8" s="206"/>
      <c r="K8" s="222"/>
      <c r="L8" s="223"/>
      <c r="M8" s="224"/>
      <c r="N8" s="262"/>
      <c r="O8" s="233"/>
      <c r="P8" s="10"/>
      <c r="Q8" s="10"/>
      <c r="R8" s="10"/>
      <c r="S8" s="10"/>
      <c r="T8" s="10"/>
      <c r="U8" s="10"/>
      <c r="V8" s="209"/>
      <c r="W8" s="209"/>
      <c r="X8" s="209"/>
    </row>
    <row r="9" spans="1:25" x14ac:dyDescent="0.2">
      <c r="A9" s="443" t="s">
        <v>276</v>
      </c>
      <c r="B9" s="553"/>
      <c r="C9" s="461" t="s">
        <v>1333</v>
      </c>
      <c r="D9" s="553" t="s">
        <v>7</v>
      </c>
      <c r="E9" s="463" t="s">
        <v>527</v>
      </c>
      <c r="F9" s="553"/>
      <c r="G9" s="643">
        <v>1</v>
      </c>
      <c r="H9" s="632"/>
      <c r="I9" s="361"/>
      <c r="J9" s="206"/>
      <c r="K9" s="222"/>
      <c r="L9" s="223"/>
      <c r="M9" s="224"/>
      <c r="N9" s="262"/>
      <c r="O9" s="233"/>
      <c r="P9" s="10"/>
      <c r="Q9" s="10"/>
      <c r="R9" s="10"/>
      <c r="S9" s="10"/>
      <c r="T9" s="10"/>
      <c r="U9" s="10"/>
      <c r="V9" s="209"/>
      <c r="W9" s="209"/>
      <c r="X9" s="209"/>
    </row>
    <row r="10" spans="1:25" x14ac:dyDescent="0.2">
      <c r="A10" s="443" t="s">
        <v>276</v>
      </c>
      <c r="B10" s="553" t="s">
        <v>1626</v>
      </c>
      <c r="C10" s="553" t="s">
        <v>1627</v>
      </c>
      <c r="D10" s="553" t="s">
        <v>7</v>
      </c>
      <c r="E10" s="463" t="s">
        <v>527</v>
      </c>
      <c r="F10" s="553"/>
      <c r="G10" s="643">
        <v>3</v>
      </c>
      <c r="H10" s="644"/>
      <c r="I10" s="361"/>
      <c r="J10" s="206"/>
      <c r="K10" s="222"/>
      <c r="L10" s="223"/>
      <c r="M10" s="224"/>
      <c r="N10" s="262"/>
      <c r="O10" s="233"/>
      <c r="P10" s="10"/>
      <c r="Q10" s="10"/>
      <c r="R10" s="10"/>
      <c r="S10" s="10"/>
      <c r="T10" s="10"/>
      <c r="U10" s="10"/>
      <c r="V10" s="209"/>
      <c r="W10" s="209"/>
      <c r="X10" s="209"/>
    </row>
    <row r="11" spans="1:25" x14ac:dyDescent="0.2">
      <c r="A11" s="443" t="s">
        <v>276</v>
      </c>
      <c r="B11" s="553" t="s">
        <v>1334</v>
      </c>
      <c r="C11" s="553" t="s">
        <v>1335</v>
      </c>
      <c r="D11" s="553" t="s">
        <v>74</v>
      </c>
      <c r="E11" s="463" t="s">
        <v>527</v>
      </c>
      <c r="F11" s="553"/>
      <c r="G11" s="643">
        <v>1</v>
      </c>
      <c r="H11" s="644"/>
      <c r="I11" s="361"/>
      <c r="J11" s="206"/>
      <c r="K11" s="222"/>
      <c r="L11" s="223"/>
      <c r="M11" s="224"/>
      <c r="N11" s="262"/>
      <c r="O11" s="233"/>
      <c r="P11" s="10"/>
      <c r="Q11" s="10"/>
      <c r="R11" s="10"/>
      <c r="S11" s="10"/>
      <c r="T11" s="10"/>
      <c r="U11" s="10"/>
      <c r="V11" s="209"/>
      <c r="W11" s="209"/>
      <c r="X11" s="209"/>
    </row>
    <row r="12" spans="1:25" x14ac:dyDescent="0.2">
      <c r="A12" s="443" t="s">
        <v>276</v>
      </c>
      <c r="B12" s="553" t="s">
        <v>1336</v>
      </c>
      <c r="C12" s="553" t="s">
        <v>1337</v>
      </c>
      <c r="D12" s="553" t="s">
        <v>7</v>
      </c>
      <c r="E12" s="463" t="s">
        <v>527</v>
      </c>
      <c r="F12" s="553"/>
      <c r="G12" s="643">
        <v>2</v>
      </c>
      <c r="H12" s="644" t="s">
        <v>1990</v>
      </c>
      <c r="I12" s="361"/>
      <c r="J12" s="206"/>
      <c r="K12" s="222"/>
      <c r="L12" s="223"/>
      <c r="M12" s="224"/>
      <c r="N12" s="262"/>
      <c r="O12" s="233"/>
      <c r="P12" s="10"/>
      <c r="Q12" s="10"/>
      <c r="R12" s="10"/>
      <c r="S12" s="10"/>
      <c r="T12" s="10"/>
      <c r="U12" s="10"/>
      <c r="V12" s="209"/>
      <c r="W12" s="209"/>
      <c r="X12" s="209"/>
    </row>
    <row r="13" spans="1:25" x14ac:dyDescent="0.2">
      <c r="A13" s="443" t="s">
        <v>276</v>
      </c>
      <c r="B13" s="553" t="s">
        <v>1338</v>
      </c>
      <c r="C13" s="553" t="s">
        <v>1339</v>
      </c>
      <c r="D13" s="553" t="s">
        <v>74</v>
      </c>
      <c r="E13" s="463" t="s">
        <v>527</v>
      </c>
      <c r="F13" s="553"/>
      <c r="G13" s="643">
        <v>6</v>
      </c>
      <c r="H13" s="632"/>
      <c r="I13" s="361"/>
      <c r="J13" s="206"/>
      <c r="K13" s="222"/>
      <c r="L13" s="223"/>
      <c r="M13" s="224"/>
      <c r="N13" s="262"/>
      <c r="O13" s="233"/>
      <c r="P13" s="10"/>
      <c r="Q13" s="10"/>
      <c r="R13" s="10"/>
      <c r="S13" s="10"/>
      <c r="T13" s="10"/>
      <c r="U13" s="10"/>
      <c r="V13" s="209"/>
      <c r="W13" s="209"/>
      <c r="X13" s="209"/>
    </row>
    <row r="14" spans="1:25" x14ac:dyDescent="0.2">
      <c r="A14" s="443" t="s">
        <v>276</v>
      </c>
      <c r="B14" s="553" t="s">
        <v>1340</v>
      </c>
      <c r="C14" s="553" t="s">
        <v>1341</v>
      </c>
      <c r="D14" s="553" t="s">
        <v>74</v>
      </c>
      <c r="E14" s="463" t="s">
        <v>527</v>
      </c>
      <c r="F14" s="553"/>
      <c r="G14" s="643">
        <v>1</v>
      </c>
      <c r="H14" s="644"/>
      <c r="I14" s="361"/>
      <c r="J14" s="205"/>
      <c r="K14" s="222"/>
      <c r="L14" s="222"/>
      <c r="M14" s="224"/>
      <c r="N14" s="262"/>
      <c r="O14" s="233"/>
      <c r="P14" s="10"/>
      <c r="Q14" s="10"/>
      <c r="R14" s="10"/>
      <c r="S14" s="10"/>
      <c r="T14" s="10"/>
      <c r="U14" s="10"/>
      <c r="V14" s="209"/>
      <c r="W14" s="209"/>
      <c r="X14" s="209"/>
      <c r="Y14" s="208"/>
    </row>
    <row r="15" spans="1:25" x14ac:dyDescent="0.2">
      <c r="A15" s="443" t="s">
        <v>276</v>
      </c>
      <c r="B15" s="553" t="s">
        <v>1342</v>
      </c>
      <c r="C15" s="553" t="s">
        <v>1343</v>
      </c>
      <c r="D15" s="553" t="s">
        <v>74</v>
      </c>
      <c r="E15" s="463" t="s">
        <v>527</v>
      </c>
      <c r="F15" s="553"/>
      <c r="G15" s="643">
        <v>0</v>
      </c>
      <c r="H15" s="644" t="s">
        <v>1818</v>
      </c>
      <c r="I15" s="205"/>
      <c r="J15" s="205"/>
      <c r="K15" s="222"/>
      <c r="L15" s="222"/>
      <c r="M15" s="224"/>
      <c r="N15" s="262"/>
      <c r="O15" s="233"/>
      <c r="P15" s="10"/>
      <c r="Q15" s="10"/>
      <c r="R15" s="10"/>
      <c r="S15" s="10"/>
      <c r="T15" s="10"/>
      <c r="U15" s="10"/>
      <c r="V15" s="209"/>
      <c r="W15" s="209"/>
      <c r="X15" s="209"/>
    </row>
    <row r="16" spans="1:25" x14ac:dyDescent="0.2">
      <c r="A16" s="443" t="s">
        <v>276</v>
      </c>
      <c r="B16" s="553" t="s">
        <v>1344</v>
      </c>
      <c r="C16" s="553" t="s">
        <v>1345</v>
      </c>
      <c r="D16" s="553" t="s">
        <v>74</v>
      </c>
      <c r="E16" s="463" t="s">
        <v>527</v>
      </c>
      <c r="F16" s="553"/>
      <c r="G16" s="643">
        <v>1</v>
      </c>
      <c r="H16" s="644"/>
      <c r="I16" s="205"/>
      <c r="J16" s="205"/>
      <c r="K16" s="222"/>
      <c r="L16" s="222"/>
      <c r="M16" s="224"/>
      <c r="N16" s="262"/>
      <c r="O16" s="233"/>
      <c r="P16" s="10"/>
      <c r="Q16" s="10"/>
      <c r="R16" s="10"/>
      <c r="S16" s="10"/>
      <c r="T16" s="10"/>
      <c r="U16" s="10"/>
      <c r="V16" s="209"/>
      <c r="W16" s="209"/>
      <c r="X16" s="209"/>
    </row>
    <row r="17" spans="1:24" x14ac:dyDescent="0.2">
      <c r="A17" s="443" t="s">
        <v>276</v>
      </c>
      <c r="B17" s="553" t="s">
        <v>1346</v>
      </c>
      <c r="C17" s="553" t="s">
        <v>1347</v>
      </c>
      <c r="D17" s="553" t="s">
        <v>74</v>
      </c>
      <c r="E17" s="463" t="s">
        <v>527</v>
      </c>
      <c r="F17" s="553"/>
      <c r="G17" s="643">
        <v>1</v>
      </c>
      <c r="H17" s="644"/>
      <c r="I17" s="205"/>
      <c r="J17" s="206"/>
      <c r="K17" s="222"/>
      <c r="L17" s="222"/>
      <c r="M17" s="224"/>
      <c r="N17" s="262"/>
      <c r="O17" s="233"/>
      <c r="P17" s="10"/>
      <c r="Q17" s="10"/>
      <c r="R17" s="10"/>
      <c r="S17" s="10"/>
      <c r="T17" s="10"/>
      <c r="U17" s="10"/>
      <c r="V17" s="209"/>
      <c r="W17" s="209"/>
      <c r="X17" s="209"/>
    </row>
    <row r="18" spans="1:24" x14ac:dyDescent="0.2">
      <c r="A18" s="443" t="s">
        <v>276</v>
      </c>
      <c r="B18" s="553" t="s">
        <v>1348</v>
      </c>
      <c r="C18" s="553" t="s">
        <v>1349</v>
      </c>
      <c r="D18" s="553" t="s">
        <v>74</v>
      </c>
      <c r="E18" s="463" t="s">
        <v>527</v>
      </c>
      <c r="F18" s="553"/>
      <c r="G18" s="643">
        <v>0</v>
      </c>
      <c r="H18" s="644" t="s">
        <v>1818</v>
      </c>
      <c r="I18" s="205"/>
      <c r="J18" s="206"/>
      <c r="K18" s="401"/>
      <c r="L18" s="223"/>
      <c r="M18" s="401"/>
      <c r="N18" s="223"/>
      <c r="O18" s="233"/>
      <c r="P18" s="10"/>
      <c r="Q18" s="10"/>
      <c r="R18" s="10"/>
      <c r="S18" s="10"/>
      <c r="T18" s="10"/>
      <c r="U18" s="10"/>
      <c r="V18" s="209"/>
      <c r="W18" s="209"/>
      <c r="X18" s="209"/>
    </row>
    <row r="19" spans="1:24" x14ac:dyDescent="0.2">
      <c r="A19" s="443" t="s">
        <v>276</v>
      </c>
      <c r="B19" s="553" t="s">
        <v>1350</v>
      </c>
      <c r="C19" s="553" t="s">
        <v>1351</v>
      </c>
      <c r="D19" s="553" t="s">
        <v>74</v>
      </c>
      <c r="E19" s="463" t="s">
        <v>527</v>
      </c>
      <c r="F19" s="553"/>
      <c r="G19" s="643">
        <v>1</v>
      </c>
      <c r="H19" s="644"/>
      <c r="I19" s="205"/>
      <c r="J19" s="206"/>
      <c r="K19" s="401"/>
      <c r="L19" s="223"/>
      <c r="M19" s="401"/>
      <c r="N19" s="223"/>
      <c r="O19" s="233"/>
      <c r="P19" s="10"/>
      <c r="Q19" s="10"/>
      <c r="R19" s="10"/>
      <c r="S19" s="10"/>
      <c r="T19" s="10"/>
      <c r="U19" s="10"/>
      <c r="V19" s="209"/>
      <c r="W19" s="209"/>
      <c r="X19" s="209"/>
    </row>
    <row r="20" spans="1:24" ht="25.5" x14ac:dyDescent="0.2">
      <c r="A20" s="443" t="s">
        <v>276</v>
      </c>
      <c r="B20" s="553" t="s">
        <v>1352</v>
      </c>
      <c r="C20" s="553" t="s">
        <v>1353</v>
      </c>
      <c r="D20" s="461" t="s">
        <v>74</v>
      </c>
      <c r="E20" s="463" t="s">
        <v>527</v>
      </c>
      <c r="F20" s="553"/>
      <c r="G20" s="643">
        <v>0</v>
      </c>
      <c r="H20" s="644" t="s">
        <v>1819</v>
      </c>
      <c r="I20" s="205"/>
      <c r="J20" s="206"/>
      <c r="K20" s="401"/>
      <c r="L20" s="223"/>
      <c r="M20" s="401"/>
      <c r="N20" s="223"/>
      <c r="O20" s="233"/>
      <c r="P20" s="10"/>
      <c r="Q20" s="10"/>
      <c r="R20" s="10"/>
      <c r="S20" s="10"/>
      <c r="T20" s="10"/>
      <c r="U20" s="10"/>
      <c r="V20" s="209"/>
      <c r="W20" s="209"/>
      <c r="X20" s="209"/>
    </row>
    <row r="21" spans="1:24" x14ac:dyDescent="0.2">
      <c r="A21" s="443" t="s">
        <v>276</v>
      </c>
      <c r="B21" s="553" t="s">
        <v>1354</v>
      </c>
      <c r="C21" s="553" t="s">
        <v>1355</v>
      </c>
      <c r="D21" s="461" t="s">
        <v>74</v>
      </c>
      <c r="E21" s="463" t="s">
        <v>527</v>
      </c>
      <c r="F21" s="553"/>
      <c r="G21" s="643">
        <v>0</v>
      </c>
      <c r="H21" s="644" t="s">
        <v>1818</v>
      </c>
      <c r="I21" s="205"/>
      <c r="J21" s="206"/>
      <c r="K21" s="401"/>
      <c r="L21" s="223"/>
      <c r="M21" s="401"/>
      <c r="N21" s="223"/>
      <c r="O21" s="233"/>
      <c r="P21" s="10"/>
      <c r="Q21" s="10"/>
      <c r="R21" s="10"/>
      <c r="S21" s="10"/>
      <c r="T21" s="10"/>
      <c r="U21" s="10"/>
      <c r="V21" s="209"/>
      <c r="W21" s="209"/>
      <c r="X21" s="209"/>
    </row>
    <row r="22" spans="1:24" x14ac:dyDescent="0.2">
      <c r="A22" s="443" t="s">
        <v>276</v>
      </c>
      <c r="B22" s="553" t="s">
        <v>666</v>
      </c>
      <c r="C22" s="553" t="s">
        <v>1356</v>
      </c>
      <c r="D22" s="461" t="s">
        <v>74</v>
      </c>
      <c r="E22" s="463" t="s">
        <v>527</v>
      </c>
      <c r="F22" s="553"/>
      <c r="G22" s="643">
        <v>2</v>
      </c>
      <c r="H22" s="644" t="s">
        <v>2019</v>
      </c>
      <c r="I22" s="401"/>
      <c r="J22" s="223"/>
      <c r="K22" s="401"/>
      <c r="L22" s="223"/>
      <c r="M22" s="401"/>
      <c r="N22" s="223"/>
      <c r="O22" s="233"/>
      <c r="P22" s="10"/>
      <c r="Q22" s="10"/>
      <c r="R22" s="10"/>
      <c r="S22" s="10"/>
      <c r="T22" s="10"/>
      <c r="U22" s="10"/>
      <c r="V22" s="209"/>
      <c r="W22" s="209"/>
      <c r="X22" s="209"/>
    </row>
    <row r="23" spans="1:24" x14ac:dyDescent="0.2">
      <c r="A23" s="443" t="s">
        <v>276</v>
      </c>
      <c r="B23" s="553" t="s">
        <v>1357</v>
      </c>
      <c r="C23" s="553" t="s">
        <v>1358</v>
      </c>
      <c r="D23" s="461" t="s">
        <v>74</v>
      </c>
      <c r="E23" s="463" t="s">
        <v>527</v>
      </c>
      <c r="F23" s="553"/>
      <c r="G23" s="643">
        <v>0</v>
      </c>
      <c r="H23" s="644" t="s">
        <v>1818</v>
      </c>
      <c r="I23" s="401"/>
      <c r="J23" s="223"/>
      <c r="K23" s="401"/>
      <c r="L23" s="223"/>
      <c r="M23" s="401"/>
      <c r="N23" s="223"/>
      <c r="O23" s="233"/>
      <c r="P23" s="10"/>
      <c r="Q23" s="10"/>
      <c r="R23" s="10"/>
      <c r="S23" s="10"/>
      <c r="T23" s="10"/>
      <c r="U23" s="10"/>
      <c r="V23" s="209"/>
      <c r="W23" s="209"/>
      <c r="X23" s="209"/>
    </row>
    <row r="24" spans="1:24" x14ac:dyDescent="0.2">
      <c r="A24" s="443" t="s">
        <v>276</v>
      </c>
      <c r="B24" s="553" t="s">
        <v>673</v>
      </c>
      <c r="C24" s="553" t="s">
        <v>1359</v>
      </c>
      <c r="D24" s="461" t="s">
        <v>74</v>
      </c>
      <c r="E24" s="463" t="s">
        <v>527</v>
      </c>
      <c r="F24" s="553"/>
      <c r="G24" s="643">
        <v>1</v>
      </c>
      <c r="H24" s="644"/>
      <c r="I24" s="401"/>
      <c r="J24" s="223"/>
      <c r="K24" s="401"/>
      <c r="L24" s="223"/>
      <c r="M24" s="401"/>
      <c r="N24" s="223"/>
      <c r="O24" s="233"/>
      <c r="P24" s="10"/>
      <c r="Q24" s="10"/>
      <c r="R24" s="10"/>
      <c r="S24" s="10"/>
      <c r="T24" s="10"/>
      <c r="U24" s="10"/>
      <c r="V24" s="209"/>
      <c r="W24" s="209"/>
      <c r="X24" s="209"/>
    </row>
    <row r="25" spans="1:24" x14ac:dyDescent="0.2">
      <c r="A25" s="443" t="s">
        <v>276</v>
      </c>
      <c r="B25" s="553" t="s">
        <v>1360</v>
      </c>
      <c r="C25" s="553" t="s">
        <v>1361</v>
      </c>
      <c r="D25" s="461" t="s">
        <v>74</v>
      </c>
      <c r="E25" s="463" t="s">
        <v>527</v>
      </c>
      <c r="F25" s="553"/>
      <c r="G25" s="643">
        <v>2</v>
      </c>
      <c r="H25" s="644" t="s">
        <v>2020</v>
      </c>
      <c r="I25" s="401"/>
      <c r="J25" s="223"/>
      <c r="K25" s="401"/>
      <c r="L25" s="223"/>
      <c r="M25" s="401"/>
      <c r="N25" s="223"/>
      <c r="O25" s="233"/>
      <c r="P25" s="10"/>
      <c r="Q25" s="10"/>
      <c r="R25" s="10"/>
      <c r="S25" s="10"/>
      <c r="T25" s="10"/>
      <c r="U25" s="10"/>
      <c r="V25" s="209"/>
      <c r="W25" s="209"/>
      <c r="X25" s="209"/>
    </row>
    <row r="26" spans="1:24" x14ac:dyDescent="0.2">
      <c r="A26" s="443" t="s">
        <v>276</v>
      </c>
      <c r="B26" s="553" t="s">
        <v>1362</v>
      </c>
      <c r="C26" s="553" t="s">
        <v>1363</v>
      </c>
      <c r="D26" s="461" t="s">
        <v>74</v>
      </c>
      <c r="E26" s="463" t="s">
        <v>527</v>
      </c>
      <c r="F26" s="553"/>
      <c r="G26" s="643">
        <v>1</v>
      </c>
      <c r="H26" s="644"/>
      <c r="I26" s="205"/>
      <c r="J26" s="205"/>
      <c r="K26" s="222"/>
      <c r="L26" s="222"/>
      <c r="M26" s="224"/>
      <c r="N26" s="402"/>
      <c r="O26" s="233"/>
      <c r="P26" s="10"/>
      <c r="Q26" s="10"/>
      <c r="R26" s="10"/>
      <c r="S26" s="10"/>
      <c r="T26" s="10"/>
      <c r="U26" s="10"/>
      <c r="V26" s="209"/>
      <c r="W26" s="209"/>
      <c r="X26" s="209"/>
    </row>
    <row r="27" spans="1:24" x14ac:dyDescent="0.2">
      <c r="A27" s="443" t="s">
        <v>276</v>
      </c>
      <c r="B27" s="553" t="s">
        <v>1364</v>
      </c>
      <c r="C27" s="553" t="s">
        <v>1365</v>
      </c>
      <c r="D27" s="461" t="s">
        <v>74</v>
      </c>
      <c r="E27" s="463" t="s">
        <v>527</v>
      </c>
      <c r="F27" s="553"/>
      <c r="G27" s="643">
        <v>2</v>
      </c>
      <c r="H27" s="644"/>
      <c r="I27" s="401"/>
      <c r="J27" s="401"/>
      <c r="K27" s="401"/>
      <c r="L27" s="401"/>
      <c r="M27" s="401"/>
      <c r="N27" s="401"/>
      <c r="O27" s="233"/>
      <c r="P27" s="10"/>
      <c r="Q27" s="10"/>
      <c r="R27" s="10"/>
      <c r="S27" s="10"/>
      <c r="T27" s="10"/>
      <c r="U27" s="10"/>
      <c r="V27" s="209"/>
      <c r="W27" s="209"/>
      <c r="X27" s="209"/>
    </row>
    <row r="28" spans="1:24" x14ac:dyDescent="0.2">
      <c r="A28" s="443" t="s">
        <v>276</v>
      </c>
      <c r="B28" s="553" t="s">
        <v>1366</v>
      </c>
      <c r="C28" s="553" t="s">
        <v>1367</v>
      </c>
      <c r="D28" s="461" t="s">
        <v>74</v>
      </c>
      <c r="E28" s="463" t="s">
        <v>527</v>
      </c>
      <c r="F28" s="553"/>
      <c r="G28" s="643">
        <v>2</v>
      </c>
      <c r="H28" s="644"/>
      <c r="I28" s="401"/>
      <c r="J28" s="401"/>
      <c r="K28" s="401"/>
      <c r="L28" s="401"/>
      <c r="M28" s="401"/>
      <c r="N28" s="401"/>
      <c r="O28" s="233"/>
      <c r="P28" s="10"/>
      <c r="Q28" s="10"/>
      <c r="R28" s="10"/>
      <c r="S28" s="10"/>
      <c r="T28" s="10"/>
      <c r="U28" s="10"/>
      <c r="V28" s="209"/>
      <c r="W28" s="209"/>
      <c r="X28" s="209"/>
    </row>
    <row r="29" spans="1:24" x14ac:dyDescent="0.2">
      <c r="A29" s="443" t="s">
        <v>276</v>
      </c>
      <c r="B29" s="553" t="s">
        <v>1368</v>
      </c>
      <c r="C29" s="553" t="s">
        <v>1369</v>
      </c>
      <c r="D29" s="461" t="s">
        <v>74</v>
      </c>
      <c r="E29" s="463" t="s">
        <v>527</v>
      </c>
      <c r="F29" s="553"/>
      <c r="G29" s="643"/>
      <c r="H29" s="644"/>
      <c r="I29" s="401"/>
      <c r="J29" s="401"/>
      <c r="K29" s="401"/>
      <c r="L29" s="401"/>
      <c r="M29" s="401"/>
      <c r="N29" s="401"/>
      <c r="O29" s="233"/>
      <c r="P29" s="10"/>
      <c r="Q29" s="10"/>
      <c r="R29" s="10"/>
      <c r="S29" s="10"/>
      <c r="T29" s="10"/>
      <c r="U29" s="10"/>
      <c r="V29" s="209"/>
      <c r="W29" s="209"/>
      <c r="X29" s="209"/>
    </row>
    <row r="30" spans="1:24" x14ac:dyDescent="0.2">
      <c r="A30" s="443" t="s">
        <v>276</v>
      </c>
      <c r="B30" s="553" t="s">
        <v>1370</v>
      </c>
      <c r="C30" s="553" t="s">
        <v>1371</v>
      </c>
      <c r="D30" s="461" t="s">
        <v>74</v>
      </c>
      <c r="E30" s="463" t="s">
        <v>527</v>
      </c>
      <c r="F30" s="553"/>
      <c r="G30" s="643">
        <v>10</v>
      </c>
      <c r="H30" s="644"/>
      <c r="I30" s="401"/>
      <c r="J30" s="401"/>
      <c r="K30" s="401"/>
      <c r="L30" s="401"/>
      <c r="M30" s="401"/>
      <c r="N30" s="401"/>
      <c r="O30" s="233"/>
      <c r="P30" s="10"/>
      <c r="Q30" s="10"/>
      <c r="R30" s="10"/>
      <c r="S30" s="10"/>
      <c r="T30" s="10"/>
      <c r="U30" s="10"/>
      <c r="V30" s="209"/>
      <c r="W30" s="209"/>
      <c r="X30" s="209"/>
    </row>
    <row r="31" spans="1:24" ht="25.5" x14ac:dyDescent="0.2">
      <c r="A31" s="443" t="s">
        <v>276</v>
      </c>
      <c r="B31" s="553" t="s">
        <v>1372</v>
      </c>
      <c r="C31" s="553" t="s">
        <v>1373</v>
      </c>
      <c r="D31" s="461" t="s">
        <v>74</v>
      </c>
      <c r="E31" s="463" t="s">
        <v>527</v>
      </c>
      <c r="F31" s="553"/>
      <c r="G31" s="643">
        <v>0</v>
      </c>
      <c r="H31" s="644" t="s">
        <v>1820</v>
      </c>
      <c r="I31" s="10"/>
      <c r="J31" s="10"/>
      <c r="K31" s="10"/>
      <c r="L31" s="10"/>
      <c r="M31" s="10"/>
      <c r="N31" s="10"/>
      <c r="O31" s="10"/>
      <c r="P31" s="10"/>
      <c r="Q31" s="10"/>
      <c r="R31" s="10"/>
      <c r="S31" s="10"/>
      <c r="T31" s="10"/>
      <c r="U31" s="10"/>
      <c r="V31" s="209"/>
      <c r="W31" s="209"/>
      <c r="X31" s="209"/>
    </row>
    <row r="32" spans="1:24" x14ac:dyDescent="0.2">
      <c r="A32" s="443" t="s">
        <v>276</v>
      </c>
      <c r="B32" s="553" t="s">
        <v>1374</v>
      </c>
      <c r="C32" s="553" t="s">
        <v>1375</v>
      </c>
      <c r="D32" s="461" t="s">
        <v>74</v>
      </c>
      <c r="E32" s="463" t="s">
        <v>527</v>
      </c>
      <c r="F32" s="553"/>
      <c r="G32" s="643">
        <v>2</v>
      </c>
      <c r="H32" s="644"/>
      <c r="I32" s="10"/>
      <c r="J32" s="10"/>
      <c r="K32" s="10"/>
      <c r="L32" s="10"/>
      <c r="M32" s="10"/>
      <c r="N32" s="10"/>
      <c r="O32" s="10"/>
      <c r="P32" s="10"/>
      <c r="Q32" s="10"/>
      <c r="R32" s="10"/>
      <c r="S32" s="10"/>
      <c r="T32" s="10"/>
      <c r="U32" s="10"/>
      <c r="V32" s="209"/>
      <c r="W32" s="209"/>
      <c r="X32" s="209"/>
    </row>
    <row r="33" spans="1:24" x14ac:dyDescent="0.2">
      <c r="A33" s="443" t="s">
        <v>276</v>
      </c>
      <c r="B33" s="553" t="s">
        <v>1376</v>
      </c>
      <c r="C33" s="553" t="s">
        <v>1377</v>
      </c>
      <c r="D33" s="461" t="s">
        <v>74</v>
      </c>
      <c r="E33" s="463" t="s">
        <v>527</v>
      </c>
      <c r="F33" s="553"/>
      <c r="G33" s="643">
        <v>1</v>
      </c>
      <c r="H33" s="644"/>
      <c r="I33" s="10"/>
      <c r="J33" s="10"/>
      <c r="K33" s="10"/>
      <c r="L33" s="10"/>
      <c r="M33" s="10"/>
      <c r="N33" s="10"/>
      <c r="O33" s="10"/>
      <c r="P33" s="10"/>
      <c r="Q33" s="10"/>
      <c r="R33" s="10"/>
      <c r="S33" s="10"/>
      <c r="T33" s="10"/>
      <c r="U33" s="10"/>
      <c r="V33" s="209"/>
      <c r="W33" s="209"/>
      <c r="X33" s="209"/>
    </row>
    <row r="34" spans="1:24" x14ac:dyDescent="0.2">
      <c r="A34" s="443" t="s">
        <v>276</v>
      </c>
      <c r="B34" s="553" t="s">
        <v>1378</v>
      </c>
      <c r="C34" s="553" t="s">
        <v>1379</v>
      </c>
      <c r="D34" s="461" t="s">
        <v>74</v>
      </c>
      <c r="E34" s="463" t="s">
        <v>527</v>
      </c>
      <c r="F34" s="553"/>
      <c r="G34" s="643">
        <v>1</v>
      </c>
      <c r="H34" s="644"/>
      <c r="I34" s="10"/>
      <c r="J34" s="10"/>
      <c r="K34" s="10"/>
      <c r="L34" s="10"/>
      <c r="M34" s="10"/>
      <c r="N34" s="10"/>
      <c r="O34" s="10"/>
      <c r="P34" s="10"/>
      <c r="Q34" s="10"/>
      <c r="R34" s="10"/>
      <c r="S34" s="10"/>
      <c r="T34" s="10"/>
      <c r="U34" s="10"/>
      <c r="V34" s="209"/>
      <c r="W34" s="209"/>
      <c r="X34" s="209"/>
    </row>
    <row r="35" spans="1:24" x14ac:dyDescent="0.2">
      <c r="A35" s="443" t="s">
        <v>276</v>
      </c>
      <c r="B35" s="553" t="s">
        <v>1380</v>
      </c>
      <c r="C35" s="553" t="s">
        <v>1381</v>
      </c>
      <c r="D35" s="461" t="s">
        <v>74</v>
      </c>
      <c r="E35" s="463" t="s">
        <v>527</v>
      </c>
      <c r="F35" s="553"/>
      <c r="G35" s="643">
        <v>2</v>
      </c>
      <c r="H35" s="644"/>
      <c r="I35" s="10"/>
      <c r="J35" s="207"/>
      <c r="K35" s="207"/>
      <c r="L35" s="207"/>
      <c r="M35" s="10"/>
      <c r="N35" s="10"/>
      <c r="O35" s="10"/>
      <c r="P35" s="10"/>
      <c r="Q35" s="10"/>
      <c r="R35" s="10"/>
      <c r="S35" s="10"/>
      <c r="T35" s="10"/>
      <c r="U35" s="10"/>
      <c r="V35" s="209"/>
      <c r="W35" s="209"/>
      <c r="X35" s="209"/>
    </row>
    <row r="36" spans="1:24" x14ac:dyDescent="0.2">
      <c r="A36" s="443" t="s">
        <v>276</v>
      </c>
      <c r="B36" s="553" t="s">
        <v>1382</v>
      </c>
      <c r="C36" s="553" t="s">
        <v>1383</v>
      </c>
      <c r="D36" s="461" t="s">
        <v>74</v>
      </c>
      <c r="E36" s="463" t="s">
        <v>527</v>
      </c>
      <c r="F36" s="553"/>
      <c r="G36" s="643">
        <v>0</v>
      </c>
      <c r="H36" s="644" t="s">
        <v>1818</v>
      </c>
      <c r="I36" s="10"/>
      <c r="J36" s="10"/>
      <c r="K36" s="10"/>
      <c r="L36" s="10"/>
      <c r="M36" s="10"/>
      <c r="N36" s="10"/>
      <c r="O36" s="10"/>
      <c r="P36" s="10"/>
      <c r="Q36" s="10"/>
      <c r="R36" s="10"/>
      <c r="S36" s="10"/>
      <c r="T36" s="10"/>
      <c r="U36" s="10"/>
      <c r="V36" s="209"/>
      <c r="W36" s="209"/>
      <c r="X36" s="209"/>
    </row>
    <row r="37" spans="1:24" x14ac:dyDescent="0.2">
      <c r="A37" s="443" t="s">
        <v>276</v>
      </c>
      <c r="B37" s="553" t="s">
        <v>1384</v>
      </c>
      <c r="C37" s="553" t="s">
        <v>1385</v>
      </c>
      <c r="D37" s="461" t="s">
        <v>74</v>
      </c>
      <c r="E37" s="463" t="s">
        <v>527</v>
      </c>
      <c r="F37" s="553"/>
      <c r="G37" s="643">
        <v>1</v>
      </c>
      <c r="H37" s="644"/>
      <c r="I37" s="10"/>
      <c r="J37" s="10"/>
      <c r="K37" s="10"/>
      <c r="L37" s="10"/>
      <c r="M37" s="10"/>
      <c r="N37" s="10"/>
      <c r="O37" s="10"/>
      <c r="P37" s="10"/>
      <c r="Q37" s="10"/>
      <c r="R37" s="10"/>
      <c r="S37" s="10"/>
      <c r="T37" s="10"/>
      <c r="U37" s="10"/>
      <c r="V37" s="209"/>
      <c r="W37" s="209"/>
      <c r="X37" s="209"/>
    </row>
    <row r="38" spans="1:24" x14ac:dyDescent="0.2">
      <c r="A38" s="443" t="s">
        <v>276</v>
      </c>
      <c r="B38" s="553" t="s">
        <v>1386</v>
      </c>
      <c r="C38" s="553" t="s">
        <v>1387</v>
      </c>
      <c r="D38" s="461" t="s">
        <v>74</v>
      </c>
      <c r="E38" s="463" t="s">
        <v>527</v>
      </c>
      <c r="F38" s="553"/>
      <c r="G38" s="643">
        <v>0</v>
      </c>
      <c r="H38" s="644"/>
      <c r="I38" s="10"/>
      <c r="J38" s="10"/>
      <c r="K38" s="10"/>
      <c r="L38" s="10"/>
      <c r="M38" s="10"/>
      <c r="N38" s="10"/>
      <c r="O38" s="10"/>
      <c r="P38" s="10"/>
      <c r="Q38" s="10"/>
      <c r="R38" s="10"/>
      <c r="S38" s="10"/>
      <c r="T38" s="10"/>
      <c r="U38" s="10"/>
      <c r="V38" s="209"/>
      <c r="W38" s="209"/>
      <c r="X38" s="209"/>
    </row>
    <row r="39" spans="1:24" x14ac:dyDescent="0.2">
      <c r="A39" s="443" t="s">
        <v>276</v>
      </c>
      <c r="B39" s="553" t="s">
        <v>1388</v>
      </c>
      <c r="C39" s="553" t="s">
        <v>1389</v>
      </c>
      <c r="D39" s="461" t="s">
        <v>74</v>
      </c>
      <c r="E39" s="463" t="s">
        <v>527</v>
      </c>
      <c r="F39" s="553"/>
      <c r="G39" s="643">
        <v>2</v>
      </c>
      <c r="H39" s="644"/>
      <c r="I39" s="10"/>
      <c r="J39" s="10"/>
      <c r="K39" s="10"/>
      <c r="L39" s="10"/>
      <c r="M39" s="10"/>
      <c r="N39" s="10"/>
      <c r="O39" s="10"/>
      <c r="P39" s="10"/>
      <c r="Q39" s="10"/>
      <c r="R39" s="10"/>
      <c r="S39" s="10"/>
      <c r="T39" s="10"/>
      <c r="U39" s="10"/>
      <c r="V39" s="209"/>
      <c r="W39" s="209"/>
      <c r="X39" s="209"/>
    </row>
    <row r="40" spans="1:24" x14ac:dyDescent="0.2">
      <c r="A40" s="443" t="s">
        <v>276</v>
      </c>
      <c r="B40" s="553" t="s">
        <v>1390</v>
      </c>
      <c r="C40" s="553" t="s">
        <v>1391</v>
      </c>
      <c r="D40" s="461" t="s">
        <v>74</v>
      </c>
      <c r="E40" s="463" t="s">
        <v>527</v>
      </c>
      <c r="F40" s="553"/>
      <c r="G40" s="643">
        <v>3</v>
      </c>
      <c r="H40" s="644"/>
      <c r="I40" s="10"/>
      <c r="J40" s="10"/>
      <c r="K40" s="10"/>
      <c r="L40" s="10"/>
      <c r="M40" s="10"/>
      <c r="N40" s="10"/>
      <c r="O40" s="10"/>
      <c r="P40" s="10"/>
      <c r="Q40" s="10"/>
      <c r="R40" s="10"/>
      <c r="S40" s="10"/>
      <c r="T40" s="10"/>
      <c r="U40" s="10"/>
      <c r="V40" s="209"/>
      <c r="W40" s="209"/>
      <c r="X40" s="209"/>
    </row>
    <row r="41" spans="1:24" x14ac:dyDescent="0.2">
      <c r="A41" s="443" t="s">
        <v>276</v>
      </c>
      <c r="B41" s="553" t="s">
        <v>1392</v>
      </c>
      <c r="C41" s="553" t="s">
        <v>1393</v>
      </c>
      <c r="D41" s="461" t="s">
        <v>74</v>
      </c>
      <c r="E41" s="463" t="s">
        <v>527</v>
      </c>
      <c r="F41" s="553"/>
      <c r="G41" s="643">
        <v>0</v>
      </c>
      <c r="H41" s="644" t="s">
        <v>1839</v>
      </c>
      <c r="I41" s="10"/>
      <c r="J41" s="10"/>
      <c r="K41" s="10"/>
      <c r="L41" s="10"/>
      <c r="M41" s="10"/>
      <c r="N41" s="10"/>
      <c r="O41" s="10"/>
      <c r="P41" s="10"/>
      <c r="Q41" s="10"/>
      <c r="R41" s="10"/>
      <c r="S41" s="10"/>
      <c r="T41" s="10"/>
      <c r="U41" s="10"/>
      <c r="V41" s="209"/>
      <c r="W41" s="209"/>
      <c r="X41" s="209"/>
    </row>
    <row r="42" spans="1:24" x14ac:dyDescent="0.2">
      <c r="A42" s="443" t="s">
        <v>276</v>
      </c>
      <c r="B42" s="553" t="s">
        <v>1394</v>
      </c>
      <c r="C42" s="553" t="s">
        <v>1395</v>
      </c>
      <c r="D42" s="461" t="s">
        <v>74</v>
      </c>
      <c r="E42" s="463" t="s">
        <v>527</v>
      </c>
      <c r="F42" s="553"/>
      <c r="G42" s="643">
        <v>1</v>
      </c>
      <c r="H42" s="644"/>
      <c r="I42" s="10"/>
      <c r="J42" s="10"/>
      <c r="K42" s="10"/>
      <c r="L42" s="10"/>
      <c r="M42" s="10"/>
      <c r="N42" s="10"/>
      <c r="O42" s="10"/>
      <c r="P42" s="10"/>
      <c r="Q42" s="10"/>
      <c r="R42" s="10"/>
      <c r="S42" s="10"/>
      <c r="T42" s="10"/>
      <c r="U42" s="10"/>
      <c r="V42" s="10"/>
      <c r="W42" s="10"/>
      <c r="X42" s="10"/>
    </row>
    <row r="43" spans="1:24" x14ac:dyDescent="0.2">
      <c r="A43" s="443" t="s">
        <v>276</v>
      </c>
      <c r="B43" s="553" t="s">
        <v>1396</v>
      </c>
      <c r="C43" s="553" t="s">
        <v>1397</v>
      </c>
      <c r="D43" s="461" t="s">
        <v>74</v>
      </c>
      <c r="E43" s="463" t="s">
        <v>527</v>
      </c>
      <c r="F43" s="553"/>
      <c r="G43" s="643">
        <v>2</v>
      </c>
      <c r="H43" s="644"/>
      <c r="I43" s="10"/>
      <c r="J43" s="10"/>
      <c r="K43" s="10"/>
      <c r="L43" s="10"/>
      <c r="M43" s="10"/>
      <c r="N43" s="10"/>
      <c r="O43" s="10"/>
      <c r="P43" s="10"/>
      <c r="Q43" s="10"/>
      <c r="R43" s="10"/>
      <c r="S43" s="10"/>
      <c r="T43" s="10"/>
      <c r="U43" s="10"/>
      <c r="V43" s="209"/>
      <c r="W43" s="209"/>
      <c r="X43" s="209"/>
    </row>
    <row r="44" spans="1:24" x14ac:dyDescent="0.2">
      <c r="A44" s="443" t="s">
        <v>276</v>
      </c>
      <c r="B44" s="553" t="s">
        <v>1398</v>
      </c>
      <c r="C44" s="553" t="s">
        <v>1399</v>
      </c>
      <c r="D44" s="461" t="s">
        <v>74</v>
      </c>
      <c r="E44" s="463" t="s">
        <v>527</v>
      </c>
      <c r="F44" s="553"/>
      <c r="G44" s="643">
        <v>2</v>
      </c>
      <c r="H44" s="644"/>
      <c r="I44" s="10"/>
      <c r="J44" s="10"/>
      <c r="K44" s="10"/>
      <c r="L44" s="10"/>
      <c r="M44" s="10"/>
      <c r="N44" s="10"/>
      <c r="O44" s="10"/>
      <c r="P44" s="10"/>
      <c r="Q44" s="10"/>
      <c r="R44" s="10"/>
      <c r="S44" s="10"/>
      <c r="T44" s="10"/>
      <c r="U44" s="10"/>
      <c r="V44" s="209"/>
      <c r="W44" s="209"/>
      <c r="X44" s="209"/>
    </row>
    <row r="45" spans="1:24" x14ac:dyDescent="0.2">
      <c r="A45" s="443" t="s">
        <v>276</v>
      </c>
      <c r="B45" s="553" t="s">
        <v>1400</v>
      </c>
      <c r="C45" s="553" t="s">
        <v>1401</v>
      </c>
      <c r="D45" s="461" t="s">
        <v>74</v>
      </c>
      <c r="E45" s="463" t="s">
        <v>527</v>
      </c>
      <c r="F45" s="553"/>
      <c r="G45" s="643">
        <v>1</v>
      </c>
      <c r="H45" s="644"/>
      <c r="I45" s="10"/>
      <c r="J45" s="10"/>
      <c r="K45" s="10"/>
      <c r="L45" s="10"/>
      <c r="M45" s="10"/>
      <c r="N45" s="10"/>
      <c r="O45" s="10"/>
      <c r="P45" s="10"/>
      <c r="Q45" s="10"/>
      <c r="R45" s="10"/>
      <c r="S45" s="10"/>
      <c r="T45" s="10"/>
      <c r="U45" s="10"/>
      <c r="V45" s="209"/>
      <c r="W45" s="209"/>
      <c r="X45" s="209"/>
    </row>
    <row r="46" spans="1:24" x14ac:dyDescent="0.2">
      <c r="A46" s="443" t="s">
        <v>276</v>
      </c>
      <c r="B46" s="553" t="s">
        <v>1402</v>
      </c>
      <c r="C46" s="553" t="s">
        <v>1403</v>
      </c>
      <c r="D46" s="461" t="s">
        <v>74</v>
      </c>
      <c r="E46" s="463" t="s">
        <v>527</v>
      </c>
      <c r="F46" s="553"/>
      <c r="G46" s="643">
        <v>0</v>
      </c>
      <c r="H46" s="644" t="s">
        <v>1818</v>
      </c>
      <c r="I46" s="10"/>
      <c r="J46" s="10"/>
      <c r="K46" s="10"/>
      <c r="L46" s="10"/>
      <c r="M46" s="10"/>
      <c r="N46" s="10"/>
      <c r="O46" s="10"/>
      <c r="P46" s="10"/>
      <c r="Q46" s="10"/>
      <c r="R46" s="10"/>
      <c r="S46" s="10"/>
      <c r="T46" s="10"/>
      <c r="U46" s="10"/>
      <c r="V46" s="10"/>
      <c r="W46" s="10"/>
      <c r="X46" s="10"/>
    </row>
    <row r="47" spans="1:24" x14ac:dyDescent="0.2">
      <c r="A47" s="443" t="s">
        <v>276</v>
      </c>
      <c r="B47" s="553" t="s">
        <v>1404</v>
      </c>
      <c r="C47" s="553" t="s">
        <v>1405</v>
      </c>
      <c r="D47" s="461" t="s">
        <v>74</v>
      </c>
      <c r="E47" s="463" t="s">
        <v>527</v>
      </c>
      <c r="F47" s="553"/>
      <c r="G47" s="643"/>
      <c r="H47" s="644" t="s">
        <v>1818</v>
      </c>
      <c r="I47" s="10"/>
      <c r="J47" s="10"/>
      <c r="K47" s="10"/>
      <c r="L47" s="10"/>
      <c r="M47" s="10"/>
      <c r="N47" s="10"/>
      <c r="O47" s="10"/>
      <c r="P47" s="10"/>
      <c r="Q47" s="10"/>
      <c r="R47" s="10"/>
      <c r="S47" s="10"/>
      <c r="T47" s="10"/>
      <c r="U47" s="10"/>
      <c r="V47" s="209"/>
      <c r="W47" s="209"/>
      <c r="X47" s="209"/>
    </row>
    <row r="48" spans="1:24" x14ac:dyDescent="0.2">
      <c r="A48" s="443" t="s">
        <v>276</v>
      </c>
      <c r="B48" s="553" t="s">
        <v>1406</v>
      </c>
      <c r="C48" s="553" t="s">
        <v>1407</v>
      </c>
      <c r="D48" s="461" t="s">
        <v>74</v>
      </c>
      <c r="E48" s="463" t="s">
        <v>527</v>
      </c>
      <c r="F48" s="553"/>
      <c r="G48" s="643">
        <v>2</v>
      </c>
      <c r="H48" s="644"/>
      <c r="I48" s="10"/>
      <c r="J48" s="10"/>
      <c r="K48" s="10"/>
      <c r="L48" s="10"/>
      <c r="M48" s="10"/>
      <c r="N48" s="10"/>
      <c r="O48" s="10"/>
      <c r="P48" s="10"/>
      <c r="Q48" s="10"/>
      <c r="R48" s="10"/>
      <c r="S48" s="10"/>
      <c r="T48" s="10"/>
      <c r="U48" s="10"/>
      <c r="V48" s="209"/>
      <c r="W48" s="209"/>
      <c r="X48" s="209"/>
    </row>
    <row r="49" spans="1:24" x14ac:dyDescent="0.2">
      <c r="A49" s="443" t="s">
        <v>276</v>
      </c>
      <c r="B49" s="553"/>
      <c r="C49" s="553" t="s">
        <v>1628</v>
      </c>
      <c r="D49" s="553" t="s">
        <v>363</v>
      </c>
      <c r="E49" s="463" t="s">
        <v>527</v>
      </c>
      <c r="F49" s="553"/>
      <c r="G49" s="643">
        <v>1</v>
      </c>
      <c r="H49" s="644"/>
      <c r="I49" s="10"/>
      <c r="J49" s="10"/>
      <c r="K49" s="10"/>
      <c r="L49" s="10"/>
      <c r="M49" s="10"/>
      <c r="N49" s="10"/>
      <c r="O49" s="10"/>
      <c r="P49" s="10"/>
      <c r="Q49" s="10"/>
      <c r="R49" s="10"/>
      <c r="S49" s="10"/>
      <c r="T49" s="10"/>
      <c r="U49" s="10"/>
      <c r="V49" s="209"/>
      <c r="W49" s="209"/>
      <c r="X49" s="209"/>
    </row>
    <row r="50" spans="1:24" x14ac:dyDescent="0.2">
      <c r="A50" s="443" t="s">
        <v>276</v>
      </c>
      <c r="B50" s="553"/>
      <c r="C50" s="553" t="s">
        <v>528</v>
      </c>
      <c r="D50" s="553" t="s">
        <v>363</v>
      </c>
      <c r="E50" s="463" t="s">
        <v>527</v>
      </c>
      <c r="F50" s="553"/>
      <c r="G50" s="643">
        <v>1</v>
      </c>
      <c r="H50" s="644"/>
      <c r="I50" s="10"/>
      <c r="J50" s="10"/>
      <c r="K50" s="10"/>
      <c r="L50" s="10"/>
      <c r="M50" s="10"/>
      <c r="N50" s="10"/>
      <c r="O50" s="10"/>
      <c r="P50" s="10"/>
      <c r="Q50" s="10"/>
      <c r="R50" s="10"/>
      <c r="S50" s="10"/>
      <c r="T50" s="10"/>
      <c r="U50" s="10"/>
      <c r="V50" s="209"/>
      <c r="W50" s="209"/>
      <c r="X50" s="209"/>
    </row>
    <row r="51" spans="1:24" x14ac:dyDescent="0.2">
      <c r="A51" s="443" t="s">
        <v>276</v>
      </c>
      <c r="B51" s="553"/>
      <c r="C51" s="553" t="s">
        <v>529</v>
      </c>
      <c r="D51" s="461" t="s">
        <v>501</v>
      </c>
      <c r="E51" s="463" t="s">
        <v>527</v>
      </c>
      <c r="F51" s="553"/>
      <c r="G51" s="643">
        <v>1</v>
      </c>
      <c r="H51" s="644"/>
      <c r="I51" s="10"/>
      <c r="J51" s="10"/>
      <c r="K51" s="10"/>
      <c r="L51" s="10"/>
      <c r="M51" s="10"/>
      <c r="N51" s="10"/>
      <c r="O51" s="10"/>
      <c r="P51" s="10"/>
      <c r="Q51" s="10"/>
      <c r="R51" s="10"/>
      <c r="S51" s="10"/>
      <c r="T51" s="10"/>
      <c r="U51" s="10"/>
      <c r="V51" s="209"/>
      <c r="W51" s="209"/>
      <c r="X51" s="209"/>
    </row>
    <row r="52" spans="1:24" x14ac:dyDescent="0.2">
      <c r="A52" s="443" t="s">
        <v>276</v>
      </c>
      <c r="B52" s="553"/>
      <c r="C52" s="553" t="s">
        <v>530</v>
      </c>
      <c r="D52" s="461" t="s">
        <v>501</v>
      </c>
      <c r="E52" s="463" t="s">
        <v>527</v>
      </c>
      <c r="F52" s="553"/>
      <c r="G52" s="643">
        <v>0</v>
      </c>
      <c r="H52" s="632" t="s">
        <v>1821</v>
      </c>
      <c r="I52" s="10"/>
      <c r="J52" s="10"/>
      <c r="K52" s="10"/>
      <c r="L52" s="10"/>
      <c r="M52" s="10"/>
      <c r="N52" s="10"/>
      <c r="O52" s="10"/>
      <c r="P52" s="10"/>
      <c r="Q52" s="10"/>
      <c r="R52" s="10"/>
      <c r="S52" s="10"/>
      <c r="T52" s="10"/>
      <c r="U52" s="10"/>
      <c r="V52" s="209"/>
      <c r="W52" s="209"/>
      <c r="X52" s="209"/>
    </row>
    <row r="53" spans="1:24" x14ac:dyDescent="0.2">
      <c r="A53" s="443" t="s">
        <v>276</v>
      </c>
      <c r="B53" s="553"/>
      <c r="C53" s="553" t="s">
        <v>531</v>
      </c>
      <c r="D53" s="461" t="s">
        <v>501</v>
      </c>
      <c r="E53" s="463" t="s">
        <v>527</v>
      </c>
      <c r="F53" s="553"/>
      <c r="G53" s="643">
        <v>1</v>
      </c>
      <c r="H53" s="644"/>
      <c r="I53" s="10"/>
      <c r="J53" s="10"/>
      <c r="K53" s="10"/>
      <c r="L53" s="10"/>
      <c r="M53" s="10"/>
      <c r="N53" s="10"/>
      <c r="O53" s="10"/>
      <c r="P53" s="10"/>
      <c r="Q53" s="10"/>
      <c r="R53" s="10"/>
      <c r="S53" s="10"/>
      <c r="T53" s="10"/>
      <c r="U53" s="10"/>
      <c r="V53" s="209"/>
      <c r="W53" s="209"/>
      <c r="X53" s="209"/>
    </row>
    <row r="54" spans="1:24" x14ac:dyDescent="0.2">
      <c r="A54" s="443" t="s">
        <v>276</v>
      </c>
      <c r="B54" s="553"/>
      <c r="C54" s="553" t="s">
        <v>532</v>
      </c>
      <c r="D54" s="461" t="s">
        <v>501</v>
      </c>
      <c r="E54" s="463" t="s">
        <v>527</v>
      </c>
      <c r="F54" s="553"/>
      <c r="G54" s="643">
        <v>1</v>
      </c>
      <c r="H54" s="644"/>
    </row>
    <row r="55" spans="1:24" x14ac:dyDescent="0.2">
      <c r="A55" s="443" t="s">
        <v>276</v>
      </c>
      <c r="B55" s="553"/>
      <c r="C55" s="553" t="s">
        <v>533</v>
      </c>
      <c r="D55" s="461" t="s">
        <v>501</v>
      </c>
      <c r="E55" s="463" t="s">
        <v>527</v>
      </c>
      <c r="F55" s="553"/>
      <c r="G55" s="643">
        <v>1</v>
      </c>
      <c r="H55" s="644"/>
    </row>
    <row r="56" spans="1:24" x14ac:dyDescent="0.2">
      <c r="A56" s="463" t="s">
        <v>276</v>
      </c>
      <c r="B56" s="461" t="s">
        <v>1629</v>
      </c>
      <c r="C56" s="564" t="s">
        <v>1630</v>
      </c>
      <c r="D56" s="461" t="s">
        <v>74</v>
      </c>
      <c r="E56" s="463" t="s">
        <v>527</v>
      </c>
      <c r="F56" s="553" t="s">
        <v>1631</v>
      </c>
      <c r="G56" s="643">
        <v>0</v>
      </c>
      <c r="H56" s="644" t="s">
        <v>1839</v>
      </c>
    </row>
    <row r="57" spans="1:24" x14ac:dyDescent="0.2">
      <c r="A57" s="463" t="s">
        <v>276</v>
      </c>
      <c r="B57" s="461" t="s">
        <v>1448</v>
      </c>
      <c r="C57" s="564" t="s">
        <v>1632</v>
      </c>
      <c r="D57" s="461" t="s">
        <v>74</v>
      </c>
      <c r="E57" s="463" t="s">
        <v>527</v>
      </c>
      <c r="F57" s="553" t="s">
        <v>1631</v>
      </c>
      <c r="G57" s="643">
        <v>3</v>
      </c>
      <c r="H57" s="644"/>
    </row>
    <row r="58" spans="1:24" x14ac:dyDescent="0.2">
      <c r="A58" s="463" t="s">
        <v>276</v>
      </c>
      <c r="B58" s="461" t="s">
        <v>1633</v>
      </c>
      <c r="C58" s="564" t="s">
        <v>1634</v>
      </c>
      <c r="D58" s="461" t="s">
        <v>74</v>
      </c>
      <c r="E58" s="463" t="s">
        <v>527</v>
      </c>
      <c r="F58" s="553" t="s">
        <v>1631</v>
      </c>
      <c r="G58" s="643">
        <v>1</v>
      </c>
      <c r="H58" s="644"/>
    </row>
    <row r="59" spans="1:24" x14ac:dyDescent="0.2">
      <c r="A59" s="463" t="s">
        <v>276</v>
      </c>
      <c r="B59" s="461" t="s">
        <v>1635</v>
      </c>
      <c r="C59" s="564" t="s">
        <v>1636</v>
      </c>
      <c r="D59" s="461" t="s">
        <v>74</v>
      </c>
      <c r="E59" s="463" t="s">
        <v>527</v>
      </c>
      <c r="F59" s="553" t="s">
        <v>1631</v>
      </c>
      <c r="G59" s="643">
        <v>1</v>
      </c>
      <c r="H59" s="644"/>
    </row>
    <row r="60" spans="1:24" x14ac:dyDescent="0.2">
      <c r="A60" s="463" t="s">
        <v>276</v>
      </c>
      <c r="B60" s="461" t="s">
        <v>1454</v>
      </c>
      <c r="C60" s="564" t="s">
        <v>1455</v>
      </c>
      <c r="D60" s="461" t="s">
        <v>74</v>
      </c>
      <c r="E60" s="463" t="s">
        <v>527</v>
      </c>
      <c r="F60" s="553" t="s">
        <v>1631</v>
      </c>
      <c r="G60" s="643">
        <v>2</v>
      </c>
      <c r="H60" s="644"/>
    </row>
    <row r="61" spans="1:24" x14ac:dyDescent="0.2">
      <c r="A61" s="463" t="s">
        <v>276</v>
      </c>
      <c r="B61" s="461" t="s">
        <v>1637</v>
      </c>
      <c r="C61" s="564" t="s">
        <v>1638</v>
      </c>
      <c r="D61" s="461" t="s">
        <v>74</v>
      </c>
      <c r="E61" s="463" t="s">
        <v>527</v>
      </c>
      <c r="F61" s="553" t="s">
        <v>1631</v>
      </c>
      <c r="G61" s="643">
        <v>1</v>
      </c>
      <c r="H61" s="645"/>
    </row>
    <row r="62" spans="1:24" x14ac:dyDescent="0.2">
      <c r="A62" s="463" t="s">
        <v>276</v>
      </c>
      <c r="B62" s="461" t="s">
        <v>1639</v>
      </c>
      <c r="C62" s="564" t="s">
        <v>1640</v>
      </c>
      <c r="D62" s="461" t="s">
        <v>74</v>
      </c>
      <c r="E62" s="463" t="s">
        <v>527</v>
      </c>
      <c r="F62" s="553" t="s">
        <v>1631</v>
      </c>
      <c r="G62" s="643">
        <v>1</v>
      </c>
      <c r="H62" s="644"/>
    </row>
    <row r="63" spans="1:24" x14ac:dyDescent="0.2">
      <c r="A63" s="463" t="s">
        <v>276</v>
      </c>
      <c r="B63" s="461" t="s">
        <v>1641</v>
      </c>
      <c r="C63" s="564" t="s">
        <v>1642</v>
      </c>
      <c r="D63" s="461" t="s">
        <v>74</v>
      </c>
      <c r="E63" s="463" t="s">
        <v>527</v>
      </c>
      <c r="F63" s="553" t="s">
        <v>1631</v>
      </c>
      <c r="G63" s="643">
        <v>1</v>
      </c>
      <c r="H63" s="644"/>
    </row>
    <row r="64" spans="1:24" ht="25.5" x14ac:dyDescent="0.2">
      <c r="A64" s="463" t="s">
        <v>276</v>
      </c>
      <c r="B64" s="461" t="s">
        <v>1643</v>
      </c>
      <c r="C64" s="564" t="s">
        <v>1644</v>
      </c>
      <c r="D64" s="461" t="s">
        <v>74</v>
      </c>
      <c r="E64" s="463" t="s">
        <v>527</v>
      </c>
      <c r="F64" s="553" t="s">
        <v>1631</v>
      </c>
      <c r="G64" s="643">
        <v>1</v>
      </c>
      <c r="H64" s="644"/>
    </row>
    <row r="65" spans="1:9" ht="38.25" x14ac:dyDescent="0.2">
      <c r="A65" s="463" t="s">
        <v>276</v>
      </c>
      <c r="B65" s="461" t="s">
        <v>1645</v>
      </c>
      <c r="C65" s="564" t="s">
        <v>1646</v>
      </c>
      <c r="D65" s="461" t="s">
        <v>74</v>
      </c>
      <c r="E65" s="463" t="s">
        <v>527</v>
      </c>
      <c r="F65" s="553" t="s">
        <v>1631</v>
      </c>
      <c r="G65" s="643">
        <v>2</v>
      </c>
      <c r="H65" s="644"/>
    </row>
    <row r="66" spans="1:9" x14ac:dyDescent="0.2">
      <c r="A66" s="463" t="s">
        <v>276</v>
      </c>
      <c r="B66" s="461" t="s">
        <v>1647</v>
      </c>
      <c r="C66" s="564" t="s">
        <v>1648</v>
      </c>
      <c r="D66" s="461" t="s">
        <v>74</v>
      </c>
      <c r="E66" s="463" t="s">
        <v>527</v>
      </c>
      <c r="F66" s="553" t="s">
        <v>1631</v>
      </c>
      <c r="G66" s="643">
        <v>1</v>
      </c>
      <c r="H66" s="644"/>
    </row>
    <row r="67" spans="1:9" x14ac:dyDescent="0.2">
      <c r="A67" s="463" t="s">
        <v>276</v>
      </c>
      <c r="B67" s="461" t="s">
        <v>1649</v>
      </c>
      <c r="C67" s="564" t="s">
        <v>1650</v>
      </c>
      <c r="D67" s="461" t="s">
        <v>74</v>
      </c>
      <c r="E67" s="463" t="s">
        <v>527</v>
      </c>
      <c r="F67" s="553" t="s">
        <v>1631</v>
      </c>
      <c r="G67" s="643">
        <v>0</v>
      </c>
      <c r="H67" s="644" t="s">
        <v>1822</v>
      </c>
    </row>
    <row r="68" spans="1:9" x14ac:dyDescent="0.2">
      <c r="A68" s="646" t="s">
        <v>276</v>
      </c>
      <c r="B68" s="647" t="s">
        <v>1448</v>
      </c>
      <c r="C68" s="647" t="s">
        <v>1449</v>
      </c>
      <c r="D68" s="647" t="s">
        <v>74</v>
      </c>
      <c r="E68" s="646"/>
      <c r="F68" s="354"/>
      <c r="G68" s="643">
        <v>3</v>
      </c>
      <c r="H68" s="644"/>
    </row>
    <row r="69" spans="1:9" x14ac:dyDescent="0.2">
      <c r="A69" s="646" t="s">
        <v>276</v>
      </c>
      <c r="B69" s="647" t="s">
        <v>1450</v>
      </c>
      <c r="C69" s="647" t="s">
        <v>1451</v>
      </c>
      <c r="D69" s="647" t="s">
        <v>74</v>
      </c>
      <c r="E69" s="646"/>
      <c r="F69" s="354"/>
      <c r="G69" s="643">
        <v>1</v>
      </c>
      <c r="H69" s="644"/>
    </row>
    <row r="70" spans="1:9" x14ac:dyDescent="0.2">
      <c r="A70" s="646" t="s">
        <v>276</v>
      </c>
      <c r="B70" s="647" t="s">
        <v>1452</v>
      </c>
      <c r="C70" s="647" t="s">
        <v>1453</v>
      </c>
      <c r="D70" s="647" t="s">
        <v>74</v>
      </c>
      <c r="E70" s="646"/>
      <c r="F70" s="354"/>
      <c r="G70" s="643">
        <v>1</v>
      </c>
      <c r="H70" s="644" t="s">
        <v>1823</v>
      </c>
    </row>
    <row r="71" spans="1:9" x14ac:dyDescent="0.2">
      <c r="A71" s="646" t="s">
        <v>276</v>
      </c>
      <c r="B71" s="647" t="s">
        <v>1454</v>
      </c>
      <c r="C71" s="647" t="s">
        <v>1455</v>
      </c>
      <c r="D71" s="647" t="s">
        <v>74</v>
      </c>
      <c r="E71" s="646"/>
      <c r="F71" s="354"/>
      <c r="G71" s="643">
        <v>2</v>
      </c>
      <c r="H71" s="644"/>
    </row>
    <row r="72" spans="1:9" x14ac:dyDescent="0.2">
      <c r="A72" s="646" t="s">
        <v>276</v>
      </c>
      <c r="B72" s="647" t="s">
        <v>1456</v>
      </c>
      <c r="C72" s="647" t="s">
        <v>1457</v>
      </c>
      <c r="D72" s="647" t="s">
        <v>74</v>
      </c>
      <c r="E72" s="646"/>
      <c r="F72" s="354"/>
      <c r="G72" s="643">
        <v>3</v>
      </c>
      <c r="H72" s="644" t="s">
        <v>1824</v>
      </c>
    </row>
    <row r="73" spans="1:9" x14ac:dyDescent="0.2">
      <c r="A73" s="646" t="s">
        <v>276</v>
      </c>
      <c r="B73" s="647" t="s">
        <v>1458</v>
      </c>
      <c r="C73" s="647" t="s">
        <v>1459</v>
      </c>
      <c r="D73" s="647" t="s">
        <v>74</v>
      </c>
      <c r="E73" s="646"/>
      <c r="F73" s="354"/>
      <c r="G73" s="643">
        <v>3</v>
      </c>
      <c r="H73" s="644" t="s">
        <v>1824</v>
      </c>
    </row>
    <row r="74" spans="1:9" x14ac:dyDescent="0.2">
      <c r="A74" s="646" t="s">
        <v>276</v>
      </c>
      <c r="B74" s="647" t="s">
        <v>1460</v>
      </c>
      <c r="C74" s="647" t="s">
        <v>1461</v>
      </c>
      <c r="D74" s="647" t="s">
        <v>74</v>
      </c>
      <c r="E74" s="646"/>
      <c r="F74" s="354"/>
      <c r="G74" s="643">
        <v>6</v>
      </c>
      <c r="H74" s="644"/>
    </row>
    <row r="75" spans="1:9" x14ac:dyDescent="0.2">
      <c r="A75" s="646" t="s">
        <v>276</v>
      </c>
      <c r="B75" s="647" t="s">
        <v>1462</v>
      </c>
      <c r="C75" s="647" t="s">
        <v>1463</v>
      </c>
      <c r="D75" s="647" t="s">
        <v>74</v>
      </c>
      <c r="E75" s="646"/>
      <c r="F75" s="354"/>
      <c r="G75" s="643">
        <v>1</v>
      </c>
      <c r="H75" s="644"/>
    </row>
    <row r="76" spans="1:9" x14ac:dyDescent="0.2">
      <c r="A76" s="646" t="s">
        <v>276</v>
      </c>
      <c r="B76" s="647" t="s">
        <v>1464</v>
      </c>
      <c r="C76" s="647" t="s">
        <v>1465</v>
      </c>
      <c r="D76" s="647" t="s">
        <v>74</v>
      </c>
      <c r="E76" s="646"/>
      <c r="F76" s="354"/>
      <c r="G76" s="643">
        <v>1</v>
      </c>
      <c r="H76" s="644" t="s">
        <v>1825</v>
      </c>
    </row>
    <row r="77" spans="1:9" x14ac:dyDescent="0.2">
      <c r="A77" s="646" t="s">
        <v>276</v>
      </c>
      <c r="B77" s="647" t="s">
        <v>1466</v>
      </c>
      <c r="C77" s="647" t="s">
        <v>1467</v>
      </c>
      <c r="D77" s="647" t="s">
        <v>74</v>
      </c>
      <c r="E77" s="646"/>
      <c r="F77" s="354"/>
      <c r="G77" s="643">
        <v>1</v>
      </c>
      <c r="H77" s="644"/>
      <c r="I77" s="362"/>
    </row>
    <row r="78" spans="1:9" x14ac:dyDescent="0.2">
      <c r="A78" s="646" t="s">
        <v>276</v>
      </c>
      <c r="B78" s="647" t="s">
        <v>1468</v>
      </c>
      <c r="C78" s="647" t="s">
        <v>1481</v>
      </c>
      <c r="D78" s="647" t="s">
        <v>1482</v>
      </c>
      <c r="E78" s="646"/>
      <c r="F78" s="354"/>
      <c r="G78" s="643">
        <v>1</v>
      </c>
      <c r="H78" s="644"/>
    </row>
    <row r="79" spans="1:9" x14ac:dyDescent="0.2">
      <c r="A79" s="646" t="s">
        <v>276</v>
      </c>
      <c r="B79" s="647" t="s">
        <v>1469</v>
      </c>
      <c r="C79" s="647" t="s">
        <v>1470</v>
      </c>
      <c r="D79" s="647" t="s">
        <v>74</v>
      </c>
      <c r="E79" s="646"/>
      <c r="F79" s="354"/>
      <c r="G79" s="643">
        <v>3</v>
      </c>
      <c r="H79" s="644"/>
    </row>
    <row r="80" spans="1:9" x14ac:dyDescent="0.2">
      <c r="A80" s="646" t="s">
        <v>276</v>
      </c>
      <c r="B80" s="647" t="s">
        <v>1471</v>
      </c>
      <c r="C80" s="647"/>
      <c r="D80" s="647" t="s">
        <v>74</v>
      </c>
      <c r="E80" s="646"/>
      <c r="F80" s="354"/>
      <c r="G80" s="643">
        <v>2</v>
      </c>
      <c r="H80" s="644" t="s">
        <v>1826</v>
      </c>
    </row>
    <row r="81" spans="1:8" x14ac:dyDescent="0.2">
      <c r="A81" s="646" t="s">
        <v>276</v>
      </c>
      <c r="B81" s="647" t="s">
        <v>1472</v>
      </c>
      <c r="C81" s="647" t="s">
        <v>1473</v>
      </c>
      <c r="D81" s="647" t="s">
        <v>74</v>
      </c>
      <c r="E81" s="646"/>
      <c r="F81" s="354"/>
      <c r="G81" s="643">
        <v>2</v>
      </c>
      <c r="H81" s="644"/>
    </row>
    <row r="82" spans="1:8" x14ac:dyDescent="0.2">
      <c r="A82" s="646" t="s">
        <v>276</v>
      </c>
      <c r="B82" s="647" t="s">
        <v>1474</v>
      </c>
      <c r="C82" s="647" t="s">
        <v>1475</v>
      </c>
      <c r="D82" s="647" t="s">
        <v>74</v>
      </c>
      <c r="E82" s="646"/>
      <c r="F82" s="354"/>
      <c r="G82" s="643">
        <v>2</v>
      </c>
      <c r="H82" s="644"/>
    </row>
    <row r="83" spans="1:8" x14ac:dyDescent="0.2">
      <c r="A83" s="646" t="s">
        <v>276</v>
      </c>
      <c r="B83" s="647" t="s">
        <v>1476</v>
      </c>
      <c r="C83" s="647" t="s">
        <v>1477</v>
      </c>
      <c r="D83" s="647" t="s">
        <v>74</v>
      </c>
      <c r="E83" s="646"/>
      <c r="F83" s="354"/>
      <c r="G83" s="643">
        <v>1</v>
      </c>
      <c r="H83" s="644" t="s">
        <v>1825</v>
      </c>
    </row>
    <row r="84" spans="1:8" x14ac:dyDescent="0.2">
      <c r="A84" s="646" t="s">
        <v>276</v>
      </c>
      <c r="B84" s="648" t="s">
        <v>1828</v>
      </c>
      <c r="C84" s="648" t="s">
        <v>1829</v>
      </c>
      <c r="D84" s="648" t="s">
        <v>74</v>
      </c>
      <c r="E84" s="648"/>
      <c r="F84" s="648"/>
      <c r="G84" s="643">
        <v>1</v>
      </c>
      <c r="H84" s="644" t="s">
        <v>1827</v>
      </c>
    </row>
    <row r="85" spans="1:8" x14ac:dyDescent="0.2">
      <c r="A85" s="646" t="s">
        <v>276</v>
      </c>
      <c r="B85" s="648" t="s">
        <v>1830</v>
      </c>
      <c r="C85" s="648" t="s">
        <v>1831</v>
      </c>
      <c r="D85" s="648" t="s">
        <v>74</v>
      </c>
      <c r="E85" s="648"/>
      <c r="F85" s="648"/>
      <c r="G85" s="643">
        <v>1</v>
      </c>
      <c r="H85" s="644" t="s">
        <v>1827</v>
      </c>
    </row>
    <row r="86" spans="1:8" x14ac:dyDescent="0.2">
      <c r="A86" s="646" t="s">
        <v>276</v>
      </c>
      <c r="B86" s="648" t="s">
        <v>1832</v>
      </c>
      <c r="C86" s="648" t="s">
        <v>1833</v>
      </c>
      <c r="D86" s="648" t="s">
        <v>74</v>
      </c>
      <c r="E86" s="648"/>
      <c r="F86" s="648"/>
      <c r="G86" s="643">
        <v>1</v>
      </c>
      <c r="H86" s="644" t="s">
        <v>1827</v>
      </c>
    </row>
    <row r="87" spans="1:8" x14ac:dyDescent="0.2">
      <c r="A87" s="646" t="s">
        <v>276</v>
      </c>
      <c r="B87" s="648" t="s">
        <v>1834</v>
      </c>
      <c r="C87" s="648" t="s">
        <v>1835</v>
      </c>
      <c r="D87" s="648" t="s">
        <v>74</v>
      </c>
      <c r="E87" s="648"/>
      <c r="F87" s="648"/>
      <c r="G87" s="643">
        <v>2</v>
      </c>
      <c r="H87" s="644" t="s">
        <v>1827</v>
      </c>
    </row>
    <row r="88" spans="1:8" x14ac:dyDescent="0.2">
      <c r="A88" s="646" t="s">
        <v>276</v>
      </c>
      <c r="B88" s="648" t="s">
        <v>1836</v>
      </c>
      <c r="C88" s="648" t="s">
        <v>1837</v>
      </c>
      <c r="D88" s="648" t="s">
        <v>1838</v>
      </c>
      <c r="E88" s="648"/>
      <c r="F88" s="648"/>
      <c r="G88" s="643">
        <v>1</v>
      </c>
      <c r="H88" s="644" t="s">
        <v>1827</v>
      </c>
    </row>
    <row r="89" spans="1:8" x14ac:dyDescent="0.2">
      <c r="A89" s="646" t="s">
        <v>276</v>
      </c>
      <c r="B89" s="648" t="s">
        <v>1687</v>
      </c>
      <c r="C89" s="648" t="s">
        <v>1688</v>
      </c>
      <c r="D89" s="648" t="s">
        <v>74</v>
      </c>
      <c r="E89" s="648"/>
      <c r="F89" s="648"/>
      <c r="G89" s="643">
        <v>3</v>
      </c>
      <c r="H89" s="644" t="s">
        <v>1827</v>
      </c>
    </row>
    <row r="90" spans="1:8" x14ac:dyDescent="0.2">
      <c r="A90" s="585" t="s">
        <v>276</v>
      </c>
      <c r="B90" s="461" t="s">
        <v>1336</v>
      </c>
      <c r="C90" s="461" t="s">
        <v>1993</v>
      </c>
      <c r="D90" s="461" t="s">
        <v>1482</v>
      </c>
      <c r="E90" s="461"/>
      <c r="F90" s="461"/>
      <c r="G90" s="653">
        <v>2</v>
      </c>
      <c r="H90" s="644" t="s">
        <v>1827</v>
      </c>
    </row>
    <row r="91" spans="1:8" x14ac:dyDescent="0.2">
      <c r="A91" s="585" t="s">
        <v>276</v>
      </c>
      <c r="B91" s="461" t="s">
        <v>1994</v>
      </c>
      <c r="C91" s="461" t="s">
        <v>1995</v>
      </c>
      <c r="D91" s="461" t="s">
        <v>74</v>
      </c>
      <c r="E91" s="461"/>
      <c r="F91" s="461"/>
      <c r="G91" s="653">
        <v>1</v>
      </c>
      <c r="H91" s="644" t="s">
        <v>1827</v>
      </c>
    </row>
  </sheetData>
  <dataValidations count="1">
    <dataValidation type="textLength" showInputMessage="1" showErrorMessage="1" sqref="G6 F7:G8">
      <formula1>0</formula1>
      <formula2>150</formula2>
    </dataValidation>
  </dataValidations>
  <pageMargins left="0.7" right="0.7" top="0.75" bottom="0.75" header="0.3" footer="0.3"/>
  <pageSetup paperSize="9" scale="86"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25"/>
  <sheetViews>
    <sheetView zoomScale="70" zoomScaleNormal="70" workbookViewId="0">
      <selection activeCell="J8" sqref="J8"/>
    </sheetView>
  </sheetViews>
  <sheetFormatPr defaultColWidth="8.85546875" defaultRowHeight="12.75" x14ac:dyDescent="0.2"/>
  <cols>
    <col min="1" max="1" width="12.5703125" style="3" customWidth="1"/>
    <col min="2" max="2" width="13" style="3" customWidth="1"/>
    <col min="3" max="3" width="9.140625" style="3" customWidth="1"/>
    <col min="4" max="4" width="13.85546875" style="3" customWidth="1"/>
    <col min="5" max="5" width="19.5703125" style="3" customWidth="1"/>
    <col min="6" max="6" width="13.5703125" style="3" customWidth="1"/>
    <col min="7" max="7" width="22.85546875" style="3" customWidth="1"/>
    <col min="8" max="8" width="29.140625" style="3" customWidth="1"/>
    <col min="9" max="9" width="36.140625" style="3" customWidth="1"/>
    <col min="10" max="10" width="30.42578125" style="3" customWidth="1"/>
    <col min="11" max="11" width="36.42578125" style="3" customWidth="1"/>
    <col min="12" max="12" width="47.140625" style="3" customWidth="1"/>
    <col min="13" max="13" width="8.85546875" style="3"/>
    <col min="14" max="14" width="57" style="3" customWidth="1"/>
    <col min="15" max="23" width="8.85546875" style="3"/>
    <col min="24" max="24" width="52.7109375" style="3" customWidth="1"/>
    <col min="25" max="16384" width="8.85546875" style="3"/>
  </cols>
  <sheetData>
    <row r="1" spans="1:24" ht="13.5" thickBot="1" x14ac:dyDescent="0.25">
      <c r="A1" s="7" t="s">
        <v>1408</v>
      </c>
      <c r="B1" s="1"/>
      <c r="C1" s="5"/>
      <c r="D1" s="1"/>
      <c r="E1" s="1"/>
      <c r="F1" s="1"/>
      <c r="G1" s="1"/>
      <c r="H1" s="1"/>
      <c r="I1" s="1"/>
      <c r="J1" s="1"/>
      <c r="K1" s="1"/>
    </row>
    <row r="2" spans="1:24" x14ac:dyDescent="0.2">
      <c r="A2" s="277"/>
      <c r="B2" s="42"/>
      <c r="C2" s="42"/>
      <c r="D2" s="42"/>
      <c r="E2" s="42"/>
      <c r="F2" s="42"/>
      <c r="G2" s="42"/>
      <c r="H2" s="42"/>
      <c r="I2" s="42"/>
      <c r="J2" s="92" t="s">
        <v>56</v>
      </c>
      <c r="K2" s="85" t="s">
        <v>1484</v>
      </c>
      <c r="L2" s="199"/>
      <c r="M2" s="199"/>
      <c r="N2" s="199"/>
      <c r="O2" s="199"/>
      <c r="P2" s="199"/>
      <c r="Q2" s="263"/>
      <c r="R2" s="199"/>
      <c r="S2" s="199"/>
      <c r="T2" s="199"/>
      <c r="U2" s="199"/>
      <c r="V2" s="199"/>
      <c r="W2" s="199"/>
      <c r="X2" s="175"/>
    </row>
    <row r="3" spans="1:24" ht="13.5" thickBot="1" x14ac:dyDescent="0.25">
      <c r="A3" s="181"/>
      <c r="B3" s="182"/>
      <c r="C3" s="182"/>
      <c r="D3" s="182"/>
      <c r="E3" s="182"/>
      <c r="F3" s="182"/>
      <c r="G3" s="182"/>
      <c r="H3" s="182"/>
      <c r="I3" s="182"/>
      <c r="J3" s="74" t="s">
        <v>55</v>
      </c>
      <c r="K3" s="144">
        <v>2020</v>
      </c>
      <c r="L3" s="199"/>
      <c r="M3" s="199"/>
      <c r="N3" s="199"/>
      <c r="O3" s="199"/>
      <c r="P3" s="199"/>
      <c r="Q3" s="263"/>
      <c r="R3" s="199"/>
      <c r="S3" s="199"/>
      <c r="T3" s="199"/>
      <c r="U3" s="199"/>
      <c r="V3" s="199"/>
      <c r="W3" s="199"/>
      <c r="X3" s="7"/>
    </row>
    <row r="4" spans="1:24" ht="25.5" x14ac:dyDescent="0.2">
      <c r="A4" s="673" t="s">
        <v>0</v>
      </c>
      <c r="B4" s="673" t="s">
        <v>1</v>
      </c>
      <c r="C4" s="673" t="s">
        <v>5</v>
      </c>
      <c r="D4" s="673" t="s">
        <v>1409</v>
      </c>
      <c r="E4" s="673" t="s">
        <v>1410</v>
      </c>
      <c r="F4" s="673" t="s">
        <v>1411</v>
      </c>
      <c r="G4" s="673" t="s">
        <v>1412</v>
      </c>
      <c r="H4" s="673" t="s">
        <v>1413</v>
      </c>
      <c r="I4" s="673" t="s">
        <v>1414</v>
      </c>
      <c r="J4" s="673" t="s">
        <v>4</v>
      </c>
      <c r="K4" s="672" t="s">
        <v>1415</v>
      </c>
      <c r="L4" s="127"/>
      <c r="M4" s="127"/>
      <c r="N4" s="127"/>
      <c r="O4" s="127"/>
      <c r="P4" s="127"/>
      <c r="Q4" s="127"/>
      <c r="R4" s="127"/>
      <c r="S4" s="127"/>
      <c r="T4" s="127"/>
      <c r="U4" s="127"/>
      <c r="V4" s="127"/>
      <c r="W4" s="127"/>
      <c r="X4" s="127"/>
    </row>
    <row r="5" spans="1:24" ht="191.25" x14ac:dyDescent="0.2">
      <c r="A5" s="554" t="s">
        <v>276</v>
      </c>
      <c r="B5" s="554"/>
      <c r="C5" s="554"/>
      <c r="D5" s="675" t="s">
        <v>1890</v>
      </c>
      <c r="E5" s="674" t="s">
        <v>1912</v>
      </c>
      <c r="F5" s="554" t="s">
        <v>1896</v>
      </c>
      <c r="G5" s="554" t="s">
        <v>1889</v>
      </c>
      <c r="H5" s="554" t="s">
        <v>1891</v>
      </c>
      <c r="I5" s="554" t="s">
        <v>1892</v>
      </c>
      <c r="J5" s="674" t="s">
        <v>1893</v>
      </c>
      <c r="K5" s="622" t="s">
        <v>1894</v>
      </c>
      <c r="L5" s="261"/>
      <c r="M5" s="261"/>
      <c r="N5" s="261"/>
      <c r="O5" s="261"/>
      <c r="P5" s="261"/>
      <c r="Q5" s="261"/>
      <c r="R5" s="261"/>
      <c r="S5" s="261"/>
      <c r="T5" s="261"/>
      <c r="U5" s="261"/>
      <c r="V5" s="261"/>
      <c r="W5" s="261"/>
    </row>
    <row r="6" spans="1:24" ht="102" x14ac:dyDescent="0.2">
      <c r="A6" s="554" t="s">
        <v>276</v>
      </c>
      <c r="B6" s="554" t="s">
        <v>79</v>
      </c>
      <c r="C6" s="554" t="s">
        <v>74</v>
      </c>
      <c r="D6" s="675" t="s">
        <v>1890</v>
      </c>
      <c r="E6" s="674" t="s">
        <v>1912</v>
      </c>
      <c r="F6" s="554" t="s">
        <v>1897</v>
      </c>
      <c r="G6" s="675" t="s">
        <v>1895</v>
      </c>
      <c r="H6" s="675" t="s">
        <v>1898</v>
      </c>
      <c r="I6" s="675" t="s">
        <v>1899</v>
      </c>
      <c r="J6" s="676" t="s">
        <v>1900</v>
      </c>
      <c r="K6" s="622" t="s">
        <v>1901</v>
      </c>
      <c r="L6" s="224"/>
      <c r="M6" s="232"/>
      <c r="N6" s="233"/>
      <c r="O6" s="10"/>
      <c r="P6" s="10"/>
      <c r="Q6" s="10"/>
      <c r="R6" s="10"/>
      <c r="S6" s="10"/>
      <c r="T6" s="10"/>
      <c r="U6" s="209"/>
      <c r="V6" s="209"/>
      <c r="W6" s="209"/>
    </row>
    <row r="7" spans="1:24" ht="102" x14ac:dyDescent="0.2">
      <c r="A7" s="554" t="s">
        <v>276</v>
      </c>
      <c r="B7" s="554" t="s">
        <v>79</v>
      </c>
      <c r="C7" s="554" t="s">
        <v>74</v>
      </c>
      <c r="D7" s="675" t="s">
        <v>1890</v>
      </c>
      <c r="E7" s="674" t="s">
        <v>1912</v>
      </c>
      <c r="F7" s="554" t="s">
        <v>1897</v>
      </c>
      <c r="G7" s="675" t="s">
        <v>1902</v>
      </c>
      <c r="H7" s="675" t="s">
        <v>1903</v>
      </c>
      <c r="I7" s="675" t="s">
        <v>1904</v>
      </c>
      <c r="J7" s="676" t="s">
        <v>1900</v>
      </c>
      <c r="K7" s="622" t="s">
        <v>1905</v>
      </c>
      <c r="L7" s="224"/>
      <c r="M7" s="232"/>
      <c r="N7" s="233"/>
      <c r="O7" s="10"/>
      <c r="P7" s="10"/>
      <c r="Q7" s="10"/>
      <c r="R7" s="10"/>
      <c r="S7" s="10"/>
      <c r="T7" s="10"/>
      <c r="U7" s="209"/>
      <c r="V7" s="209"/>
      <c r="W7" s="209"/>
    </row>
    <row r="8" spans="1:24" ht="229.5" x14ac:dyDescent="0.2">
      <c r="A8" s="554" t="s">
        <v>276</v>
      </c>
      <c r="B8" s="554" t="s">
        <v>79</v>
      </c>
      <c r="C8" s="554" t="s">
        <v>74</v>
      </c>
      <c r="D8" s="675" t="s">
        <v>1890</v>
      </c>
      <c r="E8" s="674" t="s">
        <v>1912</v>
      </c>
      <c r="F8" s="554" t="s">
        <v>1897</v>
      </c>
      <c r="G8" s="675" t="s">
        <v>1906</v>
      </c>
      <c r="H8" s="675" t="s">
        <v>1907</v>
      </c>
      <c r="I8" s="675" t="s">
        <v>1908</v>
      </c>
      <c r="J8" s="676" t="s">
        <v>1900</v>
      </c>
      <c r="K8" s="622" t="s">
        <v>1909</v>
      </c>
      <c r="L8" s="224"/>
      <c r="M8" s="232"/>
      <c r="N8" s="233"/>
      <c r="O8" s="10"/>
      <c r="P8" s="10"/>
      <c r="Q8" s="10"/>
      <c r="R8" s="10"/>
      <c r="S8" s="10"/>
      <c r="T8" s="10"/>
      <c r="U8" s="209"/>
      <c r="V8" s="209"/>
      <c r="W8" s="209"/>
    </row>
    <row r="9" spans="1:24" ht="127.5" x14ac:dyDescent="0.2">
      <c r="A9" s="674" t="s">
        <v>276</v>
      </c>
      <c r="B9" s="554" t="s">
        <v>79</v>
      </c>
      <c r="C9" s="554" t="s">
        <v>74</v>
      </c>
      <c r="D9" s="675" t="s">
        <v>1890</v>
      </c>
      <c r="E9" s="554" t="s">
        <v>1911</v>
      </c>
      <c r="F9" s="675" t="s">
        <v>1910</v>
      </c>
      <c r="G9" s="675" t="s">
        <v>1913</v>
      </c>
      <c r="H9" s="675" t="s">
        <v>1915</v>
      </c>
      <c r="I9" s="675" t="s">
        <v>1914</v>
      </c>
      <c r="J9" s="675" t="s">
        <v>1916</v>
      </c>
      <c r="K9" s="622" t="s">
        <v>1917</v>
      </c>
      <c r="L9" s="224"/>
      <c r="M9" s="232"/>
      <c r="N9" s="233"/>
      <c r="O9" s="10"/>
      <c r="P9" s="10"/>
      <c r="Q9" s="10"/>
      <c r="R9" s="10"/>
      <c r="S9" s="10"/>
      <c r="T9" s="10"/>
      <c r="U9" s="209"/>
      <c r="V9" s="209"/>
      <c r="W9" s="209"/>
    </row>
    <row r="10" spans="1:24" ht="72" customHeight="1" x14ac:dyDescent="0.2">
      <c r="A10" s="554" t="s">
        <v>276</v>
      </c>
      <c r="B10" s="554" t="s">
        <v>79</v>
      </c>
      <c r="C10" s="554" t="s">
        <v>74</v>
      </c>
      <c r="D10" s="675" t="s">
        <v>1890</v>
      </c>
      <c r="E10" s="554" t="s">
        <v>1911</v>
      </c>
      <c r="F10" s="675" t="s">
        <v>1910</v>
      </c>
      <c r="G10" s="675" t="s">
        <v>1918</v>
      </c>
      <c r="H10" s="675" t="s">
        <v>1919</v>
      </c>
      <c r="I10" s="675" t="s">
        <v>1920</v>
      </c>
      <c r="J10" s="676" t="s">
        <v>1900</v>
      </c>
      <c r="K10" s="622" t="s">
        <v>1921</v>
      </c>
      <c r="L10" s="224"/>
      <c r="M10" s="232"/>
      <c r="N10" s="233"/>
      <c r="O10" s="10"/>
      <c r="P10" s="10"/>
      <c r="Q10" s="10"/>
      <c r="R10" s="10"/>
      <c r="S10" s="10"/>
      <c r="T10" s="10"/>
      <c r="U10" s="209"/>
      <c r="V10" s="209"/>
      <c r="W10" s="209"/>
    </row>
    <row r="11" spans="1:24" ht="177" customHeight="1" x14ac:dyDescent="0.2">
      <c r="A11" s="554" t="s">
        <v>276</v>
      </c>
      <c r="B11" s="554" t="s">
        <v>79</v>
      </c>
      <c r="C11" s="554" t="s">
        <v>74</v>
      </c>
      <c r="D11" s="674" t="s">
        <v>1890</v>
      </c>
      <c r="E11" s="554" t="s">
        <v>1911</v>
      </c>
      <c r="F11" s="674" t="s">
        <v>1922</v>
      </c>
      <c r="G11" s="674" t="s">
        <v>1923</v>
      </c>
      <c r="H11" s="674" t="s">
        <v>1924</v>
      </c>
      <c r="I11" s="674" t="s">
        <v>1925</v>
      </c>
      <c r="J11" s="677" t="s">
        <v>1900</v>
      </c>
      <c r="K11" s="622" t="s">
        <v>1987</v>
      </c>
      <c r="L11" s="224"/>
      <c r="M11" s="232"/>
      <c r="N11" s="233"/>
      <c r="O11" s="10"/>
      <c r="P11" s="10"/>
      <c r="Q11" s="10"/>
      <c r="R11" s="10"/>
      <c r="S11" s="10"/>
      <c r="T11" s="10"/>
      <c r="U11" s="209"/>
      <c r="V11" s="209"/>
      <c r="W11" s="209"/>
    </row>
    <row r="12" spans="1:24" ht="140.25" x14ac:dyDescent="0.2">
      <c r="A12" s="554" t="s">
        <v>276</v>
      </c>
      <c r="B12" s="554" t="s">
        <v>79</v>
      </c>
      <c r="C12" s="554" t="s">
        <v>74</v>
      </c>
      <c r="D12" s="674" t="s">
        <v>1890</v>
      </c>
      <c r="E12" s="554" t="s">
        <v>1911</v>
      </c>
      <c r="F12" s="674" t="s">
        <v>1922</v>
      </c>
      <c r="G12" s="674" t="s">
        <v>1926</v>
      </c>
      <c r="H12" s="674" t="s">
        <v>1927</v>
      </c>
      <c r="I12" s="674" t="s">
        <v>1928</v>
      </c>
      <c r="J12" s="677" t="s">
        <v>1900</v>
      </c>
      <c r="K12" s="622" t="s">
        <v>1977</v>
      </c>
      <c r="L12" s="224"/>
      <c r="M12" s="232"/>
      <c r="N12" s="233"/>
      <c r="O12" s="10"/>
      <c r="P12" s="10"/>
      <c r="Q12" s="10"/>
      <c r="R12" s="10"/>
      <c r="S12" s="10"/>
      <c r="T12" s="10"/>
      <c r="U12" s="209"/>
      <c r="V12" s="209"/>
      <c r="W12" s="209"/>
    </row>
    <row r="13" spans="1:24" ht="153" x14ac:dyDescent="0.2">
      <c r="A13" s="674" t="s">
        <v>276</v>
      </c>
      <c r="B13" s="554" t="s">
        <v>79</v>
      </c>
      <c r="C13" s="554" t="s">
        <v>74</v>
      </c>
      <c r="D13" s="674" t="s">
        <v>1890</v>
      </c>
      <c r="E13" s="674" t="s">
        <v>1929</v>
      </c>
      <c r="F13" s="674" t="s">
        <v>1930</v>
      </c>
      <c r="G13" s="674" t="s">
        <v>1931</v>
      </c>
      <c r="H13" s="674" t="s">
        <v>1932</v>
      </c>
      <c r="I13" s="674" t="s">
        <v>1933</v>
      </c>
      <c r="J13" s="674" t="s">
        <v>1934</v>
      </c>
      <c r="K13" s="622" t="s">
        <v>1978</v>
      </c>
      <c r="L13" s="224"/>
      <c r="M13" s="232"/>
      <c r="N13" s="233"/>
      <c r="O13" s="10"/>
      <c r="P13" s="10"/>
      <c r="Q13" s="10"/>
      <c r="R13" s="10"/>
      <c r="S13" s="10"/>
      <c r="T13" s="10"/>
      <c r="U13" s="209"/>
      <c r="V13" s="209"/>
      <c r="W13" s="209"/>
      <c r="X13" s="208"/>
    </row>
    <row r="14" spans="1:24" ht="76.5" x14ac:dyDescent="0.2">
      <c r="A14" s="674" t="s">
        <v>276</v>
      </c>
      <c r="B14" s="554" t="s">
        <v>79</v>
      </c>
      <c r="C14" s="554" t="s">
        <v>74</v>
      </c>
      <c r="D14" s="674" t="s">
        <v>1890</v>
      </c>
      <c r="E14" s="674" t="s">
        <v>1929</v>
      </c>
      <c r="F14" s="674" t="s">
        <v>1930</v>
      </c>
      <c r="G14" s="674" t="s">
        <v>1935</v>
      </c>
      <c r="H14" s="674" t="s">
        <v>1936</v>
      </c>
      <c r="I14" s="674" t="s">
        <v>1940</v>
      </c>
      <c r="J14" s="674" t="s">
        <v>1937</v>
      </c>
      <c r="K14" s="622" t="s">
        <v>1978</v>
      </c>
      <c r="L14" s="224"/>
      <c r="M14" s="232"/>
      <c r="N14" s="233"/>
      <c r="O14" s="10"/>
      <c r="P14" s="10"/>
      <c r="Q14" s="10"/>
      <c r="R14" s="10"/>
      <c r="S14" s="10"/>
      <c r="T14" s="10"/>
      <c r="U14" s="209"/>
      <c r="V14" s="209"/>
      <c r="W14" s="209"/>
    </row>
    <row r="15" spans="1:24" ht="153" x14ac:dyDescent="0.2">
      <c r="A15" s="674" t="s">
        <v>276</v>
      </c>
      <c r="B15" s="554" t="s">
        <v>79</v>
      </c>
      <c r="C15" s="554" t="s">
        <v>74</v>
      </c>
      <c r="D15" s="674" t="s">
        <v>1890</v>
      </c>
      <c r="E15" s="674" t="s">
        <v>1929</v>
      </c>
      <c r="F15" s="674" t="s">
        <v>1938</v>
      </c>
      <c r="G15" s="674" t="s">
        <v>1939</v>
      </c>
      <c r="H15" s="554" t="s">
        <v>1941</v>
      </c>
      <c r="I15" s="674" t="s">
        <v>1942</v>
      </c>
      <c r="J15" s="677" t="s">
        <v>1900</v>
      </c>
      <c r="K15" s="622" t="s">
        <v>1979</v>
      </c>
      <c r="L15" s="224"/>
      <c r="M15" s="232"/>
      <c r="N15" s="233"/>
      <c r="O15" s="10"/>
      <c r="P15" s="10"/>
      <c r="Q15" s="10"/>
      <c r="R15" s="10"/>
      <c r="S15" s="10"/>
      <c r="T15" s="10"/>
      <c r="U15" s="209"/>
      <c r="V15" s="209"/>
      <c r="W15" s="209"/>
    </row>
    <row r="16" spans="1:24" ht="76.5" x14ac:dyDescent="0.2">
      <c r="A16" s="674" t="s">
        <v>276</v>
      </c>
      <c r="B16" s="554" t="s">
        <v>79</v>
      </c>
      <c r="C16" s="554" t="s">
        <v>74</v>
      </c>
      <c r="D16" s="674" t="s">
        <v>1890</v>
      </c>
      <c r="E16" s="674" t="s">
        <v>1929</v>
      </c>
      <c r="F16" s="674" t="s">
        <v>1943</v>
      </c>
      <c r="G16" s="674" t="s">
        <v>1944</v>
      </c>
      <c r="H16" s="674" t="s">
        <v>1945</v>
      </c>
      <c r="I16" s="674" t="s">
        <v>1946</v>
      </c>
      <c r="J16" s="677" t="s">
        <v>1900</v>
      </c>
      <c r="K16" s="622" t="s">
        <v>1980</v>
      </c>
      <c r="L16" s="224"/>
      <c r="M16" s="232"/>
      <c r="N16" s="233"/>
      <c r="O16" s="10"/>
      <c r="P16" s="10"/>
      <c r="Q16" s="10"/>
      <c r="R16" s="10"/>
      <c r="S16" s="10"/>
      <c r="T16" s="10"/>
      <c r="U16" s="209"/>
      <c r="V16" s="209"/>
      <c r="W16" s="209"/>
    </row>
    <row r="17" spans="1:23" ht="89.25" x14ac:dyDescent="0.2">
      <c r="A17" s="674" t="s">
        <v>276</v>
      </c>
      <c r="B17" s="554" t="s">
        <v>79</v>
      </c>
      <c r="C17" s="554" t="s">
        <v>74</v>
      </c>
      <c r="D17" s="674" t="s">
        <v>1890</v>
      </c>
      <c r="E17" s="674" t="s">
        <v>1929</v>
      </c>
      <c r="F17" s="674" t="s">
        <v>1947</v>
      </c>
      <c r="G17" s="674" t="s">
        <v>1948</v>
      </c>
      <c r="H17" s="674" t="s">
        <v>1949</v>
      </c>
      <c r="I17" s="674" t="s">
        <v>1950</v>
      </c>
      <c r="J17" s="674" t="s">
        <v>1951</v>
      </c>
      <c r="K17" s="622" t="s">
        <v>1981</v>
      </c>
      <c r="L17" s="225"/>
      <c r="M17" s="223"/>
      <c r="N17" s="233"/>
      <c r="O17" s="10"/>
      <c r="P17" s="10"/>
      <c r="Q17" s="10"/>
      <c r="R17" s="10"/>
      <c r="S17" s="10"/>
      <c r="T17" s="10"/>
      <c r="U17" s="209"/>
      <c r="V17" s="209"/>
      <c r="W17" s="209"/>
    </row>
    <row r="18" spans="1:23" ht="76.5" x14ac:dyDescent="0.2">
      <c r="A18" s="674" t="s">
        <v>276</v>
      </c>
      <c r="B18" s="554" t="s">
        <v>79</v>
      </c>
      <c r="C18" s="554" t="s">
        <v>74</v>
      </c>
      <c r="D18" s="674" t="s">
        <v>1890</v>
      </c>
      <c r="E18" s="674" t="s">
        <v>1929</v>
      </c>
      <c r="F18" s="674" t="s">
        <v>1947</v>
      </c>
      <c r="G18" s="674" t="s">
        <v>1952</v>
      </c>
      <c r="H18" s="554" t="s">
        <v>1953</v>
      </c>
      <c r="I18" s="674" t="s">
        <v>1954</v>
      </c>
      <c r="J18" s="677" t="s">
        <v>1900</v>
      </c>
      <c r="K18" s="622" t="s">
        <v>1982</v>
      </c>
      <c r="L18" s="225"/>
      <c r="M18" s="223"/>
      <c r="N18" s="233"/>
      <c r="O18" s="10"/>
      <c r="P18" s="10"/>
      <c r="Q18" s="10"/>
      <c r="R18" s="10"/>
      <c r="S18" s="10"/>
      <c r="T18" s="10"/>
      <c r="U18" s="209"/>
      <c r="V18" s="209"/>
      <c r="W18" s="209"/>
    </row>
    <row r="19" spans="1:23" ht="216.75" x14ac:dyDescent="0.2">
      <c r="A19" s="674" t="s">
        <v>276</v>
      </c>
      <c r="B19" s="554" t="s">
        <v>79</v>
      </c>
      <c r="C19" s="554" t="s">
        <v>74</v>
      </c>
      <c r="D19" s="674" t="s">
        <v>1890</v>
      </c>
      <c r="E19" s="674" t="s">
        <v>1929</v>
      </c>
      <c r="F19" s="674" t="s">
        <v>1955</v>
      </c>
      <c r="G19" s="674" t="s">
        <v>1956</v>
      </c>
      <c r="H19" s="674" t="s">
        <v>1957</v>
      </c>
      <c r="I19" s="674" t="s">
        <v>1958</v>
      </c>
      <c r="J19" s="677" t="s">
        <v>1900</v>
      </c>
      <c r="K19" s="622" t="s">
        <v>1983</v>
      </c>
      <c r="L19" s="225"/>
      <c r="M19" s="223"/>
      <c r="N19" s="233"/>
      <c r="O19" s="10"/>
      <c r="P19" s="10"/>
      <c r="Q19" s="10"/>
      <c r="R19" s="10"/>
      <c r="S19" s="10"/>
      <c r="T19" s="10"/>
      <c r="U19" s="209"/>
      <c r="V19" s="209"/>
      <c r="W19" s="209"/>
    </row>
    <row r="20" spans="1:23" ht="114.75" x14ac:dyDescent="0.2">
      <c r="A20" s="674" t="s">
        <v>276</v>
      </c>
      <c r="B20" s="554" t="s">
        <v>79</v>
      </c>
      <c r="C20" s="554" t="s">
        <v>74</v>
      </c>
      <c r="D20" s="674" t="s">
        <v>1890</v>
      </c>
      <c r="E20" s="677" t="s">
        <v>1959</v>
      </c>
      <c r="F20" s="674" t="s">
        <v>1962</v>
      </c>
      <c r="G20" s="674" t="s">
        <v>1964</v>
      </c>
      <c r="H20" s="674" t="s">
        <v>1963</v>
      </c>
      <c r="I20" s="674" t="s">
        <v>1965</v>
      </c>
      <c r="J20" s="674" t="s">
        <v>1960</v>
      </c>
      <c r="K20" s="622" t="s">
        <v>1961</v>
      </c>
      <c r="L20" s="225"/>
      <c r="M20" s="223"/>
      <c r="N20" s="233"/>
      <c r="O20" s="10"/>
      <c r="P20" s="10"/>
      <c r="Q20" s="10"/>
      <c r="R20" s="10"/>
      <c r="S20" s="10"/>
      <c r="T20" s="10"/>
      <c r="U20" s="209"/>
      <c r="V20" s="209"/>
      <c r="W20" s="209"/>
    </row>
    <row r="21" spans="1:23" ht="76.5" x14ac:dyDescent="0.2">
      <c r="A21" s="674" t="s">
        <v>276</v>
      </c>
      <c r="B21" s="554" t="s">
        <v>79</v>
      </c>
      <c r="C21" s="554" t="s">
        <v>74</v>
      </c>
      <c r="D21" s="675" t="s">
        <v>1890</v>
      </c>
      <c r="E21" s="676" t="s">
        <v>1966</v>
      </c>
      <c r="F21" s="675" t="s">
        <v>1967</v>
      </c>
      <c r="G21" s="675">
        <v>1.1000000000000001</v>
      </c>
      <c r="H21" s="675" t="s">
        <v>1968</v>
      </c>
      <c r="I21" s="675" t="s">
        <v>7</v>
      </c>
      <c r="J21" s="675" t="s">
        <v>7</v>
      </c>
      <c r="K21" s="622" t="s">
        <v>1999</v>
      </c>
      <c r="L21" s="225"/>
      <c r="M21" s="223"/>
      <c r="N21" s="233"/>
      <c r="O21" s="10"/>
      <c r="P21" s="10"/>
      <c r="Q21" s="10"/>
      <c r="R21" s="10"/>
      <c r="S21" s="10"/>
      <c r="T21" s="10"/>
      <c r="U21" s="209"/>
      <c r="V21" s="209"/>
      <c r="W21" s="209"/>
    </row>
    <row r="22" spans="1:23" ht="255" x14ac:dyDescent="0.2">
      <c r="A22" s="674" t="s">
        <v>276</v>
      </c>
      <c r="B22" s="554" t="s">
        <v>79</v>
      </c>
      <c r="C22" s="554" t="s">
        <v>74</v>
      </c>
      <c r="D22" s="675" t="s">
        <v>1890</v>
      </c>
      <c r="E22" s="676" t="s">
        <v>1966</v>
      </c>
      <c r="F22" s="675" t="s">
        <v>1967</v>
      </c>
      <c r="G22" s="598" t="s">
        <v>1970</v>
      </c>
      <c r="H22" s="675" t="s">
        <v>1969</v>
      </c>
      <c r="I22" s="675" t="s">
        <v>7</v>
      </c>
      <c r="J22" s="675" t="s">
        <v>7</v>
      </c>
      <c r="K22" s="622" t="s">
        <v>1996</v>
      </c>
      <c r="L22" s="225"/>
      <c r="M22" s="223"/>
      <c r="N22" s="233"/>
      <c r="O22" s="10"/>
      <c r="P22" s="10"/>
      <c r="Q22" s="10"/>
      <c r="R22" s="10"/>
      <c r="S22" s="10"/>
      <c r="T22" s="10"/>
      <c r="U22" s="209"/>
      <c r="V22" s="209"/>
      <c r="W22" s="209"/>
    </row>
    <row r="23" spans="1:23" ht="82.5" customHeight="1" x14ac:dyDescent="0.2">
      <c r="A23" s="674" t="s">
        <v>276</v>
      </c>
      <c r="B23" s="554" t="s">
        <v>79</v>
      </c>
      <c r="C23" s="554" t="s">
        <v>74</v>
      </c>
      <c r="D23" s="675" t="s">
        <v>1890</v>
      </c>
      <c r="E23" s="676" t="s">
        <v>1966</v>
      </c>
      <c r="F23" s="675" t="s">
        <v>1967</v>
      </c>
      <c r="G23" s="598" t="s">
        <v>1971</v>
      </c>
      <c r="H23" s="675" t="s">
        <v>1972</v>
      </c>
      <c r="I23" s="675" t="s">
        <v>7</v>
      </c>
      <c r="J23" s="675" t="s">
        <v>7</v>
      </c>
      <c r="K23" s="622" t="s">
        <v>1997</v>
      </c>
      <c r="L23" s="225"/>
      <c r="M23" s="223"/>
      <c r="N23" s="233"/>
      <c r="O23" s="10"/>
      <c r="P23" s="10"/>
      <c r="Q23" s="10"/>
      <c r="R23" s="10"/>
      <c r="S23" s="10"/>
      <c r="T23" s="10"/>
      <c r="U23" s="209"/>
      <c r="V23" s="209"/>
      <c r="W23" s="209"/>
    </row>
    <row r="24" spans="1:23" ht="114.75" x14ac:dyDescent="0.2">
      <c r="A24" s="674" t="s">
        <v>276</v>
      </c>
      <c r="B24" s="554" t="s">
        <v>79</v>
      </c>
      <c r="C24" s="554" t="s">
        <v>74</v>
      </c>
      <c r="D24" s="675" t="s">
        <v>1890</v>
      </c>
      <c r="E24" s="676" t="s">
        <v>1966</v>
      </c>
      <c r="F24" s="675" t="s">
        <v>1967</v>
      </c>
      <c r="G24" s="598" t="s">
        <v>1973</v>
      </c>
      <c r="H24" s="675" t="s">
        <v>1974</v>
      </c>
      <c r="I24" s="675" t="s">
        <v>7</v>
      </c>
      <c r="J24" s="675" t="s">
        <v>7</v>
      </c>
      <c r="K24" s="622" t="s">
        <v>1998</v>
      </c>
      <c r="L24" s="229"/>
      <c r="M24" s="230"/>
      <c r="N24" s="233"/>
      <c r="O24" s="10"/>
      <c r="P24" s="10"/>
      <c r="Q24" s="10"/>
      <c r="R24" s="10"/>
      <c r="S24" s="10"/>
      <c r="T24" s="10"/>
      <c r="U24" s="209"/>
      <c r="V24" s="209"/>
      <c r="W24" s="209"/>
    </row>
    <row r="25" spans="1:23" ht="63.75" x14ac:dyDescent="0.2">
      <c r="A25" s="674" t="s">
        <v>276</v>
      </c>
      <c r="B25" s="554" t="s">
        <v>79</v>
      </c>
      <c r="C25" s="554" t="s">
        <v>74</v>
      </c>
      <c r="D25" s="675" t="s">
        <v>1890</v>
      </c>
      <c r="E25" s="676" t="s">
        <v>1966</v>
      </c>
      <c r="F25" s="675" t="s">
        <v>1975</v>
      </c>
      <c r="G25" s="675">
        <v>5.2</v>
      </c>
      <c r="H25" s="598" t="s">
        <v>1976</v>
      </c>
      <c r="I25" s="675" t="s">
        <v>7</v>
      </c>
      <c r="J25" s="675" t="s">
        <v>7</v>
      </c>
      <c r="K25" s="622" t="s">
        <v>1999</v>
      </c>
      <c r="L25" s="10"/>
      <c r="M25" s="10"/>
      <c r="N25" s="10"/>
      <c r="O25" s="10"/>
      <c r="P25" s="10"/>
      <c r="Q25" s="10"/>
      <c r="R25" s="10"/>
      <c r="S25" s="10"/>
      <c r="T25" s="10"/>
      <c r="U25" s="209"/>
      <c r="V25" s="209"/>
      <c r="W25" s="209"/>
    </row>
  </sheetData>
  <dataValidations count="2">
    <dataValidation type="textLength" showInputMessage="1" showErrorMessage="1" sqref="K6:K10 K22:K24">
      <formula1>0</formula1>
      <formula2>150</formula2>
    </dataValidation>
    <dataValidation type="list" allowBlank="1" showInputMessage="1" showErrorMessage="1" sqref="B5:B25">
      <formula1>$BA$6:$BA$7</formula1>
    </dataValidation>
  </dataValidations>
  <pageMargins left="0.7" right="0.7" top="0.75" bottom="0.75" header="0.3" footer="0.3"/>
  <pageSetup paperSize="9" scale="64"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Y52"/>
  <sheetViews>
    <sheetView zoomScale="80" zoomScaleNormal="80" workbookViewId="0"/>
  </sheetViews>
  <sheetFormatPr defaultColWidth="8.85546875" defaultRowHeight="12.75" x14ac:dyDescent="0.2"/>
  <cols>
    <col min="1" max="1" width="23.42578125" style="3" customWidth="1"/>
    <col min="2" max="2" width="24.42578125" style="3" customWidth="1"/>
    <col min="3" max="3" width="30" style="3" customWidth="1"/>
    <col min="4" max="4" width="18.5703125" style="3" customWidth="1"/>
    <col min="5" max="5" width="23.28515625" style="3" customWidth="1"/>
    <col min="6" max="6" width="29.28515625" style="3" customWidth="1"/>
    <col min="7" max="7" width="29.140625" style="3" customWidth="1"/>
    <col min="8" max="8" width="18.5703125" style="3" customWidth="1"/>
    <col min="9" max="9" width="47.28515625" style="3" customWidth="1"/>
    <col min="10" max="10" width="44.140625" style="3" customWidth="1"/>
    <col min="11" max="11" width="8.85546875" style="3"/>
    <col min="12" max="12" width="66.85546875" style="3" customWidth="1"/>
    <col min="13" max="13" width="47.140625" style="3" customWidth="1"/>
    <col min="14" max="14" width="8.85546875" style="3"/>
    <col min="15" max="15" width="57" style="3" customWidth="1"/>
    <col min="16" max="24" width="8.85546875" style="3"/>
    <col min="25" max="25" width="52.7109375" style="3" customWidth="1"/>
    <col min="26" max="16384" width="8.85546875" style="3"/>
  </cols>
  <sheetData>
    <row r="1" spans="1:25" x14ac:dyDescent="0.2">
      <c r="A1" s="279" t="s">
        <v>1416</v>
      </c>
      <c r="B1" s="1"/>
      <c r="C1" s="1"/>
      <c r="D1" s="1"/>
      <c r="E1" s="1"/>
      <c r="F1" s="1"/>
      <c r="G1" s="1"/>
      <c r="H1" s="1"/>
      <c r="I1" s="1"/>
      <c r="J1" s="1"/>
      <c r="K1" s="1"/>
      <c r="L1" s="1"/>
    </row>
    <row r="2" spans="1:25" ht="13.5" thickBot="1" x14ac:dyDescent="0.25">
      <c r="A2" s="279"/>
      <c r="B2" s="1"/>
      <c r="C2" s="1"/>
      <c r="D2" s="1"/>
      <c r="E2" s="1"/>
      <c r="F2" s="1"/>
      <c r="G2" s="1"/>
      <c r="H2" s="1"/>
      <c r="I2" s="1"/>
      <c r="J2" s="1"/>
      <c r="K2" s="1"/>
      <c r="L2" s="1"/>
      <c r="M2" s="199"/>
      <c r="N2" s="199"/>
      <c r="O2" s="199"/>
      <c r="P2" s="199"/>
      <c r="Q2" s="199"/>
      <c r="R2" s="263"/>
      <c r="S2" s="199"/>
      <c r="T2" s="199"/>
      <c r="U2" s="199"/>
      <c r="V2" s="199"/>
      <c r="W2" s="199"/>
      <c r="X2" s="199"/>
      <c r="Y2" s="175"/>
    </row>
    <row r="3" spans="1:25" x14ac:dyDescent="0.2">
      <c r="A3" s="279"/>
      <c r="B3" s="1"/>
      <c r="C3" s="1"/>
      <c r="D3" s="1"/>
      <c r="E3" s="1"/>
      <c r="F3" s="1"/>
      <c r="G3" s="1"/>
      <c r="H3" s="1"/>
      <c r="I3" s="92" t="s">
        <v>56</v>
      </c>
      <c r="J3" s="85" t="s">
        <v>1484</v>
      </c>
      <c r="K3" s="1"/>
      <c r="L3" s="1"/>
      <c r="M3" s="199"/>
      <c r="N3" s="199"/>
      <c r="O3" s="199"/>
      <c r="P3" s="199"/>
      <c r="Q3" s="199"/>
      <c r="R3" s="263"/>
      <c r="S3" s="199"/>
      <c r="T3" s="199"/>
      <c r="U3" s="199"/>
      <c r="V3" s="199"/>
      <c r="W3" s="199"/>
      <c r="X3" s="199"/>
      <c r="Y3" s="7"/>
    </row>
    <row r="4" spans="1:25" ht="13.5" thickBot="1" x14ac:dyDescent="0.25">
      <c r="A4" s="277"/>
      <c r="B4" s="42"/>
      <c r="C4" s="42"/>
      <c r="D4" s="42"/>
      <c r="E4" s="42"/>
      <c r="F4" s="42"/>
      <c r="G4" s="42"/>
      <c r="H4" s="42"/>
      <c r="I4" s="74" t="s">
        <v>55</v>
      </c>
      <c r="J4" s="144">
        <v>2020</v>
      </c>
      <c r="K4" s="1"/>
      <c r="L4" s="1"/>
      <c r="M4" s="127"/>
      <c r="N4" s="127"/>
      <c r="O4" s="127"/>
      <c r="P4" s="127"/>
      <c r="Q4" s="127"/>
      <c r="R4" s="127"/>
      <c r="S4" s="127"/>
      <c r="T4" s="127"/>
      <c r="U4" s="127"/>
      <c r="V4" s="127"/>
      <c r="W4" s="127"/>
      <c r="X4" s="127"/>
      <c r="Y4" s="127"/>
    </row>
    <row r="5" spans="1:25" ht="39" thickBot="1" x14ac:dyDescent="0.25">
      <c r="A5" s="101" t="s">
        <v>1417</v>
      </c>
      <c r="B5" s="101" t="s">
        <v>1418</v>
      </c>
      <c r="C5" s="101" t="s">
        <v>1419</v>
      </c>
      <c r="D5" s="101" t="s">
        <v>1420</v>
      </c>
      <c r="E5" s="101" t="s">
        <v>1421</v>
      </c>
      <c r="F5" s="101" t="s">
        <v>1422</v>
      </c>
      <c r="G5" s="101" t="s">
        <v>1423</v>
      </c>
      <c r="H5" s="101" t="s">
        <v>1424</v>
      </c>
      <c r="I5" s="173" t="s">
        <v>4</v>
      </c>
      <c r="J5" s="174" t="s">
        <v>154</v>
      </c>
      <c r="K5" s="1"/>
      <c r="L5" s="1"/>
      <c r="M5" s="261"/>
      <c r="N5" s="261"/>
      <c r="O5" s="261"/>
      <c r="P5" s="261"/>
      <c r="Q5" s="261"/>
      <c r="R5" s="261"/>
      <c r="S5" s="261"/>
      <c r="T5" s="261"/>
      <c r="U5" s="261"/>
      <c r="V5" s="261"/>
      <c r="W5" s="261"/>
      <c r="X5" s="261"/>
    </row>
    <row r="6" spans="1:25" ht="191.25" x14ac:dyDescent="0.2">
      <c r="A6" s="670" t="s">
        <v>1425</v>
      </c>
      <c r="B6" s="281" t="s">
        <v>1426</v>
      </c>
      <c r="C6" s="282" t="s">
        <v>1427</v>
      </c>
      <c r="D6" s="280" t="s">
        <v>1170</v>
      </c>
      <c r="E6" s="280" t="s">
        <v>1428</v>
      </c>
      <c r="F6" s="280" t="s">
        <v>1429</v>
      </c>
      <c r="G6" s="280" t="s">
        <v>1430</v>
      </c>
      <c r="H6" s="282" t="s">
        <v>1431</v>
      </c>
      <c r="I6" s="282" t="s">
        <v>1432</v>
      </c>
      <c r="J6" s="334" t="s">
        <v>1483</v>
      </c>
      <c r="K6" s="1"/>
      <c r="L6" s="1"/>
      <c r="M6" s="224"/>
      <c r="N6" s="232"/>
      <c r="O6" s="233"/>
      <c r="P6" s="10"/>
      <c r="Q6" s="10"/>
      <c r="R6" s="10"/>
      <c r="S6" s="10"/>
      <c r="T6" s="10"/>
      <c r="U6" s="10"/>
      <c r="V6" s="209"/>
      <c r="W6" s="209"/>
      <c r="X6" s="209"/>
    </row>
    <row r="7" spans="1:25" ht="153" x14ac:dyDescent="0.2">
      <c r="A7" s="669" t="s">
        <v>1425</v>
      </c>
      <c r="B7" s="281" t="s">
        <v>1426</v>
      </c>
      <c r="C7" s="282" t="s">
        <v>1433</v>
      </c>
      <c r="D7" s="280" t="s">
        <v>1170</v>
      </c>
      <c r="E7" s="280" t="s">
        <v>1434</v>
      </c>
      <c r="F7" s="282" t="s">
        <v>1435</v>
      </c>
      <c r="G7" s="280" t="s">
        <v>1430</v>
      </c>
      <c r="H7" s="282" t="s">
        <v>1431</v>
      </c>
      <c r="I7" s="282" t="s">
        <v>1436</v>
      </c>
      <c r="J7" s="334" t="s">
        <v>1483</v>
      </c>
      <c r="K7" s="1"/>
      <c r="L7" s="1"/>
      <c r="M7" s="224"/>
      <c r="N7" s="232"/>
      <c r="O7" s="233"/>
      <c r="P7" s="10"/>
      <c r="Q7" s="10"/>
      <c r="R7" s="10"/>
      <c r="S7" s="10"/>
      <c r="T7" s="10"/>
      <c r="U7" s="10"/>
      <c r="V7" s="209"/>
      <c r="W7" s="209"/>
      <c r="X7" s="209"/>
    </row>
    <row r="8" spans="1:25" x14ac:dyDescent="0.2">
      <c r="A8" s="1"/>
      <c r="B8" s="1"/>
      <c r="C8" s="1"/>
      <c r="D8" s="1"/>
      <c r="E8" s="1"/>
      <c r="F8" s="1"/>
      <c r="G8" s="1"/>
      <c r="H8" s="1"/>
      <c r="I8" s="1"/>
      <c r="J8" s="206"/>
      <c r="K8" s="222"/>
      <c r="L8" s="223"/>
      <c r="M8" s="224"/>
      <c r="N8" s="232"/>
      <c r="O8" s="233"/>
      <c r="P8" s="10"/>
      <c r="Q8" s="10"/>
      <c r="R8" s="10"/>
      <c r="S8" s="10"/>
      <c r="T8" s="10"/>
      <c r="U8" s="10"/>
      <c r="V8" s="209"/>
      <c r="W8" s="209"/>
      <c r="X8" s="209"/>
    </row>
    <row r="9" spans="1:25" x14ac:dyDescent="0.2">
      <c r="A9" s="205"/>
      <c r="B9" s="205"/>
      <c r="C9" s="205"/>
      <c r="D9" s="205"/>
      <c r="E9" s="205"/>
      <c r="F9" s="205"/>
      <c r="G9" s="205"/>
      <c r="H9" s="205"/>
      <c r="I9" s="205"/>
      <c r="J9" s="205"/>
      <c r="K9" s="222"/>
      <c r="L9" s="222"/>
      <c r="M9" s="224"/>
      <c r="N9" s="232"/>
      <c r="O9" s="233"/>
      <c r="P9" s="10"/>
      <c r="Q9" s="10"/>
      <c r="R9" s="10"/>
      <c r="S9" s="10"/>
      <c r="T9" s="10"/>
      <c r="U9" s="10"/>
      <c r="V9" s="209"/>
      <c r="W9" s="209"/>
      <c r="X9" s="209"/>
      <c r="Y9" s="208"/>
    </row>
    <row r="10" spans="1:25" x14ac:dyDescent="0.2">
      <c r="A10" s="205"/>
      <c r="B10" s="205"/>
      <c r="C10" s="205"/>
      <c r="D10" s="205"/>
      <c r="E10" s="205"/>
      <c r="F10" s="205"/>
      <c r="G10" s="205"/>
      <c r="H10" s="205"/>
      <c r="I10" s="205"/>
      <c r="J10" s="205"/>
      <c r="K10" s="222"/>
      <c r="L10" s="222"/>
      <c r="M10" s="224"/>
      <c r="N10" s="232"/>
      <c r="O10" s="233"/>
      <c r="P10" s="10"/>
      <c r="Q10" s="10"/>
      <c r="R10" s="10"/>
      <c r="S10" s="10"/>
      <c r="T10" s="10"/>
      <c r="U10" s="10"/>
      <c r="V10" s="209"/>
      <c r="W10" s="209"/>
      <c r="X10" s="209"/>
    </row>
    <row r="11" spans="1:25" x14ac:dyDescent="0.2">
      <c r="A11" s="205"/>
      <c r="B11" s="205"/>
      <c r="C11" s="205"/>
      <c r="D11" s="205"/>
      <c r="E11" s="205"/>
      <c r="F11" s="205"/>
      <c r="G11" s="205"/>
      <c r="H11" s="205"/>
      <c r="I11" s="205"/>
      <c r="J11" s="205"/>
      <c r="K11" s="222"/>
      <c r="L11" s="222"/>
      <c r="M11" s="224"/>
      <c r="N11" s="232"/>
      <c r="O11" s="233"/>
      <c r="P11" s="10"/>
      <c r="Q11" s="10"/>
      <c r="R11" s="10"/>
      <c r="S11" s="10"/>
      <c r="T11" s="10"/>
      <c r="U11" s="10"/>
      <c r="V11" s="209"/>
      <c r="W11" s="209"/>
      <c r="X11" s="209"/>
    </row>
    <row r="12" spans="1:25" x14ac:dyDescent="0.2">
      <c r="A12" s="205"/>
      <c r="B12" s="205"/>
      <c r="C12" s="205"/>
      <c r="D12" s="205"/>
      <c r="E12" s="205"/>
      <c r="F12" s="205"/>
      <c r="G12" s="205"/>
      <c r="H12" s="205"/>
      <c r="I12" s="205"/>
      <c r="J12" s="206"/>
      <c r="K12" s="222"/>
      <c r="L12" s="222"/>
      <c r="M12" s="224"/>
      <c r="N12" s="232"/>
      <c r="O12" s="233"/>
      <c r="P12" s="10"/>
      <c r="Q12" s="10"/>
      <c r="R12" s="10"/>
      <c r="S12" s="10"/>
      <c r="T12" s="10"/>
      <c r="U12" s="10"/>
      <c r="V12" s="209"/>
      <c r="W12" s="209"/>
      <c r="X12" s="209"/>
    </row>
    <row r="13" spans="1:25" x14ac:dyDescent="0.2">
      <c r="A13" s="205"/>
      <c r="B13" s="205"/>
      <c r="C13" s="205"/>
      <c r="D13" s="205"/>
      <c r="E13" s="205"/>
      <c r="F13" s="205"/>
      <c r="G13" s="205"/>
      <c r="H13" s="205"/>
      <c r="I13" s="205"/>
      <c r="J13" s="206"/>
      <c r="K13" s="225"/>
      <c r="L13" s="223"/>
      <c r="M13" s="225"/>
      <c r="N13" s="223"/>
      <c r="O13" s="233"/>
      <c r="P13" s="10"/>
      <c r="Q13" s="10"/>
      <c r="R13" s="10"/>
      <c r="S13" s="10"/>
      <c r="T13" s="10"/>
      <c r="U13" s="10"/>
      <c r="V13" s="209"/>
      <c r="W13" s="209"/>
      <c r="X13" s="209"/>
    </row>
    <row r="14" spans="1:25" x14ac:dyDescent="0.2">
      <c r="A14" s="205"/>
      <c r="B14" s="205"/>
      <c r="C14" s="205"/>
      <c r="D14" s="205"/>
      <c r="E14" s="205"/>
      <c r="F14" s="205"/>
      <c r="G14" s="205"/>
      <c r="H14" s="205"/>
      <c r="I14" s="205"/>
      <c r="J14" s="206"/>
      <c r="K14" s="225"/>
      <c r="L14" s="223"/>
      <c r="M14" s="225"/>
      <c r="N14" s="223"/>
      <c r="O14" s="233"/>
      <c r="P14" s="10"/>
      <c r="Q14" s="10"/>
      <c r="R14" s="10"/>
      <c r="S14" s="10"/>
      <c r="T14" s="10"/>
      <c r="U14" s="10"/>
      <c r="V14" s="209"/>
      <c r="W14" s="209"/>
      <c r="X14" s="209"/>
    </row>
    <row r="15" spans="1:25" x14ac:dyDescent="0.2">
      <c r="A15" s="205"/>
      <c r="B15" s="205"/>
      <c r="C15" s="205"/>
      <c r="D15" s="205"/>
      <c r="E15" s="205"/>
      <c r="F15" s="205"/>
      <c r="G15" s="205"/>
      <c r="H15" s="205"/>
      <c r="I15" s="205"/>
      <c r="J15" s="206"/>
      <c r="K15" s="225"/>
      <c r="L15" s="223"/>
      <c r="M15" s="225"/>
      <c r="N15" s="223"/>
      <c r="O15" s="233"/>
      <c r="P15" s="10"/>
      <c r="Q15" s="10"/>
      <c r="R15" s="10"/>
      <c r="S15" s="10"/>
      <c r="T15" s="10"/>
      <c r="U15" s="10"/>
      <c r="V15" s="209"/>
      <c r="W15" s="209"/>
      <c r="X15" s="209"/>
    </row>
    <row r="16" spans="1:25" x14ac:dyDescent="0.2">
      <c r="A16" s="205"/>
      <c r="B16" s="205"/>
      <c r="C16" s="205"/>
      <c r="D16" s="205"/>
      <c r="E16" s="205"/>
      <c r="F16" s="205"/>
      <c r="G16" s="205"/>
      <c r="H16" s="205"/>
      <c r="I16" s="205"/>
      <c r="J16" s="206"/>
      <c r="K16" s="225"/>
      <c r="L16" s="223"/>
      <c r="M16" s="225"/>
      <c r="N16" s="223"/>
      <c r="O16" s="233"/>
      <c r="P16" s="10"/>
      <c r="Q16" s="10"/>
      <c r="R16" s="10"/>
      <c r="S16" s="10"/>
      <c r="T16" s="10"/>
      <c r="U16" s="10"/>
      <c r="V16" s="209"/>
      <c r="W16" s="209"/>
      <c r="X16" s="209"/>
    </row>
    <row r="17" spans="1:24" x14ac:dyDescent="0.2">
      <c r="A17" s="225"/>
      <c r="B17" s="223"/>
      <c r="C17" s="225"/>
      <c r="D17" s="223"/>
      <c r="E17" s="248"/>
      <c r="F17" s="231"/>
      <c r="G17" s="231"/>
      <c r="H17" s="234"/>
      <c r="I17" s="225"/>
      <c r="J17" s="223"/>
      <c r="K17" s="225"/>
      <c r="L17" s="223"/>
      <c r="M17" s="225"/>
      <c r="N17" s="223"/>
      <c r="O17" s="233"/>
      <c r="P17" s="10"/>
      <c r="Q17" s="10"/>
      <c r="R17" s="10"/>
      <c r="S17" s="10"/>
      <c r="T17" s="10"/>
      <c r="U17" s="10"/>
      <c r="V17" s="209"/>
      <c r="W17" s="209"/>
      <c r="X17" s="209"/>
    </row>
    <row r="18" spans="1:24" x14ac:dyDescent="0.2">
      <c r="A18" s="225"/>
      <c r="B18" s="223"/>
      <c r="C18" s="225"/>
      <c r="D18" s="223"/>
      <c r="E18" s="248"/>
      <c r="F18" s="231"/>
      <c r="G18" s="231"/>
      <c r="H18" s="234"/>
      <c r="I18" s="225"/>
      <c r="J18" s="223"/>
      <c r="K18" s="225"/>
      <c r="L18" s="223"/>
      <c r="M18" s="225"/>
      <c r="N18" s="223"/>
      <c r="O18" s="233"/>
      <c r="P18" s="10"/>
      <c r="Q18" s="10"/>
      <c r="R18" s="10"/>
      <c r="S18" s="10"/>
      <c r="T18" s="10"/>
      <c r="U18" s="10"/>
      <c r="V18" s="209"/>
      <c r="W18" s="209"/>
      <c r="X18" s="209"/>
    </row>
    <row r="19" spans="1:24" x14ac:dyDescent="0.2">
      <c r="A19" s="225"/>
      <c r="B19" s="223"/>
      <c r="C19" s="225"/>
      <c r="D19" s="223"/>
      <c r="E19" s="248"/>
      <c r="F19" s="231"/>
      <c r="G19" s="231"/>
      <c r="H19" s="234"/>
      <c r="I19" s="225"/>
      <c r="J19" s="223"/>
      <c r="K19" s="225"/>
      <c r="L19" s="223"/>
      <c r="M19" s="225"/>
      <c r="N19" s="223"/>
      <c r="O19" s="233"/>
      <c r="P19" s="10"/>
      <c r="Q19" s="10"/>
      <c r="R19" s="10"/>
      <c r="S19" s="10"/>
      <c r="T19" s="10"/>
      <c r="U19" s="10"/>
      <c r="V19" s="209"/>
      <c r="W19" s="209"/>
      <c r="X19" s="209"/>
    </row>
    <row r="20" spans="1:24" x14ac:dyDescent="0.2">
      <c r="A20" s="225"/>
      <c r="B20" s="223"/>
      <c r="C20" s="225"/>
      <c r="D20" s="223"/>
      <c r="E20" s="248"/>
      <c r="F20" s="231"/>
      <c r="G20" s="231"/>
      <c r="H20" s="234"/>
      <c r="I20" s="225"/>
      <c r="J20" s="223"/>
      <c r="K20" s="225"/>
      <c r="L20" s="223"/>
      <c r="M20" s="225"/>
      <c r="N20" s="223"/>
      <c r="O20" s="233"/>
      <c r="P20" s="10"/>
      <c r="Q20" s="10"/>
      <c r="R20" s="10"/>
      <c r="S20" s="10"/>
      <c r="T20" s="10"/>
      <c r="U20" s="10"/>
      <c r="V20" s="209"/>
      <c r="W20" s="209"/>
      <c r="X20" s="209"/>
    </row>
    <row r="21" spans="1:24" x14ac:dyDescent="0.2">
      <c r="A21" s="245"/>
      <c r="B21" s="246"/>
      <c r="C21" s="247"/>
      <c r="D21" s="247"/>
      <c r="E21" s="248"/>
      <c r="F21" s="231"/>
      <c r="G21" s="226"/>
      <c r="H21" s="226"/>
      <c r="I21" s="227"/>
      <c r="J21" s="227"/>
      <c r="K21" s="228"/>
      <c r="L21" s="228"/>
      <c r="M21" s="229"/>
      <c r="N21" s="230"/>
      <c r="O21" s="233"/>
      <c r="P21" s="10"/>
      <c r="Q21" s="10"/>
      <c r="R21" s="10"/>
      <c r="S21" s="10"/>
      <c r="T21" s="10"/>
      <c r="U21" s="10"/>
      <c r="V21" s="209"/>
      <c r="W21" s="209"/>
      <c r="X21" s="209"/>
    </row>
    <row r="22" spans="1:24" x14ac:dyDescent="0.2">
      <c r="A22" s="225"/>
      <c r="B22" s="225"/>
      <c r="C22" s="225"/>
      <c r="D22" s="225"/>
      <c r="E22" s="248"/>
      <c r="F22" s="231"/>
      <c r="G22" s="225"/>
      <c r="H22" s="225"/>
      <c r="I22" s="225"/>
      <c r="J22" s="225"/>
      <c r="K22" s="225"/>
      <c r="L22" s="225"/>
      <c r="M22" s="225"/>
      <c r="N22" s="225"/>
      <c r="O22" s="233"/>
      <c r="P22" s="10"/>
      <c r="Q22" s="10"/>
      <c r="R22" s="10"/>
      <c r="S22" s="10"/>
      <c r="T22" s="10"/>
      <c r="U22" s="10"/>
      <c r="V22" s="209"/>
      <c r="W22" s="209"/>
      <c r="X22" s="209"/>
    </row>
    <row r="23" spans="1:24" x14ac:dyDescent="0.2">
      <c r="A23" s="225"/>
      <c r="B23" s="225"/>
      <c r="C23" s="225"/>
      <c r="D23" s="225"/>
      <c r="E23" s="248"/>
      <c r="F23" s="231"/>
      <c r="G23" s="225"/>
      <c r="H23" s="225"/>
      <c r="I23" s="225"/>
      <c r="J23" s="225"/>
      <c r="K23" s="225"/>
      <c r="L23" s="225"/>
      <c r="M23" s="225"/>
      <c r="N23" s="225"/>
      <c r="O23" s="233"/>
      <c r="P23" s="10"/>
      <c r="Q23" s="10"/>
      <c r="R23" s="10"/>
      <c r="S23" s="10"/>
      <c r="T23" s="10"/>
      <c r="U23" s="10"/>
      <c r="V23" s="209"/>
      <c r="W23" s="209"/>
      <c r="X23" s="209"/>
    </row>
    <row r="24" spans="1:24" x14ac:dyDescent="0.2">
      <c r="A24" s="225"/>
      <c r="B24" s="225"/>
      <c r="C24" s="225"/>
      <c r="D24" s="225"/>
      <c r="E24" s="248"/>
      <c r="F24" s="231"/>
      <c r="G24" s="225"/>
      <c r="H24" s="225"/>
      <c r="I24" s="225"/>
      <c r="J24" s="225"/>
      <c r="K24" s="225"/>
      <c r="L24" s="225"/>
      <c r="M24" s="225"/>
      <c r="N24" s="225"/>
      <c r="O24" s="233"/>
      <c r="P24" s="10"/>
      <c r="Q24" s="10"/>
      <c r="R24" s="10"/>
      <c r="S24" s="10"/>
      <c r="T24" s="10"/>
      <c r="U24" s="10"/>
      <c r="V24" s="209"/>
      <c r="W24" s="209"/>
      <c r="X24" s="209"/>
    </row>
    <row r="25" spans="1:24" x14ac:dyDescent="0.2">
      <c r="A25" s="225"/>
      <c r="B25" s="225"/>
      <c r="C25" s="249"/>
      <c r="D25" s="225"/>
      <c r="E25" s="250"/>
      <c r="F25" s="231"/>
      <c r="G25" s="225"/>
      <c r="H25" s="225"/>
      <c r="I25" s="225"/>
      <c r="J25" s="225"/>
      <c r="K25" s="225"/>
      <c r="L25" s="225"/>
      <c r="M25" s="225"/>
      <c r="N25" s="225"/>
      <c r="O25" s="233"/>
      <c r="P25" s="10"/>
      <c r="Q25" s="10"/>
      <c r="R25" s="10"/>
      <c r="S25" s="10"/>
      <c r="T25" s="10"/>
      <c r="U25" s="10"/>
      <c r="V25" s="209"/>
      <c r="W25" s="209"/>
      <c r="X25" s="209"/>
    </row>
    <row r="26" spans="1:24" x14ac:dyDescent="0.2">
      <c r="A26" s="10"/>
      <c r="B26" s="204"/>
      <c r="C26" s="10"/>
      <c r="D26" s="10"/>
      <c r="E26" s="10"/>
      <c r="F26" s="10"/>
      <c r="G26" s="10"/>
      <c r="H26" s="10"/>
      <c r="I26" s="10"/>
      <c r="J26" s="10"/>
      <c r="K26" s="10"/>
      <c r="L26" s="10"/>
      <c r="M26" s="10"/>
      <c r="N26" s="10"/>
      <c r="O26" s="10"/>
      <c r="P26" s="10"/>
      <c r="Q26" s="10"/>
      <c r="R26" s="10"/>
      <c r="S26" s="10"/>
      <c r="T26" s="10"/>
      <c r="U26" s="10"/>
      <c r="V26" s="209"/>
      <c r="W26" s="209"/>
      <c r="X26" s="209"/>
    </row>
    <row r="27" spans="1:24" x14ac:dyDescent="0.2">
      <c r="A27" s="10"/>
      <c r="B27" s="204"/>
      <c r="C27" s="10"/>
      <c r="D27" s="10"/>
      <c r="E27" s="10"/>
      <c r="F27" s="10"/>
      <c r="G27" s="10"/>
      <c r="H27" s="10"/>
      <c r="I27" s="10"/>
      <c r="J27" s="10"/>
      <c r="K27" s="10"/>
      <c r="L27" s="10"/>
      <c r="M27" s="10"/>
      <c r="N27" s="10"/>
      <c r="O27" s="10"/>
      <c r="P27" s="10"/>
      <c r="Q27" s="10"/>
      <c r="R27" s="10"/>
      <c r="S27" s="10"/>
      <c r="T27" s="10"/>
      <c r="U27" s="10"/>
      <c r="V27" s="209"/>
      <c r="W27" s="209"/>
      <c r="X27" s="209"/>
    </row>
    <row r="28" spans="1:24" x14ac:dyDescent="0.2">
      <c r="A28" s="10"/>
      <c r="B28" s="204"/>
      <c r="C28" s="10"/>
      <c r="D28" s="10"/>
      <c r="E28" s="10"/>
      <c r="F28" s="10"/>
      <c r="G28" s="10"/>
      <c r="H28" s="10"/>
      <c r="I28" s="10"/>
      <c r="J28" s="10"/>
      <c r="K28" s="10"/>
      <c r="L28" s="10"/>
      <c r="M28" s="10"/>
      <c r="N28" s="10"/>
      <c r="O28" s="10"/>
      <c r="P28" s="10"/>
      <c r="Q28" s="10"/>
      <c r="R28" s="10"/>
      <c r="S28" s="10"/>
      <c r="T28" s="10"/>
      <c r="U28" s="10"/>
      <c r="V28" s="209"/>
      <c r="W28" s="209"/>
      <c r="X28" s="209"/>
    </row>
    <row r="29" spans="1:24" x14ac:dyDescent="0.2">
      <c r="A29" s="10"/>
      <c r="B29" s="204"/>
      <c r="C29" s="10"/>
      <c r="D29" s="10"/>
      <c r="E29" s="10"/>
      <c r="F29" s="10"/>
      <c r="G29" s="10"/>
      <c r="H29" s="10"/>
      <c r="I29" s="10"/>
      <c r="J29" s="10"/>
      <c r="K29" s="10"/>
      <c r="L29" s="10"/>
      <c r="M29" s="10"/>
      <c r="N29" s="10"/>
      <c r="O29" s="10"/>
      <c r="P29" s="10"/>
      <c r="Q29" s="10"/>
      <c r="R29" s="10"/>
      <c r="S29" s="10"/>
      <c r="T29" s="10"/>
      <c r="U29" s="10"/>
      <c r="V29" s="209"/>
      <c r="W29" s="209"/>
      <c r="X29" s="209"/>
    </row>
    <row r="30" spans="1:24" x14ac:dyDescent="0.2">
      <c r="A30" s="10"/>
      <c r="B30" s="204"/>
      <c r="C30" s="10"/>
      <c r="D30" s="10"/>
      <c r="E30" s="10"/>
      <c r="F30" s="10"/>
      <c r="G30" s="10"/>
      <c r="H30" s="10"/>
      <c r="I30" s="10"/>
      <c r="J30" s="207"/>
      <c r="K30" s="207"/>
      <c r="L30" s="207"/>
      <c r="M30" s="10"/>
      <c r="N30" s="10"/>
      <c r="O30" s="10"/>
      <c r="P30" s="10"/>
      <c r="Q30" s="10"/>
      <c r="R30" s="10"/>
      <c r="S30" s="10"/>
      <c r="T30" s="10"/>
      <c r="U30" s="10"/>
      <c r="V30" s="209"/>
      <c r="W30" s="209"/>
      <c r="X30" s="209"/>
    </row>
    <row r="31" spans="1:24" x14ac:dyDescent="0.2">
      <c r="A31" s="10"/>
      <c r="B31" s="204"/>
      <c r="C31" s="10"/>
      <c r="D31" s="10"/>
      <c r="E31" s="10"/>
      <c r="F31" s="10"/>
      <c r="G31" s="10"/>
      <c r="H31" s="10"/>
      <c r="I31" s="10"/>
      <c r="J31" s="10"/>
      <c r="K31" s="10"/>
      <c r="L31" s="10"/>
      <c r="M31" s="10"/>
      <c r="N31" s="10"/>
      <c r="O31" s="10"/>
      <c r="P31" s="10"/>
      <c r="Q31" s="10"/>
      <c r="R31" s="10"/>
      <c r="S31" s="10"/>
      <c r="T31" s="10"/>
      <c r="U31" s="10"/>
      <c r="V31" s="209"/>
      <c r="W31" s="209"/>
      <c r="X31" s="209"/>
    </row>
    <row r="32" spans="1:24" x14ac:dyDescent="0.2">
      <c r="A32" s="10"/>
      <c r="B32" s="204"/>
      <c r="C32" s="10"/>
      <c r="D32" s="10"/>
      <c r="E32" s="10"/>
      <c r="F32" s="10"/>
      <c r="G32" s="10"/>
      <c r="H32" s="10"/>
      <c r="I32" s="10"/>
      <c r="J32" s="10"/>
      <c r="K32" s="10"/>
      <c r="L32" s="10"/>
      <c r="M32" s="10"/>
      <c r="N32" s="10"/>
      <c r="O32" s="10"/>
      <c r="P32" s="10"/>
      <c r="Q32" s="10"/>
      <c r="R32" s="10"/>
      <c r="S32" s="10"/>
      <c r="T32" s="10"/>
      <c r="U32" s="10"/>
      <c r="V32" s="209"/>
      <c r="W32" s="209"/>
      <c r="X32" s="209"/>
    </row>
    <row r="33" spans="1:24" x14ac:dyDescent="0.2">
      <c r="A33" s="10"/>
      <c r="B33" s="204"/>
      <c r="C33" s="10"/>
      <c r="D33" s="10"/>
      <c r="E33" s="10"/>
      <c r="F33" s="10"/>
      <c r="G33" s="10"/>
      <c r="H33" s="10"/>
      <c r="I33" s="10"/>
      <c r="J33" s="10"/>
      <c r="K33" s="10"/>
      <c r="L33" s="10"/>
      <c r="M33" s="10"/>
      <c r="N33" s="10"/>
      <c r="O33" s="10"/>
      <c r="P33" s="10"/>
      <c r="Q33" s="10"/>
      <c r="R33" s="10"/>
      <c r="S33" s="10"/>
      <c r="T33" s="10"/>
      <c r="U33" s="10"/>
      <c r="V33" s="209"/>
      <c r="W33" s="209"/>
      <c r="X33" s="209"/>
    </row>
    <row r="34" spans="1:24" x14ac:dyDescent="0.2">
      <c r="A34" s="10"/>
      <c r="B34" s="204"/>
      <c r="C34" s="10"/>
      <c r="D34" s="10"/>
      <c r="E34" s="10"/>
      <c r="F34" s="10"/>
      <c r="G34" s="10"/>
      <c r="H34" s="10"/>
      <c r="I34" s="10"/>
      <c r="J34" s="10"/>
      <c r="K34" s="10"/>
      <c r="L34" s="10"/>
      <c r="M34" s="10"/>
      <c r="N34" s="10"/>
      <c r="O34" s="10"/>
      <c r="P34" s="10"/>
      <c r="Q34" s="10"/>
      <c r="R34" s="10"/>
      <c r="S34" s="10"/>
      <c r="T34" s="10"/>
      <c r="U34" s="10"/>
      <c r="V34" s="209"/>
      <c r="W34" s="209"/>
      <c r="X34" s="209"/>
    </row>
    <row r="35" spans="1:24" x14ac:dyDescent="0.2">
      <c r="A35" s="10"/>
      <c r="B35" s="204"/>
      <c r="C35" s="10"/>
      <c r="D35" s="10"/>
      <c r="E35" s="10"/>
      <c r="F35" s="10"/>
      <c r="G35" s="10"/>
      <c r="H35" s="10"/>
      <c r="I35" s="10"/>
      <c r="J35" s="10"/>
      <c r="K35" s="10"/>
      <c r="L35" s="10"/>
      <c r="M35" s="10"/>
      <c r="N35" s="10"/>
      <c r="O35" s="10"/>
      <c r="P35" s="10"/>
      <c r="Q35" s="10"/>
      <c r="R35" s="10"/>
      <c r="S35" s="10"/>
      <c r="T35" s="10"/>
      <c r="U35" s="10"/>
      <c r="V35" s="209"/>
      <c r="W35" s="209"/>
      <c r="X35" s="209"/>
    </row>
    <row r="36" spans="1:24" x14ac:dyDescent="0.2">
      <c r="A36" s="10"/>
      <c r="B36" s="204"/>
      <c r="C36" s="10"/>
      <c r="D36" s="10"/>
      <c r="E36" s="10"/>
      <c r="F36" s="10"/>
      <c r="G36" s="10"/>
      <c r="H36" s="10"/>
      <c r="I36" s="10"/>
      <c r="J36" s="10"/>
      <c r="K36" s="10"/>
      <c r="L36" s="10"/>
      <c r="M36" s="10"/>
      <c r="N36" s="10"/>
      <c r="O36" s="10"/>
      <c r="P36" s="10"/>
      <c r="Q36" s="10"/>
      <c r="R36" s="10"/>
      <c r="S36" s="10"/>
      <c r="T36" s="10"/>
      <c r="U36" s="10"/>
      <c r="V36" s="209"/>
      <c r="W36" s="209"/>
      <c r="X36" s="209"/>
    </row>
    <row r="37" spans="1:24" x14ac:dyDescent="0.2">
      <c r="A37" s="10"/>
      <c r="B37" s="204"/>
      <c r="C37" s="10"/>
      <c r="D37" s="10"/>
      <c r="E37" s="10"/>
      <c r="F37" s="10"/>
      <c r="G37" s="10"/>
      <c r="H37" s="10"/>
      <c r="I37" s="10"/>
      <c r="J37" s="10"/>
      <c r="K37" s="10"/>
      <c r="L37" s="10"/>
      <c r="M37" s="10"/>
      <c r="N37" s="10"/>
      <c r="O37" s="10"/>
      <c r="P37" s="10"/>
      <c r="Q37" s="10"/>
      <c r="R37" s="10"/>
      <c r="S37" s="10"/>
      <c r="T37" s="10"/>
      <c r="U37" s="10"/>
      <c r="V37" s="10"/>
      <c r="W37" s="10"/>
      <c r="X37" s="10"/>
    </row>
    <row r="38" spans="1:24" x14ac:dyDescent="0.2">
      <c r="A38" s="10"/>
      <c r="B38" s="204"/>
      <c r="C38" s="10"/>
      <c r="D38" s="10"/>
      <c r="E38" s="10"/>
      <c r="F38" s="10"/>
      <c r="G38" s="10"/>
      <c r="H38" s="10"/>
      <c r="I38" s="10"/>
      <c r="J38" s="10"/>
      <c r="K38" s="10"/>
      <c r="L38" s="10"/>
      <c r="M38" s="10"/>
      <c r="N38" s="10"/>
      <c r="O38" s="10"/>
      <c r="P38" s="10"/>
      <c r="Q38" s="10"/>
      <c r="R38" s="10"/>
      <c r="S38" s="10"/>
      <c r="T38" s="10"/>
      <c r="U38" s="10"/>
      <c r="V38" s="209"/>
      <c r="W38" s="209"/>
      <c r="X38" s="209"/>
    </row>
    <row r="39" spans="1:24" x14ac:dyDescent="0.2">
      <c r="A39" s="10"/>
      <c r="B39" s="204"/>
      <c r="C39" s="10"/>
      <c r="D39" s="10"/>
      <c r="E39" s="10"/>
      <c r="F39" s="10"/>
      <c r="G39" s="10"/>
      <c r="H39" s="10"/>
      <c r="I39" s="10"/>
      <c r="J39" s="10"/>
      <c r="K39" s="10"/>
      <c r="L39" s="10"/>
      <c r="M39" s="10"/>
      <c r="N39" s="10"/>
      <c r="O39" s="10"/>
      <c r="P39" s="10"/>
      <c r="Q39" s="10"/>
      <c r="R39" s="10"/>
      <c r="S39" s="10"/>
      <c r="T39" s="10"/>
      <c r="U39" s="10"/>
      <c r="V39" s="209"/>
      <c r="W39" s="209"/>
      <c r="X39" s="209"/>
    </row>
    <row r="40" spans="1:24" x14ac:dyDescent="0.2">
      <c r="A40" s="10"/>
      <c r="B40" s="204"/>
      <c r="C40" s="10"/>
      <c r="D40" s="10"/>
      <c r="E40" s="10"/>
      <c r="F40" s="10"/>
      <c r="G40" s="10"/>
      <c r="H40" s="10"/>
      <c r="I40" s="10"/>
      <c r="J40" s="10"/>
      <c r="K40" s="10"/>
      <c r="L40" s="10"/>
      <c r="M40" s="10"/>
      <c r="N40" s="10"/>
      <c r="O40" s="10"/>
      <c r="P40" s="10"/>
      <c r="Q40" s="10"/>
      <c r="R40" s="10"/>
      <c r="S40" s="10"/>
      <c r="T40" s="10"/>
      <c r="U40" s="10"/>
      <c r="V40" s="209"/>
      <c r="W40" s="209"/>
      <c r="X40" s="209"/>
    </row>
    <row r="41" spans="1:24" x14ac:dyDescent="0.2">
      <c r="A41" s="10"/>
      <c r="B41" s="204"/>
      <c r="C41" s="10"/>
      <c r="D41" s="10"/>
      <c r="E41" s="10"/>
      <c r="F41" s="10"/>
      <c r="G41" s="10"/>
      <c r="H41" s="10"/>
      <c r="I41" s="10"/>
      <c r="J41" s="10"/>
      <c r="K41" s="10"/>
      <c r="L41" s="10"/>
      <c r="M41" s="10"/>
      <c r="N41" s="10"/>
      <c r="O41" s="10"/>
      <c r="P41" s="10"/>
      <c r="Q41" s="10"/>
      <c r="R41" s="10"/>
      <c r="S41" s="10"/>
      <c r="T41" s="10"/>
      <c r="U41" s="10"/>
      <c r="V41" s="10"/>
      <c r="W41" s="10"/>
      <c r="X41" s="10"/>
    </row>
    <row r="42" spans="1:24" x14ac:dyDescent="0.2">
      <c r="A42" s="10"/>
      <c r="B42" s="204"/>
      <c r="C42" s="10"/>
      <c r="D42" s="10"/>
      <c r="E42" s="10"/>
      <c r="F42" s="10"/>
      <c r="G42" s="10"/>
      <c r="H42" s="10"/>
      <c r="I42" s="10"/>
      <c r="J42" s="10"/>
      <c r="K42" s="10"/>
      <c r="L42" s="10"/>
      <c r="M42" s="10"/>
      <c r="N42" s="10"/>
      <c r="O42" s="10"/>
      <c r="P42" s="10"/>
      <c r="Q42" s="10"/>
      <c r="R42" s="10"/>
      <c r="S42" s="10"/>
      <c r="T42" s="10"/>
      <c r="U42" s="10"/>
      <c r="V42" s="209"/>
      <c r="W42" s="209"/>
      <c r="X42" s="209"/>
    </row>
    <row r="43" spans="1:24" x14ac:dyDescent="0.2">
      <c r="A43" s="10"/>
      <c r="B43" s="204"/>
      <c r="C43" s="10"/>
      <c r="D43" s="10"/>
      <c r="E43" s="10"/>
      <c r="F43" s="10"/>
      <c r="G43" s="10"/>
      <c r="H43" s="10"/>
      <c r="I43" s="10"/>
      <c r="J43" s="10"/>
      <c r="K43" s="10"/>
      <c r="L43" s="10"/>
      <c r="M43" s="10"/>
      <c r="N43" s="10"/>
      <c r="O43" s="10"/>
      <c r="P43" s="10"/>
      <c r="Q43" s="10"/>
      <c r="R43" s="10"/>
      <c r="S43" s="10"/>
      <c r="T43" s="10"/>
      <c r="U43" s="10"/>
      <c r="V43" s="209"/>
      <c r="W43" s="209"/>
      <c r="X43" s="209"/>
    </row>
    <row r="44" spans="1:24" x14ac:dyDescent="0.2">
      <c r="A44" s="10"/>
      <c r="B44" s="204"/>
      <c r="C44" s="10"/>
      <c r="D44" s="10"/>
      <c r="E44" s="10"/>
      <c r="F44" s="10"/>
      <c r="G44" s="10"/>
      <c r="H44" s="10"/>
      <c r="I44" s="10"/>
      <c r="J44" s="10"/>
      <c r="K44" s="10"/>
      <c r="L44" s="10"/>
      <c r="M44" s="10"/>
      <c r="N44" s="10"/>
      <c r="O44" s="10"/>
      <c r="P44" s="10"/>
      <c r="Q44" s="10"/>
      <c r="R44" s="10"/>
      <c r="S44" s="10"/>
      <c r="T44" s="10"/>
      <c r="U44" s="10"/>
      <c r="V44" s="209"/>
      <c r="W44" s="209"/>
      <c r="X44" s="209"/>
    </row>
    <row r="45" spans="1:24" x14ac:dyDescent="0.2">
      <c r="A45" s="10"/>
      <c r="B45" s="204"/>
      <c r="C45" s="10"/>
      <c r="D45" s="10"/>
      <c r="E45" s="10"/>
      <c r="F45" s="10"/>
      <c r="G45" s="10"/>
      <c r="H45" s="10"/>
      <c r="I45" s="10"/>
      <c r="J45" s="10"/>
      <c r="K45" s="10"/>
      <c r="L45" s="10"/>
      <c r="M45" s="10"/>
      <c r="N45" s="10"/>
      <c r="O45" s="10"/>
      <c r="P45" s="10"/>
      <c r="Q45" s="10"/>
      <c r="R45" s="10"/>
      <c r="S45" s="10"/>
      <c r="T45" s="10"/>
      <c r="U45" s="10"/>
      <c r="V45" s="209"/>
      <c r="W45" s="209"/>
      <c r="X45" s="209"/>
    </row>
    <row r="46" spans="1:24" x14ac:dyDescent="0.2">
      <c r="A46" s="10"/>
      <c r="B46" s="204"/>
      <c r="C46" s="10"/>
      <c r="D46" s="10"/>
      <c r="E46" s="10"/>
      <c r="F46" s="10"/>
      <c r="G46" s="10"/>
      <c r="H46" s="10"/>
      <c r="I46" s="10"/>
      <c r="J46" s="10"/>
      <c r="K46" s="10"/>
      <c r="L46" s="10"/>
      <c r="M46" s="10"/>
      <c r="N46" s="10"/>
      <c r="O46" s="10"/>
      <c r="P46" s="10"/>
      <c r="Q46" s="10"/>
      <c r="R46" s="10"/>
      <c r="S46" s="10"/>
      <c r="T46" s="10"/>
      <c r="U46" s="10"/>
      <c r="V46" s="209"/>
      <c r="W46" s="209"/>
      <c r="X46" s="209"/>
    </row>
    <row r="47" spans="1:24" x14ac:dyDescent="0.2">
      <c r="A47" s="10"/>
      <c r="B47" s="204"/>
      <c r="C47" s="10"/>
      <c r="D47" s="10"/>
      <c r="E47" s="10"/>
      <c r="F47" s="10"/>
      <c r="G47" s="10"/>
      <c r="H47" s="10"/>
      <c r="I47" s="10"/>
      <c r="J47" s="10"/>
      <c r="K47" s="10"/>
      <c r="L47" s="10"/>
      <c r="M47" s="10"/>
      <c r="N47" s="10"/>
      <c r="O47" s="10"/>
      <c r="P47" s="10"/>
      <c r="Q47" s="10"/>
      <c r="R47" s="10"/>
      <c r="S47" s="10"/>
      <c r="T47" s="10"/>
      <c r="U47" s="10"/>
      <c r="V47" s="209"/>
      <c r="W47" s="209"/>
      <c r="X47" s="209"/>
    </row>
    <row r="48" spans="1:24" x14ac:dyDescent="0.2">
      <c r="A48" s="10"/>
      <c r="B48" s="204"/>
      <c r="C48" s="10"/>
      <c r="D48" s="10"/>
      <c r="E48" s="10"/>
      <c r="F48" s="10"/>
      <c r="G48" s="10"/>
      <c r="H48" s="10"/>
      <c r="I48" s="10"/>
      <c r="J48" s="10"/>
      <c r="K48" s="10"/>
      <c r="L48" s="10"/>
      <c r="M48" s="10"/>
      <c r="N48" s="10"/>
      <c r="O48" s="10"/>
      <c r="P48" s="10"/>
      <c r="Q48" s="10"/>
      <c r="R48" s="10"/>
      <c r="S48" s="10"/>
      <c r="T48" s="10"/>
      <c r="U48" s="10"/>
      <c r="V48" s="209"/>
      <c r="W48" s="209"/>
      <c r="X48" s="209"/>
    </row>
    <row r="49" spans="3:3" x14ac:dyDescent="0.2">
      <c r="C49" s="199"/>
    </row>
    <row r="50" spans="3:3" x14ac:dyDescent="0.2">
      <c r="C50" s="199"/>
    </row>
    <row r="51" spans="3:3" x14ac:dyDescent="0.2">
      <c r="C51" s="199"/>
    </row>
    <row r="52" spans="3:3" x14ac:dyDescent="0.2">
      <c r="C52" s="199"/>
    </row>
  </sheetData>
  <hyperlinks>
    <hyperlink ref="B6" r:id="rId1" display="leonie.odowd@marine.ie     "/>
    <hyperlink ref="B7" r:id="rId2" display="leonie.odowd@marine.ie     "/>
  </hyperlinks>
  <pageMargins left="0.7" right="0.7" top="0.75" bottom="0.75" header="0.3" footer="0.3"/>
  <pageSetup paperSize="9" scale="59" fitToHeight="0" orientation="landscape"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L25" sqref="L25"/>
    </sheetView>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Table1A List of required stocks</vt:lpstr>
      <vt:lpstr>Table1B Planning of sampling </vt:lpstr>
      <vt:lpstr>Table1C Sampling intensity </vt:lpstr>
      <vt:lpstr>Table1D Recreational Fisheries</vt:lpstr>
      <vt:lpstr>Table1E Anadromous catadromous</vt:lpstr>
      <vt:lpstr>Table1F Incidental by catch</vt:lpstr>
      <vt:lpstr>Table1G List of research survey</vt:lpstr>
      <vt:lpstr>Table1H Research survey data</vt:lpstr>
      <vt:lpstr>Table2A Fishing activity variab</vt:lpstr>
      <vt:lpstr>Table3A  Pop segment fisheries</vt:lpstr>
      <vt:lpstr>Table3B Pop segments aquacultur</vt:lpstr>
      <vt:lpstr>Table3C Pop segments processin</vt:lpstr>
      <vt:lpstr>Table4A Sampling plan descripti</vt:lpstr>
      <vt:lpstr>Table4B Sampling frame descrip</vt:lpstr>
      <vt:lpstr>Table4C Data on the fisheries</vt:lpstr>
      <vt:lpstr>Table4D Landing locations</vt:lpstr>
      <vt:lpstr>Table5A Quality assurance frame</vt:lpstr>
      <vt:lpstr>Table5B Quality assurance frame</vt:lpstr>
      <vt:lpstr>Table6A_Data_availability</vt:lpstr>
      <vt:lpstr>Table7A_Planned Regional_coord</vt:lpstr>
      <vt:lpstr>Table7B_Follow up of Recommenda</vt:lpstr>
      <vt:lpstr>Table7C_Bi- and multilateral </vt:lpstr>
      <vt:lpstr>Sheet1</vt:lpstr>
      <vt:lpstr>'Table1G List of research survey'!Print_Area</vt:lpstr>
      <vt:lpstr>'Table1H Research survey data'!Print_Area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KOSTOPOULOU Venetia (MARE)</dc:creator>
  <cp:lastModifiedBy>Grainne Ni Chonchuir</cp:lastModifiedBy>
  <cp:lastPrinted>2018-03-05T08:55:41Z</cp:lastPrinted>
  <dcterms:created xsi:type="dcterms:W3CDTF">2014-09-03T13:43:33Z</dcterms:created>
  <dcterms:modified xsi:type="dcterms:W3CDTF">2022-02-24T11:54:41Z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et Reports Function Literals">
    <vt:lpwstr>,	;	,	{	}	[@[{0}]]	1033</vt:lpwstr>
  </property>
</Properties>
</file>